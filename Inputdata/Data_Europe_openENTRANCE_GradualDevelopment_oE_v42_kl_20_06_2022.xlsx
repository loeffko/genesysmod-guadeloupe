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 codeName="DieseArbeitsmappe" autoCompressPictures="0"/>
  <xr:revisionPtr revIDLastSave="0" documentId="8_{E54D5260-C49F-40FB-9601-8EC326CE031A}" xr6:coauthVersionLast="47" xr6:coauthVersionMax="47" xr10:uidLastSave="{00000000-0000-0000-0000-000000000000}"/>
  <bookViews>
    <workbookView xWindow="-120" yWindow="-120" windowWidth="29040" windowHeight="15840" tabRatio="804" firstSheet="24" activeTab="31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CapacityToActivityUnit" sheetId="43" r:id="rId5"/>
    <sheet name="Par_Conversionls" sheetId="44" r:id="rId6"/>
    <sheet name="Par_Conversionld" sheetId="45" r:id="rId7"/>
    <sheet name="Par_Conversionlh" sheetId="46" r:id="rId8"/>
    <sheet name="Par_TradeRoute" sheetId="37" r:id="rId9"/>
    <sheet name="Par_TradeCosts" sheetId="47" r:id="rId10"/>
    <sheet name="Par_TradeCapacity" sheetId="64" r:id="rId11"/>
    <sheet name="Par_TradeCapacityGrowthCosts" sheetId="67" r:id="rId12"/>
    <sheet name="Par_GrowthRateTradeCapacity" sheetId="68" r:id="rId13"/>
    <sheet name="Par_AnnualExogenousEmission" sheetId="60" r:id="rId14"/>
    <sheet name="Par_AnnualEmissionLimit" sheetId="71" r:id="rId15"/>
    <sheet name="Par_AnnualSectoralEmissionLimit" sheetId="86" r:id="rId16"/>
    <sheet name="Par_RegionalAnnualEmissionLimit" sheetId="61" r:id="rId17"/>
    <sheet name="Par_EmissionActivityRatio" sheetId="22" r:id="rId18"/>
    <sheet name="Par_EmissionPenaltyTagTech" sheetId="70" r:id="rId19"/>
    <sheet name="Par_EmissionContentPerFuel" sheetId="69" r:id="rId20"/>
    <sheet name="Par_EmissionsPenalty" sheetId="48" r:id="rId21"/>
    <sheet name="Par_SpecifiedAnnualDemand" sheetId="31" r:id="rId22"/>
    <sheet name="Par_ReserveMargin" sheetId="59" r:id="rId23"/>
    <sheet name="Par_ReserveMarginTagFuel" sheetId="33" r:id="rId24"/>
    <sheet name="Par_ReserveMarginTagTechnology" sheetId="26" r:id="rId25"/>
    <sheet name="Par_InputActivityRatio" sheetId="17" r:id="rId26"/>
    <sheet name="Par_OutputActivityRatio" sheetId="18" r:id="rId27"/>
    <sheet name="Par_CapitalCost" sheetId="20" r:id="rId28"/>
    <sheet name="Par_VariableCost" sheetId="3" r:id="rId29"/>
    <sheet name="Par_FixedCost" sheetId="19" r:id="rId30"/>
    <sheet name="Par_ResidualCapacity" sheetId="21" r:id="rId31"/>
    <sheet name="Par_AvailabilityFactor" sheetId="4" r:id="rId32"/>
    <sheet name="Par_CapacityFactor" sheetId="5" r:id="rId33"/>
    <sheet name="Par_OperationalLife" sheetId="6" r:id="rId34"/>
    <sheet name="Par_TotalAnnualMinActivity" sheetId="40" r:id="rId35"/>
    <sheet name="Par_TotalAnnualMaxActivity" sheetId="39" r:id="rId36"/>
    <sheet name="Par_TotalAnnualMaxCapacity" sheetId="8" r:id="rId37"/>
    <sheet name="Par_ModelPeriodActivityMaxLimit" sheetId="63" r:id="rId38"/>
    <sheet name="Par_TotalAnnualMinCapacity" sheetId="27" r:id="rId39"/>
    <sheet name="Par_TagTechnologyToModalType" sheetId="65" r:id="rId40"/>
    <sheet name="Par_RegionalCCSLimit" sheetId="89" r:id="rId41"/>
    <sheet name="Par_RegionalBaseYearProduction" sheetId="75" r:id="rId42"/>
    <sheet name="Par_BaseYearProduction" sheetId="74" r:id="rId43"/>
    <sheet name="Par_ModalSplitByFuel" sheetId="66" r:id="rId44"/>
    <sheet name="Par_TechnologyToStorage" sheetId="49" r:id="rId45"/>
    <sheet name="Par_TechnologyFromStorage" sheetId="50" r:id="rId46"/>
    <sheet name="Par_StorageLevelStart" sheetId="51" r:id="rId47"/>
    <sheet name="Par_StorageMaxChargeRate" sheetId="52" r:id="rId48"/>
    <sheet name="Par_StorageMaxDischargeRate" sheetId="53" r:id="rId49"/>
    <sheet name="Par_MinStorageCharge" sheetId="54" r:id="rId50"/>
    <sheet name="Par_OperationalLifeStorage" sheetId="55" r:id="rId51"/>
    <sheet name="Par_CapitalCostStorage" sheetId="56" r:id="rId52"/>
    <sheet name="Par_ResidualStorageCapacity" sheetId="57" r:id="rId53"/>
  </sheets>
  <externalReferences>
    <externalReference r:id="rId54"/>
    <externalReference r:id="rId55"/>
    <externalReference r:id="rId56"/>
    <externalReference r:id="rId57"/>
    <externalReference r:id="rId58"/>
  </externalReferences>
  <definedNames>
    <definedName name="_xlnm._FilterDatabase" localSheetId="32" hidden="1">Par_CapacityFactor!$A$5:$O$24485</definedName>
    <definedName name="_xlnm._FilterDatabase" localSheetId="27" hidden="1">Par_CapitalCost!$A$5:$J$5</definedName>
    <definedName name="_xlnm._FilterDatabase" localSheetId="51" hidden="1">Par_CapitalCostStorage!$A$5:$D$5</definedName>
    <definedName name="_xlnm._FilterDatabase" localSheetId="17" hidden="1">Par_EmissionActivityRatio!$A$5:$AF$58</definedName>
    <definedName name="_xlnm._FilterDatabase" localSheetId="18" hidden="1">Par_EmissionPenaltyTagTech!$A$5:$AE$5</definedName>
    <definedName name="_xlnm._FilterDatabase" localSheetId="29" hidden="1">Par_FixedCost!$A$5:$M$5</definedName>
    <definedName name="_xlnm._FilterDatabase" localSheetId="25" hidden="1">Par_InputActivityRatio!$A$5:$R$5</definedName>
    <definedName name="_xlnm._FilterDatabase" localSheetId="43" hidden="1">Par_ModalSplitByFuel!$A$5:$U$478</definedName>
    <definedName name="_xlnm._FilterDatabase" localSheetId="50" hidden="1">Par_OperationalLifeStorage!$A$5:$M$5</definedName>
    <definedName name="_xlnm._FilterDatabase" localSheetId="26" hidden="1">Par_OutputActivityRatio!$A$5:$S$234</definedName>
    <definedName name="_xlnm._FilterDatabase" localSheetId="41" hidden="1">Par_RegionalBaseYearProduction!$A$5:$D$991</definedName>
    <definedName name="_xlnm._FilterDatabase" localSheetId="40" hidden="1">Par_RegionalCCSLimit!$A$5:$B$5</definedName>
    <definedName name="_xlnm._FilterDatabase" localSheetId="24" hidden="1">Par_ReserveMarginTagTechnology!$A$5:$J$11</definedName>
    <definedName name="_xlnm._FilterDatabase" localSheetId="30" hidden="1">Par_ResidualCapacity!$A$5:$J$1421</definedName>
    <definedName name="_xlnm._FilterDatabase" localSheetId="21" hidden="1">Par_SpecifiedAnnualDemand!$A$5:$BH$215</definedName>
    <definedName name="_xlnm._FilterDatabase" localSheetId="36" hidden="1">Par_TotalAnnualMaxCapacity!$A$5:$U$745</definedName>
    <definedName name="_xlnm._FilterDatabase" localSheetId="10" hidden="1">Par_TradeCapacity!$B$5:$I$34</definedName>
    <definedName name="_xlnm._FilterDatabase" localSheetId="8" hidden="1">Par_TradeRoute!$A$5:$AE$425</definedName>
    <definedName name="_xlnm._FilterDatabase" localSheetId="28" hidden="1">Par_VariableCost!$A$5:$O$5</definedName>
    <definedName name="_xlnm._FilterDatabase" localSheetId="0" hidden="1">Sets!$B$2:$B$580</definedName>
    <definedName name="Emissions" localSheetId="14">#REF!</definedName>
    <definedName name="Emissions" localSheetId="15">#REF!</definedName>
    <definedName name="Emissions" localSheetId="1">#REF!</definedName>
    <definedName name="Emissions" localSheetId="18">#REF!</definedName>
    <definedName name="Emissions" localSheetId="12">#REF!</definedName>
    <definedName name="Emissions" localSheetId="41">#REF!</definedName>
    <definedName name="Emissions" localSheetId="40">#REF!</definedName>
    <definedName name="Emissions" localSheetId="3">#REF!</definedName>
    <definedName name="Emissions" localSheetId="10">#REF!</definedName>
    <definedName name="Emissions" localSheetId="11">#REF!</definedName>
    <definedName name="Emissions">#REF!</definedName>
    <definedName name="Fuels" localSheetId="14">[1]Data!$C$2:$C$24</definedName>
    <definedName name="Fuels" localSheetId="13">[1]Data!$C$2:$C$24</definedName>
    <definedName name="Fuels" localSheetId="15">[1]Data!$C$2:$C$24</definedName>
    <definedName name="Fuels" localSheetId="1">#REF!</definedName>
    <definedName name="Fuels" localSheetId="18">#REF!</definedName>
    <definedName name="Fuels" localSheetId="12">[2]Data!$C$2:$C$24</definedName>
    <definedName name="Fuels" localSheetId="16">[1]Data!$C$2:$C$24</definedName>
    <definedName name="Fuels" localSheetId="41">#REF!</definedName>
    <definedName name="Fuels" localSheetId="40">#REF!</definedName>
    <definedName name="Fuels" localSheetId="22">[1]Data!$C$2:$C$24</definedName>
    <definedName name="Fuels" localSheetId="3">#REF!</definedName>
    <definedName name="Fuels" localSheetId="35">[3]Data!$C$2:$C$24</definedName>
    <definedName name="Fuels" localSheetId="34">[3]Data!$C$2:$C$24</definedName>
    <definedName name="Fuels" localSheetId="10">[2]Data!$C$2:$C$24</definedName>
    <definedName name="Fuels" localSheetId="11">[2]Data!$C$2:$C$24</definedName>
    <definedName name="Fuels">#REF!</definedName>
    <definedName name="Regions" localSheetId="14">[1]Data!$G$2:$G$11</definedName>
    <definedName name="Regions" localSheetId="13">[1]Data!$G$2:$G$11</definedName>
    <definedName name="Regions" localSheetId="15">[1]Data!$G$2:$G$11</definedName>
    <definedName name="Regions" localSheetId="1">#REF!</definedName>
    <definedName name="Regions" localSheetId="18">#REF!</definedName>
    <definedName name="Regions" localSheetId="12">[2]Data!$G$2:$G$11</definedName>
    <definedName name="Regions" localSheetId="16">[1]Data!$G$2:$G$11</definedName>
    <definedName name="Regions" localSheetId="41">#REF!</definedName>
    <definedName name="Regions" localSheetId="40">#REF!</definedName>
    <definedName name="Regions" localSheetId="22">[1]Data!$G$2:$G$11</definedName>
    <definedName name="Regions" localSheetId="3">#REF!</definedName>
    <definedName name="Regions" localSheetId="35">[3]Data!$G$2:$G$11</definedName>
    <definedName name="Regions" localSheetId="34">[3]Data!$G$2:$G$11</definedName>
    <definedName name="Regions" localSheetId="10">[2]Data!$G$2:$G$11</definedName>
    <definedName name="Regions" localSheetId="11">[2]Data!$G$2:$G$11</definedName>
    <definedName name="Regions">#REF!</definedName>
    <definedName name="Storages" localSheetId="14">#REF!</definedName>
    <definedName name="Storages" localSheetId="15">#REF!</definedName>
    <definedName name="Storages" localSheetId="1">#REF!</definedName>
    <definedName name="Storages" localSheetId="18">#REF!</definedName>
    <definedName name="Storages" localSheetId="12">#REF!</definedName>
    <definedName name="Storages" localSheetId="41">#REF!</definedName>
    <definedName name="Storages" localSheetId="40">#REF!</definedName>
    <definedName name="Storages" localSheetId="3">#REF!</definedName>
    <definedName name="Storages" localSheetId="10">#REF!</definedName>
    <definedName name="Storages" localSheetId="11">#REF!</definedName>
    <definedName name="Storages">#REF!</definedName>
    <definedName name="Technologies" localSheetId="14">#REF!:B</definedName>
    <definedName name="Technologies" localSheetId="15">#REF!:B</definedName>
    <definedName name="Technologies" localSheetId="1">#REF!:B</definedName>
    <definedName name="Technologies" localSheetId="18">#REF!:B</definedName>
    <definedName name="Technologies" localSheetId="12">[2]Data!#REF!:B</definedName>
    <definedName name="Technologies" localSheetId="43">[4]Data!$B$2:$B$83</definedName>
    <definedName name="Technologies" localSheetId="41">#REF!:B</definedName>
    <definedName name="Technologies" localSheetId="40">#REF!:B</definedName>
    <definedName name="Technologies" localSheetId="3">#REF!:B</definedName>
    <definedName name="Technologies" localSheetId="35">[3]Data!$B$2:$B$69</definedName>
    <definedName name="Technologies" localSheetId="34">[3]Data!$B$2:$B$69</definedName>
    <definedName name="Technologies" localSheetId="10">[2]Data!#REF!:B</definedName>
    <definedName name="Technologies" localSheetId="11">[2]Data!#REF!:B</definedName>
    <definedName name="Technologies">#REF!:B</definedName>
    <definedName name="Timeslices" localSheetId="14">#REF!</definedName>
    <definedName name="Timeslices" localSheetId="15">#REF!</definedName>
    <definedName name="Timeslices" localSheetId="1">#REF!</definedName>
    <definedName name="Timeslices" localSheetId="18">#REF!</definedName>
    <definedName name="Timeslices" localSheetId="12">[2]Data!$E$2:$E$7</definedName>
    <definedName name="Timeslices" localSheetId="41">#REF!</definedName>
    <definedName name="Timeslices" localSheetId="40">#REF!</definedName>
    <definedName name="Timeslices" localSheetId="39">#REF!</definedName>
    <definedName name="Timeslices" localSheetId="3">#REF!</definedName>
    <definedName name="Timeslices" localSheetId="10">[2]Data!$E$2:$E$7</definedName>
    <definedName name="Timeslices" localSheetId="11">[2]Data!$E$2:$E$7</definedName>
    <definedName name="Timeslices">#REF!</definedName>
    <definedName name="Years" localSheetId="14">#REF!</definedName>
    <definedName name="Years" localSheetId="15">#REF!</definedName>
    <definedName name="Years" localSheetId="1">#REF!</definedName>
    <definedName name="Years" localSheetId="18">#REF!</definedName>
    <definedName name="Years" localSheetId="12">#REF!</definedName>
    <definedName name="Years" localSheetId="41">#REF!</definedName>
    <definedName name="Years" localSheetId="40">#REF!</definedName>
    <definedName name="Years" localSheetId="3">#REF!</definedName>
    <definedName name="Years" localSheetId="10">#REF!</definedName>
    <definedName name="Years" localSheetId="11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19" l="1"/>
  <c r="I12" i="19"/>
  <c r="H12" i="19"/>
  <c r="G12" i="19"/>
  <c r="F12" i="19"/>
  <c r="E12" i="19"/>
  <c r="D12" i="19"/>
  <c r="C12" i="19"/>
  <c r="J6" i="19"/>
  <c r="I6" i="19"/>
  <c r="H6" i="19"/>
  <c r="G6" i="19"/>
  <c r="F6" i="19"/>
  <c r="E6" i="19"/>
  <c r="D6" i="19"/>
  <c r="C6" i="19"/>
  <c r="D6" i="47"/>
  <c r="E6" i="47"/>
  <c r="F6" i="47"/>
  <c r="G6" i="47"/>
  <c r="H6" i="47"/>
  <c r="I6" i="47"/>
  <c r="J6" i="47"/>
  <c r="K6" i="47"/>
  <c r="L6" i="47"/>
  <c r="M6" i="47"/>
  <c r="N6" i="47"/>
  <c r="O6" i="47"/>
  <c r="P6" i="47"/>
  <c r="Q6" i="47"/>
  <c r="R6" i="47"/>
  <c r="S6" i="47"/>
  <c r="S36" i="47" s="1"/>
  <c r="T6" i="47"/>
  <c r="U6" i="47"/>
  <c r="V6" i="47"/>
  <c r="W6" i="47"/>
  <c r="X6" i="47"/>
  <c r="Y6" i="47"/>
  <c r="Z6" i="47"/>
  <c r="AA6" i="47"/>
  <c r="AB6" i="47"/>
  <c r="AC6" i="47"/>
  <c r="AD6" i="47"/>
  <c r="AE6" i="47"/>
  <c r="AF6" i="47"/>
  <c r="D7" i="47"/>
  <c r="E7" i="47"/>
  <c r="F7" i="47"/>
  <c r="F37" i="47" s="1"/>
  <c r="G7" i="47"/>
  <c r="H7" i="47"/>
  <c r="I7" i="47"/>
  <c r="J7" i="47"/>
  <c r="K7" i="47"/>
  <c r="L7" i="47"/>
  <c r="M7" i="47"/>
  <c r="N7" i="47"/>
  <c r="O7" i="47"/>
  <c r="P7" i="47"/>
  <c r="Q7" i="47"/>
  <c r="R7" i="47"/>
  <c r="S7" i="47"/>
  <c r="T7" i="47"/>
  <c r="U7" i="47"/>
  <c r="V7" i="47"/>
  <c r="V37" i="47" s="1"/>
  <c r="W7" i="47"/>
  <c r="X7" i="47"/>
  <c r="Y7" i="47"/>
  <c r="Z7" i="47"/>
  <c r="AA7" i="47"/>
  <c r="AB7" i="47"/>
  <c r="AC7" i="47"/>
  <c r="AD7" i="47"/>
  <c r="AE7" i="47"/>
  <c r="AF7" i="47"/>
  <c r="D8" i="47"/>
  <c r="E8" i="47"/>
  <c r="F8" i="47"/>
  <c r="G8" i="47"/>
  <c r="H8" i="47"/>
  <c r="I8" i="47"/>
  <c r="J8" i="47"/>
  <c r="K8" i="47"/>
  <c r="L8" i="47"/>
  <c r="M8" i="47"/>
  <c r="N8" i="47"/>
  <c r="O8" i="47"/>
  <c r="P8" i="47"/>
  <c r="Q8" i="47"/>
  <c r="R8" i="47"/>
  <c r="S8" i="47"/>
  <c r="T8" i="47"/>
  <c r="U8" i="47"/>
  <c r="V8" i="47"/>
  <c r="W8" i="47"/>
  <c r="X8" i="47"/>
  <c r="Y8" i="47"/>
  <c r="Y38" i="47" s="1"/>
  <c r="Z8" i="47"/>
  <c r="AA8" i="47"/>
  <c r="AB8" i="47"/>
  <c r="AC8" i="47"/>
  <c r="AD8" i="47"/>
  <c r="AE8" i="47"/>
  <c r="AF8" i="47"/>
  <c r="D9" i="47"/>
  <c r="E9" i="47"/>
  <c r="F9" i="47"/>
  <c r="G9" i="47"/>
  <c r="H9" i="47"/>
  <c r="I9" i="47"/>
  <c r="J9" i="47"/>
  <c r="K9" i="47"/>
  <c r="L9" i="47"/>
  <c r="M9" i="47"/>
  <c r="N9" i="47"/>
  <c r="O9" i="47"/>
  <c r="P9" i="47"/>
  <c r="Q9" i="47"/>
  <c r="R9" i="47"/>
  <c r="S9" i="47"/>
  <c r="T9" i="47"/>
  <c r="U9" i="47"/>
  <c r="V9" i="47"/>
  <c r="W9" i="47"/>
  <c r="X9" i="47"/>
  <c r="Y9" i="47"/>
  <c r="Z9" i="47"/>
  <c r="AA9" i="47"/>
  <c r="AB9" i="47"/>
  <c r="AB189" i="47" s="1"/>
  <c r="AC9" i="47"/>
  <c r="AD9" i="47"/>
  <c r="AE9" i="47"/>
  <c r="AF9" i="47"/>
  <c r="D10" i="47"/>
  <c r="E10" i="47"/>
  <c r="F10" i="47"/>
  <c r="G10" i="47"/>
  <c r="H10" i="47"/>
  <c r="I10" i="47"/>
  <c r="J10" i="47"/>
  <c r="K10" i="47"/>
  <c r="L10" i="47"/>
  <c r="M10" i="47"/>
  <c r="N10" i="47"/>
  <c r="O10" i="47"/>
  <c r="O190" i="47" s="1"/>
  <c r="P10" i="47"/>
  <c r="Q10" i="47"/>
  <c r="R10" i="47"/>
  <c r="S10" i="47"/>
  <c r="T10" i="47"/>
  <c r="U10" i="47"/>
  <c r="V10" i="47"/>
  <c r="W10" i="47"/>
  <c r="X10" i="47"/>
  <c r="Y10" i="47"/>
  <c r="Z10" i="47"/>
  <c r="AA10" i="47"/>
  <c r="AB10" i="47"/>
  <c r="AC10" i="47"/>
  <c r="AD10" i="47"/>
  <c r="AE10" i="47"/>
  <c r="AF10" i="47"/>
  <c r="D11" i="47"/>
  <c r="E11" i="47"/>
  <c r="F11" i="47"/>
  <c r="G11" i="47"/>
  <c r="H11" i="47"/>
  <c r="I11" i="47"/>
  <c r="J11" i="47"/>
  <c r="K11" i="47"/>
  <c r="L11" i="47"/>
  <c r="M11" i="47"/>
  <c r="N11" i="47"/>
  <c r="O11" i="47"/>
  <c r="P11" i="47"/>
  <c r="Q11" i="47"/>
  <c r="R11" i="47"/>
  <c r="S11" i="47"/>
  <c r="T11" i="47"/>
  <c r="U11" i="47"/>
  <c r="V11" i="47"/>
  <c r="W11" i="47"/>
  <c r="X11" i="47"/>
  <c r="Y11" i="47"/>
  <c r="Z11" i="47"/>
  <c r="AA11" i="47"/>
  <c r="AB11" i="47"/>
  <c r="AC11" i="47"/>
  <c r="AD11" i="47"/>
  <c r="AE11" i="47"/>
  <c r="AF11" i="47"/>
  <c r="D12" i="47"/>
  <c r="E12" i="47"/>
  <c r="F12" i="47"/>
  <c r="G12" i="47"/>
  <c r="H12" i="47"/>
  <c r="I12" i="47"/>
  <c r="J12" i="47"/>
  <c r="K12" i="47"/>
  <c r="L12" i="47"/>
  <c r="M12" i="47"/>
  <c r="N12" i="47"/>
  <c r="O12" i="47"/>
  <c r="P12" i="47"/>
  <c r="Q12" i="47"/>
  <c r="R12" i="47"/>
  <c r="S12" i="47"/>
  <c r="T12" i="47"/>
  <c r="U12" i="47"/>
  <c r="V12" i="47"/>
  <c r="W12" i="47"/>
  <c r="X12" i="47"/>
  <c r="Y12" i="47"/>
  <c r="Z12" i="47"/>
  <c r="AA12" i="47"/>
  <c r="AB12" i="47"/>
  <c r="AC12" i="47"/>
  <c r="AD12" i="47"/>
  <c r="AE12" i="47"/>
  <c r="AF12" i="47"/>
  <c r="D13" i="47"/>
  <c r="E13" i="47"/>
  <c r="F13" i="47"/>
  <c r="G13" i="47"/>
  <c r="H13" i="47"/>
  <c r="I13" i="47"/>
  <c r="J13" i="47"/>
  <c r="K13" i="47"/>
  <c r="L13" i="47"/>
  <c r="M13" i="47"/>
  <c r="N13" i="47"/>
  <c r="O13" i="47"/>
  <c r="P13" i="47"/>
  <c r="Q13" i="47"/>
  <c r="R13" i="47"/>
  <c r="S13" i="47"/>
  <c r="T13" i="47"/>
  <c r="U13" i="47"/>
  <c r="V13" i="47"/>
  <c r="W13" i="47"/>
  <c r="X13" i="47"/>
  <c r="Y13" i="47"/>
  <c r="Z13" i="47"/>
  <c r="AA13" i="47"/>
  <c r="AB13" i="47"/>
  <c r="AC13" i="47"/>
  <c r="AD13" i="47"/>
  <c r="AE13" i="47"/>
  <c r="AF13" i="47"/>
  <c r="D14" i="47"/>
  <c r="E14" i="47"/>
  <c r="F14" i="47"/>
  <c r="G14" i="47"/>
  <c r="H14" i="47"/>
  <c r="I14" i="47"/>
  <c r="J14" i="47"/>
  <c r="K14" i="47"/>
  <c r="L14" i="47"/>
  <c r="M14" i="47"/>
  <c r="N14" i="47"/>
  <c r="O14" i="47"/>
  <c r="P14" i="47"/>
  <c r="Q14" i="47"/>
  <c r="R14" i="47"/>
  <c r="S14" i="47"/>
  <c r="T14" i="47"/>
  <c r="U14" i="47"/>
  <c r="V14" i="47"/>
  <c r="W14" i="47"/>
  <c r="X14" i="47"/>
  <c r="Y14" i="47"/>
  <c r="Z14" i="47"/>
  <c r="AA14" i="47"/>
  <c r="AB14" i="47"/>
  <c r="AC14" i="47"/>
  <c r="AD14" i="47"/>
  <c r="AE14" i="47"/>
  <c r="AF14" i="47"/>
  <c r="D15" i="47"/>
  <c r="E15" i="47"/>
  <c r="F15" i="47"/>
  <c r="G15" i="47"/>
  <c r="H15" i="47"/>
  <c r="I15" i="47"/>
  <c r="J15" i="47"/>
  <c r="K15" i="47"/>
  <c r="L15" i="47"/>
  <c r="M15" i="47"/>
  <c r="N15" i="47"/>
  <c r="N105" i="47" s="1"/>
  <c r="O15" i="47"/>
  <c r="P15" i="47"/>
  <c r="Q15" i="47"/>
  <c r="R15" i="47"/>
  <c r="S15" i="47"/>
  <c r="T15" i="47"/>
  <c r="U15" i="47"/>
  <c r="V15" i="47"/>
  <c r="W15" i="47"/>
  <c r="X15" i="47"/>
  <c r="Y15" i="47"/>
  <c r="Z15" i="47"/>
  <c r="AA15" i="47"/>
  <c r="AB15" i="47"/>
  <c r="AC15" i="47"/>
  <c r="AD15" i="47"/>
  <c r="AD105" i="47" s="1"/>
  <c r="AE15" i="47"/>
  <c r="AF15" i="47"/>
  <c r="D16" i="47"/>
  <c r="E16" i="47"/>
  <c r="F16" i="47"/>
  <c r="G16" i="47"/>
  <c r="H16" i="47"/>
  <c r="I16" i="47"/>
  <c r="J16" i="47"/>
  <c r="K16" i="47"/>
  <c r="L16" i="47"/>
  <c r="M16" i="47"/>
  <c r="N16" i="47"/>
  <c r="O16" i="47"/>
  <c r="P16" i="47"/>
  <c r="Q16" i="47"/>
  <c r="R16" i="47"/>
  <c r="S16" i="47"/>
  <c r="T16" i="47"/>
  <c r="U16" i="47"/>
  <c r="V16" i="47"/>
  <c r="W16" i="47"/>
  <c r="X16" i="47"/>
  <c r="Y16" i="47"/>
  <c r="Z16" i="47"/>
  <c r="AA16" i="47"/>
  <c r="AB16" i="47"/>
  <c r="AC16" i="47"/>
  <c r="AD16" i="47"/>
  <c r="AE16" i="47"/>
  <c r="AF16" i="47"/>
  <c r="D17" i="47"/>
  <c r="E17" i="47"/>
  <c r="F17" i="47"/>
  <c r="G17" i="47"/>
  <c r="H17" i="47"/>
  <c r="I17" i="47"/>
  <c r="J17" i="47"/>
  <c r="K17" i="47"/>
  <c r="L17" i="47"/>
  <c r="M17" i="47"/>
  <c r="N17" i="47"/>
  <c r="O17" i="47"/>
  <c r="P17" i="47"/>
  <c r="Q17" i="47"/>
  <c r="R17" i="47"/>
  <c r="S17" i="47"/>
  <c r="T17" i="47"/>
  <c r="U17" i="47"/>
  <c r="V17" i="47"/>
  <c r="W17" i="47"/>
  <c r="X17" i="47"/>
  <c r="Y17" i="47"/>
  <c r="Z17" i="47"/>
  <c r="AA17" i="47"/>
  <c r="AB17" i="47"/>
  <c r="AC17" i="47"/>
  <c r="AD17" i="47"/>
  <c r="AE17" i="47"/>
  <c r="AF17" i="47"/>
  <c r="D18" i="47"/>
  <c r="E18" i="47"/>
  <c r="F18" i="47"/>
  <c r="G18" i="47"/>
  <c r="H18" i="47"/>
  <c r="I18" i="47"/>
  <c r="J18" i="47"/>
  <c r="K18" i="47"/>
  <c r="L18" i="47"/>
  <c r="M18" i="47"/>
  <c r="N18" i="47"/>
  <c r="O18" i="47"/>
  <c r="P18" i="47"/>
  <c r="Q18" i="47"/>
  <c r="R18" i="47"/>
  <c r="S18" i="47"/>
  <c r="T18" i="47"/>
  <c r="U18" i="47"/>
  <c r="V18" i="47"/>
  <c r="W18" i="47"/>
  <c r="X18" i="47"/>
  <c r="Y18" i="47"/>
  <c r="Z18" i="47"/>
  <c r="AA18" i="47"/>
  <c r="AB18" i="47"/>
  <c r="AC18" i="47"/>
  <c r="AD18" i="47"/>
  <c r="AE18" i="47"/>
  <c r="AF18" i="47"/>
  <c r="D19" i="47"/>
  <c r="E19" i="47"/>
  <c r="F19" i="47"/>
  <c r="G19" i="47"/>
  <c r="H19" i="47"/>
  <c r="I19" i="47"/>
  <c r="J19" i="47"/>
  <c r="J49" i="47" s="1"/>
  <c r="K19" i="47"/>
  <c r="L19" i="47"/>
  <c r="M19" i="47"/>
  <c r="N19" i="47"/>
  <c r="O19" i="47"/>
  <c r="P19" i="47"/>
  <c r="Q19" i="47"/>
  <c r="R19" i="47"/>
  <c r="S19" i="47"/>
  <c r="T19" i="47"/>
  <c r="U19" i="47"/>
  <c r="V19" i="47"/>
  <c r="W19" i="47"/>
  <c r="X19" i="47"/>
  <c r="Y19" i="47"/>
  <c r="Z19" i="47"/>
  <c r="Z49" i="47" s="1"/>
  <c r="AA19" i="47"/>
  <c r="AB19" i="47"/>
  <c r="AC19" i="47"/>
  <c r="AD19" i="47"/>
  <c r="AE19" i="47"/>
  <c r="AF19" i="47"/>
  <c r="D20" i="47"/>
  <c r="E20" i="47"/>
  <c r="F20" i="47"/>
  <c r="G20" i="47"/>
  <c r="H20" i="47"/>
  <c r="I20" i="47"/>
  <c r="J20" i="47"/>
  <c r="K20" i="47"/>
  <c r="L20" i="47"/>
  <c r="M20" i="47"/>
  <c r="M50" i="47" s="1"/>
  <c r="N20" i="47"/>
  <c r="O20" i="47"/>
  <c r="P20" i="47"/>
  <c r="Q20" i="47"/>
  <c r="R20" i="47"/>
  <c r="S20" i="47"/>
  <c r="T20" i="47"/>
  <c r="U20" i="47"/>
  <c r="V20" i="47"/>
  <c r="W20" i="47"/>
  <c r="X20" i="47"/>
  <c r="Y20" i="47"/>
  <c r="Z20" i="47"/>
  <c r="AA20" i="47"/>
  <c r="AB20" i="47"/>
  <c r="AC20" i="47"/>
  <c r="AC50" i="47" s="1"/>
  <c r="AD20" i="47"/>
  <c r="AE20" i="47"/>
  <c r="AF20" i="47"/>
  <c r="D21" i="47"/>
  <c r="E21" i="47"/>
  <c r="F21" i="47"/>
  <c r="G21" i="47"/>
  <c r="H21" i="47"/>
  <c r="I21" i="47"/>
  <c r="J21" i="47"/>
  <c r="K21" i="47"/>
  <c r="L21" i="47"/>
  <c r="M21" i="47"/>
  <c r="N21" i="47"/>
  <c r="O21" i="47"/>
  <c r="P21" i="47"/>
  <c r="P51" i="47" s="1"/>
  <c r="Q21" i="47"/>
  <c r="R21" i="47"/>
  <c r="S21" i="47"/>
  <c r="T21" i="47"/>
  <c r="U21" i="47"/>
  <c r="V21" i="47"/>
  <c r="W21" i="47"/>
  <c r="X21" i="47"/>
  <c r="Y21" i="47"/>
  <c r="Z21" i="47"/>
  <c r="AA21" i="47"/>
  <c r="AB21" i="47"/>
  <c r="AC21" i="47"/>
  <c r="AD21" i="47"/>
  <c r="AE21" i="47"/>
  <c r="AF21" i="47"/>
  <c r="AF51" i="47" s="1"/>
  <c r="D22" i="47"/>
  <c r="E22" i="47"/>
  <c r="F22" i="47"/>
  <c r="G22" i="47"/>
  <c r="H22" i="47"/>
  <c r="I22" i="47"/>
  <c r="J22" i="47"/>
  <c r="K22" i="47"/>
  <c r="L22" i="47"/>
  <c r="M22" i="47"/>
  <c r="N22" i="47"/>
  <c r="O22" i="47"/>
  <c r="P22" i="47"/>
  <c r="Q22" i="47"/>
  <c r="R22" i="47"/>
  <c r="S22" i="47"/>
  <c r="T22" i="47"/>
  <c r="U22" i="47"/>
  <c r="V22" i="47"/>
  <c r="W22" i="47"/>
  <c r="X22" i="47"/>
  <c r="Y22" i="47"/>
  <c r="Z22" i="47"/>
  <c r="AA22" i="47"/>
  <c r="AB22" i="47"/>
  <c r="AC22" i="47"/>
  <c r="AD22" i="47"/>
  <c r="AE22" i="47"/>
  <c r="AF22" i="47"/>
  <c r="D23" i="47"/>
  <c r="E23" i="47"/>
  <c r="F23" i="47"/>
  <c r="F53" i="47" s="1"/>
  <c r="G23" i="47"/>
  <c r="H23" i="47"/>
  <c r="I23" i="47"/>
  <c r="J23" i="47"/>
  <c r="K23" i="47"/>
  <c r="L23" i="47"/>
  <c r="M23" i="47"/>
  <c r="N23" i="47"/>
  <c r="O23" i="47"/>
  <c r="P23" i="47"/>
  <c r="Q23" i="47"/>
  <c r="R23" i="47"/>
  <c r="S23" i="47"/>
  <c r="T23" i="47"/>
  <c r="U23" i="47"/>
  <c r="V23" i="47"/>
  <c r="W23" i="47"/>
  <c r="X23" i="47"/>
  <c r="Y23" i="47"/>
  <c r="Z23" i="47"/>
  <c r="AA23" i="47"/>
  <c r="AB23" i="47"/>
  <c r="AC23" i="47"/>
  <c r="AD23" i="47"/>
  <c r="AE23" i="47"/>
  <c r="AF23" i="47"/>
  <c r="D24" i="47"/>
  <c r="E24" i="47"/>
  <c r="F24" i="47"/>
  <c r="G24" i="47"/>
  <c r="H24" i="47"/>
  <c r="I24" i="47"/>
  <c r="J24" i="47"/>
  <c r="K24" i="47"/>
  <c r="L24" i="47"/>
  <c r="M24" i="47"/>
  <c r="N24" i="47"/>
  <c r="O24" i="47"/>
  <c r="P24" i="47"/>
  <c r="Q24" i="47"/>
  <c r="R24" i="47"/>
  <c r="S24" i="47"/>
  <c r="T24" i="47"/>
  <c r="U24" i="47"/>
  <c r="V24" i="47"/>
  <c r="W24" i="47"/>
  <c r="X24" i="47"/>
  <c r="Y24" i="47"/>
  <c r="Z24" i="47"/>
  <c r="AA24" i="47"/>
  <c r="AB24" i="47"/>
  <c r="AC24" i="47"/>
  <c r="AD24" i="47"/>
  <c r="AE24" i="47"/>
  <c r="AF24" i="47"/>
  <c r="D25" i="47"/>
  <c r="E25" i="47"/>
  <c r="F25" i="47"/>
  <c r="G25" i="47"/>
  <c r="H25" i="47"/>
  <c r="I25" i="47"/>
  <c r="J25" i="47"/>
  <c r="K25" i="47"/>
  <c r="L25" i="47"/>
  <c r="M25" i="47"/>
  <c r="N25" i="47"/>
  <c r="O25" i="47"/>
  <c r="P25" i="47"/>
  <c r="Q25" i="47"/>
  <c r="R25" i="47"/>
  <c r="S25" i="47"/>
  <c r="T25" i="47"/>
  <c r="U25" i="47"/>
  <c r="V25" i="47"/>
  <c r="W25" i="47"/>
  <c r="X25" i="47"/>
  <c r="Y25" i="47"/>
  <c r="Z25" i="47"/>
  <c r="AA25" i="47"/>
  <c r="AB25" i="47"/>
  <c r="AC25" i="47"/>
  <c r="AD25" i="47"/>
  <c r="AE25" i="47"/>
  <c r="AF25" i="47"/>
  <c r="D26" i="47"/>
  <c r="E26" i="47"/>
  <c r="F26" i="47"/>
  <c r="G26" i="47"/>
  <c r="H26" i="47"/>
  <c r="I26" i="47"/>
  <c r="J26" i="47"/>
  <c r="K26" i="47"/>
  <c r="L26" i="47"/>
  <c r="M26" i="47"/>
  <c r="N26" i="47"/>
  <c r="O26" i="47"/>
  <c r="P26" i="47"/>
  <c r="Q26" i="47"/>
  <c r="R26" i="47"/>
  <c r="S26" i="47"/>
  <c r="T26" i="47"/>
  <c r="U26" i="47"/>
  <c r="V26" i="47"/>
  <c r="W26" i="47"/>
  <c r="X26" i="47"/>
  <c r="Y26" i="47"/>
  <c r="Z26" i="47"/>
  <c r="AA26" i="47"/>
  <c r="AB26" i="47"/>
  <c r="AC26" i="47"/>
  <c r="AD26" i="47"/>
  <c r="AE26" i="47"/>
  <c r="AF26" i="47"/>
  <c r="D27" i="47"/>
  <c r="E27" i="47"/>
  <c r="F27" i="47"/>
  <c r="G27" i="47"/>
  <c r="H27" i="47"/>
  <c r="I27" i="47"/>
  <c r="J27" i="47"/>
  <c r="K27" i="47"/>
  <c r="L27" i="47"/>
  <c r="M27" i="47"/>
  <c r="N27" i="47"/>
  <c r="O27" i="47"/>
  <c r="P27" i="47"/>
  <c r="Q27" i="47"/>
  <c r="R27" i="47"/>
  <c r="S27" i="47"/>
  <c r="T27" i="47"/>
  <c r="U27" i="47"/>
  <c r="V27" i="47"/>
  <c r="W27" i="47"/>
  <c r="X27" i="47"/>
  <c r="Y27" i="47"/>
  <c r="Z27" i="47"/>
  <c r="AA27" i="47"/>
  <c r="AB27" i="47"/>
  <c r="AC27" i="47"/>
  <c r="AD27" i="47"/>
  <c r="AE27" i="47"/>
  <c r="AF27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R28" i="47"/>
  <c r="S28" i="47"/>
  <c r="T28" i="47"/>
  <c r="U28" i="47"/>
  <c r="V28" i="47"/>
  <c r="W28" i="47"/>
  <c r="X28" i="47"/>
  <c r="Y28" i="47"/>
  <c r="Z28" i="47"/>
  <c r="AA28" i="47"/>
  <c r="AB28" i="47"/>
  <c r="AC28" i="47"/>
  <c r="AD28" i="47"/>
  <c r="AE28" i="47"/>
  <c r="AF28" i="47"/>
  <c r="D29" i="47"/>
  <c r="E29" i="47"/>
  <c r="F29" i="47"/>
  <c r="G29" i="47"/>
  <c r="H29" i="47"/>
  <c r="I29" i="47"/>
  <c r="J29" i="47"/>
  <c r="K29" i="47"/>
  <c r="L29" i="47"/>
  <c r="M29" i="47"/>
  <c r="N29" i="47"/>
  <c r="O29" i="47"/>
  <c r="P29" i="47"/>
  <c r="Q29" i="47"/>
  <c r="R29" i="47"/>
  <c r="S29" i="47"/>
  <c r="T29" i="47"/>
  <c r="U29" i="47"/>
  <c r="V29" i="47"/>
  <c r="W29" i="47"/>
  <c r="X29" i="47"/>
  <c r="Y29" i="47"/>
  <c r="Z29" i="47"/>
  <c r="AA29" i="47"/>
  <c r="AB29" i="47"/>
  <c r="AC29" i="47"/>
  <c r="AD29" i="47"/>
  <c r="AE29" i="47"/>
  <c r="AF29" i="47"/>
  <c r="D30" i="47"/>
  <c r="E30" i="47"/>
  <c r="F30" i="47"/>
  <c r="G30" i="47"/>
  <c r="H30" i="47"/>
  <c r="I30" i="47"/>
  <c r="J30" i="47"/>
  <c r="K30" i="47"/>
  <c r="L30" i="47"/>
  <c r="M30" i="47"/>
  <c r="N30" i="47"/>
  <c r="O30" i="47"/>
  <c r="P30" i="47"/>
  <c r="Q30" i="47"/>
  <c r="R30" i="47"/>
  <c r="S30" i="47"/>
  <c r="T30" i="47"/>
  <c r="U30" i="47"/>
  <c r="V30" i="47"/>
  <c r="W30" i="47"/>
  <c r="X30" i="47"/>
  <c r="Y30" i="47"/>
  <c r="Z30" i="47"/>
  <c r="AA30" i="47"/>
  <c r="AB30" i="47"/>
  <c r="AC30" i="47"/>
  <c r="AD30" i="47"/>
  <c r="AE30" i="47"/>
  <c r="AF30" i="47"/>
  <c r="D31" i="47"/>
  <c r="E31" i="47"/>
  <c r="F31" i="47"/>
  <c r="G31" i="47"/>
  <c r="H31" i="47"/>
  <c r="I31" i="47"/>
  <c r="J31" i="47"/>
  <c r="K31" i="47"/>
  <c r="L31" i="47"/>
  <c r="M31" i="47"/>
  <c r="N31" i="47"/>
  <c r="O31" i="47"/>
  <c r="P31" i="47"/>
  <c r="Q31" i="47"/>
  <c r="R31" i="47"/>
  <c r="S31" i="47"/>
  <c r="T31" i="47"/>
  <c r="U31" i="47"/>
  <c r="V31" i="47"/>
  <c r="W31" i="47"/>
  <c r="X31" i="47"/>
  <c r="Y31" i="47"/>
  <c r="Z31" i="47"/>
  <c r="AA31" i="47"/>
  <c r="AB31" i="47"/>
  <c r="AB121" i="47" s="1"/>
  <c r="AC31" i="47"/>
  <c r="AD31" i="47"/>
  <c r="AD121" i="47" s="1"/>
  <c r="AE31" i="47"/>
  <c r="AF31" i="47"/>
  <c r="D32" i="47"/>
  <c r="E32" i="47"/>
  <c r="F32" i="47"/>
  <c r="G32" i="47"/>
  <c r="H32" i="47"/>
  <c r="I32" i="47"/>
  <c r="J32" i="47"/>
  <c r="K32" i="47"/>
  <c r="L32" i="47"/>
  <c r="M32" i="47"/>
  <c r="N32" i="47"/>
  <c r="O32" i="47"/>
  <c r="P32" i="47"/>
  <c r="Q32" i="47"/>
  <c r="Q62" i="47" s="1"/>
  <c r="R32" i="47"/>
  <c r="S32" i="47"/>
  <c r="T32" i="47"/>
  <c r="U32" i="47"/>
  <c r="V32" i="47"/>
  <c r="W32" i="47"/>
  <c r="X32" i="47"/>
  <c r="Y32" i="47"/>
  <c r="Z32" i="47"/>
  <c r="AA32" i="47"/>
  <c r="AB32" i="47"/>
  <c r="AC32" i="47"/>
  <c r="AD32" i="47"/>
  <c r="AE32" i="47"/>
  <c r="AF32" i="47"/>
  <c r="D33" i="47"/>
  <c r="D63" i="47" s="1"/>
  <c r="E33" i="47"/>
  <c r="F33" i="47"/>
  <c r="G33" i="47"/>
  <c r="H33" i="47"/>
  <c r="I33" i="47"/>
  <c r="J33" i="47"/>
  <c r="K33" i="47"/>
  <c r="L33" i="47"/>
  <c r="M33" i="47"/>
  <c r="N33" i="47"/>
  <c r="O33" i="47"/>
  <c r="P33" i="47"/>
  <c r="Q33" i="47"/>
  <c r="R33" i="47"/>
  <c r="S33" i="47"/>
  <c r="T33" i="47"/>
  <c r="U33" i="47"/>
  <c r="V33" i="47"/>
  <c r="W33" i="47"/>
  <c r="X33" i="47"/>
  <c r="Y33" i="47"/>
  <c r="Z33" i="47"/>
  <c r="AA33" i="47"/>
  <c r="AB33" i="47"/>
  <c r="AC33" i="47"/>
  <c r="AD33" i="47"/>
  <c r="AE33" i="47"/>
  <c r="AF33" i="47"/>
  <c r="D34" i="47"/>
  <c r="E34" i="47"/>
  <c r="F34" i="47"/>
  <c r="G34" i="47"/>
  <c r="G64" i="47" s="1"/>
  <c r="H34" i="47"/>
  <c r="I34" i="47"/>
  <c r="J34" i="47"/>
  <c r="K34" i="47"/>
  <c r="L34" i="47"/>
  <c r="M34" i="47"/>
  <c r="N34" i="47"/>
  <c r="O34" i="47"/>
  <c r="P34" i="47"/>
  <c r="Q34" i="47"/>
  <c r="R34" i="47"/>
  <c r="S34" i="47"/>
  <c r="T34" i="47"/>
  <c r="U34" i="47"/>
  <c r="V34" i="47"/>
  <c r="W34" i="47"/>
  <c r="W64" i="47" s="1"/>
  <c r="X34" i="47"/>
  <c r="Y34" i="47"/>
  <c r="Z34" i="47"/>
  <c r="AA34" i="47"/>
  <c r="AB34" i="47"/>
  <c r="AC34" i="47"/>
  <c r="AD34" i="47"/>
  <c r="AE34" i="47"/>
  <c r="AF34" i="47"/>
  <c r="D35" i="47"/>
  <c r="E35" i="47"/>
  <c r="F35" i="47"/>
  <c r="G35" i="47"/>
  <c r="H35" i="47"/>
  <c r="I35" i="47"/>
  <c r="J35" i="47"/>
  <c r="J65" i="47" s="1"/>
  <c r="K35" i="47"/>
  <c r="L35" i="47"/>
  <c r="M35" i="47"/>
  <c r="N35" i="47"/>
  <c r="O35" i="47"/>
  <c r="P35" i="47"/>
  <c r="Q35" i="47"/>
  <c r="R35" i="47"/>
  <c r="S35" i="47"/>
  <c r="T35" i="47"/>
  <c r="U35" i="47"/>
  <c r="V35" i="47"/>
  <c r="V65" i="47" s="1"/>
  <c r="W35" i="47"/>
  <c r="X35" i="47"/>
  <c r="Y35" i="47"/>
  <c r="Z35" i="47"/>
  <c r="Z65" i="47" s="1"/>
  <c r="AA35" i="47"/>
  <c r="AB35" i="47"/>
  <c r="AC35" i="47"/>
  <c r="AD35" i="47"/>
  <c r="AE35" i="47"/>
  <c r="AF35" i="47"/>
  <c r="C7" i="47"/>
  <c r="C8" i="47"/>
  <c r="C9" i="47"/>
  <c r="C10" i="47"/>
  <c r="C160" i="47" s="1"/>
  <c r="C11" i="47"/>
  <c r="C12" i="47"/>
  <c r="C13" i="47"/>
  <c r="C14" i="47"/>
  <c r="C15" i="47"/>
  <c r="C16" i="47"/>
  <c r="C17" i="47"/>
  <c r="C18" i="47"/>
  <c r="C19" i="47"/>
  <c r="C20" i="47"/>
  <c r="C21" i="47"/>
  <c r="C22" i="47"/>
  <c r="C52" i="47" s="1"/>
  <c r="C23" i="47"/>
  <c r="C24" i="47"/>
  <c r="C25" i="47"/>
  <c r="C26" i="47"/>
  <c r="C27" i="47"/>
  <c r="C28" i="47"/>
  <c r="C29" i="47"/>
  <c r="C30" i="47"/>
  <c r="C31" i="47"/>
  <c r="C32" i="47"/>
  <c r="C33" i="47"/>
  <c r="C34" i="47"/>
  <c r="C64" i="47" s="1"/>
  <c r="C35" i="47"/>
  <c r="C6" i="47"/>
  <c r="W159" i="47"/>
  <c r="V117" i="47"/>
  <c r="T117" i="47"/>
  <c r="N113" i="47"/>
  <c r="L113" i="47"/>
  <c r="F109" i="47"/>
  <c r="D109" i="47"/>
  <c r="AB104" i="47"/>
  <c r="Z104" i="47"/>
  <c r="T100" i="47"/>
  <c r="R100" i="47"/>
  <c r="L96" i="47"/>
  <c r="J96" i="47"/>
  <c r="U65" i="47"/>
  <c r="E65" i="47"/>
  <c r="D65" i="47"/>
  <c r="R64" i="47"/>
  <c r="Q64" i="47"/>
  <c r="AE63" i="47"/>
  <c r="AD63" i="47"/>
  <c r="N63" i="47"/>
  <c r="M63" i="47"/>
  <c r="AA62" i="47"/>
  <c r="Z62" i="47"/>
  <c r="J62" i="47"/>
  <c r="I62" i="47"/>
  <c r="E61" i="47"/>
  <c r="S60" i="47"/>
  <c r="R60" i="47"/>
  <c r="AF59" i="47"/>
  <c r="AD59" i="47"/>
  <c r="N59" i="47"/>
  <c r="M59" i="47"/>
  <c r="AA58" i="47"/>
  <c r="Z58" i="47"/>
  <c r="J58" i="47"/>
  <c r="I58" i="47"/>
  <c r="W57" i="47"/>
  <c r="V57" i="47"/>
  <c r="F57" i="47"/>
  <c r="E57" i="47"/>
  <c r="S56" i="47"/>
  <c r="R56" i="47"/>
  <c r="AF55" i="47"/>
  <c r="AE55" i="47"/>
  <c r="O55" i="47"/>
  <c r="N55" i="47"/>
  <c r="AB54" i="47"/>
  <c r="AA54" i="47"/>
  <c r="K54" i="47"/>
  <c r="J54" i="47"/>
  <c r="X53" i="47"/>
  <c r="W53" i="47"/>
  <c r="S52" i="47"/>
  <c r="N51" i="47"/>
  <c r="AB50" i="47"/>
  <c r="L50" i="47"/>
  <c r="AA49" i="47"/>
  <c r="K49" i="47"/>
  <c r="Y48" i="47"/>
  <c r="X48" i="47"/>
  <c r="I48" i="47"/>
  <c r="H48" i="47"/>
  <c r="W47" i="47"/>
  <c r="V47" i="47"/>
  <c r="G47" i="47"/>
  <c r="F47" i="47"/>
  <c r="U46" i="47"/>
  <c r="T46" i="47"/>
  <c r="E46" i="47"/>
  <c r="D46" i="47"/>
  <c r="S45" i="47"/>
  <c r="R45" i="47"/>
  <c r="C45" i="47"/>
  <c r="AF44" i="47"/>
  <c r="Q44" i="47"/>
  <c r="P44" i="47"/>
  <c r="AE43" i="47"/>
  <c r="AD43" i="47"/>
  <c r="O43" i="47"/>
  <c r="N43" i="47"/>
  <c r="AC42" i="47"/>
  <c r="AB42" i="47"/>
  <c r="M42" i="47"/>
  <c r="L42" i="47"/>
  <c r="AA41" i="47"/>
  <c r="Z41" i="47"/>
  <c r="K41" i="47"/>
  <c r="J41" i="47"/>
  <c r="Y40" i="47"/>
  <c r="X40" i="47"/>
  <c r="I40" i="47"/>
  <c r="I70" i="47" s="1"/>
  <c r="H40" i="47"/>
  <c r="W39" i="47"/>
  <c r="V39" i="47"/>
  <c r="G39" i="47"/>
  <c r="F39" i="47"/>
  <c r="U38" i="47"/>
  <c r="T38" i="47"/>
  <c r="E38" i="47"/>
  <c r="D38" i="47"/>
  <c r="S37" i="47"/>
  <c r="R37" i="47"/>
  <c r="C37" i="47"/>
  <c r="AF36" i="47"/>
  <c r="Q36" i="47"/>
  <c r="P36" i="47"/>
  <c r="AD65" i="47"/>
  <c r="AC65" i="47"/>
  <c r="AB65" i="47"/>
  <c r="Y65" i="47"/>
  <c r="X65" i="47"/>
  <c r="W65" i="47"/>
  <c r="M65" i="47"/>
  <c r="L65" i="47"/>
  <c r="I65" i="47"/>
  <c r="H65" i="47"/>
  <c r="G65" i="47"/>
  <c r="F65" i="47"/>
  <c r="AA64" i="47"/>
  <c r="Z64" i="47"/>
  <c r="X64" i="47"/>
  <c r="V64" i="47"/>
  <c r="U64" i="47"/>
  <c r="T64" i="47"/>
  <c r="S64" i="47"/>
  <c r="L64" i="47"/>
  <c r="K64" i="47"/>
  <c r="J64" i="47"/>
  <c r="H64" i="47"/>
  <c r="F64" i="47"/>
  <c r="E64" i="47"/>
  <c r="D64" i="47"/>
  <c r="AF63" i="47"/>
  <c r="AA63" i="47"/>
  <c r="Y63" i="47"/>
  <c r="X63" i="47"/>
  <c r="V63" i="47"/>
  <c r="U63" i="47"/>
  <c r="T63" i="47"/>
  <c r="S63" i="47"/>
  <c r="R123" i="47"/>
  <c r="Q63" i="47"/>
  <c r="P63" i="47"/>
  <c r="O63" i="47"/>
  <c r="I63" i="47"/>
  <c r="H63" i="47"/>
  <c r="F63" i="47"/>
  <c r="E63" i="47"/>
  <c r="C63" i="47"/>
  <c r="AF62" i="47"/>
  <c r="AE62" i="47"/>
  <c r="AD122" i="47"/>
  <c r="AC62" i="47"/>
  <c r="AB62" i="47"/>
  <c r="W62" i="47"/>
  <c r="V62" i="47"/>
  <c r="T62" i="47"/>
  <c r="S62" i="47"/>
  <c r="R62" i="47"/>
  <c r="P62" i="47"/>
  <c r="O62" i="47"/>
  <c r="N62" i="47"/>
  <c r="M62" i="47"/>
  <c r="L62" i="47"/>
  <c r="K62" i="47"/>
  <c r="G62" i="47"/>
  <c r="F62" i="47"/>
  <c r="W61" i="47"/>
  <c r="G61" i="47"/>
  <c r="U60" i="47"/>
  <c r="T60" i="47"/>
  <c r="S210" i="47"/>
  <c r="E60" i="47"/>
  <c r="D60" i="47"/>
  <c r="C60" i="47"/>
  <c r="AC209" i="47"/>
  <c r="R59" i="47"/>
  <c r="Q59" i="47"/>
  <c r="P59" i="47"/>
  <c r="J119" i="47"/>
  <c r="C59" i="47"/>
  <c r="AF58" i="47"/>
  <c r="AE58" i="47"/>
  <c r="AD58" i="47"/>
  <c r="AB58" i="47"/>
  <c r="X118" i="47"/>
  <c r="V118" i="47"/>
  <c r="Q58" i="47"/>
  <c r="P58" i="47"/>
  <c r="O58" i="47"/>
  <c r="N58" i="47"/>
  <c r="L58" i="47"/>
  <c r="K58" i="47"/>
  <c r="H118" i="47"/>
  <c r="F118" i="47"/>
  <c r="AE57" i="47"/>
  <c r="AC57" i="47"/>
  <c r="AB57" i="47"/>
  <c r="Z57" i="47"/>
  <c r="Y57" i="47"/>
  <c r="X57" i="47"/>
  <c r="O57" i="47"/>
  <c r="M57" i="47"/>
  <c r="L57" i="47"/>
  <c r="J57" i="47"/>
  <c r="I57" i="47"/>
  <c r="H57" i="47"/>
  <c r="G57" i="47"/>
  <c r="AB56" i="47"/>
  <c r="AA56" i="47"/>
  <c r="Z56" i="47"/>
  <c r="X56" i="47"/>
  <c r="W56" i="47"/>
  <c r="V56" i="47"/>
  <c r="U56" i="47"/>
  <c r="T56" i="47"/>
  <c r="K56" i="47"/>
  <c r="J56" i="47"/>
  <c r="H56" i="47"/>
  <c r="G56" i="47"/>
  <c r="F56" i="47"/>
  <c r="E56" i="47"/>
  <c r="D56" i="47"/>
  <c r="C56" i="47"/>
  <c r="Z55" i="47"/>
  <c r="Y55" i="47"/>
  <c r="X55" i="47"/>
  <c r="V55" i="47"/>
  <c r="U55" i="47"/>
  <c r="T55" i="47"/>
  <c r="S55" i="47"/>
  <c r="R55" i="47"/>
  <c r="Q55" i="47"/>
  <c r="P55" i="47"/>
  <c r="I55" i="47"/>
  <c r="H55" i="47"/>
  <c r="F55" i="47"/>
  <c r="E55" i="47"/>
  <c r="D55" i="47"/>
  <c r="C55" i="47"/>
  <c r="AF204" i="47"/>
  <c r="AE54" i="47"/>
  <c r="AD54" i="47"/>
  <c r="AC54" i="47"/>
  <c r="W54" i="47"/>
  <c r="V54" i="47"/>
  <c r="T54" i="47"/>
  <c r="S54" i="47"/>
  <c r="R54" i="47"/>
  <c r="Q54" i="47"/>
  <c r="P54" i="47"/>
  <c r="O54" i="47"/>
  <c r="N114" i="47"/>
  <c r="M54" i="47"/>
  <c r="L54" i="47"/>
  <c r="G54" i="47"/>
  <c r="F54" i="47"/>
  <c r="D54" i="47"/>
  <c r="C54" i="47"/>
  <c r="AF53" i="47"/>
  <c r="AE53" i="47"/>
  <c r="AD53" i="47"/>
  <c r="AC53" i="47"/>
  <c r="AB53" i="47"/>
  <c r="AA53" i="47"/>
  <c r="Z53" i="47"/>
  <c r="Y53" i="47"/>
  <c r="U53" i="47"/>
  <c r="T53" i="47"/>
  <c r="G53" i="47"/>
  <c r="U52" i="47"/>
  <c r="T52" i="47"/>
  <c r="E52" i="47"/>
  <c r="D52" i="47"/>
  <c r="S51" i="47"/>
  <c r="R51" i="47"/>
  <c r="Q51" i="47"/>
  <c r="C51" i="47"/>
  <c r="AF50" i="47"/>
  <c r="AE50" i="47"/>
  <c r="AD50" i="47"/>
  <c r="X110" i="47"/>
  <c r="Q50" i="47"/>
  <c r="P50" i="47"/>
  <c r="O50" i="47"/>
  <c r="N50" i="47"/>
  <c r="H110" i="47"/>
  <c r="F110" i="47"/>
  <c r="AE49" i="47"/>
  <c r="AD49" i="47"/>
  <c r="AC49" i="47"/>
  <c r="AB49" i="47"/>
  <c r="AA199" i="47"/>
  <c r="V109" i="47"/>
  <c r="T109" i="47"/>
  <c r="O49" i="47"/>
  <c r="N49" i="47"/>
  <c r="M49" i="47"/>
  <c r="L49" i="47"/>
  <c r="I199" i="47"/>
  <c r="AA48" i="47"/>
  <c r="Z48" i="47"/>
  <c r="L48" i="47"/>
  <c r="K48" i="47"/>
  <c r="J48" i="47"/>
  <c r="AA47" i="47"/>
  <c r="Z47" i="47"/>
  <c r="Y47" i="47"/>
  <c r="X47" i="47"/>
  <c r="K47" i="47"/>
  <c r="J47" i="47"/>
  <c r="I47" i="47"/>
  <c r="H47" i="47"/>
  <c r="X46" i="47"/>
  <c r="W46" i="47"/>
  <c r="V46" i="47"/>
  <c r="P106" i="47"/>
  <c r="I46" i="47"/>
  <c r="G46" i="47"/>
  <c r="F46" i="47"/>
  <c r="AB105" i="47"/>
  <c r="W45" i="47"/>
  <c r="V45" i="47"/>
  <c r="U45" i="47"/>
  <c r="T45" i="47"/>
  <c r="L105" i="47"/>
  <c r="G45" i="47"/>
  <c r="E45" i="47"/>
  <c r="D45" i="47"/>
  <c r="AF194" i="47"/>
  <c r="Z164" i="47"/>
  <c r="T44" i="47"/>
  <c r="S44" i="47"/>
  <c r="R44" i="47"/>
  <c r="O194" i="47"/>
  <c r="J164" i="47"/>
  <c r="E44" i="47"/>
  <c r="D44" i="47"/>
  <c r="C44" i="47"/>
  <c r="AF43" i="47"/>
  <c r="S43" i="47"/>
  <c r="R43" i="47"/>
  <c r="Q43" i="47"/>
  <c r="P43" i="47"/>
  <c r="C43" i="47"/>
  <c r="AF42" i="47"/>
  <c r="AE42" i="47"/>
  <c r="AD42" i="47"/>
  <c r="Q42" i="47"/>
  <c r="P42" i="47"/>
  <c r="O42" i="47"/>
  <c r="N42" i="47"/>
  <c r="H102" i="47"/>
  <c r="AD41" i="47"/>
  <c r="AC41" i="47"/>
  <c r="AB41" i="47"/>
  <c r="Y161" i="47"/>
  <c r="V101" i="47"/>
  <c r="T101" i="47"/>
  <c r="O41" i="47"/>
  <c r="N41" i="47"/>
  <c r="M41" i="47"/>
  <c r="L41" i="47"/>
  <c r="F101" i="47"/>
  <c r="D101" i="47"/>
  <c r="AB40" i="47"/>
  <c r="AA40" i="47"/>
  <c r="Z40" i="47"/>
  <c r="M40" i="47"/>
  <c r="L40" i="47"/>
  <c r="K40" i="47"/>
  <c r="J40" i="47"/>
  <c r="AA39" i="47"/>
  <c r="Z39" i="47"/>
  <c r="Y39" i="47"/>
  <c r="X39" i="47"/>
  <c r="K39" i="47"/>
  <c r="J39" i="47"/>
  <c r="I39" i="47"/>
  <c r="H39" i="47"/>
  <c r="AA38" i="47"/>
  <c r="X38" i="47"/>
  <c r="W38" i="47"/>
  <c r="V38" i="47"/>
  <c r="K38" i="47"/>
  <c r="G38" i="47"/>
  <c r="F38" i="47"/>
  <c r="AD97" i="47"/>
  <c r="Y37" i="47"/>
  <c r="W37" i="47"/>
  <c r="U37" i="47"/>
  <c r="T37" i="47"/>
  <c r="N97" i="47"/>
  <c r="M217" i="47"/>
  <c r="L97" i="47"/>
  <c r="K37" i="47"/>
  <c r="J37" i="47"/>
  <c r="E37" i="47"/>
  <c r="D37" i="47"/>
  <c r="AE156" i="47"/>
  <c r="AB96" i="47"/>
  <c r="AA36" i="47"/>
  <c r="Z96" i="47"/>
  <c r="W36" i="47"/>
  <c r="U36" i="47"/>
  <c r="T36" i="47"/>
  <c r="R36" i="47"/>
  <c r="I36" i="47"/>
  <c r="H36" i="47"/>
  <c r="E36" i="47"/>
  <c r="C36" i="47"/>
  <c r="E930" i="75"/>
  <c r="H910" i="75"/>
  <c r="H868" i="75"/>
  <c r="H836" i="75"/>
  <c r="H802" i="75"/>
  <c r="H769" i="75"/>
  <c r="H737" i="75"/>
  <c r="H706" i="75"/>
  <c r="D686" i="75"/>
  <c r="H664" i="75"/>
  <c r="H630" i="75"/>
  <c r="H603" i="75"/>
  <c r="H574" i="75"/>
  <c r="H543" i="75"/>
  <c r="H509" i="75"/>
  <c r="H475" i="75"/>
  <c r="H438" i="75"/>
  <c r="H406" i="75"/>
  <c r="H373" i="75"/>
  <c r="H338" i="75"/>
  <c r="H304" i="75"/>
  <c r="H269" i="75"/>
  <c r="H237" i="75"/>
  <c r="H206" i="75"/>
  <c r="H168" i="75"/>
  <c r="H131" i="75"/>
  <c r="H107" i="75"/>
  <c r="H74" i="75"/>
  <c r="H39" i="75"/>
  <c r="H38" i="75"/>
  <c r="H7" i="75"/>
  <c r="H6" i="75"/>
  <c r="P478" i="66"/>
  <c r="P470" i="66"/>
  <c r="P462" i="66"/>
  <c r="P454" i="66"/>
  <c r="P446" i="66"/>
  <c r="P438" i="66"/>
  <c r="P430" i="66"/>
  <c r="P422" i="66"/>
  <c r="P414" i="66"/>
  <c r="P406" i="66"/>
  <c r="P398" i="66"/>
  <c r="P390" i="66"/>
  <c r="P382" i="66"/>
  <c r="P374" i="66"/>
  <c r="P366" i="66"/>
  <c r="P358" i="66"/>
  <c r="P350" i="66"/>
  <c r="P342" i="66"/>
  <c r="P334" i="66"/>
  <c r="P326" i="66"/>
  <c r="P318" i="66"/>
  <c r="P310" i="66"/>
  <c r="P302" i="66"/>
  <c r="P294" i="66"/>
  <c r="P286" i="66"/>
  <c r="P278" i="66"/>
  <c r="P270" i="66"/>
  <c r="P262" i="66"/>
  <c r="P254" i="66"/>
  <c r="P246" i="66"/>
  <c r="C218" i="31"/>
  <c r="C220" i="31" s="1"/>
  <c r="D220" i="31" s="1"/>
  <c r="E220" i="31" s="1"/>
  <c r="F220" i="31" s="1"/>
  <c r="G220" i="31" s="1"/>
  <c r="J223" i="31"/>
  <c r="I223" i="31"/>
  <c r="H223" i="31"/>
  <c r="G223" i="31"/>
  <c r="F223" i="31"/>
  <c r="E223" i="31"/>
  <c r="D223" i="31"/>
  <c r="C223" i="31"/>
  <c r="C225" i="31" s="1"/>
  <c r="D225" i="31" s="1"/>
  <c r="E225" i="31" s="1"/>
  <c r="F225" i="31" s="1"/>
  <c r="G225" i="31" s="1"/>
  <c r="H225" i="31" s="1"/>
  <c r="I225" i="31" s="1"/>
  <c r="J225" i="31" s="1"/>
  <c r="J218" i="31"/>
  <c r="I218" i="31"/>
  <c r="H218" i="31"/>
  <c r="G218" i="31"/>
  <c r="F218" i="31"/>
  <c r="E218" i="31"/>
  <c r="D218" i="31"/>
  <c r="T92" i="47" l="1"/>
  <c r="AA349" i="47"/>
  <c r="R66" i="47"/>
  <c r="Z70" i="47"/>
  <c r="H77" i="47"/>
  <c r="X77" i="47"/>
  <c r="J78" i="47"/>
  <c r="Z78" i="47"/>
  <c r="L79" i="47"/>
  <c r="AB79" i="47"/>
  <c r="N80" i="47"/>
  <c r="AD80" i="47"/>
  <c r="T83" i="47"/>
  <c r="F84" i="47"/>
  <c r="V84" i="47"/>
  <c r="H85" i="47"/>
  <c r="X85" i="47"/>
  <c r="J86" i="47"/>
  <c r="Z86" i="47"/>
  <c r="L87" i="47"/>
  <c r="AB87" i="47"/>
  <c r="N88" i="47"/>
  <c r="AD88" i="47"/>
  <c r="P89" i="47"/>
  <c r="F92" i="47"/>
  <c r="V92" i="47"/>
  <c r="H93" i="47"/>
  <c r="X93" i="47"/>
  <c r="J94" i="47"/>
  <c r="Z94" i="47"/>
  <c r="L95" i="47"/>
  <c r="AB95" i="47"/>
  <c r="AF344" i="47"/>
  <c r="Z95" i="47"/>
  <c r="X69" i="47"/>
  <c r="G68" i="47"/>
  <c r="I77" i="47"/>
  <c r="O80" i="47"/>
  <c r="U83" i="47"/>
  <c r="AC87" i="47"/>
  <c r="O88" i="47"/>
  <c r="AE88" i="47"/>
  <c r="Q89" i="47"/>
  <c r="C90" i="47"/>
  <c r="S360" i="47"/>
  <c r="G92" i="47"/>
  <c r="W92" i="47"/>
  <c r="I93" i="47"/>
  <c r="Y93" i="47"/>
  <c r="K94" i="47"/>
  <c r="AA94" i="47"/>
  <c r="M95" i="47"/>
  <c r="AC95" i="47"/>
  <c r="D84" i="47"/>
  <c r="X94" i="47"/>
  <c r="P73" i="47"/>
  <c r="Y69" i="47"/>
  <c r="S74" i="47"/>
  <c r="K78" i="47"/>
  <c r="T66" i="47"/>
  <c r="L70" i="47"/>
  <c r="T74" i="47"/>
  <c r="N79" i="47"/>
  <c r="P80" i="47"/>
  <c r="AF80" i="47"/>
  <c r="R81" i="47"/>
  <c r="D82" i="47"/>
  <c r="T82" i="47"/>
  <c r="F83" i="47"/>
  <c r="Z85" i="47"/>
  <c r="AB86" i="47"/>
  <c r="P88" i="47"/>
  <c r="AF88" i="47"/>
  <c r="R89" i="47"/>
  <c r="D90" i="47"/>
  <c r="T90" i="47"/>
  <c r="L94" i="47"/>
  <c r="AD95" i="47"/>
  <c r="H86" i="47"/>
  <c r="AD72" i="47"/>
  <c r="M71" i="47"/>
  <c r="AA78" i="47"/>
  <c r="G84" i="47"/>
  <c r="AB70" i="47"/>
  <c r="L78" i="47"/>
  <c r="AA69" i="47"/>
  <c r="I76" i="47"/>
  <c r="Q80" i="47"/>
  <c r="G83" i="47"/>
  <c r="AE87" i="47"/>
  <c r="C89" i="47"/>
  <c r="E90" i="47"/>
  <c r="U90" i="47"/>
  <c r="W91" i="47"/>
  <c r="AA93" i="47"/>
  <c r="V93" i="47"/>
  <c r="D67" i="47"/>
  <c r="AF73" i="47"/>
  <c r="E67" i="47"/>
  <c r="E75" i="47"/>
  <c r="I85" i="47"/>
  <c r="P72" i="47"/>
  <c r="E66" i="47"/>
  <c r="Q72" i="47"/>
  <c r="AA77" i="47"/>
  <c r="U82" i="47"/>
  <c r="O87" i="47"/>
  <c r="Q88" i="47"/>
  <c r="G91" i="47"/>
  <c r="X86" i="47"/>
  <c r="AB71" i="47"/>
  <c r="I69" i="47"/>
  <c r="W76" i="47"/>
  <c r="Y85" i="47"/>
  <c r="F67" i="47"/>
  <c r="Z69" i="47"/>
  <c r="D74" i="47"/>
  <c r="Z77" i="47"/>
  <c r="U66" i="47"/>
  <c r="K69" i="47"/>
  <c r="S73" i="47"/>
  <c r="W75" i="47"/>
  <c r="AE79" i="47"/>
  <c r="E82" i="47"/>
  <c r="W66" i="47"/>
  <c r="Y67" i="47"/>
  <c r="K68" i="47"/>
  <c r="AA68" i="47"/>
  <c r="Y83" i="47"/>
  <c r="K92" i="47"/>
  <c r="T84" i="47"/>
  <c r="J87" i="47"/>
  <c r="J70" i="47"/>
  <c r="F76" i="47"/>
  <c r="K70" i="47"/>
  <c r="G76" i="47"/>
  <c r="AC79" i="47"/>
  <c r="Q81" i="47"/>
  <c r="AA86" i="47"/>
  <c r="J69" i="47"/>
  <c r="AD71" i="47"/>
  <c r="R73" i="47"/>
  <c r="V75" i="47"/>
  <c r="AD79" i="47"/>
  <c r="Y68" i="47"/>
  <c r="M70" i="47"/>
  <c r="E74" i="47"/>
  <c r="O79" i="47"/>
  <c r="S81" i="47"/>
  <c r="H66" i="47"/>
  <c r="J67" i="47"/>
  <c r="Z83" i="47"/>
  <c r="L84" i="47"/>
  <c r="L92" i="47"/>
  <c r="AB92" i="47"/>
  <c r="AB88" i="47"/>
  <c r="L71" i="47"/>
  <c r="C66" i="47"/>
  <c r="U67" i="47"/>
  <c r="O72" i="47"/>
  <c r="Y77" i="47"/>
  <c r="AE80" i="47"/>
  <c r="M87" i="47"/>
  <c r="V67" i="47"/>
  <c r="X68" i="47"/>
  <c r="N71" i="47"/>
  <c r="AF72" i="47"/>
  <c r="X76" i="47"/>
  <c r="J77" i="47"/>
  <c r="W67" i="47"/>
  <c r="O71" i="47"/>
  <c r="C73" i="47"/>
  <c r="G75" i="47"/>
  <c r="K77" i="47"/>
  <c r="C81" i="47"/>
  <c r="I66" i="47"/>
  <c r="K67" i="47"/>
  <c r="AA83" i="47"/>
  <c r="M84" i="47"/>
  <c r="AC84" i="47"/>
  <c r="M92" i="47"/>
  <c r="AC92" i="47"/>
  <c r="O93" i="47"/>
  <c r="F85" i="47"/>
  <c r="L88" i="47"/>
  <c r="T67" i="47"/>
  <c r="V76" i="47"/>
  <c r="W68" i="47"/>
  <c r="U75" i="47"/>
  <c r="M79" i="47"/>
  <c r="K86" i="47"/>
  <c r="Z126" i="47"/>
  <c r="D131" i="47"/>
  <c r="AB135" i="47"/>
  <c r="T139" i="47"/>
  <c r="F140" i="47"/>
  <c r="AB83" i="47"/>
  <c r="N144" i="47"/>
  <c r="AD84" i="47"/>
  <c r="P85" i="47"/>
  <c r="F148" i="47"/>
  <c r="V148" i="47"/>
  <c r="N92" i="47"/>
  <c r="AD152" i="47"/>
  <c r="P93" i="47"/>
  <c r="AF93" i="47"/>
  <c r="F93" i="47"/>
  <c r="N72" i="47"/>
  <c r="AE72" i="47"/>
  <c r="W84" i="47"/>
  <c r="L127" i="47"/>
  <c r="T131" i="47"/>
  <c r="L135" i="47"/>
  <c r="AA66" i="47"/>
  <c r="AC83" i="47"/>
  <c r="O84" i="47"/>
  <c r="AE84" i="47"/>
  <c r="Q85" i="47"/>
  <c r="C86" i="47"/>
  <c r="O92" i="47"/>
  <c r="AE92" i="47"/>
  <c r="Q93" i="47"/>
  <c r="C94" i="47"/>
  <c r="S94" i="47"/>
  <c r="H94" i="47"/>
  <c r="V68" i="47"/>
  <c r="T75" i="47"/>
  <c r="C74" i="47"/>
  <c r="AD127" i="47"/>
  <c r="H132" i="47"/>
  <c r="P136" i="47"/>
  <c r="X140" i="47"/>
  <c r="AD83" i="47"/>
  <c r="P84" i="47"/>
  <c r="AF354" i="47"/>
  <c r="R85" i="47"/>
  <c r="D86" i="47"/>
  <c r="T86" i="47"/>
  <c r="H148" i="47"/>
  <c r="X148" i="47"/>
  <c r="J149" i="47"/>
  <c r="P92" i="47"/>
  <c r="AF92" i="47"/>
  <c r="R153" i="47"/>
  <c r="D94" i="47"/>
  <c r="T94" i="47"/>
  <c r="F95" i="47"/>
  <c r="Z87" i="47"/>
  <c r="F68" i="47"/>
  <c r="D75" i="47"/>
  <c r="AC71" i="47"/>
  <c r="AB126" i="47"/>
  <c r="F131" i="47"/>
  <c r="N135" i="47"/>
  <c r="V139" i="47"/>
  <c r="AE83" i="47"/>
  <c r="Q84" i="47"/>
  <c r="C85" i="47"/>
  <c r="S85" i="47"/>
  <c r="E86" i="47"/>
  <c r="U86" i="47"/>
  <c r="G87" i="47"/>
  <c r="Q92" i="47"/>
  <c r="C93" i="47"/>
  <c r="S93" i="47"/>
  <c r="E94" i="47"/>
  <c r="U94" i="47"/>
  <c r="G95" i="47"/>
  <c r="W95" i="47"/>
  <c r="J95" i="47"/>
  <c r="H69" i="47"/>
  <c r="S66" i="47"/>
  <c r="Q73" i="47"/>
  <c r="N127" i="47"/>
  <c r="V131" i="47"/>
  <c r="AD135" i="47"/>
  <c r="H140" i="47"/>
  <c r="AF83" i="47"/>
  <c r="R84" i="47"/>
  <c r="D85" i="47"/>
  <c r="T85" i="47"/>
  <c r="F86" i="47"/>
  <c r="V86" i="47"/>
  <c r="H87" i="47"/>
  <c r="X87" i="47"/>
  <c r="R92" i="47"/>
  <c r="D93" i="47"/>
  <c r="T93" i="47"/>
  <c r="F94" i="47"/>
  <c r="V94" i="47"/>
  <c r="H95" i="47"/>
  <c r="X95" i="47"/>
  <c r="V85" i="47"/>
  <c r="R74" i="47"/>
  <c r="AA70" i="47"/>
  <c r="O344" i="47"/>
  <c r="I349" i="47"/>
  <c r="C84" i="47"/>
  <c r="S84" i="47"/>
  <c r="E85" i="47"/>
  <c r="U85" i="47"/>
  <c r="G86" i="47"/>
  <c r="W86" i="47"/>
  <c r="I87" i="47"/>
  <c r="Y87" i="47"/>
  <c r="K88" i="47"/>
  <c r="AC359" i="47"/>
  <c r="S92" i="47"/>
  <c r="E93" i="47"/>
  <c r="U93" i="47"/>
  <c r="G94" i="47"/>
  <c r="W94" i="47"/>
  <c r="I95" i="47"/>
  <c r="Y95" i="47"/>
  <c r="H458" i="47"/>
  <c r="H398" i="47"/>
  <c r="H428" i="47"/>
  <c r="H368" i="47"/>
  <c r="H308" i="47"/>
  <c r="H248" i="47"/>
  <c r="H218" i="47"/>
  <c r="H188" i="47"/>
  <c r="H158" i="47"/>
  <c r="H278" i="47"/>
  <c r="H98" i="47"/>
  <c r="H466" i="47"/>
  <c r="H406" i="47"/>
  <c r="H436" i="47"/>
  <c r="H376" i="47"/>
  <c r="H316" i="47"/>
  <c r="H286" i="47"/>
  <c r="H226" i="47"/>
  <c r="H256" i="47"/>
  <c r="H166" i="47"/>
  <c r="H106" i="47"/>
  <c r="H196" i="47"/>
  <c r="X474" i="47"/>
  <c r="X444" i="47"/>
  <c r="X414" i="47"/>
  <c r="X384" i="47"/>
  <c r="X324" i="47"/>
  <c r="X294" i="47"/>
  <c r="X234" i="47"/>
  <c r="X264" i="47"/>
  <c r="X174" i="47"/>
  <c r="X204" i="47"/>
  <c r="X114" i="47"/>
  <c r="N85" i="47"/>
  <c r="Q94" i="47"/>
  <c r="AF81" i="47"/>
  <c r="AB339" i="47"/>
  <c r="I458" i="47"/>
  <c r="I398" i="47"/>
  <c r="I428" i="47"/>
  <c r="I368" i="47"/>
  <c r="I278" i="47"/>
  <c r="I308" i="47"/>
  <c r="I248" i="47"/>
  <c r="I218" i="47"/>
  <c r="I188" i="47"/>
  <c r="I158" i="47"/>
  <c r="I98" i="47"/>
  <c r="AE461" i="47"/>
  <c r="AE401" i="47"/>
  <c r="AE371" i="47"/>
  <c r="AE431" i="47"/>
  <c r="AE311" i="47"/>
  <c r="AE281" i="47"/>
  <c r="AE221" i="47"/>
  <c r="AE251" i="47"/>
  <c r="AE191" i="47"/>
  <c r="AE161" i="47"/>
  <c r="AE101" i="47"/>
  <c r="M468" i="47"/>
  <c r="M438" i="47"/>
  <c r="M408" i="47"/>
  <c r="M378" i="47"/>
  <c r="M318" i="47"/>
  <c r="M288" i="47"/>
  <c r="M258" i="47"/>
  <c r="M228" i="47"/>
  <c r="M168" i="47"/>
  <c r="M198" i="47"/>
  <c r="M108" i="47"/>
  <c r="I474" i="47"/>
  <c r="I444" i="47"/>
  <c r="I414" i="47"/>
  <c r="I384" i="47"/>
  <c r="I324" i="47"/>
  <c r="I294" i="47"/>
  <c r="I264" i="47"/>
  <c r="I234" i="47"/>
  <c r="I204" i="47"/>
  <c r="I174" i="47"/>
  <c r="I114" i="47"/>
  <c r="I482" i="47"/>
  <c r="I452" i="47"/>
  <c r="I392" i="47"/>
  <c r="I422" i="47"/>
  <c r="I332" i="47"/>
  <c r="I242" i="47"/>
  <c r="I272" i="47"/>
  <c r="I302" i="47"/>
  <c r="I182" i="47"/>
  <c r="I212" i="47"/>
  <c r="I122" i="47"/>
  <c r="O340" i="47"/>
  <c r="F456" i="47"/>
  <c r="F396" i="47"/>
  <c r="F426" i="47"/>
  <c r="F366" i="47"/>
  <c r="F306" i="47"/>
  <c r="F276" i="47"/>
  <c r="F216" i="47"/>
  <c r="F246" i="47"/>
  <c r="F156" i="47"/>
  <c r="F96" i="47"/>
  <c r="V456" i="47"/>
  <c r="V396" i="47"/>
  <c r="V426" i="47"/>
  <c r="V366" i="47"/>
  <c r="V306" i="47"/>
  <c r="V276" i="47"/>
  <c r="V216" i="47"/>
  <c r="V156" i="47"/>
  <c r="V246" i="47"/>
  <c r="V96" i="47"/>
  <c r="V186" i="47"/>
  <c r="H457" i="47"/>
  <c r="H397" i="47"/>
  <c r="H367" i="47"/>
  <c r="H427" i="47"/>
  <c r="H307" i="47"/>
  <c r="H277" i="47"/>
  <c r="H217" i="47"/>
  <c r="H157" i="47"/>
  <c r="H247" i="47"/>
  <c r="H97" i="47"/>
  <c r="H187" i="47"/>
  <c r="X457" i="47"/>
  <c r="X397" i="47"/>
  <c r="X427" i="47"/>
  <c r="X367" i="47"/>
  <c r="X277" i="47"/>
  <c r="X307" i="47"/>
  <c r="X217" i="47"/>
  <c r="X247" i="47"/>
  <c r="X157" i="47"/>
  <c r="X97" i="47"/>
  <c r="X187" i="47"/>
  <c r="J458" i="47"/>
  <c r="J398" i="47"/>
  <c r="J428" i="47"/>
  <c r="J368" i="47"/>
  <c r="J278" i="47"/>
  <c r="J308" i="47"/>
  <c r="J248" i="47"/>
  <c r="J218" i="47"/>
  <c r="J158" i="47"/>
  <c r="J98" i="47"/>
  <c r="J188" i="47"/>
  <c r="Z458" i="47"/>
  <c r="Z398" i="47"/>
  <c r="Z428" i="47"/>
  <c r="Z368" i="47"/>
  <c r="Z278" i="47"/>
  <c r="Z308" i="47"/>
  <c r="Z248" i="47"/>
  <c r="Z218" i="47"/>
  <c r="Z158" i="47"/>
  <c r="Z188" i="47"/>
  <c r="Z98" i="47"/>
  <c r="L459" i="47"/>
  <c r="L399" i="47"/>
  <c r="L429" i="47"/>
  <c r="L369" i="47"/>
  <c r="L309" i="47"/>
  <c r="L279" i="47"/>
  <c r="L249" i="47"/>
  <c r="L219" i="47"/>
  <c r="L159" i="47"/>
  <c r="L189" i="47"/>
  <c r="L99" i="47"/>
  <c r="AB459" i="47"/>
  <c r="AB399" i="47"/>
  <c r="AB429" i="47"/>
  <c r="AB369" i="47"/>
  <c r="AB309" i="47"/>
  <c r="AB279" i="47"/>
  <c r="AB249" i="47"/>
  <c r="AB219" i="47"/>
  <c r="AB159" i="47"/>
  <c r="AB99" i="47"/>
  <c r="N460" i="47"/>
  <c r="N400" i="47"/>
  <c r="N430" i="47"/>
  <c r="N370" i="47"/>
  <c r="N310" i="47"/>
  <c r="N280" i="47"/>
  <c r="N250" i="47"/>
  <c r="N220" i="47"/>
  <c r="N190" i="47"/>
  <c r="N160" i="47"/>
  <c r="N100" i="47"/>
  <c r="AD460" i="47"/>
  <c r="AD400" i="47"/>
  <c r="AD430" i="47"/>
  <c r="AD370" i="47"/>
  <c r="AD280" i="47"/>
  <c r="AD310" i="47"/>
  <c r="AD220" i="47"/>
  <c r="AD250" i="47"/>
  <c r="AD190" i="47"/>
  <c r="AD160" i="47"/>
  <c r="AD100" i="47"/>
  <c r="P461" i="47"/>
  <c r="P401" i="47"/>
  <c r="P431" i="47"/>
  <c r="P371" i="47"/>
  <c r="P281" i="47"/>
  <c r="P311" i="47"/>
  <c r="P221" i="47"/>
  <c r="P251" i="47"/>
  <c r="P191" i="47"/>
  <c r="P161" i="47"/>
  <c r="P101" i="47"/>
  <c r="AF461" i="47"/>
  <c r="AF401" i="47"/>
  <c r="AF431" i="47"/>
  <c r="AF371" i="47"/>
  <c r="AF311" i="47"/>
  <c r="AF281" i="47"/>
  <c r="AF221" i="47"/>
  <c r="AF251" i="47"/>
  <c r="AF191" i="47"/>
  <c r="AF161" i="47"/>
  <c r="AF101" i="47"/>
  <c r="R462" i="47"/>
  <c r="R402" i="47"/>
  <c r="R432" i="47"/>
  <c r="R372" i="47"/>
  <c r="R312" i="47"/>
  <c r="R282" i="47"/>
  <c r="R222" i="47"/>
  <c r="R252" i="47"/>
  <c r="R162" i="47"/>
  <c r="R192" i="47"/>
  <c r="R102" i="47"/>
  <c r="D463" i="47"/>
  <c r="D433" i="47"/>
  <c r="D403" i="47"/>
  <c r="D373" i="47"/>
  <c r="D313" i="47"/>
  <c r="D283" i="47"/>
  <c r="D223" i="47"/>
  <c r="D253" i="47"/>
  <c r="D163" i="47"/>
  <c r="D193" i="47"/>
  <c r="D103" i="47"/>
  <c r="T463" i="47"/>
  <c r="T403" i="47"/>
  <c r="T433" i="47"/>
  <c r="T373" i="47"/>
  <c r="T283" i="47"/>
  <c r="T313" i="47"/>
  <c r="T223" i="47"/>
  <c r="T253" i="47"/>
  <c r="T163" i="47"/>
  <c r="T193" i="47"/>
  <c r="T103" i="47"/>
  <c r="F464" i="47"/>
  <c r="F404" i="47"/>
  <c r="F434" i="47"/>
  <c r="F374" i="47"/>
  <c r="F284" i="47"/>
  <c r="F314" i="47"/>
  <c r="F224" i="47"/>
  <c r="F164" i="47"/>
  <c r="F254" i="47"/>
  <c r="F194" i="47"/>
  <c r="F104" i="47"/>
  <c r="V464" i="47"/>
  <c r="V404" i="47"/>
  <c r="V434" i="47"/>
  <c r="V374" i="47"/>
  <c r="V314" i="47"/>
  <c r="V284" i="47"/>
  <c r="V254" i="47"/>
  <c r="V224" i="47"/>
  <c r="V164" i="47"/>
  <c r="V194" i="47"/>
  <c r="V104" i="47"/>
  <c r="H465" i="47"/>
  <c r="H405" i="47"/>
  <c r="H435" i="47"/>
  <c r="H375" i="47"/>
  <c r="H315" i="47"/>
  <c r="H285" i="47"/>
  <c r="H255" i="47"/>
  <c r="H225" i="47"/>
  <c r="H165" i="47"/>
  <c r="H195" i="47"/>
  <c r="H105" i="47"/>
  <c r="X465" i="47"/>
  <c r="X405" i="47"/>
  <c r="X435" i="47"/>
  <c r="X375" i="47"/>
  <c r="X285" i="47"/>
  <c r="X315" i="47"/>
  <c r="X255" i="47"/>
  <c r="X225" i="47"/>
  <c r="X165" i="47"/>
  <c r="X195" i="47"/>
  <c r="X105" i="47"/>
  <c r="J466" i="47"/>
  <c r="J406" i="47"/>
  <c r="J436" i="47"/>
  <c r="J376" i="47"/>
  <c r="J286" i="47"/>
  <c r="J226" i="47"/>
  <c r="J256" i="47"/>
  <c r="J166" i="47"/>
  <c r="J316" i="47"/>
  <c r="J196" i="47"/>
  <c r="J106" i="47"/>
  <c r="Z466" i="47"/>
  <c r="Z406" i="47"/>
  <c r="Z436" i="47"/>
  <c r="Z376" i="47"/>
  <c r="Z316" i="47"/>
  <c r="Z286" i="47"/>
  <c r="Z226" i="47"/>
  <c r="Z256" i="47"/>
  <c r="Z166" i="47"/>
  <c r="Z106" i="47"/>
  <c r="Z196" i="47"/>
  <c r="L467" i="47"/>
  <c r="L407" i="47"/>
  <c r="L437" i="47"/>
  <c r="L377" i="47"/>
  <c r="L287" i="47"/>
  <c r="L317" i="47"/>
  <c r="L227" i="47"/>
  <c r="L257" i="47"/>
  <c r="L197" i="47"/>
  <c r="L167" i="47"/>
  <c r="L107" i="47"/>
  <c r="AB467" i="47"/>
  <c r="AB407" i="47"/>
  <c r="AB437" i="47"/>
  <c r="AB377" i="47"/>
  <c r="AB287" i="47"/>
  <c r="AB317" i="47"/>
  <c r="AB227" i="47"/>
  <c r="AB257" i="47"/>
  <c r="AB197" i="47"/>
  <c r="AB167" i="47"/>
  <c r="AB107" i="47"/>
  <c r="N468" i="47"/>
  <c r="N438" i="47"/>
  <c r="N408" i="47"/>
  <c r="N378" i="47"/>
  <c r="N318" i="47"/>
  <c r="N288" i="47"/>
  <c r="N258" i="47"/>
  <c r="N228" i="47"/>
  <c r="N168" i="47"/>
  <c r="N198" i="47"/>
  <c r="N108" i="47"/>
  <c r="AD468" i="47"/>
  <c r="AD438" i="47"/>
  <c r="AD408" i="47"/>
  <c r="AD378" i="47"/>
  <c r="AD288" i="47"/>
  <c r="AD318" i="47"/>
  <c r="AD228" i="47"/>
  <c r="AD258" i="47"/>
  <c r="AD168" i="47"/>
  <c r="AD198" i="47"/>
  <c r="AD108" i="47"/>
  <c r="P469" i="47"/>
  <c r="P439" i="47"/>
  <c r="P409" i="47"/>
  <c r="P379" i="47"/>
  <c r="P289" i="47"/>
  <c r="P319" i="47"/>
  <c r="P229" i="47"/>
  <c r="P169" i="47"/>
  <c r="P199" i="47"/>
  <c r="P259" i="47"/>
  <c r="P109" i="47"/>
  <c r="AF469" i="47"/>
  <c r="AF439" i="47"/>
  <c r="AF409" i="47"/>
  <c r="AF319" i="47"/>
  <c r="AF289" i="47"/>
  <c r="AF379" i="47"/>
  <c r="AF229" i="47"/>
  <c r="AF169" i="47"/>
  <c r="AF259" i="47"/>
  <c r="AF199" i="47"/>
  <c r="AF109" i="47"/>
  <c r="R470" i="47"/>
  <c r="R440" i="47"/>
  <c r="R410" i="47"/>
  <c r="R380" i="47"/>
  <c r="R290" i="47"/>
  <c r="R320" i="47"/>
  <c r="R260" i="47"/>
  <c r="R230" i="47"/>
  <c r="R170" i="47"/>
  <c r="R200" i="47"/>
  <c r="R110" i="47"/>
  <c r="D471" i="47"/>
  <c r="D441" i="47"/>
  <c r="D411" i="47"/>
  <c r="D381" i="47"/>
  <c r="D321" i="47"/>
  <c r="D291" i="47"/>
  <c r="D231" i="47"/>
  <c r="D261" i="47"/>
  <c r="D171" i="47"/>
  <c r="D111" i="47"/>
  <c r="D201" i="47"/>
  <c r="T471" i="47"/>
  <c r="T441" i="47"/>
  <c r="T411" i="47"/>
  <c r="T381" i="47"/>
  <c r="T321" i="47"/>
  <c r="T291" i="47"/>
  <c r="T231" i="47"/>
  <c r="T261" i="47"/>
  <c r="T201" i="47"/>
  <c r="T171" i="47"/>
  <c r="T111" i="47"/>
  <c r="F472" i="47"/>
  <c r="F442" i="47"/>
  <c r="F412" i="47"/>
  <c r="F382" i="47"/>
  <c r="F292" i="47"/>
  <c r="F322" i="47"/>
  <c r="F232" i="47"/>
  <c r="F262" i="47"/>
  <c r="F172" i="47"/>
  <c r="F202" i="47"/>
  <c r="F112" i="47"/>
  <c r="V472" i="47"/>
  <c r="V442" i="47"/>
  <c r="V412" i="47"/>
  <c r="V382" i="47"/>
  <c r="V322" i="47"/>
  <c r="V292" i="47"/>
  <c r="V262" i="47"/>
  <c r="V232" i="47"/>
  <c r="V172" i="47"/>
  <c r="V202" i="47"/>
  <c r="V112" i="47"/>
  <c r="H473" i="47"/>
  <c r="H443" i="47"/>
  <c r="H413" i="47"/>
  <c r="H383" i="47"/>
  <c r="H293" i="47"/>
  <c r="H323" i="47"/>
  <c r="H233" i="47"/>
  <c r="H263" i="47"/>
  <c r="H173" i="47"/>
  <c r="H203" i="47"/>
  <c r="H113" i="47"/>
  <c r="X473" i="47"/>
  <c r="X443" i="47"/>
  <c r="X413" i="47"/>
  <c r="X383" i="47"/>
  <c r="X293" i="47"/>
  <c r="X323" i="47"/>
  <c r="X233" i="47"/>
  <c r="X263" i="47"/>
  <c r="X173" i="47"/>
  <c r="X203" i="47"/>
  <c r="X113" i="47"/>
  <c r="J474" i="47"/>
  <c r="J444" i="47"/>
  <c r="J414" i="47"/>
  <c r="J324" i="47"/>
  <c r="J294" i="47"/>
  <c r="J384" i="47"/>
  <c r="J264" i="47"/>
  <c r="J234" i="47"/>
  <c r="J204" i="47"/>
  <c r="J174" i="47"/>
  <c r="J114" i="47"/>
  <c r="Z474" i="47"/>
  <c r="Z444" i="47"/>
  <c r="Z414" i="47"/>
  <c r="Z384" i="47"/>
  <c r="Z294" i="47"/>
  <c r="Z324" i="47"/>
  <c r="Z234" i="47"/>
  <c r="Z264" i="47"/>
  <c r="Z174" i="47"/>
  <c r="Z204" i="47"/>
  <c r="Z114" i="47"/>
  <c r="L475" i="47"/>
  <c r="L445" i="47"/>
  <c r="L415" i="47"/>
  <c r="L385" i="47"/>
  <c r="L325" i="47"/>
  <c r="L295" i="47"/>
  <c r="L235" i="47"/>
  <c r="L265" i="47"/>
  <c r="L175" i="47"/>
  <c r="L205" i="47"/>
  <c r="L115" i="47"/>
  <c r="AB475" i="47"/>
  <c r="AB445" i="47"/>
  <c r="AB415" i="47"/>
  <c r="AB385" i="47"/>
  <c r="AB325" i="47"/>
  <c r="AB295" i="47"/>
  <c r="AB265" i="47"/>
  <c r="AB235" i="47"/>
  <c r="AB175" i="47"/>
  <c r="AB205" i="47"/>
  <c r="AB115" i="47"/>
  <c r="N476" i="47"/>
  <c r="N446" i="47"/>
  <c r="N416" i="47"/>
  <c r="N386" i="47"/>
  <c r="N326" i="47"/>
  <c r="N296" i="47"/>
  <c r="N236" i="47"/>
  <c r="N266" i="47"/>
  <c r="N176" i="47"/>
  <c r="N206" i="47"/>
  <c r="N116" i="47"/>
  <c r="AD476" i="47"/>
  <c r="AD446" i="47"/>
  <c r="AD416" i="47"/>
  <c r="AD326" i="47"/>
  <c r="AD386" i="47"/>
  <c r="AD296" i="47"/>
  <c r="AD266" i="47"/>
  <c r="AD236" i="47"/>
  <c r="AD206" i="47"/>
  <c r="AD176" i="47"/>
  <c r="AD116" i="47"/>
  <c r="P477" i="47"/>
  <c r="P447" i="47"/>
  <c r="P417" i="47"/>
  <c r="P327" i="47"/>
  <c r="P387" i="47"/>
  <c r="P297" i="47"/>
  <c r="P237" i="47"/>
  <c r="P267" i="47"/>
  <c r="P177" i="47"/>
  <c r="P207" i="47"/>
  <c r="P117" i="47"/>
  <c r="AF477" i="47"/>
  <c r="AF447" i="47"/>
  <c r="AF417" i="47"/>
  <c r="AF387" i="47"/>
  <c r="AF327" i="47"/>
  <c r="AF297" i="47"/>
  <c r="AF237" i="47"/>
  <c r="AF267" i="47"/>
  <c r="AF177" i="47"/>
  <c r="AF207" i="47"/>
  <c r="AF117" i="47"/>
  <c r="R478" i="47"/>
  <c r="R448" i="47"/>
  <c r="R418" i="47"/>
  <c r="R388" i="47"/>
  <c r="R328" i="47"/>
  <c r="R298" i="47"/>
  <c r="R238" i="47"/>
  <c r="R268" i="47"/>
  <c r="R178" i="47"/>
  <c r="R208" i="47"/>
  <c r="R118" i="47"/>
  <c r="D479" i="47"/>
  <c r="D449" i="47"/>
  <c r="D419" i="47"/>
  <c r="D389" i="47"/>
  <c r="D329" i="47"/>
  <c r="D299" i="47"/>
  <c r="D239" i="47"/>
  <c r="D269" i="47"/>
  <c r="D209" i="47"/>
  <c r="D179" i="47"/>
  <c r="D119" i="47"/>
  <c r="T479" i="47"/>
  <c r="T449" i="47"/>
  <c r="T419" i="47"/>
  <c r="T329" i="47"/>
  <c r="T389" i="47"/>
  <c r="T299" i="47"/>
  <c r="T239" i="47"/>
  <c r="T269" i="47"/>
  <c r="T179" i="47"/>
  <c r="T209" i="47"/>
  <c r="T119" i="47"/>
  <c r="F480" i="47"/>
  <c r="F450" i="47"/>
  <c r="F420" i="47"/>
  <c r="F390" i="47"/>
  <c r="F330" i="47"/>
  <c r="F300" i="47"/>
  <c r="F240" i="47"/>
  <c r="F270" i="47"/>
  <c r="F180" i="47"/>
  <c r="F210" i="47"/>
  <c r="F120" i="47"/>
  <c r="V480" i="47"/>
  <c r="V450" i="47"/>
  <c r="V420" i="47"/>
  <c r="V390" i="47"/>
  <c r="V330" i="47"/>
  <c r="V300" i="47"/>
  <c r="V240" i="47"/>
  <c r="V270" i="47"/>
  <c r="V180" i="47"/>
  <c r="V210" i="47"/>
  <c r="V120" i="47"/>
  <c r="H481" i="47"/>
  <c r="H451" i="47"/>
  <c r="H421" i="47"/>
  <c r="H391" i="47"/>
  <c r="H331" i="47"/>
  <c r="H301" i="47"/>
  <c r="H271" i="47"/>
  <c r="H241" i="47"/>
  <c r="H211" i="47"/>
  <c r="H181" i="47"/>
  <c r="H121" i="47"/>
  <c r="X481" i="47"/>
  <c r="X451" i="47"/>
  <c r="X391" i="47"/>
  <c r="X421" i="47"/>
  <c r="X331" i="47"/>
  <c r="X301" i="47"/>
  <c r="X241" i="47"/>
  <c r="X271" i="47"/>
  <c r="X181" i="47"/>
  <c r="X211" i="47"/>
  <c r="X121" i="47"/>
  <c r="J482" i="47"/>
  <c r="J452" i="47"/>
  <c r="J392" i="47"/>
  <c r="J422" i="47"/>
  <c r="J332" i="47"/>
  <c r="J302" i="47"/>
  <c r="J272" i="47"/>
  <c r="J242" i="47"/>
  <c r="J182" i="47"/>
  <c r="J212" i="47"/>
  <c r="J122" i="47"/>
  <c r="Z482" i="47"/>
  <c r="Z452" i="47"/>
  <c r="Z422" i="47"/>
  <c r="Z392" i="47"/>
  <c r="Z332" i="47"/>
  <c r="Z272" i="47"/>
  <c r="Z302" i="47"/>
  <c r="Z242" i="47"/>
  <c r="Z182" i="47"/>
  <c r="Z122" i="47"/>
  <c r="Z212" i="47"/>
  <c r="L483" i="47"/>
  <c r="L453" i="47"/>
  <c r="L423" i="47"/>
  <c r="L393" i="47"/>
  <c r="L333" i="47"/>
  <c r="L303" i="47"/>
  <c r="L273" i="47"/>
  <c r="L243" i="47"/>
  <c r="L213" i="47"/>
  <c r="L183" i="47"/>
  <c r="L123" i="47"/>
  <c r="AB483" i="47"/>
  <c r="AB453" i="47"/>
  <c r="AB423" i="47"/>
  <c r="AB393" i="47"/>
  <c r="AB333" i="47"/>
  <c r="AB303" i="47"/>
  <c r="AB273" i="47"/>
  <c r="AB243" i="47"/>
  <c r="AB183" i="47"/>
  <c r="AB213" i="47"/>
  <c r="AB123" i="47"/>
  <c r="N484" i="47"/>
  <c r="N454" i="47"/>
  <c r="N394" i="47"/>
  <c r="N424" i="47"/>
  <c r="N334" i="47"/>
  <c r="N304" i="47"/>
  <c r="N274" i="47"/>
  <c r="N184" i="47"/>
  <c r="N244" i="47"/>
  <c r="N214" i="47"/>
  <c r="N124" i="47"/>
  <c r="AD484" i="47"/>
  <c r="AD454" i="47"/>
  <c r="AD394" i="47"/>
  <c r="AD424" i="47"/>
  <c r="AD334" i="47"/>
  <c r="AD304" i="47"/>
  <c r="AD274" i="47"/>
  <c r="AD214" i="47"/>
  <c r="AD184" i="47"/>
  <c r="AD244" i="47"/>
  <c r="AD124" i="47"/>
  <c r="P485" i="47"/>
  <c r="P455" i="47"/>
  <c r="P395" i="47"/>
  <c r="P425" i="47"/>
  <c r="P335" i="47"/>
  <c r="P305" i="47"/>
  <c r="P275" i="47"/>
  <c r="P245" i="47"/>
  <c r="P185" i="47"/>
  <c r="P215" i="47"/>
  <c r="P125" i="47"/>
  <c r="AF485" i="47"/>
  <c r="AF455" i="47"/>
  <c r="AF395" i="47"/>
  <c r="AF425" i="47"/>
  <c r="AF335" i="47"/>
  <c r="AF305" i="47"/>
  <c r="AF245" i="47"/>
  <c r="AF275" i="47"/>
  <c r="AF215" i="47"/>
  <c r="AF185" i="47"/>
  <c r="AF125" i="47"/>
  <c r="H53" i="47"/>
  <c r="X61" i="47"/>
  <c r="F69" i="47"/>
  <c r="W69" i="47"/>
  <c r="E76" i="47"/>
  <c r="H78" i="47"/>
  <c r="N89" i="47"/>
  <c r="AB113" i="47"/>
  <c r="N122" i="47"/>
  <c r="T161" i="47"/>
  <c r="AB468" i="47"/>
  <c r="AB408" i="47"/>
  <c r="AB438" i="47"/>
  <c r="AB378" i="47"/>
  <c r="AB288" i="47"/>
  <c r="AB318" i="47"/>
  <c r="AB228" i="47"/>
  <c r="AB258" i="47"/>
  <c r="AB168" i="47"/>
  <c r="AB198" i="47"/>
  <c r="AB108" i="47"/>
  <c r="R130" i="47"/>
  <c r="G457" i="47"/>
  <c r="G427" i="47"/>
  <c r="G397" i="47"/>
  <c r="G367" i="47"/>
  <c r="G307" i="47"/>
  <c r="G277" i="47"/>
  <c r="G217" i="47"/>
  <c r="G247" i="47"/>
  <c r="G187" i="47"/>
  <c r="G157" i="47"/>
  <c r="G97" i="47"/>
  <c r="Y466" i="47"/>
  <c r="Y406" i="47"/>
  <c r="Y376" i="47"/>
  <c r="Y436" i="47"/>
  <c r="Y316" i="47"/>
  <c r="Y286" i="47"/>
  <c r="Y226" i="47"/>
  <c r="Y166" i="47"/>
  <c r="Y256" i="47"/>
  <c r="Y106" i="47"/>
  <c r="Y196" i="47"/>
  <c r="S479" i="47"/>
  <c r="S449" i="47"/>
  <c r="S419" i="47"/>
  <c r="S389" i="47"/>
  <c r="S329" i="47"/>
  <c r="S299" i="47"/>
  <c r="S239" i="47"/>
  <c r="S269" i="47"/>
  <c r="S179" i="47"/>
  <c r="S209" i="47"/>
  <c r="S119" i="47"/>
  <c r="S90" i="47"/>
  <c r="V147" i="47"/>
  <c r="I457" i="47"/>
  <c r="I427" i="47"/>
  <c r="I397" i="47"/>
  <c r="I367" i="47"/>
  <c r="I307" i="47"/>
  <c r="I277" i="47"/>
  <c r="I217" i="47"/>
  <c r="I157" i="47"/>
  <c r="I247" i="47"/>
  <c r="I97" i="47"/>
  <c r="I187" i="47"/>
  <c r="M459" i="47"/>
  <c r="M429" i="47"/>
  <c r="M399" i="47"/>
  <c r="M369" i="47"/>
  <c r="M309" i="47"/>
  <c r="M279" i="47"/>
  <c r="M249" i="47"/>
  <c r="M219" i="47"/>
  <c r="M159" i="47"/>
  <c r="M189" i="47"/>
  <c r="M99" i="47"/>
  <c r="AC459" i="47"/>
  <c r="AC429" i="47"/>
  <c r="AC399" i="47"/>
  <c r="AC369" i="47"/>
  <c r="AC309" i="47"/>
  <c r="AC279" i="47"/>
  <c r="AC249" i="47"/>
  <c r="AC219" i="47"/>
  <c r="AC159" i="47"/>
  <c r="AC99" i="47"/>
  <c r="AC189" i="47"/>
  <c r="O460" i="47"/>
  <c r="O430" i="47"/>
  <c r="O370" i="47"/>
  <c r="O400" i="47"/>
  <c r="O310" i="47"/>
  <c r="O280" i="47"/>
  <c r="O250" i="47"/>
  <c r="O220" i="47"/>
  <c r="O160" i="47"/>
  <c r="O100" i="47"/>
  <c r="AE460" i="47"/>
  <c r="AE430" i="47"/>
  <c r="AE400" i="47"/>
  <c r="AE370" i="47"/>
  <c r="AE280" i="47"/>
  <c r="AE310" i="47"/>
  <c r="AE220" i="47"/>
  <c r="AE250" i="47"/>
  <c r="AE190" i="47"/>
  <c r="AE160" i="47"/>
  <c r="AE100" i="47"/>
  <c r="Q461" i="47"/>
  <c r="Q431" i="47"/>
  <c r="Q401" i="47"/>
  <c r="Q371" i="47"/>
  <c r="Q281" i="47"/>
  <c r="Q311" i="47"/>
  <c r="Q221" i="47"/>
  <c r="Q251" i="47"/>
  <c r="Q191" i="47"/>
  <c r="Q161" i="47"/>
  <c r="Q101" i="47"/>
  <c r="C462" i="47"/>
  <c r="C432" i="47"/>
  <c r="C372" i="47"/>
  <c r="C402" i="47"/>
  <c r="C282" i="47"/>
  <c r="C222" i="47"/>
  <c r="C312" i="47"/>
  <c r="C252" i="47"/>
  <c r="C192" i="47"/>
  <c r="C162" i="47"/>
  <c r="C102" i="47"/>
  <c r="S462" i="47"/>
  <c r="S432" i="47"/>
  <c r="S372" i="47"/>
  <c r="S402" i="47"/>
  <c r="S312" i="47"/>
  <c r="S282" i="47"/>
  <c r="S222" i="47"/>
  <c r="S252" i="47"/>
  <c r="S162" i="47"/>
  <c r="S192" i="47"/>
  <c r="S102" i="47"/>
  <c r="E463" i="47"/>
  <c r="E433" i="47"/>
  <c r="E373" i="47"/>
  <c r="E403" i="47"/>
  <c r="E313" i="47"/>
  <c r="E283" i="47"/>
  <c r="E223" i="47"/>
  <c r="E163" i="47"/>
  <c r="E193" i="47"/>
  <c r="E253" i="47"/>
  <c r="E103" i="47"/>
  <c r="U463" i="47"/>
  <c r="U433" i="47"/>
  <c r="U373" i="47"/>
  <c r="U403" i="47"/>
  <c r="U283" i="47"/>
  <c r="U313" i="47"/>
  <c r="U223" i="47"/>
  <c r="U253" i="47"/>
  <c r="U163" i="47"/>
  <c r="U193" i="47"/>
  <c r="U103" i="47"/>
  <c r="G464" i="47"/>
  <c r="G434" i="47"/>
  <c r="G404" i="47"/>
  <c r="G374" i="47"/>
  <c r="G284" i="47"/>
  <c r="G314" i="47"/>
  <c r="G224" i="47"/>
  <c r="G164" i="47"/>
  <c r="G254" i="47"/>
  <c r="G194" i="47"/>
  <c r="G104" i="47"/>
  <c r="W464" i="47"/>
  <c r="W434" i="47"/>
  <c r="W404" i="47"/>
  <c r="W374" i="47"/>
  <c r="W314" i="47"/>
  <c r="W284" i="47"/>
  <c r="W224" i="47"/>
  <c r="W254" i="47"/>
  <c r="W164" i="47"/>
  <c r="W194" i="47"/>
  <c r="W104" i="47"/>
  <c r="I465" i="47"/>
  <c r="I435" i="47"/>
  <c r="I405" i="47"/>
  <c r="I375" i="47"/>
  <c r="I315" i="47"/>
  <c r="I285" i="47"/>
  <c r="I255" i="47"/>
  <c r="I225" i="47"/>
  <c r="I165" i="47"/>
  <c r="I195" i="47"/>
  <c r="I105" i="47"/>
  <c r="Y465" i="47"/>
  <c r="Y435" i="47"/>
  <c r="Y405" i="47"/>
  <c r="Y375" i="47"/>
  <c r="Y285" i="47"/>
  <c r="Y315" i="47"/>
  <c r="Y255" i="47"/>
  <c r="Y225" i="47"/>
  <c r="Y165" i="47"/>
  <c r="Y195" i="47"/>
  <c r="Y105" i="47"/>
  <c r="K466" i="47"/>
  <c r="K436" i="47"/>
  <c r="K406" i="47"/>
  <c r="K376" i="47"/>
  <c r="K286" i="47"/>
  <c r="K316" i="47"/>
  <c r="K226" i="47"/>
  <c r="K256" i="47"/>
  <c r="K166" i="47"/>
  <c r="K196" i="47"/>
  <c r="K106" i="47"/>
  <c r="AA466" i="47"/>
  <c r="AA436" i="47"/>
  <c r="AA376" i="47"/>
  <c r="AA406" i="47"/>
  <c r="AA316" i="47"/>
  <c r="AA286" i="47"/>
  <c r="AA226" i="47"/>
  <c r="AA256" i="47"/>
  <c r="AA166" i="47"/>
  <c r="AA196" i="47"/>
  <c r="AA106" i="47"/>
  <c r="M467" i="47"/>
  <c r="M437" i="47"/>
  <c r="M377" i="47"/>
  <c r="M407" i="47"/>
  <c r="M287" i="47"/>
  <c r="M317" i="47"/>
  <c r="M227" i="47"/>
  <c r="M167" i="47"/>
  <c r="M257" i="47"/>
  <c r="M107" i="47"/>
  <c r="M197" i="47"/>
  <c r="AC467" i="47"/>
  <c r="AC437" i="47"/>
  <c r="AC377" i="47"/>
  <c r="AC407" i="47"/>
  <c r="AC287" i="47"/>
  <c r="AC317" i="47"/>
  <c r="AC227" i="47"/>
  <c r="AC257" i="47"/>
  <c r="AC197" i="47"/>
  <c r="AC167" i="47"/>
  <c r="AC107" i="47"/>
  <c r="O468" i="47"/>
  <c r="O438" i="47"/>
  <c r="O408" i="47"/>
  <c r="O378" i="47"/>
  <c r="O318" i="47"/>
  <c r="O288" i="47"/>
  <c r="O258" i="47"/>
  <c r="O228" i="47"/>
  <c r="O168" i="47"/>
  <c r="O198" i="47"/>
  <c r="O108" i="47"/>
  <c r="AE468" i="47"/>
  <c r="AE438" i="47"/>
  <c r="AE408" i="47"/>
  <c r="AE378" i="47"/>
  <c r="AE288" i="47"/>
  <c r="AE318" i="47"/>
  <c r="AE228" i="47"/>
  <c r="AE258" i="47"/>
  <c r="AE168" i="47"/>
  <c r="AE198" i="47"/>
  <c r="AE108" i="47"/>
  <c r="Q469" i="47"/>
  <c r="Q439" i="47"/>
  <c r="Q409" i="47"/>
  <c r="Q379" i="47"/>
  <c r="Q289" i="47"/>
  <c r="Q319" i="47"/>
  <c r="Q229" i="47"/>
  <c r="Q259" i="47"/>
  <c r="Q169" i="47"/>
  <c r="Q199" i="47"/>
  <c r="Q109" i="47"/>
  <c r="C470" i="47"/>
  <c r="C440" i="47"/>
  <c r="C410" i="47"/>
  <c r="C320" i="47"/>
  <c r="C290" i="47"/>
  <c r="C380" i="47"/>
  <c r="C230" i="47"/>
  <c r="C260" i="47"/>
  <c r="C170" i="47"/>
  <c r="C200" i="47"/>
  <c r="C110" i="47"/>
  <c r="S470" i="47"/>
  <c r="S440" i="47"/>
  <c r="S410" i="47"/>
  <c r="S380" i="47"/>
  <c r="S290" i="47"/>
  <c r="S320" i="47"/>
  <c r="S260" i="47"/>
  <c r="S230" i="47"/>
  <c r="S170" i="47"/>
  <c r="S200" i="47"/>
  <c r="S110" i="47"/>
  <c r="E471" i="47"/>
  <c r="E441" i="47"/>
  <c r="E381" i="47"/>
  <c r="E411" i="47"/>
  <c r="E291" i="47"/>
  <c r="E231" i="47"/>
  <c r="E261" i="47"/>
  <c r="E321" i="47"/>
  <c r="E171" i="47"/>
  <c r="E111" i="47"/>
  <c r="E201" i="47"/>
  <c r="U471" i="47"/>
  <c r="U441" i="47"/>
  <c r="U381" i="47"/>
  <c r="U411" i="47"/>
  <c r="U321" i="47"/>
  <c r="U291" i="47"/>
  <c r="U231" i="47"/>
  <c r="U261" i="47"/>
  <c r="U201" i="47"/>
  <c r="U171" i="47"/>
  <c r="U111" i="47"/>
  <c r="G472" i="47"/>
  <c r="G442" i="47"/>
  <c r="G382" i="47"/>
  <c r="G412" i="47"/>
  <c r="G292" i="47"/>
  <c r="G322" i="47"/>
  <c r="G232" i="47"/>
  <c r="G262" i="47"/>
  <c r="G172" i="47"/>
  <c r="G202" i="47"/>
  <c r="G112" i="47"/>
  <c r="W472" i="47"/>
  <c r="W442" i="47"/>
  <c r="W412" i="47"/>
  <c r="W382" i="47"/>
  <c r="W322" i="47"/>
  <c r="W292" i="47"/>
  <c r="W262" i="47"/>
  <c r="W232" i="47"/>
  <c r="W172" i="47"/>
  <c r="W202" i="47"/>
  <c r="W112" i="47"/>
  <c r="I473" i="47"/>
  <c r="I443" i="47"/>
  <c r="I413" i="47"/>
  <c r="I383" i="47"/>
  <c r="I293" i="47"/>
  <c r="I323" i="47"/>
  <c r="I233" i="47"/>
  <c r="I263" i="47"/>
  <c r="I173" i="47"/>
  <c r="I203" i="47"/>
  <c r="I113" i="47"/>
  <c r="Y473" i="47"/>
  <c r="Y443" i="47"/>
  <c r="Y413" i="47"/>
  <c r="Y383" i="47"/>
  <c r="Y293" i="47"/>
  <c r="Y323" i="47"/>
  <c r="Y233" i="47"/>
  <c r="Y173" i="47"/>
  <c r="Y263" i="47"/>
  <c r="Y203" i="47"/>
  <c r="Y113" i="47"/>
  <c r="K474" i="47"/>
  <c r="K444" i="47"/>
  <c r="K414" i="47"/>
  <c r="K324" i="47"/>
  <c r="K294" i="47"/>
  <c r="K384" i="47"/>
  <c r="K234" i="47"/>
  <c r="K264" i="47"/>
  <c r="K204" i="47"/>
  <c r="K174" i="47"/>
  <c r="K114" i="47"/>
  <c r="AA474" i="47"/>
  <c r="AA444" i="47"/>
  <c r="AA414" i="47"/>
  <c r="AA384" i="47"/>
  <c r="AA294" i="47"/>
  <c r="AA324" i="47"/>
  <c r="AA234" i="47"/>
  <c r="AA264" i="47"/>
  <c r="AA174" i="47"/>
  <c r="AA204" i="47"/>
  <c r="AA114" i="47"/>
  <c r="M475" i="47"/>
  <c r="M445" i="47"/>
  <c r="M385" i="47"/>
  <c r="M415" i="47"/>
  <c r="M325" i="47"/>
  <c r="M295" i="47"/>
  <c r="M235" i="47"/>
  <c r="M265" i="47"/>
  <c r="M175" i="47"/>
  <c r="M205" i="47"/>
  <c r="M115" i="47"/>
  <c r="AC475" i="47"/>
  <c r="AC445" i="47"/>
  <c r="AC415" i="47"/>
  <c r="AC385" i="47"/>
  <c r="AC295" i="47"/>
  <c r="AC265" i="47"/>
  <c r="AC325" i="47"/>
  <c r="AC235" i="47"/>
  <c r="AC175" i="47"/>
  <c r="AC205" i="47"/>
  <c r="AC115" i="47"/>
  <c r="O476" i="47"/>
  <c r="O446" i="47"/>
  <c r="O416" i="47"/>
  <c r="O386" i="47"/>
  <c r="O296" i="47"/>
  <c r="O326" i="47"/>
  <c r="O236" i="47"/>
  <c r="O266" i="47"/>
  <c r="O176" i="47"/>
  <c r="O206" i="47"/>
  <c r="O116" i="47"/>
  <c r="AE476" i="47"/>
  <c r="AE446" i="47"/>
  <c r="AE416" i="47"/>
  <c r="AE386" i="47"/>
  <c r="AE326" i="47"/>
  <c r="AE296" i="47"/>
  <c r="AE236" i="47"/>
  <c r="AE266" i="47"/>
  <c r="AE176" i="47"/>
  <c r="AE116" i="47"/>
  <c r="AE206" i="47"/>
  <c r="Q477" i="47"/>
  <c r="Q447" i="47"/>
  <c r="Q417" i="47"/>
  <c r="Q387" i="47"/>
  <c r="Q297" i="47"/>
  <c r="Q327" i="47"/>
  <c r="Q237" i="47"/>
  <c r="Q267" i="47"/>
  <c r="Q177" i="47"/>
  <c r="Q207" i="47"/>
  <c r="Q117" i="47"/>
  <c r="C478" i="47"/>
  <c r="C448" i="47"/>
  <c r="C418" i="47"/>
  <c r="C388" i="47"/>
  <c r="C328" i="47"/>
  <c r="C298" i="47"/>
  <c r="C238" i="47"/>
  <c r="C178" i="47"/>
  <c r="C208" i="47"/>
  <c r="C268" i="47"/>
  <c r="C118" i="47"/>
  <c r="S478" i="47"/>
  <c r="S448" i="47"/>
  <c r="S388" i="47"/>
  <c r="S418" i="47"/>
  <c r="S298" i="47"/>
  <c r="S328" i="47"/>
  <c r="S238" i="47"/>
  <c r="S268" i="47"/>
  <c r="S178" i="47"/>
  <c r="S208" i="47"/>
  <c r="S118" i="47"/>
  <c r="E479" i="47"/>
  <c r="E449" i="47"/>
  <c r="E419" i="47"/>
  <c r="E389" i="47"/>
  <c r="E299" i="47"/>
  <c r="E329" i="47"/>
  <c r="E239" i="47"/>
  <c r="E179" i="47"/>
  <c r="E269" i="47"/>
  <c r="E209" i="47"/>
  <c r="E119" i="47"/>
  <c r="U479" i="47"/>
  <c r="U449" i="47"/>
  <c r="U419" i="47"/>
  <c r="U389" i="47"/>
  <c r="U329" i="47"/>
  <c r="U299" i="47"/>
  <c r="U239" i="47"/>
  <c r="U269" i="47"/>
  <c r="U179" i="47"/>
  <c r="U209" i="47"/>
  <c r="U119" i="47"/>
  <c r="G480" i="47"/>
  <c r="G450" i="47"/>
  <c r="G420" i="47"/>
  <c r="G390" i="47"/>
  <c r="G300" i="47"/>
  <c r="G330" i="47"/>
  <c r="G240" i="47"/>
  <c r="G180" i="47"/>
  <c r="G270" i="47"/>
  <c r="G210" i="47"/>
  <c r="G120" i="47"/>
  <c r="W480" i="47"/>
  <c r="W450" i="47"/>
  <c r="W420" i="47"/>
  <c r="W390" i="47"/>
  <c r="W330" i="47"/>
  <c r="W300" i="47"/>
  <c r="W240" i="47"/>
  <c r="W270" i="47"/>
  <c r="W180" i="47"/>
  <c r="W210" i="47"/>
  <c r="W120" i="47"/>
  <c r="I481" i="47"/>
  <c r="I451" i="47"/>
  <c r="I421" i="47"/>
  <c r="I391" i="47"/>
  <c r="I331" i="47"/>
  <c r="I301" i="47"/>
  <c r="I271" i="47"/>
  <c r="I241" i="47"/>
  <c r="I181" i="47"/>
  <c r="I121" i="47"/>
  <c r="I211" i="47"/>
  <c r="Y481" i="47"/>
  <c r="Y451" i="47"/>
  <c r="Y421" i="47"/>
  <c r="Y391" i="47"/>
  <c r="Y331" i="47"/>
  <c r="Y301" i="47"/>
  <c r="Y241" i="47"/>
  <c r="Y211" i="47"/>
  <c r="Y271" i="47"/>
  <c r="Y181" i="47"/>
  <c r="Y121" i="47"/>
  <c r="K482" i="47"/>
  <c r="K452" i="47"/>
  <c r="K422" i="47"/>
  <c r="K392" i="47"/>
  <c r="K332" i="47"/>
  <c r="K302" i="47"/>
  <c r="K272" i="47"/>
  <c r="K212" i="47"/>
  <c r="K242" i="47"/>
  <c r="K182" i="47"/>
  <c r="K122" i="47"/>
  <c r="AA482" i="47"/>
  <c r="AA452" i="47"/>
  <c r="AA422" i="47"/>
  <c r="AA392" i="47"/>
  <c r="AA272" i="47"/>
  <c r="AA302" i="47"/>
  <c r="AA212" i="47"/>
  <c r="AA332" i="47"/>
  <c r="AA182" i="47"/>
  <c r="AA122" i="47"/>
  <c r="AA242" i="47"/>
  <c r="M483" i="47"/>
  <c r="M453" i="47"/>
  <c r="M423" i="47"/>
  <c r="M393" i="47"/>
  <c r="M333" i="47"/>
  <c r="M273" i="47"/>
  <c r="M303" i="47"/>
  <c r="M213" i="47"/>
  <c r="M243" i="47"/>
  <c r="M183" i="47"/>
  <c r="M123" i="47"/>
  <c r="AC483" i="47"/>
  <c r="AC453" i="47"/>
  <c r="AC423" i="47"/>
  <c r="AC393" i="47"/>
  <c r="AC333" i="47"/>
  <c r="AC303" i="47"/>
  <c r="AC273" i="47"/>
  <c r="AC213" i="47"/>
  <c r="AC243" i="47"/>
  <c r="AC183" i="47"/>
  <c r="AC123" i="47"/>
  <c r="O484" i="47"/>
  <c r="O454" i="47"/>
  <c r="O424" i="47"/>
  <c r="O334" i="47"/>
  <c r="O394" i="47"/>
  <c r="O304" i="47"/>
  <c r="O274" i="47"/>
  <c r="O214" i="47"/>
  <c r="O244" i="47"/>
  <c r="O184" i="47"/>
  <c r="O124" i="47"/>
  <c r="AE484" i="47"/>
  <c r="AE454" i="47"/>
  <c r="AE424" i="47"/>
  <c r="AE394" i="47"/>
  <c r="AE334" i="47"/>
  <c r="AE304" i="47"/>
  <c r="AE274" i="47"/>
  <c r="AE214" i="47"/>
  <c r="AE184" i="47"/>
  <c r="AE244" i="47"/>
  <c r="AE124" i="47"/>
  <c r="Q485" i="47"/>
  <c r="Q455" i="47"/>
  <c r="Q425" i="47"/>
  <c r="Q335" i="47"/>
  <c r="Q395" i="47"/>
  <c r="Q305" i="47"/>
  <c r="Q275" i="47"/>
  <c r="Q215" i="47"/>
  <c r="Q245" i="47"/>
  <c r="Q185" i="47"/>
  <c r="Q125" i="47"/>
  <c r="V52" i="47"/>
  <c r="I53" i="47"/>
  <c r="H61" i="47"/>
  <c r="Y61" i="47"/>
  <c r="T68" i="47"/>
  <c r="G69" i="47"/>
  <c r="AB72" i="47"/>
  <c r="I78" i="47"/>
  <c r="AD113" i="47"/>
  <c r="P122" i="47"/>
  <c r="D456" i="47"/>
  <c r="D396" i="47"/>
  <c r="D426" i="47"/>
  <c r="D366" i="47"/>
  <c r="D306" i="47"/>
  <c r="D276" i="47"/>
  <c r="D216" i="47"/>
  <c r="D186" i="47"/>
  <c r="D156" i="47"/>
  <c r="D246" i="47"/>
  <c r="D96" i="47"/>
  <c r="F465" i="47"/>
  <c r="F405" i="47"/>
  <c r="F435" i="47"/>
  <c r="F315" i="47"/>
  <c r="F375" i="47"/>
  <c r="F285" i="47"/>
  <c r="F255" i="47"/>
  <c r="F225" i="47"/>
  <c r="F165" i="47"/>
  <c r="F195" i="47"/>
  <c r="F105" i="47"/>
  <c r="R471" i="47"/>
  <c r="R441" i="47"/>
  <c r="R411" i="47"/>
  <c r="R381" i="47"/>
  <c r="R321" i="47"/>
  <c r="R291" i="47"/>
  <c r="R231" i="47"/>
  <c r="R261" i="47"/>
  <c r="R201" i="47"/>
  <c r="R171" i="47"/>
  <c r="R111" i="47"/>
  <c r="AD477" i="47"/>
  <c r="AD447" i="47"/>
  <c r="AD417" i="47"/>
  <c r="AD387" i="47"/>
  <c r="AD327" i="47"/>
  <c r="AD297" i="47"/>
  <c r="AD267" i="47"/>
  <c r="AD237" i="47"/>
  <c r="AD177" i="47"/>
  <c r="AD207" i="47"/>
  <c r="AD117" i="47"/>
  <c r="J483" i="47"/>
  <c r="J453" i="47"/>
  <c r="J423" i="47"/>
  <c r="J393" i="47"/>
  <c r="J303" i="47"/>
  <c r="J333" i="47"/>
  <c r="J273" i="47"/>
  <c r="J243" i="47"/>
  <c r="J213" i="47"/>
  <c r="J183" i="47"/>
  <c r="J123" i="47"/>
  <c r="R86" i="47"/>
  <c r="Z92" i="47"/>
  <c r="AC460" i="47"/>
  <c r="AC400" i="47"/>
  <c r="AC430" i="47"/>
  <c r="AC370" i="47"/>
  <c r="AC280" i="47"/>
  <c r="AC310" i="47"/>
  <c r="AC220" i="47"/>
  <c r="AC250" i="47"/>
  <c r="AC190" i="47"/>
  <c r="AC160" i="47"/>
  <c r="AC100" i="47"/>
  <c r="AC468" i="47"/>
  <c r="AC438" i="47"/>
  <c r="AC408" i="47"/>
  <c r="AC378" i="47"/>
  <c r="AC288" i="47"/>
  <c r="AC318" i="47"/>
  <c r="AC228" i="47"/>
  <c r="AC258" i="47"/>
  <c r="AC168" i="47"/>
  <c r="AC198" i="47"/>
  <c r="AC108" i="47"/>
  <c r="AA475" i="47"/>
  <c r="AA445" i="47"/>
  <c r="AA385" i="47"/>
  <c r="AA415" i="47"/>
  <c r="AA325" i="47"/>
  <c r="AA295" i="47"/>
  <c r="AA265" i="47"/>
  <c r="AA235" i="47"/>
  <c r="AA175" i="47"/>
  <c r="AA205" i="47"/>
  <c r="AA115" i="47"/>
  <c r="Y482" i="47"/>
  <c r="Y452" i="47"/>
  <c r="Y422" i="47"/>
  <c r="Y392" i="47"/>
  <c r="Y332" i="47"/>
  <c r="Y302" i="47"/>
  <c r="Y242" i="47"/>
  <c r="Y272" i="47"/>
  <c r="Y182" i="47"/>
  <c r="Y122" i="47"/>
  <c r="Y212" i="47"/>
  <c r="E95" i="47"/>
  <c r="O73" i="47"/>
  <c r="C82" i="47"/>
  <c r="X426" i="47"/>
  <c r="X456" i="47"/>
  <c r="X366" i="47"/>
  <c r="X396" i="47"/>
  <c r="X306" i="47"/>
  <c r="X276" i="47"/>
  <c r="X216" i="47"/>
  <c r="X246" i="47"/>
  <c r="X156" i="47"/>
  <c r="X186" i="47"/>
  <c r="X96" i="47"/>
  <c r="Z427" i="47"/>
  <c r="Z457" i="47"/>
  <c r="Z367" i="47"/>
  <c r="Z397" i="47"/>
  <c r="Z277" i="47"/>
  <c r="Z307" i="47"/>
  <c r="Z217" i="47"/>
  <c r="Z157" i="47"/>
  <c r="Z247" i="47"/>
  <c r="Z187" i="47"/>
  <c r="Z97" i="47"/>
  <c r="L428" i="47"/>
  <c r="L458" i="47"/>
  <c r="L398" i="47"/>
  <c r="L368" i="47"/>
  <c r="L278" i="47"/>
  <c r="L308" i="47"/>
  <c r="L218" i="47"/>
  <c r="L158" i="47"/>
  <c r="L248" i="47"/>
  <c r="L188" i="47"/>
  <c r="L98" i="47"/>
  <c r="AB428" i="47"/>
  <c r="AB458" i="47"/>
  <c r="AB398" i="47"/>
  <c r="AB368" i="47"/>
  <c r="AB278" i="47"/>
  <c r="AB308" i="47"/>
  <c r="AB218" i="47"/>
  <c r="AB248" i="47"/>
  <c r="AB158" i="47"/>
  <c r="AB188" i="47"/>
  <c r="AB98" i="47"/>
  <c r="N429" i="47"/>
  <c r="N459" i="47"/>
  <c r="N399" i="47"/>
  <c r="N369" i="47"/>
  <c r="N279" i="47"/>
  <c r="N249" i="47"/>
  <c r="N219" i="47"/>
  <c r="N309" i="47"/>
  <c r="N159" i="47"/>
  <c r="N189" i="47"/>
  <c r="N99" i="47"/>
  <c r="AD429" i="47"/>
  <c r="AD459" i="47"/>
  <c r="AD399" i="47"/>
  <c r="AD369" i="47"/>
  <c r="AD309" i="47"/>
  <c r="AD279" i="47"/>
  <c r="AD249" i="47"/>
  <c r="AD219" i="47"/>
  <c r="AD159" i="47"/>
  <c r="AD189" i="47"/>
  <c r="AD99" i="47"/>
  <c r="P430" i="47"/>
  <c r="P460" i="47"/>
  <c r="P400" i="47"/>
  <c r="P370" i="47"/>
  <c r="P310" i="47"/>
  <c r="P280" i="47"/>
  <c r="P250" i="47"/>
  <c r="P220" i="47"/>
  <c r="P160" i="47"/>
  <c r="P100" i="47"/>
  <c r="P190" i="47"/>
  <c r="AF430" i="47"/>
  <c r="AF460" i="47"/>
  <c r="AF400" i="47"/>
  <c r="AF370" i="47"/>
  <c r="AF280" i="47"/>
  <c r="AF310" i="47"/>
  <c r="AF220" i="47"/>
  <c r="AF250" i="47"/>
  <c r="AF160" i="47"/>
  <c r="AF100" i="47"/>
  <c r="AF190" i="47"/>
  <c r="R431" i="47"/>
  <c r="R461" i="47"/>
  <c r="R401" i="47"/>
  <c r="R371" i="47"/>
  <c r="R281" i="47"/>
  <c r="R311" i="47"/>
  <c r="R221" i="47"/>
  <c r="R251" i="47"/>
  <c r="R191" i="47"/>
  <c r="R161" i="47"/>
  <c r="R101" i="47"/>
  <c r="D432" i="47"/>
  <c r="D402" i="47"/>
  <c r="D462" i="47"/>
  <c r="D372" i="47"/>
  <c r="D282" i="47"/>
  <c r="D312" i="47"/>
  <c r="D222" i="47"/>
  <c r="D252" i="47"/>
  <c r="D192" i="47"/>
  <c r="D162" i="47"/>
  <c r="D102" i="47"/>
  <c r="T432" i="47"/>
  <c r="T462" i="47"/>
  <c r="T402" i="47"/>
  <c r="T372" i="47"/>
  <c r="T312" i="47"/>
  <c r="T282" i="47"/>
  <c r="T222" i="47"/>
  <c r="T252" i="47"/>
  <c r="T162" i="47"/>
  <c r="T192" i="47"/>
  <c r="T102" i="47"/>
  <c r="F433" i="47"/>
  <c r="F463" i="47"/>
  <c r="F403" i="47"/>
  <c r="F373" i="47"/>
  <c r="F313" i="47"/>
  <c r="F283" i="47"/>
  <c r="F223" i="47"/>
  <c r="F253" i="47"/>
  <c r="F163" i="47"/>
  <c r="F193" i="47"/>
  <c r="F103" i="47"/>
  <c r="V433" i="47"/>
  <c r="V463" i="47"/>
  <c r="V403" i="47"/>
  <c r="V373" i="47"/>
  <c r="V283" i="47"/>
  <c r="V313" i="47"/>
  <c r="V223" i="47"/>
  <c r="V253" i="47"/>
  <c r="V163" i="47"/>
  <c r="V193" i="47"/>
  <c r="V103" i="47"/>
  <c r="H434" i="47"/>
  <c r="H464" i="47"/>
  <c r="H404" i="47"/>
  <c r="H374" i="47"/>
  <c r="H284" i="47"/>
  <c r="H314" i="47"/>
  <c r="H224" i="47"/>
  <c r="H254" i="47"/>
  <c r="H164" i="47"/>
  <c r="H194" i="47"/>
  <c r="H104" i="47"/>
  <c r="X434" i="47"/>
  <c r="X464" i="47"/>
  <c r="X404" i="47"/>
  <c r="X374" i="47"/>
  <c r="X284" i="47"/>
  <c r="X314" i="47"/>
  <c r="X224" i="47"/>
  <c r="X164" i="47"/>
  <c r="X254" i="47"/>
  <c r="X194" i="47"/>
  <c r="X104" i="47"/>
  <c r="J435" i="47"/>
  <c r="J465" i="47"/>
  <c r="J405" i="47"/>
  <c r="J375" i="47"/>
  <c r="J315" i="47"/>
  <c r="J285" i="47"/>
  <c r="J255" i="47"/>
  <c r="J225" i="47"/>
  <c r="J165" i="47"/>
  <c r="J195" i="47"/>
  <c r="J105" i="47"/>
  <c r="Z435" i="47"/>
  <c r="Z465" i="47"/>
  <c r="Z405" i="47"/>
  <c r="Z375" i="47"/>
  <c r="Z285" i="47"/>
  <c r="Z315" i="47"/>
  <c r="Z255" i="47"/>
  <c r="Z225" i="47"/>
  <c r="Z165" i="47"/>
  <c r="Z195" i="47"/>
  <c r="Z105" i="47"/>
  <c r="L436" i="47"/>
  <c r="L406" i="47"/>
  <c r="L466" i="47"/>
  <c r="L376" i="47"/>
  <c r="L286" i="47"/>
  <c r="L316" i="47"/>
  <c r="L226" i="47"/>
  <c r="L256" i="47"/>
  <c r="L166" i="47"/>
  <c r="L196" i="47"/>
  <c r="L106" i="47"/>
  <c r="AB436" i="47"/>
  <c r="AB466" i="47"/>
  <c r="AB406" i="47"/>
  <c r="AB376" i="47"/>
  <c r="AB316" i="47"/>
  <c r="AB286" i="47"/>
  <c r="AB226" i="47"/>
  <c r="AB256" i="47"/>
  <c r="AB166" i="47"/>
  <c r="AB196" i="47"/>
  <c r="AB106" i="47"/>
  <c r="N437" i="47"/>
  <c r="N467" i="47"/>
  <c r="N407" i="47"/>
  <c r="N377" i="47"/>
  <c r="N287" i="47"/>
  <c r="N317" i="47"/>
  <c r="N227" i="47"/>
  <c r="N257" i="47"/>
  <c r="N167" i="47"/>
  <c r="N107" i="47"/>
  <c r="N197" i="47"/>
  <c r="AD437" i="47"/>
  <c r="AD467" i="47"/>
  <c r="AD407" i="47"/>
  <c r="AD377" i="47"/>
  <c r="AD287" i="47"/>
  <c r="AD317" i="47"/>
  <c r="AD227" i="47"/>
  <c r="AD257" i="47"/>
  <c r="AD197" i="47"/>
  <c r="AD167" i="47"/>
  <c r="AD107" i="47"/>
  <c r="P438" i="47"/>
  <c r="P468" i="47"/>
  <c r="P408" i="47"/>
  <c r="P378" i="47"/>
  <c r="P318" i="47"/>
  <c r="P288" i="47"/>
  <c r="P228" i="47"/>
  <c r="P258" i="47"/>
  <c r="P168" i="47"/>
  <c r="P198" i="47"/>
  <c r="P108" i="47"/>
  <c r="AF438" i="47"/>
  <c r="AF468" i="47"/>
  <c r="AF408" i="47"/>
  <c r="AF378" i="47"/>
  <c r="AF288" i="47"/>
  <c r="AF318" i="47"/>
  <c r="AF228" i="47"/>
  <c r="AF258" i="47"/>
  <c r="AF168" i="47"/>
  <c r="AF198" i="47"/>
  <c r="AF108" i="47"/>
  <c r="R439" i="47"/>
  <c r="R469" i="47"/>
  <c r="R409" i="47"/>
  <c r="R379" i="47"/>
  <c r="R289" i="47"/>
  <c r="R319" i="47"/>
  <c r="R229" i="47"/>
  <c r="R259" i="47"/>
  <c r="R169" i="47"/>
  <c r="R199" i="47"/>
  <c r="R109" i="47"/>
  <c r="D440" i="47"/>
  <c r="D470" i="47"/>
  <c r="D410" i="47"/>
  <c r="D380" i="47"/>
  <c r="D320" i="47"/>
  <c r="D290" i="47"/>
  <c r="D230" i="47"/>
  <c r="D260" i="47"/>
  <c r="D170" i="47"/>
  <c r="D200" i="47"/>
  <c r="D110" i="47"/>
  <c r="T440" i="47"/>
  <c r="T410" i="47"/>
  <c r="T470" i="47"/>
  <c r="T290" i="47"/>
  <c r="T380" i="47"/>
  <c r="T320" i="47"/>
  <c r="T230" i="47"/>
  <c r="T200" i="47"/>
  <c r="T260" i="47"/>
  <c r="T170" i="47"/>
  <c r="T110" i="47"/>
  <c r="F441" i="47"/>
  <c r="F471" i="47"/>
  <c r="F411" i="47"/>
  <c r="F381" i="47"/>
  <c r="F291" i="47"/>
  <c r="F321" i="47"/>
  <c r="F231" i="47"/>
  <c r="F261" i="47"/>
  <c r="F201" i="47"/>
  <c r="F171" i="47"/>
  <c r="F111" i="47"/>
  <c r="V441" i="47"/>
  <c r="V471" i="47"/>
  <c r="V411" i="47"/>
  <c r="V381" i="47"/>
  <c r="V321" i="47"/>
  <c r="V291" i="47"/>
  <c r="V231" i="47"/>
  <c r="V201" i="47"/>
  <c r="V261" i="47"/>
  <c r="V171" i="47"/>
  <c r="V111" i="47"/>
  <c r="H442" i="47"/>
  <c r="H472" i="47"/>
  <c r="H412" i="47"/>
  <c r="H382" i="47"/>
  <c r="H292" i="47"/>
  <c r="H322" i="47"/>
  <c r="H232" i="47"/>
  <c r="H202" i="47"/>
  <c r="H262" i="47"/>
  <c r="H172" i="47"/>
  <c r="H112" i="47"/>
  <c r="X442" i="47"/>
  <c r="X472" i="47"/>
  <c r="X412" i="47"/>
  <c r="X382" i="47"/>
  <c r="X322" i="47"/>
  <c r="X292" i="47"/>
  <c r="X232" i="47"/>
  <c r="X202" i="47"/>
  <c r="X262" i="47"/>
  <c r="X172" i="47"/>
  <c r="X112" i="47"/>
  <c r="J443" i="47"/>
  <c r="J473" i="47"/>
  <c r="J413" i="47"/>
  <c r="J383" i="47"/>
  <c r="J293" i="47"/>
  <c r="J323" i="47"/>
  <c r="J233" i="47"/>
  <c r="J263" i="47"/>
  <c r="J203" i="47"/>
  <c r="J173" i="47"/>
  <c r="J113" i="47"/>
  <c r="Z443" i="47"/>
  <c r="Z473" i="47"/>
  <c r="Z413" i="47"/>
  <c r="Z323" i="47"/>
  <c r="Z383" i="47"/>
  <c r="Z293" i="47"/>
  <c r="Z233" i="47"/>
  <c r="Z203" i="47"/>
  <c r="Z263" i="47"/>
  <c r="Z173" i="47"/>
  <c r="Z113" i="47"/>
  <c r="L444" i="47"/>
  <c r="L474" i="47"/>
  <c r="L414" i="47"/>
  <c r="L324" i="47"/>
  <c r="L384" i="47"/>
  <c r="L294" i="47"/>
  <c r="L234" i="47"/>
  <c r="L204" i="47"/>
  <c r="L174" i="47"/>
  <c r="L264" i="47"/>
  <c r="L114" i="47"/>
  <c r="AB444" i="47"/>
  <c r="AB414" i="47"/>
  <c r="AB474" i="47"/>
  <c r="AB324" i="47"/>
  <c r="AB294" i="47"/>
  <c r="AB384" i="47"/>
  <c r="AB234" i="47"/>
  <c r="AB264" i="47"/>
  <c r="AB204" i="47"/>
  <c r="AB174" i="47"/>
  <c r="AB114" i="47"/>
  <c r="N445" i="47"/>
  <c r="N415" i="47"/>
  <c r="N475" i="47"/>
  <c r="N385" i="47"/>
  <c r="N325" i="47"/>
  <c r="N295" i="47"/>
  <c r="N235" i="47"/>
  <c r="N205" i="47"/>
  <c r="N265" i="47"/>
  <c r="N175" i="47"/>
  <c r="N115" i="47"/>
  <c r="AD445" i="47"/>
  <c r="AD415" i="47"/>
  <c r="AD475" i="47"/>
  <c r="AD385" i="47"/>
  <c r="AD325" i="47"/>
  <c r="AD295" i="47"/>
  <c r="AD265" i="47"/>
  <c r="AD235" i="47"/>
  <c r="AD205" i="47"/>
  <c r="AD175" i="47"/>
  <c r="AD115" i="47"/>
  <c r="P446" i="47"/>
  <c r="P416" i="47"/>
  <c r="P476" i="47"/>
  <c r="P386" i="47"/>
  <c r="P326" i="47"/>
  <c r="P296" i="47"/>
  <c r="P236" i="47"/>
  <c r="P206" i="47"/>
  <c r="P266" i="47"/>
  <c r="P176" i="47"/>
  <c r="P116" i="47"/>
  <c r="AF446" i="47"/>
  <c r="AF476" i="47"/>
  <c r="AF416" i="47"/>
  <c r="AF326" i="47"/>
  <c r="AF386" i="47"/>
  <c r="AF296" i="47"/>
  <c r="AF236" i="47"/>
  <c r="AF206" i="47"/>
  <c r="AF176" i="47"/>
  <c r="AF116" i="47"/>
  <c r="AF266" i="47"/>
  <c r="R447" i="47"/>
  <c r="R477" i="47"/>
  <c r="R417" i="47"/>
  <c r="R327" i="47"/>
  <c r="R387" i="47"/>
  <c r="R297" i="47"/>
  <c r="R237" i="47"/>
  <c r="R267" i="47"/>
  <c r="R207" i="47"/>
  <c r="R177" i="47"/>
  <c r="R117" i="47"/>
  <c r="D448" i="47"/>
  <c r="D478" i="47"/>
  <c r="D418" i="47"/>
  <c r="D328" i="47"/>
  <c r="D388" i="47"/>
  <c r="D298" i="47"/>
  <c r="D238" i="47"/>
  <c r="D208" i="47"/>
  <c r="D178" i="47"/>
  <c r="D268" i="47"/>
  <c r="D118" i="47"/>
  <c r="T448" i="47"/>
  <c r="T478" i="47"/>
  <c r="T418" i="47"/>
  <c r="T388" i="47"/>
  <c r="T328" i="47"/>
  <c r="T298" i="47"/>
  <c r="T238" i="47"/>
  <c r="T268" i="47"/>
  <c r="T208" i="47"/>
  <c r="T178" i="47"/>
  <c r="T118" i="47"/>
  <c r="F449" i="47"/>
  <c r="F419" i="47"/>
  <c r="F479" i="47"/>
  <c r="F389" i="47"/>
  <c r="F329" i="47"/>
  <c r="F299" i="47"/>
  <c r="F239" i="47"/>
  <c r="F209" i="47"/>
  <c r="F179" i="47"/>
  <c r="F269" i="47"/>
  <c r="F119" i="47"/>
  <c r="V449" i="47"/>
  <c r="V419" i="47"/>
  <c r="V479" i="47"/>
  <c r="V329" i="47"/>
  <c r="V389" i="47"/>
  <c r="V299" i="47"/>
  <c r="V239" i="47"/>
  <c r="V269" i="47"/>
  <c r="V209" i="47"/>
  <c r="V179" i="47"/>
  <c r="V119" i="47"/>
  <c r="H450" i="47"/>
  <c r="H420" i="47"/>
  <c r="H480" i="47"/>
  <c r="H330" i="47"/>
  <c r="H390" i="47"/>
  <c r="H300" i="47"/>
  <c r="H240" i="47"/>
  <c r="H210" i="47"/>
  <c r="H180" i="47"/>
  <c r="H270" i="47"/>
  <c r="H120" i="47"/>
  <c r="X450" i="47"/>
  <c r="X420" i="47"/>
  <c r="X480" i="47"/>
  <c r="X390" i="47"/>
  <c r="X330" i="47"/>
  <c r="X300" i="47"/>
  <c r="X240" i="47"/>
  <c r="X270" i="47"/>
  <c r="X210" i="47"/>
  <c r="X180" i="47"/>
  <c r="X120" i="47"/>
  <c r="J451" i="47"/>
  <c r="J481" i="47"/>
  <c r="J421" i="47"/>
  <c r="J391" i="47"/>
  <c r="J331" i="47"/>
  <c r="J301" i="47"/>
  <c r="J271" i="47"/>
  <c r="J241" i="47"/>
  <c r="J211" i="47"/>
  <c r="J181" i="47"/>
  <c r="J121" i="47"/>
  <c r="Z451" i="47"/>
  <c r="Z481" i="47"/>
  <c r="Z421" i="47"/>
  <c r="Z331" i="47"/>
  <c r="Z391" i="47"/>
  <c r="Z301" i="47"/>
  <c r="Z241" i="47"/>
  <c r="Z211" i="47"/>
  <c r="Z271" i="47"/>
  <c r="Z181" i="47"/>
  <c r="Z121" i="47"/>
  <c r="L452" i="47"/>
  <c r="L482" i="47"/>
  <c r="L422" i="47"/>
  <c r="L392" i="47"/>
  <c r="L332" i="47"/>
  <c r="L302" i="47"/>
  <c r="L272" i="47"/>
  <c r="L212" i="47"/>
  <c r="L242" i="47"/>
  <c r="L182" i="47"/>
  <c r="L122" i="47"/>
  <c r="AB452" i="47"/>
  <c r="AB482" i="47"/>
  <c r="AB422" i="47"/>
  <c r="AB392" i="47"/>
  <c r="AB332" i="47"/>
  <c r="AB302" i="47"/>
  <c r="AB212" i="47"/>
  <c r="AB242" i="47"/>
  <c r="AB272" i="47"/>
  <c r="AB182" i="47"/>
  <c r="AB122" i="47"/>
  <c r="N453" i="47"/>
  <c r="N423" i="47"/>
  <c r="N483" i="47"/>
  <c r="N333" i="47"/>
  <c r="N393" i="47"/>
  <c r="N303" i="47"/>
  <c r="N213" i="47"/>
  <c r="N273" i="47"/>
  <c r="N183" i="47"/>
  <c r="N243" i="47"/>
  <c r="N123" i="47"/>
  <c r="AD453" i="47"/>
  <c r="AD423" i="47"/>
  <c r="AD483" i="47"/>
  <c r="AD393" i="47"/>
  <c r="AD333" i="47"/>
  <c r="AD303" i="47"/>
  <c r="AD273" i="47"/>
  <c r="AD213" i="47"/>
  <c r="AD243" i="47"/>
  <c r="AD183" i="47"/>
  <c r="AD123" i="47"/>
  <c r="P454" i="47"/>
  <c r="P424" i="47"/>
  <c r="P484" i="47"/>
  <c r="P334" i="47"/>
  <c r="P394" i="47"/>
  <c r="P304" i="47"/>
  <c r="P274" i="47"/>
  <c r="P214" i="47"/>
  <c r="P244" i="47"/>
  <c r="P184" i="47"/>
  <c r="P124" i="47"/>
  <c r="AF454" i="47"/>
  <c r="AF394" i="47"/>
  <c r="AF424" i="47"/>
  <c r="AF484" i="47"/>
  <c r="AF334" i="47"/>
  <c r="AF304" i="47"/>
  <c r="AF214" i="47"/>
  <c r="AF274" i="47"/>
  <c r="AF244" i="47"/>
  <c r="AF184" i="47"/>
  <c r="AF124" i="47"/>
  <c r="R455" i="47"/>
  <c r="R395" i="47"/>
  <c r="R485" i="47"/>
  <c r="R425" i="47"/>
  <c r="R335" i="47"/>
  <c r="R305" i="47"/>
  <c r="R275" i="47"/>
  <c r="R215" i="47"/>
  <c r="R245" i="47"/>
  <c r="R185" i="47"/>
  <c r="R125" i="47"/>
  <c r="D36" i="47"/>
  <c r="H38" i="47"/>
  <c r="F45" i="47"/>
  <c r="H46" i="47"/>
  <c r="AB48" i="47"/>
  <c r="F52" i="47"/>
  <c r="W52" i="47"/>
  <c r="J53" i="47"/>
  <c r="N54" i="47"/>
  <c r="V60" i="47"/>
  <c r="I61" i="47"/>
  <c r="Z61" i="47"/>
  <c r="AD62" i="47"/>
  <c r="D68" i="47"/>
  <c r="U68" i="47"/>
  <c r="AC72" i="47"/>
  <c r="R75" i="47"/>
  <c r="J88" i="47"/>
  <c r="N461" i="47"/>
  <c r="N401" i="47"/>
  <c r="N431" i="47"/>
  <c r="N371" i="47"/>
  <c r="N281" i="47"/>
  <c r="N311" i="47"/>
  <c r="N221" i="47"/>
  <c r="N251" i="47"/>
  <c r="N191" i="47"/>
  <c r="N161" i="47"/>
  <c r="N101" i="47"/>
  <c r="J475" i="47"/>
  <c r="J445" i="47"/>
  <c r="J415" i="47"/>
  <c r="J385" i="47"/>
  <c r="J325" i="47"/>
  <c r="J295" i="47"/>
  <c r="J235" i="47"/>
  <c r="J265" i="47"/>
  <c r="J175" i="47"/>
  <c r="J205" i="47"/>
  <c r="J115" i="47"/>
  <c r="V87" i="47"/>
  <c r="L143" i="47"/>
  <c r="U464" i="47"/>
  <c r="U404" i="47"/>
  <c r="U374" i="47"/>
  <c r="U434" i="47"/>
  <c r="U314" i="47"/>
  <c r="U284" i="47"/>
  <c r="U254" i="47"/>
  <c r="U224" i="47"/>
  <c r="U164" i="47"/>
  <c r="U194" i="47"/>
  <c r="U104" i="47"/>
  <c r="K475" i="47"/>
  <c r="K445" i="47"/>
  <c r="K415" i="47"/>
  <c r="K385" i="47"/>
  <c r="K325" i="47"/>
  <c r="K295" i="47"/>
  <c r="K235" i="47"/>
  <c r="K265" i="47"/>
  <c r="K175" i="47"/>
  <c r="K205" i="47"/>
  <c r="K115" i="47"/>
  <c r="AC484" i="47"/>
  <c r="AC454" i="47"/>
  <c r="AC394" i="47"/>
  <c r="AC424" i="47"/>
  <c r="AC334" i="47"/>
  <c r="AC244" i="47"/>
  <c r="AC304" i="47"/>
  <c r="AC274" i="47"/>
  <c r="AC214" i="47"/>
  <c r="AC184" i="47"/>
  <c r="AC124" i="47"/>
  <c r="AB84" i="47"/>
  <c r="W87" i="47"/>
  <c r="R94" i="47"/>
  <c r="D76" i="47"/>
  <c r="Y426" i="47"/>
  <c r="Y456" i="47"/>
  <c r="Y366" i="47"/>
  <c r="Y396" i="47"/>
  <c r="Y306" i="47"/>
  <c r="Y216" i="47"/>
  <c r="Y246" i="47"/>
  <c r="Y276" i="47"/>
  <c r="Y156" i="47"/>
  <c r="Y186" i="47"/>
  <c r="Y96" i="47"/>
  <c r="AA427" i="47"/>
  <c r="AA457" i="47"/>
  <c r="AA367" i="47"/>
  <c r="AA397" i="47"/>
  <c r="AA307" i="47"/>
  <c r="AA277" i="47"/>
  <c r="AA217" i="47"/>
  <c r="AA247" i="47"/>
  <c r="AA157" i="47"/>
  <c r="AA187" i="47"/>
  <c r="AA97" i="47"/>
  <c r="M428" i="47"/>
  <c r="M458" i="47"/>
  <c r="M398" i="47"/>
  <c r="M368" i="47"/>
  <c r="M308" i="47"/>
  <c r="M218" i="47"/>
  <c r="M278" i="47"/>
  <c r="M158" i="47"/>
  <c r="M248" i="47"/>
  <c r="M188" i="47"/>
  <c r="M98" i="47"/>
  <c r="AC428" i="47"/>
  <c r="AC458" i="47"/>
  <c r="AC398" i="47"/>
  <c r="AC368" i="47"/>
  <c r="AC308" i="47"/>
  <c r="AC218" i="47"/>
  <c r="AC278" i="47"/>
  <c r="AC248" i="47"/>
  <c r="AC158" i="47"/>
  <c r="AC188" i="47"/>
  <c r="AC98" i="47"/>
  <c r="O429" i="47"/>
  <c r="O459" i="47"/>
  <c r="O399" i="47"/>
  <c r="O369" i="47"/>
  <c r="O309" i="47"/>
  <c r="O219" i="47"/>
  <c r="O279" i="47"/>
  <c r="O249" i="47"/>
  <c r="O159" i="47"/>
  <c r="O189" i="47"/>
  <c r="O99" i="47"/>
  <c r="AE429" i="47"/>
  <c r="AE459" i="47"/>
  <c r="AE399" i="47"/>
  <c r="AE369" i="47"/>
  <c r="AE309" i="47"/>
  <c r="AE249" i="47"/>
  <c r="AE219" i="47"/>
  <c r="AE279" i="47"/>
  <c r="AE159" i="47"/>
  <c r="AE189" i="47"/>
  <c r="AE99" i="47"/>
  <c r="Q430" i="47"/>
  <c r="Q460" i="47"/>
  <c r="Q400" i="47"/>
  <c r="Q370" i="47"/>
  <c r="Q310" i="47"/>
  <c r="Q280" i="47"/>
  <c r="Q250" i="47"/>
  <c r="Q220" i="47"/>
  <c r="Q160" i="47"/>
  <c r="Q190" i="47"/>
  <c r="Q100" i="47"/>
  <c r="C431" i="47"/>
  <c r="C461" i="47"/>
  <c r="C401" i="47"/>
  <c r="C371" i="47"/>
  <c r="C311" i="47"/>
  <c r="C221" i="47"/>
  <c r="C251" i="47"/>
  <c r="C161" i="47"/>
  <c r="C281" i="47"/>
  <c r="C101" i="47"/>
  <c r="C191" i="47"/>
  <c r="S431" i="47"/>
  <c r="S461" i="47"/>
  <c r="S401" i="47"/>
  <c r="S371" i="47"/>
  <c r="S311" i="47"/>
  <c r="S221" i="47"/>
  <c r="S251" i="47"/>
  <c r="S281" i="47"/>
  <c r="S161" i="47"/>
  <c r="S101" i="47"/>
  <c r="S191" i="47"/>
  <c r="E432" i="47"/>
  <c r="E462" i="47"/>
  <c r="E402" i="47"/>
  <c r="E372" i="47"/>
  <c r="E312" i="47"/>
  <c r="E222" i="47"/>
  <c r="E252" i="47"/>
  <c r="E282" i="47"/>
  <c r="E192" i="47"/>
  <c r="E162" i="47"/>
  <c r="E102" i="47"/>
  <c r="U432" i="47"/>
  <c r="U462" i="47"/>
  <c r="U402" i="47"/>
  <c r="U372" i="47"/>
  <c r="U312" i="47"/>
  <c r="U222" i="47"/>
  <c r="U252" i="47"/>
  <c r="U282" i="47"/>
  <c r="U162" i="47"/>
  <c r="U192" i="47"/>
  <c r="U102" i="47"/>
  <c r="G433" i="47"/>
  <c r="G463" i="47"/>
  <c r="G403" i="47"/>
  <c r="G373" i="47"/>
  <c r="G313" i="47"/>
  <c r="G223" i="47"/>
  <c r="G283" i="47"/>
  <c r="G253" i="47"/>
  <c r="G163" i="47"/>
  <c r="G193" i="47"/>
  <c r="G103" i="47"/>
  <c r="W433" i="47"/>
  <c r="W463" i="47"/>
  <c r="W403" i="47"/>
  <c r="W373" i="47"/>
  <c r="W313" i="47"/>
  <c r="W223" i="47"/>
  <c r="W283" i="47"/>
  <c r="W163" i="47"/>
  <c r="W193" i="47"/>
  <c r="W253" i="47"/>
  <c r="W103" i="47"/>
  <c r="I434" i="47"/>
  <c r="I464" i="47"/>
  <c r="I404" i="47"/>
  <c r="I374" i="47"/>
  <c r="I314" i="47"/>
  <c r="I224" i="47"/>
  <c r="I284" i="47"/>
  <c r="I254" i="47"/>
  <c r="I164" i="47"/>
  <c r="I194" i="47"/>
  <c r="I104" i="47"/>
  <c r="Y434" i="47"/>
  <c r="Y464" i="47"/>
  <c r="Y404" i="47"/>
  <c r="Y374" i="47"/>
  <c r="Y314" i="47"/>
  <c r="Y284" i="47"/>
  <c r="Y224" i="47"/>
  <c r="Y164" i="47"/>
  <c r="Y254" i="47"/>
  <c r="Y194" i="47"/>
  <c r="Y104" i="47"/>
  <c r="K435" i="47"/>
  <c r="K465" i="47"/>
  <c r="K405" i="47"/>
  <c r="K375" i="47"/>
  <c r="K315" i="47"/>
  <c r="K225" i="47"/>
  <c r="K255" i="47"/>
  <c r="K165" i="47"/>
  <c r="K285" i="47"/>
  <c r="K195" i="47"/>
  <c r="K105" i="47"/>
  <c r="AA435" i="47"/>
  <c r="AA465" i="47"/>
  <c r="AA405" i="47"/>
  <c r="AA375" i="47"/>
  <c r="AA315" i="47"/>
  <c r="AA255" i="47"/>
  <c r="AA225" i="47"/>
  <c r="AA285" i="47"/>
  <c r="AA165" i="47"/>
  <c r="AA195" i="47"/>
  <c r="AA105" i="47"/>
  <c r="M436" i="47"/>
  <c r="M466" i="47"/>
  <c r="M406" i="47"/>
  <c r="M376" i="47"/>
  <c r="M316" i="47"/>
  <c r="M226" i="47"/>
  <c r="M256" i="47"/>
  <c r="M286" i="47"/>
  <c r="M166" i="47"/>
  <c r="M196" i="47"/>
  <c r="M106" i="47"/>
  <c r="AC436" i="47"/>
  <c r="AC466" i="47"/>
  <c r="AC406" i="47"/>
  <c r="AC376" i="47"/>
  <c r="AC316" i="47"/>
  <c r="AC226" i="47"/>
  <c r="AC256" i="47"/>
  <c r="AC286" i="47"/>
  <c r="AC166" i="47"/>
  <c r="AC196" i="47"/>
  <c r="AC106" i="47"/>
  <c r="O437" i="47"/>
  <c r="O467" i="47"/>
  <c r="O407" i="47"/>
  <c r="O377" i="47"/>
  <c r="O317" i="47"/>
  <c r="O227" i="47"/>
  <c r="O287" i="47"/>
  <c r="O257" i="47"/>
  <c r="O167" i="47"/>
  <c r="O197" i="47"/>
  <c r="O107" i="47"/>
  <c r="AE437" i="47"/>
  <c r="AE467" i="47"/>
  <c r="AE407" i="47"/>
  <c r="AE377" i="47"/>
  <c r="AE257" i="47"/>
  <c r="AE317" i="47"/>
  <c r="AE227" i="47"/>
  <c r="AE287" i="47"/>
  <c r="AE167" i="47"/>
  <c r="AE107" i="47"/>
  <c r="AE197" i="47"/>
  <c r="Q438" i="47"/>
  <c r="Q468" i="47"/>
  <c r="Q408" i="47"/>
  <c r="Q378" i="47"/>
  <c r="Q318" i="47"/>
  <c r="Q258" i="47"/>
  <c r="Q228" i="47"/>
  <c r="Q288" i="47"/>
  <c r="Q168" i="47"/>
  <c r="Q198" i="47"/>
  <c r="Q108" i="47"/>
  <c r="C439" i="47"/>
  <c r="C469" i="47"/>
  <c r="C409" i="47"/>
  <c r="C379" i="47"/>
  <c r="C319" i="47"/>
  <c r="C259" i="47"/>
  <c r="C289" i="47"/>
  <c r="C229" i="47"/>
  <c r="C169" i="47"/>
  <c r="C199" i="47"/>
  <c r="C109" i="47"/>
  <c r="S439" i="47"/>
  <c r="S469" i="47"/>
  <c r="S409" i="47"/>
  <c r="S379" i="47"/>
  <c r="S259" i="47"/>
  <c r="S319" i="47"/>
  <c r="S229" i="47"/>
  <c r="S169" i="47"/>
  <c r="S199" i="47"/>
  <c r="S289" i="47"/>
  <c r="S109" i="47"/>
  <c r="E440" i="47"/>
  <c r="E470" i="47"/>
  <c r="E410" i="47"/>
  <c r="E380" i="47"/>
  <c r="E320" i="47"/>
  <c r="E260" i="47"/>
  <c r="E230" i="47"/>
  <c r="E290" i="47"/>
  <c r="E170" i="47"/>
  <c r="E200" i="47"/>
  <c r="E110" i="47"/>
  <c r="U440" i="47"/>
  <c r="U470" i="47"/>
  <c r="U410" i="47"/>
  <c r="U380" i="47"/>
  <c r="U320" i="47"/>
  <c r="U260" i="47"/>
  <c r="U230" i="47"/>
  <c r="U290" i="47"/>
  <c r="U170" i="47"/>
  <c r="U200" i="47"/>
  <c r="U110" i="47"/>
  <c r="G441" i="47"/>
  <c r="G471" i="47"/>
  <c r="G411" i="47"/>
  <c r="G381" i="47"/>
  <c r="G291" i="47"/>
  <c r="G261" i="47"/>
  <c r="G321" i="47"/>
  <c r="G231" i="47"/>
  <c r="G171" i="47"/>
  <c r="G201" i="47"/>
  <c r="G111" i="47"/>
  <c r="W441" i="47"/>
  <c r="W471" i="47"/>
  <c r="W411" i="47"/>
  <c r="W381" i="47"/>
  <c r="W321" i="47"/>
  <c r="W291" i="47"/>
  <c r="W261" i="47"/>
  <c r="W231" i="47"/>
  <c r="W201" i="47"/>
  <c r="W171" i="47"/>
  <c r="W111" i="47"/>
  <c r="I442" i="47"/>
  <c r="I472" i="47"/>
  <c r="I412" i="47"/>
  <c r="I382" i="47"/>
  <c r="I292" i="47"/>
  <c r="I262" i="47"/>
  <c r="I322" i="47"/>
  <c r="I232" i="47"/>
  <c r="I172" i="47"/>
  <c r="I202" i="47"/>
  <c r="I112" i="47"/>
  <c r="Y442" i="47"/>
  <c r="Y472" i="47"/>
  <c r="Y412" i="47"/>
  <c r="Y382" i="47"/>
  <c r="Y292" i="47"/>
  <c r="Y262" i="47"/>
  <c r="Y232" i="47"/>
  <c r="Y322" i="47"/>
  <c r="Y172" i="47"/>
  <c r="Y202" i="47"/>
  <c r="Y112" i="47"/>
  <c r="K443" i="47"/>
  <c r="K473" i="47"/>
  <c r="K413" i="47"/>
  <c r="K383" i="47"/>
  <c r="K293" i="47"/>
  <c r="K323" i="47"/>
  <c r="K263" i="47"/>
  <c r="K233" i="47"/>
  <c r="K173" i="47"/>
  <c r="K203" i="47"/>
  <c r="K113" i="47"/>
  <c r="AA443" i="47"/>
  <c r="AA473" i="47"/>
  <c r="AA413" i="47"/>
  <c r="AA323" i="47"/>
  <c r="AA383" i="47"/>
  <c r="AA293" i="47"/>
  <c r="AA263" i="47"/>
  <c r="AA233" i="47"/>
  <c r="AA173" i="47"/>
  <c r="AA203" i="47"/>
  <c r="AA113" i="47"/>
  <c r="M444" i="47"/>
  <c r="M474" i="47"/>
  <c r="M414" i="47"/>
  <c r="M324" i="47"/>
  <c r="M384" i="47"/>
  <c r="M294" i="47"/>
  <c r="M264" i="47"/>
  <c r="M234" i="47"/>
  <c r="M174" i="47"/>
  <c r="M114" i="47"/>
  <c r="AC444" i="47"/>
  <c r="AC474" i="47"/>
  <c r="AC414" i="47"/>
  <c r="AC324" i="47"/>
  <c r="AC384" i="47"/>
  <c r="AC294" i="47"/>
  <c r="AC264" i="47"/>
  <c r="AC234" i="47"/>
  <c r="AC174" i="47"/>
  <c r="AC204" i="47"/>
  <c r="AC114" i="47"/>
  <c r="O445" i="47"/>
  <c r="O475" i="47"/>
  <c r="O415" i="47"/>
  <c r="O385" i="47"/>
  <c r="O325" i="47"/>
  <c r="O295" i="47"/>
  <c r="O265" i="47"/>
  <c r="O235" i="47"/>
  <c r="O175" i="47"/>
  <c r="O205" i="47"/>
  <c r="O115" i="47"/>
  <c r="AE445" i="47"/>
  <c r="AE475" i="47"/>
  <c r="AE385" i="47"/>
  <c r="AE325" i="47"/>
  <c r="AE415" i="47"/>
  <c r="AE295" i="47"/>
  <c r="AE265" i="47"/>
  <c r="AE235" i="47"/>
  <c r="AE175" i="47"/>
  <c r="AE205" i="47"/>
  <c r="AE115" i="47"/>
  <c r="Q446" i="47"/>
  <c r="Q476" i="47"/>
  <c r="Q386" i="47"/>
  <c r="Q416" i="47"/>
  <c r="Q326" i="47"/>
  <c r="Q296" i="47"/>
  <c r="Q266" i="47"/>
  <c r="Q236" i="47"/>
  <c r="Q176" i="47"/>
  <c r="Q206" i="47"/>
  <c r="Q116" i="47"/>
  <c r="C447" i="47"/>
  <c r="C477" i="47"/>
  <c r="C387" i="47"/>
  <c r="C417" i="47"/>
  <c r="C327" i="47"/>
  <c r="C297" i="47"/>
  <c r="C267" i="47"/>
  <c r="C237" i="47"/>
  <c r="C207" i="47"/>
  <c r="C177" i="47"/>
  <c r="C117" i="47"/>
  <c r="S447" i="47"/>
  <c r="S477" i="47"/>
  <c r="S387" i="47"/>
  <c r="S417" i="47"/>
  <c r="S327" i="47"/>
  <c r="S297" i="47"/>
  <c r="S267" i="47"/>
  <c r="S237" i="47"/>
  <c r="S207" i="47"/>
  <c r="S177" i="47"/>
  <c r="S117" i="47"/>
  <c r="E448" i="47"/>
  <c r="E478" i="47"/>
  <c r="E388" i="47"/>
  <c r="E418" i="47"/>
  <c r="E328" i="47"/>
  <c r="E298" i="47"/>
  <c r="E268" i="47"/>
  <c r="E238" i="47"/>
  <c r="E208" i="47"/>
  <c r="E178" i="47"/>
  <c r="E118" i="47"/>
  <c r="U448" i="47"/>
  <c r="U478" i="47"/>
  <c r="U388" i="47"/>
  <c r="U418" i="47"/>
  <c r="U328" i="47"/>
  <c r="U298" i="47"/>
  <c r="U268" i="47"/>
  <c r="U238" i="47"/>
  <c r="U208" i="47"/>
  <c r="U178" i="47"/>
  <c r="U118" i="47"/>
  <c r="G449" i="47"/>
  <c r="G479" i="47"/>
  <c r="G389" i="47"/>
  <c r="G419" i="47"/>
  <c r="G329" i="47"/>
  <c r="G299" i="47"/>
  <c r="G269" i="47"/>
  <c r="G239" i="47"/>
  <c r="G209" i="47"/>
  <c r="G179" i="47"/>
  <c r="G119" i="47"/>
  <c r="W449" i="47"/>
  <c r="W479" i="47"/>
  <c r="W419" i="47"/>
  <c r="W389" i="47"/>
  <c r="W329" i="47"/>
  <c r="W299" i="47"/>
  <c r="W269" i="47"/>
  <c r="W239" i="47"/>
  <c r="W209" i="47"/>
  <c r="W179" i="47"/>
  <c r="W119" i="47"/>
  <c r="I450" i="47"/>
  <c r="I480" i="47"/>
  <c r="I390" i="47"/>
  <c r="I420" i="47"/>
  <c r="I330" i="47"/>
  <c r="I300" i="47"/>
  <c r="I270" i="47"/>
  <c r="I240" i="47"/>
  <c r="I210" i="47"/>
  <c r="I180" i="47"/>
  <c r="I120" i="47"/>
  <c r="Y450" i="47"/>
  <c r="Y480" i="47"/>
  <c r="Y390" i="47"/>
  <c r="Y420" i="47"/>
  <c r="Y330" i="47"/>
  <c r="Y300" i="47"/>
  <c r="Y270" i="47"/>
  <c r="Y240" i="47"/>
  <c r="Y210" i="47"/>
  <c r="Y180" i="47"/>
  <c r="Y120" i="47"/>
  <c r="K451" i="47"/>
  <c r="K481" i="47"/>
  <c r="K391" i="47"/>
  <c r="K421" i="47"/>
  <c r="K331" i="47"/>
  <c r="K271" i="47"/>
  <c r="K301" i="47"/>
  <c r="K241" i="47"/>
  <c r="K211" i="47"/>
  <c r="K181" i="47"/>
  <c r="K121" i="47"/>
  <c r="AA451" i="47"/>
  <c r="AA481" i="47"/>
  <c r="AA391" i="47"/>
  <c r="AA421" i="47"/>
  <c r="AA331" i="47"/>
  <c r="AA271" i="47"/>
  <c r="AA301" i="47"/>
  <c r="AA241" i="47"/>
  <c r="AA211" i="47"/>
  <c r="AA181" i="47"/>
  <c r="AA121" i="47"/>
  <c r="M452" i="47"/>
  <c r="M482" i="47"/>
  <c r="M392" i="47"/>
  <c r="M422" i="47"/>
  <c r="M332" i="47"/>
  <c r="M272" i="47"/>
  <c r="M302" i="47"/>
  <c r="M212" i="47"/>
  <c r="M242" i="47"/>
  <c r="M182" i="47"/>
  <c r="M122" i="47"/>
  <c r="AC452" i="47"/>
  <c r="AC482" i="47"/>
  <c r="AC392" i="47"/>
  <c r="AC422" i="47"/>
  <c r="AC332" i="47"/>
  <c r="AC272" i="47"/>
  <c r="AC302" i="47"/>
  <c r="AC212" i="47"/>
  <c r="AC242" i="47"/>
  <c r="AC182" i="47"/>
  <c r="AC122" i="47"/>
  <c r="O453" i="47"/>
  <c r="O483" i="47"/>
  <c r="O393" i="47"/>
  <c r="O333" i="47"/>
  <c r="O423" i="47"/>
  <c r="O273" i="47"/>
  <c r="O303" i="47"/>
  <c r="O213" i="47"/>
  <c r="O243" i="47"/>
  <c r="O183" i="47"/>
  <c r="O123" i="47"/>
  <c r="AE453" i="47"/>
  <c r="AE483" i="47"/>
  <c r="AE423" i="47"/>
  <c r="AE393" i="47"/>
  <c r="AE333" i="47"/>
  <c r="AE273" i="47"/>
  <c r="AE303" i="47"/>
  <c r="AE213" i="47"/>
  <c r="AE183" i="47"/>
  <c r="AE243" i="47"/>
  <c r="AE123" i="47"/>
  <c r="Q454" i="47"/>
  <c r="Q484" i="47"/>
  <c r="Q394" i="47"/>
  <c r="Q424" i="47"/>
  <c r="Q334" i="47"/>
  <c r="Q274" i="47"/>
  <c r="Q304" i="47"/>
  <c r="Q214" i="47"/>
  <c r="Q244" i="47"/>
  <c r="Q184" i="47"/>
  <c r="Q124" i="47"/>
  <c r="C455" i="47"/>
  <c r="C485" i="47"/>
  <c r="C395" i="47"/>
  <c r="C425" i="47"/>
  <c r="C335" i="47"/>
  <c r="C305" i="47"/>
  <c r="C275" i="47"/>
  <c r="C215" i="47"/>
  <c r="C245" i="47"/>
  <c r="C185" i="47"/>
  <c r="C125" i="47"/>
  <c r="S455" i="47"/>
  <c r="S485" i="47"/>
  <c r="S395" i="47"/>
  <c r="S425" i="47"/>
  <c r="S335" i="47"/>
  <c r="S305" i="47"/>
  <c r="S275" i="47"/>
  <c r="S215" i="47"/>
  <c r="S245" i="47"/>
  <c r="S185" i="47"/>
  <c r="S125" i="47"/>
  <c r="G37" i="47"/>
  <c r="I38" i="47"/>
  <c r="AC40" i="47"/>
  <c r="AE41" i="47"/>
  <c r="U44" i="47"/>
  <c r="Y46" i="47"/>
  <c r="M48" i="47"/>
  <c r="AC48" i="47"/>
  <c r="T51" i="47"/>
  <c r="G52" i="47"/>
  <c r="X52" i="47"/>
  <c r="K53" i="47"/>
  <c r="AF54" i="47"/>
  <c r="S59" i="47"/>
  <c r="F60" i="47"/>
  <c r="W60" i="47"/>
  <c r="J61" i="47"/>
  <c r="AA61" i="47"/>
  <c r="R63" i="47"/>
  <c r="R67" i="47"/>
  <c r="E68" i="47"/>
  <c r="S75" i="47"/>
  <c r="P114" i="47"/>
  <c r="AF122" i="47"/>
  <c r="AD461" i="47"/>
  <c r="AD401" i="47"/>
  <c r="AD431" i="47"/>
  <c r="AD371" i="47"/>
  <c r="AD311" i="47"/>
  <c r="AD281" i="47"/>
  <c r="AD221" i="47"/>
  <c r="AD191" i="47"/>
  <c r="AD161" i="47"/>
  <c r="AD101" i="47"/>
  <c r="N469" i="47"/>
  <c r="N409" i="47"/>
  <c r="N439" i="47"/>
  <c r="N319" i="47"/>
  <c r="N289" i="47"/>
  <c r="N379" i="47"/>
  <c r="N229" i="47"/>
  <c r="N259" i="47"/>
  <c r="N169" i="47"/>
  <c r="N199" i="47"/>
  <c r="N109" i="47"/>
  <c r="R479" i="47"/>
  <c r="R449" i="47"/>
  <c r="R419" i="47"/>
  <c r="R389" i="47"/>
  <c r="R329" i="47"/>
  <c r="R299" i="47"/>
  <c r="R239" i="47"/>
  <c r="R179" i="47"/>
  <c r="R209" i="47"/>
  <c r="R269" i="47"/>
  <c r="R119" i="47"/>
  <c r="M93" i="47"/>
  <c r="Z134" i="47"/>
  <c r="Y458" i="47"/>
  <c r="Y398" i="47"/>
  <c r="Y428" i="47"/>
  <c r="Y368" i="47"/>
  <c r="Y278" i="47"/>
  <c r="Y248" i="47"/>
  <c r="Y218" i="47"/>
  <c r="Y188" i="47"/>
  <c r="Y158" i="47"/>
  <c r="Y308" i="47"/>
  <c r="Y98" i="47"/>
  <c r="S471" i="47"/>
  <c r="S441" i="47"/>
  <c r="S411" i="47"/>
  <c r="S381" i="47"/>
  <c r="S321" i="47"/>
  <c r="S291" i="47"/>
  <c r="S231" i="47"/>
  <c r="S261" i="47"/>
  <c r="S201" i="47"/>
  <c r="S171" i="47"/>
  <c r="S111" i="47"/>
  <c r="K84" i="47"/>
  <c r="N93" i="47"/>
  <c r="J426" i="47"/>
  <c r="J366" i="47"/>
  <c r="J456" i="47"/>
  <c r="J276" i="47"/>
  <c r="J396" i="47"/>
  <c r="J306" i="47"/>
  <c r="J216" i="47"/>
  <c r="J246" i="47"/>
  <c r="J186" i="47"/>
  <c r="J156" i="47"/>
  <c r="Z426" i="47"/>
  <c r="Z456" i="47"/>
  <c r="Z366" i="47"/>
  <c r="Z396" i="47"/>
  <c r="Z276" i="47"/>
  <c r="Z216" i="47"/>
  <c r="Z306" i="47"/>
  <c r="Z246" i="47"/>
  <c r="Z186" i="47"/>
  <c r="Z156" i="47"/>
  <c r="L427" i="47"/>
  <c r="L367" i="47"/>
  <c r="L457" i="47"/>
  <c r="L307" i="47"/>
  <c r="L277" i="47"/>
  <c r="L397" i="47"/>
  <c r="L217" i="47"/>
  <c r="L247" i="47"/>
  <c r="L187" i="47"/>
  <c r="AB427" i="47"/>
  <c r="AB367" i="47"/>
  <c r="AB457" i="47"/>
  <c r="AB397" i="47"/>
  <c r="AB277" i="47"/>
  <c r="AB307" i="47"/>
  <c r="AB217" i="47"/>
  <c r="AB247" i="47"/>
  <c r="AB187" i="47"/>
  <c r="AB157" i="47"/>
  <c r="N428" i="47"/>
  <c r="N368" i="47"/>
  <c r="N458" i="47"/>
  <c r="N398" i="47"/>
  <c r="N278" i="47"/>
  <c r="N308" i="47"/>
  <c r="N218" i="47"/>
  <c r="N248" i="47"/>
  <c r="N188" i="47"/>
  <c r="AD428" i="47"/>
  <c r="AD458" i="47"/>
  <c r="AD368" i="47"/>
  <c r="AD398" i="47"/>
  <c r="AD278" i="47"/>
  <c r="AD308" i="47"/>
  <c r="AD218" i="47"/>
  <c r="AD188" i="47"/>
  <c r="AD158" i="47"/>
  <c r="P429" i="47"/>
  <c r="P369" i="47"/>
  <c r="P459" i="47"/>
  <c r="P399" i="47"/>
  <c r="P279" i="47"/>
  <c r="P309" i="47"/>
  <c r="P219" i="47"/>
  <c r="P189" i="47"/>
  <c r="P249" i="47"/>
  <c r="P159" i="47"/>
  <c r="AF429" i="47"/>
  <c r="AF369" i="47"/>
  <c r="AF459" i="47"/>
  <c r="AF399" i="47"/>
  <c r="AF309" i="47"/>
  <c r="AF279" i="47"/>
  <c r="AF219" i="47"/>
  <c r="AF249" i="47"/>
  <c r="AF189" i="47"/>
  <c r="AF159" i="47"/>
  <c r="R430" i="47"/>
  <c r="R370" i="47"/>
  <c r="R460" i="47"/>
  <c r="R400" i="47"/>
  <c r="R310" i="47"/>
  <c r="R280" i="47"/>
  <c r="R250" i="47"/>
  <c r="R220" i="47"/>
  <c r="R190" i="47"/>
  <c r="R160" i="47"/>
  <c r="D431" i="47"/>
  <c r="D371" i="47"/>
  <c r="D461" i="47"/>
  <c r="D401" i="47"/>
  <c r="D281" i="47"/>
  <c r="D311" i="47"/>
  <c r="D221" i="47"/>
  <c r="D251" i="47"/>
  <c r="D191" i="47"/>
  <c r="D161" i="47"/>
  <c r="T431" i="47"/>
  <c r="T461" i="47"/>
  <c r="T371" i="47"/>
  <c r="T401" i="47"/>
  <c r="T281" i="47"/>
  <c r="T311" i="47"/>
  <c r="T221" i="47"/>
  <c r="T251" i="47"/>
  <c r="T191" i="47"/>
  <c r="F432" i="47"/>
  <c r="F372" i="47"/>
  <c r="F462" i="47"/>
  <c r="F402" i="47"/>
  <c r="F282" i="47"/>
  <c r="F312" i="47"/>
  <c r="F222" i="47"/>
  <c r="F252" i="47"/>
  <c r="F192" i="47"/>
  <c r="F162" i="47"/>
  <c r="V432" i="47"/>
  <c r="V372" i="47"/>
  <c r="V462" i="47"/>
  <c r="V402" i="47"/>
  <c r="V282" i="47"/>
  <c r="V222" i="47"/>
  <c r="V312" i="47"/>
  <c r="V252" i="47"/>
  <c r="V192" i="47"/>
  <c r="V162" i="47"/>
  <c r="H433" i="47"/>
  <c r="H373" i="47"/>
  <c r="H463" i="47"/>
  <c r="H403" i="47"/>
  <c r="H313" i="47"/>
  <c r="H283" i="47"/>
  <c r="H223" i="47"/>
  <c r="H253" i="47"/>
  <c r="H193" i="47"/>
  <c r="H163" i="47"/>
  <c r="X433" i="47"/>
  <c r="X373" i="47"/>
  <c r="X463" i="47"/>
  <c r="X403" i="47"/>
  <c r="X283" i="47"/>
  <c r="X313" i="47"/>
  <c r="X223" i="47"/>
  <c r="X253" i="47"/>
  <c r="X193" i="47"/>
  <c r="X163" i="47"/>
  <c r="J434" i="47"/>
  <c r="J374" i="47"/>
  <c r="J464" i="47"/>
  <c r="J404" i="47"/>
  <c r="J284" i="47"/>
  <c r="J314" i="47"/>
  <c r="J224" i="47"/>
  <c r="J254" i="47"/>
  <c r="J194" i="47"/>
  <c r="Z434" i="47"/>
  <c r="Z374" i="47"/>
  <c r="Z464" i="47"/>
  <c r="Z404" i="47"/>
  <c r="Z284" i="47"/>
  <c r="Z314" i="47"/>
  <c r="Z224" i="47"/>
  <c r="Z254" i="47"/>
  <c r="Z194" i="47"/>
  <c r="L435" i="47"/>
  <c r="L375" i="47"/>
  <c r="L465" i="47"/>
  <c r="L405" i="47"/>
  <c r="L315" i="47"/>
  <c r="L285" i="47"/>
  <c r="L225" i="47"/>
  <c r="L195" i="47"/>
  <c r="L255" i="47"/>
  <c r="L165" i="47"/>
  <c r="AB435" i="47"/>
  <c r="AB465" i="47"/>
  <c r="AB375" i="47"/>
  <c r="AB405" i="47"/>
  <c r="AB285" i="47"/>
  <c r="AB315" i="47"/>
  <c r="AB255" i="47"/>
  <c r="AB225" i="47"/>
  <c r="AB195" i="47"/>
  <c r="AB165" i="47"/>
  <c r="N436" i="47"/>
  <c r="N376" i="47"/>
  <c r="N406" i="47"/>
  <c r="N466" i="47"/>
  <c r="N286" i="47"/>
  <c r="N316" i="47"/>
  <c r="N226" i="47"/>
  <c r="N256" i="47"/>
  <c r="N196" i="47"/>
  <c r="N166" i="47"/>
  <c r="AD436" i="47"/>
  <c r="AD376" i="47"/>
  <c r="AD466" i="47"/>
  <c r="AD406" i="47"/>
  <c r="AD316" i="47"/>
  <c r="AD286" i="47"/>
  <c r="AD226" i="47"/>
  <c r="AD256" i="47"/>
  <c r="AD196" i="47"/>
  <c r="AD166" i="47"/>
  <c r="P437" i="47"/>
  <c r="P377" i="47"/>
  <c r="P467" i="47"/>
  <c r="P407" i="47"/>
  <c r="P287" i="47"/>
  <c r="P317" i="47"/>
  <c r="P227" i="47"/>
  <c r="P257" i="47"/>
  <c r="P197" i="47"/>
  <c r="P167" i="47"/>
  <c r="AF437" i="47"/>
  <c r="AF377" i="47"/>
  <c r="AF467" i="47"/>
  <c r="AF407" i="47"/>
  <c r="AF287" i="47"/>
  <c r="AF317" i="47"/>
  <c r="AF227" i="47"/>
  <c r="AF257" i="47"/>
  <c r="AF167" i="47"/>
  <c r="AF197" i="47"/>
  <c r="R438" i="47"/>
  <c r="R378" i="47"/>
  <c r="R468" i="47"/>
  <c r="R408" i="47"/>
  <c r="R288" i="47"/>
  <c r="R228" i="47"/>
  <c r="R318" i="47"/>
  <c r="R258" i="47"/>
  <c r="R198" i="47"/>
  <c r="D439" i="47"/>
  <c r="D379" i="47"/>
  <c r="D469" i="47"/>
  <c r="D409" i="47"/>
  <c r="D289" i="47"/>
  <c r="D319" i="47"/>
  <c r="D229" i="47"/>
  <c r="D259" i="47"/>
  <c r="D199" i="47"/>
  <c r="T439" i="47"/>
  <c r="T379" i="47"/>
  <c r="T469" i="47"/>
  <c r="T409" i="47"/>
  <c r="T289" i="47"/>
  <c r="T319" i="47"/>
  <c r="T229" i="47"/>
  <c r="T259" i="47"/>
  <c r="T199" i="47"/>
  <c r="T169" i="47"/>
  <c r="F440" i="47"/>
  <c r="F470" i="47"/>
  <c r="F380" i="47"/>
  <c r="F410" i="47"/>
  <c r="F320" i="47"/>
  <c r="F290" i="47"/>
  <c r="F230" i="47"/>
  <c r="F260" i="47"/>
  <c r="F200" i="47"/>
  <c r="F170" i="47"/>
  <c r="V440" i="47"/>
  <c r="V380" i="47"/>
  <c r="V410" i="47"/>
  <c r="V470" i="47"/>
  <c r="V290" i="47"/>
  <c r="V320" i="47"/>
  <c r="V230" i="47"/>
  <c r="V260" i="47"/>
  <c r="V200" i="47"/>
  <c r="V170" i="47"/>
  <c r="H441" i="47"/>
  <c r="H381" i="47"/>
  <c r="H471" i="47"/>
  <c r="H411" i="47"/>
  <c r="H291" i="47"/>
  <c r="H321" i="47"/>
  <c r="H231" i="47"/>
  <c r="H261" i="47"/>
  <c r="H201" i="47"/>
  <c r="H171" i="47"/>
  <c r="X441" i="47"/>
  <c r="X381" i="47"/>
  <c r="X471" i="47"/>
  <c r="X411" i="47"/>
  <c r="X321" i="47"/>
  <c r="X291" i="47"/>
  <c r="X231" i="47"/>
  <c r="X261" i="47"/>
  <c r="X171" i="47"/>
  <c r="X201" i="47"/>
  <c r="J442" i="47"/>
  <c r="J382" i="47"/>
  <c r="J472" i="47"/>
  <c r="J412" i="47"/>
  <c r="J292" i="47"/>
  <c r="J322" i="47"/>
  <c r="J232" i="47"/>
  <c r="J262" i="47"/>
  <c r="J202" i="47"/>
  <c r="J172" i="47"/>
  <c r="Z442" i="47"/>
  <c r="Z382" i="47"/>
  <c r="Z472" i="47"/>
  <c r="Z412" i="47"/>
  <c r="Z292" i="47"/>
  <c r="Z322" i="47"/>
  <c r="Z232" i="47"/>
  <c r="Z202" i="47"/>
  <c r="Z262" i="47"/>
  <c r="L443" i="47"/>
  <c r="L383" i="47"/>
  <c r="L473" i="47"/>
  <c r="L413" i="47"/>
  <c r="L293" i="47"/>
  <c r="L323" i="47"/>
  <c r="L233" i="47"/>
  <c r="L263" i="47"/>
  <c r="L203" i="47"/>
  <c r="AB443" i="47"/>
  <c r="AB383" i="47"/>
  <c r="AB473" i="47"/>
  <c r="AB413" i="47"/>
  <c r="AB293" i="47"/>
  <c r="AB323" i="47"/>
  <c r="AB233" i="47"/>
  <c r="AB263" i="47"/>
  <c r="AB203" i="47"/>
  <c r="AB173" i="47"/>
  <c r="N444" i="47"/>
  <c r="N474" i="47"/>
  <c r="N384" i="47"/>
  <c r="N414" i="47"/>
  <c r="N294" i="47"/>
  <c r="N324" i="47"/>
  <c r="N234" i="47"/>
  <c r="N264" i="47"/>
  <c r="N174" i="47"/>
  <c r="N204" i="47"/>
  <c r="AD444" i="47"/>
  <c r="AD384" i="47"/>
  <c r="AD474" i="47"/>
  <c r="AD414" i="47"/>
  <c r="AD294" i="47"/>
  <c r="AD324" i="47"/>
  <c r="AD234" i="47"/>
  <c r="AD264" i="47"/>
  <c r="AD204" i="47"/>
  <c r="AD174" i="47"/>
  <c r="P445" i="47"/>
  <c r="P415" i="47"/>
  <c r="P385" i="47"/>
  <c r="P475" i="47"/>
  <c r="P295" i="47"/>
  <c r="P325" i="47"/>
  <c r="P235" i="47"/>
  <c r="P265" i="47"/>
  <c r="P205" i="47"/>
  <c r="P175" i="47"/>
  <c r="AF445" i="47"/>
  <c r="AF385" i="47"/>
  <c r="AF415" i="47"/>
  <c r="AF475" i="47"/>
  <c r="AF295" i="47"/>
  <c r="AF265" i="47"/>
  <c r="AF325" i="47"/>
  <c r="AF235" i="47"/>
  <c r="AF205" i="47"/>
  <c r="AF175" i="47"/>
  <c r="R446" i="47"/>
  <c r="R386" i="47"/>
  <c r="R416" i="47"/>
  <c r="R476" i="47"/>
  <c r="R296" i="47"/>
  <c r="R326" i="47"/>
  <c r="R266" i="47"/>
  <c r="R236" i="47"/>
  <c r="R206" i="47"/>
  <c r="R176" i="47"/>
  <c r="D447" i="47"/>
  <c r="D387" i="47"/>
  <c r="D477" i="47"/>
  <c r="D417" i="47"/>
  <c r="D327" i="47"/>
  <c r="D297" i="47"/>
  <c r="D267" i="47"/>
  <c r="D237" i="47"/>
  <c r="D207" i="47"/>
  <c r="T447" i="47"/>
  <c r="T387" i="47"/>
  <c r="T477" i="47"/>
  <c r="T417" i="47"/>
  <c r="T297" i="47"/>
  <c r="T267" i="47"/>
  <c r="T327" i="47"/>
  <c r="T237" i="47"/>
  <c r="T207" i="47"/>
  <c r="F448" i="47"/>
  <c r="F388" i="47"/>
  <c r="F478" i="47"/>
  <c r="F418" i="47"/>
  <c r="F298" i="47"/>
  <c r="F328" i="47"/>
  <c r="F268" i="47"/>
  <c r="F238" i="47"/>
  <c r="F208" i="47"/>
  <c r="F178" i="47"/>
  <c r="V448" i="47"/>
  <c r="V478" i="47"/>
  <c r="V388" i="47"/>
  <c r="V418" i="47"/>
  <c r="V298" i="47"/>
  <c r="V268" i="47"/>
  <c r="V328" i="47"/>
  <c r="V238" i="47"/>
  <c r="V208" i="47"/>
  <c r="V178" i="47"/>
  <c r="H449" i="47"/>
  <c r="H389" i="47"/>
  <c r="H479" i="47"/>
  <c r="H419" i="47"/>
  <c r="H299" i="47"/>
  <c r="H269" i="47"/>
  <c r="H329" i="47"/>
  <c r="H239" i="47"/>
  <c r="H209" i="47"/>
  <c r="H179" i="47"/>
  <c r="X449" i="47"/>
  <c r="X419" i="47"/>
  <c r="X389" i="47"/>
  <c r="X479" i="47"/>
  <c r="X329" i="47"/>
  <c r="X299" i="47"/>
  <c r="X269" i="47"/>
  <c r="X239" i="47"/>
  <c r="X209" i="47"/>
  <c r="X179" i="47"/>
  <c r="J450" i="47"/>
  <c r="J390" i="47"/>
  <c r="J420" i="47"/>
  <c r="J480" i="47"/>
  <c r="J300" i="47"/>
  <c r="J270" i="47"/>
  <c r="J330" i="47"/>
  <c r="J240" i="47"/>
  <c r="J210" i="47"/>
  <c r="J180" i="47"/>
  <c r="Z450" i="47"/>
  <c r="Z390" i="47"/>
  <c r="Z420" i="47"/>
  <c r="Z480" i="47"/>
  <c r="Z330" i="47"/>
  <c r="Z300" i="47"/>
  <c r="Z270" i="47"/>
  <c r="Z240" i="47"/>
  <c r="Z210" i="47"/>
  <c r="Z180" i="47"/>
  <c r="L451" i="47"/>
  <c r="L391" i="47"/>
  <c r="L481" i="47"/>
  <c r="L421" i="47"/>
  <c r="L331" i="47"/>
  <c r="L271" i="47"/>
  <c r="L301" i="47"/>
  <c r="L241" i="47"/>
  <c r="L211" i="47"/>
  <c r="AB451" i="47"/>
  <c r="AB391" i="47"/>
  <c r="AB481" i="47"/>
  <c r="AB421" i="47"/>
  <c r="AB271" i="47"/>
  <c r="AB301" i="47"/>
  <c r="AB331" i="47"/>
  <c r="AB241" i="47"/>
  <c r="AB211" i="47"/>
  <c r="N452" i="47"/>
  <c r="N392" i="47"/>
  <c r="N482" i="47"/>
  <c r="N422" i="47"/>
  <c r="N332" i="47"/>
  <c r="N272" i="47"/>
  <c r="N302" i="47"/>
  <c r="N242" i="47"/>
  <c r="N212" i="47"/>
  <c r="N182" i="47"/>
  <c r="AD452" i="47"/>
  <c r="AD482" i="47"/>
  <c r="AD392" i="47"/>
  <c r="AD422" i="47"/>
  <c r="AD272" i="47"/>
  <c r="AD302" i="47"/>
  <c r="AD332" i="47"/>
  <c r="AD242" i="47"/>
  <c r="AD212" i="47"/>
  <c r="AD182" i="47"/>
  <c r="P453" i="47"/>
  <c r="P393" i="47"/>
  <c r="P483" i="47"/>
  <c r="P423" i="47"/>
  <c r="P273" i="47"/>
  <c r="P333" i="47"/>
  <c r="P303" i="47"/>
  <c r="P243" i="47"/>
  <c r="P213" i="47"/>
  <c r="P183" i="47"/>
  <c r="AF453" i="47"/>
  <c r="AF423" i="47"/>
  <c r="AF393" i="47"/>
  <c r="AF483" i="47"/>
  <c r="AF333" i="47"/>
  <c r="AF273" i="47"/>
  <c r="AF303" i="47"/>
  <c r="AF243" i="47"/>
  <c r="AF213" i="47"/>
  <c r="AF183" i="47"/>
  <c r="R454" i="47"/>
  <c r="R394" i="47"/>
  <c r="R424" i="47"/>
  <c r="R484" i="47"/>
  <c r="R334" i="47"/>
  <c r="R274" i="47"/>
  <c r="R304" i="47"/>
  <c r="R244" i="47"/>
  <c r="R214" i="47"/>
  <c r="R184" i="47"/>
  <c r="D455" i="47"/>
  <c r="D395" i="47"/>
  <c r="D425" i="47"/>
  <c r="D485" i="47"/>
  <c r="D275" i="47"/>
  <c r="D335" i="47"/>
  <c r="D245" i="47"/>
  <c r="D305" i="47"/>
  <c r="D215" i="47"/>
  <c r="D185" i="47"/>
  <c r="T455" i="47"/>
  <c r="T395" i="47"/>
  <c r="T485" i="47"/>
  <c r="T425" i="47"/>
  <c r="T305" i="47"/>
  <c r="T275" i="47"/>
  <c r="T335" i="47"/>
  <c r="T215" i="47"/>
  <c r="T245" i="47"/>
  <c r="F36" i="47"/>
  <c r="V36" i="47"/>
  <c r="H37" i="47"/>
  <c r="X37" i="47"/>
  <c r="J38" i="47"/>
  <c r="Z38" i="47"/>
  <c r="L39" i="47"/>
  <c r="AB39" i="47"/>
  <c r="N40" i="47"/>
  <c r="AD40" i="47"/>
  <c r="P41" i="47"/>
  <c r="AF41" i="47"/>
  <c r="R42" i="47"/>
  <c r="D43" i="47"/>
  <c r="T43" i="47"/>
  <c r="F44" i="47"/>
  <c r="V44" i="47"/>
  <c r="H45" i="47"/>
  <c r="X45" i="47"/>
  <c r="J46" i="47"/>
  <c r="Z46" i="47"/>
  <c r="L47" i="47"/>
  <c r="AB47" i="47"/>
  <c r="N48" i="47"/>
  <c r="AD48" i="47"/>
  <c r="P49" i="47"/>
  <c r="AF49" i="47"/>
  <c r="R50" i="47"/>
  <c r="D51" i="47"/>
  <c r="U51" i="47"/>
  <c r="H52" i="47"/>
  <c r="Y52" i="47"/>
  <c r="L53" i="47"/>
  <c r="T59" i="47"/>
  <c r="G60" i="47"/>
  <c r="X60" i="47"/>
  <c r="K61" i="47"/>
  <c r="AB61" i="47"/>
  <c r="AF66" i="47"/>
  <c r="S67" i="47"/>
  <c r="L72" i="47"/>
  <c r="V77" i="47"/>
  <c r="J79" i="47"/>
  <c r="L80" i="47"/>
  <c r="N81" i="47"/>
  <c r="AB97" i="47"/>
  <c r="F102" i="47"/>
  <c r="N106" i="47"/>
  <c r="V110" i="47"/>
  <c r="AD114" i="47"/>
  <c r="H119" i="47"/>
  <c r="P123" i="47"/>
  <c r="R168" i="47"/>
  <c r="M204" i="47"/>
  <c r="J459" i="47"/>
  <c r="J399" i="47"/>
  <c r="J429" i="47"/>
  <c r="J369" i="47"/>
  <c r="J309" i="47"/>
  <c r="J279" i="47"/>
  <c r="J249" i="47"/>
  <c r="J219" i="47"/>
  <c r="J189" i="47"/>
  <c r="J159" i="47"/>
  <c r="J99" i="47"/>
  <c r="T464" i="47"/>
  <c r="T404" i="47"/>
  <c r="T434" i="47"/>
  <c r="T374" i="47"/>
  <c r="T314" i="47"/>
  <c r="T284" i="47"/>
  <c r="T254" i="47"/>
  <c r="T224" i="47"/>
  <c r="T164" i="47"/>
  <c r="T194" i="47"/>
  <c r="T104" i="47"/>
  <c r="AD469" i="47"/>
  <c r="AD409" i="47"/>
  <c r="AD439" i="47"/>
  <c r="AD379" i="47"/>
  <c r="AD319" i="47"/>
  <c r="AD289" i="47"/>
  <c r="AD229" i="47"/>
  <c r="AD259" i="47"/>
  <c r="AD169" i="47"/>
  <c r="AD199" i="47"/>
  <c r="AD109" i="47"/>
  <c r="N477" i="47"/>
  <c r="N447" i="47"/>
  <c r="N417" i="47"/>
  <c r="N387" i="47"/>
  <c r="N297" i="47"/>
  <c r="N327" i="47"/>
  <c r="N237" i="47"/>
  <c r="N177" i="47"/>
  <c r="N207" i="47"/>
  <c r="N267" i="47"/>
  <c r="N117" i="47"/>
  <c r="Z483" i="47"/>
  <c r="Z453" i="47"/>
  <c r="Z423" i="47"/>
  <c r="Z393" i="47"/>
  <c r="Z333" i="47"/>
  <c r="Z303" i="47"/>
  <c r="Z273" i="47"/>
  <c r="Z183" i="47"/>
  <c r="Z243" i="47"/>
  <c r="Z213" i="47"/>
  <c r="Z123" i="47"/>
  <c r="O461" i="47"/>
  <c r="O401" i="47"/>
  <c r="O371" i="47"/>
  <c r="O431" i="47"/>
  <c r="O281" i="47"/>
  <c r="O311" i="47"/>
  <c r="O221" i="47"/>
  <c r="O251" i="47"/>
  <c r="O191" i="47"/>
  <c r="O161" i="47"/>
  <c r="O101" i="47"/>
  <c r="AE469" i="47"/>
  <c r="AE439" i="47"/>
  <c r="AE409" i="47"/>
  <c r="AE379" i="47"/>
  <c r="AE319" i="47"/>
  <c r="AE289" i="47"/>
  <c r="AE229" i="47"/>
  <c r="AE169" i="47"/>
  <c r="AE259" i="47"/>
  <c r="AE199" i="47"/>
  <c r="AE109" i="47"/>
  <c r="E480" i="47"/>
  <c r="E450" i="47"/>
  <c r="E390" i="47"/>
  <c r="E420" i="47"/>
  <c r="E330" i="47"/>
  <c r="E240" i="47"/>
  <c r="E300" i="47"/>
  <c r="E270" i="47"/>
  <c r="E180" i="47"/>
  <c r="E210" i="47"/>
  <c r="E120" i="47"/>
  <c r="AF85" i="47"/>
  <c r="F139" i="47"/>
  <c r="G456" i="47"/>
  <c r="G426" i="47"/>
  <c r="G396" i="47"/>
  <c r="G366" i="47"/>
  <c r="G306" i="47"/>
  <c r="G276" i="47"/>
  <c r="G216" i="47"/>
  <c r="G246" i="47"/>
  <c r="G156" i="47"/>
  <c r="G96" i="47"/>
  <c r="G186" i="47"/>
  <c r="K456" i="47"/>
  <c r="K426" i="47"/>
  <c r="K306" i="47"/>
  <c r="K396" i="47"/>
  <c r="K276" i="47"/>
  <c r="K366" i="47"/>
  <c r="K246" i="47"/>
  <c r="K186" i="47"/>
  <c r="K156" i="47"/>
  <c r="K96" i="47"/>
  <c r="AE428" i="47"/>
  <c r="AE368" i="47"/>
  <c r="AE308" i="47"/>
  <c r="AE398" i="47"/>
  <c r="AE458" i="47"/>
  <c r="AE278" i="47"/>
  <c r="AE248" i="47"/>
  <c r="AE218" i="47"/>
  <c r="AE188" i="47"/>
  <c r="AE158" i="47"/>
  <c r="AE98" i="47"/>
  <c r="C460" i="47"/>
  <c r="C430" i="47"/>
  <c r="C310" i="47"/>
  <c r="C370" i="47"/>
  <c r="C280" i="47"/>
  <c r="C400" i="47"/>
  <c r="C220" i="47"/>
  <c r="C250" i="47"/>
  <c r="C190" i="47"/>
  <c r="C100" i="47"/>
  <c r="E461" i="47"/>
  <c r="E431" i="47"/>
  <c r="E311" i="47"/>
  <c r="E401" i="47"/>
  <c r="E371" i="47"/>
  <c r="E281" i="47"/>
  <c r="E251" i="47"/>
  <c r="E221" i="47"/>
  <c r="E191" i="47"/>
  <c r="E161" i="47"/>
  <c r="E101" i="47"/>
  <c r="G462" i="47"/>
  <c r="G432" i="47"/>
  <c r="G402" i="47"/>
  <c r="G312" i="47"/>
  <c r="G372" i="47"/>
  <c r="G282" i="47"/>
  <c r="G252" i="47"/>
  <c r="G222" i="47"/>
  <c r="G192" i="47"/>
  <c r="G162" i="47"/>
  <c r="G102" i="47"/>
  <c r="I463" i="47"/>
  <c r="I403" i="47"/>
  <c r="I433" i="47"/>
  <c r="I373" i="47"/>
  <c r="I313" i="47"/>
  <c r="I283" i="47"/>
  <c r="I253" i="47"/>
  <c r="I193" i="47"/>
  <c r="I223" i="47"/>
  <c r="I163" i="47"/>
  <c r="I103" i="47"/>
  <c r="K464" i="47"/>
  <c r="K434" i="47"/>
  <c r="K404" i="47"/>
  <c r="K314" i="47"/>
  <c r="K374" i="47"/>
  <c r="K284" i="47"/>
  <c r="K194" i="47"/>
  <c r="K254" i="47"/>
  <c r="K224" i="47"/>
  <c r="K164" i="47"/>
  <c r="K104" i="47"/>
  <c r="AA464" i="47"/>
  <c r="AA434" i="47"/>
  <c r="AA404" i="47"/>
  <c r="AA314" i="47"/>
  <c r="AA374" i="47"/>
  <c r="AA284" i="47"/>
  <c r="AA254" i="47"/>
  <c r="AA194" i="47"/>
  <c r="AA224" i="47"/>
  <c r="AA164" i="47"/>
  <c r="AA104" i="47"/>
  <c r="M465" i="47"/>
  <c r="M435" i="47"/>
  <c r="M405" i="47"/>
  <c r="M315" i="47"/>
  <c r="M375" i="47"/>
  <c r="M285" i="47"/>
  <c r="M225" i="47"/>
  <c r="M195" i="47"/>
  <c r="M255" i="47"/>
  <c r="M165" i="47"/>
  <c r="M105" i="47"/>
  <c r="O466" i="47"/>
  <c r="O436" i="47"/>
  <c r="O406" i="47"/>
  <c r="O316" i="47"/>
  <c r="O376" i="47"/>
  <c r="O286" i="47"/>
  <c r="O256" i="47"/>
  <c r="O226" i="47"/>
  <c r="O196" i="47"/>
  <c r="O166" i="47"/>
  <c r="O106" i="47"/>
  <c r="AE466" i="47"/>
  <c r="AE436" i="47"/>
  <c r="AE406" i="47"/>
  <c r="AE316" i="47"/>
  <c r="AE286" i="47"/>
  <c r="AE376" i="47"/>
  <c r="AE256" i="47"/>
  <c r="AE226" i="47"/>
  <c r="AE196" i="47"/>
  <c r="AE166" i="47"/>
  <c r="AE106" i="47"/>
  <c r="Q467" i="47"/>
  <c r="Q437" i="47"/>
  <c r="Q407" i="47"/>
  <c r="Q377" i="47"/>
  <c r="Q317" i="47"/>
  <c r="Q287" i="47"/>
  <c r="Q257" i="47"/>
  <c r="Q227" i="47"/>
  <c r="Q197" i="47"/>
  <c r="Q167" i="47"/>
  <c r="Q107" i="47"/>
  <c r="C468" i="47"/>
  <c r="C438" i="47"/>
  <c r="C408" i="47"/>
  <c r="C378" i="47"/>
  <c r="C318" i="47"/>
  <c r="C288" i="47"/>
  <c r="C258" i="47"/>
  <c r="C228" i="47"/>
  <c r="C198" i="47"/>
  <c r="C168" i="47"/>
  <c r="C108" i="47"/>
  <c r="S468" i="47"/>
  <c r="S408" i="47"/>
  <c r="S318" i="47"/>
  <c r="S378" i="47"/>
  <c r="S438" i="47"/>
  <c r="S288" i="47"/>
  <c r="S258" i="47"/>
  <c r="S228" i="47"/>
  <c r="S198" i="47"/>
  <c r="S168" i="47"/>
  <c r="S108" i="47"/>
  <c r="E469" i="47"/>
  <c r="E439" i="47"/>
  <c r="E409" i="47"/>
  <c r="E319" i="47"/>
  <c r="E379" i="47"/>
  <c r="E289" i="47"/>
  <c r="E259" i="47"/>
  <c r="E229" i="47"/>
  <c r="E199" i="47"/>
  <c r="E169" i="47"/>
  <c r="E109" i="47"/>
  <c r="U469" i="47"/>
  <c r="U409" i="47"/>
  <c r="U439" i="47"/>
  <c r="U319" i="47"/>
  <c r="U379" i="47"/>
  <c r="U289" i="47"/>
  <c r="U259" i="47"/>
  <c r="U229" i="47"/>
  <c r="U199" i="47"/>
  <c r="U169" i="47"/>
  <c r="U109" i="47"/>
  <c r="G470" i="47"/>
  <c r="G440" i="47"/>
  <c r="G410" i="47"/>
  <c r="G320" i="47"/>
  <c r="G380" i="47"/>
  <c r="G290" i="47"/>
  <c r="G260" i="47"/>
  <c r="G230" i="47"/>
  <c r="G200" i="47"/>
  <c r="G170" i="47"/>
  <c r="G110" i="47"/>
  <c r="W470" i="47"/>
  <c r="W440" i="47"/>
  <c r="W410" i="47"/>
  <c r="W320" i="47"/>
  <c r="W380" i="47"/>
  <c r="W290" i="47"/>
  <c r="W260" i="47"/>
  <c r="W230" i="47"/>
  <c r="W200" i="47"/>
  <c r="W170" i="47"/>
  <c r="W110" i="47"/>
  <c r="I471" i="47"/>
  <c r="I441" i="47"/>
  <c r="I411" i="47"/>
  <c r="I321" i="47"/>
  <c r="I291" i="47"/>
  <c r="I381" i="47"/>
  <c r="I261" i="47"/>
  <c r="I231" i="47"/>
  <c r="I201" i="47"/>
  <c r="I171" i="47"/>
  <c r="I111" i="47"/>
  <c r="Y471" i="47"/>
  <c r="Y441" i="47"/>
  <c r="Y411" i="47"/>
  <c r="Y381" i="47"/>
  <c r="Y321" i="47"/>
  <c r="Y291" i="47"/>
  <c r="Y261" i="47"/>
  <c r="Y231" i="47"/>
  <c r="Y171" i="47"/>
  <c r="Y201" i="47"/>
  <c r="Y111" i="47"/>
  <c r="K472" i="47"/>
  <c r="K442" i="47"/>
  <c r="K412" i="47"/>
  <c r="K382" i="47"/>
  <c r="K322" i="47"/>
  <c r="K292" i="47"/>
  <c r="K262" i="47"/>
  <c r="K232" i="47"/>
  <c r="K202" i="47"/>
  <c r="K172" i="47"/>
  <c r="K112" i="47"/>
  <c r="AA472" i="47"/>
  <c r="AA442" i="47"/>
  <c r="AA412" i="47"/>
  <c r="AA322" i="47"/>
  <c r="AA382" i="47"/>
  <c r="AA292" i="47"/>
  <c r="AA262" i="47"/>
  <c r="AA232" i="47"/>
  <c r="AA202" i="47"/>
  <c r="AA172" i="47"/>
  <c r="AA112" i="47"/>
  <c r="M473" i="47"/>
  <c r="M443" i="47"/>
  <c r="M413" i="47"/>
  <c r="M323" i="47"/>
  <c r="M383" i="47"/>
  <c r="M293" i="47"/>
  <c r="M263" i="47"/>
  <c r="M233" i="47"/>
  <c r="M203" i="47"/>
  <c r="M173" i="47"/>
  <c r="M113" i="47"/>
  <c r="AC473" i="47"/>
  <c r="AC443" i="47"/>
  <c r="AC413" i="47"/>
  <c r="AC323" i="47"/>
  <c r="AC383" i="47"/>
  <c r="AC293" i="47"/>
  <c r="AC263" i="47"/>
  <c r="AC233" i="47"/>
  <c r="AC203" i="47"/>
  <c r="AC173" i="47"/>
  <c r="AC113" i="47"/>
  <c r="O474" i="47"/>
  <c r="O444" i="47"/>
  <c r="O414" i="47"/>
  <c r="O324" i="47"/>
  <c r="O384" i="47"/>
  <c r="O294" i="47"/>
  <c r="O264" i="47"/>
  <c r="O234" i="47"/>
  <c r="O204" i="47"/>
  <c r="O174" i="47"/>
  <c r="O114" i="47"/>
  <c r="AE474" i="47"/>
  <c r="AE444" i="47"/>
  <c r="AE414" i="47"/>
  <c r="AE324" i="47"/>
  <c r="AE384" i="47"/>
  <c r="AE294" i="47"/>
  <c r="AE264" i="47"/>
  <c r="AE234" i="47"/>
  <c r="AE204" i="47"/>
  <c r="AE174" i="47"/>
  <c r="AE114" i="47"/>
  <c r="Q475" i="47"/>
  <c r="Q445" i="47"/>
  <c r="Q325" i="47"/>
  <c r="Q415" i="47"/>
  <c r="Q295" i="47"/>
  <c r="Q265" i="47"/>
  <c r="Q385" i="47"/>
  <c r="Q235" i="47"/>
  <c r="Q205" i="47"/>
  <c r="Q175" i="47"/>
  <c r="Q115" i="47"/>
  <c r="C476" i="47"/>
  <c r="C416" i="47"/>
  <c r="C446" i="47"/>
  <c r="C386" i="47"/>
  <c r="C326" i="47"/>
  <c r="C296" i="47"/>
  <c r="C266" i="47"/>
  <c r="C236" i="47"/>
  <c r="C206" i="47"/>
  <c r="C176" i="47"/>
  <c r="C116" i="47"/>
  <c r="S476" i="47"/>
  <c r="S446" i="47"/>
  <c r="S326" i="47"/>
  <c r="S386" i="47"/>
  <c r="S416" i="47"/>
  <c r="S296" i="47"/>
  <c r="S266" i="47"/>
  <c r="S236" i="47"/>
  <c r="S206" i="47"/>
  <c r="S176" i="47"/>
  <c r="S116" i="47"/>
  <c r="E477" i="47"/>
  <c r="E447" i="47"/>
  <c r="E417" i="47"/>
  <c r="E327" i="47"/>
  <c r="E387" i="47"/>
  <c r="E297" i="47"/>
  <c r="E267" i="47"/>
  <c r="E237" i="47"/>
  <c r="E207" i="47"/>
  <c r="E177" i="47"/>
  <c r="E117" i="47"/>
  <c r="U477" i="47"/>
  <c r="U417" i="47"/>
  <c r="U447" i="47"/>
  <c r="U327" i="47"/>
  <c r="U387" i="47"/>
  <c r="U297" i="47"/>
  <c r="U267" i="47"/>
  <c r="U237" i="47"/>
  <c r="U207" i="47"/>
  <c r="U177" i="47"/>
  <c r="U117" i="47"/>
  <c r="G478" i="47"/>
  <c r="G448" i="47"/>
  <c r="G418" i="47"/>
  <c r="G328" i="47"/>
  <c r="G388" i="47"/>
  <c r="G298" i="47"/>
  <c r="G268" i="47"/>
  <c r="G238" i="47"/>
  <c r="G208" i="47"/>
  <c r="G178" i="47"/>
  <c r="G118" i="47"/>
  <c r="W478" i="47"/>
  <c r="W448" i="47"/>
  <c r="W418" i="47"/>
  <c r="W388" i="47"/>
  <c r="W328" i="47"/>
  <c r="W298" i="47"/>
  <c r="W268" i="47"/>
  <c r="W238" i="47"/>
  <c r="W208" i="47"/>
  <c r="W178" i="47"/>
  <c r="W118" i="47"/>
  <c r="I479" i="47"/>
  <c r="I419" i="47"/>
  <c r="I329" i="47"/>
  <c r="I389" i="47"/>
  <c r="I449" i="47"/>
  <c r="I299" i="47"/>
  <c r="I269" i="47"/>
  <c r="I239" i="47"/>
  <c r="I209" i="47"/>
  <c r="I179" i="47"/>
  <c r="I119" i="47"/>
  <c r="Y479" i="47"/>
  <c r="Y449" i="47"/>
  <c r="Y329" i="47"/>
  <c r="Y419" i="47"/>
  <c r="Y389" i="47"/>
  <c r="Y299" i="47"/>
  <c r="Y269" i="47"/>
  <c r="Y239" i="47"/>
  <c r="Y209" i="47"/>
  <c r="Y179" i="47"/>
  <c r="Y119" i="47"/>
  <c r="K480" i="47"/>
  <c r="K420" i="47"/>
  <c r="K450" i="47"/>
  <c r="K330" i="47"/>
  <c r="K390" i="47"/>
  <c r="K300" i="47"/>
  <c r="K270" i="47"/>
  <c r="K240" i="47"/>
  <c r="K210" i="47"/>
  <c r="K180" i="47"/>
  <c r="K120" i="47"/>
  <c r="AA480" i="47"/>
  <c r="AA450" i="47"/>
  <c r="AA420" i="47"/>
  <c r="AA390" i="47"/>
  <c r="AA330" i="47"/>
  <c r="AA300" i="47"/>
  <c r="AA270" i="47"/>
  <c r="AA240" i="47"/>
  <c r="AA210" i="47"/>
  <c r="AA180" i="47"/>
  <c r="AA120" i="47"/>
  <c r="M481" i="47"/>
  <c r="M421" i="47"/>
  <c r="M451" i="47"/>
  <c r="M331" i="47"/>
  <c r="M391" i="47"/>
  <c r="M271" i="47"/>
  <c r="M301" i="47"/>
  <c r="M241" i="47"/>
  <c r="M211" i="47"/>
  <c r="M181" i="47"/>
  <c r="M121" i="47"/>
  <c r="AC451" i="47"/>
  <c r="AC481" i="47"/>
  <c r="AC421" i="47"/>
  <c r="AC331" i="47"/>
  <c r="AC391" i="47"/>
  <c r="AC271" i="47"/>
  <c r="AC301" i="47"/>
  <c r="AC241" i="47"/>
  <c r="AC211" i="47"/>
  <c r="AC181" i="47"/>
  <c r="AC121" i="47"/>
  <c r="O452" i="47"/>
  <c r="O482" i="47"/>
  <c r="O422" i="47"/>
  <c r="O392" i="47"/>
  <c r="O332" i="47"/>
  <c r="O272" i="47"/>
  <c r="O302" i="47"/>
  <c r="O242" i="47"/>
  <c r="O212" i="47"/>
  <c r="O182" i="47"/>
  <c r="O122" i="47"/>
  <c r="AE452" i="47"/>
  <c r="AE482" i="47"/>
  <c r="AE422" i="47"/>
  <c r="AE332" i="47"/>
  <c r="AE392" i="47"/>
  <c r="AE272" i="47"/>
  <c r="AE302" i="47"/>
  <c r="AE242" i="47"/>
  <c r="AE212" i="47"/>
  <c r="AE182" i="47"/>
  <c r="AE122" i="47"/>
  <c r="Q453" i="47"/>
  <c r="Q483" i="47"/>
  <c r="Q423" i="47"/>
  <c r="Q333" i="47"/>
  <c r="Q393" i="47"/>
  <c r="Q273" i="47"/>
  <c r="Q303" i="47"/>
  <c r="Q243" i="47"/>
  <c r="Q213" i="47"/>
  <c r="Q183" i="47"/>
  <c r="Q123" i="47"/>
  <c r="C454" i="47"/>
  <c r="C484" i="47"/>
  <c r="C394" i="47"/>
  <c r="C334" i="47"/>
  <c r="C424" i="47"/>
  <c r="C274" i="47"/>
  <c r="C304" i="47"/>
  <c r="C244" i="47"/>
  <c r="C214" i="47"/>
  <c r="C184" i="47"/>
  <c r="C124" i="47"/>
  <c r="S454" i="47"/>
  <c r="S484" i="47"/>
  <c r="S424" i="47"/>
  <c r="S334" i="47"/>
  <c r="S394" i="47"/>
  <c r="S274" i="47"/>
  <c r="S304" i="47"/>
  <c r="S244" i="47"/>
  <c r="S214" i="47"/>
  <c r="S184" i="47"/>
  <c r="S124" i="47"/>
  <c r="E455" i="47"/>
  <c r="E485" i="47"/>
  <c r="E425" i="47"/>
  <c r="E395" i="47"/>
  <c r="E335" i="47"/>
  <c r="E275" i="47"/>
  <c r="E305" i="47"/>
  <c r="E215" i="47"/>
  <c r="E245" i="47"/>
  <c r="E185" i="47"/>
  <c r="E125" i="47"/>
  <c r="U455" i="47"/>
  <c r="U485" i="47"/>
  <c r="U425" i="47"/>
  <c r="U335" i="47"/>
  <c r="U395" i="47"/>
  <c r="U275" i="47"/>
  <c r="U215" i="47"/>
  <c r="U245" i="47"/>
  <c r="U305" i="47"/>
  <c r="U185" i="47"/>
  <c r="U125" i="47"/>
  <c r="G36" i="47"/>
  <c r="I37" i="47"/>
  <c r="M39" i="47"/>
  <c r="AC39" i="47"/>
  <c r="O40" i="47"/>
  <c r="AE40" i="47"/>
  <c r="Q41" i="47"/>
  <c r="C42" i="47"/>
  <c r="S42" i="47"/>
  <c r="E43" i="47"/>
  <c r="U43" i="47"/>
  <c r="G44" i="47"/>
  <c r="W44" i="47"/>
  <c r="I45" i="47"/>
  <c r="Y45" i="47"/>
  <c r="K46" i="47"/>
  <c r="AA46" i="47"/>
  <c r="M47" i="47"/>
  <c r="AC47" i="47"/>
  <c r="O48" i="47"/>
  <c r="AE48" i="47"/>
  <c r="Q49" i="47"/>
  <c r="C50" i="47"/>
  <c r="S50" i="47"/>
  <c r="E51" i="47"/>
  <c r="V51" i="47"/>
  <c r="I52" i="47"/>
  <c r="Z52" i="47"/>
  <c r="M53" i="47"/>
  <c r="AD57" i="47"/>
  <c r="D59" i="47"/>
  <c r="U59" i="47"/>
  <c r="H60" i="47"/>
  <c r="Y60" i="47"/>
  <c r="L61" i="47"/>
  <c r="AC61" i="47"/>
  <c r="P66" i="47"/>
  <c r="C67" i="47"/>
  <c r="M72" i="47"/>
  <c r="AF74" i="47"/>
  <c r="W77" i="47"/>
  <c r="K79" i="47"/>
  <c r="M80" i="47"/>
  <c r="AD89" i="47"/>
  <c r="AF114" i="47"/>
  <c r="D169" i="47"/>
  <c r="Z459" i="47"/>
  <c r="Z429" i="47"/>
  <c r="Z399" i="47"/>
  <c r="Z369" i="47"/>
  <c r="Z309" i="47"/>
  <c r="Z279" i="47"/>
  <c r="Z249" i="47"/>
  <c r="Z219" i="47"/>
  <c r="Z189" i="47"/>
  <c r="Z159" i="47"/>
  <c r="Z99" i="47"/>
  <c r="R463" i="47"/>
  <c r="R403" i="47"/>
  <c r="R433" i="47"/>
  <c r="R373" i="47"/>
  <c r="R283" i="47"/>
  <c r="R313" i="47"/>
  <c r="R223" i="47"/>
  <c r="R163" i="47"/>
  <c r="R253" i="47"/>
  <c r="R193" i="47"/>
  <c r="R103" i="47"/>
  <c r="J467" i="47"/>
  <c r="J407" i="47"/>
  <c r="J437" i="47"/>
  <c r="J377" i="47"/>
  <c r="J287" i="47"/>
  <c r="J317" i="47"/>
  <c r="J227" i="47"/>
  <c r="J257" i="47"/>
  <c r="J197" i="47"/>
  <c r="J167" i="47"/>
  <c r="J107" i="47"/>
  <c r="P470" i="47"/>
  <c r="P410" i="47"/>
  <c r="P440" i="47"/>
  <c r="P380" i="47"/>
  <c r="P290" i="47"/>
  <c r="P320" i="47"/>
  <c r="P260" i="47"/>
  <c r="P230" i="47"/>
  <c r="P170" i="47"/>
  <c r="P110" i="47"/>
  <c r="P200" i="47"/>
  <c r="L476" i="47"/>
  <c r="L446" i="47"/>
  <c r="L416" i="47"/>
  <c r="L386" i="47"/>
  <c r="L296" i="47"/>
  <c r="L326" i="47"/>
  <c r="L236" i="47"/>
  <c r="L266" i="47"/>
  <c r="L176" i="47"/>
  <c r="L116" i="47"/>
  <c r="L206" i="47"/>
  <c r="P478" i="47"/>
  <c r="P448" i="47"/>
  <c r="P418" i="47"/>
  <c r="P388" i="47"/>
  <c r="P328" i="47"/>
  <c r="P298" i="47"/>
  <c r="P238" i="47"/>
  <c r="P178" i="47"/>
  <c r="P268" i="47"/>
  <c r="P208" i="47"/>
  <c r="P118" i="47"/>
  <c r="V481" i="47"/>
  <c r="V451" i="47"/>
  <c r="V391" i="47"/>
  <c r="V421" i="47"/>
  <c r="V331" i="47"/>
  <c r="V301" i="47"/>
  <c r="V271" i="47"/>
  <c r="V241" i="47"/>
  <c r="V181" i="47"/>
  <c r="V211" i="47"/>
  <c r="V121" i="47"/>
  <c r="X482" i="47"/>
  <c r="X452" i="47"/>
  <c r="X422" i="47"/>
  <c r="X392" i="47"/>
  <c r="X332" i="47"/>
  <c r="X302" i="47"/>
  <c r="X272" i="47"/>
  <c r="X242" i="47"/>
  <c r="X212" i="47"/>
  <c r="X182" i="47"/>
  <c r="X122" i="47"/>
  <c r="AB484" i="47"/>
  <c r="AB454" i="47"/>
  <c r="AB394" i="47"/>
  <c r="AB424" i="47"/>
  <c r="AB334" i="47"/>
  <c r="AB304" i="47"/>
  <c r="AB244" i="47"/>
  <c r="AB214" i="47"/>
  <c r="AB184" i="47"/>
  <c r="AB274" i="47"/>
  <c r="AB124" i="47"/>
  <c r="J84" i="47"/>
  <c r="K459" i="47"/>
  <c r="K399" i="47"/>
  <c r="K429" i="47"/>
  <c r="K369" i="47"/>
  <c r="K309" i="47"/>
  <c r="K279" i="47"/>
  <c r="K249" i="47"/>
  <c r="K219" i="47"/>
  <c r="K189" i="47"/>
  <c r="K159" i="47"/>
  <c r="K99" i="47"/>
  <c r="C463" i="47"/>
  <c r="C433" i="47"/>
  <c r="C403" i="47"/>
  <c r="C373" i="47"/>
  <c r="C313" i="47"/>
  <c r="C283" i="47"/>
  <c r="C223" i="47"/>
  <c r="C253" i="47"/>
  <c r="C163" i="47"/>
  <c r="C193" i="47"/>
  <c r="C103" i="47"/>
  <c r="AA467" i="47"/>
  <c r="AA407" i="47"/>
  <c r="AA377" i="47"/>
  <c r="AA437" i="47"/>
  <c r="AA287" i="47"/>
  <c r="AA227" i="47"/>
  <c r="AA317" i="47"/>
  <c r="AA257" i="47"/>
  <c r="AA197" i="47"/>
  <c r="AA167" i="47"/>
  <c r="AA107" i="47"/>
  <c r="Q470" i="47"/>
  <c r="Q440" i="47"/>
  <c r="Q410" i="47"/>
  <c r="Q380" i="47"/>
  <c r="Q290" i="47"/>
  <c r="Q320" i="47"/>
  <c r="Q260" i="47"/>
  <c r="Q230" i="47"/>
  <c r="Q170" i="47"/>
  <c r="Q200" i="47"/>
  <c r="Q110" i="47"/>
  <c r="G473" i="47"/>
  <c r="G443" i="47"/>
  <c r="G413" i="47"/>
  <c r="G383" i="47"/>
  <c r="G293" i="47"/>
  <c r="G323" i="47"/>
  <c r="G233" i="47"/>
  <c r="G263" i="47"/>
  <c r="G173" i="47"/>
  <c r="G203" i="47"/>
  <c r="G113" i="47"/>
  <c r="AC476" i="47"/>
  <c r="AC446" i="47"/>
  <c r="AC386" i="47"/>
  <c r="AC416" i="47"/>
  <c r="AC326" i="47"/>
  <c r="AC296" i="47"/>
  <c r="AC266" i="47"/>
  <c r="AC236" i="47"/>
  <c r="AC206" i="47"/>
  <c r="AC176" i="47"/>
  <c r="AC116" i="47"/>
  <c r="G481" i="47"/>
  <c r="G451" i="47"/>
  <c r="G391" i="47"/>
  <c r="G421" i="47"/>
  <c r="G331" i="47"/>
  <c r="G241" i="47"/>
  <c r="G271" i="47"/>
  <c r="G301" i="47"/>
  <c r="G211" i="47"/>
  <c r="G181" i="47"/>
  <c r="G121" i="47"/>
  <c r="K483" i="47"/>
  <c r="K453" i="47"/>
  <c r="K423" i="47"/>
  <c r="K393" i="47"/>
  <c r="K333" i="47"/>
  <c r="K243" i="47"/>
  <c r="K303" i="47"/>
  <c r="K273" i="47"/>
  <c r="K213" i="47"/>
  <c r="K183" i="47"/>
  <c r="K123" i="47"/>
  <c r="AE485" i="47"/>
  <c r="AE455" i="47"/>
  <c r="AE395" i="47"/>
  <c r="AE425" i="47"/>
  <c r="AE335" i="47"/>
  <c r="AE245" i="47"/>
  <c r="AE305" i="47"/>
  <c r="AE275" i="47"/>
  <c r="AE215" i="47"/>
  <c r="AE185" i="47"/>
  <c r="AE125" i="47"/>
  <c r="AA88" i="47"/>
  <c r="AD151" i="47"/>
  <c r="W456" i="47"/>
  <c r="W426" i="47"/>
  <c r="W366" i="47"/>
  <c r="W396" i="47"/>
  <c r="W306" i="47"/>
  <c r="W276" i="47"/>
  <c r="W216" i="47"/>
  <c r="W246" i="47"/>
  <c r="W156" i="47"/>
  <c r="W96" i="47"/>
  <c r="W186" i="47"/>
  <c r="O458" i="47"/>
  <c r="O428" i="47"/>
  <c r="O368" i="47"/>
  <c r="O308" i="47"/>
  <c r="O278" i="47"/>
  <c r="O398" i="47"/>
  <c r="O248" i="47"/>
  <c r="O188" i="47"/>
  <c r="O218" i="47"/>
  <c r="O158" i="47"/>
  <c r="O98" i="47"/>
  <c r="Q429" i="47"/>
  <c r="Q459" i="47"/>
  <c r="Q399" i="47"/>
  <c r="Q309" i="47"/>
  <c r="Q369" i="47"/>
  <c r="Q279" i="47"/>
  <c r="Q189" i="47"/>
  <c r="Q249" i="47"/>
  <c r="Q159" i="47"/>
  <c r="Q219" i="47"/>
  <c r="Q99" i="47"/>
  <c r="S460" i="47"/>
  <c r="S430" i="47"/>
  <c r="S310" i="47"/>
  <c r="S370" i="47"/>
  <c r="S400" i="47"/>
  <c r="S280" i="47"/>
  <c r="S250" i="47"/>
  <c r="S190" i="47"/>
  <c r="S220" i="47"/>
  <c r="S160" i="47"/>
  <c r="S100" i="47"/>
  <c r="U461" i="47"/>
  <c r="U431" i="47"/>
  <c r="U401" i="47"/>
  <c r="U311" i="47"/>
  <c r="U371" i="47"/>
  <c r="U281" i="47"/>
  <c r="U251" i="47"/>
  <c r="U221" i="47"/>
  <c r="U191" i="47"/>
  <c r="U161" i="47"/>
  <c r="U101" i="47"/>
  <c r="W462" i="47"/>
  <c r="W432" i="47"/>
  <c r="W402" i="47"/>
  <c r="W312" i="47"/>
  <c r="W372" i="47"/>
  <c r="W282" i="47"/>
  <c r="W252" i="47"/>
  <c r="W222" i="47"/>
  <c r="W192" i="47"/>
  <c r="W162" i="47"/>
  <c r="W102" i="47"/>
  <c r="Y463" i="47"/>
  <c r="Y433" i="47"/>
  <c r="Y403" i="47"/>
  <c r="Y373" i="47"/>
  <c r="Y313" i="47"/>
  <c r="Y283" i="47"/>
  <c r="Y253" i="47"/>
  <c r="Y193" i="47"/>
  <c r="Y223" i="47"/>
  <c r="Y163" i="47"/>
  <c r="Y103" i="47"/>
  <c r="AC465" i="47"/>
  <c r="AC405" i="47"/>
  <c r="AC435" i="47"/>
  <c r="AC315" i="47"/>
  <c r="AC375" i="47"/>
  <c r="AC285" i="47"/>
  <c r="AC255" i="47"/>
  <c r="AC225" i="47"/>
  <c r="AC195" i="47"/>
  <c r="AC165" i="47"/>
  <c r="AC105" i="47"/>
  <c r="L456" i="47"/>
  <c r="L426" i="47"/>
  <c r="L306" i="47"/>
  <c r="L396" i="47"/>
  <c r="L276" i="47"/>
  <c r="L366" i="47"/>
  <c r="L246" i="47"/>
  <c r="L186" i="47"/>
  <c r="L156" i="47"/>
  <c r="L216" i="47"/>
  <c r="AB456" i="47"/>
  <c r="AB426" i="47"/>
  <c r="AB306" i="47"/>
  <c r="AB396" i="47"/>
  <c r="AB276" i="47"/>
  <c r="AB366" i="47"/>
  <c r="AB246" i="47"/>
  <c r="AB216" i="47"/>
  <c r="AB186" i="47"/>
  <c r="AB156" i="47"/>
  <c r="N457" i="47"/>
  <c r="N427" i="47"/>
  <c r="N367" i="47"/>
  <c r="N307" i="47"/>
  <c r="N397" i="47"/>
  <c r="N277" i="47"/>
  <c r="N247" i="47"/>
  <c r="N187" i="47"/>
  <c r="N157" i="47"/>
  <c r="N217" i="47"/>
  <c r="AD457" i="47"/>
  <c r="AD367" i="47"/>
  <c r="AD307" i="47"/>
  <c r="AD397" i="47"/>
  <c r="AD427" i="47"/>
  <c r="AD277" i="47"/>
  <c r="AD247" i="47"/>
  <c r="AD217" i="47"/>
  <c r="AD187" i="47"/>
  <c r="AD157" i="47"/>
  <c r="P458" i="47"/>
  <c r="P428" i="47"/>
  <c r="P368" i="47"/>
  <c r="P308" i="47"/>
  <c r="P398" i="47"/>
  <c r="P278" i="47"/>
  <c r="P248" i="47"/>
  <c r="P188" i="47"/>
  <c r="P158" i="47"/>
  <c r="P218" i="47"/>
  <c r="AF458" i="47"/>
  <c r="AF428" i="47"/>
  <c r="AF368" i="47"/>
  <c r="AF308" i="47"/>
  <c r="AF398" i="47"/>
  <c r="AF278" i="47"/>
  <c r="AF248" i="47"/>
  <c r="AF218" i="47"/>
  <c r="AF188" i="47"/>
  <c r="AF158" i="47"/>
  <c r="R459" i="47"/>
  <c r="R429" i="47"/>
  <c r="R399" i="47"/>
  <c r="R309" i="47"/>
  <c r="R369" i="47"/>
  <c r="R279" i="47"/>
  <c r="R249" i="47"/>
  <c r="R189" i="47"/>
  <c r="R159" i="47"/>
  <c r="R219" i="47"/>
  <c r="D460" i="47"/>
  <c r="D400" i="47"/>
  <c r="D430" i="47"/>
  <c r="D310" i="47"/>
  <c r="D370" i="47"/>
  <c r="D280" i="47"/>
  <c r="D220" i="47"/>
  <c r="D250" i="47"/>
  <c r="D190" i="47"/>
  <c r="D160" i="47"/>
  <c r="T460" i="47"/>
  <c r="T400" i="47"/>
  <c r="T430" i="47"/>
  <c r="T310" i="47"/>
  <c r="T370" i="47"/>
  <c r="T280" i="47"/>
  <c r="T250" i="47"/>
  <c r="T190" i="47"/>
  <c r="T160" i="47"/>
  <c r="T220" i="47"/>
  <c r="F461" i="47"/>
  <c r="F431" i="47"/>
  <c r="F401" i="47"/>
  <c r="F311" i="47"/>
  <c r="F371" i="47"/>
  <c r="F281" i="47"/>
  <c r="F251" i="47"/>
  <c r="F221" i="47"/>
  <c r="F191" i="47"/>
  <c r="F161" i="47"/>
  <c r="V461" i="47"/>
  <c r="V431" i="47"/>
  <c r="V401" i="47"/>
  <c r="V311" i="47"/>
  <c r="V371" i="47"/>
  <c r="V281" i="47"/>
  <c r="V251" i="47"/>
  <c r="V191" i="47"/>
  <c r="V161" i="47"/>
  <c r="V221" i="47"/>
  <c r="H462" i="47"/>
  <c r="H432" i="47"/>
  <c r="H402" i="47"/>
  <c r="H312" i="47"/>
  <c r="H372" i="47"/>
  <c r="H282" i="47"/>
  <c r="H252" i="47"/>
  <c r="H222" i="47"/>
  <c r="H192" i="47"/>
  <c r="H162" i="47"/>
  <c r="X462" i="47"/>
  <c r="X432" i="47"/>
  <c r="X402" i="47"/>
  <c r="X312" i="47"/>
  <c r="X372" i="47"/>
  <c r="X282" i="47"/>
  <c r="X252" i="47"/>
  <c r="X222" i="47"/>
  <c r="X162" i="47"/>
  <c r="X192" i="47"/>
  <c r="J463" i="47"/>
  <c r="J403" i="47"/>
  <c r="J433" i="47"/>
  <c r="J373" i="47"/>
  <c r="J313" i="47"/>
  <c r="J283" i="47"/>
  <c r="J253" i="47"/>
  <c r="J223" i="47"/>
  <c r="J163" i="47"/>
  <c r="J193" i="47"/>
  <c r="Z463" i="47"/>
  <c r="Z433" i="47"/>
  <c r="Z403" i="47"/>
  <c r="Z373" i="47"/>
  <c r="Z313" i="47"/>
  <c r="Z283" i="47"/>
  <c r="Z253" i="47"/>
  <c r="Z193" i="47"/>
  <c r="Z223" i="47"/>
  <c r="Z163" i="47"/>
  <c r="L464" i="47"/>
  <c r="L434" i="47"/>
  <c r="L404" i="47"/>
  <c r="L314" i="47"/>
  <c r="L374" i="47"/>
  <c r="L284" i="47"/>
  <c r="L254" i="47"/>
  <c r="L194" i="47"/>
  <c r="L164" i="47"/>
  <c r="L224" i="47"/>
  <c r="AB464" i="47"/>
  <c r="AB434" i="47"/>
  <c r="AB404" i="47"/>
  <c r="AB314" i="47"/>
  <c r="AB374" i="47"/>
  <c r="AB284" i="47"/>
  <c r="AB254" i="47"/>
  <c r="AB194" i="47"/>
  <c r="AB224" i="47"/>
  <c r="AB164" i="47"/>
  <c r="N465" i="47"/>
  <c r="N435" i="47"/>
  <c r="N405" i="47"/>
  <c r="N315" i="47"/>
  <c r="N375" i="47"/>
  <c r="N285" i="47"/>
  <c r="N255" i="47"/>
  <c r="N225" i="47"/>
  <c r="N195" i="47"/>
  <c r="N165" i="47"/>
  <c r="AD465" i="47"/>
  <c r="AD405" i="47"/>
  <c r="AD435" i="47"/>
  <c r="AD315" i="47"/>
  <c r="AD375" i="47"/>
  <c r="AD285" i="47"/>
  <c r="AD195" i="47"/>
  <c r="AD255" i="47"/>
  <c r="AD165" i="47"/>
  <c r="P466" i="47"/>
  <c r="P406" i="47"/>
  <c r="P316" i="47"/>
  <c r="P436" i="47"/>
  <c r="P376" i="47"/>
  <c r="P286" i="47"/>
  <c r="P256" i="47"/>
  <c r="P196" i="47"/>
  <c r="P226" i="47"/>
  <c r="P166" i="47"/>
  <c r="AF466" i="47"/>
  <c r="AF436" i="47"/>
  <c r="AF406" i="47"/>
  <c r="AF316" i="47"/>
  <c r="AF286" i="47"/>
  <c r="AF376" i="47"/>
  <c r="AF256" i="47"/>
  <c r="AF226" i="47"/>
  <c r="AF196" i="47"/>
  <c r="AF166" i="47"/>
  <c r="R467" i="47"/>
  <c r="R437" i="47"/>
  <c r="R407" i="47"/>
  <c r="R377" i="47"/>
  <c r="R317" i="47"/>
  <c r="R287" i="47"/>
  <c r="R257" i="47"/>
  <c r="R227" i="47"/>
  <c r="R197" i="47"/>
  <c r="R167" i="47"/>
  <c r="D468" i="47"/>
  <c r="D438" i="47"/>
  <c r="D408" i="47"/>
  <c r="D378" i="47"/>
  <c r="D318" i="47"/>
  <c r="D288" i="47"/>
  <c r="D258" i="47"/>
  <c r="D228" i="47"/>
  <c r="D198" i="47"/>
  <c r="D168" i="47"/>
  <c r="T468" i="47"/>
  <c r="T408" i="47"/>
  <c r="T438" i="47"/>
  <c r="T318" i="47"/>
  <c r="T378" i="47"/>
  <c r="T288" i="47"/>
  <c r="T168" i="47"/>
  <c r="T198" i="47"/>
  <c r="T258" i="47"/>
  <c r="F469" i="47"/>
  <c r="F439" i="47"/>
  <c r="F409" i="47"/>
  <c r="F319" i="47"/>
  <c r="F379" i="47"/>
  <c r="F289" i="47"/>
  <c r="F259" i="47"/>
  <c r="F199" i="47"/>
  <c r="F229" i="47"/>
  <c r="F169" i="47"/>
  <c r="V469" i="47"/>
  <c r="V409" i="47"/>
  <c r="V439" i="47"/>
  <c r="V319" i="47"/>
  <c r="V379" i="47"/>
  <c r="V289" i="47"/>
  <c r="V259" i="47"/>
  <c r="V199" i="47"/>
  <c r="V229" i="47"/>
  <c r="V169" i="47"/>
  <c r="H470" i="47"/>
  <c r="H440" i="47"/>
  <c r="H410" i="47"/>
  <c r="H320" i="47"/>
  <c r="H380" i="47"/>
  <c r="H290" i="47"/>
  <c r="H200" i="47"/>
  <c r="H230" i="47"/>
  <c r="H260" i="47"/>
  <c r="H170" i="47"/>
  <c r="X470" i="47"/>
  <c r="X440" i="47"/>
  <c r="X410" i="47"/>
  <c r="X320" i="47"/>
  <c r="X380" i="47"/>
  <c r="X290" i="47"/>
  <c r="X230" i="47"/>
  <c r="X260" i="47"/>
  <c r="X200" i="47"/>
  <c r="X170" i="47"/>
  <c r="J471" i="47"/>
  <c r="J441" i="47"/>
  <c r="J411" i="47"/>
  <c r="J321" i="47"/>
  <c r="J291" i="47"/>
  <c r="J381" i="47"/>
  <c r="J261" i="47"/>
  <c r="J231" i="47"/>
  <c r="J201" i="47"/>
  <c r="J171" i="47"/>
  <c r="Z471" i="47"/>
  <c r="Z441" i="47"/>
  <c r="Z411" i="47"/>
  <c r="Z381" i="47"/>
  <c r="Z321" i="47"/>
  <c r="Z291" i="47"/>
  <c r="Z261" i="47"/>
  <c r="Z231" i="47"/>
  <c r="Z201" i="47"/>
  <c r="Z171" i="47"/>
  <c r="L472" i="47"/>
  <c r="L442" i="47"/>
  <c r="L412" i="47"/>
  <c r="L382" i="47"/>
  <c r="L322" i="47"/>
  <c r="L292" i="47"/>
  <c r="L202" i="47"/>
  <c r="L232" i="47"/>
  <c r="L172" i="47"/>
  <c r="L262" i="47"/>
  <c r="AB472" i="47"/>
  <c r="AB442" i="47"/>
  <c r="AB412" i="47"/>
  <c r="AB322" i="47"/>
  <c r="AB382" i="47"/>
  <c r="AB292" i="47"/>
  <c r="AB202" i="47"/>
  <c r="AB232" i="47"/>
  <c r="AB262" i="47"/>
  <c r="AB172" i="47"/>
  <c r="N473" i="47"/>
  <c r="N443" i="47"/>
  <c r="N413" i="47"/>
  <c r="N323" i="47"/>
  <c r="N383" i="47"/>
  <c r="N293" i="47"/>
  <c r="N263" i="47"/>
  <c r="N233" i="47"/>
  <c r="N203" i="47"/>
  <c r="N173" i="47"/>
  <c r="AD473" i="47"/>
  <c r="AD443" i="47"/>
  <c r="AD413" i="47"/>
  <c r="AD323" i="47"/>
  <c r="AD383" i="47"/>
  <c r="AD293" i="47"/>
  <c r="AD263" i="47"/>
  <c r="AD233" i="47"/>
  <c r="AD203" i="47"/>
  <c r="AD173" i="47"/>
  <c r="P414" i="47"/>
  <c r="P474" i="47"/>
  <c r="P444" i="47"/>
  <c r="P324" i="47"/>
  <c r="P384" i="47"/>
  <c r="P294" i="47"/>
  <c r="P264" i="47"/>
  <c r="P204" i="47"/>
  <c r="P174" i="47"/>
  <c r="P234" i="47"/>
  <c r="AF414" i="47"/>
  <c r="AF474" i="47"/>
  <c r="AF444" i="47"/>
  <c r="AF324" i="47"/>
  <c r="AF384" i="47"/>
  <c r="AF294" i="47"/>
  <c r="AF264" i="47"/>
  <c r="AF234" i="47"/>
  <c r="AF174" i="47"/>
  <c r="R415" i="47"/>
  <c r="R475" i="47"/>
  <c r="R445" i="47"/>
  <c r="R325" i="47"/>
  <c r="R385" i="47"/>
  <c r="R295" i="47"/>
  <c r="R265" i="47"/>
  <c r="R205" i="47"/>
  <c r="R235" i="47"/>
  <c r="R175" i="47"/>
  <c r="D416" i="47"/>
  <c r="D476" i="47"/>
  <c r="D446" i="47"/>
  <c r="D386" i="47"/>
  <c r="D326" i="47"/>
  <c r="D296" i="47"/>
  <c r="D266" i="47"/>
  <c r="D236" i="47"/>
  <c r="D206" i="47"/>
  <c r="D176" i="47"/>
  <c r="T416" i="47"/>
  <c r="T476" i="47"/>
  <c r="T446" i="47"/>
  <c r="T326" i="47"/>
  <c r="T386" i="47"/>
  <c r="T296" i="47"/>
  <c r="T266" i="47"/>
  <c r="T236" i="47"/>
  <c r="T206" i="47"/>
  <c r="T176" i="47"/>
  <c r="F417" i="47"/>
  <c r="F477" i="47"/>
  <c r="F447" i="47"/>
  <c r="F327" i="47"/>
  <c r="F387" i="47"/>
  <c r="F297" i="47"/>
  <c r="F207" i="47"/>
  <c r="F177" i="47"/>
  <c r="F267" i="47"/>
  <c r="F237" i="47"/>
  <c r="V417" i="47"/>
  <c r="V477" i="47"/>
  <c r="V447" i="47"/>
  <c r="V327" i="47"/>
  <c r="V387" i="47"/>
  <c r="V297" i="47"/>
  <c r="V267" i="47"/>
  <c r="V207" i="47"/>
  <c r="V237" i="47"/>
  <c r="V177" i="47"/>
  <c r="H418" i="47"/>
  <c r="H478" i="47"/>
  <c r="H448" i="47"/>
  <c r="H328" i="47"/>
  <c r="H388" i="47"/>
  <c r="H298" i="47"/>
  <c r="H268" i="47"/>
  <c r="H208" i="47"/>
  <c r="H238" i="47"/>
  <c r="H178" i="47"/>
  <c r="X418" i="47"/>
  <c r="X478" i="47"/>
  <c r="X448" i="47"/>
  <c r="X388" i="47"/>
  <c r="X328" i="47"/>
  <c r="X298" i="47"/>
  <c r="X268" i="47"/>
  <c r="X238" i="47"/>
  <c r="X208" i="47"/>
  <c r="X178" i="47"/>
  <c r="J419" i="47"/>
  <c r="J479" i="47"/>
  <c r="J449" i="47"/>
  <c r="J329" i="47"/>
  <c r="J389" i="47"/>
  <c r="J299" i="47"/>
  <c r="J269" i="47"/>
  <c r="J239" i="47"/>
  <c r="J209" i="47"/>
  <c r="J179" i="47"/>
  <c r="Z419" i="47"/>
  <c r="Z479" i="47"/>
  <c r="Z449" i="47"/>
  <c r="Z329" i="47"/>
  <c r="Z389" i="47"/>
  <c r="Z299" i="47"/>
  <c r="Z269" i="47"/>
  <c r="Z239" i="47"/>
  <c r="Z209" i="47"/>
  <c r="Z179" i="47"/>
  <c r="L420" i="47"/>
  <c r="L480" i="47"/>
  <c r="L450" i="47"/>
  <c r="L330" i="47"/>
  <c r="L390" i="47"/>
  <c r="L300" i="47"/>
  <c r="L270" i="47"/>
  <c r="L240" i="47"/>
  <c r="L210" i="47"/>
  <c r="L180" i="47"/>
  <c r="AB420" i="47"/>
  <c r="AB480" i="47"/>
  <c r="AB390" i="47"/>
  <c r="AB330" i="47"/>
  <c r="AB450" i="47"/>
  <c r="AB300" i="47"/>
  <c r="AB270" i="47"/>
  <c r="AB240" i="47"/>
  <c r="AB210" i="47"/>
  <c r="AB180" i="47"/>
  <c r="N421" i="47"/>
  <c r="N481" i="47"/>
  <c r="N451" i="47"/>
  <c r="N331" i="47"/>
  <c r="N391" i="47"/>
  <c r="N271" i="47"/>
  <c r="N301" i="47"/>
  <c r="N241" i="47"/>
  <c r="N211" i="47"/>
  <c r="N181" i="47"/>
  <c r="AD421" i="47"/>
  <c r="AD481" i="47"/>
  <c r="AD451" i="47"/>
  <c r="AD331" i="47"/>
  <c r="AD391" i="47"/>
  <c r="AD271" i="47"/>
  <c r="AD301" i="47"/>
  <c r="AD241" i="47"/>
  <c r="AD211" i="47"/>
  <c r="AD181" i="47"/>
  <c r="P422" i="47"/>
  <c r="P482" i="47"/>
  <c r="P452" i="47"/>
  <c r="P332" i="47"/>
  <c r="P272" i="47"/>
  <c r="P302" i="47"/>
  <c r="P392" i="47"/>
  <c r="P242" i="47"/>
  <c r="P212" i="47"/>
  <c r="P182" i="47"/>
  <c r="AF422" i="47"/>
  <c r="AF482" i="47"/>
  <c r="AF452" i="47"/>
  <c r="AF332" i="47"/>
  <c r="AF392" i="47"/>
  <c r="AF272" i="47"/>
  <c r="AF302" i="47"/>
  <c r="AF242" i="47"/>
  <c r="AF212" i="47"/>
  <c r="AF182" i="47"/>
  <c r="R423" i="47"/>
  <c r="R483" i="47"/>
  <c r="R453" i="47"/>
  <c r="R333" i="47"/>
  <c r="R393" i="47"/>
  <c r="R273" i="47"/>
  <c r="R303" i="47"/>
  <c r="R243" i="47"/>
  <c r="R213" i="47"/>
  <c r="R183" i="47"/>
  <c r="D424" i="47"/>
  <c r="D484" i="47"/>
  <c r="D454" i="47"/>
  <c r="D394" i="47"/>
  <c r="D334" i="47"/>
  <c r="D274" i="47"/>
  <c r="D304" i="47"/>
  <c r="D244" i="47"/>
  <c r="D214" i="47"/>
  <c r="D184" i="47"/>
  <c r="T424" i="47"/>
  <c r="T484" i="47"/>
  <c r="T454" i="47"/>
  <c r="T334" i="47"/>
  <c r="T394" i="47"/>
  <c r="T274" i="47"/>
  <c r="T304" i="47"/>
  <c r="T244" i="47"/>
  <c r="T214" i="47"/>
  <c r="T184" i="47"/>
  <c r="F425" i="47"/>
  <c r="F485" i="47"/>
  <c r="F455" i="47"/>
  <c r="F395" i="47"/>
  <c r="F335" i="47"/>
  <c r="F275" i="47"/>
  <c r="F305" i="47"/>
  <c r="F245" i="47"/>
  <c r="F215" i="47"/>
  <c r="F185" i="47"/>
  <c r="V425" i="47"/>
  <c r="V485" i="47"/>
  <c r="V455" i="47"/>
  <c r="V335" i="47"/>
  <c r="V395" i="47"/>
  <c r="V275" i="47"/>
  <c r="V305" i="47"/>
  <c r="V215" i="47"/>
  <c r="V245" i="47"/>
  <c r="V185" i="47"/>
  <c r="X36" i="47"/>
  <c r="Z37" i="47"/>
  <c r="L38" i="47"/>
  <c r="AB38" i="47"/>
  <c r="N39" i="47"/>
  <c r="AD39" i="47"/>
  <c r="P40" i="47"/>
  <c r="AF40" i="47"/>
  <c r="R41" i="47"/>
  <c r="D42" i="47"/>
  <c r="T42" i="47"/>
  <c r="F43" i="47"/>
  <c r="V43" i="47"/>
  <c r="H44" i="47"/>
  <c r="X44" i="47"/>
  <c r="J45" i="47"/>
  <c r="Z45" i="47"/>
  <c r="L46" i="47"/>
  <c r="AB46" i="47"/>
  <c r="N47" i="47"/>
  <c r="AD47" i="47"/>
  <c r="P48" i="47"/>
  <c r="AF48" i="47"/>
  <c r="R49" i="47"/>
  <c r="D50" i="47"/>
  <c r="T50" i="47"/>
  <c r="F51" i="47"/>
  <c r="W51" i="47"/>
  <c r="J52" i="47"/>
  <c r="AA52" i="47"/>
  <c r="N53" i="47"/>
  <c r="N57" i="47"/>
  <c r="R58" i="47"/>
  <c r="E59" i="47"/>
  <c r="V59" i="47"/>
  <c r="I60" i="47"/>
  <c r="Z60" i="47"/>
  <c r="M61" i="47"/>
  <c r="AD61" i="47"/>
  <c r="Q66" i="47"/>
  <c r="C75" i="47"/>
  <c r="P81" i="47"/>
  <c r="N98" i="47"/>
  <c r="V102" i="47"/>
  <c r="AD106" i="47"/>
  <c r="H111" i="47"/>
  <c r="P115" i="47"/>
  <c r="X119" i="47"/>
  <c r="AF123" i="47"/>
  <c r="Z172" i="47"/>
  <c r="F457" i="47"/>
  <c r="F427" i="47"/>
  <c r="F397" i="47"/>
  <c r="F367" i="47"/>
  <c r="F307" i="47"/>
  <c r="F247" i="47"/>
  <c r="F217" i="47"/>
  <c r="F277" i="47"/>
  <c r="F187" i="47"/>
  <c r="F157" i="47"/>
  <c r="F97" i="47"/>
  <c r="P462" i="47"/>
  <c r="P402" i="47"/>
  <c r="P432" i="47"/>
  <c r="P372" i="47"/>
  <c r="P312" i="47"/>
  <c r="P282" i="47"/>
  <c r="P222" i="47"/>
  <c r="P252" i="47"/>
  <c r="P162" i="47"/>
  <c r="P192" i="47"/>
  <c r="P102" i="47"/>
  <c r="Z467" i="47"/>
  <c r="Z407" i="47"/>
  <c r="Z437" i="47"/>
  <c r="Z377" i="47"/>
  <c r="Z317" i="47"/>
  <c r="Z287" i="47"/>
  <c r="Z227" i="47"/>
  <c r="Z257" i="47"/>
  <c r="Z197" i="47"/>
  <c r="Z167" i="47"/>
  <c r="Z107" i="47"/>
  <c r="H474" i="47"/>
  <c r="H444" i="47"/>
  <c r="H414" i="47"/>
  <c r="H384" i="47"/>
  <c r="H324" i="47"/>
  <c r="H294" i="47"/>
  <c r="H264" i="47"/>
  <c r="H234" i="47"/>
  <c r="H204" i="47"/>
  <c r="H174" i="47"/>
  <c r="H114" i="47"/>
  <c r="F481" i="47"/>
  <c r="F451" i="47"/>
  <c r="F391" i="47"/>
  <c r="F421" i="47"/>
  <c r="F331" i="47"/>
  <c r="F301" i="47"/>
  <c r="F271" i="47"/>
  <c r="F241" i="47"/>
  <c r="F211" i="47"/>
  <c r="F181" i="47"/>
  <c r="F121" i="47"/>
  <c r="N485" i="47"/>
  <c r="N455" i="47"/>
  <c r="N395" i="47"/>
  <c r="N425" i="47"/>
  <c r="N335" i="47"/>
  <c r="N305" i="47"/>
  <c r="N245" i="47"/>
  <c r="N275" i="47"/>
  <c r="N185" i="47"/>
  <c r="N215" i="47"/>
  <c r="N125" i="47"/>
  <c r="AA84" i="47"/>
  <c r="M89" i="47"/>
  <c r="U456" i="47"/>
  <c r="U396" i="47"/>
  <c r="U426" i="47"/>
  <c r="U366" i="47"/>
  <c r="U306" i="47"/>
  <c r="U276" i="47"/>
  <c r="U216" i="47"/>
  <c r="U186" i="47"/>
  <c r="U156" i="47"/>
  <c r="U246" i="47"/>
  <c r="U96" i="47"/>
  <c r="Q462" i="47"/>
  <c r="Q402" i="47"/>
  <c r="Q372" i="47"/>
  <c r="Q432" i="47"/>
  <c r="Q312" i="47"/>
  <c r="Q282" i="47"/>
  <c r="Q222" i="47"/>
  <c r="Q162" i="47"/>
  <c r="Q192" i="47"/>
  <c r="Q252" i="47"/>
  <c r="Q102" i="47"/>
  <c r="C471" i="47"/>
  <c r="C441" i="47"/>
  <c r="C411" i="47"/>
  <c r="C381" i="47"/>
  <c r="C321" i="47"/>
  <c r="C291" i="47"/>
  <c r="C231" i="47"/>
  <c r="C261" i="47"/>
  <c r="C201" i="47"/>
  <c r="C171" i="47"/>
  <c r="C111" i="47"/>
  <c r="M476" i="47"/>
  <c r="M446" i="47"/>
  <c r="M386" i="47"/>
  <c r="M416" i="47"/>
  <c r="M296" i="47"/>
  <c r="M326" i="47"/>
  <c r="M236" i="47"/>
  <c r="M266" i="47"/>
  <c r="M176" i="47"/>
  <c r="M116" i="47"/>
  <c r="M206" i="47"/>
  <c r="W481" i="47"/>
  <c r="W451" i="47"/>
  <c r="W391" i="47"/>
  <c r="W421" i="47"/>
  <c r="W331" i="47"/>
  <c r="W241" i="47"/>
  <c r="W271" i="47"/>
  <c r="W301" i="47"/>
  <c r="W181" i="47"/>
  <c r="W211" i="47"/>
  <c r="W121" i="47"/>
  <c r="O485" i="47"/>
  <c r="O455" i="47"/>
  <c r="O395" i="47"/>
  <c r="O425" i="47"/>
  <c r="O335" i="47"/>
  <c r="O245" i="47"/>
  <c r="O305" i="47"/>
  <c r="O275" i="47"/>
  <c r="O185" i="47"/>
  <c r="O215" i="47"/>
  <c r="O125" i="47"/>
  <c r="T130" i="47"/>
  <c r="K458" i="47"/>
  <c r="K428" i="47"/>
  <c r="K398" i="47"/>
  <c r="K368" i="47"/>
  <c r="K278" i="47"/>
  <c r="K308" i="47"/>
  <c r="K218" i="47"/>
  <c r="K248" i="47"/>
  <c r="K158" i="47"/>
  <c r="K98" i="47"/>
  <c r="K188" i="47"/>
  <c r="AC427" i="47"/>
  <c r="AC457" i="47"/>
  <c r="AC367" i="47"/>
  <c r="AC307" i="47"/>
  <c r="AC397" i="47"/>
  <c r="AC277" i="47"/>
  <c r="AC247" i="47"/>
  <c r="AC217" i="47"/>
  <c r="AC187" i="47"/>
  <c r="AC157" i="47"/>
  <c r="AC97" i="47"/>
  <c r="M456" i="47"/>
  <c r="M426" i="47"/>
  <c r="M396" i="47"/>
  <c r="M366" i="47"/>
  <c r="M276" i="47"/>
  <c r="M306" i="47"/>
  <c r="M246" i="47"/>
  <c r="M186" i="47"/>
  <c r="M216" i="47"/>
  <c r="M156" i="47"/>
  <c r="M96" i="47"/>
  <c r="AC456" i="47"/>
  <c r="AC426" i="47"/>
  <c r="AC396" i="47"/>
  <c r="AC276" i="47"/>
  <c r="AC366" i="47"/>
  <c r="AC306" i="47"/>
  <c r="AC246" i="47"/>
  <c r="AC216" i="47"/>
  <c r="AC186" i="47"/>
  <c r="AC156" i="47"/>
  <c r="AC96" i="47"/>
  <c r="O457" i="47"/>
  <c r="O427" i="47"/>
  <c r="O397" i="47"/>
  <c r="O307" i="47"/>
  <c r="O277" i="47"/>
  <c r="O367" i="47"/>
  <c r="O247" i="47"/>
  <c r="O187" i="47"/>
  <c r="O217" i="47"/>
  <c r="O157" i="47"/>
  <c r="O97" i="47"/>
  <c r="AE457" i="47"/>
  <c r="AE427" i="47"/>
  <c r="AE367" i="47"/>
  <c r="AE397" i="47"/>
  <c r="AE277" i="47"/>
  <c r="AE307" i="47"/>
  <c r="AE247" i="47"/>
  <c r="AE217" i="47"/>
  <c r="AE187" i="47"/>
  <c r="AE157" i="47"/>
  <c r="AE97" i="47"/>
  <c r="Q458" i="47"/>
  <c r="Q428" i="47"/>
  <c r="Q368" i="47"/>
  <c r="Q398" i="47"/>
  <c r="Q278" i="47"/>
  <c r="Q308" i="47"/>
  <c r="Q248" i="47"/>
  <c r="Q188" i="47"/>
  <c r="Q218" i="47"/>
  <c r="Q98" i="47"/>
  <c r="C459" i="47"/>
  <c r="C429" i="47"/>
  <c r="C369" i="47"/>
  <c r="C399" i="47"/>
  <c r="C279" i="47"/>
  <c r="C309" i="47"/>
  <c r="C249" i="47"/>
  <c r="C219" i="47"/>
  <c r="C189" i="47"/>
  <c r="C159" i="47"/>
  <c r="C99" i="47"/>
  <c r="S459" i="47"/>
  <c r="S429" i="47"/>
  <c r="S399" i="47"/>
  <c r="S369" i="47"/>
  <c r="S279" i="47"/>
  <c r="S309" i="47"/>
  <c r="S249" i="47"/>
  <c r="S189" i="47"/>
  <c r="S219" i="47"/>
  <c r="S159" i="47"/>
  <c r="S99" i="47"/>
  <c r="E460" i="47"/>
  <c r="E400" i="47"/>
  <c r="E430" i="47"/>
  <c r="E370" i="47"/>
  <c r="E280" i="47"/>
  <c r="E310" i="47"/>
  <c r="E250" i="47"/>
  <c r="E220" i="47"/>
  <c r="E190" i="47"/>
  <c r="E160" i="47"/>
  <c r="E100" i="47"/>
  <c r="U460" i="47"/>
  <c r="U400" i="47"/>
  <c r="U430" i="47"/>
  <c r="U370" i="47"/>
  <c r="U280" i="47"/>
  <c r="U310" i="47"/>
  <c r="U250" i="47"/>
  <c r="U190" i="47"/>
  <c r="U220" i="47"/>
  <c r="U160" i="47"/>
  <c r="U100" i="47"/>
  <c r="G461" i="47"/>
  <c r="G431" i="47"/>
  <c r="G401" i="47"/>
  <c r="G371" i="47"/>
  <c r="G281" i="47"/>
  <c r="G311" i="47"/>
  <c r="G251" i="47"/>
  <c r="G221" i="47"/>
  <c r="G191" i="47"/>
  <c r="G161" i="47"/>
  <c r="G101" i="47"/>
  <c r="W461" i="47"/>
  <c r="W431" i="47"/>
  <c r="W401" i="47"/>
  <c r="W371" i="47"/>
  <c r="W281" i="47"/>
  <c r="W311" i="47"/>
  <c r="W251" i="47"/>
  <c r="W191" i="47"/>
  <c r="W161" i="47"/>
  <c r="W221" i="47"/>
  <c r="W101" i="47"/>
  <c r="I462" i="47"/>
  <c r="I432" i="47"/>
  <c r="I402" i="47"/>
  <c r="I372" i="47"/>
  <c r="I282" i="47"/>
  <c r="I312" i="47"/>
  <c r="I252" i="47"/>
  <c r="I222" i="47"/>
  <c r="I192" i="47"/>
  <c r="I162" i="47"/>
  <c r="I102" i="47"/>
  <c r="Y462" i="47"/>
  <c r="Y432" i="47"/>
  <c r="Y402" i="47"/>
  <c r="Y372" i="47"/>
  <c r="Y282" i="47"/>
  <c r="Y312" i="47"/>
  <c r="Y252" i="47"/>
  <c r="Y222" i="47"/>
  <c r="Y162" i="47"/>
  <c r="Y192" i="47"/>
  <c r="Y102" i="47"/>
  <c r="K463" i="47"/>
  <c r="K403" i="47"/>
  <c r="K433" i="47"/>
  <c r="K283" i="47"/>
  <c r="K313" i="47"/>
  <c r="K373" i="47"/>
  <c r="K253" i="47"/>
  <c r="K223" i="47"/>
  <c r="K163" i="47"/>
  <c r="K193" i="47"/>
  <c r="K103" i="47"/>
  <c r="AA463" i="47"/>
  <c r="AA403" i="47"/>
  <c r="AA373" i="47"/>
  <c r="AA283" i="47"/>
  <c r="AA433" i="47"/>
  <c r="AA313" i="47"/>
  <c r="AA253" i="47"/>
  <c r="AA223" i="47"/>
  <c r="AA163" i="47"/>
  <c r="AA193" i="47"/>
  <c r="AA103" i="47"/>
  <c r="M464" i="47"/>
  <c r="M434" i="47"/>
  <c r="M404" i="47"/>
  <c r="M374" i="47"/>
  <c r="M284" i="47"/>
  <c r="M314" i="47"/>
  <c r="M254" i="47"/>
  <c r="M194" i="47"/>
  <c r="M164" i="47"/>
  <c r="M224" i="47"/>
  <c r="M104" i="47"/>
  <c r="AC464" i="47"/>
  <c r="AC434" i="47"/>
  <c r="AC404" i="47"/>
  <c r="AC374" i="47"/>
  <c r="AC284" i="47"/>
  <c r="AC314" i="47"/>
  <c r="AC254" i="47"/>
  <c r="AC194" i="47"/>
  <c r="AC224" i="47"/>
  <c r="AC164" i="47"/>
  <c r="AC104" i="47"/>
  <c r="O465" i="47"/>
  <c r="O435" i="47"/>
  <c r="O405" i="47"/>
  <c r="O315" i="47"/>
  <c r="O375" i="47"/>
  <c r="O285" i="47"/>
  <c r="O255" i="47"/>
  <c r="O225" i="47"/>
  <c r="O195" i="47"/>
  <c r="O165" i="47"/>
  <c r="O105" i="47"/>
  <c r="AE465" i="47"/>
  <c r="AE405" i="47"/>
  <c r="AE435" i="47"/>
  <c r="AE315" i="47"/>
  <c r="AE375" i="47"/>
  <c r="AE285" i="47"/>
  <c r="AE195" i="47"/>
  <c r="AE255" i="47"/>
  <c r="AE165" i="47"/>
  <c r="AE105" i="47"/>
  <c r="AE225" i="47"/>
  <c r="Q466" i="47"/>
  <c r="Q406" i="47"/>
  <c r="Q436" i="47"/>
  <c r="Q316" i="47"/>
  <c r="Q376" i="47"/>
  <c r="Q286" i="47"/>
  <c r="Q196" i="47"/>
  <c r="Q256" i="47"/>
  <c r="Q226" i="47"/>
  <c r="Q166" i="47"/>
  <c r="Q106" i="47"/>
  <c r="C467" i="47"/>
  <c r="C437" i="47"/>
  <c r="C407" i="47"/>
  <c r="C317" i="47"/>
  <c r="C377" i="47"/>
  <c r="C287" i="47"/>
  <c r="C257" i="47"/>
  <c r="C197" i="47"/>
  <c r="C227" i="47"/>
  <c r="C167" i="47"/>
  <c r="C107" i="47"/>
  <c r="S467" i="47"/>
  <c r="S437" i="47"/>
  <c r="S407" i="47"/>
  <c r="S317" i="47"/>
  <c r="S287" i="47"/>
  <c r="S377" i="47"/>
  <c r="S197" i="47"/>
  <c r="S257" i="47"/>
  <c r="S227" i="47"/>
  <c r="S167" i="47"/>
  <c r="S107" i="47"/>
  <c r="E468" i="47"/>
  <c r="E438" i="47"/>
  <c r="E408" i="47"/>
  <c r="E378" i="47"/>
  <c r="E318" i="47"/>
  <c r="E288" i="47"/>
  <c r="E198" i="47"/>
  <c r="E258" i="47"/>
  <c r="E228" i="47"/>
  <c r="E168" i="47"/>
  <c r="E108" i="47"/>
  <c r="U468" i="47"/>
  <c r="U408" i="47"/>
  <c r="U438" i="47"/>
  <c r="U318" i="47"/>
  <c r="U378" i="47"/>
  <c r="U288" i="47"/>
  <c r="U198" i="47"/>
  <c r="U258" i="47"/>
  <c r="U168" i="47"/>
  <c r="U228" i="47"/>
  <c r="U108" i="47"/>
  <c r="G469" i="47"/>
  <c r="G439" i="47"/>
  <c r="G409" i="47"/>
  <c r="G319" i="47"/>
  <c r="G379" i="47"/>
  <c r="G289" i="47"/>
  <c r="G259" i="47"/>
  <c r="G199" i="47"/>
  <c r="G229" i="47"/>
  <c r="G169" i="47"/>
  <c r="G109" i="47"/>
  <c r="W469" i="47"/>
  <c r="W409" i="47"/>
  <c r="W439" i="47"/>
  <c r="W319" i="47"/>
  <c r="W379" i="47"/>
  <c r="W289" i="47"/>
  <c r="W199" i="47"/>
  <c r="W259" i="47"/>
  <c r="W229" i="47"/>
  <c r="W169" i="47"/>
  <c r="W109" i="47"/>
  <c r="I470" i="47"/>
  <c r="I440" i="47"/>
  <c r="I410" i="47"/>
  <c r="I320" i="47"/>
  <c r="I380" i="47"/>
  <c r="I290" i="47"/>
  <c r="I200" i="47"/>
  <c r="I260" i="47"/>
  <c r="I230" i="47"/>
  <c r="I170" i="47"/>
  <c r="I110" i="47"/>
  <c r="Y470" i="47"/>
  <c r="Y440" i="47"/>
  <c r="Y410" i="47"/>
  <c r="Y320" i="47"/>
  <c r="Y380" i="47"/>
  <c r="Y290" i="47"/>
  <c r="Y200" i="47"/>
  <c r="Y260" i="47"/>
  <c r="Y230" i="47"/>
  <c r="Y170" i="47"/>
  <c r="Y110" i="47"/>
  <c r="K471" i="47"/>
  <c r="K411" i="47"/>
  <c r="K321" i="47"/>
  <c r="K441" i="47"/>
  <c r="K381" i="47"/>
  <c r="K291" i="47"/>
  <c r="K261" i="47"/>
  <c r="K201" i="47"/>
  <c r="K171" i="47"/>
  <c r="K231" i="47"/>
  <c r="K111" i="47"/>
  <c r="AA471" i="47"/>
  <c r="AA441" i="47"/>
  <c r="AA411" i="47"/>
  <c r="AA321" i="47"/>
  <c r="AA291" i="47"/>
  <c r="AA381" i="47"/>
  <c r="AA201" i="47"/>
  <c r="AA261" i="47"/>
  <c r="AA231" i="47"/>
  <c r="AA171" i="47"/>
  <c r="AA111" i="47"/>
  <c r="M472" i="47"/>
  <c r="M412" i="47"/>
  <c r="M382" i="47"/>
  <c r="M322" i="47"/>
  <c r="M442" i="47"/>
  <c r="M292" i="47"/>
  <c r="M202" i="47"/>
  <c r="M262" i="47"/>
  <c r="M232" i="47"/>
  <c r="M172" i="47"/>
  <c r="M112" i="47"/>
  <c r="AC472" i="47"/>
  <c r="AC442" i="47"/>
  <c r="AC412" i="47"/>
  <c r="AC322" i="47"/>
  <c r="AC382" i="47"/>
  <c r="AC292" i="47"/>
  <c r="AC202" i="47"/>
  <c r="AC262" i="47"/>
  <c r="AC232" i="47"/>
  <c r="AC172" i="47"/>
  <c r="AC112" i="47"/>
  <c r="O473" i="47"/>
  <c r="O413" i="47"/>
  <c r="O323" i="47"/>
  <c r="O443" i="47"/>
  <c r="O383" i="47"/>
  <c r="O293" i="47"/>
  <c r="O263" i="47"/>
  <c r="O203" i="47"/>
  <c r="O233" i="47"/>
  <c r="O173" i="47"/>
  <c r="O113" i="47"/>
  <c r="AE473" i="47"/>
  <c r="AE443" i="47"/>
  <c r="AE413" i="47"/>
  <c r="AE323" i="47"/>
  <c r="AE383" i="47"/>
  <c r="AE293" i="47"/>
  <c r="AE203" i="47"/>
  <c r="AE263" i="47"/>
  <c r="AE233" i="47"/>
  <c r="AE173" i="47"/>
  <c r="AE113" i="47"/>
  <c r="Q474" i="47"/>
  <c r="Q414" i="47"/>
  <c r="Q444" i="47"/>
  <c r="Q324" i="47"/>
  <c r="Q384" i="47"/>
  <c r="Q294" i="47"/>
  <c r="Q204" i="47"/>
  <c r="Q264" i="47"/>
  <c r="Q174" i="47"/>
  <c r="Q234" i="47"/>
  <c r="Q114" i="47"/>
  <c r="C475" i="47"/>
  <c r="C445" i="47"/>
  <c r="C415" i="47"/>
  <c r="C325" i="47"/>
  <c r="C385" i="47"/>
  <c r="C295" i="47"/>
  <c r="C265" i="47"/>
  <c r="C205" i="47"/>
  <c r="C235" i="47"/>
  <c r="C175" i="47"/>
  <c r="C115" i="47"/>
  <c r="S475" i="47"/>
  <c r="S445" i="47"/>
  <c r="S415" i="47"/>
  <c r="S325" i="47"/>
  <c r="S385" i="47"/>
  <c r="S295" i="47"/>
  <c r="S205" i="47"/>
  <c r="S265" i="47"/>
  <c r="S235" i="47"/>
  <c r="S175" i="47"/>
  <c r="S115" i="47"/>
  <c r="E476" i="47"/>
  <c r="E416" i="47"/>
  <c r="E446" i="47"/>
  <c r="E386" i="47"/>
  <c r="E326" i="47"/>
  <c r="E296" i="47"/>
  <c r="E206" i="47"/>
  <c r="E266" i="47"/>
  <c r="E236" i="47"/>
  <c r="E176" i="47"/>
  <c r="E116" i="47"/>
  <c r="U476" i="47"/>
  <c r="U416" i="47"/>
  <c r="U446" i="47"/>
  <c r="U326" i="47"/>
  <c r="U386" i="47"/>
  <c r="U296" i="47"/>
  <c r="U206" i="47"/>
  <c r="U266" i="47"/>
  <c r="U236" i="47"/>
  <c r="U176" i="47"/>
  <c r="U116" i="47"/>
  <c r="G477" i="47"/>
  <c r="G447" i="47"/>
  <c r="G417" i="47"/>
  <c r="G327" i="47"/>
  <c r="G387" i="47"/>
  <c r="G297" i="47"/>
  <c r="G207" i="47"/>
  <c r="G267" i="47"/>
  <c r="G177" i="47"/>
  <c r="G237" i="47"/>
  <c r="G117" i="47"/>
  <c r="W477" i="47"/>
  <c r="W417" i="47"/>
  <c r="W447" i="47"/>
  <c r="W327" i="47"/>
  <c r="W387" i="47"/>
  <c r="W297" i="47"/>
  <c r="W207" i="47"/>
  <c r="W267" i="47"/>
  <c r="W237" i="47"/>
  <c r="W177" i="47"/>
  <c r="W117" i="47"/>
  <c r="I478" i="47"/>
  <c r="I448" i="47"/>
  <c r="I418" i="47"/>
  <c r="I328" i="47"/>
  <c r="I388" i="47"/>
  <c r="I298" i="47"/>
  <c r="I208" i="47"/>
  <c r="I268" i="47"/>
  <c r="I238" i="47"/>
  <c r="I178" i="47"/>
  <c r="I118" i="47"/>
  <c r="Y478" i="47"/>
  <c r="Y448" i="47"/>
  <c r="Y418" i="47"/>
  <c r="Y388" i="47"/>
  <c r="Y328" i="47"/>
  <c r="Y298" i="47"/>
  <c r="Y208" i="47"/>
  <c r="Y268" i="47"/>
  <c r="Y238" i="47"/>
  <c r="Y178" i="47"/>
  <c r="Y118" i="47"/>
  <c r="K479" i="47"/>
  <c r="K419" i="47"/>
  <c r="K449" i="47"/>
  <c r="K329" i="47"/>
  <c r="K389" i="47"/>
  <c r="K299" i="47"/>
  <c r="K209" i="47"/>
  <c r="K269" i="47"/>
  <c r="K239" i="47"/>
  <c r="K179" i="47"/>
  <c r="K119" i="47"/>
  <c r="AA479" i="47"/>
  <c r="AA449" i="47"/>
  <c r="AA419" i="47"/>
  <c r="AA329" i="47"/>
  <c r="AA389" i="47"/>
  <c r="AA299" i="47"/>
  <c r="AA209" i="47"/>
  <c r="AA269" i="47"/>
  <c r="AA179" i="47"/>
  <c r="AA239" i="47"/>
  <c r="AA119" i="47"/>
  <c r="M480" i="47"/>
  <c r="M420" i="47"/>
  <c r="M450" i="47"/>
  <c r="M330" i="47"/>
  <c r="M390" i="47"/>
  <c r="M300" i="47"/>
  <c r="M210" i="47"/>
  <c r="M270" i="47"/>
  <c r="M180" i="47"/>
  <c r="M240" i="47"/>
  <c r="M120" i="47"/>
  <c r="AC480" i="47"/>
  <c r="AC420" i="47"/>
  <c r="AC450" i="47"/>
  <c r="AC390" i="47"/>
  <c r="AC330" i="47"/>
  <c r="AC300" i="47"/>
  <c r="AC210" i="47"/>
  <c r="AC270" i="47"/>
  <c r="AC240" i="47"/>
  <c r="AC180" i="47"/>
  <c r="AC120" i="47"/>
  <c r="O481" i="47"/>
  <c r="O421" i="47"/>
  <c r="O451" i="47"/>
  <c r="O331" i="47"/>
  <c r="O391" i="47"/>
  <c r="O301" i="47"/>
  <c r="O241" i="47"/>
  <c r="O211" i="47"/>
  <c r="O271" i="47"/>
  <c r="O181" i="47"/>
  <c r="O121" i="47"/>
  <c r="AE481" i="47"/>
  <c r="AE451" i="47"/>
  <c r="AE421" i="47"/>
  <c r="AE331" i="47"/>
  <c r="AE391" i="47"/>
  <c r="AE301" i="47"/>
  <c r="AE241" i="47"/>
  <c r="AE211" i="47"/>
  <c r="AE271" i="47"/>
  <c r="AE181" i="47"/>
  <c r="AE121" i="47"/>
  <c r="Q482" i="47"/>
  <c r="Q452" i="47"/>
  <c r="Q422" i="47"/>
  <c r="Q332" i="47"/>
  <c r="Q392" i="47"/>
  <c r="Q302" i="47"/>
  <c r="Q212" i="47"/>
  <c r="Q242" i="47"/>
  <c r="Q272" i="47"/>
  <c r="Q182" i="47"/>
  <c r="Q122" i="47"/>
  <c r="C483" i="47"/>
  <c r="C423" i="47"/>
  <c r="C453" i="47"/>
  <c r="C333" i="47"/>
  <c r="C393" i="47"/>
  <c r="C303" i="47"/>
  <c r="C213" i="47"/>
  <c r="C243" i="47"/>
  <c r="C273" i="47"/>
  <c r="C183" i="47"/>
  <c r="C123" i="47"/>
  <c r="S483" i="47"/>
  <c r="S453" i="47"/>
  <c r="S423" i="47"/>
  <c r="S333" i="47"/>
  <c r="S393" i="47"/>
  <c r="S303" i="47"/>
  <c r="S213" i="47"/>
  <c r="S243" i="47"/>
  <c r="S183" i="47"/>
  <c r="S273" i="47"/>
  <c r="S123" i="47"/>
  <c r="E484" i="47"/>
  <c r="E454" i="47"/>
  <c r="E424" i="47"/>
  <c r="E394" i="47"/>
  <c r="E334" i="47"/>
  <c r="E304" i="47"/>
  <c r="E214" i="47"/>
  <c r="E274" i="47"/>
  <c r="E244" i="47"/>
  <c r="E184" i="47"/>
  <c r="E124" i="47"/>
  <c r="U484" i="47"/>
  <c r="U424" i="47"/>
  <c r="U454" i="47"/>
  <c r="U334" i="47"/>
  <c r="U394" i="47"/>
  <c r="U304" i="47"/>
  <c r="U214" i="47"/>
  <c r="U244" i="47"/>
  <c r="U274" i="47"/>
  <c r="U184" i="47"/>
  <c r="U124" i="47"/>
  <c r="G485" i="47"/>
  <c r="G425" i="47"/>
  <c r="G455" i="47"/>
  <c r="G395" i="47"/>
  <c r="G335" i="47"/>
  <c r="G305" i="47"/>
  <c r="G215" i="47"/>
  <c r="G245" i="47"/>
  <c r="G275" i="47"/>
  <c r="G185" i="47"/>
  <c r="G125" i="47"/>
  <c r="W425" i="47"/>
  <c r="W485" i="47"/>
  <c r="W455" i="47"/>
  <c r="W335" i="47"/>
  <c r="W395" i="47"/>
  <c r="W305" i="47"/>
  <c r="W215" i="47"/>
  <c r="W275" i="47"/>
  <c r="W245" i="47"/>
  <c r="W185" i="47"/>
  <c r="W125" i="47"/>
  <c r="Y36" i="47"/>
  <c r="AA37" i="47"/>
  <c r="M38" i="47"/>
  <c r="AC38" i="47"/>
  <c r="O39" i="47"/>
  <c r="AE39" i="47"/>
  <c r="Q40" i="47"/>
  <c r="C41" i="47"/>
  <c r="S41" i="47"/>
  <c r="E42" i="47"/>
  <c r="U42" i="47"/>
  <c r="G43" i="47"/>
  <c r="W43" i="47"/>
  <c r="I44" i="47"/>
  <c r="Y44" i="47"/>
  <c r="K45" i="47"/>
  <c r="AA45" i="47"/>
  <c r="M46" i="47"/>
  <c r="AC46" i="47"/>
  <c r="O47" i="47"/>
  <c r="AE47" i="47"/>
  <c r="Q48" i="47"/>
  <c r="C49" i="47"/>
  <c r="S49" i="47"/>
  <c r="E50" i="47"/>
  <c r="U50" i="47"/>
  <c r="G51" i="47"/>
  <c r="X51" i="47"/>
  <c r="K52" i="47"/>
  <c r="AB52" i="47"/>
  <c r="O53" i="47"/>
  <c r="AF57" i="47"/>
  <c r="S58" i="47"/>
  <c r="F59" i="47"/>
  <c r="W59" i="47"/>
  <c r="J60" i="47"/>
  <c r="AA60" i="47"/>
  <c r="N61" i="47"/>
  <c r="AE61" i="47"/>
  <c r="N65" i="47"/>
  <c r="AE65" i="47"/>
  <c r="Z71" i="47"/>
  <c r="S82" i="47"/>
  <c r="AF89" i="47"/>
  <c r="P98" i="47"/>
  <c r="X102" i="47"/>
  <c r="AF106" i="47"/>
  <c r="J111" i="47"/>
  <c r="R115" i="47"/>
  <c r="Z119" i="47"/>
  <c r="D124" i="47"/>
  <c r="L173" i="47"/>
  <c r="X458" i="47"/>
  <c r="X398" i="47"/>
  <c r="X428" i="47"/>
  <c r="X368" i="47"/>
  <c r="X308" i="47"/>
  <c r="X248" i="47"/>
  <c r="X218" i="47"/>
  <c r="X188" i="47"/>
  <c r="X278" i="47"/>
  <c r="X158" i="47"/>
  <c r="X98" i="47"/>
  <c r="V465" i="47"/>
  <c r="V435" i="47"/>
  <c r="V405" i="47"/>
  <c r="V375" i="47"/>
  <c r="V285" i="47"/>
  <c r="V315" i="47"/>
  <c r="V255" i="47"/>
  <c r="V225" i="47"/>
  <c r="V165" i="47"/>
  <c r="V195" i="47"/>
  <c r="V105" i="47"/>
  <c r="D472" i="47"/>
  <c r="D442" i="47"/>
  <c r="D412" i="47"/>
  <c r="D382" i="47"/>
  <c r="D292" i="47"/>
  <c r="D322" i="47"/>
  <c r="D232" i="47"/>
  <c r="D262" i="47"/>
  <c r="D172" i="47"/>
  <c r="D202" i="47"/>
  <c r="D112" i="47"/>
  <c r="D480" i="47"/>
  <c r="D450" i="47"/>
  <c r="D390" i="47"/>
  <c r="D420" i="47"/>
  <c r="D300" i="47"/>
  <c r="D330" i="47"/>
  <c r="D270" i="47"/>
  <c r="D240" i="47"/>
  <c r="D180" i="47"/>
  <c r="D210" i="47"/>
  <c r="D120" i="47"/>
  <c r="I88" i="47"/>
  <c r="V61" i="47"/>
  <c r="J126" i="47"/>
  <c r="E456" i="47"/>
  <c r="E396" i="47"/>
  <c r="E426" i="47"/>
  <c r="E366" i="47"/>
  <c r="E306" i="47"/>
  <c r="E276" i="47"/>
  <c r="E216" i="47"/>
  <c r="E186" i="47"/>
  <c r="E156" i="47"/>
  <c r="E246" i="47"/>
  <c r="E96" i="47"/>
  <c r="M460" i="47"/>
  <c r="M400" i="47"/>
  <c r="M430" i="47"/>
  <c r="M370" i="47"/>
  <c r="M310" i="47"/>
  <c r="M280" i="47"/>
  <c r="M250" i="47"/>
  <c r="M220" i="47"/>
  <c r="M190" i="47"/>
  <c r="M160" i="47"/>
  <c r="M100" i="47"/>
  <c r="G465" i="47"/>
  <c r="G405" i="47"/>
  <c r="G375" i="47"/>
  <c r="G435" i="47"/>
  <c r="G315" i="47"/>
  <c r="G285" i="47"/>
  <c r="G255" i="47"/>
  <c r="G225" i="47"/>
  <c r="G165" i="47"/>
  <c r="G195" i="47"/>
  <c r="G105" i="47"/>
  <c r="O469" i="47"/>
  <c r="O439" i="47"/>
  <c r="O409" i="47"/>
  <c r="O379" i="47"/>
  <c r="O289" i="47"/>
  <c r="O229" i="47"/>
  <c r="O319" i="47"/>
  <c r="O259" i="47"/>
  <c r="O169" i="47"/>
  <c r="O199" i="47"/>
  <c r="O109" i="47"/>
  <c r="W473" i="47"/>
  <c r="W443" i="47"/>
  <c r="W413" i="47"/>
  <c r="W383" i="47"/>
  <c r="W293" i="47"/>
  <c r="W323" i="47"/>
  <c r="W233" i="47"/>
  <c r="W263" i="47"/>
  <c r="W173" i="47"/>
  <c r="W203" i="47"/>
  <c r="W113" i="47"/>
  <c r="C479" i="47"/>
  <c r="C449" i="47"/>
  <c r="C419" i="47"/>
  <c r="C389" i="47"/>
  <c r="C329" i="47"/>
  <c r="C299" i="47"/>
  <c r="C269" i="47"/>
  <c r="C239" i="47"/>
  <c r="C209" i="47"/>
  <c r="C179" i="47"/>
  <c r="C119" i="47"/>
  <c r="M484" i="47"/>
  <c r="M454" i="47"/>
  <c r="M394" i="47"/>
  <c r="M424" i="47"/>
  <c r="M334" i="47"/>
  <c r="M244" i="47"/>
  <c r="M304" i="47"/>
  <c r="M274" i="47"/>
  <c r="M184" i="47"/>
  <c r="M214" i="47"/>
  <c r="M124" i="47"/>
  <c r="AA92" i="47"/>
  <c r="K427" i="47"/>
  <c r="K457" i="47"/>
  <c r="K397" i="47"/>
  <c r="K367" i="47"/>
  <c r="K307" i="47"/>
  <c r="K217" i="47"/>
  <c r="K277" i="47"/>
  <c r="K247" i="47"/>
  <c r="K157" i="47"/>
  <c r="K187" i="47"/>
  <c r="K97" i="47"/>
  <c r="N456" i="47"/>
  <c r="N426" i="47"/>
  <c r="N396" i="47"/>
  <c r="N366" i="47"/>
  <c r="N306" i="47"/>
  <c r="N246" i="47"/>
  <c r="N276" i="47"/>
  <c r="N186" i="47"/>
  <c r="N216" i="47"/>
  <c r="N156" i="47"/>
  <c r="N96" i="47"/>
  <c r="AD456" i="47"/>
  <c r="AD426" i="47"/>
  <c r="AD396" i="47"/>
  <c r="AD366" i="47"/>
  <c r="AD306" i="47"/>
  <c r="AD246" i="47"/>
  <c r="AD276" i="47"/>
  <c r="AD216" i="47"/>
  <c r="AD186" i="47"/>
  <c r="AD156" i="47"/>
  <c r="AD96" i="47"/>
  <c r="P457" i="47"/>
  <c r="P397" i="47"/>
  <c r="P427" i="47"/>
  <c r="P367" i="47"/>
  <c r="P277" i="47"/>
  <c r="P247" i="47"/>
  <c r="P307" i="47"/>
  <c r="P187" i="47"/>
  <c r="P217" i="47"/>
  <c r="P157" i="47"/>
  <c r="P97" i="47"/>
  <c r="AF457" i="47"/>
  <c r="AF397" i="47"/>
  <c r="AF427" i="47"/>
  <c r="AF367" i="47"/>
  <c r="AF307" i="47"/>
  <c r="AF277" i="47"/>
  <c r="AF247" i="47"/>
  <c r="AF217" i="47"/>
  <c r="AF187" i="47"/>
  <c r="AF157" i="47"/>
  <c r="AF97" i="47"/>
  <c r="R458" i="47"/>
  <c r="R428" i="47"/>
  <c r="R398" i="47"/>
  <c r="R368" i="47"/>
  <c r="R308" i="47"/>
  <c r="R248" i="47"/>
  <c r="R278" i="47"/>
  <c r="R188" i="47"/>
  <c r="R218" i="47"/>
  <c r="R98" i="47"/>
  <c r="R158" i="47"/>
  <c r="D459" i="47"/>
  <c r="D429" i="47"/>
  <c r="D399" i="47"/>
  <c r="D369" i="47"/>
  <c r="D309" i="47"/>
  <c r="D279" i="47"/>
  <c r="D219" i="47"/>
  <c r="D189" i="47"/>
  <c r="D159" i="47"/>
  <c r="D99" i="47"/>
  <c r="D249" i="47"/>
  <c r="T459" i="47"/>
  <c r="T429" i="47"/>
  <c r="T399" i="47"/>
  <c r="T369" i="47"/>
  <c r="T309" i="47"/>
  <c r="T279" i="47"/>
  <c r="T249" i="47"/>
  <c r="T189" i="47"/>
  <c r="T159" i="47"/>
  <c r="T219" i="47"/>
  <c r="T99" i="47"/>
  <c r="F460" i="47"/>
  <c r="F400" i="47"/>
  <c r="F430" i="47"/>
  <c r="F370" i="47"/>
  <c r="F310" i="47"/>
  <c r="F190" i="47"/>
  <c r="F280" i="47"/>
  <c r="F250" i="47"/>
  <c r="F220" i="47"/>
  <c r="F160" i="47"/>
  <c r="F100" i="47"/>
  <c r="V460" i="47"/>
  <c r="V400" i="47"/>
  <c r="V430" i="47"/>
  <c r="V370" i="47"/>
  <c r="V310" i="47"/>
  <c r="V190" i="47"/>
  <c r="V250" i="47"/>
  <c r="V280" i="47"/>
  <c r="V160" i="47"/>
  <c r="V220" i="47"/>
  <c r="V100" i="47"/>
  <c r="H461" i="47"/>
  <c r="H401" i="47"/>
  <c r="H431" i="47"/>
  <c r="H371" i="47"/>
  <c r="H311" i="47"/>
  <c r="H191" i="47"/>
  <c r="H281" i="47"/>
  <c r="H251" i="47"/>
  <c r="H221" i="47"/>
  <c r="H161" i="47"/>
  <c r="H101" i="47"/>
  <c r="X461" i="47"/>
  <c r="X431" i="47"/>
  <c r="X401" i="47"/>
  <c r="X371" i="47"/>
  <c r="X311" i="47"/>
  <c r="X191" i="47"/>
  <c r="X281" i="47"/>
  <c r="X251" i="47"/>
  <c r="X161" i="47"/>
  <c r="X221" i="47"/>
  <c r="X101" i="47"/>
  <c r="J462" i="47"/>
  <c r="J432" i="47"/>
  <c r="J402" i="47"/>
  <c r="J372" i="47"/>
  <c r="J312" i="47"/>
  <c r="J192" i="47"/>
  <c r="J252" i="47"/>
  <c r="J282" i="47"/>
  <c r="J222" i="47"/>
  <c r="J162" i="47"/>
  <c r="J102" i="47"/>
  <c r="Z462" i="47"/>
  <c r="Z432" i="47"/>
  <c r="Z402" i="47"/>
  <c r="Z372" i="47"/>
  <c r="Z312" i="47"/>
  <c r="Z252" i="47"/>
  <c r="Z192" i="47"/>
  <c r="Z282" i="47"/>
  <c r="Z162" i="47"/>
  <c r="Z222" i="47"/>
  <c r="Z102" i="47"/>
  <c r="L463" i="47"/>
  <c r="L403" i="47"/>
  <c r="L433" i="47"/>
  <c r="L313" i="47"/>
  <c r="L373" i="47"/>
  <c r="L193" i="47"/>
  <c r="L253" i="47"/>
  <c r="L283" i="47"/>
  <c r="L223" i="47"/>
  <c r="L163" i="47"/>
  <c r="L103" i="47"/>
  <c r="AB463" i="47"/>
  <c r="AB403" i="47"/>
  <c r="AB433" i="47"/>
  <c r="AB373" i="47"/>
  <c r="AB313" i="47"/>
  <c r="AB193" i="47"/>
  <c r="AB283" i="47"/>
  <c r="AB253" i="47"/>
  <c r="AB223" i="47"/>
  <c r="AB163" i="47"/>
  <c r="AB103" i="47"/>
  <c r="N464" i="47"/>
  <c r="N434" i="47"/>
  <c r="N404" i="47"/>
  <c r="N314" i="47"/>
  <c r="N374" i="47"/>
  <c r="N194" i="47"/>
  <c r="N284" i="47"/>
  <c r="N254" i="47"/>
  <c r="N164" i="47"/>
  <c r="N224" i="47"/>
  <c r="N104" i="47"/>
  <c r="AD464" i="47"/>
  <c r="AD434" i="47"/>
  <c r="AD404" i="47"/>
  <c r="AD314" i="47"/>
  <c r="AD374" i="47"/>
  <c r="AD194" i="47"/>
  <c r="AD254" i="47"/>
  <c r="AD284" i="47"/>
  <c r="AD224" i="47"/>
  <c r="AD164" i="47"/>
  <c r="AD104" i="47"/>
  <c r="P465" i="47"/>
  <c r="P435" i="47"/>
  <c r="P405" i="47"/>
  <c r="P315" i="47"/>
  <c r="P375" i="47"/>
  <c r="P195" i="47"/>
  <c r="P255" i="47"/>
  <c r="P285" i="47"/>
  <c r="P225" i="47"/>
  <c r="P165" i="47"/>
  <c r="P105" i="47"/>
  <c r="AF465" i="47"/>
  <c r="AF405" i="47"/>
  <c r="AF435" i="47"/>
  <c r="AF315" i="47"/>
  <c r="AF375" i="47"/>
  <c r="AF195" i="47"/>
  <c r="AF285" i="47"/>
  <c r="AF255" i="47"/>
  <c r="AF165" i="47"/>
  <c r="AF225" i="47"/>
  <c r="AF105" i="47"/>
  <c r="R466" i="47"/>
  <c r="R406" i="47"/>
  <c r="R436" i="47"/>
  <c r="R316" i="47"/>
  <c r="R376" i="47"/>
  <c r="R196" i="47"/>
  <c r="R226" i="47"/>
  <c r="R256" i="47"/>
  <c r="R166" i="47"/>
  <c r="R286" i="47"/>
  <c r="R106" i="47"/>
  <c r="D467" i="47"/>
  <c r="D437" i="47"/>
  <c r="D407" i="47"/>
  <c r="D317" i="47"/>
  <c r="D377" i="47"/>
  <c r="D257" i="47"/>
  <c r="D197" i="47"/>
  <c r="D287" i="47"/>
  <c r="D227" i="47"/>
  <c r="D167" i="47"/>
  <c r="D107" i="47"/>
  <c r="T467" i="47"/>
  <c r="T437" i="47"/>
  <c r="T407" i="47"/>
  <c r="T317" i="47"/>
  <c r="T377" i="47"/>
  <c r="T197" i="47"/>
  <c r="T257" i="47"/>
  <c r="T287" i="47"/>
  <c r="T227" i="47"/>
  <c r="T167" i="47"/>
  <c r="T107" i="47"/>
  <c r="F468" i="47"/>
  <c r="F438" i="47"/>
  <c r="F408" i="47"/>
  <c r="F378" i="47"/>
  <c r="F318" i="47"/>
  <c r="F198" i="47"/>
  <c r="F288" i="47"/>
  <c r="F258" i="47"/>
  <c r="F228" i="47"/>
  <c r="F168" i="47"/>
  <c r="F108" i="47"/>
  <c r="V468" i="47"/>
  <c r="V408" i="47"/>
  <c r="V438" i="47"/>
  <c r="V318" i="47"/>
  <c r="V378" i="47"/>
  <c r="V198" i="47"/>
  <c r="V288" i="47"/>
  <c r="V258" i="47"/>
  <c r="V228" i="47"/>
  <c r="V168" i="47"/>
  <c r="V108" i="47"/>
  <c r="H469" i="47"/>
  <c r="H439" i="47"/>
  <c r="H409" i="47"/>
  <c r="H319" i="47"/>
  <c r="H379" i="47"/>
  <c r="H199" i="47"/>
  <c r="H229" i="47"/>
  <c r="H289" i="47"/>
  <c r="H259" i="47"/>
  <c r="H169" i="47"/>
  <c r="H109" i="47"/>
  <c r="X469" i="47"/>
  <c r="X409" i="47"/>
  <c r="X439" i="47"/>
  <c r="X319" i="47"/>
  <c r="X379" i="47"/>
  <c r="X199" i="47"/>
  <c r="X259" i="47"/>
  <c r="X229" i="47"/>
  <c r="X169" i="47"/>
  <c r="X289" i="47"/>
  <c r="X109" i="47"/>
  <c r="J470" i="47"/>
  <c r="J440" i="47"/>
  <c r="J410" i="47"/>
  <c r="J320" i="47"/>
  <c r="J380" i="47"/>
  <c r="J200" i="47"/>
  <c r="J260" i="47"/>
  <c r="J290" i="47"/>
  <c r="J230" i="47"/>
  <c r="J170" i="47"/>
  <c r="J110" i="47"/>
  <c r="Z470" i="47"/>
  <c r="Z440" i="47"/>
  <c r="Z410" i="47"/>
  <c r="Z320" i="47"/>
  <c r="Z380" i="47"/>
  <c r="Z200" i="47"/>
  <c r="Z260" i="47"/>
  <c r="Z230" i="47"/>
  <c r="Z170" i="47"/>
  <c r="Z290" i="47"/>
  <c r="Z110" i="47"/>
  <c r="L471" i="47"/>
  <c r="L411" i="47"/>
  <c r="L441" i="47"/>
  <c r="L321" i="47"/>
  <c r="L381" i="47"/>
  <c r="L201" i="47"/>
  <c r="L291" i="47"/>
  <c r="L231" i="47"/>
  <c r="L261" i="47"/>
  <c r="L171" i="47"/>
  <c r="L111" i="47"/>
  <c r="AB471" i="47"/>
  <c r="AB441" i="47"/>
  <c r="AB411" i="47"/>
  <c r="AB321" i="47"/>
  <c r="AB381" i="47"/>
  <c r="AB201" i="47"/>
  <c r="AB261" i="47"/>
  <c r="AB291" i="47"/>
  <c r="AB231" i="47"/>
  <c r="AB171" i="47"/>
  <c r="AB111" i="47"/>
  <c r="N472" i="47"/>
  <c r="N412" i="47"/>
  <c r="N442" i="47"/>
  <c r="N382" i="47"/>
  <c r="N322" i="47"/>
  <c r="N202" i="47"/>
  <c r="N292" i="47"/>
  <c r="N262" i="47"/>
  <c r="N232" i="47"/>
  <c r="N172" i="47"/>
  <c r="N112" i="47"/>
  <c r="AD472" i="47"/>
  <c r="AD442" i="47"/>
  <c r="AD412" i="47"/>
  <c r="AD322" i="47"/>
  <c r="AD382" i="47"/>
  <c r="AD202" i="47"/>
  <c r="AD292" i="47"/>
  <c r="AD262" i="47"/>
  <c r="AD232" i="47"/>
  <c r="AD172" i="47"/>
  <c r="AD112" i="47"/>
  <c r="P473" i="47"/>
  <c r="P413" i="47"/>
  <c r="P443" i="47"/>
  <c r="P323" i="47"/>
  <c r="P383" i="47"/>
  <c r="P203" i="47"/>
  <c r="P293" i="47"/>
  <c r="P233" i="47"/>
  <c r="P263" i="47"/>
  <c r="P173" i="47"/>
  <c r="P113" i="47"/>
  <c r="AF473" i="47"/>
  <c r="AF443" i="47"/>
  <c r="AF413" i="47"/>
  <c r="AF323" i="47"/>
  <c r="AF383" i="47"/>
  <c r="AF263" i="47"/>
  <c r="AF203" i="47"/>
  <c r="AF293" i="47"/>
  <c r="AF233" i="47"/>
  <c r="AF173" i="47"/>
  <c r="AF113" i="47"/>
  <c r="R414" i="47"/>
  <c r="R474" i="47"/>
  <c r="R444" i="47"/>
  <c r="R324" i="47"/>
  <c r="R384" i="47"/>
  <c r="R264" i="47"/>
  <c r="R204" i="47"/>
  <c r="R294" i="47"/>
  <c r="R234" i="47"/>
  <c r="R174" i="47"/>
  <c r="R114" i="47"/>
  <c r="D415" i="47"/>
  <c r="D475" i="47"/>
  <c r="D445" i="47"/>
  <c r="D325" i="47"/>
  <c r="D385" i="47"/>
  <c r="D265" i="47"/>
  <c r="D205" i="47"/>
  <c r="D295" i="47"/>
  <c r="D235" i="47"/>
  <c r="D175" i="47"/>
  <c r="D115" i="47"/>
  <c r="T415" i="47"/>
  <c r="T475" i="47"/>
  <c r="T445" i="47"/>
  <c r="T325" i="47"/>
  <c r="T385" i="47"/>
  <c r="T265" i="47"/>
  <c r="T295" i="47"/>
  <c r="T205" i="47"/>
  <c r="T235" i="47"/>
  <c r="T175" i="47"/>
  <c r="T115" i="47"/>
  <c r="F416" i="47"/>
  <c r="F476" i="47"/>
  <c r="F446" i="47"/>
  <c r="F326" i="47"/>
  <c r="F266" i="47"/>
  <c r="F386" i="47"/>
  <c r="F206" i="47"/>
  <c r="F236" i="47"/>
  <c r="F296" i="47"/>
  <c r="F176" i="47"/>
  <c r="F116" i="47"/>
  <c r="V416" i="47"/>
  <c r="V476" i="47"/>
  <c r="V446" i="47"/>
  <c r="V326" i="47"/>
  <c r="V386" i="47"/>
  <c r="V266" i="47"/>
  <c r="V206" i="47"/>
  <c r="V236" i="47"/>
  <c r="V296" i="47"/>
  <c r="V176" i="47"/>
  <c r="V116" i="47"/>
  <c r="H417" i="47"/>
  <c r="H477" i="47"/>
  <c r="H447" i="47"/>
  <c r="H327" i="47"/>
  <c r="H387" i="47"/>
  <c r="H267" i="47"/>
  <c r="H207" i="47"/>
  <c r="H237" i="47"/>
  <c r="H297" i="47"/>
  <c r="H177" i="47"/>
  <c r="H117" i="47"/>
  <c r="X417" i="47"/>
  <c r="X477" i="47"/>
  <c r="X447" i="47"/>
  <c r="X327" i="47"/>
  <c r="X387" i="47"/>
  <c r="X267" i="47"/>
  <c r="X207" i="47"/>
  <c r="X297" i="47"/>
  <c r="X237" i="47"/>
  <c r="X177" i="47"/>
  <c r="X117" i="47"/>
  <c r="J418" i="47"/>
  <c r="J478" i="47"/>
  <c r="J448" i="47"/>
  <c r="J328" i="47"/>
  <c r="J388" i="47"/>
  <c r="J268" i="47"/>
  <c r="J208" i="47"/>
  <c r="J298" i="47"/>
  <c r="J238" i="47"/>
  <c r="J178" i="47"/>
  <c r="J118" i="47"/>
  <c r="Z418" i="47"/>
  <c r="Z478" i="47"/>
  <c r="Z448" i="47"/>
  <c r="Z328" i="47"/>
  <c r="Z388" i="47"/>
  <c r="Z268" i="47"/>
  <c r="Z208" i="47"/>
  <c r="Z298" i="47"/>
  <c r="Z238" i="47"/>
  <c r="Z178" i="47"/>
  <c r="Z118" i="47"/>
  <c r="L419" i="47"/>
  <c r="L479" i="47"/>
  <c r="L449" i="47"/>
  <c r="L329" i="47"/>
  <c r="L389" i="47"/>
  <c r="L299" i="47"/>
  <c r="L269" i="47"/>
  <c r="L209" i="47"/>
  <c r="L239" i="47"/>
  <c r="L179" i="47"/>
  <c r="L119" i="47"/>
  <c r="AB419" i="47"/>
  <c r="AB479" i="47"/>
  <c r="AB449" i="47"/>
  <c r="AB329" i="47"/>
  <c r="AB389" i="47"/>
  <c r="AB299" i="47"/>
  <c r="AB269" i="47"/>
  <c r="AB209" i="47"/>
  <c r="AB239" i="47"/>
  <c r="AB179" i="47"/>
  <c r="AB119" i="47"/>
  <c r="N420" i="47"/>
  <c r="N480" i="47"/>
  <c r="N450" i="47"/>
  <c r="N330" i="47"/>
  <c r="N390" i="47"/>
  <c r="N300" i="47"/>
  <c r="N270" i="47"/>
  <c r="N210" i="47"/>
  <c r="N180" i="47"/>
  <c r="N240" i="47"/>
  <c r="N120" i="47"/>
  <c r="AD420" i="47"/>
  <c r="AD480" i="47"/>
  <c r="AD450" i="47"/>
  <c r="AD330" i="47"/>
  <c r="AD390" i="47"/>
  <c r="AD300" i="47"/>
  <c r="AD270" i="47"/>
  <c r="AD210" i="47"/>
  <c r="AD240" i="47"/>
  <c r="AD180" i="47"/>
  <c r="AD120" i="47"/>
  <c r="P421" i="47"/>
  <c r="P481" i="47"/>
  <c r="P451" i="47"/>
  <c r="P331" i="47"/>
  <c r="P391" i="47"/>
  <c r="P271" i="47"/>
  <c r="P301" i="47"/>
  <c r="P211" i="47"/>
  <c r="P241" i="47"/>
  <c r="P181" i="47"/>
  <c r="P121" i="47"/>
  <c r="AF421" i="47"/>
  <c r="AF481" i="47"/>
  <c r="AF451" i="47"/>
  <c r="AF331" i="47"/>
  <c r="AF391" i="47"/>
  <c r="AF271" i="47"/>
  <c r="AF301" i="47"/>
  <c r="AF241" i="47"/>
  <c r="AF211" i="47"/>
  <c r="AF181" i="47"/>
  <c r="AF121" i="47"/>
  <c r="R422" i="47"/>
  <c r="R482" i="47"/>
  <c r="R452" i="47"/>
  <c r="R332" i="47"/>
  <c r="R392" i="47"/>
  <c r="R272" i="47"/>
  <c r="R302" i="47"/>
  <c r="R212" i="47"/>
  <c r="R242" i="47"/>
  <c r="R182" i="47"/>
  <c r="R122" i="47"/>
  <c r="D423" i="47"/>
  <c r="D483" i="47"/>
  <c r="D453" i="47"/>
  <c r="D333" i="47"/>
  <c r="D393" i="47"/>
  <c r="D273" i="47"/>
  <c r="D303" i="47"/>
  <c r="D213" i="47"/>
  <c r="D243" i="47"/>
  <c r="D183" i="47"/>
  <c r="D123" i="47"/>
  <c r="T423" i="47"/>
  <c r="T483" i="47"/>
  <c r="T453" i="47"/>
  <c r="T333" i="47"/>
  <c r="T393" i="47"/>
  <c r="T273" i="47"/>
  <c r="T303" i="47"/>
  <c r="T213" i="47"/>
  <c r="T243" i="47"/>
  <c r="T183" i="47"/>
  <c r="T123" i="47"/>
  <c r="F424" i="47"/>
  <c r="F484" i="47"/>
  <c r="F454" i="47"/>
  <c r="F394" i="47"/>
  <c r="F334" i="47"/>
  <c r="F274" i="47"/>
  <c r="F304" i="47"/>
  <c r="F214" i="47"/>
  <c r="F244" i="47"/>
  <c r="F184" i="47"/>
  <c r="F124" i="47"/>
  <c r="V424" i="47"/>
  <c r="V484" i="47"/>
  <c r="V454" i="47"/>
  <c r="V334" i="47"/>
  <c r="V394" i="47"/>
  <c r="V274" i="47"/>
  <c r="V304" i="47"/>
  <c r="V214" i="47"/>
  <c r="V244" i="47"/>
  <c r="V184" i="47"/>
  <c r="V124" i="47"/>
  <c r="H425" i="47"/>
  <c r="H485" i="47"/>
  <c r="H455" i="47"/>
  <c r="H335" i="47"/>
  <c r="H275" i="47"/>
  <c r="H395" i="47"/>
  <c r="H305" i="47"/>
  <c r="H215" i="47"/>
  <c r="H245" i="47"/>
  <c r="H185" i="47"/>
  <c r="H125" i="47"/>
  <c r="X425" i="47"/>
  <c r="X485" i="47"/>
  <c r="X455" i="47"/>
  <c r="X335" i="47"/>
  <c r="X395" i="47"/>
  <c r="X275" i="47"/>
  <c r="X305" i="47"/>
  <c r="X215" i="47"/>
  <c r="X245" i="47"/>
  <c r="X185" i="47"/>
  <c r="X125" i="47"/>
  <c r="J36" i="47"/>
  <c r="Z36" i="47"/>
  <c r="L37" i="47"/>
  <c r="AB37" i="47"/>
  <c r="N38" i="47"/>
  <c r="AD38" i="47"/>
  <c r="P39" i="47"/>
  <c r="AF39" i="47"/>
  <c r="R40" i="47"/>
  <c r="D41" i="47"/>
  <c r="T41" i="47"/>
  <c r="F42" i="47"/>
  <c r="V42" i="47"/>
  <c r="H43" i="47"/>
  <c r="X43" i="47"/>
  <c r="J44" i="47"/>
  <c r="Z44" i="47"/>
  <c r="L45" i="47"/>
  <c r="AB45" i="47"/>
  <c r="N46" i="47"/>
  <c r="AD46" i="47"/>
  <c r="P47" i="47"/>
  <c r="AF47" i="47"/>
  <c r="R48" i="47"/>
  <c r="D49" i="47"/>
  <c r="T49" i="47"/>
  <c r="F50" i="47"/>
  <c r="V50" i="47"/>
  <c r="H51" i="47"/>
  <c r="Y51" i="47"/>
  <c r="L52" i="47"/>
  <c r="AC52" i="47"/>
  <c r="P53" i="47"/>
  <c r="L56" i="47"/>
  <c r="AC56" i="47"/>
  <c r="P57" i="47"/>
  <c r="C58" i="47"/>
  <c r="T58" i="47"/>
  <c r="G59" i="47"/>
  <c r="X59" i="47"/>
  <c r="K60" i="47"/>
  <c r="AB60" i="47"/>
  <c r="O61" i="47"/>
  <c r="AF61" i="47"/>
  <c r="AB64" i="47"/>
  <c r="O65" i="47"/>
  <c r="AF65" i="47"/>
  <c r="AA71" i="47"/>
  <c r="P74" i="47"/>
  <c r="F77" i="47"/>
  <c r="AD98" i="47"/>
  <c r="H103" i="47"/>
  <c r="P107" i="47"/>
  <c r="X111" i="47"/>
  <c r="AF115" i="47"/>
  <c r="J120" i="47"/>
  <c r="R124" i="47"/>
  <c r="D177" i="47"/>
  <c r="K216" i="47"/>
  <c r="AF470" i="47"/>
  <c r="AF440" i="47"/>
  <c r="AF410" i="47"/>
  <c r="AF380" i="47"/>
  <c r="AF320" i="47"/>
  <c r="AF290" i="47"/>
  <c r="AF230" i="47"/>
  <c r="AF260" i="47"/>
  <c r="AF200" i="47"/>
  <c r="AF170" i="47"/>
  <c r="AF110" i="47"/>
  <c r="AE85" i="47"/>
  <c r="U95" i="47"/>
  <c r="T147" i="47"/>
  <c r="W465" i="47"/>
  <c r="W435" i="47"/>
  <c r="W405" i="47"/>
  <c r="W375" i="47"/>
  <c r="W285" i="47"/>
  <c r="W315" i="47"/>
  <c r="W255" i="47"/>
  <c r="W225" i="47"/>
  <c r="W165" i="47"/>
  <c r="W195" i="47"/>
  <c r="W105" i="47"/>
  <c r="AE477" i="47"/>
  <c r="AE447" i="47"/>
  <c r="AE387" i="47"/>
  <c r="AE417" i="47"/>
  <c r="AE327" i="47"/>
  <c r="AE297" i="47"/>
  <c r="AE267" i="47"/>
  <c r="AE237" i="47"/>
  <c r="AE177" i="47"/>
  <c r="AE207" i="47"/>
  <c r="AE117" i="47"/>
  <c r="AB134" i="47"/>
  <c r="Y457" i="47"/>
  <c r="Y427" i="47"/>
  <c r="Y367" i="47"/>
  <c r="Y397" i="47"/>
  <c r="Y277" i="47"/>
  <c r="Y307" i="47"/>
  <c r="Y217" i="47"/>
  <c r="Y157" i="47"/>
  <c r="Y247" i="47"/>
  <c r="Y97" i="47"/>
  <c r="Y187" i="47"/>
  <c r="O456" i="47"/>
  <c r="O426" i="47"/>
  <c r="O396" i="47"/>
  <c r="O366" i="47"/>
  <c r="O306" i="47"/>
  <c r="O276" i="47"/>
  <c r="O246" i="47"/>
  <c r="O186" i="47"/>
  <c r="O216" i="47"/>
  <c r="O156" i="47"/>
  <c r="O96" i="47"/>
  <c r="Q457" i="47"/>
  <c r="Q397" i="47"/>
  <c r="Q427" i="47"/>
  <c r="Q307" i="47"/>
  <c r="Q367" i="47"/>
  <c r="Q277" i="47"/>
  <c r="Q247" i="47"/>
  <c r="Q187" i="47"/>
  <c r="Q217" i="47"/>
  <c r="Q157" i="47"/>
  <c r="Q97" i="47"/>
  <c r="C458" i="47"/>
  <c r="C398" i="47"/>
  <c r="C428" i="47"/>
  <c r="C308" i="47"/>
  <c r="C368" i="47"/>
  <c r="C278" i="47"/>
  <c r="C248" i="47"/>
  <c r="C218" i="47"/>
  <c r="C188" i="47"/>
  <c r="C158" i="47"/>
  <c r="C98" i="47"/>
  <c r="S458" i="47"/>
  <c r="S398" i="47"/>
  <c r="S308" i="47"/>
  <c r="S428" i="47"/>
  <c r="S278" i="47"/>
  <c r="S368" i="47"/>
  <c r="S248" i="47"/>
  <c r="S188" i="47"/>
  <c r="S218" i="47"/>
  <c r="S98" i="47"/>
  <c r="S158" i="47"/>
  <c r="E459" i="47"/>
  <c r="E429" i="47"/>
  <c r="E399" i="47"/>
  <c r="E369" i="47"/>
  <c r="E309" i="47"/>
  <c r="E279" i="47"/>
  <c r="E249" i="47"/>
  <c r="E219" i="47"/>
  <c r="E189" i="47"/>
  <c r="E159" i="47"/>
  <c r="E99" i="47"/>
  <c r="U459" i="47"/>
  <c r="U429" i="47"/>
  <c r="U399" i="47"/>
  <c r="U309" i="47"/>
  <c r="U369" i="47"/>
  <c r="U279" i="47"/>
  <c r="U189" i="47"/>
  <c r="U249" i="47"/>
  <c r="U219" i="47"/>
  <c r="U159" i="47"/>
  <c r="U99" i="47"/>
  <c r="G460" i="47"/>
  <c r="G400" i="47"/>
  <c r="G430" i="47"/>
  <c r="G310" i="47"/>
  <c r="G370" i="47"/>
  <c r="G280" i="47"/>
  <c r="G250" i="47"/>
  <c r="G220" i="47"/>
  <c r="G190" i="47"/>
  <c r="G100" i="47"/>
  <c r="G160" i="47"/>
  <c r="W460" i="47"/>
  <c r="W400" i="47"/>
  <c r="W430" i="47"/>
  <c r="W310" i="47"/>
  <c r="W370" i="47"/>
  <c r="W280" i="47"/>
  <c r="W250" i="47"/>
  <c r="W190" i="47"/>
  <c r="W220" i="47"/>
  <c r="W160" i="47"/>
  <c r="W100" i="47"/>
  <c r="I461" i="47"/>
  <c r="I401" i="47"/>
  <c r="I431" i="47"/>
  <c r="I311" i="47"/>
  <c r="I371" i="47"/>
  <c r="I281" i="47"/>
  <c r="I251" i="47"/>
  <c r="I221" i="47"/>
  <c r="I191" i="47"/>
  <c r="I161" i="47"/>
  <c r="I101" i="47"/>
  <c r="Y461" i="47"/>
  <c r="Y431" i="47"/>
  <c r="Y401" i="47"/>
  <c r="Y311" i="47"/>
  <c r="Y371" i="47"/>
  <c r="Y281" i="47"/>
  <c r="Y251" i="47"/>
  <c r="Y191" i="47"/>
  <c r="Y221" i="47"/>
  <c r="Y101" i="47"/>
  <c r="K462" i="47"/>
  <c r="K432" i="47"/>
  <c r="K402" i="47"/>
  <c r="K312" i="47"/>
  <c r="K372" i="47"/>
  <c r="K282" i="47"/>
  <c r="K222" i="47"/>
  <c r="K162" i="47"/>
  <c r="K192" i="47"/>
  <c r="K102" i="47"/>
  <c r="K252" i="47"/>
  <c r="AA462" i="47"/>
  <c r="AA432" i="47"/>
  <c r="AA402" i="47"/>
  <c r="AA312" i="47"/>
  <c r="AA372" i="47"/>
  <c r="AA282" i="47"/>
  <c r="AA252" i="47"/>
  <c r="AA162" i="47"/>
  <c r="AA192" i="47"/>
  <c r="AA222" i="47"/>
  <c r="AA102" i="47"/>
  <c r="M463" i="47"/>
  <c r="M403" i="47"/>
  <c r="M433" i="47"/>
  <c r="M313" i="47"/>
  <c r="M373" i="47"/>
  <c r="M283" i="47"/>
  <c r="M253" i="47"/>
  <c r="M223" i="47"/>
  <c r="M163" i="47"/>
  <c r="M193" i="47"/>
  <c r="M103" i="47"/>
  <c r="AC463" i="47"/>
  <c r="AC403" i="47"/>
  <c r="AC433" i="47"/>
  <c r="AC313" i="47"/>
  <c r="AC373" i="47"/>
  <c r="AC283" i="47"/>
  <c r="AC253" i="47"/>
  <c r="AC223" i="47"/>
  <c r="AC163" i="47"/>
  <c r="AC193" i="47"/>
  <c r="AC103" i="47"/>
  <c r="O464" i="47"/>
  <c r="O434" i="47"/>
  <c r="O404" i="47"/>
  <c r="O314" i="47"/>
  <c r="O374" i="47"/>
  <c r="O284" i="47"/>
  <c r="O254" i="47"/>
  <c r="O164" i="47"/>
  <c r="O224" i="47"/>
  <c r="O104" i="47"/>
  <c r="AE464" i="47"/>
  <c r="AE434" i="47"/>
  <c r="AE404" i="47"/>
  <c r="AE314" i="47"/>
  <c r="AE374" i="47"/>
  <c r="AE284" i="47"/>
  <c r="AE254" i="47"/>
  <c r="AE224" i="47"/>
  <c r="AE194" i="47"/>
  <c r="AE164" i="47"/>
  <c r="AE104" i="47"/>
  <c r="Q465" i="47"/>
  <c r="Q435" i="47"/>
  <c r="Q405" i="47"/>
  <c r="Q315" i="47"/>
  <c r="Q375" i="47"/>
  <c r="Q285" i="47"/>
  <c r="Q225" i="47"/>
  <c r="Q195" i="47"/>
  <c r="Q165" i="47"/>
  <c r="Q255" i="47"/>
  <c r="Q105" i="47"/>
  <c r="C466" i="47"/>
  <c r="C406" i="47"/>
  <c r="C436" i="47"/>
  <c r="C316" i="47"/>
  <c r="C376" i="47"/>
  <c r="C286" i="47"/>
  <c r="C256" i="47"/>
  <c r="C226" i="47"/>
  <c r="C196" i="47"/>
  <c r="C166" i="47"/>
  <c r="C106" i="47"/>
  <c r="S466" i="47"/>
  <c r="S406" i="47"/>
  <c r="S436" i="47"/>
  <c r="S316" i="47"/>
  <c r="S376" i="47"/>
  <c r="S286" i="47"/>
  <c r="S226" i="47"/>
  <c r="S196" i="47"/>
  <c r="S256" i="47"/>
  <c r="S166" i="47"/>
  <c r="S106" i="47"/>
  <c r="E467" i="47"/>
  <c r="E407" i="47"/>
  <c r="E317" i="47"/>
  <c r="E437" i="47"/>
  <c r="E377" i="47"/>
  <c r="E287" i="47"/>
  <c r="E227" i="47"/>
  <c r="E257" i="47"/>
  <c r="E197" i="47"/>
  <c r="E167" i="47"/>
  <c r="E107" i="47"/>
  <c r="U467" i="47"/>
  <c r="U437" i="47"/>
  <c r="U407" i="47"/>
  <c r="U317" i="47"/>
  <c r="U377" i="47"/>
  <c r="U287" i="47"/>
  <c r="U257" i="47"/>
  <c r="U227" i="47"/>
  <c r="U197" i="47"/>
  <c r="U167" i="47"/>
  <c r="U107" i="47"/>
  <c r="G468" i="47"/>
  <c r="G438" i="47"/>
  <c r="G408" i="47"/>
  <c r="G318" i="47"/>
  <c r="G288" i="47"/>
  <c r="G378" i="47"/>
  <c r="G258" i="47"/>
  <c r="G228" i="47"/>
  <c r="G168" i="47"/>
  <c r="G198" i="47"/>
  <c r="G108" i="47"/>
  <c r="W468" i="47"/>
  <c r="W408" i="47"/>
  <c r="W438" i="47"/>
  <c r="W318" i="47"/>
  <c r="W378" i="47"/>
  <c r="W288" i="47"/>
  <c r="W258" i="47"/>
  <c r="W228" i="47"/>
  <c r="W168" i="47"/>
  <c r="W198" i="47"/>
  <c r="W108" i="47"/>
  <c r="I469" i="47"/>
  <c r="I439" i="47"/>
  <c r="I409" i="47"/>
  <c r="I319" i="47"/>
  <c r="I379" i="47"/>
  <c r="I289" i="47"/>
  <c r="I229" i="47"/>
  <c r="I169" i="47"/>
  <c r="I259" i="47"/>
  <c r="I109" i="47"/>
  <c r="Y469" i="47"/>
  <c r="Y409" i="47"/>
  <c r="Y439" i="47"/>
  <c r="Y319" i="47"/>
  <c r="Y379" i="47"/>
  <c r="Y289" i="47"/>
  <c r="Y259" i="47"/>
  <c r="Y229" i="47"/>
  <c r="Y199" i="47"/>
  <c r="Y169" i="47"/>
  <c r="Y109" i="47"/>
  <c r="K470" i="47"/>
  <c r="K410" i="47"/>
  <c r="K320" i="47"/>
  <c r="K440" i="47"/>
  <c r="K380" i="47"/>
  <c r="K290" i="47"/>
  <c r="K260" i="47"/>
  <c r="K230" i="47"/>
  <c r="K200" i="47"/>
  <c r="K170" i="47"/>
  <c r="K110" i="47"/>
  <c r="AA470" i="47"/>
  <c r="AA440" i="47"/>
  <c r="AA410" i="47"/>
  <c r="AA320" i="47"/>
  <c r="AA380" i="47"/>
  <c r="AA290" i="47"/>
  <c r="AA260" i="47"/>
  <c r="AA230" i="47"/>
  <c r="AA200" i="47"/>
  <c r="AA170" i="47"/>
  <c r="AA110" i="47"/>
  <c r="M471" i="47"/>
  <c r="M411" i="47"/>
  <c r="M441" i="47"/>
  <c r="M321" i="47"/>
  <c r="M381" i="47"/>
  <c r="M291" i="47"/>
  <c r="M231" i="47"/>
  <c r="M261" i="47"/>
  <c r="M201" i="47"/>
  <c r="M171" i="47"/>
  <c r="M111" i="47"/>
  <c r="AC471" i="47"/>
  <c r="AC441" i="47"/>
  <c r="AC411" i="47"/>
  <c r="AC321" i="47"/>
  <c r="AC381" i="47"/>
  <c r="AC291" i="47"/>
  <c r="AC261" i="47"/>
  <c r="AC231" i="47"/>
  <c r="AC171" i="47"/>
  <c r="AC201" i="47"/>
  <c r="AC111" i="47"/>
  <c r="O472" i="47"/>
  <c r="O412" i="47"/>
  <c r="O442" i="47"/>
  <c r="O322" i="47"/>
  <c r="O382" i="47"/>
  <c r="O292" i="47"/>
  <c r="O262" i="47"/>
  <c r="O232" i="47"/>
  <c r="O172" i="47"/>
  <c r="O202" i="47"/>
  <c r="O112" i="47"/>
  <c r="AE472" i="47"/>
  <c r="AE442" i="47"/>
  <c r="AE412" i="47"/>
  <c r="AE322" i="47"/>
  <c r="AE382" i="47"/>
  <c r="AE292" i="47"/>
  <c r="AE262" i="47"/>
  <c r="AE232" i="47"/>
  <c r="AE202" i="47"/>
  <c r="AE172" i="47"/>
  <c r="AE112" i="47"/>
  <c r="Q473" i="47"/>
  <c r="Q413" i="47"/>
  <c r="Q443" i="47"/>
  <c r="Q323" i="47"/>
  <c r="Q383" i="47"/>
  <c r="Q263" i="47"/>
  <c r="Q293" i="47"/>
  <c r="Q233" i="47"/>
  <c r="Q203" i="47"/>
  <c r="Q173" i="47"/>
  <c r="Q113" i="47"/>
  <c r="C474" i="47"/>
  <c r="C444" i="47"/>
  <c r="C414" i="47"/>
  <c r="C324" i="47"/>
  <c r="C384" i="47"/>
  <c r="C264" i="47"/>
  <c r="C294" i="47"/>
  <c r="C234" i="47"/>
  <c r="C204" i="47"/>
  <c r="C174" i="47"/>
  <c r="C114" i="47"/>
  <c r="S474" i="47"/>
  <c r="S414" i="47"/>
  <c r="S444" i="47"/>
  <c r="S324" i="47"/>
  <c r="S384" i="47"/>
  <c r="S264" i="47"/>
  <c r="S294" i="47"/>
  <c r="S234" i="47"/>
  <c r="S174" i="47"/>
  <c r="S204" i="47"/>
  <c r="S114" i="47"/>
  <c r="E475" i="47"/>
  <c r="E445" i="47"/>
  <c r="E415" i="47"/>
  <c r="E325" i="47"/>
  <c r="E385" i="47"/>
  <c r="E265" i="47"/>
  <c r="E295" i="47"/>
  <c r="E235" i="47"/>
  <c r="E175" i="47"/>
  <c r="E115" i="47"/>
  <c r="E205" i="47"/>
  <c r="U475" i="47"/>
  <c r="U415" i="47"/>
  <c r="U445" i="47"/>
  <c r="U325" i="47"/>
  <c r="U385" i="47"/>
  <c r="U265" i="47"/>
  <c r="U295" i="47"/>
  <c r="U235" i="47"/>
  <c r="U205" i="47"/>
  <c r="U175" i="47"/>
  <c r="U115" i="47"/>
  <c r="G476" i="47"/>
  <c r="G446" i="47"/>
  <c r="G326" i="47"/>
  <c r="G416" i="47"/>
  <c r="G386" i="47"/>
  <c r="G266" i="47"/>
  <c r="G296" i="47"/>
  <c r="G236" i="47"/>
  <c r="G206" i="47"/>
  <c r="G176" i="47"/>
  <c r="G116" i="47"/>
  <c r="W476" i="47"/>
  <c r="W416" i="47"/>
  <c r="W446" i="47"/>
  <c r="W326" i="47"/>
  <c r="W386" i="47"/>
  <c r="W266" i="47"/>
  <c r="W296" i="47"/>
  <c r="W236" i="47"/>
  <c r="W206" i="47"/>
  <c r="W176" i="47"/>
  <c r="W116" i="47"/>
  <c r="I477" i="47"/>
  <c r="I417" i="47"/>
  <c r="I447" i="47"/>
  <c r="I327" i="47"/>
  <c r="I387" i="47"/>
  <c r="I267" i="47"/>
  <c r="I297" i="47"/>
  <c r="I237" i="47"/>
  <c r="I177" i="47"/>
  <c r="I207" i="47"/>
  <c r="I117" i="47"/>
  <c r="Y477" i="47"/>
  <c r="Y417" i="47"/>
  <c r="Y447" i="47"/>
  <c r="Y327" i="47"/>
  <c r="Y387" i="47"/>
  <c r="Y267" i="47"/>
  <c r="Y297" i="47"/>
  <c r="Y237" i="47"/>
  <c r="Y177" i="47"/>
  <c r="Y207" i="47"/>
  <c r="Y117" i="47"/>
  <c r="K478" i="47"/>
  <c r="K448" i="47"/>
  <c r="K418" i="47"/>
  <c r="K328" i="47"/>
  <c r="K388" i="47"/>
  <c r="K268" i="47"/>
  <c r="K298" i="47"/>
  <c r="K238" i="47"/>
  <c r="K208" i="47"/>
  <c r="K178" i="47"/>
  <c r="K118" i="47"/>
  <c r="AA478" i="47"/>
  <c r="AA448" i="47"/>
  <c r="AA418" i="47"/>
  <c r="AA328" i="47"/>
  <c r="AA388" i="47"/>
  <c r="AA268" i="47"/>
  <c r="AA298" i="47"/>
  <c r="AA238" i="47"/>
  <c r="AA208" i="47"/>
  <c r="AA178" i="47"/>
  <c r="AA118" i="47"/>
  <c r="M479" i="47"/>
  <c r="M449" i="47"/>
  <c r="M419" i="47"/>
  <c r="M329" i="47"/>
  <c r="M389" i="47"/>
  <c r="M269" i="47"/>
  <c r="M239" i="47"/>
  <c r="M299" i="47"/>
  <c r="M179" i="47"/>
  <c r="M209" i="47"/>
  <c r="M119" i="47"/>
  <c r="AC479" i="47"/>
  <c r="AC449" i="47"/>
  <c r="AC419" i="47"/>
  <c r="AC329" i="47"/>
  <c r="AC389" i="47"/>
  <c r="AC299" i="47"/>
  <c r="AC269" i="47"/>
  <c r="AC239" i="47"/>
  <c r="AC179" i="47"/>
  <c r="AC119" i="47"/>
  <c r="O480" i="47"/>
  <c r="O450" i="47"/>
  <c r="O330" i="47"/>
  <c r="O420" i="47"/>
  <c r="O390" i="47"/>
  <c r="O300" i="47"/>
  <c r="O270" i="47"/>
  <c r="O240" i="47"/>
  <c r="O210" i="47"/>
  <c r="O180" i="47"/>
  <c r="O120" i="47"/>
  <c r="AE480" i="47"/>
  <c r="AE420" i="47"/>
  <c r="AE450" i="47"/>
  <c r="AE330" i="47"/>
  <c r="AE390" i="47"/>
  <c r="AE300" i="47"/>
  <c r="AE270" i="47"/>
  <c r="AE210" i="47"/>
  <c r="AE240" i="47"/>
  <c r="AE180" i="47"/>
  <c r="AE120" i="47"/>
  <c r="Q481" i="47"/>
  <c r="Q421" i="47"/>
  <c r="Q451" i="47"/>
  <c r="Q331" i="47"/>
  <c r="Q391" i="47"/>
  <c r="Q271" i="47"/>
  <c r="Q301" i="47"/>
  <c r="Q241" i="47"/>
  <c r="Q181" i="47"/>
  <c r="Q211" i="47"/>
  <c r="Q121" i="47"/>
  <c r="C482" i="47"/>
  <c r="C452" i="47"/>
  <c r="C422" i="47"/>
  <c r="C332" i="47"/>
  <c r="C392" i="47"/>
  <c r="C272" i="47"/>
  <c r="C302" i="47"/>
  <c r="C242" i="47"/>
  <c r="C212" i="47"/>
  <c r="C182" i="47"/>
  <c r="C122" i="47"/>
  <c r="S482" i="47"/>
  <c r="S422" i="47"/>
  <c r="S332" i="47"/>
  <c r="S392" i="47"/>
  <c r="S452" i="47"/>
  <c r="S272" i="47"/>
  <c r="S302" i="47"/>
  <c r="S242" i="47"/>
  <c r="S212" i="47"/>
  <c r="S182" i="47"/>
  <c r="S122" i="47"/>
  <c r="E483" i="47"/>
  <c r="E423" i="47"/>
  <c r="E453" i="47"/>
  <c r="E333" i="47"/>
  <c r="E393" i="47"/>
  <c r="E273" i="47"/>
  <c r="E303" i="47"/>
  <c r="E243" i="47"/>
  <c r="E213" i="47"/>
  <c r="E183" i="47"/>
  <c r="E123" i="47"/>
  <c r="U483" i="47"/>
  <c r="U453" i="47"/>
  <c r="U423" i="47"/>
  <c r="U333" i="47"/>
  <c r="U393" i="47"/>
  <c r="U273" i="47"/>
  <c r="U303" i="47"/>
  <c r="U243" i="47"/>
  <c r="U183" i="47"/>
  <c r="U213" i="47"/>
  <c r="U123" i="47"/>
  <c r="G484" i="47"/>
  <c r="G454" i="47"/>
  <c r="G424" i="47"/>
  <c r="G334" i="47"/>
  <c r="G274" i="47"/>
  <c r="G304" i="47"/>
  <c r="G394" i="47"/>
  <c r="G244" i="47"/>
  <c r="G214" i="47"/>
  <c r="G184" i="47"/>
  <c r="G124" i="47"/>
  <c r="W484" i="47"/>
  <c r="W334" i="47"/>
  <c r="W394" i="47"/>
  <c r="W454" i="47"/>
  <c r="W424" i="47"/>
  <c r="W274" i="47"/>
  <c r="W304" i="47"/>
  <c r="W244" i="47"/>
  <c r="W214" i="47"/>
  <c r="W184" i="47"/>
  <c r="W124" i="47"/>
  <c r="I485" i="47"/>
  <c r="I425" i="47"/>
  <c r="I455" i="47"/>
  <c r="I335" i="47"/>
  <c r="I395" i="47"/>
  <c r="I275" i="47"/>
  <c r="I305" i="47"/>
  <c r="I245" i="47"/>
  <c r="I185" i="47"/>
  <c r="I215" i="47"/>
  <c r="I125" i="47"/>
  <c r="Y485" i="47"/>
  <c r="Y425" i="47"/>
  <c r="Y455" i="47"/>
  <c r="Y335" i="47"/>
  <c r="Y395" i="47"/>
  <c r="Y275" i="47"/>
  <c r="Y305" i="47"/>
  <c r="Y245" i="47"/>
  <c r="Y215" i="47"/>
  <c r="Y185" i="47"/>
  <c r="Y125" i="47"/>
  <c r="K36" i="47"/>
  <c r="M37" i="47"/>
  <c r="AC37" i="47"/>
  <c r="O38" i="47"/>
  <c r="AE38" i="47"/>
  <c r="Q39" i="47"/>
  <c r="C40" i="47"/>
  <c r="S40" i="47"/>
  <c r="E41" i="47"/>
  <c r="U41" i="47"/>
  <c r="G42" i="47"/>
  <c r="W42" i="47"/>
  <c r="I43" i="47"/>
  <c r="Y43" i="47"/>
  <c r="K44" i="47"/>
  <c r="AA44" i="47"/>
  <c r="M45" i="47"/>
  <c r="AC45" i="47"/>
  <c r="O46" i="47"/>
  <c r="AE46" i="47"/>
  <c r="Q47" i="47"/>
  <c r="C48" i="47"/>
  <c r="S48" i="47"/>
  <c r="E49" i="47"/>
  <c r="U49" i="47"/>
  <c r="G50" i="47"/>
  <c r="W50" i="47"/>
  <c r="I51" i="47"/>
  <c r="Z51" i="47"/>
  <c r="M52" i="47"/>
  <c r="AD52" i="47"/>
  <c r="Q53" i="47"/>
  <c r="M56" i="47"/>
  <c r="AD56" i="47"/>
  <c r="Q57" i="47"/>
  <c r="D58" i="47"/>
  <c r="U58" i="47"/>
  <c r="H59" i="47"/>
  <c r="Y59" i="47"/>
  <c r="L60" i="47"/>
  <c r="AC60" i="47"/>
  <c r="P61" i="47"/>
  <c r="C62" i="47"/>
  <c r="AC64" i="47"/>
  <c r="P65" i="47"/>
  <c r="J71" i="47"/>
  <c r="Q74" i="47"/>
  <c r="G77" i="47"/>
  <c r="W83" i="47"/>
  <c r="Z88" i="47"/>
  <c r="AF98" i="47"/>
  <c r="J103" i="47"/>
  <c r="R107" i="47"/>
  <c r="Z111" i="47"/>
  <c r="D116" i="47"/>
  <c r="L120" i="47"/>
  <c r="T124" i="47"/>
  <c r="T177" i="47"/>
  <c r="V457" i="47"/>
  <c r="V397" i="47"/>
  <c r="V427" i="47"/>
  <c r="V367" i="47"/>
  <c r="V307" i="47"/>
  <c r="V247" i="47"/>
  <c r="V277" i="47"/>
  <c r="V217" i="47"/>
  <c r="V187" i="47"/>
  <c r="V157" i="47"/>
  <c r="V97" i="47"/>
  <c r="V473" i="47"/>
  <c r="V443" i="47"/>
  <c r="V413" i="47"/>
  <c r="V323" i="47"/>
  <c r="V293" i="47"/>
  <c r="V383" i="47"/>
  <c r="V233" i="47"/>
  <c r="V263" i="47"/>
  <c r="V203" i="47"/>
  <c r="V173" i="47"/>
  <c r="V113" i="47"/>
  <c r="I92" i="47"/>
  <c r="S463" i="47"/>
  <c r="S403" i="47"/>
  <c r="S433" i="47"/>
  <c r="S373" i="47"/>
  <c r="S283" i="47"/>
  <c r="S313" i="47"/>
  <c r="S223" i="47"/>
  <c r="S163" i="47"/>
  <c r="S253" i="47"/>
  <c r="S193" i="47"/>
  <c r="S103" i="47"/>
  <c r="E472" i="47"/>
  <c r="E442" i="47"/>
  <c r="E412" i="47"/>
  <c r="E382" i="47"/>
  <c r="E292" i="47"/>
  <c r="E322" i="47"/>
  <c r="E232" i="47"/>
  <c r="E262" i="47"/>
  <c r="E172" i="47"/>
  <c r="E202" i="47"/>
  <c r="E112" i="47"/>
  <c r="U480" i="47"/>
  <c r="U450" i="47"/>
  <c r="U390" i="47"/>
  <c r="U420" i="47"/>
  <c r="U330" i="47"/>
  <c r="U240" i="47"/>
  <c r="U300" i="47"/>
  <c r="U270" i="47"/>
  <c r="U180" i="47"/>
  <c r="U210" i="47"/>
  <c r="U120" i="47"/>
  <c r="O85" i="47"/>
  <c r="V95" i="47"/>
  <c r="H426" i="47"/>
  <c r="H456" i="47"/>
  <c r="H396" i="47"/>
  <c r="H366" i="47"/>
  <c r="H276" i="47"/>
  <c r="H216" i="47"/>
  <c r="H246" i="47"/>
  <c r="H156" i="47"/>
  <c r="H306" i="47"/>
  <c r="H186" i="47"/>
  <c r="H96" i="47"/>
  <c r="P456" i="47"/>
  <c r="P426" i="47"/>
  <c r="P396" i="47"/>
  <c r="P366" i="47"/>
  <c r="P306" i="47"/>
  <c r="P246" i="47"/>
  <c r="P186" i="47"/>
  <c r="P156" i="47"/>
  <c r="P276" i="47"/>
  <c r="P216" i="47"/>
  <c r="P96" i="47"/>
  <c r="T458" i="47"/>
  <c r="T398" i="47"/>
  <c r="T428" i="47"/>
  <c r="T308" i="47"/>
  <c r="T278" i="47"/>
  <c r="T368" i="47"/>
  <c r="T248" i="47"/>
  <c r="T188" i="47"/>
  <c r="T158" i="47"/>
  <c r="T218" i="47"/>
  <c r="T98" i="47"/>
  <c r="F459" i="47"/>
  <c r="F429" i="47"/>
  <c r="F399" i="47"/>
  <c r="F309" i="47"/>
  <c r="F369" i="47"/>
  <c r="F279" i="47"/>
  <c r="F249" i="47"/>
  <c r="F219" i="47"/>
  <c r="F189" i="47"/>
  <c r="F159" i="47"/>
  <c r="F99" i="47"/>
  <c r="V459" i="47"/>
  <c r="V429" i="47"/>
  <c r="V399" i="47"/>
  <c r="V369" i="47"/>
  <c r="V309" i="47"/>
  <c r="V279" i="47"/>
  <c r="V249" i="47"/>
  <c r="V189" i="47"/>
  <c r="V159" i="47"/>
  <c r="V219" i="47"/>
  <c r="V99" i="47"/>
  <c r="H460" i="47"/>
  <c r="H400" i="47"/>
  <c r="H430" i="47"/>
  <c r="H370" i="47"/>
  <c r="H310" i="47"/>
  <c r="H280" i="47"/>
  <c r="H220" i="47"/>
  <c r="H190" i="47"/>
  <c r="H250" i="47"/>
  <c r="H160" i="47"/>
  <c r="H100" i="47"/>
  <c r="X460" i="47"/>
  <c r="X400" i="47"/>
  <c r="X430" i="47"/>
  <c r="X370" i="47"/>
  <c r="X310" i="47"/>
  <c r="X280" i="47"/>
  <c r="X250" i="47"/>
  <c r="X190" i="47"/>
  <c r="X160" i="47"/>
  <c r="X220" i="47"/>
  <c r="X100" i="47"/>
  <c r="J461" i="47"/>
  <c r="J401" i="47"/>
  <c r="J431" i="47"/>
  <c r="J371" i="47"/>
  <c r="J311" i="47"/>
  <c r="J281" i="47"/>
  <c r="J221" i="47"/>
  <c r="J251" i="47"/>
  <c r="J191" i="47"/>
  <c r="J161" i="47"/>
  <c r="J101" i="47"/>
  <c r="Z461" i="47"/>
  <c r="Z431" i="47"/>
  <c r="Z401" i="47"/>
  <c r="Z371" i="47"/>
  <c r="Z311" i="47"/>
  <c r="Z281" i="47"/>
  <c r="Z221" i="47"/>
  <c r="Z251" i="47"/>
  <c r="Z191" i="47"/>
  <c r="Z161" i="47"/>
  <c r="Z101" i="47"/>
  <c r="L462" i="47"/>
  <c r="L432" i="47"/>
  <c r="L402" i="47"/>
  <c r="L372" i="47"/>
  <c r="L312" i="47"/>
  <c r="L282" i="47"/>
  <c r="L222" i="47"/>
  <c r="L162" i="47"/>
  <c r="L192" i="47"/>
  <c r="L252" i="47"/>
  <c r="L102" i="47"/>
  <c r="AB462" i="47"/>
  <c r="AB432" i="47"/>
  <c r="AB402" i="47"/>
  <c r="AB372" i="47"/>
  <c r="AB252" i="47"/>
  <c r="AB312" i="47"/>
  <c r="AB282" i="47"/>
  <c r="AB222" i="47"/>
  <c r="AB162" i="47"/>
  <c r="AB192" i="47"/>
  <c r="AB102" i="47"/>
  <c r="N463" i="47"/>
  <c r="N403" i="47"/>
  <c r="N433" i="47"/>
  <c r="N373" i="47"/>
  <c r="N253" i="47"/>
  <c r="N283" i="47"/>
  <c r="N313" i="47"/>
  <c r="N223" i="47"/>
  <c r="N163" i="47"/>
  <c r="N193" i="47"/>
  <c r="N103" i="47"/>
  <c r="AD463" i="47"/>
  <c r="AD403" i="47"/>
  <c r="AD433" i="47"/>
  <c r="AD253" i="47"/>
  <c r="AD313" i="47"/>
  <c r="AD373" i="47"/>
  <c r="AD283" i="47"/>
  <c r="AD223" i="47"/>
  <c r="AD163" i="47"/>
  <c r="AD193" i="47"/>
  <c r="AD103" i="47"/>
  <c r="P464" i="47"/>
  <c r="P404" i="47"/>
  <c r="P374" i="47"/>
  <c r="P434" i="47"/>
  <c r="P254" i="47"/>
  <c r="P314" i="47"/>
  <c r="P284" i="47"/>
  <c r="P224" i="47"/>
  <c r="P164" i="47"/>
  <c r="P104" i="47"/>
  <c r="P194" i="47"/>
  <c r="AF464" i="47"/>
  <c r="AF434" i="47"/>
  <c r="AF404" i="47"/>
  <c r="AF374" i="47"/>
  <c r="AF254" i="47"/>
  <c r="AF314" i="47"/>
  <c r="AF284" i="47"/>
  <c r="AF224" i="47"/>
  <c r="AF164" i="47"/>
  <c r="AF104" i="47"/>
  <c r="R465" i="47"/>
  <c r="R435" i="47"/>
  <c r="R405" i="47"/>
  <c r="R375" i="47"/>
  <c r="R315" i="47"/>
  <c r="R255" i="47"/>
  <c r="R285" i="47"/>
  <c r="R225" i="47"/>
  <c r="R195" i="47"/>
  <c r="R165" i="47"/>
  <c r="R105" i="47"/>
  <c r="D466" i="47"/>
  <c r="D406" i="47"/>
  <c r="D436" i="47"/>
  <c r="D376" i="47"/>
  <c r="D256" i="47"/>
  <c r="D316" i="47"/>
  <c r="D286" i="47"/>
  <c r="D226" i="47"/>
  <c r="D196" i="47"/>
  <c r="D166" i="47"/>
  <c r="D106" i="47"/>
  <c r="T466" i="47"/>
  <c r="T406" i="47"/>
  <c r="T436" i="47"/>
  <c r="T376" i="47"/>
  <c r="T256" i="47"/>
  <c r="T316" i="47"/>
  <c r="T286" i="47"/>
  <c r="T226" i="47"/>
  <c r="T196" i="47"/>
  <c r="T166" i="47"/>
  <c r="T106" i="47"/>
  <c r="F467" i="47"/>
  <c r="F407" i="47"/>
  <c r="F437" i="47"/>
  <c r="F377" i="47"/>
  <c r="F257" i="47"/>
  <c r="F287" i="47"/>
  <c r="F227" i="47"/>
  <c r="F317" i="47"/>
  <c r="F197" i="47"/>
  <c r="F167" i="47"/>
  <c r="F107" i="47"/>
  <c r="V467" i="47"/>
  <c r="V437" i="47"/>
  <c r="V407" i="47"/>
  <c r="V377" i="47"/>
  <c r="V257" i="47"/>
  <c r="V317" i="47"/>
  <c r="V287" i="47"/>
  <c r="V227" i="47"/>
  <c r="V197" i="47"/>
  <c r="V167" i="47"/>
  <c r="V107" i="47"/>
  <c r="H468" i="47"/>
  <c r="H438" i="47"/>
  <c r="H408" i="47"/>
  <c r="H258" i="47"/>
  <c r="H318" i="47"/>
  <c r="H288" i="47"/>
  <c r="H378" i="47"/>
  <c r="H228" i="47"/>
  <c r="H168" i="47"/>
  <c r="H198" i="47"/>
  <c r="H108" i="47"/>
  <c r="X468" i="47"/>
  <c r="X408" i="47"/>
  <c r="X438" i="47"/>
  <c r="X378" i="47"/>
  <c r="X258" i="47"/>
  <c r="X288" i="47"/>
  <c r="X318" i="47"/>
  <c r="X228" i="47"/>
  <c r="X168" i="47"/>
  <c r="X198" i="47"/>
  <c r="X108" i="47"/>
  <c r="J469" i="47"/>
  <c r="J439" i="47"/>
  <c r="J409" i="47"/>
  <c r="J379" i="47"/>
  <c r="J259" i="47"/>
  <c r="J319" i="47"/>
  <c r="J289" i="47"/>
  <c r="J229" i="47"/>
  <c r="J169" i="47"/>
  <c r="J109" i="47"/>
  <c r="J199" i="47"/>
  <c r="Z469" i="47"/>
  <c r="Z439" i="47"/>
  <c r="Z409" i="47"/>
  <c r="Z379" i="47"/>
  <c r="Z259" i="47"/>
  <c r="Z319" i="47"/>
  <c r="Z289" i="47"/>
  <c r="Z229" i="47"/>
  <c r="Z199" i="47"/>
  <c r="Z169" i="47"/>
  <c r="Z109" i="47"/>
  <c r="L470" i="47"/>
  <c r="L440" i="47"/>
  <c r="L410" i="47"/>
  <c r="L380" i="47"/>
  <c r="L260" i="47"/>
  <c r="L290" i="47"/>
  <c r="L230" i="47"/>
  <c r="L200" i="47"/>
  <c r="L320" i="47"/>
  <c r="L170" i="47"/>
  <c r="L110" i="47"/>
  <c r="AB470" i="47"/>
  <c r="AB440" i="47"/>
  <c r="AB410" i="47"/>
  <c r="AB380" i="47"/>
  <c r="AB260" i="47"/>
  <c r="AB320" i="47"/>
  <c r="AB290" i="47"/>
  <c r="AB230" i="47"/>
  <c r="AB200" i="47"/>
  <c r="AB170" i="47"/>
  <c r="AB110" i="47"/>
  <c r="N471" i="47"/>
  <c r="N441" i="47"/>
  <c r="N411" i="47"/>
  <c r="N381" i="47"/>
  <c r="N261" i="47"/>
  <c r="N321" i="47"/>
  <c r="N291" i="47"/>
  <c r="N231" i="47"/>
  <c r="N201" i="47"/>
  <c r="N171" i="47"/>
  <c r="N111" i="47"/>
  <c r="AD471" i="47"/>
  <c r="AD441" i="47"/>
  <c r="AD411" i="47"/>
  <c r="AD381" i="47"/>
  <c r="AD321" i="47"/>
  <c r="AD261" i="47"/>
  <c r="AD291" i="47"/>
  <c r="AD231" i="47"/>
  <c r="AD171" i="47"/>
  <c r="AD201" i="47"/>
  <c r="AD111" i="47"/>
  <c r="P472" i="47"/>
  <c r="P442" i="47"/>
  <c r="P412" i="47"/>
  <c r="P382" i="47"/>
  <c r="P262" i="47"/>
  <c r="P322" i="47"/>
  <c r="P292" i="47"/>
  <c r="P232" i="47"/>
  <c r="P172" i="47"/>
  <c r="P202" i="47"/>
  <c r="P112" i="47"/>
  <c r="AF472" i="47"/>
  <c r="AF442" i="47"/>
  <c r="AF412" i="47"/>
  <c r="AF382" i="47"/>
  <c r="AF262" i="47"/>
  <c r="AF322" i="47"/>
  <c r="AF292" i="47"/>
  <c r="AF232" i="47"/>
  <c r="AF202" i="47"/>
  <c r="AF172" i="47"/>
  <c r="AF112" i="47"/>
  <c r="R473" i="47"/>
  <c r="R443" i="47"/>
  <c r="R413" i="47"/>
  <c r="R383" i="47"/>
  <c r="R263" i="47"/>
  <c r="R323" i="47"/>
  <c r="R293" i="47"/>
  <c r="R233" i="47"/>
  <c r="R203" i="47"/>
  <c r="R173" i="47"/>
  <c r="R113" i="47"/>
  <c r="D474" i="47"/>
  <c r="D444" i="47"/>
  <c r="D414" i="47"/>
  <c r="D384" i="47"/>
  <c r="D264" i="47"/>
  <c r="D324" i="47"/>
  <c r="D294" i="47"/>
  <c r="D234" i="47"/>
  <c r="D204" i="47"/>
  <c r="D174" i="47"/>
  <c r="D114" i="47"/>
  <c r="T474" i="47"/>
  <c r="T444" i="47"/>
  <c r="T414" i="47"/>
  <c r="T384" i="47"/>
  <c r="T264" i="47"/>
  <c r="T324" i="47"/>
  <c r="T294" i="47"/>
  <c r="T234" i="47"/>
  <c r="T174" i="47"/>
  <c r="T204" i="47"/>
  <c r="T114" i="47"/>
  <c r="F475" i="47"/>
  <c r="F445" i="47"/>
  <c r="F415" i="47"/>
  <c r="F385" i="47"/>
  <c r="F265" i="47"/>
  <c r="F325" i="47"/>
  <c r="F295" i="47"/>
  <c r="F235" i="47"/>
  <c r="F175" i="47"/>
  <c r="F205" i="47"/>
  <c r="F115" i="47"/>
  <c r="V475" i="47"/>
  <c r="V445" i="47"/>
  <c r="V415" i="47"/>
  <c r="V385" i="47"/>
  <c r="V265" i="47"/>
  <c r="V325" i="47"/>
  <c r="V295" i="47"/>
  <c r="V235" i="47"/>
  <c r="V205" i="47"/>
  <c r="V175" i="47"/>
  <c r="V115" i="47"/>
  <c r="H476" i="47"/>
  <c r="H446" i="47"/>
  <c r="H416" i="47"/>
  <c r="H386" i="47"/>
  <c r="H266" i="47"/>
  <c r="H326" i="47"/>
  <c r="H296" i="47"/>
  <c r="H236" i="47"/>
  <c r="H206" i="47"/>
  <c r="H176" i="47"/>
  <c r="H116" i="47"/>
  <c r="X476" i="47"/>
  <c r="X446" i="47"/>
  <c r="X416" i="47"/>
  <c r="X386" i="47"/>
  <c r="X266" i="47"/>
  <c r="X326" i="47"/>
  <c r="X296" i="47"/>
  <c r="X236" i="47"/>
  <c r="X206" i="47"/>
  <c r="X176" i="47"/>
  <c r="X116" i="47"/>
  <c r="J477" i="47"/>
  <c r="J447" i="47"/>
  <c r="J417" i="47"/>
  <c r="J387" i="47"/>
  <c r="J267" i="47"/>
  <c r="J297" i="47"/>
  <c r="J327" i="47"/>
  <c r="J237" i="47"/>
  <c r="J177" i="47"/>
  <c r="J207" i="47"/>
  <c r="J117" i="47"/>
  <c r="Z477" i="47"/>
  <c r="Z447" i="47"/>
  <c r="Z417" i="47"/>
  <c r="Z387" i="47"/>
  <c r="Z267" i="47"/>
  <c r="Z327" i="47"/>
  <c r="Z297" i="47"/>
  <c r="Z237" i="47"/>
  <c r="Z177" i="47"/>
  <c r="Z207" i="47"/>
  <c r="Z117" i="47"/>
  <c r="L478" i="47"/>
  <c r="L448" i="47"/>
  <c r="L418" i="47"/>
  <c r="L388" i="47"/>
  <c r="L268" i="47"/>
  <c r="L328" i="47"/>
  <c r="L298" i="47"/>
  <c r="L238" i="47"/>
  <c r="L208" i="47"/>
  <c r="L178" i="47"/>
  <c r="L118" i="47"/>
  <c r="AB478" i="47"/>
  <c r="AB448" i="47"/>
  <c r="AB418" i="47"/>
  <c r="AB298" i="47"/>
  <c r="AB388" i="47"/>
  <c r="AB268" i="47"/>
  <c r="AB328" i="47"/>
  <c r="AB238" i="47"/>
  <c r="AB208" i="47"/>
  <c r="AB178" i="47"/>
  <c r="AB118" i="47"/>
  <c r="N479" i="47"/>
  <c r="N449" i="47"/>
  <c r="N419" i="47"/>
  <c r="N389" i="47"/>
  <c r="N299" i="47"/>
  <c r="N269" i="47"/>
  <c r="N329" i="47"/>
  <c r="N239" i="47"/>
  <c r="N179" i="47"/>
  <c r="N209" i="47"/>
  <c r="N119" i="47"/>
  <c r="AD479" i="47"/>
  <c r="AD449" i="47"/>
  <c r="AD419" i="47"/>
  <c r="AD299" i="47"/>
  <c r="AD389" i="47"/>
  <c r="AD329" i="47"/>
  <c r="AD269" i="47"/>
  <c r="AD239" i="47"/>
  <c r="AD179" i="47"/>
  <c r="AD119" i="47"/>
  <c r="AD209" i="47"/>
  <c r="P480" i="47"/>
  <c r="P450" i="47"/>
  <c r="P420" i="47"/>
  <c r="P300" i="47"/>
  <c r="P390" i="47"/>
  <c r="P270" i="47"/>
  <c r="P330" i="47"/>
  <c r="P240" i="47"/>
  <c r="P210" i="47"/>
  <c r="P180" i="47"/>
  <c r="P120" i="47"/>
  <c r="AF480" i="47"/>
  <c r="AF450" i="47"/>
  <c r="AF420" i="47"/>
  <c r="AF300" i="47"/>
  <c r="AF390" i="47"/>
  <c r="AF270" i="47"/>
  <c r="AF330" i="47"/>
  <c r="AF240" i="47"/>
  <c r="AF210" i="47"/>
  <c r="AF180" i="47"/>
  <c r="AF120" i="47"/>
  <c r="R481" i="47"/>
  <c r="R451" i="47"/>
  <c r="R421" i="47"/>
  <c r="R391" i="47"/>
  <c r="R301" i="47"/>
  <c r="R271" i="47"/>
  <c r="R331" i="47"/>
  <c r="R241" i="47"/>
  <c r="R181" i="47"/>
  <c r="R211" i="47"/>
  <c r="R121" i="47"/>
  <c r="D482" i="47"/>
  <c r="D452" i="47"/>
  <c r="D422" i="47"/>
  <c r="D302" i="47"/>
  <c r="D392" i="47"/>
  <c r="D272" i="47"/>
  <c r="D332" i="47"/>
  <c r="D242" i="47"/>
  <c r="D182" i="47"/>
  <c r="D212" i="47"/>
  <c r="D122" i="47"/>
  <c r="T482" i="47"/>
  <c r="T452" i="47"/>
  <c r="T422" i="47"/>
  <c r="T302" i="47"/>
  <c r="T392" i="47"/>
  <c r="T272" i="47"/>
  <c r="T332" i="47"/>
  <c r="T242" i="47"/>
  <c r="T212" i="47"/>
  <c r="T182" i="47"/>
  <c r="T122" i="47"/>
  <c r="F483" i="47"/>
  <c r="F453" i="47"/>
  <c r="F423" i="47"/>
  <c r="F393" i="47"/>
  <c r="F303" i="47"/>
  <c r="F273" i="47"/>
  <c r="F333" i="47"/>
  <c r="F243" i="47"/>
  <c r="F213" i="47"/>
  <c r="F183" i="47"/>
  <c r="F123" i="47"/>
  <c r="V483" i="47"/>
  <c r="V453" i="47"/>
  <c r="V423" i="47"/>
  <c r="V303" i="47"/>
  <c r="V393" i="47"/>
  <c r="V273" i="47"/>
  <c r="V333" i="47"/>
  <c r="V243" i="47"/>
  <c r="V183" i="47"/>
  <c r="V213" i="47"/>
  <c r="V123" i="47"/>
  <c r="H484" i="47"/>
  <c r="H454" i="47"/>
  <c r="H424" i="47"/>
  <c r="H304" i="47"/>
  <c r="H394" i="47"/>
  <c r="H274" i="47"/>
  <c r="H334" i="47"/>
  <c r="H244" i="47"/>
  <c r="H214" i="47"/>
  <c r="H184" i="47"/>
  <c r="H124" i="47"/>
  <c r="X484" i="47"/>
  <c r="X454" i="47"/>
  <c r="X424" i="47"/>
  <c r="X304" i="47"/>
  <c r="X394" i="47"/>
  <c r="X274" i="47"/>
  <c r="X244" i="47"/>
  <c r="X334" i="47"/>
  <c r="X214" i="47"/>
  <c r="X184" i="47"/>
  <c r="X124" i="47"/>
  <c r="J485" i="47"/>
  <c r="J455" i="47"/>
  <c r="J425" i="47"/>
  <c r="J305" i="47"/>
  <c r="J395" i="47"/>
  <c r="J275" i="47"/>
  <c r="J335" i="47"/>
  <c r="J245" i="47"/>
  <c r="J185" i="47"/>
  <c r="J215" i="47"/>
  <c r="J125" i="47"/>
  <c r="Z485" i="47"/>
  <c r="Z455" i="47"/>
  <c r="Z425" i="47"/>
  <c r="Z305" i="47"/>
  <c r="Z395" i="47"/>
  <c r="Z275" i="47"/>
  <c r="Z335" i="47"/>
  <c r="Z245" i="47"/>
  <c r="Z215" i="47"/>
  <c r="Z185" i="47"/>
  <c r="Z125" i="47"/>
  <c r="L36" i="47"/>
  <c r="AB36" i="47"/>
  <c r="N37" i="47"/>
  <c r="AD37" i="47"/>
  <c r="P38" i="47"/>
  <c r="AF38" i="47"/>
  <c r="R39" i="47"/>
  <c r="D40" i="47"/>
  <c r="T40" i="47"/>
  <c r="F41" i="47"/>
  <c r="V41" i="47"/>
  <c r="H42" i="47"/>
  <c r="X42" i="47"/>
  <c r="J43" i="47"/>
  <c r="Z43" i="47"/>
  <c r="L44" i="47"/>
  <c r="AB44" i="47"/>
  <c r="N45" i="47"/>
  <c r="AD45" i="47"/>
  <c r="P46" i="47"/>
  <c r="AF46" i="47"/>
  <c r="R47" i="47"/>
  <c r="D48" i="47"/>
  <c r="T48" i="47"/>
  <c r="F49" i="47"/>
  <c r="V49" i="47"/>
  <c r="H50" i="47"/>
  <c r="X50" i="47"/>
  <c r="J51" i="47"/>
  <c r="AA51" i="47"/>
  <c r="N52" i="47"/>
  <c r="AE52" i="47"/>
  <c r="R53" i="47"/>
  <c r="J55" i="47"/>
  <c r="AA55" i="47"/>
  <c r="N56" i="47"/>
  <c r="AE56" i="47"/>
  <c r="R57" i="47"/>
  <c r="E58" i="47"/>
  <c r="V58" i="47"/>
  <c r="I59" i="47"/>
  <c r="Z59" i="47"/>
  <c r="M60" i="47"/>
  <c r="AD60" i="47"/>
  <c r="Q61" i="47"/>
  <c r="D62" i="47"/>
  <c r="Z63" i="47"/>
  <c r="M64" i="47"/>
  <c r="AD64" i="47"/>
  <c r="Q65" i="47"/>
  <c r="K71" i="47"/>
  <c r="P99" i="47"/>
  <c r="X103" i="47"/>
  <c r="AF107" i="47"/>
  <c r="J112" i="47"/>
  <c r="R116" i="47"/>
  <c r="Z120" i="47"/>
  <c r="D125" i="47"/>
  <c r="L181" i="47"/>
  <c r="AD225" i="47"/>
  <c r="AB460" i="47"/>
  <c r="AB400" i="47"/>
  <c r="AB430" i="47"/>
  <c r="AB370" i="47"/>
  <c r="AB280" i="47"/>
  <c r="AB310" i="47"/>
  <c r="AB220" i="47"/>
  <c r="AB250" i="47"/>
  <c r="AB190" i="47"/>
  <c r="AB160" i="47"/>
  <c r="AB100" i="47"/>
  <c r="Z475" i="47"/>
  <c r="Z445" i="47"/>
  <c r="Z415" i="47"/>
  <c r="Z385" i="47"/>
  <c r="Z325" i="47"/>
  <c r="Z295" i="47"/>
  <c r="Z265" i="47"/>
  <c r="Z235" i="47"/>
  <c r="Z175" i="47"/>
  <c r="Z205" i="47"/>
  <c r="Z115" i="47"/>
  <c r="AD93" i="47"/>
  <c r="AB151" i="47"/>
  <c r="E464" i="47"/>
  <c r="E404" i="47"/>
  <c r="E374" i="47"/>
  <c r="E434" i="47"/>
  <c r="E284" i="47"/>
  <c r="E314" i="47"/>
  <c r="E224" i="47"/>
  <c r="E254" i="47"/>
  <c r="E164" i="47"/>
  <c r="E194" i="47"/>
  <c r="E104" i="47"/>
  <c r="Y474" i="47"/>
  <c r="Y444" i="47"/>
  <c r="Y384" i="47"/>
  <c r="Y414" i="47"/>
  <c r="Y294" i="47"/>
  <c r="Y324" i="47"/>
  <c r="Y234" i="47"/>
  <c r="Y264" i="47"/>
  <c r="Y174" i="47"/>
  <c r="Y204" i="47"/>
  <c r="Y114" i="47"/>
  <c r="J92" i="47"/>
  <c r="N143" i="47"/>
  <c r="AA458" i="47"/>
  <c r="AA428" i="47"/>
  <c r="AA368" i="47"/>
  <c r="AA398" i="47"/>
  <c r="AA278" i="47"/>
  <c r="AA308" i="47"/>
  <c r="AA248" i="47"/>
  <c r="AA218" i="47"/>
  <c r="AA158" i="47"/>
  <c r="AA188" i="47"/>
  <c r="AA98" i="47"/>
  <c r="M457" i="47"/>
  <c r="M427" i="47"/>
  <c r="M367" i="47"/>
  <c r="M307" i="47"/>
  <c r="M397" i="47"/>
  <c r="M277" i="47"/>
  <c r="M247" i="47"/>
  <c r="M187" i="47"/>
  <c r="M157" i="47"/>
  <c r="M97" i="47"/>
  <c r="AF456" i="47"/>
  <c r="AF426" i="47"/>
  <c r="AF396" i="47"/>
  <c r="AF366" i="47"/>
  <c r="AF306" i="47"/>
  <c r="AF246" i="47"/>
  <c r="AF216" i="47"/>
  <c r="AF186" i="47"/>
  <c r="AF276" i="47"/>
  <c r="AF156" i="47"/>
  <c r="AF96" i="47"/>
  <c r="Q456" i="47"/>
  <c r="Q426" i="47"/>
  <c r="Q396" i="47"/>
  <c r="Q366" i="47"/>
  <c r="Q246" i="47"/>
  <c r="Q306" i="47"/>
  <c r="Q276" i="47"/>
  <c r="Q186" i="47"/>
  <c r="Q216" i="47"/>
  <c r="Q156" i="47"/>
  <c r="Q96" i="47"/>
  <c r="C457" i="47"/>
  <c r="C427" i="47"/>
  <c r="C397" i="47"/>
  <c r="C367" i="47"/>
  <c r="C247" i="47"/>
  <c r="C307" i="47"/>
  <c r="C277" i="47"/>
  <c r="C217" i="47"/>
  <c r="C187" i="47"/>
  <c r="C97" i="47"/>
  <c r="C157" i="47"/>
  <c r="S457" i="47"/>
  <c r="S397" i="47"/>
  <c r="S427" i="47"/>
  <c r="S367" i="47"/>
  <c r="S247" i="47"/>
  <c r="S277" i="47"/>
  <c r="S307" i="47"/>
  <c r="S187" i="47"/>
  <c r="S217" i="47"/>
  <c r="S157" i="47"/>
  <c r="S97" i="47"/>
  <c r="E458" i="47"/>
  <c r="E398" i="47"/>
  <c r="E428" i="47"/>
  <c r="E368" i="47"/>
  <c r="E308" i="47"/>
  <c r="E248" i="47"/>
  <c r="E278" i="47"/>
  <c r="E218" i="47"/>
  <c r="E188" i="47"/>
  <c r="E158" i="47"/>
  <c r="E98" i="47"/>
  <c r="U458" i="47"/>
  <c r="U398" i="47"/>
  <c r="U428" i="47"/>
  <c r="U368" i="47"/>
  <c r="U248" i="47"/>
  <c r="U308" i="47"/>
  <c r="U278" i="47"/>
  <c r="U188" i="47"/>
  <c r="U218" i="47"/>
  <c r="U98" i="47"/>
  <c r="U158" i="47"/>
  <c r="G459" i="47"/>
  <c r="G429" i="47"/>
  <c r="G399" i="47"/>
  <c r="G249" i="47"/>
  <c r="G309" i="47"/>
  <c r="G369" i="47"/>
  <c r="G279" i="47"/>
  <c r="G219" i="47"/>
  <c r="G189" i="47"/>
  <c r="G159" i="47"/>
  <c r="G99" i="47"/>
  <c r="W459" i="47"/>
  <c r="W429" i="47"/>
  <c r="W399" i="47"/>
  <c r="W249" i="47"/>
  <c r="W309" i="47"/>
  <c r="W369" i="47"/>
  <c r="W279" i="47"/>
  <c r="W189" i="47"/>
  <c r="W219" i="47"/>
  <c r="W99" i="47"/>
  <c r="I460" i="47"/>
  <c r="I400" i="47"/>
  <c r="I430" i="47"/>
  <c r="I370" i="47"/>
  <c r="I250" i="47"/>
  <c r="I310" i="47"/>
  <c r="I280" i="47"/>
  <c r="I220" i="47"/>
  <c r="I190" i="47"/>
  <c r="I100" i="47"/>
  <c r="I160" i="47"/>
  <c r="Y460" i="47"/>
  <c r="Y400" i="47"/>
  <c r="Y430" i="47"/>
  <c r="Y370" i="47"/>
  <c r="Y250" i="47"/>
  <c r="Y280" i="47"/>
  <c r="Y310" i="47"/>
  <c r="Y190" i="47"/>
  <c r="Y220" i="47"/>
  <c r="Y160" i="47"/>
  <c r="Y100" i="47"/>
  <c r="K461" i="47"/>
  <c r="K401" i="47"/>
  <c r="K431" i="47"/>
  <c r="K371" i="47"/>
  <c r="K251" i="47"/>
  <c r="K311" i="47"/>
  <c r="K281" i="47"/>
  <c r="K221" i="47"/>
  <c r="K191" i="47"/>
  <c r="K161" i="47"/>
  <c r="K101" i="47"/>
  <c r="AA461" i="47"/>
  <c r="AA401" i="47"/>
  <c r="AA431" i="47"/>
  <c r="AA371" i="47"/>
  <c r="AA251" i="47"/>
  <c r="AA311" i="47"/>
  <c r="AA281" i="47"/>
  <c r="AA191" i="47"/>
  <c r="AA221" i="47"/>
  <c r="AA101" i="47"/>
  <c r="AA161" i="47"/>
  <c r="M462" i="47"/>
  <c r="M432" i="47"/>
  <c r="M402" i="47"/>
  <c r="M372" i="47"/>
  <c r="M252" i="47"/>
  <c r="M312" i="47"/>
  <c r="M282" i="47"/>
  <c r="M222" i="47"/>
  <c r="M192" i="47"/>
  <c r="M102" i="47"/>
  <c r="M162" i="47"/>
  <c r="AC462" i="47"/>
  <c r="AC432" i="47"/>
  <c r="AC402" i="47"/>
  <c r="AC372" i="47"/>
  <c r="AC252" i="47"/>
  <c r="AC312" i="47"/>
  <c r="AC282" i="47"/>
  <c r="AC192" i="47"/>
  <c r="AC222" i="47"/>
  <c r="AC162" i="47"/>
  <c r="AC102" i="47"/>
  <c r="O463" i="47"/>
  <c r="O403" i="47"/>
  <c r="O433" i="47"/>
  <c r="O373" i="47"/>
  <c r="O253" i="47"/>
  <c r="O283" i="47"/>
  <c r="O313" i="47"/>
  <c r="O223" i="47"/>
  <c r="O193" i="47"/>
  <c r="O163" i="47"/>
  <c r="O103" i="47"/>
  <c r="AE463" i="47"/>
  <c r="AE403" i="47"/>
  <c r="AE433" i="47"/>
  <c r="AE373" i="47"/>
  <c r="AE253" i="47"/>
  <c r="AE313" i="47"/>
  <c r="AE283" i="47"/>
  <c r="AE223" i="47"/>
  <c r="AE193" i="47"/>
  <c r="AE163" i="47"/>
  <c r="AE103" i="47"/>
  <c r="Q464" i="47"/>
  <c r="Q404" i="47"/>
  <c r="Q434" i="47"/>
  <c r="Q254" i="47"/>
  <c r="Q314" i="47"/>
  <c r="Q374" i="47"/>
  <c r="Q284" i="47"/>
  <c r="Q164" i="47"/>
  <c r="Q224" i="47"/>
  <c r="Q194" i="47"/>
  <c r="Q104" i="47"/>
  <c r="C465" i="47"/>
  <c r="C435" i="47"/>
  <c r="C405" i="47"/>
  <c r="C375" i="47"/>
  <c r="C255" i="47"/>
  <c r="C315" i="47"/>
  <c r="C285" i="47"/>
  <c r="C225" i="47"/>
  <c r="C165" i="47"/>
  <c r="C105" i="47"/>
  <c r="C195" i="47"/>
  <c r="S465" i="47"/>
  <c r="S435" i="47"/>
  <c r="S405" i="47"/>
  <c r="S375" i="47"/>
  <c r="S255" i="47"/>
  <c r="S285" i="47"/>
  <c r="S315" i="47"/>
  <c r="S225" i="47"/>
  <c r="S165" i="47"/>
  <c r="S105" i="47"/>
  <c r="S195" i="47"/>
  <c r="E466" i="47"/>
  <c r="E406" i="47"/>
  <c r="E436" i="47"/>
  <c r="E376" i="47"/>
  <c r="E256" i="47"/>
  <c r="E316" i="47"/>
  <c r="E286" i="47"/>
  <c r="E196" i="47"/>
  <c r="E166" i="47"/>
  <c r="E226" i="47"/>
  <c r="E106" i="47"/>
  <c r="U466" i="47"/>
  <c r="U406" i="47"/>
  <c r="U436" i="47"/>
  <c r="U376" i="47"/>
  <c r="U256" i="47"/>
  <c r="U316" i="47"/>
  <c r="U286" i="47"/>
  <c r="U196" i="47"/>
  <c r="U166" i="47"/>
  <c r="U226" i="47"/>
  <c r="U106" i="47"/>
  <c r="G467" i="47"/>
  <c r="G407" i="47"/>
  <c r="G437" i="47"/>
  <c r="G377" i="47"/>
  <c r="G257" i="47"/>
  <c r="G287" i="47"/>
  <c r="G317" i="47"/>
  <c r="G197" i="47"/>
  <c r="G227" i="47"/>
  <c r="G167" i="47"/>
  <c r="G107" i="47"/>
  <c r="W467" i="47"/>
  <c r="W437" i="47"/>
  <c r="W407" i="47"/>
  <c r="W377" i="47"/>
  <c r="W257" i="47"/>
  <c r="W317" i="47"/>
  <c r="W287" i="47"/>
  <c r="W227" i="47"/>
  <c r="W197" i="47"/>
  <c r="W167" i="47"/>
  <c r="W107" i="47"/>
  <c r="I468" i="47"/>
  <c r="I438" i="47"/>
  <c r="I408" i="47"/>
  <c r="I378" i="47"/>
  <c r="I258" i="47"/>
  <c r="I318" i="47"/>
  <c r="I288" i="47"/>
  <c r="I228" i="47"/>
  <c r="I168" i="47"/>
  <c r="I198" i="47"/>
  <c r="I108" i="47"/>
  <c r="Y468" i="47"/>
  <c r="Y408" i="47"/>
  <c r="Y438" i="47"/>
  <c r="Y258" i="47"/>
  <c r="Y288" i="47"/>
  <c r="Y378" i="47"/>
  <c r="Y318" i="47"/>
  <c r="Y168" i="47"/>
  <c r="Y198" i="47"/>
  <c r="Y228" i="47"/>
  <c r="Y108" i="47"/>
  <c r="K469" i="47"/>
  <c r="K439" i="47"/>
  <c r="K409" i="47"/>
  <c r="K379" i="47"/>
  <c r="K259" i="47"/>
  <c r="K319" i="47"/>
  <c r="K289" i="47"/>
  <c r="K169" i="47"/>
  <c r="K229" i="47"/>
  <c r="K199" i="47"/>
  <c r="K109" i="47"/>
  <c r="AA469" i="47"/>
  <c r="AA409" i="47"/>
  <c r="AA439" i="47"/>
  <c r="AA379" i="47"/>
  <c r="AA259" i="47"/>
  <c r="AA319" i="47"/>
  <c r="AA289" i="47"/>
  <c r="AA229" i="47"/>
  <c r="AA169" i="47"/>
  <c r="AA109" i="47"/>
  <c r="M470" i="47"/>
  <c r="M410" i="47"/>
  <c r="M440" i="47"/>
  <c r="M380" i="47"/>
  <c r="M260" i="47"/>
  <c r="M290" i="47"/>
  <c r="M320" i="47"/>
  <c r="M200" i="47"/>
  <c r="M230" i="47"/>
  <c r="M170" i="47"/>
  <c r="M110" i="47"/>
  <c r="AC470" i="47"/>
  <c r="AC440" i="47"/>
  <c r="AC410" i="47"/>
  <c r="AC380" i="47"/>
  <c r="AC260" i="47"/>
  <c r="AC320" i="47"/>
  <c r="AC290" i="47"/>
  <c r="AC230" i="47"/>
  <c r="AC200" i="47"/>
  <c r="AC170" i="47"/>
  <c r="AC110" i="47"/>
  <c r="O471" i="47"/>
  <c r="O411" i="47"/>
  <c r="O441" i="47"/>
  <c r="O381" i="47"/>
  <c r="O261" i="47"/>
  <c r="O321" i="47"/>
  <c r="O291" i="47"/>
  <c r="O201" i="47"/>
  <c r="O171" i="47"/>
  <c r="O51" i="47"/>
  <c r="O111" i="47"/>
  <c r="O231" i="47"/>
  <c r="AE471" i="47"/>
  <c r="AE441" i="47"/>
  <c r="AE411" i="47"/>
  <c r="AE381" i="47"/>
  <c r="AE321" i="47"/>
  <c r="AE261" i="47"/>
  <c r="AE291" i="47"/>
  <c r="AE171" i="47"/>
  <c r="AE201" i="47"/>
  <c r="AE231" i="47"/>
  <c r="AE51" i="47"/>
  <c r="AE111" i="47"/>
  <c r="Q472" i="47"/>
  <c r="Q412" i="47"/>
  <c r="Q442" i="47"/>
  <c r="Q382" i="47"/>
  <c r="Q262" i="47"/>
  <c r="Q322" i="47"/>
  <c r="Q292" i="47"/>
  <c r="Q232" i="47"/>
  <c r="Q172" i="47"/>
  <c r="Q202" i="47"/>
  <c r="Q52" i="47"/>
  <c r="Q112" i="47"/>
  <c r="C473" i="47"/>
  <c r="C443" i="47"/>
  <c r="C413" i="47"/>
  <c r="C263" i="47"/>
  <c r="C323" i="47"/>
  <c r="C293" i="47"/>
  <c r="C383" i="47"/>
  <c r="C203" i="47"/>
  <c r="C233" i="47"/>
  <c r="C173" i="47"/>
  <c r="C53" i="47"/>
  <c r="C113" i="47"/>
  <c r="S473" i="47"/>
  <c r="S413" i="47"/>
  <c r="S443" i="47"/>
  <c r="S383" i="47"/>
  <c r="S263" i="47"/>
  <c r="S323" i="47"/>
  <c r="S293" i="47"/>
  <c r="S233" i="47"/>
  <c r="S203" i="47"/>
  <c r="S173" i="47"/>
  <c r="S53" i="47"/>
  <c r="S113" i="47"/>
  <c r="E474" i="47"/>
  <c r="E444" i="47"/>
  <c r="E414" i="47"/>
  <c r="E384" i="47"/>
  <c r="E264" i="47"/>
  <c r="E324" i="47"/>
  <c r="E294" i="47"/>
  <c r="E204" i="47"/>
  <c r="E174" i="47"/>
  <c r="E54" i="47"/>
  <c r="E114" i="47"/>
  <c r="E234" i="47"/>
  <c r="U474" i="47"/>
  <c r="U414" i="47"/>
  <c r="U444" i="47"/>
  <c r="U384" i="47"/>
  <c r="U264" i="47"/>
  <c r="U324" i="47"/>
  <c r="U294" i="47"/>
  <c r="U174" i="47"/>
  <c r="U204" i="47"/>
  <c r="U234" i="47"/>
  <c r="U54" i="47"/>
  <c r="U114" i="47"/>
  <c r="G475" i="47"/>
  <c r="G445" i="47"/>
  <c r="G415" i="47"/>
  <c r="G385" i="47"/>
  <c r="G265" i="47"/>
  <c r="G325" i="47"/>
  <c r="G295" i="47"/>
  <c r="G175" i="47"/>
  <c r="G235" i="47"/>
  <c r="G205" i="47"/>
  <c r="G55" i="47"/>
  <c r="G115" i="47"/>
  <c r="W475" i="47"/>
  <c r="W445" i="47"/>
  <c r="W415" i="47"/>
  <c r="W385" i="47"/>
  <c r="W265" i="47"/>
  <c r="W325" i="47"/>
  <c r="W295" i="47"/>
  <c r="W235" i="47"/>
  <c r="W175" i="47"/>
  <c r="W55" i="47"/>
  <c r="W115" i="47"/>
  <c r="W205" i="47"/>
  <c r="I476" i="47"/>
  <c r="I446" i="47"/>
  <c r="I416" i="47"/>
  <c r="I386" i="47"/>
  <c r="I266" i="47"/>
  <c r="I326" i="47"/>
  <c r="I296" i="47"/>
  <c r="I206" i="47"/>
  <c r="I236" i="47"/>
  <c r="I176" i="47"/>
  <c r="I56" i="47"/>
  <c r="I116" i="47"/>
  <c r="Y476" i="47"/>
  <c r="Y446" i="47"/>
  <c r="Y416" i="47"/>
  <c r="Y266" i="47"/>
  <c r="Y326" i="47"/>
  <c r="Y386" i="47"/>
  <c r="Y296" i="47"/>
  <c r="Y236" i="47"/>
  <c r="Y206" i="47"/>
  <c r="Y176" i="47"/>
  <c r="Y56" i="47"/>
  <c r="Y116" i="47"/>
  <c r="K477" i="47"/>
  <c r="K447" i="47"/>
  <c r="K417" i="47"/>
  <c r="K387" i="47"/>
  <c r="K267" i="47"/>
  <c r="K297" i="47"/>
  <c r="K327" i="47"/>
  <c r="K177" i="47"/>
  <c r="K207" i="47"/>
  <c r="K237" i="47"/>
  <c r="K57" i="47"/>
  <c r="K117" i="47"/>
  <c r="AA477" i="47"/>
  <c r="AA447" i="47"/>
  <c r="AA417" i="47"/>
  <c r="AA387" i="47"/>
  <c r="AA267" i="47"/>
  <c r="AA327" i="47"/>
  <c r="AA297" i="47"/>
  <c r="AA177" i="47"/>
  <c r="AA237" i="47"/>
  <c r="AA207" i="47"/>
  <c r="AA57" i="47"/>
  <c r="AA117" i="47"/>
  <c r="M478" i="47"/>
  <c r="M448" i="47"/>
  <c r="M418" i="47"/>
  <c r="M388" i="47"/>
  <c r="M268" i="47"/>
  <c r="M328" i="47"/>
  <c r="M298" i="47"/>
  <c r="M208" i="47"/>
  <c r="M238" i="47"/>
  <c r="M178" i="47"/>
  <c r="M58" i="47"/>
  <c r="M118" i="47"/>
  <c r="AC478" i="47"/>
  <c r="AC448" i="47"/>
  <c r="AC418" i="47"/>
  <c r="AC388" i="47"/>
  <c r="AC268" i="47"/>
  <c r="AC328" i="47"/>
  <c r="AC298" i="47"/>
  <c r="AC238" i="47"/>
  <c r="AC208" i="47"/>
  <c r="AC178" i="47"/>
  <c r="AC58" i="47"/>
  <c r="AC118" i="47"/>
  <c r="O479" i="47"/>
  <c r="O449" i="47"/>
  <c r="O419" i="47"/>
  <c r="O389" i="47"/>
  <c r="O269" i="47"/>
  <c r="O329" i="47"/>
  <c r="O299" i="47"/>
  <c r="O239" i="47"/>
  <c r="O179" i="47"/>
  <c r="O209" i="47"/>
  <c r="O59" i="47"/>
  <c r="O119" i="47"/>
  <c r="AE479" i="47"/>
  <c r="AE449" i="47"/>
  <c r="AE419" i="47"/>
  <c r="AE389" i="47"/>
  <c r="AE329" i="47"/>
  <c r="AE269" i="47"/>
  <c r="AE299" i="47"/>
  <c r="AE179" i="47"/>
  <c r="AE209" i="47"/>
  <c r="AE59" i="47"/>
  <c r="AE239" i="47"/>
  <c r="AE119" i="47"/>
  <c r="Q480" i="47"/>
  <c r="Q450" i="47"/>
  <c r="Q420" i="47"/>
  <c r="Q390" i="47"/>
  <c r="Q300" i="47"/>
  <c r="Q270" i="47"/>
  <c r="Q330" i="47"/>
  <c r="Q240" i="47"/>
  <c r="Q210" i="47"/>
  <c r="Q180" i="47"/>
  <c r="Q60" i="47"/>
  <c r="Q120" i="47"/>
  <c r="C481" i="47"/>
  <c r="C451" i="47"/>
  <c r="C421" i="47"/>
  <c r="C391" i="47"/>
  <c r="C271" i="47"/>
  <c r="C301" i="47"/>
  <c r="C331" i="47"/>
  <c r="C241" i="47"/>
  <c r="C211" i="47"/>
  <c r="C181" i="47"/>
  <c r="C61" i="47"/>
  <c r="C121" i="47"/>
  <c r="S481" i="47"/>
  <c r="S451" i="47"/>
  <c r="S421" i="47"/>
  <c r="S391" i="47"/>
  <c r="S271" i="47"/>
  <c r="S301" i="47"/>
  <c r="S331" i="47"/>
  <c r="S241" i="47"/>
  <c r="S181" i="47"/>
  <c r="S211" i="47"/>
  <c r="S61" i="47"/>
  <c r="S121" i="47"/>
  <c r="E482" i="47"/>
  <c r="E452" i="47"/>
  <c r="E422" i="47"/>
  <c r="E392" i="47"/>
  <c r="E272" i="47"/>
  <c r="E302" i="47"/>
  <c r="E332" i="47"/>
  <c r="E242" i="47"/>
  <c r="E182" i="47"/>
  <c r="E62" i="47"/>
  <c r="E212" i="47"/>
  <c r="E122" i="47"/>
  <c r="U482" i="47"/>
  <c r="U452" i="47"/>
  <c r="U422" i="47"/>
  <c r="U392" i="47"/>
  <c r="U272" i="47"/>
  <c r="U332" i="47"/>
  <c r="U302" i="47"/>
  <c r="U242" i="47"/>
  <c r="U212" i="47"/>
  <c r="U182" i="47"/>
  <c r="U62" i="47"/>
  <c r="U122" i="47"/>
  <c r="G483" i="47"/>
  <c r="G453" i="47"/>
  <c r="G423" i="47"/>
  <c r="G393" i="47"/>
  <c r="G273" i="47"/>
  <c r="G303" i="47"/>
  <c r="G333" i="47"/>
  <c r="G243" i="47"/>
  <c r="G213" i="47"/>
  <c r="G183" i="47"/>
  <c r="G63" i="47"/>
  <c r="G123" i="47"/>
  <c r="W483" i="47"/>
  <c r="W453" i="47"/>
  <c r="W423" i="47"/>
  <c r="W393" i="47"/>
  <c r="W273" i="47"/>
  <c r="W333" i="47"/>
  <c r="W303" i="47"/>
  <c r="W243" i="47"/>
  <c r="W183" i="47"/>
  <c r="W213" i="47"/>
  <c r="W63" i="47"/>
  <c r="W123" i="47"/>
  <c r="I484" i="47"/>
  <c r="I454" i="47"/>
  <c r="I424" i="47"/>
  <c r="I394" i="47"/>
  <c r="I274" i="47"/>
  <c r="I334" i="47"/>
  <c r="I304" i="47"/>
  <c r="I244" i="47"/>
  <c r="I214" i="47"/>
  <c r="I184" i="47"/>
  <c r="I64" i="47"/>
  <c r="I124" i="47"/>
  <c r="Y484" i="47"/>
  <c r="Y454" i="47"/>
  <c r="Y424" i="47"/>
  <c r="Y394" i="47"/>
  <c r="Y274" i="47"/>
  <c r="Y304" i="47"/>
  <c r="Y334" i="47"/>
  <c r="Y244" i="47"/>
  <c r="Y214" i="47"/>
  <c r="Y184" i="47"/>
  <c r="Y64" i="47"/>
  <c r="Y124" i="47"/>
  <c r="K485" i="47"/>
  <c r="K455" i="47"/>
  <c r="K425" i="47"/>
  <c r="K395" i="47"/>
  <c r="K275" i="47"/>
  <c r="K305" i="47"/>
  <c r="K335" i="47"/>
  <c r="K245" i="47"/>
  <c r="K185" i="47"/>
  <c r="K215" i="47"/>
  <c r="K65" i="47"/>
  <c r="K125" i="47"/>
  <c r="AA485" i="47"/>
  <c r="AA455" i="47"/>
  <c r="AA425" i="47"/>
  <c r="AA395" i="47"/>
  <c r="AA275" i="47"/>
  <c r="AA335" i="47"/>
  <c r="AA305" i="47"/>
  <c r="AA245" i="47"/>
  <c r="AA215" i="47"/>
  <c r="AA185" i="47"/>
  <c r="AA65" i="47"/>
  <c r="AA125" i="47"/>
  <c r="M36" i="47"/>
  <c r="AC36" i="47"/>
  <c r="O37" i="47"/>
  <c r="AE37" i="47"/>
  <c r="Q38" i="47"/>
  <c r="C39" i="47"/>
  <c r="S39" i="47"/>
  <c r="E40" i="47"/>
  <c r="U40" i="47"/>
  <c r="G41" i="47"/>
  <c r="W41" i="47"/>
  <c r="I42" i="47"/>
  <c r="Y42" i="47"/>
  <c r="K43" i="47"/>
  <c r="AA43" i="47"/>
  <c r="M44" i="47"/>
  <c r="AC44" i="47"/>
  <c r="O45" i="47"/>
  <c r="AE45" i="47"/>
  <c r="Q46" i="47"/>
  <c r="C47" i="47"/>
  <c r="S47" i="47"/>
  <c r="E48" i="47"/>
  <c r="U48" i="47"/>
  <c r="G49" i="47"/>
  <c r="W49" i="47"/>
  <c r="I50" i="47"/>
  <c r="Y50" i="47"/>
  <c r="K51" i="47"/>
  <c r="AB51" i="47"/>
  <c r="O52" i="47"/>
  <c r="AF52" i="47"/>
  <c r="X54" i="47"/>
  <c r="K55" i="47"/>
  <c r="AB55" i="47"/>
  <c r="O56" i="47"/>
  <c r="AF56" i="47"/>
  <c r="S57" i="47"/>
  <c r="F58" i="47"/>
  <c r="W58" i="47"/>
  <c r="J59" i="47"/>
  <c r="AA59" i="47"/>
  <c r="N60" i="47"/>
  <c r="AE60" i="47"/>
  <c r="R61" i="47"/>
  <c r="J63" i="47"/>
  <c r="N64" i="47"/>
  <c r="AE64" i="47"/>
  <c r="R65" i="47"/>
  <c r="X70" i="47"/>
  <c r="AD73" i="47"/>
  <c r="X78" i="47"/>
  <c r="R90" i="47"/>
  <c r="R99" i="47"/>
  <c r="Z103" i="47"/>
  <c r="D108" i="47"/>
  <c r="L112" i="47"/>
  <c r="T116" i="47"/>
  <c r="AB120" i="47"/>
  <c r="F125" i="47"/>
  <c r="L157" i="47"/>
  <c r="AB181" i="47"/>
  <c r="T228" i="47"/>
  <c r="D464" i="47"/>
  <c r="D404" i="47"/>
  <c r="D434" i="47"/>
  <c r="D374" i="47"/>
  <c r="D284" i="47"/>
  <c r="D254" i="47"/>
  <c r="D314" i="47"/>
  <c r="D224" i="47"/>
  <c r="D164" i="47"/>
  <c r="D194" i="47"/>
  <c r="D104" i="47"/>
  <c r="T472" i="47"/>
  <c r="T442" i="47"/>
  <c r="T412" i="47"/>
  <c r="T382" i="47"/>
  <c r="T322" i="47"/>
  <c r="T292" i="47"/>
  <c r="T262" i="47"/>
  <c r="T232" i="47"/>
  <c r="T172" i="47"/>
  <c r="T202" i="47"/>
  <c r="T112" i="47"/>
  <c r="T480" i="47"/>
  <c r="T450" i="47"/>
  <c r="T390" i="47"/>
  <c r="T420" i="47"/>
  <c r="T330" i="47"/>
  <c r="T300" i="47"/>
  <c r="T240" i="47"/>
  <c r="T270" i="47"/>
  <c r="T180" i="47"/>
  <c r="T120" i="47"/>
  <c r="T210" i="47"/>
  <c r="AD485" i="47"/>
  <c r="AD455" i="47"/>
  <c r="AD395" i="47"/>
  <c r="AD425" i="47"/>
  <c r="AD335" i="47"/>
  <c r="AD305" i="47"/>
  <c r="AD245" i="47"/>
  <c r="AD275" i="47"/>
  <c r="AD215" i="47"/>
  <c r="AD185" i="47"/>
  <c r="AD125" i="47"/>
  <c r="E91" i="47"/>
  <c r="D139" i="47"/>
  <c r="W457" i="47"/>
  <c r="W397" i="47"/>
  <c r="W427" i="47"/>
  <c r="W367" i="47"/>
  <c r="W277" i="47"/>
  <c r="W307" i="47"/>
  <c r="W247" i="47"/>
  <c r="W217" i="47"/>
  <c r="W187" i="47"/>
  <c r="W157" i="47"/>
  <c r="W97" i="47"/>
  <c r="K467" i="47"/>
  <c r="K407" i="47"/>
  <c r="K377" i="47"/>
  <c r="K437" i="47"/>
  <c r="K287" i="47"/>
  <c r="K317" i="47"/>
  <c r="K227" i="47"/>
  <c r="K257" i="47"/>
  <c r="K197" i="47"/>
  <c r="K167" i="47"/>
  <c r="K107" i="47"/>
  <c r="Q478" i="47"/>
  <c r="Q448" i="47"/>
  <c r="Q418" i="47"/>
  <c r="Q388" i="47"/>
  <c r="Q328" i="47"/>
  <c r="Q298" i="47"/>
  <c r="Q238" i="47"/>
  <c r="Q268" i="47"/>
  <c r="Q178" i="47"/>
  <c r="Q208" i="47"/>
  <c r="Q118" i="47"/>
  <c r="S86" i="47"/>
  <c r="L126" i="47"/>
  <c r="J427" i="47"/>
  <c r="J457" i="47"/>
  <c r="J397" i="47"/>
  <c r="J367" i="47"/>
  <c r="J307" i="47"/>
  <c r="J277" i="47"/>
  <c r="J217" i="47"/>
  <c r="J247" i="47"/>
  <c r="J157" i="47"/>
  <c r="J187" i="47"/>
  <c r="J97" i="47"/>
  <c r="AA426" i="47"/>
  <c r="AA366" i="47"/>
  <c r="AA306" i="47"/>
  <c r="AA396" i="47"/>
  <c r="AA456" i="47"/>
  <c r="AA276" i="47"/>
  <c r="AA246" i="47"/>
  <c r="AA216" i="47"/>
  <c r="AA186" i="47"/>
  <c r="AA156" i="47"/>
  <c r="AA96" i="47"/>
  <c r="D458" i="47"/>
  <c r="D398" i="47"/>
  <c r="D428" i="47"/>
  <c r="D368" i="47"/>
  <c r="D308" i="47"/>
  <c r="D248" i="47"/>
  <c r="D278" i="47"/>
  <c r="D218" i="47"/>
  <c r="D188" i="47"/>
  <c r="D158" i="47"/>
  <c r="D98" i="47"/>
  <c r="D457" i="47"/>
  <c r="D427" i="47"/>
  <c r="D397" i="47"/>
  <c r="D367" i="47"/>
  <c r="D307" i="47"/>
  <c r="D247" i="47"/>
  <c r="D277" i="47"/>
  <c r="D217" i="47"/>
  <c r="D187" i="47"/>
  <c r="D157" i="47"/>
  <c r="D97" i="47"/>
  <c r="T457" i="47"/>
  <c r="T397" i="47"/>
  <c r="T427" i="47"/>
  <c r="T367" i="47"/>
  <c r="T307" i="47"/>
  <c r="T277" i="47"/>
  <c r="T247" i="47"/>
  <c r="T187" i="47"/>
  <c r="T157" i="47"/>
  <c r="T217" i="47"/>
  <c r="T97" i="47"/>
  <c r="F458" i="47"/>
  <c r="F398" i="47"/>
  <c r="F428" i="47"/>
  <c r="F368" i="47"/>
  <c r="F248" i="47"/>
  <c r="F308" i="47"/>
  <c r="F218" i="47"/>
  <c r="F188" i="47"/>
  <c r="F278" i="47"/>
  <c r="F158" i="47"/>
  <c r="F98" i="47"/>
  <c r="V458" i="47"/>
  <c r="V398" i="47"/>
  <c r="V428" i="47"/>
  <c r="V368" i="47"/>
  <c r="V308" i="47"/>
  <c r="V248" i="47"/>
  <c r="V278" i="47"/>
  <c r="V188" i="47"/>
  <c r="V158" i="47"/>
  <c r="V218" i="47"/>
  <c r="V98" i="47"/>
  <c r="H459" i="47"/>
  <c r="H399" i="47"/>
  <c r="H429" i="47"/>
  <c r="H369" i="47"/>
  <c r="H309" i="47"/>
  <c r="H279" i="47"/>
  <c r="H249" i="47"/>
  <c r="H219" i="47"/>
  <c r="H189" i="47"/>
  <c r="H159" i="47"/>
  <c r="H99" i="47"/>
  <c r="X459" i="47"/>
  <c r="X429" i="47"/>
  <c r="X399" i="47"/>
  <c r="X309" i="47"/>
  <c r="X369" i="47"/>
  <c r="X279" i="47"/>
  <c r="X249" i="47"/>
  <c r="X189" i="47"/>
  <c r="X159" i="47"/>
  <c r="X219" i="47"/>
  <c r="X99" i="47"/>
  <c r="J460" i="47"/>
  <c r="J400" i="47"/>
  <c r="J430" i="47"/>
  <c r="J370" i="47"/>
  <c r="J310" i="47"/>
  <c r="J280" i="47"/>
  <c r="J250" i="47"/>
  <c r="J220" i="47"/>
  <c r="J190" i="47"/>
  <c r="J160" i="47"/>
  <c r="J100" i="47"/>
  <c r="Z460" i="47"/>
  <c r="Z400" i="47"/>
  <c r="Z430" i="47"/>
  <c r="Z370" i="47"/>
  <c r="Z280" i="47"/>
  <c r="Z310" i="47"/>
  <c r="Z250" i="47"/>
  <c r="Z190" i="47"/>
  <c r="Z160" i="47"/>
  <c r="Z220" i="47"/>
  <c r="Z100" i="47"/>
  <c r="L461" i="47"/>
  <c r="L401" i="47"/>
  <c r="L431" i="47"/>
  <c r="L371" i="47"/>
  <c r="L311" i="47"/>
  <c r="L281" i="47"/>
  <c r="L251" i="47"/>
  <c r="L221" i="47"/>
  <c r="L191" i="47"/>
  <c r="L161" i="47"/>
  <c r="L101" i="47"/>
  <c r="AB461" i="47"/>
  <c r="AB401" i="47"/>
  <c r="AB431" i="47"/>
  <c r="AB371" i="47"/>
  <c r="AB311" i="47"/>
  <c r="AB281" i="47"/>
  <c r="AB251" i="47"/>
  <c r="AB191" i="47"/>
  <c r="AB161" i="47"/>
  <c r="AB221" i="47"/>
  <c r="AB101" i="47"/>
  <c r="N462" i="47"/>
  <c r="N432" i="47"/>
  <c r="N402" i="47"/>
  <c r="N372" i="47"/>
  <c r="N312" i="47"/>
  <c r="N282" i="47"/>
  <c r="N252" i="47"/>
  <c r="N222" i="47"/>
  <c r="N162" i="47"/>
  <c r="N192" i="47"/>
  <c r="N102" i="47"/>
  <c r="AD462" i="47"/>
  <c r="AD432" i="47"/>
  <c r="AD402" i="47"/>
  <c r="AD372" i="47"/>
  <c r="AD312" i="47"/>
  <c r="AD282" i="47"/>
  <c r="AD162" i="47"/>
  <c r="AD192" i="47"/>
  <c r="AD252" i="47"/>
  <c r="AD222" i="47"/>
  <c r="AD102" i="47"/>
  <c r="P463" i="47"/>
  <c r="P403" i="47"/>
  <c r="P433" i="47"/>
  <c r="P373" i="47"/>
  <c r="P283" i="47"/>
  <c r="P313" i="47"/>
  <c r="P253" i="47"/>
  <c r="P223" i="47"/>
  <c r="P163" i="47"/>
  <c r="P193" i="47"/>
  <c r="P103" i="47"/>
  <c r="AF463" i="47"/>
  <c r="AF403" i="47"/>
  <c r="AF433" i="47"/>
  <c r="AF373" i="47"/>
  <c r="AF313" i="47"/>
  <c r="AF283" i="47"/>
  <c r="AF253" i="47"/>
  <c r="AF223" i="47"/>
  <c r="AF163" i="47"/>
  <c r="AF193" i="47"/>
  <c r="AF103" i="47"/>
  <c r="R464" i="47"/>
  <c r="R404" i="47"/>
  <c r="R434" i="47"/>
  <c r="R314" i="47"/>
  <c r="R374" i="47"/>
  <c r="R284" i="47"/>
  <c r="R254" i="47"/>
  <c r="R224" i="47"/>
  <c r="R164" i="47"/>
  <c r="R194" i="47"/>
  <c r="R104" i="47"/>
  <c r="D465" i="47"/>
  <c r="D435" i="47"/>
  <c r="D405" i="47"/>
  <c r="D375" i="47"/>
  <c r="D315" i="47"/>
  <c r="D285" i="47"/>
  <c r="D255" i="47"/>
  <c r="D225" i="47"/>
  <c r="D165" i="47"/>
  <c r="D195" i="47"/>
  <c r="D105" i="47"/>
  <c r="T465" i="47"/>
  <c r="T435" i="47"/>
  <c r="T405" i="47"/>
  <c r="T375" i="47"/>
  <c r="T285" i="47"/>
  <c r="T315" i="47"/>
  <c r="T255" i="47"/>
  <c r="T225" i="47"/>
  <c r="T165" i="47"/>
  <c r="T105" i="47"/>
  <c r="T195" i="47"/>
  <c r="F466" i="47"/>
  <c r="F406" i="47"/>
  <c r="F436" i="47"/>
  <c r="F376" i="47"/>
  <c r="F316" i="47"/>
  <c r="F286" i="47"/>
  <c r="F226" i="47"/>
  <c r="F256" i="47"/>
  <c r="F196" i="47"/>
  <c r="F166" i="47"/>
  <c r="F106" i="47"/>
  <c r="V466" i="47"/>
  <c r="V406" i="47"/>
  <c r="V436" i="47"/>
  <c r="V376" i="47"/>
  <c r="V316" i="47"/>
  <c r="V286" i="47"/>
  <c r="V226" i="47"/>
  <c r="V256" i="47"/>
  <c r="V196" i="47"/>
  <c r="V166" i="47"/>
  <c r="V106" i="47"/>
  <c r="H467" i="47"/>
  <c r="H407" i="47"/>
  <c r="H437" i="47"/>
  <c r="H377" i="47"/>
  <c r="H287" i="47"/>
  <c r="H317" i="47"/>
  <c r="H227" i="47"/>
  <c r="H197" i="47"/>
  <c r="H257" i="47"/>
  <c r="H167" i="47"/>
  <c r="H107" i="47"/>
  <c r="X467" i="47"/>
  <c r="X407" i="47"/>
  <c r="X437" i="47"/>
  <c r="X377" i="47"/>
  <c r="X317" i="47"/>
  <c r="X287" i="47"/>
  <c r="X257" i="47"/>
  <c r="X227" i="47"/>
  <c r="X197" i="47"/>
  <c r="X167" i="47"/>
  <c r="X107" i="47"/>
  <c r="J468" i="47"/>
  <c r="J438" i="47"/>
  <c r="J408" i="47"/>
  <c r="J378" i="47"/>
  <c r="J318" i="47"/>
  <c r="J288" i="47"/>
  <c r="J258" i="47"/>
  <c r="J228" i="47"/>
  <c r="J168" i="47"/>
  <c r="J198" i="47"/>
  <c r="J108" i="47"/>
  <c r="Z468" i="47"/>
  <c r="Z408" i="47"/>
  <c r="Z438" i="47"/>
  <c r="Z288" i="47"/>
  <c r="Z378" i="47"/>
  <c r="Z318" i="47"/>
  <c r="Z228" i="47"/>
  <c r="Z168" i="47"/>
  <c r="Z198" i="47"/>
  <c r="Z108" i="47"/>
  <c r="Z258" i="47"/>
  <c r="L469" i="47"/>
  <c r="L409" i="47"/>
  <c r="L379" i="47"/>
  <c r="L439" i="47"/>
  <c r="L319" i="47"/>
  <c r="L289" i="47"/>
  <c r="L229" i="47"/>
  <c r="L169" i="47"/>
  <c r="L259" i="47"/>
  <c r="L199" i="47"/>
  <c r="L109" i="47"/>
  <c r="AB469" i="47"/>
  <c r="AB409" i="47"/>
  <c r="AB439" i="47"/>
  <c r="AB379" i="47"/>
  <c r="AB319" i="47"/>
  <c r="AB289" i="47"/>
  <c r="AB259" i="47"/>
  <c r="AB229" i="47"/>
  <c r="AB169" i="47"/>
  <c r="AB109" i="47"/>
  <c r="AB199" i="47"/>
  <c r="N470" i="47"/>
  <c r="N410" i="47"/>
  <c r="N440" i="47"/>
  <c r="N380" i="47"/>
  <c r="N290" i="47"/>
  <c r="N320" i="47"/>
  <c r="N260" i="47"/>
  <c r="N230" i="47"/>
  <c r="N200" i="47"/>
  <c r="N170" i="47"/>
  <c r="N110" i="47"/>
  <c r="AD470" i="47"/>
  <c r="AD440" i="47"/>
  <c r="AD410" i="47"/>
  <c r="AD380" i="47"/>
  <c r="AD320" i="47"/>
  <c r="AD290" i="47"/>
  <c r="AD230" i="47"/>
  <c r="AD200" i="47"/>
  <c r="AD260" i="47"/>
  <c r="AD170" i="47"/>
  <c r="AD110" i="47"/>
  <c r="P471" i="47"/>
  <c r="P411" i="47"/>
  <c r="P441" i="47"/>
  <c r="P381" i="47"/>
  <c r="P321" i="47"/>
  <c r="P291" i="47"/>
  <c r="P231" i="47"/>
  <c r="P261" i="47"/>
  <c r="P201" i="47"/>
  <c r="P171" i="47"/>
  <c r="P111" i="47"/>
  <c r="AF471" i="47"/>
  <c r="AF441" i="47"/>
  <c r="AF411" i="47"/>
  <c r="AF381" i="47"/>
  <c r="AF291" i="47"/>
  <c r="AF261" i="47"/>
  <c r="AF321" i="47"/>
  <c r="AF231" i="47"/>
  <c r="AF171" i="47"/>
  <c r="AF201" i="47"/>
  <c r="AF111" i="47"/>
  <c r="R472" i="47"/>
  <c r="R412" i="47"/>
  <c r="R442" i="47"/>
  <c r="R382" i="47"/>
  <c r="R322" i="47"/>
  <c r="R292" i="47"/>
  <c r="R262" i="47"/>
  <c r="R232" i="47"/>
  <c r="R172" i="47"/>
  <c r="R202" i="47"/>
  <c r="R112" i="47"/>
  <c r="D473" i="47"/>
  <c r="D443" i="47"/>
  <c r="D413" i="47"/>
  <c r="D323" i="47"/>
  <c r="D293" i="47"/>
  <c r="D383" i="47"/>
  <c r="D233" i="47"/>
  <c r="D173" i="47"/>
  <c r="D263" i="47"/>
  <c r="D203" i="47"/>
  <c r="D113" i="47"/>
  <c r="T473" i="47"/>
  <c r="T413" i="47"/>
  <c r="T443" i="47"/>
  <c r="T383" i="47"/>
  <c r="T323" i="47"/>
  <c r="T293" i="47"/>
  <c r="T233" i="47"/>
  <c r="T203" i="47"/>
  <c r="T173" i="47"/>
  <c r="T263" i="47"/>
  <c r="T113" i="47"/>
  <c r="F474" i="47"/>
  <c r="F444" i="47"/>
  <c r="F414" i="47"/>
  <c r="F384" i="47"/>
  <c r="F324" i="47"/>
  <c r="F294" i="47"/>
  <c r="F264" i="47"/>
  <c r="F234" i="47"/>
  <c r="F204" i="47"/>
  <c r="F174" i="47"/>
  <c r="F114" i="47"/>
  <c r="V474" i="47"/>
  <c r="V414" i="47"/>
  <c r="V444" i="47"/>
  <c r="V384" i="47"/>
  <c r="V324" i="47"/>
  <c r="V294" i="47"/>
  <c r="V234" i="47"/>
  <c r="V264" i="47"/>
  <c r="V174" i="47"/>
  <c r="V204" i="47"/>
  <c r="V114" i="47"/>
  <c r="H475" i="47"/>
  <c r="H445" i="47"/>
  <c r="H415" i="47"/>
  <c r="H385" i="47"/>
  <c r="H325" i="47"/>
  <c r="H295" i="47"/>
  <c r="H265" i="47"/>
  <c r="H235" i="47"/>
  <c r="H175" i="47"/>
  <c r="H205" i="47"/>
  <c r="H115" i="47"/>
  <c r="X475" i="47"/>
  <c r="X445" i="47"/>
  <c r="X415" i="47"/>
  <c r="X385" i="47"/>
  <c r="X325" i="47"/>
  <c r="X295" i="47"/>
  <c r="X265" i="47"/>
  <c r="X235" i="47"/>
  <c r="X175" i="47"/>
  <c r="X115" i="47"/>
  <c r="X205" i="47"/>
  <c r="J476" i="47"/>
  <c r="J446" i="47"/>
  <c r="J416" i="47"/>
  <c r="J386" i="47"/>
  <c r="J326" i="47"/>
  <c r="J296" i="47"/>
  <c r="J236" i="47"/>
  <c r="J266" i="47"/>
  <c r="J206" i="47"/>
  <c r="J176" i="47"/>
  <c r="J116" i="47"/>
  <c r="Z476" i="47"/>
  <c r="Z446" i="47"/>
  <c r="Z416" i="47"/>
  <c r="Z386" i="47"/>
  <c r="Z326" i="47"/>
  <c r="Z296" i="47"/>
  <c r="Z266" i="47"/>
  <c r="Z236" i="47"/>
  <c r="Z206" i="47"/>
  <c r="Z176" i="47"/>
  <c r="Z116" i="47"/>
  <c r="L477" i="47"/>
  <c r="L447" i="47"/>
  <c r="L417" i="47"/>
  <c r="L387" i="47"/>
  <c r="L297" i="47"/>
  <c r="L327" i="47"/>
  <c r="L237" i="47"/>
  <c r="L267" i="47"/>
  <c r="L177" i="47"/>
  <c r="L207" i="47"/>
  <c r="L117" i="47"/>
  <c r="AB477" i="47"/>
  <c r="AB447" i="47"/>
  <c r="AB417" i="47"/>
  <c r="AB387" i="47"/>
  <c r="AB327" i="47"/>
  <c r="AB297" i="47"/>
  <c r="AB267" i="47"/>
  <c r="AB237" i="47"/>
  <c r="AB177" i="47"/>
  <c r="AB207" i="47"/>
  <c r="AB117" i="47"/>
  <c r="N478" i="47"/>
  <c r="N448" i="47"/>
  <c r="N418" i="47"/>
  <c r="N388" i="47"/>
  <c r="N328" i="47"/>
  <c r="N298" i="47"/>
  <c r="N238" i="47"/>
  <c r="N268" i="47"/>
  <c r="N208" i="47"/>
  <c r="N178" i="47"/>
  <c r="N118" i="47"/>
  <c r="AD478" i="47"/>
  <c r="AD448" i="47"/>
  <c r="AD418" i="47"/>
  <c r="AD388" i="47"/>
  <c r="AD328" i="47"/>
  <c r="AD298" i="47"/>
  <c r="AD268" i="47"/>
  <c r="AD238" i="47"/>
  <c r="AD208" i="47"/>
  <c r="AD178" i="47"/>
  <c r="AD118" i="47"/>
  <c r="P479" i="47"/>
  <c r="P449" i="47"/>
  <c r="P419" i="47"/>
  <c r="P389" i="47"/>
  <c r="P329" i="47"/>
  <c r="P299" i="47"/>
  <c r="P239" i="47"/>
  <c r="P269" i="47"/>
  <c r="P179" i="47"/>
  <c r="P209" i="47"/>
  <c r="P119" i="47"/>
  <c r="AF479" i="47"/>
  <c r="AF449" i="47"/>
  <c r="AF419" i="47"/>
  <c r="AF389" i="47"/>
  <c r="AF299" i="47"/>
  <c r="AF329" i="47"/>
  <c r="AF269" i="47"/>
  <c r="AF239" i="47"/>
  <c r="AF179" i="47"/>
  <c r="AF209" i="47"/>
  <c r="AF119" i="47"/>
  <c r="R480" i="47"/>
  <c r="R450" i="47"/>
  <c r="R420" i="47"/>
  <c r="R390" i="47"/>
  <c r="R330" i="47"/>
  <c r="R300" i="47"/>
  <c r="R270" i="47"/>
  <c r="R210" i="47"/>
  <c r="R180" i="47"/>
  <c r="R240" i="47"/>
  <c r="R120" i="47"/>
  <c r="D481" i="47"/>
  <c r="D451" i="47"/>
  <c r="D421" i="47"/>
  <c r="D391" i="47"/>
  <c r="D301" i="47"/>
  <c r="D331" i="47"/>
  <c r="D271" i="47"/>
  <c r="D241" i="47"/>
  <c r="D211" i="47"/>
  <c r="D181" i="47"/>
  <c r="D121" i="47"/>
  <c r="T481" i="47"/>
  <c r="T451" i="47"/>
  <c r="T421" i="47"/>
  <c r="T301" i="47"/>
  <c r="T331" i="47"/>
  <c r="T391" i="47"/>
  <c r="T241" i="47"/>
  <c r="T271" i="47"/>
  <c r="T181" i="47"/>
  <c r="T211" i="47"/>
  <c r="T121" i="47"/>
  <c r="F482" i="47"/>
  <c r="F452" i="47"/>
  <c r="F422" i="47"/>
  <c r="F392" i="47"/>
  <c r="F302" i="47"/>
  <c r="F332" i="47"/>
  <c r="F272" i="47"/>
  <c r="F242" i="47"/>
  <c r="F182" i="47"/>
  <c r="F212" i="47"/>
  <c r="F122" i="47"/>
  <c r="V482" i="47"/>
  <c r="V452" i="47"/>
  <c r="V422" i="47"/>
  <c r="V392" i="47"/>
  <c r="V332" i="47"/>
  <c r="V302" i="47"/>
  <c r="V272" i="47"/>
  <c r="V242" i="47"/>
  <c r="V212" i="47"/>
  <c r="V182" i="47"/>
  <c r="V122" i="47"/>
  <c r="H483" i="47"/>
  <c r="H453" i="47"/>
  <c r="H423" i="47"/>
  <c r="H303" i="47"/>
  <c r="H333" i="47"/>
  <c r="H393" i="47"/>
  <c r="H213" i="47"/>
  <c r="H183" i="47"/>
  <c r="H243" i="47"/>
  <c r="H273" i="47"/>
  <c r="H123" i="47"/>
  <c r="X483" i="47"/>
  <c r="X453" i="47"/>
  <c r="X423" i="47"/>
  <c r="X393" i="47"/>
  <c r="X333" i="47"/>
  <c r="X303" i="47"/>
  <c r="X273" i="47"/>
  <c r="X243" i="47"/>
  <c r="X183" i="47"/>
  <c r="X213" i="47"/>
  <c r="X123" i="47"/>
  <c r="J484" i="47"/>
  <c r="J454" i="47"/>
  <c r="J394" i="47"/>
  <c r="J424" i="47"/>
  <c r="J334" i="47"/>
  <c r="J304" i="47"/>
  <c r="J244" i="47"/>
  <c r="J274" i="47"/>
  <c r="J214" i="47"/>
  <c r="J184" i="47"/>
  <c r="J124" i="47"/>
  <c r="Z484" i="47"/>
  <c r="Z454" i="47"/>
  <c r="Z394" i="47"/>
  <c r="Z424" i="47"/>
  <c r="Z304" i="47"/>
  <c r="Z334" i="47"/>
  <c r="Z244" i="47"/>
  <c r="Z214" i="47"/>
  <c r="Z184" i="47"/>
  <c r="Z274" i="47"/>
  <c r="Z124" i="47"/>
  <c r="L485" i="47"/>
  <c r="L455" i="47"/>
  <c r="L395" i="47"/>
  <c r="L425" i="47"/>
  <c r="L305" i="47"/>
  <c r="L335" i="47"/>
  <c r="L245" i="47"/>
  <c r="L185" i="47"/>
  <c r="L275" i="47"/>
  <c r="L215" i="47"/>
  <c r="L125" i="47"/>
  <c r="AB485" i="47"/>
  <c r="AB455" i="47"/>
  <c r="AB425" i="47"/>
  <c r="AB395" i="47"/>
  <c r="AB335" i="47"/>
  <c r="AB305" i="47"/>
  <c r="AB245" i="47"/>
  <c r="AB275" i="47"/>
  <c r="AB215" i="47"/>
  <c r="AB185" i="47"/>
  <c r="AB125" i="47"/>
  <c r="N36" i="47"/>
  <c r="AD36" i="47"/>
  <c r="P37" i="47"/>
  <c r="AF37" i="47"/>
  <c r="R38" i="47"/>
  <c r="D39" i="47"/>
  <c r="T39" i="47"/>
  <c r="F40" i="47"/>
  <c r="V40" i="47"/>
  <c r="H41" i="47"/>
  <c r="X41" i="47"/>
  <c r="J42" i="47"/>
  <c r="Z42" i="47"/>
  <c r="L43" i="47"/>
  <c r="AB43" i="47"/>
  <c r="N44" i="47"/>
  <c r="AD44" i="47"/>
  <c r="P45" i="47"/>
  <c r="AF45" i="47"/>
  <c r="R46" i="47"/>
  <c r="D47" i="47"/>
  <c r="T47" i="47"/>
  <c r="F48" i="47"/>
  <c r="V48" i="47"/>
  <c r="H49" i="47"/>
  <c r="X49" i="47"/>
  <c r="J50" i="47"/>
  <c r="Z50" i="47"/>
  <c r="L51" i="47"/>
  <c r="AC51" i="47"/>
  <c r="P52" i="47"/>
  <c r="D53" i="47"/>
  <c r="H54" i="47"/>
  <c r="Y54" i="47"/>
  <c r="L55" i="47"/>
  <c r="AC55" i="47"/>
  <c r="P56" i="47"/>
  <c r="C57" i="47"/>
  <c r="T57" i="47"/>
  <c r="G58" i="47"/>
  <c r="X58" i="47"/>
  <c r="K59" i="47"/>
  <c r="AB59" i="47"/>
  <c r="O60" i="47"/>
  <c r="AF60" i="47"/>
  <c r="T61" i="47"/>
  <c r="X62" i="47"/>
  <c r="K63" i="47"/>
  <c r="AB63" i="47"/>
  <c r="O64" i="47"/>
  <c r="AF64" i="47"/>
  <c r="S65" i="47"/>
  <c r="Y70" i="47"/>
  <c r="AE73" i="47"/>
  <c r="T76" i="47"/>
  <c r="Y78" i="47"/>
  <c r="Z79" i="47"/>
  <c r="AB80" i="47"/>
  <c r="AF99" i="47"/>
  <c r="J104" i="47"/>
  <c r="R108" i="47"/>
  <c r="Z112" i="47"/>
  <c r="D117" i="47"/>
  <c r="L121" i="47"/>
  <c r="T125" i="47"/>
  <c r="N158" i="47"/>
  <c r="T185" i="47"/>
  <c r="AD248" i="47"/>
  <c r="T456" i="47"/>
  <c r="T396" i="47"/>
  <c r="T426" i="47"/>
  <c r="T366" i="47"/>
  <c r="T306" i="47"/>
  <c r="T216" i="47"/>
  <c r="T276" i="47"/>
  <c r="T246" i="47"/>
  <c r="T186" i="47"/>
  <c r="T156" i="47"/>
  <c r="T96" i="47"/>
  <c r="L460" i="47"/>
  <c r="L400" i="47"/>
  <c r="L430" i="47"/>
  <c r="L370" i="47"/>
  <c r="L310" i="47"/>
  <c r="L280" i="47"/>
  <c r="L250" i="47"/>
  <c r="L220" i="47"/>
  <c r="L190" i="47"/>
  <c r="L160" i="47"/>
  <c r="L100" i="47"/>
  <c r="AF462" i="47"/>
  <c r="AF432" i="47"/>
  <c r="AF402" i="47"/>
  <c r="AF372" i="47"/>
  <c r="AF312" i="47"/>
  <c r="AF282" i="47"/>
  <c r="AF222" i="47"/>
  <c r="AF252" i="47"/>
  <c r="AF162" i="47"/>
  <c r="AF192" i="47"/>
  <c r="AF102" i="47"/>
  <c r="X466" i="47"/>
  <c r="X406" i="47"/>
  <c r="X436" i="47"/>
  <c r="X376" i="47"/>
  <c r="X316" i="47"/>
  <c r="X286" i="47"/>
  <c r="X226" i="47"/>
  <c r="X256" i="47"/>
  <c r="X196" i="47"/>
  <c r="X166" i="47"/>
  <c r="X106" i="47"/>
  <c r="L468" i="47"/>
  <c r="L438" i="47"/>
  <c r="L408" i="47"/>
  <c r="L378" i="47"/>
  <c r="L318" i="47"/>
  <c r="L288" i="47"/>
  <c r="L258" i="47"/>
  <c r="L228" i="47"/>
  <c r="L168" i="47"/>
  <c r="L198" i="47"/>
  <c r="L108" i="47"/>
  <c r="F473" i="47"/>
  <c r="F443" i="47"/>
  <c r="F413" i="47"/>
  <c r="F383" i="47"/>
  <c r="F293" i="47"/>
  <c r="F323" i="47"/>
  <c r="F233" i="47"/>
  <c r="F263" i="47"/>
  <c r="F173" i="47"/>
  <c r="F203" i="47"/>
  <c r="F113" i="47"/>
  <c r="AB476" i="47"/>
  <c r="AB446" i="47"/>
  <c r="AB416" i="47"/>
  <c r="AB386" i="47"/>
  <c r="AB326" i="47"/>
  <c r="AB296" i="47"/>
  <c r="AB266" i="47"/>
  <c r="AB236" i="47"/>
  <c r="AB206" i="47"/>
  <c r="AB176" i="47"/>
  <c r="AB116" i="47"/>
  <c r="AF478" i="47"/>
  <c r="AF448" i="47"/>
  <c r="AF418" i="47"/>
  <c r="AF388" i="47"/>
  <c r="AF328" i="47"/>
  <c r="AF298" i="47"/>
  <c r="AF268" i="47"/>
  <c r="AF238" i="47"/>
  <c r="AF208" i="47"/>
  <c r="AF178" i="47"/>
  <c r="AF118" i="47"/>
  <c r="H482" i="47"/>
  <c r="H452" i="47"/>
  <c r="H422" i="47"/>
  <c r="H392" i="47"/>
  <c r="H302" i="47"/>
  <c r="H332" i="47"/>
  <c r="H272" i="47"/>
  <c r="H242" i="47"/>
  <c r="H182" i="47"/>
  <c r="H212" i="47"/>
  <c r="H122" i="47"/>
  <c r="L484" i="47"/>
  <c r="L454" i="47"/>
  <c r="L394" i="47"/>
  <c r="L424" i="47"/>
  <c r="L334" i="47"/>
  <c r="L304" i="47"/>
  <c r="L274" i="47"/>
  <c r="L184" i="47"/>
  <c r="L244" i="47"/>
  <c r="L214" i="47"/>
  <c r="L124" i="47"/>
  <c r="E87" i="47"/>
  <c r="D95" i="47"/>
  <c r="N73" i="47"/>
  <c r="AA459" i="47"/>
  <c r="AA399" i="47"/>
  <c r="AA429" i="47"/>
  <c r="AA369" i="47"/>
  <c r="AA309" i="47"/>
  <c r="AA279" i="47"/>
  <c r="AA249" i="47"/>
  <c r="AA219" i="47"/>
  <c r="AA189" i="47"/>
  <c r="AA159" i="47"/>
  <c r="AA99" i="47"/>
  <c r="I466" i="47"/>
  <c r="I406" i="47"/>
  <c r="I436" i="47"/>
  <c r="I376" i="47"/>
  <c r="I316" i="47"/>
  <c r="I286" i="47"/>
  <c r="I226" i="47"/>
  <c r="I256" i="47"/>
  <c r="I166" i="47"/>
  <c r="I196" i="47"/>
  <c r="I106" i="47"/>
  <c r="U472" i="47"/>
  <c r="U442" i="47"/>
  <c r="U412" i="47"/>
  <c r="U382" i="47"/>
  <c r="U322" i="47"/>
  <c r="U292" i="47"/>
  <c r="U262" i="47"/>
  <c r="U232" i="47"/>
  <c r="U172" i="47"/>
  <c r="U202" i="47"/>
  <c r="U112" i="47"/>
  <c r="O477" i="47"/>
  <c r="O447" i="47"/>
  <c r="O387" i="47"/>
  <c r="O417" i="47"/>
  <c r="O327" i="47"/>
  <c r="O297" i="47"/>
  <c r="O237" i="47"/>
  <c r="O267" i="47"/>
  <c r="O177" i="47"/>
  <c r="O207" i="47"/>
  <c r="O117" i="47"/>
  <c r="AA483" i="47"/>
  <c r="AA453" i="47"/>
  <c r="AA423" i="47"/>
  <c r="AA393" i="47"/>
  <c r="AA333" i="47"/>
  <c r="AA243" i="47"/>
  <c r="AA303" i="47"/>
  <c r="AA273" i="47"/>
  <c r="AA183" i="47"/>
  <c r="AA213" i="47"/>
  <c r="AA123" i="47"/>
  <c r="X83" i="47"/>
  <c r="F87" i="47"/>
  <c r="F61" i="47"/>
  <c r="AE93" i="47"/>
  <c r="V69" i="47"/>
  <c r="I426" i="47"/>
  <c r="I456" i="47"/>
  <c r="I396" i="47"/>
  <c r="I366" i="47"/>
  <c r="I306" i="47"/>
  <c r="I276" i="47"/>
  <c r="I216" i="47"/>
  <c r="I156" i="47"/>
  <c r="I186" i="47"/>
  <c r="I246" i="47"/>
  <c r="I96" i="47"/>
  <c r="AE456" i="47"/>
  <c r="AE426" i="47"/>
  <c r="AE396" i="47"/>
  <c r="AE366" i="47"/>
  <c r="AE306" i="47"/>
  <c r="AE276" i="47"/>
  <c r="AE246" i="47"/>
  <c r="AE216" i="47"/>
  <c r="AE186" i="47"/>
  <c r="AE96" i="47"/>
  <c r="R457" i="47"/>
  <c r="R397" i="47"/>
  <c r="R427" i="47"/>
  <c r="R367" i="47"/>
  <c r="R307" i="47"/>
  <c r="R277" i="47"/>
  <c r="R247" i="47"/>
  <c r="R187" i="47"/>
  <c r="R157" i="47"/>
  <c r="R217" i="47"/>
  <c r="R97" i="47"/>
  <c r="R456" i="47"/>
  <c r="R426" i="47"/>
  <c r="R396" i="47"/>
  <c r="R366" i="47"/>
  <c r="R306" i="47"/>
  <c r="R246" i="47"/>
  <c r="R186" i="47"/>
  <c r="R156" i="47"/>
  <c r="R216" i="47"/>
  <c r="R276" i="47"/>
  <c r="R96" i="47"/>
  <c r="C456" i="47"/>
  <c r="C426" i="47"/>
  <c r="C396" i="47"/>
  <c r="C366" i="47"/>
  <c r="C306" i="47"/>
  <c r="C276" i="47"/>
  <c r="C216" i="47"/>
  <c r="C246" i="47"/>
  <c r="C186" i="47"/>
  <c r="C156" i="47"/>
  <c r="C96" i="47"/>
  <c r="S456" i="47"/>
  <c r="S366" i="47"/>
  <c r="S426" i="47"/>
  <c r="S396" i="47"/>
  <c r="S306" i="47"/>
  <c r="S276" i="47"/>
  <c r="S246" i="47"/>
  <c r="S216" i="47"/>
  <c r="S186" i="47"/>
  <c r="S156" i="47"/>
  <c r="S96" i="47"/>
  <c r="E457" i="47"/>
  <c r="E427" i="47"/>
  <c r="E397" i="47"/>
  <c r="E367" i="47"/>
  <c r="E307" i="47"/>
  <c r="E277" i="47"/>
  <c r="E247" i="47"/>
  <c r="E217" i="47"/>
  <c r="E187" i="47"/>
  <c r="E157" i="47"/>
  <c r="E97" i="47"/>
  <c r="U457" i="47"/>
  <c r="U427" i="47"/>
  <c r="U367" i="47"/>
  <c r="U397" i="47"/>
  <c r="U277" i="47"/>
  <c r="U307" i="47"/>
  <c r="U247" i="47"/>
  <c r="U217" i="47"/>
  <c r="U187" i="47"/>
  <c r="U157" i="47"/>
  <c r="U97" i="47"/>
  <c r="G458" i="47"/>
  <c r="G428" i="47"/>
  <c r="G398" i="47"/>
  <c r="G368" i="47"/>
  <c r="G278" i="47"/>
  <c r="G308" i="47"/>
  <c r="G248" i="47"/>
  <c r="G218" i="47"/>
  <c r="G188" i="47"/>
  <c r="G158" i="47"/>
  <c r="G98" i="47"/>
  <c r="W458" i="47"/>
  <c r="W428" i="47"/>
  <c r="W368" i="47"/>
  <c r="W398" i="47"/>
  <c r="W308" i="47"/>
  <c r="W278" i="47"/>
  <c r="W248" i="47"/>
  <c r="W218" i="47"/>
  <c r="W188" i="47"/>
  <c r="W158" i="47"/>
  <c r="W98" i="47"/>
  <c r="I459" i="47"/>
  <c r="I429" i="47"/>
  <c r="I399" i="47"/>
  <c r="I369" i="47"/>
  <c r="I309" i="47"/>
  <c r="I279" i="47"/>
  <c r="I249" i="47"/>
  <c r="I219" i="47"/>
  <c r="I189" i="47"/>
  <c r="I159" i="47"/>
  <c r="I99" i="47"/>
  <c r="Y459" i="47"/>
  <c r="Y429" i="47"/>
  <c r="Y399" i="47"/>
  <c r="Y369" i="47"/>
  <c r="Y309" i="47"/>
  <c r="Y279" i="47"/>
  <c r="Y249" i="47"/>
  <c r="Y219" i="47"/>
  <c r="Y189" i="47"/>
  <c r="Y159" i="47"/>
  <c r="Y99" i="47"/>
  <c r="K460" i="47"/>
  <c r="K430" i="47"/>
  <c r="K400" i="47"/>
  <c r="K370" i="47"/>
  <c r="K310" i="47"/>
  <c r="K280" i="47"/>
  <c r="K250" i="47"/>
  <c r="K220" i="47"/>
  <c r="K190" i="47"/>
  <c r="K160" i="47"/>
  <c r="K100" i="47"/>
  <c r="AA460" i="47"/>
  <c r="AA430" i="47"/>
  <c r="AA400" i="47"/>
  <c r="AA370" i="47"/>
  <c r="AA280" i="47"/>
  <c r="AA310" i="47"/>
  <c r="AA220" i="47"/>
  <c r="AA250" i="47"/>
  <c r="AA190" i="47"/>
  <c r="AA160" i="47"/>
  <c r="AA100" i="47"/>
  <c r="M461" i="47"/>
  <c r="M431" i="47"/>
  <c r="M371" i="47"/>
  <c r="M401" i="47"/>
  <c r="M311" i="47"/>
  <c r="M281" i="47"/>
  <c r="M221" i="47"/>
  <c r="M251" i="47"/>
  <c r="M191" i="47"/>
  <c r="M161" i="47"/>
  <c r="M101" i="47"/>
  <c r="AC461" i="47"/>
  <c r="AC431" i="47"/>
  <c r="AC401" i="47"/>
  <c r="AC371" i="47"/>
  <c r="AC311" i="47"/>
  <c r="AC281" i="47"/>
  <c r="AC221" i="47"/>
  <c r="AC251" i="47"/>
  <c r="AC191" i="47"/>
  <c r="AC161" i="47"/>
  <c r="AC101" i="47"/>
  <c r="O462" i="47"/>
  <c r="O432" i="47"/>
  <c r="O372" i="47"/>
  <c r="O402" i="47"/>
  <c r="O312" i="47"/>
  <c r="O282" i="47"/>
  <c r="O222" i="47"/>
  <c r="O252" i="47"/>
  <c r="O162" i="47"/>
  <c r="O192" i="47"/>
  <c r="O102" i="47"/>
  <c r="AE462" i="47"/>
  <c r="AE432" i="47"/>
  <c r="AE372" i="47"/>
  <c r="AE402" i="47"/>
  <c r="AE312" i="47"/>
  <c r="AE282" i="47"/>
  <c r="AE222" i="47"/>
  <c r="AE162" i="47"/>
  <c r="AE192" i="47"/>
  <c r="AE252" i="47"/>
  <c r="AE102" i="47"/>
  <c r="Q463" i="47"/>
  <c r="Q433" i="47"/>
  <c r="Q373" i="47"/>
  <c r="Q403" i="47"/>
  <c r="Q283" i="47"/>
  <c r="Q313" i="47"/>
  <c r="Q223" i="47"/>
  <c r="Q253" i="47"/>
  <c r="Q163" i="47"/>
  <c r="Q193" i="47"/>
  <c r="Q103" i="47"/>
  <c r="C464" i="47"/>
  <c r="C434" i="47"/>
  <c r="C404" i="47"/>
  <c r="C374" i="47"/>
  <c r="C314" i="47"/>
  <c r="C284" i="47"/>
  <c r="C254" i="47"/>
  <c r="C224" i="47"/>
  <c r="C164" i="47"/>
  <c r="C194" i="47"/>
  <c r="C104" i="47"/>
  <c r="S464" i="47"/>
  <c r="S434" i="47"/>
  <c r="S404" i="47"/>
  <c r="S374" i="47"/>
  <c r="S314" i="47"/>
  <c r="S284" i="47"/>
  <c r="S254" i="47"/>
  <c r="S224" i="47"/>
  <c r="S164" i="47"/>
  <c r="S194" i="47"/>
  <c r="S104" i="47"/>
  <c r="E465" i="47"/>
  <c r="E405" i="47"/>
  <c r="E435" i="47"/>
  <c r="E315" i="47"/>
  <c r="E375" i="47"/>
  <c r="E285" i="47"/>
  <c r="E255" i="47"/>
  <c r="E225" i="47"/>
  <c r="E165" i="47"/>
  <c r="E195" i="47"/>
  <c r="E105" i="47"/>
  <c r="U465" i="47"/>
  <c r="U435" i="47"/>
  <c r="U375" i="47"/>
  <c r="U405" i="47"/>
  <c r="U285" i="47"/>
  <c r="U315" i="47"/>
  <c r="U255" i="47"/>
  <c r="U225" i="47"/>
  <c r="U165" i="47"/>
  <c r="U195" i="47"/>
  <c r="U105" i="47"/>
  <c r="G466" i="47"/>
  <c r="G436" i="47"/>
  <c r="G406" i="47"/>
  <c r="G376" i="47"/>
  <c r="G316" i="47"/>
  <c r="G286" i="47"/>
  <c r="G226" i="47"/>
  <c r="G166" i="47"/>
  <c r="G256" i="47"/>
  <c r="G106" i="47"/>
  <c r="G196" i="47"/>
  <c r="W466" i="47"/>
  <c r="W436" i="47"/>
  <c r="W376" i="47"/>
  <c r="W406" i="47"/>
  <c r="W316" i="47"/>
  <c r="W286" i="47"/>
  <c r="W226" i="47"/>
  <c r="W256" i="47"/>
  <c r="W196" i="47"/>
  <c r="W166" i="47"/>
  <c r="W106" i="47"/>
  <c r="I467" i="47"/>
  <c r="I437" i="47"/>
  <c r="I377" i="47"/>
  <c r="I407" i="47"/>
  <c r="I287" i="47"/>
  <c r="I317" i="47"/>
  <c r="I227" i="47"/>
  <c r="I197" i="47"/>
  <c r="I257" i="47"/>
  <c r="I167" i="47"/>
  <c r="I107" i="47"/>
  <c r="Y467" i="47"/>
  <c r="Y437" i="47"/>
  <c r="Y377" i="47"/>
  <c r="Y407" i="47"/>
  <c r="Y317" i="47"/>
  <c r="Y287" i="47"/>
  <c r="Y257" i="47"/>
  <c r="Y227" i="47"/>
  <c r="Y197" i="47"/>
  <c r="Y167" i="47"/>
  <c r="Y107" i="47"/>
  <c r="K468" i="47"/>
  <c r="K438" i="47"/>
  <c r="K408" i="47"/>
  <c r="K378" i="47"/>
  <c r="K318" i="47"/>
  <c r="K288" i="47"/>
  <c r="K258" i="47"/>
  <c r="K228" i="47"/>
  <c r="K168" i="47"/>
  <c r="K198" i="47"/>
  <c r="K108" i="47"/>
  <c r="AA468" i="47"/>
  <c r="AA438" i="47"/>
  <c r="AA408" i="47"/>
  <c r="AA378" i="47"/>
  <c r="AA288" i="47"/>
  <c r="AA318" i="47"/>
  <c r="AA228" i="47"/>
  <c r="AA258" i="47"/>
  <c r="AA168" i="47"/>
  <c r="AA198" i="47"/>
  <c r="AA108" i="47"/>
  <c r="M469" i="47"/>
  <c r="M439" i="47"/>
  <c r="M409" i="47"/>
  <c r="M319" i="47"/>
  <c r="M289" i="47"/>
  <c r="M379" i="47"/>
  <c r="M229" i="47"/>
  <c r="M259" i="47"/>
  <c r="M169" i="47"/>
  <c r="M199" i="47"/>
  <c r="M109" i="47"/>
  <c r="AC469" i="47"/>
  <c r="AC439" i="47"/>
  <c r="AC379" i="47"/>
  <c r="AC409" i="47"/>
  <c r="AC319" i="47"/>
  <c r="AC289" i="47"/>
  <c r="AC259" i="47"/>
  <c r="AC229" i="47"/>
  <c r="AC169" i="47"/>
  <c r="AC199" i="47"/>
  <c r="AC109" i="47"/>
  <c r="O470" i="47"/>
  <c r="O440" i="47"/>
  <c r="O410" i="47"/>
  <c r="O380" i="47"/>
  <c r="O320" i="47"/>
  <c r="O290" i="47"/>
  <c r="O260" i="47"/>
  <c r="O230" i="47"/>
  <c r="O170" i="47"/>
  <c r="O110" i="47"/>
  <c r="O200" i="47"/>
  <c r="AE470" i="47"/>
  <c r="AE440" i="47"/>
  <c r="AE380" i="47"/>
  <c r="AE320" i="47"/>
  <c r="AE410" i="47"/>
  <c r="AE290" i="47"/>
  <c r="AE230" i="47"/>
  <c r="AE260" i="47"/>
  <c r="AE200" i="47"/>
  <c r="AE170" i="47"/>
  <c r="AE110" i="47"/>
  <c r="Q471" i="47"/>
  <c r="Q441" i="47"/>
  <c r="Q381" i="47"/>
  <c r="Q321" i="47"/>
  <c r="Q411" i="47"/>
  <c r="Q291" i="47"/>
  <c r="Q231" i="47"/>
  <c r="Q261" i="47"/>
  <c r="Q201" i="47"/>
  <c r="Q171" i="47"/>
  <c r="Q111" i="47"/>
  <c r="C472" i="47"/>
  <c r="C442" i="47"/>
  <c r="C382" i="47"/>
  <c r="C412" i="47"/>
  <c r="C322" i="47"/>
  <c r="C292" i="47"/>
  <c r="C262" i="47"/>
  <c r="C232" i="47"/>
  <c r="C172" i="47"/>
  <c r="C202" i="47"/>
  <c r="C112" i="47"/>
  <c r="S472" i="47"/>
  <c r="S442" i="47"/>
  <c r="S412" i="47"/>
  <c r="S382" i="47"/>
  <c r="S322" i="47"/>
  <c r="S292" i="47"/>
  <c r="S262" i="47"/>
  <c r="S232" i="47"/>
  <c r="S172" i="47"/>
  <c r="S202" i="47"/>
  <c r="S112" i="47"/>
  <c r="E473" i="47"/>
  <c r="E443" i="47"/>
  <c r="E413" i="47"/>
  <c r="E323" i="47"/>
  <c r="E383" i="47"/>
  <c r="E293" i="47"/>
  <c r="E233" i="47"/>
  <c r="E263" i="47"/>
  <c r="E173" i="47"/>
  <c r="E203" i="47"/>
  <c r="E113" i="47"/>
  <c r="U473" i="47"/>
  <c r="U443" i="47"/>
  <c r="U413" i="47"/>
  <c r="U323" i="47"/>
  <c r="U293" i="47"/>
  <c r="U383" i="47"/>
  <c r="U233" i="47"/>
  <c r="U203" i="47"/>
  <c r="U173" i="47"/>
  <c r="U263" i="47"/>
  <c r="U113" i="47"/>
  <c r="G474" i="47"/>
  <c r="G444" i="47"/>
  <c r="G384" i="47"/>
  <c r="G414" i="47"/>
  <c r="G324" i="47"/>
  <c r="G294" i="47"/>
  <c r="G264" i="47"/>
  <c r="G234" i="47"/>
  <c r="G204" i="47"/>
  <c r="G174" i="47"/>
  <c r="G114" i="47"/>
  <c r="W474" i="47"/>
  <c r="W414" i="47"/>
  <c r="W444" i="47"/>
  <c r="W384" i="47"/>
  <c r="W324" i="47"/>
  <c r="W294" i="47"/>
  <c r="W234" i="47"/>
  <c r="W264" i="47"/>
  <c r="W174" i="47"/>
  <c r="W204" i="47"/>
  <c r="W114" i="47"/>
  <c r="I475" i="47"/>
  <c r="I445" i="47"/>
  <c r="I415" i="47"/>
  <c r="I385" i="47"/>
  <c r="I325" i="47"/>
  <c r="I295" i="47"/>
  <c r="I235" i="47"/>
  <c r="I265" i="47"/>
  <c r="I175" i="47"/>
  <c r="I205" i="47"/>
  <c r="I115" i="47"/>
  <c r="Y475" i="47"/>
  <c r="Y445" i="47"/>
  <c r="Y415" i="47"/>
  <c r="Y385" i="47"/>
  <c r="Y325" i="47"/>
  <c r="Y295" i="47"/>
  <c r="Y265" i="47"/>
  <c r="Y235" i="47"/>
  <c r="Y175" i="47"/>
  <c r="Y205" i="47"/>
  <c r="Y115" i="47"/>
  <c r="K476" i="47"/>
  <c r="K446" i="47"/>
  <c r="K416" i="47"/>
  <c r="K386" i="47"/>
  <c r="K326" i="47"/>
  <c r="K296" i="47"/>
  <c r="K236" i="47"/>
  <c r="K266" i="47"/>
  <c r="K206" i="47"/>
  <c r="K176" i="47"/>
  <c r="K116" i="47"/>
  <c r="AA476" i="47"/>
  <c r="AA446" i="47"/>
  <c r="AA416" i="47"/>
  <c r="AA326" i="47"/>
  <c r="AA386" i="47"/>
  <c r="AA296" i="47"/>
  <c r="AA266" i="47"/>
  <c r="AA236" i="47"/>
  <c r="AA206" i="47"/>
  <c r="AA176" i="47"/>
  <c r="AA116" i="47"/>
  <c r="M477" i="47"/>
  <c r="M447" i="47"/>
  <c r="M387" i="47"/>
  <c r="M417" i="47"/>
  <c r="M327" i="47"/>
  <c r="M297" i="47"/>
  <c r="M237" i="47"/>
  <c r="M267" i="47"/>
  <c r="M177" i="47"/>
  <c r="M207" i="47"/>
  <c r="M117" i="47"/>
  <c r="AC477" i="47"/>
  <c r="AC447" i="47"/>
  <c r="AC417" i="47"/>
  <c r="AC387" i="47"/>
  <c r="AC327" i="47"/>
  <c r="AC297" i="47"/>
  <c r="AC267" i="47"/>
  <c r="AC237" i="47"/>
  <c r="AC177" i="47"/>
  <c r="AC207" i="47"/>
  <c r="AC117" i="47"/>
  <c r="O478" i="47"/>
  <c r="O448" i="47"/>
  <c r="O418" i="47"/>
  <c r="O388" i="47"/>
  <c r="O328" i="47"/>
  <c r="O298" i="47"/>
  <c r="O238" i="47"/>
  <c r="O268" i="47"/>
  <c r="O178" i="47"/>
  <c r="O208" i="47"/>
  <c r="O118" i="47"/>
  <c r="AE478" i="47"/>
  <c r="AE448" i="47"/>
  <c r="AE418" i="47"/>
  <c r="AE388" i="47"/>
  <c r="AE328" i="47"/>
  <c r="AE298" i="47"/>
  <c r="AE268" i="47"/>
  <c r="AE238" i="47"/>
  <c r="AE208" i="47"/>
  <c r="AE178" i="47"/>
  <c r="AE118" i="47"/>
  <c r="Q479" i="47"/>
  <c r="Q449" i="47"/>
  <c r="Q419" i="47"/>
  <c r="Q329" i="47"/>
  <c r="Q389" i="47"/>
  <c r="Q299" i="47"/>
  <c r="Q239" i="47"/>
  <c r="Q269" i="47"/>
  <c r="Q179" i="47"/>
  <c r="Q209" i="47"/>
  <c r="Q119" i="47"/>
  <c r="C480" i="47"/>
  <c r="C450" i="47"/>
  <c r="C420" i="47"/>
  <c r="C390" i="47"/>
  <c r="C330" i="47"/>
  <c r="C300" i="47"/>
  <c r="C270" i="47"/>
  <c r="C240" i="47"/>
  <c r="C180" i="47"/>
  <c r="C210" i="47"/>
  <c r="C120" i="47"/>
  <c r="S480" i="47"/>
  <c r="S450" i="47"/>
  <c r="S420" i="47"/>
  <c r="S390" i="47"/>
  <c r="S330" i="47"/>
  <c r="S300" i="47"/>
  <c r="S270" i="47"/>
  <c r="S240" i="47"/>
  <c r="S180" i="47"/>
  <c r="S120" i="47"/>
  <c r="E481" i="47"/>
  <c r="E451" i="47"/>
  <c r="E421" i="47"/>
  <c r="E391" i="47"/>
  <c r="E331" i="47"/>
  <c r="E271" i="47"/>
  <c r="E301" i="47"/>
  <c r="E211" i="47"/>
  <c r="E181" i="47"/>
  <c r="E241" i="47"/>
  <c r="E121" i="47"/>
  <c r="U481" i="47"/>
  <c r="U451" i="47"/>
  <c r="U421" i="47"/>
  <c r="U331" i="47"/>
  <c r="U391" i="47"/>
  <c r="U301" i="47"/>
  <c r="U271" i="47"/>
  <c r="U241" i="47"/>
  <c r="U181" i="47"/>
  <c r="U211" i="47"/>
  <c r="U121" i="47"/>
  <c r="G482" i="47"/>
  <c r="G452" i="47"/>
  <c r="G422" i="47"/>
  <c r="G392" i="47"/>
  <c r="G332" i="47"/>
  <c r="G302" i="47"/>
  <c r="G272" i="47"/>
  <c r="G242" i="47"/>
  <c r="G182" i="47"/>
  <c r="G212" i="47"/>
  <c r="G122" i="47"/>
  <c r="W482" i="47"/>
  <c r="W452" i="47"/>
  <c r="W422" i="47"/>
  <c r="W392" i="47"/>
  <c r="W332" i="47"/>
  <c r="W302" i="47"/>
  <c r="W272" i="47"/>
  <c r="W242" i="47"/>
  <c r="W212" i="47"/>
  <c r="W182" i="47"/>
  <c r="W122" i="47"/>
  <c r="I483" i="47"/>
  <c r="I453" i="47"/>
  <c r="I423" i="47"/>
  <c r="I393" i="47"/>
  <c r="I333" i="47"/>
  <c r="I303" i="47"/>
  <c r="I273" i="47"/>
  <c r="I213" i="47"/>
  <c r="I183" i="47"/>
  <c r="I243" i="47"/>
  <c r="I123" i="47"/>
  <c r="Y483" i="47"/>
  <c r="Y453" i="47"/>
  <c r="Y423" i="47"/>
  <c r="Y393" i="47"/>
  <c r="Y333" i="47"/>
  <c r="Y303" i="47"/>
  <c r="Y273" i="47"/>
  <c r="Y183" i="47"/>
  <c r="Y243" i="47"/>
  <c r="Y213" i="47"/>
  <c r="Y123" i="47"/>
  <c r="K484" i="47"/>
  <c r="K454" i="47"/>
  <c r="K394" i="47"/>
  <c r="K424" i="47"/>
  <c r="K334" i="47"/>
  <c r="K304" i="47"/>
  <c r="K274" i="47"/>
  <c r="K244" i="47"/>
  <c r="K214" i="47"/>
  <c r="K184" i="47"/>
  <c r="K124" i="47"/>
  <c r="AA484" i="47"/>
  <c r="AA454" i="47"/>
  <c r="AA394" i="47"/>
  <c r="AA424" i="47"/>
  <c r="AA334" i="47"/>
  <c r="AA304" i="47"/>
  <c r="AA274" i="47"/>
  <c r="AA244" i="47"/>
  <c r="AA214" i="47"/>
  <c r="AA184" i="47"/>
  <c r="AA124" i="47"/>
  <c r="M485" i="47"/>
  <c r="M455" i="47"/>
  <c r="M395" i="47"/>
  <c r="M425" i="47"/>
  <c r="M335" i="47"/>
  <c r="M305" i="47"/>
  <c r="M275" i="47"/>
  <c r="M245" i="47"/>
  <c r="M185" i="47"/>
  <c r="M215" i="47"/>
  <c r="M125" i="47"/>
  <c r="AC485" i="47"/>
  <c r="AC455" i="47"/>
  <c r="AC425" i="47"/>
  <c r="AC395" i="47"/>
  <c r="AC335" i="47"/>
  <c r="AC305" i="47"/>
  <c r="AC275" i="47"/>
  <c r="AC245" i="47"/>
  <c r="AC215" i="47"/>
  <c r="AC185" i="47"/>
  <c r="AC125" i="47"/>
  <c r="O36" i="47"/>
  <c r="AE36" i="47"/>
  <c r="Q37" i="47"/>
  <c r="C38" i="47"/>
  <c r="S38" i="47"/>
  <c r="E39" i="47"/>
  <c r="U39" i="47"/>
  <c r="G40" i="47"/>
  <c r="W40" i="47"/>
  <c r="I41" i="47"/>
  <c r="Y41" i="47"/>
  <c r="K42" i="47"/>
  <c r="AA42" i="47"/>
  <c r="M43" i="47"/>
  <c r="AC43" i="47"/>
  <c r="O44" i="47"/>
  <c r="AE44" i="47"/>
  <c r="Q45" i="47"/>
  <c r="C46" i="47"/>
  <c r="S46" i="47"/>
  <c r="E47" i="47"/>
  <c r="U47" i="47"/>
  <c r="G48" i="47"/>
  <c r="W48" i="47"/>
  <c r="I49" i="47"/>
  <c r="Y49" i="47"/>
  <c r="K50" i="47"/>
  <c r="AA50" i="47"/>
  <c r="M51" i="47"/>
  <c r="AD51" i="47"/>
  <c r="R52" i="47"/>
  <c r="E53" i="47"/>
  <c r="V53" i="47"/>
  <c r="I54" i="47"/>
  <c r="Z54" i="47"/>
  <c r="M55" i="47"/>
  <c r="AD55" i="47"/>
  <c r="Q56" i="47"/>
  <c r="D57" i="47"/>
  <c r="U57" i="47"/>
  <c r="H58" i="47"/>
  <c r="Y58" i="47"/>
  <c r="L59" i="47"/>
  <c r="AC59" i="47"/>
  <c r="P60" i="47"/>
  <c r="D61" i="47"/>
  <c r="U61" i="47"/>
  <c r="H62" i="47"/>
  <c r="Y62" i="47"/>
  <c r="L63" i="47"/>
  <c r="AC63" i="47"/>
  <c r="P64" i="47"/>
  <c r="C65" i="47"/>
  <c r="T65" i="47"/>
  <c r="H70" i="47"/>
  <c r="U76" i="47"/>
  <c r="AA79" i="47"/>
  <c r="AC80" i="47"/>
  <c r="D100" i="47"/>
  <c r="L104" i="47"/>
  <c r="T108" i="47"/>
  <c r="AB112" i="47"/>
  <c r="F117" i="47"/>
  <c r="N121" i="47"/>
  <c r="V125" i="47"/>
  <c r="Q158" i="47"/>
  <c r="F186" i="47"/>
  <c r="AD251" i="47"/>
  <c r="H220" i="31"/>
  <c r="AE141" i="47" l="1"/>
  <c r="V364" i="47"/>
  <c r="AF87" i="47"/>
  <c r="Y358" i="47"/>
  <c r="Y140" i="47"/>
  <c r="Q129" i="47"/>
  <c r="S155" i="47"/>
  <c r="C147" i="47"/>
  <c r="D126" i="47"/>
  <c r="L89" i="47"/>
  <c r="R91" i="47"/>
  <c r="C127" i="47"/>
  <c r="E355" i="47"/>
  <c r="Z148" i="47"/>
  <c r="F138" i="47"/>
  <c r="P127" i="47"/>
  <c r="O83" i="47"/>
  <c r="AE337" i="47"/>
  <c r="F151" i="47"/>
  <c r="H141" i="47"/>
  <c r="H74" i="47"/>
  <c r="Z343" i="47"/>
  <c r="H342" i="47"/>
  <c r="Y75" i="47"/>
  <c r="AE338" i="47"/>
  <c r="AF339" i="47"/>
  <c r="N139" i="47"/>
  <c r="F90" i="47"/>
  <c r="AC354" i="47"/>
  <c r="E342" i="47"/>
  <c r="AF146" i="47"/>
  <c r="P348" i="47"/>
  <c r="L346" i="47"/>
  <c r="H344" i="47"/>
  <c r="AD339" i="47"/>
  <c r="Z337" i="47"/>
  <c r="O364" i="47"/>
  <c r="K362" i="47"/>
  <c r="M129" i="47"/>
  <c r="AB143" i="47"/>
  <c r="AD154" i="47"/>
  <c r="Z362" i="47"/>
  <c r="V150" i="47"/>
  <c r="R148" i="47"/>
  <c r="N146" i="47"/>
  <c r="J144" i="47"/>
  <c r="F142" i="47"/>
  <c r="AF139" i="47"/>
  <c r="AB137" i="47"/>
  <c r="X135" i="47"/>
  <c r="T133" i="47"/>
  <c r="P131" i="47"/>
  <c r="L339" i="47"/>
  <c r="H127" i="47"/>
  <c r="I144" i="47"/>
  <c r="L134" i="47"/>
  <c r="AA339" i="47"/>
  <c r="AF129" i="47"/>
  <c r="K132" i="47"/>
  <c r="W155" i="47"/>
  <c r="AC142" i="47"/>
  <c r="AC364" i="47"/>
  <c r="F149" i="47"/>
  <c r="X142" i="47"/>
  <c r="AD129" i="47"/>
  <c r="J153" i="47"/>
  <c r="H337" i="47"/>
  <c r="Y71" i="47"/>
  <c r="Q351" i="47"/>
  <c r="H71" i="47"/>
  <c r="AD365" i="47"/>
  <c r="M86" i="47"/>
  <c r="AB67" i="47"/>
  <c r="AF135" i="47"/>
  <c r="T129" i="47"/>
  <c r="Y74" i="47"/>
  <c r="M356" i="47"/>
  <c r="F127" i="47"/>
  <c r="AA82" i="47"/>
  <c r="V365" i="47"/>
  <c r="D364" i="47"/>
  <c r="AD353" i="47"/>
  <c r="D89" i="47"/>
  <c r="AF79" i="47"/>
  <c r="Y88" i="47"/>
  <c r="Y79" i="47"/>
  <c r="I71" i="47"/>
  <c r="K364" i="47"/>
  <c r="U353" i="47"/>
  <c r="I347" i="47"/>
  <c r="I136" i="47"/>
  <c r="X88" i="47"/>
  <c r="H79" i="47"/>
  <c r="V70" i="47"/>
  <c r="T353" i="47"/>
  <c r="H347" i="47"/>
  <c r="AD342" i="47"/>
  <c r="Z340" i="47"/>
  <c r="V338" i="47"/>
  <c r="F155" i="47"/>
  <c r="AE90" i="47"/>
  <c r="Y80" i="47"/>
  <c r="I72" i="47"/>
  <c r="W153" i="47"/>
  <c r="G363" i="47"/>
  <c r="AA87" i="47"/>
  <c r="G145" i="47"/>
  <c r="U354" i="47"/>
  <c r="AA139" i="47"/>
  <c r="S135" i="47"/>
  <c r="G339" i="47"/>
  <c r="C337" i="47"/>
  <c r="Q91" i="47"/>
  <c r="J81" i="47"/>
  <c r="X72" i="47"/>
  <c r="AB132" i="47"/>
  <c r="X130" i="47"/>
  <c r="T128" i="47"/>
  <c r="P336" i="47"/>
  <c r="S133" i="47"/>
  <c r="V353" i="47"/>
  <c r="Q83" i="47"/>
  <c r="AA74" i="47"/>
  <c r="Y155" i="47"/>
  <c r="U153" i="47"/>
  <c r="Q151" i="47"/>
  <c r="M359" i="47"/>
  <c r="I357" i="47"/>
  <c r="E145" i="47"/>
  <c r="W130" i="47"/>
  <c r="Y337" i="47"/>
  <c r="AD128" i="47"/>
  <c r="AC86" i="47"/>
  <c r="AB75" i="47"/>
  <c r="L67" i="47"/>
  <c r="AB351" i="47"/>
  <c r="X349" i="47"/>
  <c r="T347" i="47"/>
  <c r="P345" i="47"/>
  <c r="L343" i="47"/>
  <c r="H341" i="47"/>
  <c r="X132" i="47"/>
  <c r="AB82" i="47"/>
  <c r="I74" i="47"/>
  <c r="I342" i="47"/>
  <c r="E340" i="47"/>
  <c r="M146" i="47"/>
  <c r="AD136" i="47"/>
  <c r="J82" i="47"/>
  <c r="V73" i="47"/>
  <c r="P362" i="47"/>
  <c r="F357" i="47"/>
  <c r="R355" i="47"/>
  <c r="G361" i="47"/>
  <c r="AA347" i="47"/>
  <c r="X152" i="47"/>
  <c r="P350" i="47"/>
  <c r="AD87" i="47"/>
  <c r="I75" i="47"/>
  <c r="Q363" i="47"/>
  <c r="M361" i="47"/>
  <c r="I359" i="47"/>
  <c r="E357" i="47"/>
  <c r="AE354" i="47"/>
  <c r="AA352" i="47"/>
  <c r="W350" i="47"/>
  <c r="S348" i="47"/>
  <c r="O346" i="47"/>
  <c r="AE139" i="47"/>
  <c r="AD139" i="47"/>
  <c r="P79" i="47"/>
  <c r="AD70" i="47"/>
  <c r="R364" i="47"/>
  <c r="L361" i="47"/>
  <c r="N349" i="47"/>
  <c r="S89" i="47"/>
  <c r="K361" i="47"/>
  <c r="G359" i="47"/>
  <c r="C357" i="47"/>
  <c r="N131" i="47"/>
  <c r="J361" i="47"/>
  <c r="AB354" i="47"/>
  <c r="D342" i="47"/>
  <c r="AC340" i="47"/>
  <c r="J363" i="47"/>
  <c r="Y91" i="47"/>
  <c r="AE154" i="47"/>
  <c r="W150" i="47"/>
  <c r="S148" i="47"/>
  <c r="O146" i="47"/>
  <c r="K144" i="47"/>
  <c r="G142" i="47"/>
  <c r="C140" i="47"/>
  <c r="AC137" i="47"/>
  <c r="Y135" i="47"/>
  <c r="U133" i="47"/>
  <c r="Q131" i="47"/>
  <c r="M339" i="47"/>
  <c r="Z152" i="47"/>
  <c r="V360" i="47"/>
  <c r="R358" i="47"/>
  <c r="N356" i="47"/>
  <c r="F352" i="47"/>
  <c r="AF349" i="47"/>
  <c r="X345" i="47"/>
  <c r="T343" i="47"/>
  <c r="Y355" i="47"/>
  <c r="L364" i="47"/>
  <c r="V363" i="47"/>
  <c r="U356" i="47"/>
  <c r="M134" i="47"/>
  <c r="AA137" i="47"/>
  <c r="R80" i="47"/>
  <c r="Y352" i="47"/>
  <c r="N153" i="47"/>
  <c r="AA365" i="47"/>
  <c r="AA81" i="47"/>
  <c r="W348" i="47"/>
  <c r="D153" i="47"/>
  <c r="I346" i="47"/>
  <c r="G88" i="47"/>
  <c r="V78" i="47"/>
  <c r="F70" i="47"/>
  <c r="Z154" i="47"/>
  <c r="V152" i="47"/>
  <c r="R150" i="47"/>
  <c r="N148" i="47"/>
  <c r="J146" i="47"/>
  <c r="F144" i="47"/>
  <c r="AF141" i="47"/>
  <c r="AB349" i="47"/>
  <c r="X137" i="47"/>
  <c r="T345" i="47"/>
  <c r="P133" i="47"/>
  <c r="L131" i="47"/>
  <c r="H129" i="47"/>
  <c r="D127" i="47"/>
  <c r="K137" i="47"/>
  <c r="D134" i="47"/>
  <c r="AB150" i="47"/>
  <c r="N90" i="47"/>
  <c r="I80" i="47"/>
  <c r="W71" i="47"/>
  <c r="W93" i="47"/>
  <c r="C151" i="47"/>
  <c r="Q360" i="47"/>
  <c r="AA357" i="47"/>
  <c r="G85" i="47"/>
  <c r="Q142" i="47"/>
  <c r="AE351" i="47"/>
  <c r="W347" i="47"/>
  <c r="O343" i="47"/>
  <c r="K341" i="47"/>
  <c r="AD90" i="47"/>
  <c r="X80" i="47"/>
  <c r="H72" i="47"/>
  <c r="H154" i="47"/>
  <c r="D152" i="47"/>
  <c r="AD359" i="47"/>
  <c r="Z147" i="47"/>
  <c r="V145" i="47"/>
  <c r="R143" i="47"/>
  <c r="N141" i="47"/>
  <c r="J349" i="47"/>
  <c r="F137" i="47"/>
  <c r="AF134" i="47"/>
  <c r="AB342" i="47"/>
  <c r="S343" i="47"/>
  <c r="AD82" i="47"/>
  <c r="K74" i="47"/>
  <c r="U363" i="47"/>
  <c r="Q361" i="47"/>
  <c r="AE352" i="47"/>
  <c r="AA350" i="47"/>
  <c r="S346" i="47"/>
  <c r="AA132" i="47"/>
  <c r="S128" i="47"/>
  <c r="Y127" i="47"/>
  <c r="L86" i="47"/>
  <c r="L75" i="47"/>
  <c r="Z66" i="47"/>
  <c r="M154" i="47"/>
  <c r="G135" i="47"/>
  <c r="X338" i="47"/>
  <c r="P128" i="47"/>
  <c r="K82" i="47"/>
  <c r="W73" i="47"/>
  <c r="O361" i="47"/>
  <c r="C355" i="47"/>
  <c r="M344" i="47"/>
  <c r="M126" i="47"/>
  <c r="F361" i="47"/>
  <c r="F337" i="47"/>
  <c r="V132" i="47"/>
  <c r="W81" i="47"/>
  <c r="F73" i="47"/>
  <c r="AB360" i="47"/>
  <c r="X350" i="47"/>
  <c r="T340" i="47"/>
  <c r="AF338" i="47"/>
  <c r="Y343" i="47"/>
  <c r="P140" i="47"/>
  <c r="AF144" i="47"/>
  <c r="M83" i="47"/>
  <c r="W74" i="47"/>
  <c r="I343" i="47"/>
  <c r="AE349" i="47"/>
  <c r="AD349" i="47"/>
  <c r="AD78" i="47"/>
  <c r="N70" i="47"/>
  <c r="AD362" i="47"/>
  <c r="X359" i="47"/>
  <c r="R356" i="47"/>
  <c r="X351" i="47"/>
  <c r="AF84" i="47"/>
  <c r="S365" i="47"/>
  <c r="O363" i="47"/>
  <c r="K143" i="47"/>
  <c r="G141" i="47"/>
  <c r="C139" i="47"/>
  <c r="AC136" i="47"/>
  <c r="Y134" i="47"/>
  <c r="U132" i="47"/>
  <c r="Q130" i="47"/>
  <c r="M128" i="47"/>
  <c r="AD92" i="47"/>
  <c r="R365" i="47"/>
  <c r="F359" i="47"/>
  <c r="AF356" i="47"/>
  <c r="X352" i="47"/>
  <c r="T350" i="47"/>
  <c r="D336" i="47"/>
  <c r="H91" i="47"/>
  <c r="AA152" i="47"/>
  <c r="W360" i="47"/>
  <c r="S358" i="47"/>
  <c r="O356" i="47"/>
  <c r="G352" i="47"/>
  <c r="C350" i="47"/>
  <c r="Y345" i="47"/>
  <c r="U343" i="47"/>
  <c r="AB138" i="47"/>
  <c r="J354" i="47"/>
  <c r="AB347" i="47"/>
  <c r="P341" i="47"/>
  <c r="I354" i="47"/>
  <c r="H338" i="47"/>
  <c r="M349" i="47"/>
  <c r="C338" i="47"/>
  <c r="G365" i="47"/>
  <c r="Q354" i="47"/>
  <c r="I132" i="47"/>
  <c r="U155" i="47"/>
  <c r="T349" i="47"/>
  <c r="G149" i="47"/>
  <c r="Q348" i="47"/>
  <c r="L136" i="47"/>
  <c r="Z127" i="47"/>
  <c r="U351" i="47"/>
  <c r="AE357" i="47"/>
  <c r="R144" i="47"/>
  <c r="Q133" i="47"/>
  <c r="W152" i="47"/>
  <c r="G71" i="47"/>
  <c r="W363" i="47"/>
  <c r="C91" i="47"/>
  <c r="G355" i="47"/>
  <c r="Q82" i="47"/>
  <c r="S127" i="47"/>
  <c r="M127" i="47"/>
  <c r="M90" i="47"/>
  <c r="H80" i="47"/>
  <c r="V71" i="47"/>
  <c r="D362" i="47"/>
  <c r="AD149" i="47"/>
  <c r="Z357" i="47"/>
  <c r="J139" i="47"/>
  <c r="M82" i="47"/>
  <c r="Y73" i="47"/>
  <c r="Y365" i="47"/>
  <c r="E137" i="47"/>
  <c r="AE134" i="47"/>
  <c r="P83" i="47"/>
  <c r="Z74" i="47"/>
  <c r="J66" i="47"/>
  <c r="H365" i="47"/>
  <c r="D363" i="47"/>
  <c r="AD360" i="47"/>
  <c r="T339" i="47"/>
  <c r="P337" i="47"/>
  <c r="M364" i="47"/>
  <c r="G345" i="47"/>
  <c r="V135" i="47"/>
  <c r="X81" i="47"/>
  <c r="G73" i="47"/>
  <c r="W365" i="47"/>
  <c r="E154" i="47"/>
  <c r="S363" i="47"/>
  <c r="AE151" i="47"/>
  <c r="AA149" i="47"/>
  <c r="K359" i="47"/>
  <c r="W147" i="47"/>
  <c r="G357" i="47"/>
  <c r="S145" i="47"/>
  <c r="O143" i="47"/>
  <c r="AC352" i="47"/>
  <c r="K141" i="47"/>
  <c r="Y350" i="47"/>
  <c r="G139" i="47"/>
  <c r="U348" i="47"/>
  <c r="C137" i="47"/>
  <c r="Q346" i="47"/>
  <c r="AC134" i="47"/>
  <c r="Y132" i="47"/>
  <c r="U130" i="47"/>
  <c r="Q128" i="47"/>
  <c r="N128" i="47"/>
  <c r="F81" i="47"/>
  <c r="T72" i="47"/>
  <c r="J359" i="47"/>
  <c r="L352" i="47"/>
  <c r="R347" i="47"/>
  <c r="AC135" i="47"/>
  <c r="S130" i="47"/>
  <c r="Q339" i="47"/>
  <c r="K153" i="47"/>
  <c r="Q140" i="47"/>
  <c r="X362" i="47"/>
  <c r="Z82" i="47"/>
  <c r="G74" i="47"/>
  <c r="U365" i="47"/>
  <c r="C154" i="47"/>
  <c r="AC151" i="47"/>
  <c r="Y149" i="47"/>
  <c r="U147" i="47"/>
  <c r="Q145" i="47"/>
  <c r="M143" i="47"/>
  <c r="I141" i="47"/>
  <c r="E139" i="47"/>
  <c r="AE136" i="47"/>
  <c r="K134" i="47"/>
  <c r="C130" i="47"/>
  <c r="N78" i="47"/>
  <c r="AB69" i="47"/>
  <c r="F358" i="47"/>
  <c r="AD354" i="47"/>
  <c r="L353" i="47"/>
  <c r="R348" i="47"/>
  <c r="K83" i="47"/>
  <c r="AE153" i="47"/>
  <c r="AA151" i="47"/>
  <c r="W149" i="47"/>
  <c r="S147" i="47"/>
  <c r="O145" i="47"/>
  <c r="K353" i="47"/>
  <c r="G351" i="47"/>
  <c r="C349" i="47"/>
  <c r="AC346" i="47"/>
  <c r="Y344" i="47"/>
  <c r="U342" i="47"/>
  <c r="Q340" i="47"/>
  <c r="M338" i="47"/>
  <c r="N341" i="47"/>
  <c r="Z91" i="47"/>
  <c r="AD153" i="47"/>
  <c r="N363" i="47"/>
  <c r="Z151" i="47"/>
  <c r="V149" i="47"/>
  <c r="R147" i="47"/>
  <c r="N145" i="47"/>
  <c r="J143" i="47"/>
  <c r="F141" i="47"/>
  <c r="AF138" i="47"/>
  <c r="AB136" i="47"/>
  <c r="X134" i="47"/>
  <c r="T132" i="47"/>
  <c r="P340" i="47"/>
  <c r="L128" i="47"/>
  <c r="AC138" i="47"/>
  <c r="F135" i="47"/>
  <c r="I83" i="47"/>
  <c r="K354" i="47"/>
  <c r="AC347" i="47"/>
  <c r="Q341" i="47"/>
  <c r="AB348" i="47"/>
  <c r="AD364" i="47"/>
  <c r="X337" i="47"/>
  <c r="H346" i="47"/>
  <c r="F362" i="47"/>
  <c r="L349" i="47"/>
  <c r="K73" i="47"/>
  <c r="N359" i="47"/>
  <c r="O134" i="47"/>
  <c r="N68" i="47"/>
  <c r="Y133" i="47"/>
  <c r="M151" i="47"/>
  <c r="Z336" i="47"/>
  <c r="AC144" i="47"/>
  <c r="M346" i="47"/>
  <c r="AA337" i="47"/>
  <c r="P138" i="47"/>
  <c r="AE340" i="47"/>
  <c r="S345" i="47"/>
  <c r="AF352" i="47"/>
  <c r="H133" i="47"/>
  <c r="AF353" i="47"/>
  <c r="U135" i="47"/>
  <c r="AF132" i="47"/>
  <c r="S150" i="47"/>
  <c r="C352" i="47"/>
  <c r="F78" i="47"/>
  <c r="AF351" i="47"/>
  <c r="T135" i="47"/>
  <c r="E337" i="47"/>
  <c r="AB356" i="47"/>
  <c r="C87" i="47"/>
  <c r="T77" i="47"/>
  <c r="D69" i="47"/>
  <c r="V362" i="47"/>
  <c r="N358" i="47"/>
  <c r="J356" i="47"/>
  <c r="F354" i="47"/>
  <c r="X347" i="47"/>
  <c r="L341" i="47"/>
  <c r="H339" i="47"/>
  <c r="D337" i="47"/>
  <c r="K347" i="47"/>
  <c r="L142" i="47"/>
  <c r="J89" i="47"/>
  <c r="G79" i="47"/>
  <c r="U70" i="47"/>
  <c r="I154" i="47"/>
  <c r="M88" i="47"/>
  <c r="W355" i="47"/>
  <c r="Q352" i="47"/>
  <c r="I138" i="47"/>
  <c r="E136" i="47"/>
  <c r="AE133" i="47"/>
  <c r="W129" i="47"/>
  <c r="D155" i="47"/>
  <c r="Z89" i="47"/>
  <c r="V79" i="47"/>
  <c r="F71" i="47"/>
  <c r="H364" i="47"/>
  <c r="V355" i="47"/>
  <c r="R353" i="47"/>
  <c r="N351" i="47"/>
  <c r="F347" i="47"/>
  <c r="X340" i="47"/>
  <c r="T338" i="47"/>
  <c r="P95" i="47"/>
  <c r="Z81" i="47"/>
  <c r="I73" i="47"/>
  <c r="Y147" i="47"/>
  <c r="U145" i="47"/>
  <c r="Q143" i="47"/>
  <c r="M141" i="47"/>
  <c r="I139" i="47"/>
  <c r="AA342" i="47"/>
  <c r="W340" i="47"/>
  <c r="S338" i="47"/>
  <c r="AC82" i="47"/>
  <c r="J74" i="47"/>
  <c r="X155" i="47"/>
  <c r="T153" i="47"/>
  <c r="P151" i="47"/>
  <c r="L149" i="47"/>
  <c r="Z358" i="47"/>
  <c r="H147" i="47"/>
  <c r="V356" i="47"/>
  <c r="D145" i="47"/>
  <c r="R354" i="47"/>
  <c r="AD142" i="47"/>
  <c r="Z140" i="47"/>
  <c r="V138" i="47"/>
  <c r="R136" i="47"/>
  <c r="N134" i="47"/>
  <c r="J132" i="47"/>
  <c r="F130" i="47"/>
  <c r="AF127" i="47"/>
  <c r="K127" i="47"/>
  <c r="V345" i="47"/>
  <c r="G81" i="47"/>
  <c r="U72" i="47"/>
  <c r="Y342" i="47"/>
  <c r="W151" i="47"/>
  <c r="U126" i="47"/>
  <c r="N155" i="47"/>
  <c r="P132" i="47"/>
  <c r="T80" i="47"/>
  <c r="D72" i="47"/>
  <c r="F349" i="47"/>
  <c r="X342" i="47"/>
  <c r="N337" i="47"/>
  <c r="Q350" i="47"/>
  <c r="I82" i="47"/>
  <c r="U73" i="47"/>
  <c r="C340" i="47"/>
  <c r="AB77" i="47"/>
  <c r="L69" i="47"/>
  <c r="F350" i="47"/>
  <c r="AD346" i="47"/>
  <c r="X343" i="47"/>
  <c r="L337" i="47"/>
  <c r="Y128" i="47"/>
  <c r="R149" i="47"/>
  <c r="X82" i="47"/>
  <c r="O355" i="47"/>
  <c r="I91" i="47"/>
  <c r="AF348" i="47"/>
  <c r="AB346" i="47"/>
  <c r="X344" i="47"/>
  <c r="T342" i="47"/>
  <c r="P130" i="47"/>
  <c r="L338" i="47"/>
  <c r="AC348" i="47"/>
  <c r="F345" i="47"/>
  <c r="V82" i="47"/>
  <c r="AE364" i="47"/>
  <c r="AC339" i="47"/>
  <c r="G127" i="47"/>
  <c r="P155" i="47"/>
  <c r="L153" i="47"/>
  <c r="H151" i="47"/>
  <c r="D149" i="47"/>
  <c r="AD146" i="47"/>
  <c r="Z144" i="47"/>
  <c r="V142" i="47"/>
  <c r="R140" i="47"/>
  <c r="N138" i="47"/>
  <c r="J136" i="47"/>
  <c r="F134" i="47"/>
  <c r="AF131" i="47"/>
  <c r="AB129" i="47"/>
  <c r="X127" i="47"/>
  <c r="I152" i="47"/>
  <c r="I128" i="47"/>
  <c r="H136" i="47"/>
  <c r="AE336" i="47"/>
  <c r="X71" i="47"/>
  <c r="Y340" i="47"/>
  <c r="W138" i="47"/>
  <c r="R362" i="47"/>
  <c r="D339" i="47"/>
  <c r="S153" i="47"/>
  <c r="I350" i="47"/>
  <c r="J347" i="47"/>
  <c r="N152" i="47"/>
  <c r="L340" i="47"/>
  <c r="AE81" i="47"/>
  <c r="M149" i="47"/>
  <c r="K342" i="47"/>
  <c r="J140" i="47"/>
  <c r="G144" i="47"/>
  <c r="I129" i="47"/>
  <c r="R127" i="47"/>
  <c r="U87" i="47"/>
  <c r="T69" i="47"/>
  <c r="P343" i="47"/>
  <c r="T146" i="47"/>
  <c r="AA89" i="47"/>
  <c r="G78" i="47"/>
  <c r="P86" i="47"/>
  <c r="D138" i="47"/>
  <c r="W88" i="47"/>
  <c r="U78" i="47"/>
  <c r="E70" i="47"/>
  <c r="I94" i="47"/>
  <c r="S151" i="47"/>
  <c r="C361" i="47"/>
  <c r="W145" i="47"/>
  <c r="C143" i="47"/>
  <c r="M140" i="47"/>
  <c r="I348" i="47"/>
  <c r="AA131" i="47"/>
  <c r="M337" i="47"/>
  <c r="Z150" i="47"/>
  <c r="I89" i="47"/>
  <c r="F79" i="47"/>
  <c r="T70" i="47"/>
  <c r="N133" i="47"/>
  <c r="J131" i="47"/>
  <c r="F129" i="47"/>
  <c r="E142" i="47"/>
  <c r="AC94" i="47"/>
  <c r="I81" i="47"/>
  <c r="W72" i="47"/>
  <c r="G154" i="47"/>
  <c r="C152" i="47"/>
  <c r="AC149" i="47"/>
  <c r="Y357" i="47"/>
  <c r="E347" i="47"/>
  <c r="AE344" i="47"/>
  <c r="I131" i="47"/>
  <c r="E129" i="47"/>
  <c r="O126" i="47"/>
  <c r="AF95" i="47"/>
  <c r="L82" i="47"/>
  <c r="X73" i="47"/>
  <c r="N352" i="47"/>
  <c r="J350" i="47"/>
  <c r="F348" i="47"/>
  <c r="AF345" i="47"/>
  <c r="AB343" i="47"/>
  <c r="X341" i="47"/>
  <c r="K337" i="47"/>
  <c r="U80" i="47"/>
  <c r="E72" i="47"/>
  <c r="Q338" i="47"/>
  <c r="M336" i="47"/>
  <c r="W361" i="47"/>
  <c r="N365" i="47"/>
  <c r="P342" i="47"/>
  <c r="D80" i="47"/>
  <c r="R71" i="47"/>
  <c r="T364" i="47"/>
  <c r="V357" i="47"/>
  <c r="D356" i="47"/>
  <c r="AD345" i="47"/>
  <c r="L344" i="47"/>
  <c r="AC345" i="47"/>
  <c r="K363" i="47"/>
  <c r="AB154" i="47"/>
  <c r="L356" i="47"/>
  <c r="Z129" i="47"/>
  <c r="V81" i="47"/>
  <c r="E73" i="47"/>
  <c r="C364" i="47"/>
  <c r="AC361" i="47"/>
  <c r="Y359" i="47"/>
  <c r="U357" i="47"/>
  <c r="Q355" i="47"/>
  <c r="M353" i="47"/>
  <c r="I351" i="47"/>
  <c r="E349" i="47"/>
  <c r="AE346" i="47"/>
  <c r="G336" i="47"/>
  <c r="E150" i="47"/>
  <c r="N147" i="47"/>
  <c r="M354" i="47"/>
  <c r="AB91" i="47"/>
  <c r="L77" i="47"/>
  <c r="Z68" i="47"/>
  <c r="F342" i="47"/>
  <c r="R340" i="47"/>
  <c r="G82" i="47"/>
  <c r="AA361" i="47"/>
  <c r="W359" i="47"/>
  <c r="S357" i="47"/>
  <c r="U134" i="47"/>
  <c r="J145" i="47"/>
  <c r="V90" i="47"/>
  <c r="V359" i="47"/>
  <c r="R357" i="47"/>
  <c r="J353" i="47"/>
  <c r="F351" i="47"/>
  <c r="Q155" i="47"/>
  <c r="M153" i="47"/>
  <c r="AA362" i="47"/>
  <c r="I361" i="47"/>
  <c r="E149" i="47"/>
  <c r="AE356" i="47"/>
  <c r="AA144" i="47"/>
  <c r="W142" i="47"/>
  <c r="S140" i="47"/>
  <c r="O138" i="47"/>
  <c r="K136" i="47"/>
  <c r="G134" i="47"/>
  <c r="C132" i="47"/>
  <c r="AC129" i="47"/>
  <c r="P365" i="47"/>
  <c r="Z354" i="47"/>
  <c r="V352" i="47"/>
  <c r="R350" i="47"/>
  <c r="N348" i="47"/>
  <c r="J346" i="47"/>
  <c r="F344" i="47"/>
  <c r="I362" i="47"/>
  <c r="AC89" i="47"/>
  <c r="C360" i="47"/>
  <c r="AB89" i="47"/>
  <c r="AF359" i="47"/>
  <c r="N82" i="47"/>
  <c r="J357" i="47"/>
  <c r="V143" i="47"/>
  <c r="K149" i="47"/>
  <c r="E348" i="47"/>
  <c r="O341" i="47"/>
  <c r="H343" i="47"/>
  <c r="O153" i="47"/>
  <c r="AF364" i="47"/>
  <c r="C358" i="47"/>
  <c r="K80" i="47"/>
  <c r="AA340" i="47"/>
  <c r="D338" i="47"/>
  <c r="Y72" i="47"/>
  <c r="AA147" i="47"/>
  <c r="K131" i="47"/>
  <c r="M75" i="47"/>
  <c r="AE360" i="47"/>
  <c r="AE142" i="47"/>
  <c r="AD150" i="47"/>
  <c r="I79" i="47"/>
  <c r="O148" i="47"/>
  <c r="Y137" i="47"/>
  <c r="AB146" i="47"/>
  <c r="AA154" i="47"/>
  <c r="AC349" i="47"/>
  <c r="Q343" i="47"/>
  <c r="AB139" i="47"/>
  <c r="D87" i="47"/>
  <c r="M341" i="47"/>
  <c r="E69" i="47"/>
  <c r="W362" i="47"/>
  <c r="R337" i="47"/>
  <c r="U142" i="47"/>
  <c r="D77" i="47"/>
  <c r="R68" i="47"/>
  <c r="Z364" i="47"/>
  <c r="R360" i="47"/>
  <c r="C95" i="47"/>
  <c r="AD85" i="47"/>
  <c r="E77" i="47"/>
  <c r="S68" i="47"/>
  <c r="AE148" i="47"/>
  <c r="AA146" i="47"/>
  <c r="W144" i="47"/>
  <c r="S142" i="47"/>
  <c r="O350" i="47"/>
  <c r="K138" i="47"/>
  <c r="G346" i="47"/>
  <c r="C134" i="47"/>
  <c r="AC131" i="47"/>
  <c r="Y129" i="47"/>
  <c r="U127" i="47"/>
  <c r="R126" i="47"/>
  <c r="U352" i="47"/>
  <c r="AF148" i="47"/>
  <c r="X136" i="47"/>
  <c r="S95" i="47"/>
  <c r="AC85" i="47"/>
  <c r="R76" i="47"/>
  <c r="AF67" i="47"/>
  <c r="L155" i="47"/>
  <c r="H153" i="47"/>
  <c r="D151" i="47"/>
  <c r="AD148" i="47"/>
  <c r="Z146" i="47"/>
  <c r="V144" i="47"/>
  <c r="R142" i="47"/>
  <c r="N140" i="47"/>
  <c r="J138" i="47"/>
  <c r="F136" i="47"/>
  <c r="AF133" i="47"/>
  <c r="AB131" i="47"/>
  <c r="X129" i="47"/>
  <c r="T127" i="47"/>
  <c r="J127" i="47"/>
  <c r="Q148" i="47"/>
  <c r="T142" i="47"/>
  <c r="Z133" i="47"/>
  <c r="F88" i="47"/>
  <c r="E78" i="47"/>
  <c r="S69" i="47"/>
  <c r="S91" i="47"/>
  <c r="AC148" i="47"/>
  <c r="W85" i="47"/>
  <c r="C83" i="47"/>
  <c r="AE343" i="47"/>
  <c r="W339" i="47"/>
  <c r="S337" i="47"/>
  <c r="AB130" i="47"/>
  <c r="R146" i="47"/>
  <c r="V88" i="47"/>
  <c r="T78" i="47"/>
  <c r="D70" i="47"/>
  <c r="X154" i="47"/>
  <c r="T152" i="47"/>
  <c r="P150" i="47"/>
  <c r="L148" i="47"/>
  <c r="H146" i="47"/>
  <c r="D144" i="47"/>
  <c r="AD141" i="47"/>
  <c r="Z139" i="47"/>
  <c r="V137" i="47"/>
  <c r="R135" i="47"/>
  <c r="N343" i="47"/>
  <c r="E352" i="47"/>
  <c r="C92" i="47"/>
  <c r="W80" i="47"/>
  <c r="G72" i="47"/>
  <c r="U355" i="47"/>
  <c r="Q353" i="47"/>
  <c r="M351" i="47"/>
  <c r="M133" i="47"/>
  <c r="O95" i="47"/>
  <c r="Y81" i="47"/>
  <c r="H73" i="47"/>
  <c r="AF337" i="47"/>
  <c r="O139" i="47"/>
  <c r="AE95" i="47"/>
  <c r="E80" i="47"/>
  <c r="S71" i="47"/>
  <c r="AE361" i="47"/>
  <c r="O353" i="47"/>
  <c r="K351" i="47"/>
  <c r="G349" i="47"/>
  <c r="C347" i="47"/>
  <c r="AC344" i="47"/>
  <c r="U340" i="47"/>
  <c r="AC126" i="47"/>
  <c r="R79" i="47"/>
  <c r="AF70" i="47"/>
  <c r="AF362" i="47"/>
  <c r="P354" i="47"/>
  <c r="F341" i="47"/>
  <c r="S340" i="47"/>
  <c r="L146" i="47"/>
  <c r="E81" i="47"/>
  <c r="S72" i="47"/>
  <c r="G126" i="47"/>
  <c r="E360" i="47"/>
  <c r="K91" i="47"/>
  <c r="Z76" i="47"/>
  <c r="J68" i="47"/>
  <c r="D365" i="47"/>
  <c r="L345" i="47"/>
  <c r="AD338" i="47"/>
  <c r="R359" i="47"/>
  <c r="T81" i="47"/>
  <c r="AE363" i="47"/>
  <c r="AA143" i="47"/>
  <c r="W141" i="47"/>
  <c r="S139" i="47"/>
  <c r="O137" i="47"/>
  <c r="K135" i="47"/>
  <c r="G133" i="47"/>
  <c r="C341" i="47"/>
  <c r="AC128" i="47"/>
  <c r="U344" i="47"/>
  <c r="J355" i="47"/>
  <c r="N84" i="47"/>
  <c r="AD363" i="47"/>
  <c r="Z361" i="47"/>
  <c r="N355" i="47"/>
  <c r="I151" i="47"/>
  <c r="E359" i="47"/>
  <c r="AE146" i="47"/>
  <c r="AA354" i="47"/>
  <c r="W352" i="47"/>
  <c r="S350" i="47"/>
  <c r="O348" i="47"/>
  <c r="K346" i="47"/>
  <c r="G344" i="47"/>
  <c r="G337" i="47"/>
  <c r="X91" i="47"/>
  <c r="L363" i="47"/>
  <c r="H361" i="47"/>
  <c r="D359" i="47"/>
  <c r="AD356" i="47"/>
  <c r="AF341" i="47"/>
  <c r="I338" i="47"/>
  <c r="R361" i="47"/>
  <c r="N360" i="47"/>
  <c r="O151" i="47"/>
  <c r="U89" i="47"/>
  <c r="E147" i="47"/>
  <c r="O136" i="47"/>
  <c r="Z344" i="47"/>
  <c r="AE339" i="47"/>
  <c r="Q90" i="47"/>
  <c r="H88" i="47"/>
  <c r="K146" i="47"/>
  <c r="C142" i="47"/>
  <c r="E127" i="47"/>
  <c r="U69" i="47"/>
  <c r="T95" i="47"/>
  <c r="S76" i="47"/>
  <c r="S352" i="47"/>
  <c r="K348" i="47"/>
  <c r="C344" i="47"/>
  <c r="L85" i="47"/>
  <c r="AF75" i="47"/>
  <c r="P67" i="47"/>
  <c r="V354" i="47"/>
  <c r="R352" i="47"/>
  <c r="J348" i="47"/>
  <c r="AF343" i="47"/>
  <c r="J337" i="47"/>
  <c r="Q358" i="47"/>
  <c r="T352" i="47"/>
  <c r="R129" i="47"/>
  <c r="S87" i="47"/>
  <c r="S77" i="47"/>
  <c r="C69" i="47"/>
  <c r="Y154" i="47"/>
  <c r="I364" i="47"/>
  <c r="S361" i="47"/>
  <c r="AC88" i="47"/>
  <c r="M358" i="47"/>
  <c r="I146" i="47"/>
  <c r="E346" i="47"/>
  <c r="AA341" i="47"/>
  <c r="E128" i="47"/>
  <c r="AF126" i="47"/>
  <c r="J142" i="47"/>
  <c r="E88" i="47"/>
  <c r="D78" i="47"/>
  <c r="R69" i="47"/>
  <c r="AD351" i="47"/>
  <c r="J341" i="47"/>
  <c r="F339" i="47"/>
  <c r="P91" i="47"/>
  <c r="G80" i="47"/>
  <c r="U71" i="47"/>
  <c r="G364" i="47"/>
  <c r="C362" i="47"/>
  <c r="U137" i="47"/>
  <c r="Q135" i="47"/>
  <c r="M343" i="47"/>
  <c r="I341" i="47"/>
  <c r="E339" i="47"/>
  <c r="AB94" i="47"/>
  <c r="H81" i="47"/>
  <c r="V72" i="47"/>
  <c r="X365" i="47"/>
  <c r="T363" i="47"/>
  <c r="P361" i="47"/>
  <c r="L359" i="47"/>
  <c r="O349" i="47"/>
  <c r="D142" i="47"/>
  <c r="N95" i="47"/>
  <c r="S79" i="47"/>
  <c r="C71" i="47"/>
  <c r="U154" i="47"/>
  <c r="E364" i="47"/>
  <c r="Q152" i="47"/>
  <c r="M150" i="47"/>
  <c r="AA359" i="47"/>
  <c r="I148" i="47"/>
  <c r="W357" i="47"/>
  <c r="E146" i="47"/>
  <c r="S355" i="47"/>
  <c r="AE143" i="47"/>
  <c r="AA141" i="47"/>
  <c r="W139" i="47"/>
  <c r="S137" i="47"/>
  <c r="O135" i="47"/>
  <c r="K133" i="47"/>
  <c r="G131" i="47"/>
  <c r="C129" i="47"/>
  <c r="U336" i="47"/>
  <c r="AD91" i="47"/>
  <c r="AF78" i="47"/>
  <c r="P70" i="47"/>
  <c r="N361" i="47"/>
  <c r="J351" i="47"/>
  <c r="U131" i="47"/>
  <c r="W336" i="47"/>
  <c r="AE155" i="47"/>
  <c r="G143" i="47"/>
  <c r="K129" i="47"/>
  <c r="Z339" i="47"/>
  <c r="S80" i="47"/>
  <c r="C72" i="47"/>
  <c r="S154" i="47"/>
  <c r="O152" i="47"/>
  <c r="K150" i="47"/>
  <c r="G148" i="47"/>
  <c r="C146" i="47"/>
  <c r="AC143" i="47"/>
  <c r="Y141" i="47"/>
  <c r="U139" i="47"/>
  <c r="Q137" i="47"/>
  <c r="AA134" i="47"/>
  <c r="K344" i="47"/>
  <c r="E131" i="47"/>
  <c r="N357" i="47"/>
  <c r="P153" i="47"/>
  <c r="X90" i="47"/>
  <c r="J76" i="47"/>
  <c r="X67" i="47"/>
  <c r="P363" i="47"/>
  <c r="AB361" i="47"/>
  <c r="J360" i="47"/>
  <c r="D357" i="47"/>
  <c r="Y338" i="47"/>
  <c r="AF152" i="47"/>
  <c r="AC78" i="47"/>
  <c r="Q154" i="47"/>
  <c r="M152" i="47"/>
  <c r="I150" i="47"/>
  <c r="E148" i="47"/>
  <c r="AE145" i="47"/>
  <c r="AA353" i="47"/>
  <c r="O347" i="47"/>
  <c r="K345" i="47"/>
  <c r="G343" i="47"/>
  <c r="C131" i="47"/>
  <c r="AC338" i="47"/>
  <c r="J83" i="47"/>
  <c r="P154" i="47"/>
  <c r="L152" i="47"/>
  <c r="H150" i="47"/>
  <c r="D148" i="47"/>
  <c r="AD145" i="47"/>
  <c r="Z143" i="47"/>
  <c r="V141" i="47"/>
  <c r="R139" i="47"/>
  <c r="N347" i="47"/>
  <c r="J135" i="47"/>
  <c r="F133" i="47"/>
  <c r="AF340" i="47"/>
  <c r="AB128" i="47"/>
  <c r="AA145" i="47"/>
  <c r="R141" i="47"/>
  <c r="C342" i="47"/>
  <c r="H83" i="47"/>
  <c r="J338" i="47"/>
  <c r="F126" i="47"/>
  <c r="X144" i="47"/>
  <c r="AA80" i="47"/>
  <c r="AC357" i="47"/>
  <c r="AE359" i="47"/>
  <c r="G129" i="47"/>
  <c r="S136" i="47"/>
  <c r="P137" i="47"/>
  <c r="X128" i="47"/>
  <c r="AC360" i="47"/>
  <c r="P145" i="47"/>
  <c r="W140" i="47"/>
  <c r="T341" i="47"/>
  <c r="W90" i="47"/>
  <c r="I344" i="47"/>
  <c r="T140" i="47"/>
  <c r="H128" i="47"/>
  <c r="S336" i="47"/>
  <c r="K81" i="47"/>
  <c r="K357" i="47"/>
  <c r="W137" i="47"/>
  <c r="Z365" i="47"/>
  <c r="K66" i="47"/>
  <c r="P87" i="47"/>
  <c r="J358" i="47"/>
  <c r="AB133" i="47"/>
  <c r="W70" i="47"/>
  <c r="AC139" i="47"/>
  <c r="M131" i="47"/>
  <c r="W78" i="47"/>
  <c r="O358" i="47"/>
  <c r="M148" i="47"/>
  <c r="K356" i="47"/>
  <c r="Q86" i="47"/>
  <c r="AA364" i="47"/>
  <c r="M85" i="47"/>
  <c r="I153" i="47"/>
  <c r="E151" i="47"/>
  <c r="W354" i="47"/>
  <c r="O140" i="47"/>
  <c r="L365" i="47"/>
  <c r="F336" i="47"/>
  <c r="Z84" i="47"/>
  <c r="AE358" i="47"/>
  <c r="AC341" i="47"/>
  <c r="Y339" i="47"/>
  <c r="F91" i="47"/>
  <c r="AF358" i="47"/>
  <c r="X346" i="47"/>
  <c r="O94" i="47"/>
  <c r="Y84" i="47"/>
  <c r="P75" i="47"/>
  <c r="AD66" i="47"/>
  <c r="D361" i="47"/>
  <c r="AD358" i="47"/>
  <c r="Z356" i="47"/>
  <c r="N350" i="47"/>
  <c r="F346" i="47"/>
  <c r="AF86" i="47"/>
  <c r="C77" i="47"/>
  <c r="Q68" i="47"/>
  <c r="Y94" i="47"/>
  <c r="E152" i="47"/>
  <c r="I86" i="47"/>
  <c r="S143" i="47"/>
  <c r="M350" i="47"/>
  <c r="Y138" i="47"/>
  <c r="U136" i="47"/>
  <c r="Q134" i="47"/>
  <c r="AB340" i="47"/>
  <c r="AF137" i="47"/>
  <c r="R87" i="47"/>
  <c r="R77" i="47"/>
  <c r="AF68" i="47"/>
  <c r="X364" i="47"/>
  <c r="T362" i="47"/>
  <c r="P360" i="47"/>
  <c r="L358" i="47"/>
  <c r="H356" i="47"/>
  <c r="D354" i="47"/>
  <c r="Z349" i="47"/>
  <c r="V347" i="47"/>
  <c r="R345" i="47"/>
  <c r="T154" i="47"/>
  <c r="AC90" i="47"/>
  <c r="U79" i="47"/>
  <c r="E71" i="47"/>
  <c r="K148" i="47"/>
  <c r="G146" i="47"/>
  <c r="C144" i="47"/>
  <c r="AC141" i="47"/>
  <c r="Y139" i="47"/>
  <c r="O336" i="47"/>
  <c r="AF91" i="47"/>
  <c r="V80" i="47"/>
  <c r="F72" i="47"/>
  <c r="F154" i="47"/>
  <c r="AF151" i="47"/>
  <c r="AB149" i="47"/>
  <c r="X147" i="47"/>
  <c r="H357" i="47"/>
  <c r="T145" i="47"/>
  <c r="D355" i="47"/>
  <c r="P143" i="47"/>
  <c r="L141" i="47"/>
  <c r="H139" i="47"/>
  <c r="D137" i="47"/>
  <c r="AD134" i="47"/>
  <c r="Z132" i="47"/>
  <c r="V130" i="47"/>
  <c r="N126" i="47"/>
  <c r="V91" i="47"/>
  <c r="D352" i="47"/>
  <c r="AE91" i="47"/>
  <c r="C79" i="47"/>
  <c r="Q70" i="47"/>
  <c r="K343" i="47"/>
  <c r="AC336" i="47"/>
  <c r="O155" i="47"/>
  <c r="Q132" i="47"/>
  <c r="Z137" i="47"/>
  <c r="M91" i="47"/>
  <c r="P78" i="47"/>
  <c r="AD69" i="47"/>
  <c r="Z359" i="47"/>
  <c r="AB352" i="47"/>
  <c r="D348" i="47"/>
  <c r="R339" i="47"/>
  <c r="AD337" i="47"/>
  <c r="W126" i="47"/>
  <c r="G353" i="47"/>
  <c r="AB364" i="47"/>
  <c r="C80" i="47"/>
  <c r="Q71" i="47"/>
  <c r="Y351" i="47"/>
  <c r="H149" i="47"/>
  <c r="G90" i="47"/>
  <c r="X75" i="47"/>
  <c r="H67" i="47"/>
  <c r="V358" i="47"/>
  <c r="P355" i="47"/>
  <c r="J352" i="47"/>
  <c r="S141" i="47"/>
  <c r="P144" i="47"/>
  <c r="M78" i="47"/>
  <c r="AE355" i="47"/>
  <c r="W351" i="47"/>
  <c r="S349" i="47"/>
  <c r="W82" i="47"/>
  <c r="R349" i="47"/>
  <c r="N137" i="47"/>
  <c r="J345" i="47"/>
  <c r="F343" i="47"/>
  <c r="AF130" i="47"/>
  <c r="AB338" i="47"/>
  <c r="AA355" i="47"/>
  <c r="Q365" i="47"/>
  <c r="M363" i="47"/>
  <c r="Y346" i="47"/>
  <c r="AF155" i="47"/>
  <c r="AB153" i="47"/>
  <c r="X151" i="47"/>
  <c r="T149" i="47"/>
  <c r="P147" i="47"/>
  <c r="L145" i="47"/>
  <c r="H143" i="47"/>
  <c r="D351" i="47"/>
  <c r="AD138" i="47"/>
  <c r="Z346" i="47"/>
  <c r="V134" i="47"/>
  <c r="R132" i="47"/>
  <c r="N130" i="47"/>
  <c r="J128" i="47"/>
  <c r="AE131" i="47"/>
  <c r="X354" i="47"/>
  <c r="G152" i="47"/>
  <c r="Z73" i="47"/>
  <c r="E363" i="47"/>
  <c r="J141" i="47"/>
  <c r="AA142" i="47"/>
  <c r="AF71" i="47"/>
  <c r="R155" i="47"/>
  <c r="AB350" i="47"/>
  <c r="C359" i="47"/>
  <c r="G70" i="47"/>
  <c r="U345" i="47"/>
  <c r="AF342" i="47"/>
  <c r="T87" i="47"/>
  <c r="D344" i="47"/>
  <c r="W79" i="47"/>
  <c r="G354" i="47"/>
  <c r="Y347" i="47"/>
  <c r="I339" i="47"/>
  <c r="U77" i="47"/>
  <c r="P94" i="47"/>
  <c r="C68" i="47"/>
  <c r="M155" i="47"/>
  <c r="G136" i="47"/>
  <c r="AF94" i="47"/>
  <c r="AC93" i="47"/>
  <c r="C76" i="47"/>
  <c r="Q67" i="47"/>
  <c r="M365" i="47"/>
  <c r="AA356" i="47"/>
  <c r="U337" i="47"/>
  <c r="L93" i="47"/>
  <c r="I84" i="47"/>
  <c r="Q75" i="47"/>
  <c r="AE66" i="47"/>
  <c r="I126" i="47"/>
  <c r="O147" i="47"/>
  <c r="T155" i="47"/>
  <c r="AB93" i="47"/>
  <c r="H84" i="47"/>
  <c r="AD74" i="47"/>
  <c r="N66" i="47"/>
  <c r="AB341" i="47"/>
  <c r="X339" i="47"/>
  <c r="T337" i="47"/>
  <c r="O86" i="47"/>
  <c r="Q76" i="47"/>
  <c r="AE67" i="47"/>
  <c r="E362" i="47"/>
  <c r="O149" i="47"/>
  <c r="AC358" i="47"/>
  <c r="S83" i="47"/>
  <c r="C353" i="47"/>
  <c r="AC140" i="47"/>
  <c r="Q344" i="47"/>
  <c r="M132" i="47"/>
  <c r="I130" i="47"/>
  <c r="E338" i="47"/>
  <c r="X133" i="47"/>
  <c r="AE86" i="47"/>
  <c r="AF76" i="47"/>
  <c r="P68" i="47"/>
  <c r="AD133" i="47"/>
  <c r="Z131" i="47"/>
  <c r="V129" i="47"/>
  <c r="H126" i="47"/>
  <c r="U150" i="47"/>
  <c r="L150" i="47"/>
  <c r="L90" i="47"/>
  <c r="E79" i="47"/>
  <c r="S70" i="47"/>
  <c r="W154" i="47"/>
  <c r="S152" i="47"/>
  <c r="O150" i="47"/>
  <c r="AC351" i="47"/>
  <c r="U347" i="47"/>
  <c r="U129" i="47"/>
  <c r="Q127" i="47"/>
  <c r="O91" i="47"/>
  <c r="F80" i="47"/>
  <c r="T71" i="47"/>
  <c r="AD352" i="47"/>
  <c r="Z350" i="47"/>
  <c r="V348" i="47"/>
  <c r="R346" i="47"/>
  <c r="N344" i="47"/>
  <c r="J342" i="47"/>
  <c r="F340" i="47"/>
  <c r="R128" i="47"/>
  <c r="N91" i="47"/>
  <c r="Q78" i="47"/>
  <c r="AE69" i="47"/>
  <c r="O345" i="47"/>
  <c r="G341" i="47"/>
  <c r="C339" i="47"/>
  <c r="O365" i="47"/>
  <c r="Z90" i="47"/>
  <c r="AD77" i="47"/>
  <c r="N69" i="47"/>
  <c r="V349" i="47"/>
  <c r="J343" i="47"/>
  <c r="U341" i="47"/>
  <c r="AE365" i="47"/>
  <c r="K339" i="47"/>
  <c r="P148" i="47"/>
  <c r="R133" i="47"/>
  <c r="Q79" i="47"/>
  <c r="AE70" i="47"/>
  <c r="S364" i="47"/>
  <c r="O362" i="47"/>
  <c r="K360" i="47"/>
  <c r="G358" i="47"/>
  <c r="C356" i="47"/>
  <c r="AC353" i="47"/>
  <c r="U349" i="47"/>
  <c r="Q347" i="47"/>
  <c r="E341" i="47"/>
  <c r="Z153" i="47"/>
  <c r="J129" i="47"/>
  <c r="AD144" i="47"/>
  <c r="T89" i="47"/>
  <c r="H75" i="47"/>
  <c r="V66" i="47"/>
  <c r="AB353" i="47"/>
  <c r="V350" i="47"/>
  <c r="D349" i="47"/>
  <c r="P347" i="47"/>
  <c r="J344" i="47"/>
  <c r="Y76" i="47"/>
  <c r="I360" i="47"/>
  <c r="E358" i="47"/>
  <c r="K145" i="47"/>
  <c r="F82" i="47"/>
  <c r="AD355" i="47"/>
  <c r="R351" i="47"/>
  <c r="AC153" i="47"/>
  <c r="Y151" i="47"/>
  <c r="U149" i="47"/>
  <c r="Q147" i="47"/>
  <c r="M145" i="47"/>
  <c r="I143" i="47"/>
  <c r="E351" i="47"/>
  <c r="AE138" i="47"/>
  <c r="AA136" i="47"/>
  <c r="W134" i="47"/>
  <c r="S132" i="47"/>
  <c r="O130" i="47"/>
  <c r="Y136" i="47"/>
  <c r="AB363" i="47"/>
  <c r="X361" i="47"/>
  <c r="T359" i="47"/>
  <c r="P357" i="47"/>
  <c r="L355" i="47"/>
  <c r="H353" i="47"/>
  <c r="D141" i="47"/>
  <c r="AD348" i="47"/>
  <c r="Z136" i="47"/>
  <c r="V344" i="47"/>
  <c r="R342" i="47"/>
  <c r="F353" i="47"/>
  <c r="G93" i="47"/>
  <c r="AA338" i="47"/>
  <c r="AF350" i="47"/>
  <c r="G147" i="47"/>
  <c r="S138" i="47"/>
  <c r="AB144" i="47"/>
  <c r="D132" i="47"/>
  <c r="J364" i="47"/>
  <c r="N76" i="47"/>
  <c r="P71" i="47"/>
  <c r="V155" i="47"/>
  <c r="E361" i="47"/>
  <c r="M147" i="47"/>
  <c r="S134" i="47"/>
  <c r="O132" i="47"/>
  <c r="G128" i="47"/>
  <c r="O357" i="47"/>
  <c r="H152" i="47"/>
  <c r="L138" i="47"/>
  <c r="T126" i="47"/>
  <c r="L151" i="47"/>
  <c r="K93" i="47"/>
  <c r="D83" i="47"/>
  <c r="N74" i="47"/>
  <c r="AB155" i="47"/>
  <c r="X153" i="47"/>
  <c r="H363" i="47"/>
  <c r="T151" i="47"/>
  <c r="P149" i="47"/>
  <c r="L147" i="47"/>
  <c r="H145" i="47"/>
  <c r="D143" i="47"/>
  <c r="AD140" i="47"/>
  <c r="V136" i="47"/>
  <c r="R134" i="47"/>
  <c r="N132" i="47"/>
  <c r="J130" i="47"/>
  <c r="F128" i="47"/>
  <c r="AA126" i="47"/>
  <c r="T360" i="47"/>
  <c r="AB85" i="47"/>
  <c r="AE75" i="47"/>
  <c r="O67" i="47"/>
  <c r="K155" i="47"/>
  <c r="Y364" i="47"/>
  <c r="E92" i="47"/>
  <c r="O89" i="47"/>
  <c r="Y146" i="47"/>
  <c r="Y348" i="47"/>
  <c r="M342" i="47"/>
  <c r="I340" i="47"/>
  <c r="AF336" i="47"/>
  <c r="E134" i="47"/>
  <c r="Z145" i="47"/>
  <c r="P129" i="47"/>
  <c r="N86" i="47"/>
  <c r="P76" i="47"/>
  <c r="AD67" i="47"/>
  <c r="J155" i="47"/>
  <c r="F153" i="47"/>
  <c r="AF150" i="47"/>
  <c r="AB148" i="47"/>
  <c r="X146" i="47"/>
  <c r="T144" i="47"/>
  <c r="P142" i="47"/>
  <c r="L140" i="47"/>
  <c r="H138" i="47"/>
  <c r="D136" i="47"/>
  <c r="AD343" i="47"/>
  <c r="H336" i="47"/>
  <c r="U360" i="47"/>
  <c r="D146" i="47"/>
  <c r="Y89" i="47"/>
  <c r="S78" i="47"/>
  <c r="C70" i="47"/>
  <c r="K358" i="47"/>
  <c r="G356" i="47"/>
  <c r="C354" i="47"/>
  <c r="Y349" i="47"/>
  <c r="Q345" i="47"/>
  <c r="AC133" i="47"/>
  <c r="Y131" i="47"/>
  <c r="AB90" i="47"/>
  <c r="T79" i="47"/>
  <c r="D71" i="47"/>
  <c r="AF361" i="47"/>
  <c r="W143" i="47"/>
  <c r="E126" i="47"/>
  <c r="AA90" i="47"/>
  <c r="AE77" i="47"/>
  <c r="O69" i="47"/>
  <c r="O127" i="47"/>
  <c r="K338" i="47"/>
  <c r="Q342" i="47"/>
  <c r="Z347" i="47"/>
  <c r="I90" i="47"/>
  <c r="N77" i="47"/>
  <c r="AB68" i="47"/>
  <c r="F365" i="47"/>
  <c r="H358" i="47"/>
  <c r="T356" i="47"/>
  <c r="P346" i="47"/>
  <c r="AB344" i="47"/>
  <c r="L336" i="47"/>
  <c r="P358" i="47"/>
  <c r="R343" i="47"/>
  <c r="AE78" i="47"/>
  <c r="O70" i="47"/>
  <c r="AA344" i="47"/>
  <c r="K126" i="47"/>
  <c r="Z363" i="47"/>
  <c r="V140" i="47"/>
  <c r="L83" i="47"/>
  <c r="V74" i="47"/>
  <c r="F66" i="47"/>
  <c r="AB345" i="47"/>
  <c r="V342" i="47"/>
  <c r="D341" i="47"/>
  <c r="AB337" i="47"/>
  <c r="J336" i="47"/>
  <c r="S351" i="47"/>
  <c r="U74" i="47"/>
  <c r="Q364" i="47"/>
  <c r="M362" i="47"/>
  <c r="I142" i="47"/>
  <c r="E140" i="47"/>
  <c r="AE347" i="47"/>
  <c r="AA135" i="47"/>
  <c r="W133" i="47"/>
  <c r="S341" i="47"/>
  <c r="O129" i="47"/>
  <c r="Y126" i="47"/>
  <c r="K355" i="47"/>
  <c r="AB78" i="47"/>
  <c r="P364" i="47"/>
  <c r="L362" i="47"/>
  <c r="H360" i="47"/>
  <c r="D358" i="47"/>
  <c r="Z353" i="47"/>
  <c r="V351" i="47"/>
  <c r="U359" i="47"/>
  <c r="Q357" i="47"/>
  <c r="M355" i="47"/>
  <c r="I353" i="47"/>
  <c r="E141" i="47"/>
  <c r="AE348" i="47"/>
  <c r="AA346" i="47"/>
  <c r="W344" i="47"/>
  <c r="S342" i="47"/>
  <c r="AF365" i="47"/>
  <c r="N340" i="47"/>
  <c r="AE341" i="47"/>
  <c r="K154" i="47"/>
  <c r="E345" i="47"/>
  <c r="AC342" i="47"/>
  <c r="Z93" i="47"/>
  <c r="L342" i="47"/>
  <c r="M67" i="47"/>
  <c r="AE147" i="47"/>
  <c r="M352" i="47"/>
  <c r="AE144" i="47"/>
  <c r="I133" i="47"/>
  <c r="U350" i="47"/>
  <c r="H134" i="47"/>
  <c r="AC130" i="47"/>
  <c r="L129" i="47"/>
  <c r="P351" i="47"/>
  <c r="T346" i="47"/>
  <c r="AA140" i="47"/>
  <c r="F356" i="47"/>
  <c r="X131" i="47"/>
  <c r="AE74" i="47"/>
  <c r="Q149" i="47"/>
  <c r="N151" i="47"/>
  <c r="Q359" i="47"/>
  <c r="M357" i="47"/>
  <c r="H362" i="47"/>
  <c r="X92" i="47"/>
  <c r="K85" i="47"/>
  <c r="K95" i="47"/>
  <c r="O359" i="47"/>
  <c r="S353" i="47"/>
  <c r="AC350" i="47"/>
  <c r="U346" i="47"/>
  <c r="Q126" i="47"/>
  <c r="E344" i="47"/>
  <c r="Z355" i="47"/>
  <c r="AA85" i="47"/>
  <c r="AD75" i="47"/>
  <c r="N67" i="47"/>
  <c r="J365" i="47"/>
  <c r="T354" i="47"/>
  <c r="P352" i="47"/>
  <c r="H348" i="47"/>
  <c r="Z341" i="47"/>
  <c r="V127" i="47"/>
  <c r="Z141" i="47"/>
  <c r="H89" i="47"/>
  <c r="C78" i="47"/>
  <c r="Q69" i="47"/>
  <c r="W364" i="47"/>
  <c r="S362" i="47"/>
  <c r="O360" i="47"/>
  <c r="G138" i="47"/>
  <c r="C136" i="47"/>
  <c r="AC343" i="47"/>
  <c r="W135" i="47"/>
  <c r="R154" i="47"/>
  <c r="K90" i="47"/>
  <c r="D79" i="47"/>
  <c r="R70" i="47"/>
  <c r="F364" i="47"/>
  <c r="AB359" i="47"/>
  <c r="T355" i="47"/>
  <c r="R338" i="47"/>
  <c r="N336" i="47"/>
  <c r="W353" i="47"/>
  <c r="D150" i="47"/>
  <c r="J90" i="47"/>
  <c r="O77" i="47"/>
  <c r="AC68" i="47"/>
  <c r="G155" i="47"/>
  <c r="U364" i="47"/>
  <c r="C153" i="47"/>
  <c r="Q362" i="47"/>
  <c r="AC150" i="47"/>
  <c r="M360" i="47"/>
  <c r="Y148" i="47"/>
  <c r="I358" i="47"/>
  <c r="U146" i="47"/>
  <c r="E356" i="47"/>
  <c r="Q144" i="47"/>
  <c r="AE353" i="47"/>
  <c r="M142" i="47"/>
  <c r="AA351" i="47"/>
  <c r="I140" i="47"/>
  <c r="W349" i="47"/>
  <c r="E138" i="47"/>
  <c r="S347" i="47"/>
  <c r="AA133" i="47"/>
  <c r="W131" i="47"/>
  <c r="S129" i="47"/>
  <c r="K128" i="47"/>
  <c r="V89" i="47"/>
  <c r="AB76" i="47"/>
  <c r="L68" i="47"/>
  <c r="R363" i="47"/>
  <c r="N353" i="47"/>
  <c r="W132" i="47"/>
  <c r="O128" i="47"/>
  <c r="AC146" i="47"/>
  <c r="C133" i="47"/>
  <c r="AC91" i="47"/>
  <c r="O78" i="47"/>
  <c r="AC69" i="47"/>
  <c r="E155" i="47"/>
  <c r="AE152" i="47"/>
  <c r="AA150" i="47"/>
  <c r="W148" i="47"/>
  <c r="S146" i="47"/>
  <c r="O144" i="47"/>
  <c r="K142" i="47"/>
  <c r="G140" i="47"/>
  <c r="C138" i="47"/>
  <c r="M135" i="47"/>
  <c r="G132" i="47"/>
  <c r="J339" i="47"/>
  <c r="N136" i="47"/>
  <c r="Y82" i="47"/>
  <c r="F74" i="47"/>
  <c r="AE71" i="47"/>
  <c r="C155" i="47"/>
  <c r="AC152" i="47"/>
  <c r="Y150" i="47"/>
  <c r="U148" i="47"/>
  <c r="Q146" i="47"/>
  <c r="M144" i="47"/>
  <c r="I352" i="47"/>
  <c r="E350" i="47"/>
  <c r="AE137" i="47"/>
  <c r="AA345" i="47"/>
  <c r="S131" i="47"/>
  <c r="O339" i="47"/>
  <c r="Y336" i="47"/>
  <c r="H76" i="47"/>
  <c r="AF154" i="47"/>
  <c r="AB152" i="47"/>
  <c r="X150" i="47"/>
  <c r="T148" i="47"/>
  <c r="P146" i="47"/>
  <c r="L144" i="47"/>
  <c r="H142" i="47"/>
  <c r="D140" i="47"/>
  <c r="AD137" i="47"/>
  <c r="Z135" i="47"/>
  <c r="V133" i="47"/>
  <c r="R131" i="47"/>
  <c r="N129" i="47"/>
  <c r="X126" i="47"/>
  <c r="Y362" i="47"/>
  <c r="AD147" i="47"/>
  <c r="P152" i="47"/>
  <c r="Z128" i="47"/>
  <c r="V336" i="47"/>
  <c r="Y354" i="47"/>
  <c r="F355" i="47"/>
  <c r="AD86" i="47"/>
  <c r="AD76" i="47"/>
  <c r="C363" i="47"/>
  <c r="C145" i="47"/>
  <c r="AE345" i="47"/>
  <c r="N83" i="47"/>
  <c r="Q153" i="47"/>
  <c r="N338" i="47"/>
  <c r="J151" i="47"/>
  <c r="E343" i="47"/>
  <c r="AE342" i="47"/>
  <c r="W338" i="47"/>
  <c r="X79" i="47"/>
  <c r="W337" i="47"/>
  <c r="D92" i="47"/>
  <c r="H340" i="47"/>
  <c r="N142" i="47"/>
  <c r="V83" i="47"/>
  <c r="I363" i="47"/>
  <c r="O74" i="47"/>
  <c r="E353" i="47"/>
  <c r="T361" i="47"/>
  <c r="R344" i="47"/>
  <c r="N342" i="47"/>
  <c r="T150" i="47"/>
  <c r="I356" i="47"/>
  <c r="F147" i="47"/>
  <c r="AC73" i="47"/>
  <c r="K340" i="47"/>
  <c r="G338" i="47"/>
  <c r="T336" i="47"/>
  <c r="Z142" i="47"/>
  <c r="T91" i="47"/>
  <c r="AC81" i="47"/>
  <c r="L73" i="47"/>
  <c r="AB365" i="47"/>
  <c r="Z348" i="47"/>
  <c r="V346" i="47"/>
  <c r="J340" i="47"/>
  <c r="AA336" i="47"/>
  <c r="R95" i="47"/>
  <c r="X84" i="47"/>
  <c r="AC74" i="47"/>
  <c r="M66" i="47"/>
  <c r="K365" i="47"/>
  <c r="U92" i="47"/>
  <c r="AE149" i="47"/>
  <c r="E144" i="47"/>
  <c r="K139" i="47"/>
  <c r="G137" i="47"/>
  <c r="C345" i="47"/>
  <c r="AC132" i="47"/>
  <c r="Y130" i="47"/>
  <c r="U128" i="47"/>
  <c r="Q95" i="47"/>
  <c r="J85" i="47"/>
  <c r="N75" i="47"/>
  <c r="AB66" i="47"/>
  <c r="F363" i="47"/>
  <c r="AF360" i="47"/>
  <c r="AB358" i="47"/>
  <c r="X356" i="47"/>
  <c r="D346" i="47"/>
  <c r="V339" i="47"/>
  <c r="R137" i="47"/>
  <c r="U88" i="47"/>
  <c r="Q77" i="47"/>
  <c r="AE68" i="47"/>
  <c r="AA148" i="47"/>
  <c r="W146" i="47"/>
  <c r="S144" i="47"/>
  <c r="O142" i="47"/>
  <c r="K140" i="47"/>
  <c r="G348" i="47"/>
  <c r="Y341" i="47"/>
  <c r="Q337" i="47"/>
  <c r="W345" i="47"/>
  <c r="J150" i="47"/>
  <c r="X89" i="47"/>
  <c r="R78" i="47"/>
  <c r="AF69" i="47"/>
  <c r="V154" i="47"/>
  <c r="R152" i="47"/>
  <c r="N150" i="47"/>
  <c r="J148" i="47"/>
  <c r="X357" i="47"/>
  <c r="F146" i="47"/>
  <c r="AF143" i="47"/>
  <c r="AB141" i="47"/>
  <c r="X139" i="47"/>
  <c r="T137" i="47"/>
  <c r="D347" i="47"/>
  <c r="P135" i="47"/>
  <c r="L133" i="47"/>
  <c r="Z342" i="47"/>
  <c r="H131" i="47"/>
  <c r="AD126" i="47"/>
  <c r="D360" i="47"/>
  <c r="D154" i="47"/>
  <c r="W89" i="47"/>
  <c r="AC76" i="47"/>
  <c r="M68" i="47"/>
  <c r="AE135" i="47"/>
  <c r="AA343" i="47"/>
  <c r="C141" i="47"/>
  <c r="H144" i="47"/>
  <c r="E89" i="47"/>
  <c r="L76" i="47"/>
  <c r="Z67" i="47"/>
  <c r="AD361" i="47"/>
  <c r="Z351" i="47"/>
  <c r="V341" i="47"/>
  <c r="D340" i="47"/>
  <c r="C343" i="47"/>
  <c r="L91" i="47"/>
  <c r="AC77" i="47"/>
  <c r="M69" i="47"/>
  <c r="K336" i="47"/>
  <c r="F132" i="47"/>
  <c r="H82" i="47"/>
  <c r="T73" i="47"/>
  <c r="T365" i="47"/>
  <c r="AF363" i="47"/>
  <c r="Z360" i="47"/>
  <c r="P339" i="47"/>
  <c r="AD131" i="47"/>
  <c r="R93" i="47"/>
  <c r="AC70" i="47"/>
  <c r="Q356" i="47"/>
  <c r="W343" i="47"/>
  <c r="F75" i="47"/>
  <c r="D350" i="47"/>
  <c r="Z345" i="47"/>
  <c r="V343" i="47"/>
  <c r="N339" i="47"/>
  <c r="X336" i="47"/>
  <c r="Y152" i="47"/>
  <c r="AD357" i="47"/>
  <c r="AD143" i="47"/>
  <c r="AC363" i="47"/>
  <c r="Y361" i="47"/>
  <c r="I337" i="47"/>
  <c r="S149" i="47"/>
  <c r="N154" i="47"/>
  <c r="J152" i="47"/>
  <c r="F150" i="47"/>
  <c r="AF147" i="47"/>
  <c r="AB145" i="47"/>
  <c r="X143" i="47"/>
  <c r="T141" i="47"/>
  <c r="P139" i="47"/>
  <c r="L137" i="47"/>
  <c r="H135" i="47"/>
  <c r="D133" i="47"/>
  <c r="AD130" i="47"/>
  <c r="Z338" i="47"/>
  <c r="V126" i="47"/>
  <c r="M138" i="47"/>
  <c r="K72" i="47"/>
  <c r="J80" i="47"/>
  <c r="AB357" i="47"/>
  <c r="AB81" i="47"/>
  <c r="Q150" i="47"/>
  <c r="E354" i="47"/>
  <c r="AC75" i="47"/>
  <c r="G340" i="47"/>
  <c r="U138" i="47"/>
  <c r="K76" i="47"/>
  <c r="K151" i="47"/>
  <c r="AB362" i="47"/>
  <c r="D130" i="47"/>
  <c r="K89" i="47"/>
  <c r="O351" i="47"/>
  <c r="O133" i="47"/>
  <c r="H155" i="47"/>
  <c r="M340" i="47"/>
  <c r="AF136" i="47"/>
  <c r="AC337" i="47"/>
  <c r="Y92" i="47"/>
  <c r="I145" i="47"/>
  <c r="E143" i="47"/>
  <c r="W136" i="47"/>
  <c r="C126" i="47"/>
  <c r="H92" i="47"/>
  <c r="U151" i="47"/>
  <c r="I355" i="47"/>
  <c r="O342" i="47"/>
  <c r="P82" i="47"/>
  <c r="AC66" i="47"/>
  <c r="U152" i="47"/>
  <c r="R82" i="47"/>
  <c r="Y363" i="47"/>
  <c r="U361" i="47"/>
  <c r="C336" i="47"/>
  <c r="AB142" i="47"/>
  <c r="AD81" i="47"/>
  <c r="AC365" i="47"/>
  <c r="AA153" i="47"/>
  <c r="AF90" i="47"/>
  <c r="F338" i="47"/>
  <c r="AE94" i="47"/>
  <c r="AF82" i="47"/>
  <c r="M74" i="47"/>
  <c r="AA155" i="47"/>
  <c r="K147" i="47"/>
  <c r="Y356" i="47"/>
  <c r="E84" i="47"/>
  <c r="O141" i="47"/>
  <c r="K349" i="47"/>
  <c r="C135" i="47"/>
  <c r="AD94" i="47"/>
  <c r="R83" i="47"/>
  <c r="AB74" i="47"/>
  <c r="L66" i="47"/>
  <c r="L350" i="47"/>
  <c r="P344" i="47"/>
  <c r="L132" i="47"/>
  <c r="H130" i="47"/>
  <c r="P126" i="47"/>
  <c r="V337" i="47"/>
  <c r="J133" i="47"/>
  <c r="D88" i="47"/>
  <c r="AE76" i="47"/>
  <c r="O68" i="47"/>
  <c r="I155" i="47"/>
  <c r="E153" i="47"/>
  <c r="AE150" i="47"/>
  <c r="S354" i="47"/>
  <c r="O352" i="47"/>
  <c r="C346" i="47"/>
  <c r="U339" i="47"/>
  <c r="C128" i="47"/>
  <c r="AF140" i="47"/>
  <c r="AF145" i="47"/>
  <c r="G89" i="47"/>
  <c r="AF77" i="47"/>
  <c r="P69" i="47"/>
  <c r="P353" i="47"/>
  <c r="L351" i="47"/>
  <c r="H349" i="47"/>
  <c r="AD344" i="47"/>
  <c r="V340" i="47"/>
  <c r="D129" i="47"/>
  <c r="E336" i="47"/>
  <c r="Z149" i="47"/>
  <c r="F89" i="47"/>
  <c r="M76" i="47"/>
  <c r="AA67" i="47"/>
  <c r="O337" i="47"/>
  <c r="AF153" i="47"/>
  <c r="R88" i="47"/>
  <c r="Z75" i="47"/>
  <c r="X66" i="47"/>
  <c r="L360" i="47"/>
  <c r="W342" i="47"/>
  <c r="AC356" i="47"/>
  <c r="V151" i="47"/>
  <c r="J137" i="47"/>
  <c r="Y90" i="47"/>
  <c r="M77" i="47"/>
  <c r="I67" i="47"/>
  <c r="AE362" i="47"/>
  <c r="AA360" i="47"/>
  <c r="W358" i="47"/>
  <c r="S356" i="47"/>
  <c r="O354" i="47"/>
  <c r="K352" i="47"/>
  <c r="G350" i="47"/>
  <c r="C348" i="47"/>
  <c r="G342" i="47"/>
  <c r="O131" i="47"/>
  <c r="T134" i="47"/>
  <c r="AB127" i="47"/>
  <c r="U81" i="47"/>
  <c r="D73" i="47"/>
  <c r="N362" i="47"/>
  <c r="H359" i="47"/>
  <c r="T357" i="47"/>
  <c r="AF355" i="47"/>
  <c r="N354" i="47"/>
  <c r="AF347" i="47"/>
  <c r="AA91" i="47"/>
  <c r="I68" i="47"/>
  <c r="Y360" i="47"/>
  <c r="U358" i="47"/>
  <c r="AC154" i="47"/>
  <c r="H68" i="47"/>
  <c r="X360" i="47"/>
  <c r="T358" i="47"/>
  <c r="AD347" i="47"/>
  <c r="R341" i="47"/>
  <c r="O154" i="47"/>
  <c r="K152" i="47"/>
  <c r="G150" i="47"/>
  <c r="C148" i="47"/>
  <c r="AC145" i="47"/>
  <c r="Y143" i="47"/>
  <c r="U141" i="47"/>
  <c r="Q139" i="47"/>
  <c r="M347" i="47"/>
  <c r="I135" i="47"/>
  <c r="E133" i="47"/>
  <c r="AE130" i="47"/>
  <c r="I127" i="47"/>
  <c r="S359" i="47"/>
  <c r="N364" i="47"/>
  <c r="J362" i="47"/>
  <c r="F360" i="47"/>
  <c r="AF357" i="47"/>
  <c r="AB355" i="47"/>
  <c r="X353" i="47"/>
  <c r="H345" i="47"/>
  <c r="D343" i="47"/>
  <c r="M348" i="47"/>
  <c r="X145" i="47"/>
  <c r="D345" i="47"/>
  <c r="J93" i="47"/>
  <c r="U84" i="47"/>
  <c r="G347" i="47"/>
  <c r="X348" i="47"/>
  <c r="C88" i="47"/>
  <c r="K75" i="47"/>
  <c r="Q136" i="47"/>
  <c r="E130" i="47"/>
  <c r="X74" i="47"/>
  <c r="H350" i="47"/>
  <c r="G151" i="47"/>
  <c r="I149" i="47"/>
  <c r="N346" i="47"/>
  <c r="G362" i="47"/>
  <c r="J73" i="47"/>
  <c r="I147" i="47"/>
  <c r="V146" i="47"/>
  <c r="O66" i="47"/>
  <c r="AE140" i="47"/>
  <c r="AA138" i="47"/>
  <c r="K130" i="47"/>
  <c r="R336" i="47"/>
  <c r="E83" i="47"/>
  <c r="AC155" i="47"/>
  <c r="Y153" i="47"/>
  <c r="AA348" i="47"/>
  <c r="S344" i="47"/>
  <c r="I336" i="47"/>
  <c r="L348" i="47"/>
  <c r="D147" i="47"/>
  <c r="AB73" i="47"/>
  <c r="X363" i="47"/>
  <c r="P359" i="47"/>
  <c r="L357" i="47"/>
  <c r="H355" i="47"/>
  <c r="D353" i="47"/>
  <c r="Z138" i="47"/>
  <c r="O75" i="47"/>
  <c r="Y86" i="47"/>
  <c r="U91" i="47"/>
  <c r="AE350" i="47"/>
  <c r="W346" i="47"/>
  <c r="D91" i="47"/>
  <c r="M73" i="47"/>
  <c r="AA129" i="47"/>
  <c r="R138" i="47"/>
  <c r="L81" i="47"/>
  <c r="Z72" i="47"/>
  <c r="AD350" i="47"/>
  <c r="T138" i="47"/>
  <c r="P90" i="47"/>
  <c r="M81" i="47"/>
  <c r="AA72" i="47"/>
  <c r="C150" i="47"/>
  <c r="AC147" i="47"/>
  <c r="Y145" i="47"/>
  <c r="U143" i="47"/>
  <c r="Q141" i="47"/>
  <c r="M139" i="47"/>
  <c r="I137" i="47"/>
  <c r="E135" i="47"/>
  <c r="AE132" i="47"/>
  <c r="AA130" i="47"/>
  <c r="W128" i="47"/>
  <c r="S126" i="47"/>
  <c r="AE126" i="47"/>
  <c r="AA363" i="47"/>
  <c r="L154" i="47"/>
  <c r="F143" i="47"/>
  <c r="L130" i="47"/>
  <c r="J134" i="47"/>
  <c r="O90" i="47"/>
  <c r="Z80" i="47"/>
  <c r="J72" i="47"/>
  <c r="J154" i="47"/>
  <c r="F152" i="47"/>
  <c r="AF149" i="47"/>
  <c r="AB147" i="47"/>
  <c r="X355" i="47"/>
  <c r="T143" i="47"/>
  <c r="P141" i="47"/>
  <c r="L139" i="47"/>
  <c r="H137" i="47"/>
  <c r="D135" i="47"/>
  <c r="AD132" i="47"/>
  <c r="Z130" i="47"/>
  <c r="V128" i="47"/>
  <c r="D128" i="47"/>
  <c r="W127" i="47"/>
  <c r="AD155" i="47"/>
  <c r="N94" i="47"/>
  <c r="O82" i="47"/>
  <c r="AA73" i="47"/>
  <c r="AA95" i="47"/>
  <c r="G153" i="47"/>
  <c r="U362" i="47"/>
  <c r="AE89" i="47"/>
  <c r="K87" i="47"/>
  <c r="U144" i="47"/>
  <c r="O81" i="47"/>
  <c r="U338" i="47"/>
  <c r="Q336" i="47"/>
  <c r="AA128" i="47"/>
  <c r="Y144" i="47"/>
  <c r="M94" i="47"/>
  <c r="AE82" i="47"/>
  <c r="L74" i="47"/>
  <c r="Z155" i="47"/>
  <c r="V153" i="47"/>
  <c r="R151" i="47"/>
  <c r="N149" i="47"/>
  <c r="J147" i="47"/>
  <c r="F145" i="47"/>
  <c r="AF142" i="47"/>
  <c r="AB140" i="47"/>
  <c r="X138" i="47"/>
  <c r="T136" i="47"/>
  <c r="P134" i="47"/>
  <c r="AF128" i="47"/>
  <c r="Q87" i="47"/>
  <c r="O76" i="47"/>
  <c r="AC67" i="47"/>
  <c r="I365" i="47"/>
  <c r="AA358" i="47"/>
  <c r="W356" i="47"/>
  <c r="K350" i="47"/>
  <c r="G130" i="47"/>
  <c r="X141" i="47"/>
  <c r="T88" i="47"/>
  <c r="P77" i="47"/>
  <c r="AD68" i="47"/>
  <c r="AD336" i="47"/>
  <c r="C149" i="47"/>
  <c r="M130" i="47"/>
  <c r="R145" i="47"/>
  <c r="S88" i="47"/>
  <c r="AA75" i="47"/>
  <c r="Y66" i="47"/>
  <c r="W341" i="47"/>
  <c r="S339" i="47"/>
  <c r="AE127" i="47"/>
  <c r="AC127" i="47"/>
  <c r="C351" i="47"/>
  <c r="H354" i="47"/>
  <c r="X149" i="47"/>
  <c r="N87" i="47"/>
  <c r="J75" i="47"/>
  <c r="X358" i="47"/>
  <c r="T348" i="47"/>
  <c r="AF346" i="47"/>
  <c r="N345" i="47"/>
  <c r="P338" i="47"/>
  <c r="AB336" i="47"/>
  <c r="O338" i="47"/>
  <c r="V361" i="47"/>
  <c r="H90" i="47"/>
  <c r="AA76" i="47"/>
  <c r="G66" i="47"/>
  <c r="E365" i="47"/>
  <c r="M345" i="47"/>
  <c r="AE128" i="47"/>
  <c r="T344" i="47"/>
  <c r="D81" i="47"/>
  <c r="R72" i="47"/>
  <c r="Z352" i="47"/>
  <c r="H351" i="47"/>
  <c r="AD341" i="47"/>
  <c r="J91" i="47"/>
  <c r="G67" i="47"/>
  <c r="C365" i="47"/>
  <c r="AC362" i="47"/>
  <c r="Y142" i="47"/>
  <c r="U140" i="47"/>
  <c r="Q138" i="47"/>
  <c r="M136" i="47"/>
  <c r="I134" i="47"/>
  <c r="E132" i="47"/>
  <c r="AE129" i="47"/>
  <c r="AA127" i="47"/>
  <c r="D66" i="47"/>
  <c r="P356" i="47"/>
  <c r="L354" i="47"/>
  <c r="H352" i="47"/>
  <c r="G360" i="47"/>
  <c r="AC355" i="47"/>
  <c r="Y353" i="47"/>
  <c r="Q349" i="47"/>
  <c r="M137" i="47"/>
  <c r="I345" i="47"/>
  <c r="T351" i="47"/>
  <c r="P349" i="47"/>
  <c r="L347" i="47"/>
  <c r="AD340" i="47"/>
  <c r="I220" i="31"/>
  <c r="J220" i="31" l="1"/>
  <c r="C8" i="69" l="1"/>
  <c r="C7" i="69"/>
  <c r="C11" i="69" s="1"/>
  <c r="C6" i="69"/>
  <c r="C5" i="69"/>
  <c r="V394" i="8" l="1"/>
  <c r="U394" i="8"/>
  <c r="T394" i="8"/>
  <c r="S394" i="8"/>
  <c r="R394" i="8"/>
  <c r="Q394" i="8"/>
  <c r="P394" i="8"/>
  <c r="O394" i="8"/>
  <c r="V377" i="8"/>
  <c r="U377" i="8"/>
  <c r="T377" i="8"/>
  <c r="S377" i="8"/>
  <c r="R377" i="8"/>
  <c r="Q377" i="8"/>
  <c r="P377" i="8"/>
  <c r="O377" i="8"/>
  <c r="C45" i="63" l="1"/>
  <c r="C44" i="63"/>
  <c r="C43" i="63"/>
  <c r="C42" i="63"/>
  <c r="C41" i="63"/>
  <c r="C37" i="63"/>
  <c r="C36" i="63"/>
  <c r="C35" i="63"/>
  <c r="C34" i="63"/>
  <c r="C33" i="63"/>
  <c r="C27" i="63"/>
  <c r="C26" i="63"/>
  <c r="C25" i="63"/>
  <c r="C24" i="63"/>
  <c r="C23" i="63"/>
  <c r="C22" i="63"/>
  <c r="C21" i="63"/>
  <c r="C11" i="63"/>
  <c r="C17" i="63"/>
  <c r="C16" i="63"/>
  <c r="C15" i="63"/>
  <c r="C14" i="63"/>
  <c r="C13" i="63"/>
  <c r="C12" i="63"/>
  <c r="C9" i="63" l="1"/>
  <c r="C8" i="63"/>
</calcChain>
</file>

<file path=xl/sharedStrings.xml><?xml version="1.0" encoding="utf-8"?>
<sst xmlns="http://schemas.openxmlformats.org/spreadsheetml/2006/main" count="16996" uniqueCount="524">
  <si>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</si>
  <si>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</si>
  <si>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</si>
  <si>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</si>
  <si>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</si>
  <si>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The capacity left over from periods prior to the modeling period.</t>
  </si>
  <si>
    <t>Indicates the maximum time technology may run in a given time slice.</t>
  </si>
  <si>
    <t>Emissions factor per unit of activity.</t>
  </si>
  <si>
    <t>Externality cost per unit of emission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</si>
  <si>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</si>
  <si>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</si>
  <si>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</si>
  <si>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Maximum total (residual and new) capacity each year.</t>
  </si>
  <si>
    <t>Minimum total (residual and new) capacity each year.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</si>
  <si>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</si>
  <si>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</si>
  <si>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</si>
  <si>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</si>
  <si>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</si>
  <si>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</si>
  <si>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</si>
  <si>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</si>
  <si>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</si>
  <si>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</si>
  <si>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</si>
  <si>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</si>
  <si>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</si>
  <si>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</si>
  <si>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</si>
  <si>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</si>
  <si>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</si>
  <si>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</si>
  <si>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</si>
  <si>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</si>
  <si>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</si>
  <si>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Value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</si>
  <si>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</si>
  <si>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</si>
  <si>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</si>
  <si>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</si>
  <si>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</si>
  <si>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</si>
  <si>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</si>
  <si>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</si>
  <si>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</si>
  <si>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</si>
  <si>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</si>
  <si>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</si>
  <si>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MT_FRT_SHIP_RE</t>
  </si>
  <si>
    <t>MT_PSNG_ROAD_CONV</t>
  </si>
  <si>
    <t>MT_PSNG_RAIL_CONV</t>
  </si>
  <si>
    <t>MT_PSNG_AIR_CONV</t>
  </si>
  <si>
    <t>MT_FRT_ROAD_CONV</t>
  </si>
  <si>
    <t>MT_FRT_RAIL_CONV</t>
  </si>
  <si>
    <t>MT_FRT_SHIP_CONV</t>
  </si>
  <si>
    <t>Defines trade links between regions for specific fuels. If r is linked to rr, rr has also to be linked with r. Symmetrical matrix with diagonal of zeroes</t>
  </si>
  <si>
    <t>Minimum total activity each year.</t>
  </si>
  <si>
    <t>ModalType</t>
  </si>
  <si>
    <t>P_Oil</t>
  </si>
  <si>
    <t>FRT_Ship_Conv</t>
  </si>
  <si>
    <t>FRT_Ship_Bio</t>
  </si>
  <si>
    <t>FRT_Road_H2</t>
  </si>
  <si>
    <t>PSNG_Air_Conv</t>
  </si>
  <si>
    <t>PSNG_Road_ICE</t>
  </si>
  <si>
    <t>PSNG_Road_BEV</t>
  </si>
  <si>
    <t>Mode of operation</t>
  </si>
  <si>
    <t>Amount of external Emissions for a year in a certain region.</t>
  </si>
  <si>
    <t>Limits the maximum amount of Emissions for a certain region in a year.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</si>
  <si>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</si>
  <si>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</si>
  <si>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</si>
  <si>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</si>
  <si>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</si>
  <si>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</si>
  <si>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</si>
  <si>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</si>
  <si>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</si>
  <si>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</si>
  <si>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</si>
  <si>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</si>
  <si>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</si>
  <si>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</si>
  <si>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</si>
  <si>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</si>
  <si>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</si>
  <si>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</si>
  <si>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</si>
  <si>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</si>
  <si>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</si>
  <si>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</si>
  <si>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</si>
  <si>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</si>
  <si>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</si>
  <si>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</si>
  <si>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</si>
  <si>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</si>
  <si>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</si>
  <si>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</si>
  <si>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</si>
  <si>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</si>
  <si>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</si>
  <si>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</si>
  <si>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</si>
  <si>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</si>
  <si>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</si>
  <si>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</si>
  <si>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</si>
  <si>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</si>
  <si>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</si>
  <si>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</si>
  <si>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</si>
  <si>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</si>
  <si>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</si>
  <si>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</si>
  <si>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</si>
  <si>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</si>
  <si>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</si>
  <si>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</si>
  <si>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</si>
  <si>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</si>
  <si>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</si>
  <si>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</si>
  <si>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</si>
  <si>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</si>
  <si>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</si>
  <si>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</si>
  <si>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</si>
  <si>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</si>
  <si>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</si>
  <si>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</si>
  <si>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</si>
  <si>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</si>
  <si>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</si>
  <si>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</si>
  <si>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</si>
  <si>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</si>
  <si>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FRT_Ship_H2</t>
  </si>
  <si>
    <t>PSNG_Air_Bio</t>
  </si>
  <si>
    <t>PSNG_Air_H2</t>
  </si>
  <si>
    <t>D_PHS</t>
  </si>
  <si>
    <t>D_Battery_Li-Ion</t>
  </si>
  <si>
    <t>D_Battery_Redox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</si>
  <si>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</si>
  <si>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</si>
  <si>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</si>
  <si>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</si>
  <si>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</si>
  <si>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</si>
  <si>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</si>
  <si>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</si>
  <si>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</si>
  <si>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</si>
  <si>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</si>
  <si>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</si>
  <si>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</si>
  <si>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</si>
  <si>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</si>
  <si>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</si>
  <si>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</si>
  <si>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</si>
  <si>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</si>
  <si>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</si>
  <si>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</si>
  <si>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</si>
  <si>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same as Fuel_Cell</t>
  </si>
  <si>
    <t>norden = opt</t>
  </si>
  <si>
    <t>süden = inf</t>
  </si>
  <si>
    <t>avg</t>
  </si>
  <si>
    <t>opt = süden</t>
  </si>
  <si>
    <t>inf norden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</si>
  <si>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</si>
  <si>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</si>
  <si>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</si>
  <si>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</si>
  <si>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</si>
  <si>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</si>
  <si>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</si>
  <si>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</si>
  <si>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</si>
  <si>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</si>
  <si>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</si>
  <si>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</si>
  <si>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 xml:space="preserve">Defines the capacities for trade between two regions in a specific year and for a specific fuel. 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</si>
  <si>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</si>
  <si>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</si>
  <si>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</si>
  <si>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</si>
  <si>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</si>
  <si>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</si>
  <si>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</si>
  <si>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</si>
  <si>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</si>
  <si>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</si>
  <si>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</si>
  <si>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</si>
  <si>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</si>
  <si>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</si>
  <si>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</si>
  <si>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</si>
  <si>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</si>
  <si>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</si>
  <si>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</si>
  <si>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</si>
  <si>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</si>
  <si>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</si>
  <si>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obsolete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</si>
  <si>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</si>
  <si>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</si>
  <si>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</si>
  <si>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</si>
  <si>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</si>
  <si>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</si>
  <si>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</si>
  <si>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</si>
  <si>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</si>
  <si>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</si>
  <si>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</si>
  <si>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</si>
  <si>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</si>
  <si>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</si>
  <si>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</si>
  <si>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</si>
  <si>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</si>
  <si>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</si>
  <si>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</si>
  <si>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</si>
  <si>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</si>
  <si>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</si>
  <si>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</si>
  <si>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</si>
  <si>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</si>
  <si>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</si>
  <si>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</si>
  <si>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</si>
  <si>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</si>
  <si>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</si>
  <si>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</si>
  <si>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</si>
  <si>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</si>
  <si>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</si>
  <si>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</si>
  <si>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</si>
  <si>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</si>
  <si>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</si>
  <si>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</si>
  <si>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</si>
  <si>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</si>
  <si>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</si>
  <si>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</si>
  <si>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</si>
  <si>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</si>
  <si>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</si>
  <si>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</si>
  <si>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</si>
  <si>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</si>
  <si>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</si>
  <si>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</si>
  <si>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</si>
  <si>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</si>
  <si>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</si>
  <si>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</si>
  <si>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</si>
  <si>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</si>
  <si>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</si>
  <si>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</si>
  <si>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</si>
  <si>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</si>
  <si>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</si>
  <si>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</si>
  <si>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</si>
  <si>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</si>
  <si>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</si>
  <si>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</si>
  <si>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</si>
  <si>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</si>
  <si>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</si>
  <si>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</si>
  <si>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AL</t>
  </si>
  <si>
    <t>AT</t>
  </si>
  <si>
    <t>BA</t>
  </si>
  <si>
    <t>BE</t>
  </si>
  <si>
    <t>BG</t>
  </si>
  <si>
    <t>CH</t>
  </si>
  <si>
    <t>CZ</t>
  </si>
  <si>
    <t>DE</t>
  </si>
  <si>
    <t>DK</t>
  </si>
  <si>
    <t>ES</t>
  </si>
  <si>
    <t>FI</t>
  </si>
  <si>
    <t>FR</t>
  </si>
  <si>
    <t>GR</t>
  </si>
  <si>
    <t>HR</t>
  </si>
  <si>
    <t>HU</t>
  </si>
  <si>
    <t>IE</t>
  </si>
  <si>
    <t>IT</t>
  </si>
  <si>
    <t>LU</t>
  </si>
  <si>
    <t>ME</t>
  </si>
  <si>
    <t>MK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</si>
  <si>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</si>
  <si>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</si>
  <si>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</si>
  <si>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</si>
  <si>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</si>
  <si>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</si>
  <si>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</si>
  <si>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</si>
  <si>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</si>
  <si>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UA</t>
  </si>
  <si>
    <t>UK</t>
  </si>
  <si>
    <t>EE</t>
  </si>
  <si>
    <t>LT</t>
  </si>
  <si>
    <t>LV</t>
  </si>
  <si>
    <t>RU</t>
  </si>
  <si>
    <t>BY</t>
  </si>
  <si>
    <t>Industry</t>
  </si>
  <si>
    <t>Europe_AT</t>
  </si>
  <si>
    <t>Europe_Balt</t>
  </si>
  <si>
    <t>Europe_BeLux</t>
  </si>
  <si>
    <t>Europe_CH</t>
  </si>
  <si>
    <t>Europe_CZ</t>
  </si>
  <si>
    <t>Europe_DE</t>
  </si>
  <si>
    <t>Europe_DK</t>
  </si>
  <si>
    <t>Europe_FR</t>
  </si>
  <si>
    <t>Europe_GB</t>
  </si>
  <si>
    <t>Europe_Iberia</t>
  </si>
  <si>
    <t>Europe_IT</t>
  </si>
  <si>
    <t>Europe_NL</t>
  </si>
  <si>
    <t>Europe_PL</t>
  </si>
  <si>
    <t>Europe_Scand</t>
  </si>
  <si>
    <t>Powerfuel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</si>
  <si>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</si>
  <si>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</si>
  <si>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</si>
  <si>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</si>
  <si>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</si>
  <si>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</si>
  <si>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</si>
  <si>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Europe_SouthEast</t>
  </si>
  <si>
    <t>RES_Hydro_Large_Base</t>
  </si>
  <si>
    <t>Z_Import_LNG</t>
  </si>
  <si>
    <t>X_Gasifier</t>
  </si>
  <si>
    <t>X_Liquifier</t>
  </si>
  <si>
    <t>LNG</t>
  </si>
  <si>
    <t>LBG</t>
  </si>
  <si>
    <t>LH2</t>
  </si>
  <si>
    <t>LSG</t>
  </si>
  <si>
    <t>FRT_Road_LNG</t>
  </si>
  <si>
    <t>FRT_Ship_LNG</t>
  </si>
  <si>
    <t>PSNG_Road_LNG</t>
  </si>
  <si>
    <t>Buildings</t>
  </si>
  <si>
    <t>Transportation</t>
  </si>
  <si>
    <t>Resources</t>
  </si>
  <si>
    <t>Storages</t>
  </si>
  <si>
    <t>Transformation</t>
  </si>
  <si>
    <t>Sectors</t>
  </si>
  <si>
    <t>Sector</t>
  </si>
  <si>
    <t>P_oil</t>
  </si>
  <si>
    <t>TR</t>
  </si>
  <si>
    <t>NONEU_Balkan</t>
  </si>
  <si>
    <t/>
  </si>
  <si>
    <t>https://sci-hub.se/10.1016/j.solener.2017.09.030</t>
  </si>
  <si>
    <t>gas_natural</t>
  </si>
  <si>
    <t>P_H2_OCGT</t>
  </si>
  <si>
    <t>DAC_Dummy</t>
  </si>
  <si>
    <t>X_DAC_LT</t>
  </si>
  <si>
    <t>X_DAC_HT</t>
  </si>
  <si>
    <t>Z_Import_H2</t>
  </si>
  <si>
    <t>Z_ETS_Buy</t>
  </si>
  <si>
    <t>Z_ETS_Sell</t>
  </si>
  <si>
    <t>ETS</t>
  </si>
  <si>
    <t>ETS_Source</t>
  </si>
  <si>
    <t>Limits the maximum amount of Emissions for a specific sector and region in a year.</t>
  </si>
  <si>
    <t>Tags all technologies which produce emissions.</t>
  </si>
  <si>
    <t>Emission content per unit of energy per fuel</t>
  </si>
  <si>
    <t>The annual demand for each output fuel. Hourly Data parameters distribute this demand over the timesteps.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</si>
  <si>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</si>
  <si>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</si>
  <si>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</si>
  <si>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</si>
  <si>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</si>
  <si>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Maximum total activity each year.</t>
  </si>
  <si>
    <t>Maximum total activity for the complete model period per region.</t>
  </si>
  <si>
    <t>Tags technologies which belong to a certain modal type</t>
  </si>
  <si>
    <t>Describes how much carbon can be stored per region.</t>
  </si>
  <si>
    <t>Describes how much of a fuel has to be produced by specific technologies in the base year per region.</t>
  </si>
  <si>
    <t>Describes how much of a fuel has to be produced by specific technologies in the base year across all regions.</t>
  </si>
  <si>
    <t>Describes the distribution of technologies within a specific modal type.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</si>
  <si>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</si>
  <si>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</si>
  <si>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</si>
  <si>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</si>
  <si>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</si>
  <si>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</si>
  <si>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</si>
  <si>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</si>
  <si>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km</t>
  </si>
  <si>
    <t>Unit: Fraction of 8760 hours</t>
  </si>
  <si>
    <t>Unit: PJ/GW-YR</t>
  </si>
  <si>
    <t>Unit: M€/PJ</t>
  </si>
  <si>
    <t>Costs for trading a fuel from one region to another.</t>
  </si>
  <si>
    <t>Unit: GW</t>
  </si>
  <si>
    <t>TradeRoute{f in FUEL, r in REGION1, rr in REGION2}</t>
  </si>
  <si>
    <t>TradeCapacity{y in YEAR, f in FUEL, r in REGION1, rr in REGION2}</t>
  </si>
  <si>
    <t>TradeCosts{f in FUEL, r in REGION1, rr in REGION2}</t>
  </si>
  <si>
    <t>TradeCapacityGrowthCosts{f in FUEL, r in REGION1, rr in REGION2}</t>
  </si>
  <si>
    <t>Costs of expanding trade capacity.</t>
  </si>
  <si>
    <t>Unit: M€/GW</t>
  </si>
  <si>
    <t>Unit: Factor</t>
  </si>
  <si>
    <t>Defines by how much the trade capacity between two regions can grow</t>
  </si>
  <si>
    <t>GrowthRateTradeCapacity{y in YEAR, f in FUEL, r in REGION1, rr in REGION2}</t>
  </si>
  <si>
    <t>AnnualExogenousEmission{r in REGION, e in EMISSION, y in YEAR)</t>
  </si>
  <si>
    <t>AnnualEmissionLimit{e in EMISSION, y in YEAR}</t>
  </si>
  <si>
    <t>Limits the maximum amount of Emissions in a year.</t>
  </si>
  <si>
    <t>Unit: Megatonnes</t>
  </si>
  <si>
    <t>AnnualSectoralEmissionLimit{e in EMISSION, se in SECTOR, y in YEAR}</t>
  </si>
  <si>
    <t>RegionalAnnualEmissionLimit{r in REGION, e in EMISSION, y in YEAR}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</si>
  <si>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</si>
  <si>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</si>
  <si>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</si>
  <si>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</si>
  <si>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</si>
  <si>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</si>
  <si>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</si>
  <si>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M€/Megatonnes</t>
  </si>
  <si>
    <t xml:space="preserve">EmissionsPenalty{r in REGION, e in EMISSION, y in YEAR} </t>
  </si>
  <si>
    <t>Unit: PJ</t>
  </si>
  <si>
    <t>Unit: PJ/mtkm/mpkm</t>
  </si>
  <si>
    <t>SpecifiedAnnualDemand{r in REGION, f in FUEL, y in YEAR}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</si>
  <si>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</si>
  <si>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</si>
  <si>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</si>
  <si>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</si>
  <si>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</si>
  <si>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</si>
  <si>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</si>
  <si>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</si>
  <si>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</si>
  <si>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ResidualCapacity{r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</si>
  <si>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</si>
  <si>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</si>
  <si>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CapacityFactor{r in REGION, t in TECHNOLOGY, l in TIMESLICE, y in YEAR}</t>
  </si>
  <si>
    <t>Unit: Years</t>
  </si>
  <si>
    <t>OperationalLife{r in REGION, t in TECHNOLOGY}</t>
  </si>
  <si>
    <t>TotalAnnualMinActivity{r in REGION, t in TECHNOLOGY, y in YEAR}</t>
  </si>
  <si>
    <t>TotalAnnualMaxActivity{r in REGION, t in TECHNOLOGY, y in YEAR}</t>
  </si>
  <si>
    <t>TotalAnnualMaxCapacity{r in REGION, t in TECHNOLOGY, y in YEAR}</t>
  </si>
  <si>
    <t>ModelPeriodActivityMaxLimit{r in REGION, t in TECHNOLOGY}</t>
  </si>
  <si>
    <t>TotalAnnualMinCapacity{r in REGION, t in TECHNOLOGY, y in YEAR}</t>
  </si>
  <si>
    <t>TagTechnologyToModalType{t in TECHNOLOGY, m in MODEOFOPERATION, md in MODALTYPE}</t>
  </si>
  <si>
    <t>RegionalCCSLimit{r in REGION}</t>
  </si>
  <si>
    <t>RegionalBaseYearProduction{r in REGION, t in TECHNOLOGY, f in FUEL}</t>
  </si>
  <si>
    <t>BaseYearProduction{t in TECHNOLOGY, f in FUEL}</t>
  </si>
  <si>
    <t>ModalSplitByFuelAndModalType(r in REGION, f in FUEL, y in YEAR, md in MODALTYPE)</t>
  </si>
  <si>
    <t>TechnologyToStorage{y in YEAR, m in MODE_OF_OPERATION, t in TECHNOLOGY, s in STORAGE}</t>
  </si>
  <si>
    <t>TechnologyFromStorage{r in REGION, m in MODE_OF_OPERATION, t in TECHNOLOGY, s in STORAGE}</t>
  </si>
  <si>
    <t>Defines the level of storage at the beginning of a year</t>
  </si>
  <si>
    <t>StorageLevelStart{r in REGION,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</si>
  <si>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</si>
  <si>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</si>
  <si>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</si>
  <si>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</si>
  <si>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</si>
  <si>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</si>
  <si>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</si>
  <si>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</si>
  <si>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 xml:space="preserve">Region </t>
  </si>
  <si>
    <t>Residual Storage Capacity</t>
  </si>
  <si>
    <t>ResidualStorageCapacity{r in REGION, s in STORAGE, y in YEAR}</t>
  </si>
  <si>
    <t>IGNORE</t>
  </si>
  <si>
    <t>Distance</t>
  </si>
  <si>
    <t>*HLI_Gas_Boiler</t>
  </si>
  <si>
    <t>*HLI_Convert_DH</t>
  </si>
  <si>
    <t>*HHI_BF_BOF</t>
  </si>
  <si>
    <t>*P_Oil</t>
  </si>
  <si>
    <t>Heat_District</t>
  </si>
  <si>
    <t>CHP</t>
  </si>
  <si>
    <t>CHP_Biomass_Solid</t>
  </si>
  <si>
    <t>CHP_Biomass_Solid_CCS</t>
  </si>
  <si>
    <t>CHP_Coal_Hardcoal_CCS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</si>
  <si>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</si>
  <si>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</si>
  <si>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</si>
  <si>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</si>
  <si>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</si>
  <si>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</si>
  <si>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</si>
  <si>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</si>
  <si>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HLI_Convert_DH</t>
  </si>
  <si>
    <t>HLR_Convert_DH</t>
  </si>
  <si>
    <t>P_Gas_CCGT</t>
  </si>
  <si>
    <t>P_Gas_Engines</t>
  </si>
  <si>
    <t>P_Gas_OCGT</t>
  </si>
  <si>
    <t>JRC TIMES</t>
  </si>
  <si>
    <t>Power only</t>
  </si>
  <si>
    <t>5% eff loss due to CO2 capture</t>
  </si>
  <si>
    <t>Power+Heat</t>
  </si>
  <si>
    <t>old data (90% eff, Kevin)</t>
  </si>
  <si>
    <t>using lignite values</t>
  </si>
  <si>
    <t>ETRI 2014</t>
  </si>
  <si>
    <t>normalized to power with additional efficiencies</t>
  </si>
  <si>
    <t>Res_PV_Utility_Tracking</t>
  </si>
  <si>
    <t>JRC-TIMES+DEA</t>
  </si>
  <si>
    <t>10% on PP, PP prices from JRC TIMES</t>
  </si>
  <si>
    <t>own assumption</t>
  </si>
  <si>
    <t>50% higher than normal PP</t>
  </si>
  <si>
    <t>marginal costs</t>
  </si>
  <si>
    <t>Mapping and analyses of the current and future (2020 - 2030) heating/cooling fuel deployment (fossil/renewables), EUROPEAN COMMISSION DIRECTORATE-GENERAL FOR ENERGY, 2012</t>
  </si>
  <si>
    <t>assumption</t>
  </si>
  <si>
    <t xml:space="preserve">annahme 3,5% capex nach </t>
  </si>
  <si>
    <t>na</t>
  </si>
  <si>
    <t xml:space="preserve"> </t>
  </si>
  <si>
    <t>JRC-TIMES</t>
  </si>
  <si>
    <t>same as other CHPs</t>
  </si>
  <si>
    <t>*+1 year</t>
  </si>
  <si>
    <t>old data</t>
  </si>
  <si>
    <t>same as other chps</t>
  </si>
  <si>
    <t>Res_pv_utility_tracking</t>
  </si>
  <si>
    <t>FRT</t>
  </si>
  <si>
    <t>PSNG</t>
  </si>
  <si>
    <t>EWI</t>
  </si>
  <si>
    <t>EUROSTAT</t>
  </si>
  <si>
    <t>IEA</t>
  </si>
  <si>
    <t>Unit: GW for Power; PJ for Gas</t>
  </si>
  <si>
    <t>EUROSTAT *changed to fit power numbers</t>
  </si>
  <si>
    <t>RES_PV_Utility_Tracking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</si>
</sst>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_-* #,##0\ _€_-;\-* #,##0\ _€_-;_-* &quot;-&quot;??\ _€_-;_-@_-"/>
    <numFmt numFmtId="166" formatCode="0.00000"/>
  </numFmts>
  <fonts count="3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 (Textkörper)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3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4" fillId="0" borderId="0" applyNumberFormat="0" applyFill="0" applyBorder="0" applyAlignment="0" applyProtection="0"/>
    <xf numFmtId="0" fontId="11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0" xfId="0" applyFill="1"/>
    <xf numFmtId="0" fontId="5" fillId="2" borderId="0" xfId="0" applyFont="1" applyFill="1" applyBorder="1"/>
    <xf numFmtId="0" fontId="0" fillId="0" borderId="0" xfId="0" applyFill="1" applyAlignment="1">
      <alignment wrapText="1"/>
    </xf>
    <xf numFmtId="0" fontId="0" fillId="0" borderId="0" xfId="0" applyAlignment="1"/>
    <xf numFmtId="0" fontId="7" fillId="0" borderId="0" xfId="0" applyFont="1" applyFill="1"/>
    <xf numFmtId="0" fontId="9" fillId="0" borderId="0" xfId="1282" applyFill="1"/>
    <xf numFmtId="0" fontId="9" fillId="0" borderId="0" xfId="1282" applyFont="1" applyFill="1"/>
    <xf numFmtId="0" fontId="11" fillId="0" borderId="0" xfId="0" applyFont="1" applyFill="1"/>
    <xf numFmtId="0" fontId="13" fillId="0" borderId="0" xfId="0" applyFont="1" applyFill="1"/>
    <xf numFmtId="0" fontId="0" fillId="0" borderId="0" xfId="0"/>
    <xf numFmtId="0" fontId="0" fillId="0" borderId="0" xfId="0" applyFont="1" applyFill="1"/>
    <xf numFmtId="0" fontId="0" fillId="0" borderId="0" xfId="0" applyFill="1" applyAlignment="1">
      <alignment horizontal="left" vertical="center"/>
    </xf>
    <xf numFmtId="0" fontId="0" fillId="0" borderId="0" xfId="0" applyNumberFormat="1" applyFill="1"/>
    <xf numFmtId="0" fontId="0" fillId="0" borderId="0" xfId="0" applyNumberFormat="1" applyAlignment="1"/>
    <xf numFmtId="1" fontId="0" fillId="0" borderId="0" xfId="0" applyNumberFormat="1"/>
    <xf numFmtId="0" fontId="0" fillId="0" borderId="0" xfId="0" applyBorder="1"/>
    <xf numFmtId="0" fontId="0" fillId="0" borderId="0" xfId="0" applyFont="1" applyFill="1" applyBorder="1"/>
    <xf numFmtId="165" fontId="0" fillId="0" borderId="0" xfId="0" applyNumberFormat="1"/>
    <xf numFmtId="165" fontId="5" fillId="0" borderId="0" xfId="0" applyNumberFormat="1" applyFont="1"/>
    <xf numFmtId="166" fontId="6" fillId="0" borderId="0" xfId="0" applyNumberFormat="1" applyFont="1" applyFill="1"/>
    <xf numFmtId="166" fontId="6" fillId="0" borderId="0" xfId="0" applyNumberFormat="1" applyFont="1"/>
    <xf numFmtId="166" fontId="0" fillId="0" borderId="0" xfId="0" applyNumberFormat="1"/>
    <xf numFmtId="0" fontId="5" fillId="0" borderId="0" xfId="0" applyFont="1" applyFill="1" applyBorder="1"/>
    <xf numFmtId="0" fontId="0" fillId="0" borderId="0" xfId="0" applyFont="1" applyFill="1" applyAlignment="1">
      <alignment wrapText="1"/>
    </xf>
    <xf numFmtId="164" fontId="11" fillId="0" borderId="0" xfId="0" applyNumberFormat="1" applyFont="1" applyFill="1"/>
    <xf numFmtId="0" fontId="0" fillId="0" borderId="0" xfId="0" applyFont="1" applyFill="1" applyAlignment="1">
      <alignment vertical="top"/>
    </xf>
    <xf numFmtId="0" fontId="0" fillId="0" borderId="0" xfId="0" applyFill="1" applyAlignment="1"/>
    <xf numFmtId="0" fontId="0" fillId="0" borderId="0" xfId="0" quotePrefix="1" applyFill="1"/>
    <xf numFmtId="0" fontId="13" fillId="0" borderId="0" xfId="0" applyFont="1" applyFill="1" applyAlignment="1">
      <alignment wrapText="1"/>
    </xf>
    <xf numFmtId="0" fontId="1" fillId="0" borderId="0" xfId="1325" applyFill="1"/>
    <xf numFmtId="0" fontId="13" fillId="0" borderId="0" xfId="0" applyFont="1" applyFill="1" applyAlignment="1"/>
    <xf numFmtId="0" fontId="6" fillId="0" borderId="0" xfId="0" applyFont="1" applyFill="1"/>
    <xf numFmtId="2" fontId="0" fillId="0" borderId="0" xfId="0" applyNumberFormat="1" applyFill="1"/>
    <xf numFmtId="0" fontId="0" fillId="0" borderId="0" xfId="0" applyFill="1" applyAlignment="1">
      <alignment horizontal="left"/>
    </xf>
    <xf numFmtId="0" fontId="5" fillId="0" borderId="0" xfId="0" applyFont="1" applyFill="1"/>
    <xf numFmtId="0" fontId="0" fillId="0" borderId="0" xfId="0" applyNumberFormat="1" applyFont="1" applyFill="1"/>
    <xf numFmtId="0" fontId="12" fillId="0" borderId="0" xfId="0" applyFont="1" applyFill="1"/>
    <xf numFmtId="0" fontId="0" fillId="0" borderId="0" xfId="0" applyFill="1" applyAlignment="1">
      <alignment horizontal="right"/>
    </xf>
    <xf numFmtId="0" fontId="3" fillId="0" borderId="0" xfId="0" applyFont="1" applyFill="1"/>
    <xf numFmtId="0" fontId="0" fillId="0" borderId="0" xfId="0" applyFill="1" applyAlignment="1">
      <alignment vertical="top"/>
    </xf>
    <xf numFmtId="1" fontId="0" fillId="0" borderId="0" xfId="0" applyNumberFormat="1" applyFill="1"/>
    <xf numFmtId="2" fontId="0" fillId="0" borderId="0" xfId="0" applyNumberFormat="1" applyFill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10" xfId="0" applyFill="1" applyBorder="1"/>
    <xf numFmtId="0" fontId="9" fillId="0" borderId="0" xfId="1282" quotePrefix="1" applyFill="1"/>
    <xf numFmtId="0" fontId="0" fillId="0" borderId="0" xfId="0" applyFill="1" applyBorder="1"/>
    <xf numFmtId="0" fontId="4" fillId="0" borderId="0" xfId="0" applyFont="1" applyFill="1"/>
    <xf numFmtId="0" fontId="13" fillId="0" borderId="0" xfId="0" applyFont="1" applyFill="1" applyAlignment="1">
      <alignment horizontal="right" vertical="top"/>
    </xf>
    <xf numFmtId="0" fontId="0" fillId="0" borderId="0" xfId="0" applyFont="1" applyFill="1" applyAlignment="1"/>
    <xf numFmtId="2" fontId="9" fillId="0" borderId="0" xfId="1282" applyNumberFormat="1" applyFill="1"/>
    <xf numFmtId="0" fontId="29" fillId="0" borderId="0" xfId="0" applyFont="1" applyFill="1" applyAlignment="1">
      <alignment vertical="center"/>
    </xf>
    <xf numFmtId="0" fontId="30" fillId="0" borderId="0" xfId="1282" applyFont="1" applyFill="1"/>
    <xf numFmtId="0" fontId="0" fillId="0" borderId="10" xfId="0" applyFont="1" applyFill="1" applyBorder="1"/>
    <xf numFmtId="0" fontId="9" fillId="0" borderId="0" xfId="1282" applyFont="1" applyFill="1" applyBorder="1"/>
    <xf numFmtId="0" fontId="9" fillId="0" borderId="0" xfId="1282" applyFill="1" applyBorder="1"/>
    <xf numFmtId="0" fontId="0" fillId="0" borderId="0" xfId="0" applyFill="1" applyBorder="1" applyAlignment="1">
      <alignment horizontal="left"/>
    </xf>
    <xf numFmtId="0" fontId="5" fillId="0" borderId="0" xfId="0" applyFont="1"/>
    <xf numFmtId="0" fontId="11" fillId="0" borderId="0" xfId="0" applyFont="1"/>
    <xf numFmtId="0" fontId="5" fillId="0" borderId="12" xfId="0" applyFont="1" applyBorder="1"/>
    <xf numFmtId="2" fontId="11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7" fillId="0" borderId="0" xfId="0" applyFont="1"/>
    <xf numFmtId="2" fontId="0" fillId="0" borderId="0" xfId="0" applyNumberFormat="1"/>
    <xf numFmtId="0" fontId="0" fillId="0" borderId="0" xfId="0" applyAlignment="1">
      <alignment horizontal="left" vertical="center"/>
    </xf>
    <xf numFmtId="0" fontId="0" fillId="0" borderId="12" xfId="0" applyBorder="1"/>
    <xf numFmtId="0" fontId="0" fillId="34" borderId="0" xfId="0" applyFill="1"/>
    <xf numFmtId="0" fontId="31" fillId="0" borderId="0" xfId="0" applyFont="1" applyAlignment="1">
      <alignment horizontal="left"/>
    </xf>
    <xf numFmtId="0" fontId="31" fillId="0" borderId="0" xfId="0" applyFont="1"/>
    <xf numFmtId="0" fontId="0" fillId="0" borderId="0" xfId="0" applyAlignment="1">
      <alignment vertical="top"/>
    </xf>
    <xf numFmtId="2" fontId="0" fillId="0" borderId="0" xfId="0" applyNumberFormat="1" applyAlignment="1">
      <alignment wrapText="1"/>
    </xf>
    <xf numFmtId="0" fontId="0" fillId="0" borderId="11" xfId="0" applyBorder="1"/>
    <xf numFmtId="0" fontId="0" fillId="0" borderId="0" xfId="0" quotePrefix="1"/>
    <xf numFmtId="0" fontId="11" fillId="0" borderId="12" xfId="0" applyFont="1" applyBorder="1"/>
    <xf numFmtId="0" fontId="0" fillId="0" borderId="12" xfId="0" applyBorder="1" applyAlignment="1">
      <alignment horizontal="left"/>
    </xf>
    <xf numFmtId="0" fontId="0" fillId="35" borderId="0" xfId="0" applyFill="1"/>
    <xf numFmtId="0" fontId="0" fillId="36" borderId="12" xfId="0" applyFill="1" applyBorder="1"/>
    <xf numFmtId="0" fontId="0" fillId="36" borderId="0" xfId="0" applyFill="1"/>
    <xf numFmtId="0" fontId="6" fillId="0" borderId="0" xfId="0" applyFont="1"/>
    <xf numFmtId="0" fontId="7" fillId="0" borderId="0" xfId="0" applyFont="1"/>
    <xf numFmtId="0" fontId="9" fillId="0" borderId="0" xfId="1282"/>
    <xf numFmtId="0" fontId="0" fillId="0" borderId="0" xfId="0" applyAlignment="1">
      <alignment horizontal="right"/>
    </xf>
    <xf numFmtId="2" fontId="6" fillId="0" borderId="0" xfId="0" applyNumberFormat="1" applyFont="1"/>
    <xf numFmtId="0" fontId="10" fillId="0" borderId="0" xfId="1283"/>
    <xf numFmtId="2" fontId="10" fillId="0" borderId="0" xfId="1283" applyNumberFormat="1"/>
    <xf numFmtId="164" fontId="0" fillId="0" borderId="0" xfId="0" applyNumberFormat="1"/>
    <xf numFmtId="0" fontId="0" fillId="0" borderId="0" xfId="0" applyFill="1" applyAlignment="1">
      <alignment horizontal="center"/>
    </xf>
  </cellXfs>
  <cellStyles count="1326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325" builtinId="8"/>
    <cellStyle name="Input" xfId="1292" builtinId="20" customBuiltin="1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3050000}"/>
    <cellStyle name="Standard 3" xfId="1282" xr:uid="{00000000-0005-0000-0000-000024050000}"/>
    <cellStyle name="Standard_Technologies_cna_fk_v01_14062010" xfId="1283" xr:uid="{00000000-0005-0000-0000-000025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b/Documents/genesys-mod/Inputdata/Data_Global_v20_jk_15-09-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b/Documents/genesys-mod/Inputdata/Data_India_Legacy_v01_kl_11-07-20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b/Documents/genesys-mod/Inputdata/data_sectors_v61_kh_29-05-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rlo/Documents/Uni/OR-Studienprojekt/Modell/OR-RES/Inputdata/Data_Supply_2050_V16_kh_27-06-1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Europe_openENTRANCE_SocietalCommitment_oE_v42_kl_09_05_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"/>
      <sheetName val="Deckblatt"/>
      <sheetName val="Data"/>
      <sheetName val="Par_ReserveMargin"/>
      <sheetName val="Par_TradeRoute_2015"/>
      <sheetName val="Par_TradeRoute_2050"/>
      <sheetName val="Par_TransportCosts"/>
      <sheetName val="Par_EmissionsPenalty"/>
      <sheetName val="Par_AnnualExogenousEmission"/>
      <sheetName val="Par_AnnualEmissionLimit"/>
      <sheetName val="Par_ReserveMarginTagFuel"/>
      <sheetName val="Par_ReserveMarginTagTechnology"/>
      <sheetName val="GDP_Population"/>
      <sheetName val="Changelog"/>
    </sheetNames>
    <sheetDataSet>
      <sheetData sheetId="0"/>
      <sheetData sheetId="1"/>
      <sheetData sheetId="2">
        <row r="2">
          <cell r="C2" t="str">
            <v>Power</v>
          </cell>
          <cell r="G2" t="str">
            <v>Europe</v>
          </cell>
        </row>
        <row r="3">
          <cell r="C3" t="str">
            <v>Heat_low</v>
          </cell>
          <cell r="G3" t="str">
            <v>Africa</v>
          </cell>
        </row>
        <row r="4">
          <cell r="C4" t="str">
            <v>Heat_high</v>
          </cell>
          <cell r="G4" t="str">
            <v>North_America</v>
          </cell>
        </row>
        <row r="5">
          <cell r="C5" t="str">
            <v>Mob_pass</v>
          </cell>
          <cell r="G5" t="str">
            <v>South_America</v>
          </cell>
        </row>
        <row r="6">
          <cell r="C6" t="str">
            <v>Mob_freight</v>
          </cell>
          <cell r="G6" t="str">
            <v>Oceania</v>
          </cell>
        </row>
        <row r="7">
          <cell r="C7" t="str">
            <v>Conv_oil</v>
          </cell>
          <cell r="G7" t="str">
            <v>China</v>
          </cell>
        </row>
        <row r="8">
          <cell r="C8" t="str">
            <v>Conv_coal</v>
          </cell>
          <cell r="G8" t="str">
            <v>India</v>
          </cell>
        </row>
        <row r="9">
          <cell r="C9" t="str">
            <v>Conv_uranium</v>
          </cell>
          <cell r="G9" t="str">
            <v>Middle_East</v>
          </cell>
        </row>
        <row r="10">
          <cell r="C10" t="str">
            <v>Conv_lignite</v>
          </cell>
          <cell r="G10" t="str">
            <v>FSU</v>
          </cell>
        </row>
        <row r="11">
          <cell r="C11" t="str">
            <v>Conv_gas</v>
          </cell>
          <cell r="G11" t="str">
            <v>Asia_Rest</v>
          </cell>
        </row>
        <row r="12">
          <cell r="C12" t="str">
            <v>Conv_gasoline</v>
          </cell>
        </row>
        <row r="13">
          <cell r="C13" t="str">
            <v>Conv_diesel</v>
          </cell>
        </row>
        <row r="14">
          <cell r="C14" t="str">
            <v>Bio_m</v>
          </cell>
        </row>
        <row r="15">
          <cell r="C15" t="str">
            <v>Bio_f</v>
          </cell>
        </row>
        <row r="16">
          <cell r="C16" t="str">
            <v>H2G</v>
          </cell>
        </row>
        <row r="17">
          <cell r="C17" t="str">
            <v>H2L</v>
          </cell>
        </row>
        <row r="18">
          <cell r="C18" t="str">
            <v>Area_roofs</v>
          </cell>
        </row>
        <row r="19">
          <cell r="C19" t="str">
            <v>Area_windon</v>
          </cell>
        </row>
        <row r="20">
          <cell r="C20" t="str">
            <v>River</v>
          </cell>
        </row>
        <row r="21">
          <cell r="C21" t="str">
            <v>Area_Biofuels</v>
          </cell>
        </row>
        <row r="22">
          <cell r="C22" t="str">
            <v>area_pv</v>
          </cell>
        </row>
        <row r="23">
          <cell r="C23" t="str">
            <v>Area_windoff</v>
          </cell>
        </row>
        <row r="24">
          <cell r="C24" t="str">
            <v>Area_Geo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"/>
      <sheetName val="Data"/>
      <sheetName val="Par_TradeRoute"/>
      <sheetName val="Par_TradeCapacity"/>
      <sheetName val="Par_AccumulatedAnnualDemand"/>
      <sheetName val="Par_SpecifiedAnnualDemand"/>
      <sheetName val="Par_SpecifiedDemandProfile"/>
      <sheetName val="Par_ReserveMarginTagFuel"/>
      <sheetName val="Par_ReserveMarginTagTechnology"/>
      <sheetName val="Par_InputActivityRatio"/>
      <sheetName val="Par_OutputActivityRatio"/>
      <sheetName val="Par_FixedCost"/>
      <sheetName val="Par_CapitalCost"/>
      <sheetName val="Par_VariableCost"/>
      <sheetName val="Par_ResidualCapacity"/>
      <sheetName val="Par_AvailabilityFactor"/>
      <sheetName val="Par_CapacityFactor"/>
      <sheetName val="Par_EmissionActivityRatio"/>
      <sheetName val="Par_OperationalLife"/>
      <sheetName val="Par_TotalAnnualMaxActivity"/>
      <sheetName val="Par_TotalAnnualMaxCapacity"/>
      <sheetName val="Par_TotalAnnualMinCapacity"/>
      <sheetName val="Par_ModalSplitByFuel"/>
      <sheetName val="Par_TagTechnology"/>
      <sheetName val="Change_log"/>
    </sheetNames>
    <sheetDataSet>
      <sheetData sheetId="0" refreshError="1"/>
      <sheetData sheetId="1">
        <row r="2">
          <cell r="C2" t="str">
            <v>Bio_F</v>
          </cell>
          <cell r="E2" t="str">
            <v>ID</v>
          </cell>
          <cell r="G2" t="str">
            <v>India_E</v>
          </cell>
        </row>
        <row r="3">
          <cell r="C3" t="str">
            <v>Bio_M</v>
          </cell>
          <cell r="E3" t="str">
            <v>IN</v>
          </cell>
          <cell r="G3" t="str">
            <v>India_CE</v>
          </cell>
        </row>
        <row r="4">
          <cell r="C4" t="str">
            <v>Conv_Coal</v>
          </cell>
          <cell r="E4" t="str">
            <v>SD</v>
          </cell>
          <cell r="G4" t="str">
            <v>India_W</v>
          </cell>
        </row>
        <row r="5">
          <cell r="C5" t="str">
            <v>Conv_Fueloil</v>
          </cell>
          <cell r="E5" t="str">
            <v>SN</v>
          </cell>
          <cell r="G5" t="str">
            <v>India_CW</v>
          </cell>
        </row>
        <row r="6">
          <cell r="C6" t="str">
            <v>Conv_Gas</v>
          </cell>
          <cell r="E6" t="str">
            <v>WD</v>
          </cell>
          <cell r="G6" t="str">
            <v>India_N</v>
          </cell>
        </row>
        <row r="7">
          <cell r="C7" t="str">
            <v>Conv_Nuclear</v>
          </cell>
          <cell r="E7" t="str">
            <v>WN</v>
          </cell>
          <cell r="G7" t="str">
            <v>India_NW</v>
          </cell>
        </row>
        <row r="8">
          <cell r="C8" t="str">
            <v>Conv_Oil</v>
          </cell>
          <cell r="G8" t="str">
            <v>India_UP</v>
          </cell>
        </row>
        <row r="9">
          <cell r="C9" t="str">
            <v>Conv_Petrofuel</v>
          </cell>
          <cell r="G9" t="str">
            <v>India_S</v>
          </cell>
        </row>
        <row r="10">
          <cell r="C10" t="str">
            <v>H2G</v>
          </cell>
          <cell r="G10" t="str">
            <v>India_CS</v>
          </cell>
        </row>
        <row r="11">
          <cell r="C11" t="str">
            <v>H2L</v>
          </cell>
          <cell r="G11" t="str">
            <v>India_NE</v>
          </cell>
        </row>
        <row r="12">
          <cell r="C12" t="str">
            <v>Heat_High</v>
          </cell>
        </row>
        <row r="13">
          <cell r="C13" t="str">
            <v>Heat_Low</v>
          </cell>
        </row>
        <row r="14">
          <cell r="C14" t="str">
            <v>Landuse_Biofuels</v>
          </cell>
        </row>
        <row r="15">
          <cell r="C15" t="str">
            <v>Landuse_CSP</v>
          </cell>
        </row>
        <row r="16">
          <cell r="C16" t="str">
            <v>Landuse_CSP_Storage</v>
          </cell>
        </row>
        <row r="17">
          <cell r="C17" t="str">
            <v>Landuse_Hydro_Large</v>
          </cell>
        </row>
        <row r="18">
          <cell r="C18" t="str">
            <v>Landuse_Hydro_Small</v>
          </cell>
        </row>
        <row r="19">
          <cell r="C19" t="str">
            <v>Landuse_PV_Commercial</v>
          </cell>
        </row>
        <row r="20">
          <cell r="C20" t="str">
            <v>Landuse_PV_Utility_avg</v>
          </cell>
        </row>
        <row r="21">
          <cell r="C21" t="str">
            <v>Landuse_PV_Utility_inf</v>
          </cell>
        </row>
        <row r="22">
          <cell r="C22" t="str">
            <v>Landuse_PV_Utility_opt</v>
          </cell>
        </row>
        <row r="23">
          <cell r="C23" t="str">
            <v>Landuse_Solar_Roof</v>
          </cell>
        </row>
        <row r="24">
          <cell r="C24" t="str">
            <v>Landuse_Thermal_Geo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ngelog"/>
      <sheetName val="Data"/>
      <sheetName val="Parameter"/>
      <sheetName val="Par_TWCNToMPTS"/>
      <sheetName val="Par_InputActivityRatio"/>
      <sheetName val="Par_OutputActivityRatio"/>
      <sheetName val="Par_CapitalCost"/>
      <sheetName val="Par_FixedCost"/>
      <sheetName val="Par_VariableCost"/>
      <sheetName val="Par_ResidualCapacity"/>
      <sheetName val="Par_AvailabilityFactor"/>
      <sheetName val="Par_CapacityFactor"/>
      <sheetName val="Par_EmissionActivityRatio"/>
      <sheetName val="Par_ReserveMarginTagTechnology"/>
      <sheetName val="Par_OperationalLife"/>
      <sheetName val="Par_TotalAnnualMaxCapacity"/>
      <sheetName val="Par_TotalAnnualMinCapacity"/>
      <sheetName val="Par_TotalAnnualMinActivity"/>
    </sheetNames>
    <sheetDataSet>
      <sheetData sheetId="0" refreshError="1"/>
      <sheetData sheetId="1">
        <row r="2">
          <cell r="B2" t="str">
            <v>Area_Biofuels</v>
          </cell>
          <cell r="C2" t="str">
            <v>Power</v>
          </cell>
          <cell r="G2" t="str">
            <v>Europe</v>
          </cell>
        </row>
        <row r="3">
          <cell r="B3" t="str">
            <v>Area_CSP</v>
          </cell>
          <cell r="C3" t="str">
            <v>Heat_low</v>
          </cell>
          <cell r="G3" t="str">
            <v>Africa</v>
          </cell>
        </row>
        <row r="4">
          <cell r="B4" t="str">
            <v>Area_CSP_Storage</v>
          </cell>
          <cell r="C4" t="str">
            <v>Heat_high</v>
          </cell>
          <cell r="G4" t="str">
            <v>North_America</v>
          </cell>
        </row>
        <row r="5">
          <cell r="B5" t="str">
            <v>Area_Hydro_Large</v>
          </cell>
          <cell r="C5" t="str">
            <v>Mob_pass</v>
          </cell>
          <cell r="G5" t="str">
            <v>South_America</v>
          </cell>
        </row>
        <row r="6">
          <cell r="B6" t="str">
            <v>Area_Hydro_Small</v>
          </cell>
          <cell r="C6" t="str">
            <v>Mob_freight</v>
          </cell>
          <cell r="G6" t="str">
            <v>Oceania</v>
          </cell>
        </row>
        <row r="7">
          <cell r="B7" t="str">
            <v>Area_PV_Commercial</v>
          </cell>
          <cell r="C7" t="str">
            <v>Conv_oil</v>
          </cell>
          <cell r="G7" t="str">
            <v>China</v>
          </cell>
        </row>
        <row r="8">
          <cell r="B8" t="str">
            <v>Area_PV_Utility</v>
          </cell>
          <cell r="C8" t="str">
            <v>Conv_coal</v>
          </cell>
          <cell r="G8" t="str">
            <v>India</v>
          </cell>
        </row>
        <row r="9">
          <cell r="B9" t="str">
            <v>Area_Solar_Roof</v>
          </cell>
          <cell r="C9" t="str">
            <v>Conv_uranium</v>
          </cell>
          <cell r="G9" t="str">
            <v>Middle_East</v>
          </cell>
        </row>
        <row r="10">
          <cell r="B10" t="str">
            <v>Area_Thermal_Geo</v>
          </cell>
          <cell r="C10" t="str">
            <v>Conv_lignite</v>
          </cell>
          <cell r="G10" t="str">
            <v>FSU</v>
          </cell>
        </row>
        <row r="11">
          <cell r="B11" t="str">
            <v>Area_Tidal</v>
          </cell>
          <cell r="C11" t="str">
            <v>Conv_gas</v>
          </cell>
          <cell r="G11" t="str">
            <v>Asia_Rest</v>
          </cell>
        </row>
        <row r="12">
          <cell r="B12" t="str">
            <v>Area_Wave</v>
          </cell>
          <cell r="C12" t="str">
            <v>conv_fueloil</v>
          </cell>
        </row>
        <row r="13">
          <cell r="B13" t="str">
            <v>Area_Wind_Offshore</v>
          </cell>
          <cell r="C13" t="str">
            <v>conv_petrofuel</v>
          </cell>
        </row>
        <row r="14">
          <cell r="B14" t="str">
            <v>Area_Wind_Onshore</v>
          </cell>
          <cell r="C14" t="str">
            <v>Bio_m</v>
          </cell>
        </row>
        <row r="15">
          <cell r="B15" t="str">
            <v>BIOFLREFINERY</v>
          </cell>
          <cell r="C15" t="str">
            <v>Bio_f</v>
          </cell>
        </row>
        <row r="16">
          <cell r="B16" t="str">
            <v>C_Coal</v>
          </cell>
          <cell r="C16" t="str">
            <v>H2G</v>
          </cell>
        </row>
        <row r="17">
          <cell r="B17" t="str">
            <v>C_Gas</v>
          </cell>
          <cell r="C17" t="str">
            <v>H2L</v>
          </cell>
        </row>
        <row r="18">
          <cell r="B18" t="str">
            <v>C_Nuclear</v>
          </cell>
          <cell r="C18" t="str">
            <v>Area_roofs</v>
          </cell>
        </row>
        <row r="19">
          <cell r="B19" t="str">
            <v>C_Oil</v>
          </cell>
          <cell r="C19" t="str">
            <v>Area_windon</v>
          </cell>
        </row>
        <row r="20">
          <cell r="B20" t="str">
            <v>ELYSER</v>
          </cell>
          <cell r="C20" t="str">
            <v>River</v>
          </cell>
        </row>
        <row r="21">
          <cell r="B21" t="str">
            <v>FRT_Rail_ELC</v>
          </cell>
          <cell r="C21" t="str">
            <v>Area_Biofuels</v>
          </cell>
        </row>
        <row r="22">
          <cell r="B22" t="str">
            <v>FRT_Rail_Petro</v>
          </cell>
          <cell r="C22" t="str">
            <v>area_pv</v>
          </cell>
        </row>
        <row r="23">
          <cell r="B23" t="str">
            <v>FRT_Road_Bio</v>
          </cell>
          <cell r="C23" t="str">
            <v>Area_windoff</v>
          </cell>
        </row>
        <row r="24">
          <cell r="B24" t="str">
            <v>FRT_Road_Conv</v>
          </cell>
          <cell r="C24" t="str">
            <v>Area_Geo</v>
          </cell>
        </row>
        <row r="25">
          <cell r="B25" t="str">
            <v>FRT_Road_H2</v>
          </cell>
        </row>
        <row r="26">
          <cell r="B26" t="str">
            <v>FRT_Ship_Bio</v>
          </cell>
        </row>
        <row r="27">
          <cell r="B27" t="str">
            <v>FRT_Ship_Conv</v>
          </cell>
        </row>
        <row r="28">
          <cell r="B28" t="str">
            <v>FUEL_CELL</v>
          </cell>
        </row>
        <row r="29">
          <cell r="B29" t="str">
            <v>H2TL</v>
          </cell>
        </row>
        <row r="30">
          <cell r="B30" t="str">
            <v>P_Coal</v>
          </cell>
        </row>
        <row r="31">
          <cell r="B31" t="str">
            <v>P_Gas</v>
          </cell>
        </row>
        <row r="32">
          <cell r="B32" t="str">
            <v>P_Nuclear</v>
          </cell>
        </row>
        <row r="33">
          <cell r="B33" t="str">
            <v>P_Oil</v>
          </cell>
        </row>
        <row r="34">
          <cell r="B34" t="str">
            <v>PSNG_Air_Conv</v>
          </cell>
        </row>
        <row r="35">
          <cell r="B35" t="str">
            <v>PSNG_Air_H2L</v>
          </cell>
        </row>
        <row r="36">
          <cell r="B36" t="str">
            <v>PSNG_Rail_ELC</v>
          </cell>
        </row>
        <row r="37">
          <cell r="B37" t="str">
            <v>PSNG_Rail_Petro</v>
          </cell>
        </row>
        <row r="38">
          <cell r="B38" t="str">
            <v>PSNG_Road_BEV</v>
          </cell>
        </row>
        <row r="39">
          <cell r="B39" t="str">
            <v>PSNG_Road_Bio</v>
          </cell>
        </row>
        <row r="40">
          <cell r="B40" t="str">
            <v>PSNG_Road_FCEV</v>
          </cell>
        </row>
        <row r="41">
          <cell r="B41" t="str">
            <v>PSNG_Road_ICE</v>
          </cell>
        </row>
        <row r="42">
          <cell r="B42" t="str">
            <v>Res_BioMass</v>
          </cell>
        </row>
        <row r="43">
          <cell r="B43" t="str">
            <v>Res_CSP</v>
          </cell>
        </row>
        <row r="44">
          <cell r="B44" t="str">
            <v>Res_CSP_Storage</v>
          </cell>
        </row>
        <row r="45">
          <cell r="B45" t="str">
            <v>Res_Hydro_Large</v>
          </cell>
        </row>
        <row r="46">
          <cell r="B46" t="str">
            <v>Res_Hydro_Small</v>
          </cell>
        </row>
        <row r="47">
          <cell r="B47" t="str">
            <v>Res_PV_Commercial</v>
          </cell>
        </row>
        <row r="48">
          <cell r="B48" t="str">
            <v>Res_PV_Residential</v>
          </cell>
        </row>
        <row r="49">
          <cell r="B49" t="str">
            <v>Res_PV_Utility</v>
          </cell>
        </row>
        <row r="50">
          <cell r="B50" t="str">
            <v>Res_Thermal_Geo</v>
          </cell>
        </row>
        <row r="51">
          <cell r="B51" t="str">
            <v>Res_Thermal_Solar</v>
          </cell>
        </row>
        <row r="52">
          <cell r="B52" t="str">
            <v>Res_Tidal</v>
          </cell>
        </row>
        <row r="53">
          <cell r="B53" t="str">
            <v>Res_Wave</v>
          </cell>
        </row>
        <row r="54">
          <cell r="B54" t="str">
            <v>Res_Wind_Offshore</v>
          </cell>
        </row>
        <row r="55">
          <cell r="B55" t="str">
            <v>Res_Wind_Onshore</v>
          </cell>
        </row>
        <row r="56">
          <cell r="B56" t="str">
            <v>ST_Battery_Lion</v>
          </cell>
        </row>
        <row r="57">
          <cell r="B57" t="str">
            <v>ST_H2</v>
          </cell>
        </row>
        <row r="58">
          <cell r="B58" t="str">
            <v>ST_Heat_dec</v>
          </cell>
        </row>
        <row r="59">
          <cell r="B59" t="str">
            <v>ST_Heat_cen</v>
          </cell>
        </row>
        <row r="60">
          <cell r="B60" t="str">
            <v>ST_PSP</v>
          </cell>
        </row>
        <row r="61">
          <cell r="B61" t="str">
            <v>T_heat_low_heatpump</v>
          </cell>
        </row>
        <row r="62">
          <cell r="B62" t="str">
            <v>T_heat_low_elfur</v>
          </cell>
        </row>
        <row r="63">
          <cell r="B63" t="str">
            <v>T_heat_low_bio_chp</v>
          </cell>
        </row>
        <row r="64">
          <cell r="B64" t="str">
            <v>T_heat_low_bio</v>
          </cell>
        </row>
        <row r="65">
          <cell r="B65" t="str">
            <v>T_heat_low_solartherm</v>
          </cell>
        </row>
        <row r="66">
          <cell r="B66" t="str">
            <v>T_heat_low_res-gas</v>
          </cell>
        </row>
        <row r="67">
          <cell r="B67" t="str">
            <v>T_heat_low_res-gas_chp</v>
          </cell>
        </row>
        <row r="68">
          <cell r="B68" t="str">
            <v>T_heat_low_gas</v>
          </cell>
        </row>
        <row r="69">
          <cell r="B69" t="str">
            <v>T_heat_low_oil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"/>
      <sheetName val="Data"/>
      <sheetName val="Par_TWCNToMPTS"/>
      <sheetName val="Par_InputActivityRatio"/>
      <sheetName val="Par_OutputActivityRatio"/>
      <sheetName val="Par_FixedCost"/>
      <sheetName val="Par_CapitalCost"/>
      <sheetName val="Par_VariableCost"/>
      <sheetName val="Par_ResidualCapacity"/>
      <sheetName val="Par_AvailabilityFactor"/>
      <sheetName val="Par_CapacityFactor"/>
      <sheetName val="Par_EmissionActivityRatio"/>
      <sheetName val="Par_ReserveMarginTagTechnology"/>
      <sheetName val="Par_OperationalLife"/>
      <sheetName val="Par_TotalAnnualMaxCapacity"/>
      <sheetName val="Par_TotalAnnualMinCapacity"/>
    </sheetNames>
    <sheetDataSet>
      <sheetData sheetId="0"/>
      <sheetData sheetId="1">
        <row r="2">
          <cell r="B2" t="str">
            <v>Res_Wind_Offshore</v>
          </cell>
        </row>
        <row r="3">
          <cell r="B3" t="str">
            <v>Res_Wind_Onshore</v>
          </cell>
        </row>
        <row r="4">
          <cell r="B4" t="str">
            <v>Res_PV_residential</v>
          </cell>
        </row>
        <row r="5">
          <cell r="B5" t="str">
            <v>Res_PV_commercial</v>
          </cell>
        </row>
        <row r="6">
          <cell r="B6" t="str">
            <v>Res_PV_utility</v>
          </cell>
        </row>
        <row r="7">
          <cell r="B7" t="str">
            <v>Res_CSP_Storage</v>
          </cell>
        </row>
        <row r="8">
          <cell r="B8" t="str">
            <v>Res_CSP</v>
          </cell>
        </row>
        <row r="9">
          <cell r="B9" t="str">
            <v>Res_Thermal_Solar</v>
          </cell>
        </row>
        <row r="10">
          <cell r="B10" t="str">
            <v>Res_Thermal_Geo</v>
          </cell>
        </row>
        <row r="11">
          <cell r="B11" t="str">
            <v>Res_Hydro_Small</v>
          </cell>
        </row>
        <row r="12">
          <cell r="B12" t="str">
            <v>Res_Hydro_Large</v>
          </cell>
        </row>
        <row r="13">
          <cell r="B13" t="str">
            <v>Res_Wave</v>
          </cell>
        </row>
        <row r="14">
          <cell r="B14" t="str">
            <v>Res_Tidal</v>
          </cell>
        </row>
        <row r="15">
          <cell r="B15" t="str">
            <v>BIOFLREFINERY</v>
          </cell>
        </row>
        <row r="16">
          <cell r="B16" t="str">
            <v>BioFuels</v>
          </cell>
        </row>
        <row r="17">
          <cell r="B17" t="str">
            <v>ELYSER</v>
          </cell>
        </row>
        <row r="18">
          <cell r="B18" t="str">
            <v>H2TL</v>
          </cell>
        </row>
        <row r="19">
          <cell r="B19" t="str">
            <v>BIOFPLANT</v>
          </cell>
        </row>
        <row r="20">
          <cell r="B20" t="str">
            <v>HEATP</v>
          </cell>
        </row>
        <row r="21">
          <cell r="B21" t="str">
            <v>ELFUR</v>
          </cell>
        </row>
        <row r="22">
          <cell r="B22" t="str">
            <v>CHP</v>
          </cell>
        </row>
        <row r="23">
          <cell r="B23" t="str">
            <v>PSNG-ROAD-BEV</v>
          </cell>
        </row>
        <row r="24">
          <cell r="B24" t="str">
            <v>PSNG-ROAD-FCEV</v>
          </cell>
        </row>
        <row r="25">
          <cell r="B25" t="str">
            <v>PSNG-RAIL-ELC</v>
          </cell>
        </row>
        <row r="26">
          <cell r="B26" t="str">
            <v>PSNG-AIR-BIO</v>
          </cell>
        </row>
        <row r="27">
          <cell r="B27" t="str">
            <v>FRT-ROAD-H2</v>
          </cell>
        </row>
        <row r="28">
          <cell r="B28" t="str">
            <v>FRT-RAIL-ELC</v>
          </cell>
        </row>
        <row r="29">
          <cell r="B29" t="str">
            <v>FRT-SHIP-BIO</v>
          </cell>
        </row>
        <row r="30">
          <cell r="B30" t="str">
            <v>PV_area</v>
          </cell>
        </row>
        <row r="31">
          <cell r="B31" t="str">
            <v>available_roofs</v>
          </cell>
        </row>
        <row r="32">
          <cell r="B32" t="str">
            <v>Windon_area</v>
          </cell>
        </row>
        <row r="33">
          <cell r="B33" t="str">
            <v>Bio_area</v>
          </cell>
        </row>
        <row r="34">
          <cell r="B34" t="str">
            <v>river_area</v>
          </cell>
        </row>
        <row r="35">
          <cell r="B35" t="str">
            <v>Windoff_area</v>
          </cell>
        </row>
        <row r="36">
          <cell r="B36" t="str">
            <v>Geo_Area</v>
          </cell>
        </row>
        <row r="37">
          <cell r="B37" t="str">
            <v>_T_heat_big</v>
          </cell>
        </row>
        <row r="38">
          <cell r="B38" t="str">
            <v>_T_heat_small</v>
          </cell>
        </row>
        <row r="39">
          <cell r="B39" t="str">
            <v>_CAS</v>
          </cell>
        </row>
        <row r="40">
          <cell r="B40" t="str">
            <v>_H2</v>
          </cell>
        </row>
        <row r="41">
          <cell r="B41" t="str">
            <v>_PSP</v>
          </cell>
        </row>
        <row r="42">
          <cell r="B42" t="str">
            <v>_Lithium_Ion</v>
          </cell>
        </row>
        <row r="43">
          <cell r="B43" t="str">
            <v>PSNG_ROAD_BEV</v>
          </cell>
        </row>
        <row r="44">
          <cell r="B44" t="str">
            <v>PSNG_AIR_H2L</v>
          </cell>
        </row>
        <row r="45">
          <cell r="B45" t="str">
            <v>FRT_SHIP_BIO</v>
          </cell>
        </row>
        <row r="46">
          <cell r="B46" t="str">
            <v>PSNG_ROAD_ICE</v>
          </cell>
        </row>
        <row r="47">
          <cell r="B47" t="str">
            <v>PSNG_AIR_CONV</v>
          </cell>
        </row>
        <row r="48">
          <cell r="B48" t="str">
            <v>FRT_ROAD_CONV</v>
          </cell>
        </row>
        <row r="49">
          <cell r="B49" t="str">
            <v>FRT_SHIP_CONV</v>
          </cell>
        </row>
        <row r="50">
          <cell r="B50" t="str">
            <v>FUEL_CELL</v>
          </cell>
        </row>
        <row r="51">
          <cell r="B51" t="str">
            <v>PSNG_ROAD_FCEV</v>
          </cell>
        </row>
        <row r="52">
          <cell r="B52" t="str">
            <v>PSNG_RAIL_ELC</v>
          </cell>
        </row>
        <row r="53">
          <cell r="B53" t="str">
            <v>PSNG_RAIL_PETRO</v>
          </cell>
        </row>
        <row r="54">
          <cell r="B54" t="str">
            <v>FRT_ROAD_H2</v>
          </cell>
        </row>
        <row r="55">
          <cell r="B55" t="str">
            <v>FRT_RAIL_ELC</v>
          </cell>
        </row>
        <row r="56">
          <cell r="B56" t="str">
            <v>FRT_RAIL_PETRO</v>
          </cell>
        </row>
        <row r="57">
          <cell r="B57" t="str">
            <v>_CAS_CONV</v>
          </cell>
        </row>
        <row r="58">
          <cell r="B58" t="str">
            <v>Battery_Lion</v>
          </cell>
        </row>
        <row r="59">
          <cell r="B59" t="str">
            <v>REFINERY</v>
          </cell>
        </row>
        <row r="60">
          <cell r="B60" t="str">
            <v>gas_heating</v>
          </cell>
        </row>
        <row r="61">
          <cell r="B61" t="str">
            <v>oil_heating</v>
          </cell>
        </row>
        <row r="62">
          <cell r="B62" t="str">
            <v>coal_heating</v>
          </cell>
        </row>
        <row r="63">
          <cell r="B63" t="str">
            <v>bio_heating</v>
          </cell>
        </row>
        <row r="64">
          <cell r="B64" t="str">
            <v>chp_coal</v>
          </cell>
        </row>
        <row r="65">
          <cell r="B65" t="str">
            <v>chp_gas</v>
          </cell>
        </row>
        <row r="66">
          <cell r="B66" t="str">
            <v>chp_lignite</v>
          </cell>
        </row>
        <row r="67">
          <cell r="B67" t="str">
            <v>chp_fueloil</v>
          </cell>
        </row>
        <row r="68">
          <cell r="B68" t="str">
            <v>CHP_biom</v>
          </cell>
        </row>
        <row r="69">
          <cell r="B69" t="str">
            <v>Area_Wind_Offshore</v>
          </cell>
        </row>
        <row r="70">
          <cell r="B70" t="str">
            <v>Area_Wind_Onshore</v>
          </cell>
        </row>
        <row r="71">
          <cell r="B71" t="str">
            <v>Area_Solar_Roof</v>
          </cell>
        </row>
        <row r="72">
          <cell r="B72" t="str">
            <v>Area_PV_commercial</v>
          </cell>
        </row>
        <row r="73">
          <cell r="B73" t="str">
            <v>Area_PV_utility</v>
          </cell>
        </row>
        <row r="74">
          <cell r="B74" t="str">
            <v>Area_CSP_Storage</v>
          </cell>
        </row>
        <row r="75">
          <cell r="B75" t="str">
            <v>Area_CSP</v>
          </cell>
        </row>
        <row r="76">
          <cell r="B76" t="str">
            <v>Area_Solar_Roof</v>
          </cell>
        </row>
        <row r="77">
          <cell r="B77" t="str">
            <v>Area_Thermal_Geo</v>
          </cell>
        </row>
        <row r="78">
          <cell r="B78" t="str">
            <v>Area_Hydro_Small</v>
          </cell>
        </row>
        <row r="79">
          <cell r="B79" t="str">
            <v>Area_Hydro_Large</v>
          </cell>
        </row>
        <row r="80">
          <cell r="B80" t="str">
            <v>Area_Wave</v>
          </cell>
        </row>
        <row r="81">
          <cell r="B81" t="str">
            <v>Area_Tidal</v>
          </cell>
        </row>
        <row r="82">
          <cell r="B82" t="str">
            <v>Area_Biofuels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s"/>
      <sheetName val="Par_DaySplit"/>
      <sheetName val="Par_YearSplit"/>
      <sheetName val="Par_TagTechnologyToSector"/>
      <sheetName val="Par_CapacityToActivityUnit"/>
      <sheetName val="Par_Conversionls"/>
      <sheetName val="Par_Conversionld"/>
      <sheetName val="Par_Conversionlh"/>
      <sheetName val="Par_TradeRoute"/>
      <sheetName val="Par_TradeCosts"/>
      <sheetName val="Par_TradeCapacity"/>
      <sheetName val="Par_TradeCapacityGrowthCosts"/>
      <sheetName val="Par_GrowthRateTradeCapacity"/>
      <sheetName val="Par_AnnualExogenousEmission"/>
      <sheetName val="Par_AnnualEmissionLimit"/>
      <sheetName val="Par_AnnualSectoralEmissionLimit"/>
      <sheetName val="Par_RegionalAnnualEmissionLimit"/>
      <sheetName val="Par_EmissionActivityRatio"/>
      <sheetName val="Par_EmissionPenaltyTagTech"/>
      <sheetName val="Par_EmissionContentPerFuel"/>
      <sheetName val="Par_EmissionsPenalty"/>
      <sheetName val="Par_SpecifiedAnnualDemand"/>
      <sheetName val="Par_ReserveMargin"/>
      <sheetName val="Par_ReserveMarginTagFuel"/>
      <sheetName val="Par_ReserveMarginTagTechnology"/>
      <sheetName val="Par_InputActivityRatio"/>
      <sheetName val="Par_OutputActivityRatio"/>
      <sheetName val="Par_CapitalCost"/>
      <sheetName val="Par_VariableCost"/>
      <sheetName val="Par_FixedCost"/>
      <sheetName val="Par_ResidualCapacity"/>
      <sheetName val="Par_AvailabilityFactor"/>
      <sheetName val="Par_CapacityFactor"/>
      <sheetName val="Par_OperationalLife"/>
      <sheetName val="Par_TotalAnnualMinActivity"/>
      <sheetName val="Par_TotalAnnualMaxActivity"/>
      <sheetName val="Par_TotalAnnualMaxCapacity"/>
      <sheetName val="Par_ModelPeriodActivityMaxLimit"/>
      <sheetName val="Par_TotalAnnualMinCapacity"/>
      <sheetName val="Par_TagTechnologyToModalType"/>
      <sheetName val="Par_RegionalCCSLimit"/>
      <sheetName val="Par_RegionalBaseYearProduction"/>
      <sheetName val="Par_BaseYearProduction"/>
      <sheetName val="Par_ModalSplitByFuel"/>
      <sheetName val="Par_TechnologyToStorage"/>
      <sheetName val="Par_TechnologyFromStorage"/>
      <sheetName val="Par_StorageLevelStart"/>
      <sheetName val="Par_StorageMaxChargeRate"/>
      <sheetName val="Par_StorageMaxDischargeRate"/>
      <sheetName val="Par_MinStorageCharge"/>
      <sheetName val="Par_OperationalLifeStorage"/>
      <sheetName val="Par_CapitalCostStorage"/>
      <sheetName val="Par_ResidualStorageCapac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">
          <cell r="C6">
            <v>947</v>
          </cell>
          <cell r="D6">
            <v>947</v>
          </cell>
          <cell r="E6">
            <v>947</v>
          </cell>
          <cell r="F6">
            <v>947</v>
          </cell>
          <cell r="G6">
            <v>947</v>
          </cell>
          <cell r="H6">
            <v>852.3</v>
          </cell>
          <cell r="I6">
            <v>852.3</v>
          </cell>
          <cell r="J6">
            <v>852.3</v>
          </cell>
        </row>
        <row r="12">
          <cell r="C12">
            <v>771</v>
          </cell>
          <cell r="D12">
            <v>731</v>
          </cell>
          <cell r="E12">
            <v>706</v>
          </cell>
          <cell r="F12">
            <v>680</v>
          </cell>
          <cell r="G12">
            <v>653</v>
          </cell>
          <cell r="H12">
            <v>632</v>
          </cell>
          <cell r="I12">
            <v>609</v>
          </cell>
          <cell r="J12">
            <v>589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se/10.1016/j.solener.2017.09.030" TargetMode="External"/><Relationship Id="rId13" Type="http://schemas.openxmlformats.org/officeDocument/2006/relationships/hyperlink" Target="https://sci-hub.se/10.1016/j.solener.2017.09.030" TargetMode="External"/><Relationship Id="rId18" Type="http://schemas.openxmlformats.org/officeDocument/2006/relationships/hyperlink" Target="https://sci-hub.se/10.1016/j.solener.2017.09.030" TargetMode="External"/><Relationship Id="rId3" Type="http://schemas.openxmlformats.org/officeDocument/2006/relationships/hyperlink" Target="https://sci-hub.se/10.1016/j.solener.2017.09.030" TargetMode="External"/><Relationship Id="rId21" Type="http://schemas.openxmlformats.org/officeDocument/2006/relationships/printerSettings" Target="../printerSettings/printerSettings18.bin"/><Relationship Id="rId7" Type="http://schemas.openxmlformats.org/officeDocument/2006/relationships/hyperlink" Target="https://sci-hub.se/10.1016/j.solener.2017.09.030" TargetMode="External"/><Relationship Id="rId12" Type="http://schemas.openxmlformats.org/officeDocument/2006/relationships/hyperlink" Target="https://sci-hub.se/10.1016/j.solener.2017.09.030" TargetMode="External"/><Relationship Id="rId17" Type="http://schemas.openxmlformats.org/officeDocument/2006/relationships/hyperlink" Target="https://sci-hub.se/10.1016/j.solener.2017.09.030" TargetMode="External"/><Relationship Id="rId2" Type="http://schemas.openxmlformats.org/officeDocument/2006/relationships/hyperlink" Target="https://sci-hub.se/10.1016/j.solener.2017.09.030" TargetMode="External"/><Relationship Id="rId16" Type="http://schemas.openxmlformats.org/officeDocument/2006/relationships/hyperlink" Target="https://sci-hub.se/10.1016/j.solener.2017.09.030" TargetMode="External"/><Relationship Id="rId20" Type="http://schemas.openxmlformats.org/officeDocument/2006/relationships/hyperlink" Target="https://sci-hub.se/10.1016/j.solener.2017.09.030" TargetMode="External"/><Relationship Id="rId1" Type="http://schemas.openxmlformats.org/officeDocument/2006/relationships/hyperlink" Target="https://sci-hub.se/10.1016/j.solener.2017.09.030" TargetMode="External"/><Relationship Id="rId6" Type="http://schemas.openxmlformats.org/officeDocument/2006/relationships/hyperlink" Target="https://sci-hub.se/10.1016/j.solener.2017.09.030" TargetMode="External"/><Relationship Id="rId11" Type="http://schemas.openxmlformats.org/officeDocument/2006/relationships/hyperlink" Target="https://sci-hub.se/10.1016/j.solener.2017.09.030" TargetMode="External"/><Relationship Id="rId5" Type="http://schemas.openxmlformats.org/officeDocument/2006/relationships/hyperlink" Target="https://sci-hub.se/10.1016/j.solener.2017.09.030" TargetMode="External"/><Relationship Id="rId15" Type="http://schemas.openxmlformats.org/officeDocument/2006/relationships/hyperlink" Target="https://sci-hub.se/10.1016/j.solener.2017.09.030" TargetMode="External"/><Relationship Id="rId10" Type="http://schemas.openxmlformats.org/officeDocument/2006/relationships/hyperlink" Target="https://sci-hub.se/10.1016/j.solener.2017.09.030" TargetMode="External"/><Relationship Id="rId19" Type="http://schemas.openxmlformats.org/officeDocument/2006/relationships/hyperlink" Target="https://sci-hub.se/10.1016/j.solener.2017.09.030" TargetMode="External"/><Relationship Id="rId4" Type="http://schemas.openxmlformats.org/officeDocument/2006/relationships/hyperlink" Target="https://sci-hub.se/10.1016/j.solener.2017.09.030" TargetMode="External"/><Relationship Id="rId9" Type="http://schemas.openxmlformats.org/officeDocument/2006/relationships/hyperlink" Target="https://sci-hub.se/10.1016/j.solener.2017.09.030" TargetMode="External"/><Relationship Id="rId14" Type="http://schemas.openxmlformats.org/officeDocument/2006/relationships/hyperlink" Target="https://sci-hub.se/10.1016/j.solener.2017.09.030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/>
  <dimension ref="A1:P145"/>
  <sheetViews>
    <sheetView workbookViewId="0">
      <selection activeCell="B27" sqref="B27"/>
    </sheetView>
  </sheetViews>
  <sheetFormatPr defaultColWidth="9.140625" defaultRowHeight="15"/>
  <cols>
    <col min="1" max="1" width="18.5703125" customWidth="1"/>
    <col min="2" max="2" width="28.42578125" style="10" bestFit="1" customWidth="1"/>
    <col min="3" max="3" width="25.140625" bestFit="1" customWidth="1"/>
    <col min="6" max="6" width="19.5703125" bestFit="1" customWidth="1"/>
    <col min="7" max="7" width="15" bestFit="1" customWidth="1"/>
    <col min="10" max="10" width="15" customWidth="1"/>
    <col min="11" max="11" width="16.140625" bestFit="1" customWidth="1"/>
    <col min="12" max="13" width="22.42578125" bestFit="1" customWidth="1"/>
  </cols>
  <sheetData>
    <row r="1" spans="1:16">
      <c r="A1" s="2" t="s">
        <v>25</v>
      </c>
      <c r="B1" s="57" t="s">
        <v>26</v>
      </c>
      <c r="C1" s="23" t="s">
        <v>21</v>
      </c>
      <c r="D1" s="23" t="s">
        <v>27</v>
      </c>
      <c r="E1" s="23" t="s">
        <v>28</v>
      </c>
      <c r="F1" s="23" t="s">
        <v>29</v>
      </c>
      <c r="G1" s="23" t="s">
        <v>20</v>
      </c>
      <c r="H1" s="23" t="s">
        <v>30</v>
      </c>
      <c r="I1" s="23" t="s">
        <v>31</v>
      </c>
      <c r="J1" s="23" t="s">
        <v>32</v>
      </c>
      <c r="K1" s="23" t="s">
        <v>33</v>
      </c>
      <c r="L1" s="23" t="s">
        <v>57</v>
      </c>
      <c r="M1" s="23" t="s">
        <v>205</v>
      </c>
      <c r="N1" s="23" t="s">
        <v>353</v>
      </c>
      <c r="O1" s="46"/>
      <c r="P1" s="46"/>
    </row>
    <row r="2" spans="1:16">
      <c r="A2" t="s">
        <v>0</v>
      </c>
      <c r="B2" s="62" t="s">
        <v>270</v>
      </c>
      <c r="C2" s="46" t="s">
        <v>174</v>
      </c>
      <c r="D2" s="46">
        <v>2018</v>
      </c>
      <c r="E2" s="46" t="s">
        <v>70</v>
      </c>
      <c r="F2" s="46">
        <v>1</v>
      </c>
      <c r="G2" s="46" t="s">
        <v>278</v>
      </c>
      <c r="H2" s="46">
        <v>1</v>
      </c>
      <c r="I2" s="46">
        <v>1</v>
      </c>
      <c r="J2" s="46">
        <v>1</v>
      </c>
      <c r="K2" s="46" t="s">
        <v>147</v>
      </c>
      <c r="L2" s="46" t="s">
        <v>37</v>
      </c>
      <c r="M2" s="46" t="s">
        <v>112</v>
      </c>
      <c r="N2" s="46" t="s">
        <v>24</v>
      </c>
      <c r="O2" s="46"/>
      <c r="P2" s="46"/>
    </row>
    <row r="3" spans="1:16">
      <c r="B3" s="10" t="s">
        <v>175</v>
      </c>
      <c r="C3" s="46" t="s">
        <v>173</v>
      </c>
      <c r="D3" s="46">
        <v>2025</v>
      </c>
      <c r="E3" s="46" t="s">
        <v>71</v>
      </c>
      <c r="F3" s="46">
        <v>2</v>
      </c>
      <c r="G3" s="46" t="s">
        <v>280</v>
      </c>
      <c r="H3" s="46">
        <v>2</v>
      </c>
      <c r="I3" s="46"/>
      <c r="J3" s="46">
        <v>2</v>
      </c>
      <c r="K3" s="46" t="s">
        <v>154</v>
      </c>
      <c r="L3" s="46" t="s">
        <v>38</v>
      </c>
      <c r="M3" s="46" t="s">
        <v>113</v>
      </c>
      <c r="N3" s="46" t="s">
        <v>313</v>
      </c>
      <c r="O3" s="46"/>
      <c r="P3" s="46"/>
    </row>
    <row r="4" spans="1:16">
      <c r="B4" s="10" t="s">
        <v>176</v>
      </c>
      <c r="C4" s="46" t="s">
        <v>146</v>
      </c>
      <c r="D4" s="46">
        <v>2030</v>
      </c>
      <c r="E4" s="46" t="s">
        <v>68</v>
      </c>
      <c r="F4" s="46">
        <v>3</v>
      </c>
      <c r="G4" s="46" t="s">
        <v>281</v>
      </c>
      <c r="H4" s="46">
        <v>3</v>
      </c>
      <c r="I4" s="46"/>
      <c r="J4" s="46">
        <v>3</v>
      </c>
      <c r="K4" s="46" t="s">
        <v>148</v>
      </c>
      <c r="L4" s="46" t="s">
        <v>39</v>
      </c>
      <c r="M4" s="46" t="s">
        <v>114</v>
      </c>
      <c r="N4" s="46" t="s">
        <v>348</v>
      </c>
      <c r="O4" s="46"/>
      <c r="P4" s="46"/>
    </row>
    <row r="5" spans="1:16">
      <c r="B5" s="10" t="s">
        <v>475</v>
      </c>
      <c r="C5" s="46" t="s">
        <v>156</v>
      </c>
      <c r="D5" s="46">
        <v>2035</v>
      </c>
      <c r="E5" s="46" t="s">
        <v>69</v>
      </c>
      <c r="F5" s="46">
        <v>4</v>
      </c>
      <c r="G5" s="46" t="s">
        <v>282</v>
      </c>
      <c r="H5" s="46">
        <v>4</v>
      </c>
      <c r="I5" s="46"/>
      <c r="J5" s="46">
        <v>4</v>
      </c>
      <c r="K5" s="46" t="s">
        <v>149</v>
      </c>
      <c r="L5" s="46" t="s">
        <v>43</v>
      </c>
      <c r="M5" s="46" t="s">
        <v>115</v>
      </c>
      <c r="N5" s="46" t="s">
        <v>349</v>
      </c>
      <c r="O5" s="46"/>
      <c r="P5" s="46"/>
    </row>
    <row r="6" spans="1:16">
      <c r="B6" s="10" t="s">
        <v>476</v>
      </c>
      <c r="C6" s="46" t="s">
        <v>145</v>
      </c>
      <c r="D6" s="46">
        <v>2040</v>
      </c>
      <c r="E6" s="46" t="s">
        <v>73</v>
      </c>
      <c r="F6" s="46"/>
      <c r="G6" s="46" t="s">
        <v>283</v>
      </c>
      <c r="H6" s="46"/>
      <c r="I6" s="46"/>
      <c r="J6" s="46"/>
      <c r="K6" s="46" t="s">
        <v>253</v>
      </c>
      <c r="L6" s="46" t="s">
        <v>44</v>
      </c>
      <c r="M6" s="46" t="s">
        <v>116</v>
      </c>
      <c r="N6" s="46" t="s">
        <v>350</v>
      </c>
      <c r="O6" s="46"/>
      <c r="P6" s="46"/>
    </row>
    <row r="7" spans="1:16">
      <c r="B7" s="10" t="s">
        <v>108</v>
      </c>
      <c r="C7" s="46" t="s">
        <v>202</v>
      </c>
      <c r="D7" s="46">
        <v>2045</v>
      </c>
      <c r="E7" s="46" t="s">
        <v>74</v>
      </c>
      <c r="F7" s="46"/>
      <c r="G7" s="46" t="s">
        <v>284</v>
      </c>
      <c r="H7" s="46"/>
      <c r="I7" s="46"/>
      <c r="J7" s="46"/>
      <c r="K7" s="46" t="s">
        <v>251</v>
      </c>
      <c r="L7" s="46" t="s">
        <v>45</v>
      </c>
      <c r="M7" s="46" t="s">
        <v>117</v>
      </c>
      <c r="N7" s="46" t="s">
        <v>351</v>
      </c>
      <c r="O7" s="46"/>
      <c r="P7" s="46"/>
    </row>
    <row r="8" spans="1:16">
      <c r="B8" s="10" t="s">
        <v>477</v>
      </c>
      <c r="C8" s="46" t="s">
        <v>144</v>
      </c>
      <c r="D8" s="46">
        <v>2050</v>
      </c>
      <c r="E8" s="46" t="s">
        <v>75</v>
      </c>
      <c r="F8" s="46"/>
      <c r="G8" s="46" t="s">
        <v>285</v>
      </c>
      <c r="H8" s="46"/>
      <c r="I8" s="46"/>
      <c r="J8" s="46"/>
      <c r="K8" s="46" t="s">
        <v>197</v>
      </c>
      <c r="L8" s="46" t="s">
        <v>49</v>
      </c>
      <c r="M8" s="46" t="s">
        <v>161</v>
      </c>
      <c r="N8" s="46" t="s">
        <v>352</v>
      </c>
      <c r="O8" s="46"/>
      <c r="P8" s="46"/>
    </row>
    <row r="9" spans="1:16">
      <c r="B9" s="10" t="s">
        <v>109</v>
      </c>
      <c r="C9" s="46" t="s">
        <v>143</v>
      </c>
      <c r="E9" s="46" t="s">
        <v>72</v>
      </c>
      <c r="F9" s="46"/>
      <c r="G9" s="46" t="s">
        <v>308</v>
      </c>
      <c r="H9" s="46"/>
      <c r="I9" s="46"/>
      <c r="J9" s="46"/>
      <c r="K9" s="46" t="s">
        <v>155</v>
      </c>
      <c r="L9" s="46" t="s">
        <v>50</v>
      </c>
      <c r="M9" s="46" t="s">
        <v>195</v>
      </c>
      <c r="N9" s="10" t="s">
        <v>474</v>
      </c>
      <c r="O9" s="46"/>
      <c r="P9" s="46"/>
    </row>
    <row r="10" spans="1:16">
      <c r="B10" s="10" t="s">
        <v>478</v>
      </c>
      <c r="C10" s="46" t="s">
        <v>24</v>
      </c>
      <c r="D10" s="46"/>
      <c r="E10" s="46" t="s">
        <v>77</v>
      </c>
      <c r="F10" s="46"/>
      <c r="G10" s="46" t="s">
        <v>286</v>
      </c>
      <c r="H10" s="46"/>
      <c r="I10" s="46"/>
      <c r="J10" s="46"/>
      <c r="K10" s="46"/>
      <c r="L10" s="46" t="s">
        <v>51</v>
      </c>
      <c r="M10" s="46" t="s">
        <v>118</v>
      </c>
      <c r="N10" s="46"/>
      <c r="O10" s="46"/>
      <c r="P10" s="46"/>
    </row>
    <row r="11" spans="1:16">
      <c r="B11" s="10" t="s">
        <v>479</v>
      </c>
      <c r="C11" s="46" t="s">
        <v>150</v>
      </c>
      <c r="D11" s="46"/>
      <c r="E11" s="46" t="s">
        <v>78</v>
      </c>
      <c r="F11" s="46"/>
      <c r="G11" s="46" t="s">
        <v>287</v>
      </c>
      <c r="H11" s="46"/>
      <c r="I11" s="46"/>
      <c r="J11" s="46"/>
      <c r="K11" s="46"/>
      <c r="L11" s="46" t="s">
        <v>40</v>
      </c>
      <c r="M11" s="46" t="s">
        <v>119</v>
      </c>
      <c r="N11" s="46"/>
      <c r="O11" s="46"/>
      <c r="P11" s="46"/>
    </row>
    <row r="12" spans="1:16">
      <c r="B12" s="10" t="s">
        <v>480</v>
      </c>
      <c r="C12" s="46" t="s">
        <v>151</v>
      </c>
      <c r="D12" s="46"/>
      <c r="E12" s="46" t="s">
        <v>79</v>
      </c>
      <c r="F12" s="46"/>
      <c r="G12" s="46" t="s">
        <v>288</v>
      </c>
      <c r="H12" s="46"/>
      <c r="I12" s="46"/>
      <c r="J12" s="46"/>
      <c r="K12" s="46"/>
      <c r="L12" s="46" t="s">
        <v>41</v>
      </c>
      <c r="M12" s="46" t="s">
        <v>120</v>
      </c>
      <c r="N12" s="46"/>
      <c r="O12" s="46"/>
      <c r="P12" s="46"/>
    </row>
    <row r="13" spans="1:16">
      <c r="B13" s="10" t="s">
        <v>481</v>
      </c>
      <c r="C13" s="46" t="s">
        <v>157</v>
      </c>
      <c r="D13" s="46"/>
      <c r="E13" s="46" t="s">
        <v>76</v>
      </c>
      <c r="F13" s="46"/>
      <c r="G13" s="46" t="s">
        <v>289</v>
      </c>
      <c r="H13" s="46"/>
      <c r="I13" s="46"/>
      <c r="J13" s="46"/>
      <c r="K13" s="46"/>
      <c r="L13" s="46" t="s">
        <v>46</v>
      </c>
      <c r="M13" s="46" t="s">
        <v>121</v>
      </c>
      <c r="N13" s="46"/>
      <c r="O13" s="46"/>
      <c r="P13" s="46"/>
    </row>
    <row r="14" spans="1:16">
      <c r="B14" s="10" t="s">
        <v>482</v>
      </c>
      <c r="C14" s="46" t="s">
        <v>203</v>
      </c>
      <c r="D14" s="46"/>
      <c r="E14" s="46" t="s">
        <v>81</v>
      </c>
      <c r="F14" s="46"/>
      <c r="G14" s="46" t="s">
        <v>290</v>
      </c>
      <c r="H14" s="46"/>
      <c r="I14" s="46"/>
      <c r="J14" s="46"/>
      <c r="K14" s="46"/>
      <c r="L14" s="46" t="s">
        <v>52</v>
      </c>
      <c r="M14" s="46" t="s">
        <v>122</v>
      </c>
      <c r="N14" s="46"/>
      <c r="O14" s="46"/>
      <c r="P14" s="46"/>
    </row>
    <row r="15" spans="1:16">
      <c r="B15" s="10" t="s">
        <v>483</v>
      </c>
      <c r="C15" s="46" t="s">
        <v>204</v>
      </c>
      <c r="D15" s="46"/>
      <c r="E15" s="46" t="s">
        <v>82</v>
      </c>
      <c r="F15" s="46"/>
      <c r="G15" s="46" t="s">
        <v>291</v>
      </c>
      <c r="H15" s="46"/>
      <c r="I15" s="46"/>
      <c r="J15" s="46"/>
      <c r="K15" s="46"/>
      <c r="L15" s="46" t="s">
        <v>47</v>
      </c>
      <c r="M15" s="46" t="s">
        <v>123</v>
      </c>
      <c r="N15" s="46"/>
      <c r="O15" s="46"/>
      <c r="P15" s="46"/>
    </row>
    <row r="16" spans="1:16">
      <c r="B16" s="10" t="s">
        <v>484</v>
      </c>
      <c r="C16" s="46" t="s">
        <v>276</v>
      </c>
      <c r="D16" s="46"/>
      <c r="E16" s="46" t="s">
        <v>83</v>
      </c>
      <c r="F16" s="46"/>
      <c r="G16" s="46" t="s">
        <v>292</v>
      </c>
      <c r="H16" s="46"/>
      <c r="I16" s="46"/>
      <c r="J16" s="46"/>
      <c r="K16" s="46"/>
      <c r="L16" s="46" t="s">
        <v>53</v>
      </c>
      <c r="M16" s="46" t="s">
        <v>124</v>
      </c>
      <c r="N16" s="46"/>
      <c r="O16" s="46"/>
      <c r="P16" s="46"/>
    </row>
    <row r="17" spans="2:16">
      <c r="B17" s="10" t="s">
        <v>485</v>
      </c>
      <c r="C17" s="46" t="s">
        <v>212</v>
      </c>
      <c r="D17" s="46"/>
      <c r="E17" s="46" t="s">
        <v>80</v>
      </c>
      <c r="F17" s="46"/>
      <c r="G17" s="46" t="s">
        <v>293</v>
      </c>
      <c r="H17" s="46"/>
      <c r="I17" s="46"/>
      <c r="J17" s="46"/>
      <c r="K17" s="46"/>
      <c r="L17" s="46" t="s">
        <v>42</v>
      </c>
      <c r="M17" s="46" t="s">
        <v>160</v>
      </c>
      <c r="N17" s="46"/>
      <c r="O17" s="46"/>
      <c r="P17" s="46"/>
    </row>
    <row r="18" spans="2:16">
      <c r="B18" s="10" t="s">
        <v>140</v>
      </c>
      <c r="C18" s="46" t="s">
        <v>213</v>
      </c>
      <c r="D18" s="46"/>
      <c r="E18" s="46"/>
      <c r="F18" s="46"/>
      <c r="G18" s="46" t="s">
        <v>309</v>
      </c>
      <c r="H18" s="46"/>
      <c r="I18" s="46"/>
      <c r="J18" s="46"/>
      <c r="K18" s="46"/>
      <c r="L18" s="46" t="s">
        <v>54</v>
      </c>
      <c r="M18" s="46" t="s">
        <v>179</v>
      </c>
      <c r="N18" s="46"/>
      <c r="O18" s="46"/>
      <c r="P18" s="46"/>
    </row>
    <row r="19" spans="2:16">
      <c r="B19" s="10" t="s">
        <v>141</v>
      </c>
      <c r="C19" s="46" t="s">
        <v>214</v>
      </c>
      <c r="D19" s="46"/>
      <c r="E19" s="46"/>
      <c r="F19" s="46"/>
      <c r="G19" s="46" t="s">
        <v>294</v>
      </c>
      <c r="H19" s="46"/>
      <c r="I19" s="46"/>
      <c r="J19" s="46"/>
      <c r="K19" s="46"/>
      <c r="L19" s="46" t="s">
        <v>48</v>
      </c>
      <c r="M19" s="46" t="s">
        <v>180</v>
      </c>
      <c r="N19" s="46"/>
      <c r="O19" s="46"/>
      <c r="P19" s="46"/>
    </row>
    <row r="20" spans="2:16">
      <c r="B20" s="10" t="s">
        <v>196</v>
      </c>
      <c r="C20" s="46" t="s">
        <v>275</v>
      </c>
      <c r="D20" s="46"/>
      <c r="E20" s="46"/>
      <c r="F20" s="46"/>
      <c r="G20" s="46" t="s">
        <v>310</v>
      </c>
      <c r="H20" s="46"/>
      <c r="I20" s="46"/>
      <c r="J20" s="46"/>
      <c r="K20" s="46"/>
      <c r="L20" s="46"/>
      <c r="M20" s="46" t="s">
        <v>111</v>
      </c>
      <c r="N20" s="46"/>
      <c r="O20" s="46"/>
      <c r="P20" s="46"/>
    </row>
    <row r="21" spans="2:16">
      <c r="B21" s="10" t="s">
        <v>152</v>
      </c>
      <c r="C21" s="17" t="s">
        <v>328</v>
      </c>
      <c r="D21" s="46"/>
      <c r="E21" s="46"/>
      <c r="F21" s="46"/>
      <c r="G21" s="46" t="s">
        <v>297</v>
      </c>
      <c r="H21" s="46"/>
      <c r="I21" s="46"/>
      <c r="J21" s="46"/>
      <c r="K21" s="46"/>
      <c r="L21" s="46"/>
      <c r="M21" s="46" t="s">
        <v>159</v>
      </c>
      <c r="N21" s="46"/>
      <c r="O21" s="46"/>
      <c r="P21" s="46"/>
    </row>
    <row r="22" spans="2:16">
      <c r="B22" s="10" t="s">
        <v>153</v>
      </c>
      <c r="C22" s="17" t="s">
        <v>341</v>
      </c>
      <c r="D22" s="46"/>
      <c r="E22" s="46"/>
      <c r="F22" s="46"/>
      <c r="G22" s="46" t="s">
        <v>298</v>
      </c>
      <c r="H22" s="46"/>
      <c r="I22" s="46"/>
      <c r="J22" s="46"/>
      <c r="K22" s="46"/>
      <c r="L22" s="46"/>
      <c r="M22" s="46" t="s">
        <v>108</v>
      </c>
      <c r="N22" s="46"/>
      <c r="O22" s="46"/>
      <c r="P22" s="46"/>
    </row>
    <row r="23" spans="2:16">
      <c r="B23" s="10" t="s">
        <v>250</v>
      </c>
      <c r="C23" s="17" t="s">
        <v>342</v>
      </c>
      <c r="D23" s="46"/>
      <c r="E23" s="46"/>
      <c r="F23" s="46"/>
      <c r="G23" s="46" t="s">
        <v>299</v>
      </c>
      <c r="H23" s="46"/>
      <c r="I23" s="46"/>
      <c r="J23" s="46"/>
      <c r="K23" s="46"/>
      <c r="L23" s="46"/>
      <c r="M23" s="46" t="s">
        <v>109</v>
      </c>
      <c r="N23" s="46"/>
      <c r="O23" s="46"/>
      <c r="P23" s="46"/>
    </row>
    <row r="24" spans="2:16">
      <c r="B24" s="10" t="s">
        <v>252</v>
      </c>
      <c r="C24" s="17" t="s">
        <v>344</v>
      </c>
      <c r="D24" s="46"/>
      <c r="E24" s="46"/>
      <c r="F24" s="46"/>
      <c r="G24" s="46" t="s">
        <v>300</v>
      </c>
      <c r="H24" s="46"/>
      <c r="I24" s="46"/>
      <c r="J24" s="46"/>
      <c r="K24" s="46"/>
      <c r="L24" s="46"/>
      <c r="M24" s="46" t="s">
        <v>110</v>
      </c>
      <c r="N24" s="46"/>
      <c r="O24" s="46"/>
      <c r="P24" s="46"/>
    </row>
    <row r="25" spans="2:16">
      <c r="B25" s="10" t="s">
        <v>139</v>
      </c>
      <c r="C25" s="17" t="s">
        <v>343</v>
      </c>
      <c r="D25" s="46"/>
      <c r="E25" s="46"/>
      <c r="F25" s="46"/>
      <c r="G25" s="46" t="s">
        <v>301</v>
      </c>
      <c r="H25" s="46"/>
      <c r="I25" s="46"/>
      <c r="J25" s="46"/>
      <c r="K25" s="46"/>
      <c r="L25" s="46"/>
      <c r="M25" s="46"/>
      <c r="N25" s="46"/>
      <c r="O25" s="46"/>
      <c r="P25" s="46"/>
    </row>
    <row r="26" spans="2:16">
      <c r="B26" s="10" t="s">
        <v>142</v>
      </c>
      <c r="C26" s="46" t="s">
        <v>271</v>
      </c>
      <c r="D26" s="46"/>
      <c r="E26" s="46"/>
      <c r="F26" s="46"/>
      <c r="G26" s="46" t="s">
        <v>303</v>
      </c>
      <c r="H26" s="46"/>
      <c r="I26" s="46"/>
      <c r="J26" s="46"/>
      <c r="K26" s="46"/>
      <c r="L26" s="46"/>
      <c r="M26" s="46"/>
      <c r="N26" s="46"/>
      <c r="O26" s="46"/>
      <c r="P26" s="46"/>
    </row>
    <row r="27" spans="2:16">
      <c r="B27" s="62" t="s">
        <v>134</v>
      </c>
      <c r="C27" s="46" t="s">
        <v>328</v>
      </c>
      <c r="D27" s="46"/>
      <c r="E27" s="46"/>
      <c r="F27" s="46"/>
      <c r="G27" s="46" t="s">
        <v>304</v>
      </c>
      <c r="H27" s="46"/>
      <c r="I27" s="46"/>
      <c r="J27" s="46"/>
      <c r="K27" s="46"/>
      <c r="L27" s="46"/>
      <c r="M27" s="46"/>
      <c r="N27" s="46"/>
      <c r="O27" s="46"/>
      <c r="P27" s="46"/>
    </row>
    <row r="28" spans="2:16">
      <c r="B28" s="62" t="s">
        <v>135</v>
      </c>
      <c r="C28" s="17" t="s">
        <v>362</v>
      </c>
      <c r="D28" s="46"/>
      <c r="E28" s="46"/>
      <c r="F28" s="46"/>
      <c r="G28" s="46" t="s">
        <v>305</v>
      </c>
      <c r="H28" s="46"/>
      <c r="I28" s="46"/>
      <c r="J28" s="46"/>
      <c r="K28" s="46"/>
      <c r="L28" s="46"/>
      <c r="M28" s="46"/>
      <c r="N28" s="46"/>
      <c r="O28" s="46"/>
      <c r="P28" s="46"/>
    </row>
    <row r="29" spans="2:16">
      <c r="B29" s="62" t="s">
        <v>129</v>
      </c>
      <c r="C29" s="46" t="s">
        <v>368</v>
      </c>
      <c r="D29" s="46"/>
      <c r="E29" s="46"/>
      <c r="F29" s="46"/>
      <c r="G29" s="46" t="s">
        <v>356</v>
      </c>
      <c r="H29" s="46"/>
      <c r="I29" s="46"/>
      <c r="J29" s="46"/>
      <c r="K29" s="46"/>
      <c r="L29" s="46"/>
      <c r="M29" s="46"/>
      <c r="N29" s="46"/>
      <c r="O29" s="46"/>
      <c r="P29" s="46"/>
    </row>
    <row r="30" spans="2:16">
      <c r="B30" s="62" t="s">
        <v>61</v>
      </c>
      <c r="C30" s="46" t="s">
        <v>369</v>
      </c>
      <c r="D30" s="46"/>
      <c r="E30" s="46"/>
      <c r="F30" s="46"/>
      <c r="G30" s="46" t="s">
        <v>307</v>
      </c>
      <c r="H30" s="46"/>
      <c r="I30" s="46"/>
      <c r="J30" s="46"/>
      <c r="K30" s="46"/>
      <c r="L30" s="46"/>
      <c r="M30" s="46"/>
      <c r="N30" s="46"/>
      <c r="O30" s="46"/>
      <c r="P30" s="46"/>
    </row>
    <row r="31" spans="2:16">
      <c r="B31" s="62" t="s">
        <v>130</v>
      </c>
      <c r="C31" s="10" t="s">
        <v>473</v>
      </c>
      <c r="D31" s="46"/>
      <c r="E31" s="46"/>
      <c r="F31" s="46"/>
      <c r="G31" s="46" t="s">
        <v>357</v>
      </c>
      <c r="H31" s="46"/>
      <c r="I31" s="46"/>
      <c r="J31" s="46"/>
      <c r="K31" s="46"/>
      <c r="L31" s="46"/>
      <c r="M31" s="46"/>
      <c r="N31" s="46"/>
      <c r="O31" s="46"/>
      <c r="P31" s="46"/>
    </row>
    <row r="32" spans="2:16">
      <c r="B32" s="62" t="s">
        <v>345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</row>
    <row r="33" spans="2:16">
      <c r="B33" s="62" t="s">
        <v>181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</row>
    <row r="34" spans="2:16">
      <c r="B34" s="62" t="s">
        <v>131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</row>
    <row r="35" spans="2:16">
      <c r="B35" s="62" t="s">
        <v>60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</row>
    <row r="36" spans="2:16">
      <c r="B36" s="62" t="s">
        <v>59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</row>
    <row r="37" spans="2:16">
      <c r="B37" s="62" t="s">
        <v>346</v>
      </c>
      <c r="C37" s="10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</row>
    <row r="38" spans="2:16">
      <c r="B38" s="10" t="s">
        <v>486</v>
      </c>
      <c r="C38" s="10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</row>
    <row r="39" spans="2:16">
      <c r="B39" s="10" t="s">
        <v>487</v>
      </c>
      <c r="C39" s="10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</row>
    <row r="40" spans="2:16">
      <c r="B40" s="10" t="s">
        <v>243</v>
      </c>
      <c r="C40" s="10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</row>
    <row r="41" spans="2:16">
      <c r="B41" s="10" t="s">
        <v>254</v>
      </c>
      <c r="C41" s="10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</row>
    <row r="42" spans="2:16">
      <c r="B42" s="10" t="s">
        <v>248</v>
      </c>
      <c r="C42" s="10"/>
      <c r="D42" s="46"/>
      <c r="E42" s="46"/>
      <c r="F42" s="46"/>
      <c r="G42" s="17"/>
      <c r="H42" s="46"/>
      <c r="I42" s="46"/>
      <c r="J42" s="46"/>
      <c r="K42" s="46"/>
      <c r="L42" s="46"/>
      <c r="M42" s="46"/>
      <c r="N42" s="46"/>
      <c r="O42" s="46"/>
      <c r="P42" s="46"/>
    </row>
    <row r="43" spans="2:16">
      <c r="B43" s="10" t="s">
        <v>244</v>
      </c>
      <c r="C43" s="10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</row>
    <row r="44" spans="2:16">
      <c r="B44" s="10" t="s">
        <v>255</v>
      </c>
      <c r="C44" s="10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</row>
    <row r="45" spans="2:16">
      <c r="B45" s="10" t="s">
        <v>246</v>
      </c>
      <c r="C45" s="10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</row>
    <row r="46" spans="2:16">
      <c r="B46" s="10" t="s">
        <v>247</v>
      </c>
      <c r="C46" s="10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</row>
    <row r="47" spans="2:16">
      <c r="B47" s="10" t="s">
        <v>245</v>
      </c>
      <c r="C47" s="10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</row>
    <row r="48" spans="2:16">
      <c r="B48" s="10" t="s">
        <v>217</v>
      </c>
      <c r="C48" s="10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</row>
    <row r="49" spans="2:16">
      <c r="B49" s="10" t="s">
        <v>237</v>
      </c>
      <c r="C49" s="10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</row>
    <row r="50" spans="2:16">
      <c r="B50" s="10" t="s">
        <v>239</v>
      </c>
      <c r="C50" s="10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</row>
    <row r="51" spans="2:16">
      <c r="B51" s="10" t="s">
        <v>226</v>
      </c>
      <c r="C51" s="10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</row>
    <row r="52" spans="2:16">
      <c r="B52" s="10" t="s">
        <v>222</v>
      </c>
      <c r="C52" s="10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</row>
    <row r="53" spans="2:16">
      <c r="B53" s="10" t="s">
        <v>273</v>
      </c>
      <c r="C53" s="10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</row>
    <row r="54" spans="2:16">
      <c r="B54" s="10" t="s">
        <v>219</v>
      </c>
      <c r="C54" s="10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</row>
    <row r="55" spans="2:16">
      <c r="B55" s="10" t="s">
        <v>220</v>
      </c>
      <c r="C55" s="10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</row>
    <row r="56" spans="2:16">
      <c r="B56" s="10" t="s">
        <v>227</v>
      </c>
      <c r="C56" s="10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</row>
    <row r="57" spans="2:16">
      <c r="B57" s="10" t="s">
        <v>238</v>
      </c>
      <c r="C57" s="10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</row>
    <row r="58" spans="2:16">
      <c r="B58" s="10" t="s">
        <v>206</v>
      </c>
      <c r="C58" s="10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</row>
    <row r="59" spans="2:16">
      <c r="B59" s="10" t="s">
        <v>233</v>
      </c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</row>
    <row r="60" spans="2:16">
      <c r="B60" s="10" t="s">
        <v>224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spans="2:16">
      <c r="B61" s="10" t="s">
        <v>215</v>
      </c>
      <c r="C61" s="46"/>
      <c r="D61" s="46"/>
      <c r="E61" s="46"/>
      <c r="F61" s="46"/>
      <c r="G61" s="46"/>
      <c r="H61" s="17"/>
      <c r="I61" s="46"/>
      <c r="J61" s="46"/>
      <c r="K61" s="46"/>
      <c r="L61" s="46"/>
      <c r="M61" s="46"/>
      <c r="N61" s="46"/>
      <c r="O61" s="46"/>
      <c r="P61" s="46"/>
    </row>
    <row r="62" spans="2:16">
      <c r="B62" s="10" t="s">
        <v>272</v>
      </c>
      <c r="C62" s="46"/>
      <c r="D62" s="46"/>
      <c r="E62" s="46"/>
      <c r="F62" s="46"/>
      <c r="G62" s="46"/>
      <c r="H62" s="17"/>
      <c r="I62" s="46"/>
      <c r="J62" s="46"/>
      <c r="K62" s="46"/>
      <c r="L62" s="46"/>
      <c r="M62" s="46"/>
      <c r="N62" s="46"/>
      <c r="O62" s="46"/>
      <c r="P62" s="46"/>
    </row>
    <row r="63" spans="2:16">
      <c r="B63" s="10" t="s">
        <v>207</v>
      </c>
      <c r="C63" s="46"/>
      <c r="D63" s="46"/>
      <c r="E63" s="46"/>
      <c r="F63" s="46"/>
      <c r="G63" s="46"/>
      <c r="H63" s="17"/>
      <c r="I63" s="46"/>
      <c r="J63" s="46"/>
      <c r="K63" s="46"/>
      <c r="L63" s="46"/>
      <c r="M63" s="46"/>
      <c r="N63" s="46"/>
      <c r="O63" s="46"/>
      <c r="P63" s="46"/>
    </row>
    <row r="64" spans="2:16">
      <c r="B64" s="10" t="s">
        <v>235</v>
      </c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</row>
    <row r="65" spans="2:16">
      <c r="B65" s="10" t="s">
        <v>236</v>
      </c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</row>
    <row r="66" spans="2:16">
      <c r="B66" s="10" t="s">
        <v>208</v>
      </c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</row>
    <row r="67" spans="2:16">
      <c r="B67" s="10" t="s">
        <v>225</v>
      </c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</row>
    <row r="68" spans="2:16">
      <c r="B68" s="10" t="s">
        <v>234</v>
      </c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</row>
    <row r="69" spans="2:16" s="10" customFormat="1">
      <c r="B69" s="10" t="s">
        <v>228</v>
      </c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</row>
    <row r="70" spans="2:16">
      <c r="B70" s="10" t="s">
        <v>241</v>
      </c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</row>
    <row r="71" spans="2:16">
      <c r="B71" s="10" t="s">
        <v>230</v>
      </c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</row>
    <row r="72" spans="2:16">
      <c r="B72" s="10" t="s">
        <v>263</v>
      </c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</row>
    <row r="73" spans="2:16">
      <c r="B73" s="10" t="s">
        <v>229</v>
      </c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</row>
    <row r="74" spans="2:16">
      <c r="B74" s="10" t="s">
        <v>264</v>
      </c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</row>
    <row r="75" spans="2:16">
      <c r="B75" s="10" t="s">
        <v>231</v>
      </c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</row>
    <row r="76" spans="2:16">
      <c r="B76" s="10" t="s">
        <v>240</v>
      </c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</row>
    <row r="77" spans="2:16">
      <c r="B77" s="10" t="s">
        <v>163</v>
      </c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</row>
    <row r="78" spans="2:16">
      <c r="B78" s="10" t="s">
        <v>199</v>
      </c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</row>
    <row r="79" spans="2:16">
      <c r="B79" s="10" t="s">
        <v>107</v>
      </c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</row>
    <row r="80" spans="2:16">
      <c r="B80" s="10" t="s">
        <v>256</v>
      </c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</row>
    <row r="81" spans="2:16">
      <c r="B81" s="10" t="s">
        <v>106</v>
      </c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</row>
    <row r="82" spans="2:16">
      <c r="B82" s="10" t="s">
        <v>257</v>
      </c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</row>
    <row r="83" spans="2:16">
      <c r="B83" s="10" t="s">
        <v>488</v>
      </c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</row>
    <row r="84" spans="2:16">
      <c r="B84" s="10" t="s">
        <v>489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</row>
    <row r="85" spans="2:16">
      <c r="B85" s="10" t="s">
        <v>490</v>
      </c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</row>
    <row r="86" spans="2:16">
      <c r="B86" s="10" t="s">
        <v>258</v>
      </c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</row>
    <row r="87" spans="2:16">
      <c r="B87" s="10" t="s">
        <v>361</v>
      </c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</row>
    <row r="88" spans="2:16">
      <c r="B88" s="10" t="s">
        <v>23</v>
      </c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</row>
    <row r="89" spans="2:16">
      <c r="B89" s="10" t="s">
        <v>58</v>
      </c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</row>
    <row r="90" spans="2:16">
      <c r="B90" s="62" t="s">
        <v>137</v>
      </c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</row>
    <row r="91" spans="2:16">
      <c r="B91" s="62" t="s">
        <v>62</v>
      </c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</row>
    <row r="92" spans="2:16">
      <c r="B92" s="62" t="s">
        <v>138</v>
      </c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</row>
    <row r="93" spans="2:16">
      <c r="B93" s="62" t="s">
        <v>132</v>
      </c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</row>
    <row r="94" spans="2:16">
      <c r="B94" s="62" t="s">
        <v>133</v>
      </c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</row>
    <row r="95" spans="2:16">
      <c r="B95" s="62" t="s">
        <v>64</v>
      </c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</row>
    <row r="96" spans="2:16">
      <c r="B96" s="62" t="s">
        <v>127</v>
      </c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</row>
    <row r="97" spans="2:16">
      <c r="B97" s="62" t="s">
        <v>63</v>
      </c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</row>
    <row r="98" spans="2:16">
      <c r="B98" s="62" t="s">
        <v>347</v>
      </c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</row>
    <row r="99" spans="2:16">
      <c r="B99" s="62" t="s">
        <v>128</v>
      </c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</row>
    <row r="100" spans="2:16">
      <c r="B100" s="10" t="s">
        <v>90</v>
      </c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</row>
    <row r="101" spans="2:16">
      <c r="B101" s="10" t="s">
        <v>89</v>
      </c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</row>
    <row r="102" spans="2:16">
      <c r="B102" s="10" t="s">
        <v>88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spans="2:16">
      <c r="B103" s="10" t="s">
        <v>91</v>
      </c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spans="2:16">
      <c r="B104" s="10" t="s">
        <v>92</v>
      </c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spans="2:16">
      <c r="B105" s="10" t="s">
        <v>335</v>
      </c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</row>
    <row r="106" spans="2:16">
      <c r="B106" s="10" t="s">
        <v>100</v>
      </c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</row>
    <row r="107" spans="2:16">
      <c r="B107" s="10" t="s">
        <v>105</v>
      </c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</row>
    <row r="108" spans="2:16">
      <c r="B108" s="10" t="s">
        <v>330</v>
      </c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spans="2:16">
      <c r="B109" s="10" t="s">
        <v>102</v>
      </c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spans="2:16">
      <c r="B110" s="10" t="s">
        <v>103</v>
      </c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spans="2:16">
      <c r="B111" s="10" t="s">
        <v>104</v>
      </c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spans="2:16">
      <c r="B112" s="10" t="s">
        <v>333</v>
      </c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spans="2:16">
      <c r="B113" s="10" t="s">
        <v>177</v>
      </c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spans="2:16">
      <c r="B114" s="10" t="s">
        <v>178</v>
      </c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spans="2:16">
      <c r="B115" s="10" t="s">
        <v>94</v>
      </c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spans="2:16">
      <c r="B116" s="10" t="s">
        <v>93</v>
      </c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spans="2:16">
      <c r="B117" s="10" t="s">
        <v>95</v>
      </c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spans="2:16">
      <c r="B118" s="10" t="s">
        <v>499</v>
      </c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spans="2:16">
      <c r="B119" s="10" t="s">
        <v>332</v>
      </c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spans="2:16">
      <c r="B120" s="10" t="s">
        <v>334</v>
      </c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spans="2:16">
      <c r="B121" s="10" t="s">
        <v>172</v>
      </c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spans="2:16">
      <c r="B122" s="10" t="s">
        <v>171</v>
      </c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spans="2:16">
      <c r="B123" s="10" t="s">
        <v>170</v>
      </c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spans="2:16">
      <c r="B124" s="10" t="s">
        <v>97</v>
      </c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spans="2:16">
      <c r="B125" s="10" t="s">
        <v>96</v>
      </c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spans="2:16">
      <c r="B126" s="10" t="s">
        <v>98</v>
      </c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spans="2:16">
      <c r="B127" s="10" t="s">
        <v>331</v>
      </c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spans="2:16">
      <c r="B128" s="10" t="s">
        <v>274</v>
      </c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spans="2:2">
      <c r="B129" s="62" t="s">
        <v>364</v>
      </c>
    </row>
    <row r="130" spans="2:2">
      <c r="B130" s="62" t="s">
        <v>363</v>
      </c>
    </row>
    <row r="131" spans="2:2">
      <c r="B131" s="10" t="s">
        <v>125</v>
      </c>
    </row>
    <row r="132" spans="2:2">
      <c r="B132" s="10" t="s">
        <v>126</v>
      </c>
    </row>
    <row r="133" spans="2:2">
      <c r="B133" s="62" t="s">
        <v>339</v>
      </c>
    </row>
    <row r="134" spans="2:2">
      <c r="B134" s="62" t="s">
        <v>340</v>
      </c>
    </row>
    <row r="135" spans="2:2">
      <c r="B135" s="10" t="s">
        <v>162</v>
      </c>
    </row>
    <row r="136" spans="2:2">
      <c r="B136" s="10" t="s">
        <v>329</v>
      </c>
    </row>
    <row r="137" spans="2:2">
      <c r="B137" s="10" t="s">
        <v>265</v>
      </c>
    </row>
    <row r="138" spans="2:2">
      <c r="B138" s="10" t="s">
        <v>266</v>
      </c>
    </row>
    <row r="139" spans="2:2">
      <c r="B139" s="10" t="s">
        <v>366</v>
      </c>
    </row>
    <row r="140" spans="2:2">
      <c r="B140" s="10" t="s">
        <v>367</v>
      </c>
    </row>
    <row r="141" spans="2:2">
      <c r="B141" s="10" t="s">
        <v>185</v>
      </c>
    </row>
    <row r="142" spans="2:2">
      <c r="B142" s="62" t="s">
        <v>365</v>
      </c>
    </row>
    <row r="143" spans="2:2">
      <c r="B143" s="10" t="s">
        <v>186</v>
      </c>
    </row>
    <row r="144" spans="2:2">
      <c r="B144" s="10" t="s">
        <v>338</v>
      </c>
    </row>
    <row r="145" spans="2:2">
      <c r="B145" s="10" t="s">
        <v>187</v>
      </c>
    </row>
  </sheetData>
  <sortState xmlns:xlrd2="http://schemas.microsoft.com/office/spreadsheetml/2017/richdata2" ref="B2:B144">
    <sortCondition ref="B2:B144"/>
  </sortState>
  <dataValidations count="2">
    <dataValidation type="list" allowBlank="1" showInputMessage="1" showErrorMessage="1" sqref="M2:M12 C26 B62 B30:B33 B137 B16:B17" xr:uid="{00000000-0002-0000-0000-000000000000}">
      <formula1>Technologies</formula1>
    </dataValidation>
    <dataValidation type="list" allowBlank="1" showInputMessage="1" showErrorMessage="1" sqref="C14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4" sqref="A4"/>
    </sheetView>
  </sheetViews>
  <sheetFormatPr defaultColWidth="11.42578125" defaultRowHeight="15"/>
  <cols>
    <col min="1" max="6" width="11.42578125" style="1"/>
    <col min="7" max="7" width="13.42578125" style="1" customWidth="1"/>
    <col min="8" max="16384" width="11.42578125" style="1"/>
  </cols>
  <sheetData>
    <row r="1" spans="1:17">
      <c r="A1" s="1" t="s">
        <v>1</v>
      </c>
    </row>
    <row r="2" spans="1:17">
      <c r="A2" s="1" t="s">
        <v>2</v>
      </c>
    </row>
    <row r="3" spans="1:17">
      <c r="A3" s="1" t="s">
        <v>395</v>
      </c>
    </row>
    <row r="5" spans="1:17">
      <c r="A5" s="1" t="s">
        <v>27</v>
      </c>
      <c r="B5" s="1" t="s">
        <v>69</v>
      </c>
      <c r="C5" s="1" t="s">
        <v>70</v>
      </c>
      <c r="D5" s="1" t="s">
        <v>71</v>
      </c>
      <c r="E5" s="1" t="s">
        <v>68</v>
      </c>
      <c r="F5" s="1" t="s">
        <v>72</v>
      </c>
      <c r="G5" s="1" t="s">
        <v>73</v>
      </c>
      <c r="H5" s="1" t="s">
        <v>74</v>
      </c>
      <c r="I5" s="1" t="s">
        <v>75</v>
      </c>
      <c r="J5" s="1" t="s">
        <v>76</v>
      </c>
      <c r="K5" s="1" t="s">
        <v>77</v>
      </c>
      <c r="L5" s="1" t="s">
        <v>78</v>
      </c>
      <c r="M5" s="1" t="s">
        <v>79</v>
      </c>
      <c r="N5" s="1" t="s">
        <v>80</v>
      </c>
      <c r="O5" s="1" t="s">
        <v>81</v>
      </c>
      <c r="P5" s="1" t="s">
        <v>82</v>
      </c>
      <c r="Q5" s="1" t="s">
        <v>83</v>
      </c>
    </row>
    <row r="6" spans="1:17">
      <c r="A6" s="1">
        <v>2018</v>
      </c>
      <c r="B6" s="1">
        <v>1.6552511415525114E-3</v>
      </c>
      <c r="C6" s="1">
        <v>1.7123287671232877E-4</v>
      </c>
      <c r="D6" s="1">
        <v>4.5662100456621003E-4</v>
      </c>
      <c r="E6" s="1">
        <v>4.5662100456621003E-4</v>
      </c>
      <c r="F6" s="1">
        <v>9.1324200913242006E-4</v>
      </c>
      <c r="G6" s="1">
        <v>3.4246575342465754E-4</v>
      </c>
      <c r="H6" s="1">
        <v>9.1324200913242006E-4</v>
      </c>
      <c r="I6" s="1">
        <v>5.7077625570776253E-4</v>
      </c>
      <c r="J6" s="1">
        <v>1.0844748858447489E-3</v>
      </c>
      <c r="K6" s="1">
        <v>2.2831050228310502E-4</v>
      </c>
      <c r="L6" s="1">
        <v>7.9908675799086762E-4</v>
      </c>
      <c r="M6" s="1">
        <v>6.278538812785388E-4</v>
      </c>
      <c r="N6" s="1">
        <v>1.769406392694064E-3</v>
      </c>
      <c r="O6" s="1">
        <v>3.9954337899543381E-4</v>
      </c>
      <c r="P6" s="1">
        <v>2.8538812785388126E-4</v>
      </c>
      <c r="Q6" s="1">
        <v>2.8538812785388126E-4</v>
      </c>
    </row>
    <row r="7" spans="1:17">
      <c r="A7" s="1">
        <v>2020</v>
      </c>
      <c r="B7" s="1">
        <v>1.6552511415525114E-3</v>
      </c>
      <c r="C7" s="1">
        <v>1.7123287671232877E-4</v>
      </c>
      <c r="D7" s="1">
        <v>4.5662100456621003E-4</v>
      </c>
      <c r="E7" s="1">
        <v>4.5662100456621003E-4</v>
      </c>
      <c r="F7" s="1">
        <v>9.1324200913242006E-4</v>
      </c>
      <c r="G7" s="1">
        <v>3.4246575342465754E-4</v>
      </c>
      <c r="H7" s="1">
        <v>9.1324200913242006E-4</v>
      </c>
      <c r="I7" s="1">
        <v>5.7077625570776253E-4</v>
      </c>
      <c r="J7" s="1">
        <v>1.0844748858447489E-3</v>
      </c>
      <c r="K7" s="1">
        <v>2.2831050228310502E-4</v>
      </c>
      <c r="L7" s="1">
        <v>7.9908675799086762E-4</v>
      </c>
      <c r="M7" s="1">
        <v>6.278538812785388E-4</v>
      </c>
      <c r="N7" s="1">
        <v>1.769406392694064E-3</v>
      </c>
      <c r="O7" s="1">
        <v>3.9954337899543381E-4</v>
      </c>
      <c r="P7" s="1">
        <v>2.8538812785388126E-4</v>
      </c>
      <c r="Q7" s="1">
        <v>2.8538812785388126E-4</v>
      </c>
    </row>
    <row r="8" spans="1:17">
      <c r="A8" s="1">
        <v>2025</v>
      </c>
      <c r="B8" s="1">
        <v>1.6552511415525114E-3</v>
      </c>
      <c r="C8" s="1">
        <v>1.7123287671232877E-4</v>
      </c>
      <c r="D8" s="1">
        <v>4.5662100456621003E-4</v>
      </c>
      <c r="E8" s="1">
        <v>4.5662100456621003E-4</v>
      </c>
      <c r="F8" s="1">
        <v>9.1324200913242006E-4</v>
      </c>
      <c r="G8" s="1">
        <v>3.4246575342465754E-4</v>
      </c>
      <c r="H8" s="1">
        <v>9.1324200913242006E-4</v>
      </c>
      <c r="I8" s="1">
        <v>5.7077625570776253E-4</v>
      </c>
      <c r="J8" s="1">
        <v>1.0844748858447489E-3</v>
      </c>
      <c r="K8" s="1">
        <v>2.2831050228310502E-4</v>
      </c>
      <c r="L8" s="1">
        <v>7.9908675799086762E-4</v>
      </c>
      <c r="M8" s="1">
        <v>6.278538812785388E-4</v>
      </c>
      <c r="N8" s="1">
        <v>1.769406392694064E-3</v>
      </c>
      <c r="O8" s="1">
        <v>3.9954337899543381E-4</v>
      </c>
      <c r="P8" s="1">
        <v>2.8538812785388126E-4</v>
      </c>
      <c r="Q8" s="1">
        <v>2.8538812785388126E-4</v>
      </c>
    </row>
    <row r="9" spans="1:17">
      <c r="A9" s="1">
        <v>2030</v>
      </c>
      <c r="B9" s="1">
        <v>1.6552511415525114E-3</v>
      </c>
      <c r="C9" s="1">
        <v>1.7123287671232877E-4</v>
      </c>
      <c r="D9" s="1">
        <v>4.5662100456621003E-4</v>
      </c>
      <c r="E9" s="1">
        <v>4.5662100456621003E-4</v>
      </c>
      <c r="F9" s="1">
        <v>9.1324200913242006E-4</v>
      </c>
      <c r="G9" s="1">
        <v>3.4246575342465754E-4</v>
      </c>
      <c r="H9" s="1">
        <v>9.1324200913242006E-4</v>
      </c>
      <c r="I9" s="1">
        <v>5.7077625570776253E-4</v>
      </c>
      <c r="J9" s="1">
        <v>1.0844748858447489E-3</v>
      </c>
      <c r="K9" s="1">
        <v>2.2831050228310502E-4</v>
      </c>
      <c r="L9" s="1">
        <v>7.9908675799086762E-4</v>
      </c>
      <c r="M9" s="1">
        <v>6.278538812785388E-4</v>
      </c>
      <c r="N9" s="1">
        <v>1.769406392694064E-3</v>
      </c>
      <c r="O9" s="1">
        <v>3.9954337899543381E-4</v>
      </c>
      <c r="P9" s="1">
        <v>2.8538812785388126E-4</v>
      </c>
      <c r="Q9" s="1">
        <v>2.8538812785388126E-4</v>
      </c>
    </row>
    <row r="10" spans="1:17">
      <c r="A10" s="1">
        <v>2035</v>
      </c>
      <c r="B10" s="1">
        <v>1.6552511415525114E-3</v>
      </c>
      <c r="C10" s="1">
        <v>1.7123287671232877E-4</v>
      </c>
      <c r="D10" s="1">
        <v>4.5662100456621003E-4</v>
      </c>
      <c r="E10" s="1">
        <v>4.5662100456621003E-4</v>
      </c>
      <c r="F10" s="1">
        <v>9.1324200913242006E-4</v>
      </c>
      <c r="G10" s="1">
        <v>3.4246575342465754E-4</v>
      </c>
      <c r="H10" s="1">
        <v>9.1324200913242006E-4</v>
      </c>
      <c r="I10" s="1">
        <v>5.7077625570776253E-4</v>
      </c>
      <c r="J10" s="1">
        <v>1.0844748858447489E-3</v>
      </c>
      <c r="K10" s="1">
        <v>2.2831050228310502E-4</v>
      </c>
      <c r="L10" s="1">
        <v>7.9908675799086762E-4</v>
      </c>
      <c r="M10" s="1">
        <v>6.278538812785388E-4</v>
      </c>
      <c r="N10" s="1">
        <v>1.769406392694064E-3</v>
      </c>
      <c r="O10" s="1">
        <v>3.9954337899543381E-4</v>
      </c>
      <c r="P10" s="1">
        <v>2.8538812785388126E-4</v>
      </c>
      <c r="Q10" s="1">
        <v>2.8538812785388126E-4</v>
      </c>
    </row>
    <row r="11" spans="1:17">
      <c r="A11" s="1">
        <v>2040</v>
      </c>
      <c r="B11" s="1">
        <v>1.6552511415525114E-3</v>
      </c>
      <c r="C11" s="1">
        <v>1.7123287671232877E-4</v>
      </c>
      <c r="D11" s="1">
        <v>4.5662100456621003E-4</v>
      </c>
      <c r="E11" s="1">
        <v>4.5662100456621003E-4</v>
      </c>
      <c r="F11" s="1">
        <v>9.1324200913242006E-4</v>
      </c>
      <c r="G11" s="1">
        <v>3.4246575342465754E-4</v>
      </c>
      <c r="H11" s="1">
        <v>9.1324200913242006E-4</v>
      </c>
      <c r="I11" s="1">
        <v>5.7077625570776253E-4</v>
      </c>
      <c r="J11" s="1">
        <v>1.0844748858447489E-3</v>
      </c>
      <c r="K11" s="1">
        <v>2.2831050228310502E-4</v>
      </c>
      <c r="L11" s="1">
        <v>7.9908675799086762E-4</v>
      </c>
      <c r="M11" s="1">
        <v>6.278538812785388E-4</v>
      </c>
      <c r="N11" s="1">
        <v>1.769406392694064E-3</v>
      </c>
      <c r="O11" s="1">
        <v>3.9954337899543381E-4</v>
      </c>
      <c r="P11" s="1">
        <v>2.8538812785388126E-4</v>
      </c>
      <c r="Q11" s="1">
        <v>2.8538812785388126E-4</v>
      </c>
    </row>
    <row r="12" spans="1:17">
      <c r="A12" s="1">
        <v>2045</v>
      </c>
      <c r="B12" s="1">
        <v>1.6552511415525114E-3</v>
      </c>
      <c r="C12" s="1">
        <v>1.7123287671232877E-4</v>
      </c>
      <c r="D12" s="1">
        <v>4.5662100456621003E-4</v>
      </c>
      <c r="E12" s="1">
        <v>4.5662100456621003E-4</v>
      </c>
      <c r="F12" s="1">
        <v>9.1324200913242006E-4</v>
      </c>
      <c r="G12" s="1">
        <v>3.4246575342465754E-4</v>
      </c>
      <c r="H12" s="1">
        <v>9.1324200913242006E-4</v>
      </c>
      <c r="I12" s="1">
        <v>5.7077625570776253E-4</v>
      </c>
      <c r="J12" s="1">
        <v>1.0844748858447489E-3</v>
      </c>
      <c r="K12" s="1">
        <v>2.2831050228310502E-4</v>
      </c>
      <c r="L12" s="1">
        <v>7.9908675799086762E-4</v>
      </c>
      <c r="M12" s="1">
        <v>6.278538812785388E-4</v>
      </c>
      <c r="N12" s="1">
        <v>1.769406392694064E-3</v>
      </c>
      <c r="O12" s="1">
        <v>3.9954337899543381E-4</v>
      </c>
      <c r="P12" s="1">
        <v>2.8538812785388126E-4</v>
      </c>
      <c r="Q12" s="1">
        <v>2.8538812785388126E-4</v>
      </c>
    </row>
    <row r="13" spans="1:17">
      <c r="A13" s="1">
        <v>2050</v>
      </c>
      <c r="B13" s="1">
        <v>1.6552511415525114E-3</v>
      </c>
      <c r="C13" s="1">
        <v>1.7123287671232877E-4</v>
      </c>
      <c r="D13" s="1">
        <v>4.5662100456621003E-4</v>
      </c>
      <c r="E13" s="1">
        <v>4.5662100456621003E-4</v>
      </c>
      <c r="F13" s="1">
        <v>9.1324200913242006E-4</v>
      </c>
      <c r="G13" s="1">
        <v>3.4246575342465754E-4</v>
      </c>
      <c r="H13" s="1">
        <v>9.1324200913242006E-4</v>
      </c>
      <c r="I13" s="1">
        <v>5.7077625570776253E-4</v>
      </c>
      <c r="J13" s="1">
        <v>1.0844748858447489E-3</v>
      </c>
      <c r="K13" s="1">
        <v>2.2831050228310502E-4</v>
      </c>
      <c r="L13" s="1">
        <v>7.9908675799086762E-4</v>
      </c>
      <c r="M13" s="1">
        <v>6.278538812785388E-4</v>
      </c>
      <c r="N13" s="1">
        <v>1.769406392694064E-3</v>
      </c>
      <c r="O13" s="1">
        <v>3.9954337899543381E-4</v>
      </c>
      <c r="P13" s="1">
        <v>2.8538812785388126E-4</v>
      </c>
      <c r="Q13" s="1">
        <v>2.8538812785388126E-4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A4" sqref="A4"/>
    </sheetView>
  </sheetViews>
  <sheetFormatPr defaultColWidth="11.42578125" defaultRowHeight="15"/>
  <cols>
    <col min="1" max="7" width="11.42578125" style="1"/>
    <col min="8" max="8" width="13.42578125" style="1" customWidth="1"/>
    <col min="9" max="16384" width="11.42578125" style="1"/>
  </cols>
  <sheetData>
    <row r="1" spans="1:9">
      <c r="A1" s="1" t="s">
        <v>390</v>
      </c>
    </row>
    <row r="2" spans="1:9">
      <c r="A2" s="1" t="s">
        <v>2</v>
      </c>
    </row>
    <row r="3" spans="1:9">
      <c r="A3" s="1" t="s">
        <v>395</v>
      </c>
    </row>
    <row r="5" spans="1:9">
      <c r="A5" s="1" t="s">
        <v>28</v>
      </c>
      <c r="B5" s="1">
        <v>2018</v>
      </c>
      <c r="C5" s="1">
        <v>2020</v>
      </c>
      <c r="D5" s="1">
        <v>2025</v>
      </c>
      <c r="E5" s="1">
        <v>2030</v>
      </c>
      <c r="F5" s="1">
        <v>2035</v>
      </c>
      <c r="G5" s="1">
        <v>2040</v>
      </c>
      <c r="H5" s="1">
        <v>2045</v>
      </c>
      <c r="I5" s="1">
        <v>2050</v>
      </c>
    </row>
    <row r="6" spans="1:9">
      <c r="A6" s="1" t="s">
        <v>69</v>
      </c>
      <c r="B6" s="1">
        <v>0.15104166666666666</v>
      </c>
      <c r="C6" s="1">
        <v>0.15104166666666666</v>
      </c>
      <c r="D6" s="1">
        <v>0.15104166666666666</v>
      </c>
      <c r="E6" s="1">
        <v>0.15104166666666666</v>
      </c>
      <c r="F6" s="1">
        <v>0.15104166666666666</v>
      </c>
      <c r="G6" s="1">
        <v>0.15104166666666666</v>
      </c>
      <c r="H6" s="1">
        <v>0.15104166666666666</v>
      </c>
      <c r="I6" s="1">
        <v>0.15104166666666666</v>
      </c>
    </row>
    <row r="7" spans="1:9">
      <c r="A7" s="1" t="s">
        <v>70</v>
      </c>
      <c r="B7" s="1">
        <v>1.5625E-2</v>
      </c>
      <c r="C7" s="1">
        <v>1.5625E-2</v>
      </c>
      <c r="D7" s="1">
        <v>1.5625E-2</v>
      </c>
      <c r="E7" s="1">
        <v>1.5625E-2</v>
      </c>
      <c r="F7" s="1">
        <v>1.5625E-2</v>
      </c>
      <c r="G7" s="1">
        <v>1.5625E-2</v>
      </c>
      <c r="H7" s="1">
        <v>1.5625E-2</v>
      </c>
      <c r="I7" s="1">
        <v>1.5625E-2</v>
      </c>
    </row>
    <row r="8" spans="1:9">
      <c r="A8" s="1" t="s">
        <v>71</v>
      </c>
      <c r="B8" s="1">
        <v>4.1666666666666664E-2</v>
      </c>
      <c r="C8" s="1">
        <v>4.1666666666666664E-2</v>
      </c>
      <c r="D8" s="1">
        <v>4.1666666666666664E-2</v>
      </c>
      <c r="E8" s="1">
        <v>4.1666666666666664E-2</v>
      </c>
      <c r="F8" s="1">
        <v>4.1666666666666664E-2</v>
      </c>
      <c r="G8" s="1">
        <v>4.1666666666666664E-2</v>
      </c>
      <c r="H8" s="1">
        <v>4.1666666666666664E-2</v>
      </c>
      <c r="I8" s="1">
        <v>4.1666666666666664E-2</v>
      </c>
    </row>
    <row r="9" spans="1:9">
      <c r="A9" s="1" t="s">
        <v>68</v>
      </c>
      <c r="B9" s="1">
        <v>4.1666666666666664E-2</v>
      </c>
      <c r="C9" s="1">
        <v>4.1666666666666664E-2</v>
      </c>
      <c r="D9" s="1">
        <v>4.1666666666666664E-2</v>
      </c>
      <c r="E9" s="1">
        <v>4.1666666666666664E-2</v>
      </c>
      <c r="F9" s="1">
        <v>4.1666666666666664E-2</v>
      </c>
      <c r="G9" s="1">
        <v>4.1666666666666664E-2</v>
      </c>
      <c r="H9" s="1">
        <v>4.1666666666666664E-2</v>
      </c>
      <c r="I9" s="1">
        <v>4.1666666666666664E-2</v>
      </c>
    </row>
    <row r="10" spans="1:9">
      <c r="A10" s="1" t="s">
        <v>72</v>
      </c>
      <c r="B10" s="1">
        <v>8.3333333333333329E-2</v>
      </c>
      <c r="C10" s="1">
        <v>8.3333333333333329E-2</v>
      </c>
      <c r="D10" s="1">
        <v>8.3333333333333329E-2</v>
      </c>
      <c r="E10" s="1">
        <v>8.3333333333333329E-2</v>
      </c>
      <c r="F10" s="1">
        <v>8.3333333333333329E-2</v>
      </c>
      <c r="G10" s="1">
        <v>8.3333333333333329E-2</v>
      </c>
      <c r="H10" s="1">
        <v>8.3333333333333329E-2</v>
      </c>
      <c r="I10" s="1">
        <v>8.3333333333333329E-2</v>
      </c>
    </row>
    <row r="11" spans="1:9">
      <c r="A11" s="1" t="s">
        <v>73</v>
      </c>
      <c r="B11" s="1">
        <v>3.125E-2</v>
      </c>
      <c r="C11" s="1">
        <v>3.125E-2</v>
      </c>
      <c r="D11" s="1">
        <v>3.125E-2</v>
      </c>
      <c r="E11" s="1">
        <v>3.125E-2</v>
      </c>
      <c r="F11" s="1">
        <v>3.125E-2</v>
      </c>
      <c r="G11" s="1">
        <v>3.125E-2</v>
      </c>
      <c r="H11" s="1">
        <v>3.125E-2</v>
      </c>
      <c r="I11" s="1">
        <v>3.125E-2</v>
      </c>
    </row>
    <row r="12" spans="1:9">
      <c r="A12" s="1" t="s">
        <v>74</v>
      </c>
      <c r="B12" s="1">
        <v>8.3333333333333329E-2</v>
      </c>
      <c r="C12" s="1">
        <v>8.3333333333333329E-2</v>
      </c>
      <c r="D12" s="1">
        <v>8.3333333333333329E-2</v>
      </c>
      <c r="E12" s="1">
        <v>8.3333333333333329E-2</v>
      </c>
      <c r="F12" s="1">
        <v>8.3333333333333329E-2</v>
      </c>
      <c r="G12" s="1">
        <v>8.3333333333333329E-2</v>
      </c>
      <c r="H12" s="1">
        <v>8.3333333333333329E-2</v>
      </c>
      <c r="I12" s="1">
        <v>8.3333333333333329E-2</v>
      </c>
    </row>
    <row r="13" spans="1:9">
      <c r="A13" s="1" t="s">
        <v>75</v>
      </c>
      <c r="B13" s="1">
        <v>5.2083333333333336E-2</v>
      </c>
      <c r="C13" s="1">
        <v>5.2083333333333336E-2</v>
      </c>
      <c r="D13" s="1">
        <v>5.2083333333333336E-2</v>
      </c>
      <c r="E13" s="1">
        <v>5.2083333333333336E-2</v>
      </c>
      <c r="F13" s="1">
        <v>5.2083333333333336E-2</v>
      </c>
      <c r="G13" s="1">
        <v>5.2083333333333336E-2</v>
      </c>
      <c r="H13" s="1">
        <v>5.2083333333333336E-2</v>
      </c>
      <c r="I13" s="1">
        <v>5.2083333333333336E-2</v>
      </c>
    </row>
    <row r="14" spans="1:9">
      <c r="A14" s="1" t="s">
        <v>76</v>
      </c>
      <c r="B14" s="1">
        <v>9.8958333333333329E-2</v>
      </c>
      <c r="C14" s="1">
        <v>9.8958333333333329E-2</v>
      </c>
      <c r="D14" s="1">
        <v>9.8958333333333329E-2</v>
      </c>
      <c r="E14" s="1">
        <v>9.8958333333333329E-2</v>
      </c>
      <c r="F14" s="1">
        <v>9.8958333333333329E-2</v>
      </c>
      <c r="G14" s="1">
        <v>9.8958333333333329E-2</v>
      </c>
      <c r="H14" s="1">
        <v>9.8958333333333329E-2</v>
      </c>
      <c r="I14" s="1">
        <v>9.8958333333333329E-2</v>
      </c>
    </row>
    <row r="15" spans="1:9">
      <c r="A15" s="1" t="s">
        <v>77</v>
      </c>
      <c r="B15" s="1">
        <v>2.0833333333333332E-2</v>
      </c>
      <c r="C15" s="1">
        <v>2.0833333333333332E-2</v>
      </c>
      <c r="D15" s="1">
        <v>2.0833333333333332E-2</v>
      </c>
      <c r="E15" s="1">
        <v>2.0833333333333332E-2</v>
      </c>
      <c r="F15" s="1">
        <v>2.0833333333333332E-2</v>
      </c>
      <c r="G15" s="1">
        <v>2.0833333333333332E-2</v>
      </c>
      <c r="H15" s="1">
        <v>2.0833333333333332E-2</v>
      </c>
      <c r="I15" s="1">
        <v>2.0833333333333332E-2</v>
      </c>
    </row>
    <row r="16" spans="1:9">
      <c r="A16" s="1" t="s">
        <v>78</v>
      </c>
      <c r="B16" s="1">
        <v>7.2916666666666671E-2</v>
      </c>
      <c r="C16" s="1">
        <v>7.2916666666666671E-2</v>
      </c>
      <c r="D16" s="1">
        <v>7.2916666666666671E-2</v>
      </c>
      <c r="E16" s="1">
        <v>7.2916666666666671E-2</v>
      </c>
      <c r="F16" s="1">
        <v>7.2916666666666671E-2</v>
      </c>
      <c r="G16" s="1">
        <v>7.2916666666666671E-2</v>
      </c>
      <c r="H16" s="1">
        <v>7.2916666666666671E-2</v>
      </c>
      <c r="I16" s="1">
        <v>7.2916666666666671E-2</v>
      </c>
    </row>
    <row r="17" spans="1:9">
      <c r="A17" s="1" t="s">
        <v>79</v>
      </c>
      <c r="B17" s="1">
        <v>5.7291666666666664E-2</v>
      </c>
      <c r="C17" s="1">
        <v>5.7291666666666664E-2</v>
      </c>
      <c r="D17" s="1">
        <v>5.7291666666666664E-2</v>
      </c>
      <c r="E17" s="1">
        <v>5.7291666666666664E-2</v>
      </c>
      <c r="F17" s="1">
        <v>5.7291666666666664E-2</v>
      </c>
      <c r="G17" s="1">
        <v>5.7291666666666664E-2</v>
      </c>
      <c r="H17" s="1">
        <v>5.7291666666666664E-2</v>
      </c>
      <c r="I17" s="1">
        <v>5.7291666666666664E-2</v>
      </c>
    </row>
    <row r="18" spans="1:9">
      <c r="A18" s="1" t="s">
        <v>80</v>
      </c>
      <c r="B18" s="1">
        <v>0.16145833333333334</v>
      </c>
      <c r="C18" s="1">
        <v>0.16145833333333334</v>
      </c>
      <c r="D18" s="1">
        <v>0.16145833333333334</v>
      </c>
      <c r="E18" s="1">
        <v>0.16145833333333334</v>
      </c>
      <c r="F18" s="1">
        <v>0.16145833333333334</v>
      </c>
      <c r="G18" s="1">
        <v>0.16145833333333334</v>
      </c>
      <c r="H18" s="1">
        <v>0.16145833333333334</v>
      </c>
      <c r="I18" s="1">
        <v>0.16145833333333334</v>
      </c>
    </row>
    <row r="19" spans="1:9">
      <c r="A19" s="1" t="s">
        <v>81</v>
      </c>
      <c r="B19" s="1">
        <v>3.6458333333333336E-2</v>
      </c>
      <c r="C19" s="1">
        <v>3.6458333333333336E-2</v>
      </c>
      <c r="D19" s="1">
        <v>3.6458333333333336E-2</v>
      </c>
      <c r="E19" s="1">
        <v>3.6458333333333336E-2</v>
      </c>
      <c r="F19" s="1">
        <v>3.6458333333333336E-2</v>
      </c>
      <c r="G19" s="1">
        <v>3.6458333333333336E-2</v>
      </c>
      <c r="H19" s="1">
        <v>3.6458333333333336E-2</v>
      </c>
      <c r="I19" s="1">
        <v>3.6458333333333336E-2</v>
      </c>
    </row>
    <row r="20" spans="1:9">
      <c r="A20" s="1" t="s">
        <v>82</v>
      </c>
      <c r="B20" s="1">
        <v>2.6041666666666668E-2</v>
      </c>
      <c r="C20" s="1">
        <v>2.6041666666666668E-2</v>
      </c>
      <c r="D20" s="1">
        <v>2.6041666666666668E-2</v>
      </c>
      <c r="E20" s="1">
        <v>2.6041666666666668E-2</v>
      </c>
      <c r="F20" s="1">
        <v>2.6041666666666668E-2</v>
      </c>
      <c r="G20" s="1">
        <v>2.6041666666666668E-2</v>
      </c>
      <c r="H20" s="1">
        <v>2.6041666666666668E-2</v>
      </c>
      <c r="I20" s="1">
        <v>2.6041666666666668E-2</v>
      </c>
    </row>
    <row r="21" spans="1:9">
      <c r="A21" s="1" t="s">
        <v>83</v>
      </c>
      <c r="B21" s="1">
        <v>2.6041666666666668E-2</v>
      </c>
      <c r="C21" s="1">
        <v>2.6041666666666668E-2</v>
      </c>
      <c r="D21" s="1">
        <v>2.6041666666666668E-2</v>
      </c>
      <c r="E21" s="1">
        <v>2.6041666666666668E-2</v>
      </c>
      <c r="F21" s="1">
        <v>2.6041666666666668E-2</v>
      </c>
      <c r="G21" s="1">
        <v>2.6041666666666668E-2</v>
      </c>
      <c r="H21" s="1">
        <v>2.6041666666666668E-2</v>
      </c>
      <c r="I21" s="1">
        <v>2.6041666666666668E-2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14" sqref="K14"/>
    </sheetView>
  </sheetViews>
  <sheetFormatPr defaultColWidth="11.42578125" defaultRowHeight="15"/>
  <cols>
    <col min="1" max="1" width="40.42578125" style="10" bestFit="1" customWidth="1"/>
    <col min="2" max="4" width="11.42578125" style="10"/>
    <col min="5" max="5" width="14" style="10" bestFit="1" customWidth="1"/>
    <col min="6" max="7" width="11.42578125" style="10"/>
    <col min="8" max="8" width="14.5703125" style="10" bestFit="1" customWidth="1"/>
    <col min="9" max="16384" width="11.42578125" style="10"/>
  </cols>
  <sheetData>
    <row r="1" spans="1:9">
      <c r="A1" s="10" t="s">
        <v>419</v>
      </c>
    </row>
    <row r="2" spans="1:9">
      <c r="A2" s="10" t="s">
        <v>391</v>
      </c>
    </row>
    <row r="3" spans="1:9">
      <c r="A3" s="10" t="s">
        <v>416</v>
      </c>
    </row>
    <row r="5" spans="1:9">
      <c r="A5" s="10" t="s">
        <v>26</v>
      </c>
      <c r="B5" s="10" t="s">
        <v>24</v>
      </c>
      <c r="C5" s="10" t="s">
        <v>313</v>
      </c>
      <c r="D5" s="10" t="s">
        <v>348</v>
      </c>
      <c r="E5" s="10" t="s">
        <v>349</v>
      </c>
      <c r="F5" s="10" t="s">
        <v>350</v>
      </c>
      <c r="G5" s="10" t="s">
        <v>351</v>
      </c>
      <c r="H5" s="10" t="s">
        <v>352</v>
      </c>
      <c r="I5" s="10" t="s">
        <v>474</v>
      </c>
    </row>
    <row r="6" spans="1:9">
      <c r="A6" s="10" t="s">
        <v>175</v>
      </c>
      <c r="F6" s="10">
        <v>1</v>
      </c>
    </row>
    <row r="7" spans="1:9">
      <c r="A7" s="10" t="s">
        <v>176</v>
      </c>
      <c r="F7" s="10">
        <v>1</v>
      </c>
    </row>
    <row r="8" spans="1:9">
      <c r="A8" s="10" t="s">
        <v>140</v>
      </c>
      <c r="G8" s="10">
        <v>1</v>
      </c>
    </row>
    <row r="9" spans="1:9">
      <c r="A9" s="10" t="s">
        <v>141</v>
      </c>
      <c r="G9" s="10">
        <v>1</v>
      </c>
    </row>
    <row r="10" spans="1:9">
      <c r="A10" s="10" t="s">
        <v>152</v>
      </c>
      <c r="G10" s="10">
        <v>1</v>
      </c>
    </row>
    <row r="11" spans="1:9">
      <c r="A11" s="10" t="s">
        <v>252</v>
      </c>
      <c r="G11" s="10">
        <v>1</v>
      </c>
    </row>
    <row r="12" spans="1:9">
      <c r="A12" s="10" t="s">
        <v>250</v>
      </c>
      <c r="G12" s="10">
        <v>1</v>
      </c>
    </row>
    <row r="13" spans="1:9">
      <c r="A13" s="10" t="s">
        <v>139</v>
      </c>
      <c r="G13" s="10">
        <v>1</v>
      </c>
    </row>
    <row r="14" spans="1:9">
      <c r="A14" s="10" t="s">
        <v>196</v>
      </c>
      <c r="G14" s="10">
        <v>1</v>
      </c>
    </row>
    <row r="15" spans="1:9">
      <c r="A15" s="62" t="s">
        <v>134</v>
      </c>
      <c r="E15" s="10">
        <v>1</v>
      </c>
    </row>
    <row r="16" spans="1:9">
      <c r="A16" s="62" t="s">
        <v>135</v>
      </c>
      <c r="E16" s="10">
        <v>1</v>
      </c>
    </row>
    <row r="17" spans="1:5">
      <c r="A17" s="62" t="s">
        <v>129</v>
      </c>
      <c r="E17" s="10">
        <v>1</v>
      </c>
    </row>
    <row r="18" spans="1:5">
      <c r="A18" s="62" t="s">
        <v>61</v>
      </c>
      <c r="E18" s="10">
        <v>1</v>
      </c>
    </row>
    <row r="19" spans="1:5">
      <c r="A19" s="62" t="s">
        <v>130</v>
      </c>
      <c r="E19" s="10">
        <v>1</v>
      </c>
    </row>
    <row r="20" spans="1:5">
      <c r="A20" s="62" t="s">
        <v>131</v>
      </c>
      <c r="E20" s="10">
        <v>1</v>
      </c>
    </row>
    <row r="21" spans="1:5">
      <c r="A21" s="62" t="s">
        <v>181</v>
      </c>
      <c r="E21" s="10">
        <v>1</v>
      </c>
    </row>
    <row r="22" spans="1:5">
      <c r="A22" s="62" t="s">
        <v>60</v>
      </c>
      <c r="E22" s="10">
        <v>1</v>
      </c>
    </row>
    <row r="23" spans="1:5">
      <c r="A23" s="62" t="s">
        <v>59</v>
      </c>
      <c r="E23" s="10">
        <v>1</v>
      </c>
    </row>
    <row r="24" spans="1:5">
      <c r="A24" s="10" t="s">
        <v>163</v>
      </c>
      <c r="B24" s="10">
        <v>1</v>
      </c>
    </row>
    <row r="25" spans="1:5">
      <c r="A25" s="10" t="s">
        <v>107</v>
      </c>
      <c r="B25" s="10">
        <v>1</v>
      </c>
    </row>
    <row r="26" spans="1:5">
      <c r="A26" s="10" t="s">
        <v>106</v>
      </c>
      <c r="B26" s="10">
        <v>1</v>
      </c>
    </row>
    <row r="27" spans="1:5">
      <c r="A27" s="10" t="s">
        <v>22</v>
      </c>
      <c r="B27" s="10">
        <v>1</v>
      </c>
    </row>
    <row r="28" spans="1:5">
      <c r="A28" s="10" t="s">
        <v>23</v>
      </c>
      <c r="B28" s="10">
        <v>1</v>
      </c>
    </row>
    <row r="29" spans="1:5">
      <c r="A29" s="10" t="s">
        <v>58</v>
      </c>
      <c r="B29" s="10">
        <v>1</v>
      </c>
    </row>
    <row r="30" spans="1:5">
      <c r="A30" s="62" t="s">
        <v>137</v>
      </c>
      <c r="E30" s="10">
        <v>1</v>
      </c>
    </row>
    <row r="31" spans="1:5">
      <c r="A31" s="62" t="s">
        <v>62</v>
      </c>
      <c r="E31" s="10">
        <v>1</v>
      </c>
    </row>
    <row r="32" spans="1:5">
      <c r="A32" s="62" t="s">
        <v>138</v>
      </c>
      <c r="E32" s="10">
        <v>1</v>
      </c>
    </row>
    <row r="33" spans="1:6">
      <c r="A33" s="62" t="s">
        <v>132</v>
      </c>
      <c r="E33" s="10">
        <v>1</v>
      </c>
    </row>
    <row r="34" spans="1:6">
      <c r="A34" s="62" t="s">
        <v>133</v>
      </c>
      <c r="E34" s="10">
        <v>1</v>
      </c>
    </row>
    <row r="35" spans="1:6">
      <c r="A35" s="62" t="s">
        <v>64</v>
      </c>
      <c r="E35" s="10">
        <v>1</v>
      </c>
    </row>
    <row r="36" spans="1:6">
      <c r="A36" s="62" t="s">
        <v>127</v>
      </c>
      <c r="E36" s="10">
        <v>1</v>
      </c>
    </row>
    <row r="37" spans="1:6">
      <c r="A37" s="62" t="s">
        <v>63</v>
      </c>
      <c r="E37" s="10">
        <v>1</v>
      </c>
    </row>
    <row r="38" spans="1:6">
      <c r="A38" s="62" t="s">
        <v>128</v>
      </c>
      <c r="E38" s="10">
        <v>1</v>
      </c>
    </row>
    <row r="39" spans="1:6">
      <c r="A39" s="10" t="s">
        <v>90</v>
      </c>
      <c r="F39" s="10">
        <v>1</v>
      </c>
    </row>
    <row r="40" spans="1:6">
      <c r="A40" s="10" t="s">
        <v>89</v>
      </c>
      <c r="F40" s="10">
        <v>1</v>
      </c>
    </row>
    <row r="41" spans="1:6">
      <c r="A41" s="10" t="s">
        <v>88</v>
      </c>
      <c r="F41" s="10">
        <v>1</v>
      </c>
    </row>
    <row r="42" spans="1:6">
      <c r="A42" s="10" t="s">
        <v>91</v>
      </c>
      <c r="F42" s="10">
        <v>1</v>
      </c>
    </row>
    <row r="43" spans="1:6">
      <c r="A43" s="10" t="s">
        <v>92</v>
      </c>
      <c r="F43" s="10">
        <v>1</v>
      </c>
    </row>
    <row r="44" spans="1:6">
      <c r="A44" s="10" t="s">
        <v>100</v>
      </c>
      <c r="B44" s="10">
        <v>1</v>
      </c>
    </row>
    <row r="45" spans="1:6">
      <c r="A45" s="10" t="s">
        <v>105</v>
      </c>
      <c r="B45" s="10">
        <v>1</v>
      </c>
    </row>
    <row r="46" spans="1:6">
      <c r="A46" s="10" t="s">
        <v>102</v>
      </c>
      <c r="B46" s="10">
        <v>1</v>
      </c>
    </row>
    <row r="47" spans="1:6">
      <c r="A47" s="10" t="s">
        <v>103</v>
      </c>
      <c r="B47" s="10">
        <v>1</v>
      </c>
    </row>
    <row r="48" spans="1:6">
      <c r="A48" s="10" t="s">
        <v>104</v>
      </c>
      <c r="B48" s="10">
        <v>1</v>
      </c>
    </row>
    <row r="49" spans="1:8">
      <c r="A49" s="10" t="s">
        <v>177</v>
      </c>
      <c r="B49" s="10">
        <v>1</v>
      </c>
    </row>
    <row r="50" spans="1:8">
      <c r="A50" s="10" t="s">
        <v>178</v>
      </c>
      <c r="B50" s="10">
        <v>1</v>
      </c>
    </row>
    <row r="51" spans="1:8">
      <c r="A51" s="10" t="s">
        <v>94</v>
      </c>
      <c r="B51" s="10">
        <v>1</v>
      </c>
    </row>
    <row r="52" spans="1:8">
      <c r="A52" s="10" t="s">
        <v>93</v>
      </c>
      <c r="B52" s="10">
        <v>1</v>
      </c>
    </row>
    <row r="53" spans="1:8">
      <c r="A53" s="10" t="s">
        <v>95</v>
      </c>
      <c r="B53" s="10">
        <v>1</v>
      </c>
    </row>
    <row r="54" spans="1:8">
      <c r="A54" s="10" t="s">
        <v>170</v>
      </c>
      <c r="B54" s="10">
        <v>1</v>
      </c>
    </row>
    <row r="55" spans="1:8">
      <c r="A55" s="10" t="s">
        <v>171</v>
      </c>
      <c r="B55" s="10">
        <v>1</v>
      </c>
    </row>
    <row r="56" spans="1:8">
      <c r="A56" s="10" t="s">
        <v>172</v>
      </c>
      <c r="B56" s="10">
        <v>1</v>
      </c>
    </row>
    <row r="57" spans="1:8">
      <c r="A57" s="10" t="s">
        <v>97</v>
      </c>
      <c r="B57" s="10">
        <v>1</v>
      </c>
    </row>
    <row r="58" spans="1:8">
      <c r="A58" s="10" t="s">
        <v>96</v>
      </c>
      <c r="B58" s="10">
        <v>1</v>
      </c>
    </row>
    <row r="59" spans="1:8">
      <c r="A59" s="10" t="s">
        <v>98</v>
      </c>
      <c r="B59" s="10">
        <v>1</v>
      </c>
    </row>
    <row r="60" spans="1:8">
      <c r="A60" s="10" t="s">
        <v>125</v>
      </c>
      <c r="H60" s="10">
        <v>1</v>
      </c>
    </row>
    <row r="61" spans="1:8">
      <c r="A61" s="10" t="s">
        <v>126</v>
      </c>
      <c r="H61" s="10">
        <v>1</v>
      </c>
    </row>
    <row r="62" spans="1:8">
      <c r="A62" s="10" t="s">
        <v>162</v>
      </c>
      <c r="H62" s="10">
        <v>1</v>
      </c>
    </row>
    <row r="63" spans="1:8">
      <c r="A63" s="10" t="s">
        <v>186</v>
      </c>
      <c r="F63" s="10">
        <v>1</v>
      </c>
    </row>
    <row r="64" spans="1:8">
      <c r="A64" s="10" t="s">
        <v>185</v>
      </c>
      <c r="F64" s="10">
        <v>1</v>
      </c>
    </row>
    <row r="65" spans="1:7">
      <c r="A65" s="10" t="s">
        <v>187</v>
      </c>
      <c r="F65" s="10">
        <v>1</v>
      </c>
    </row>
    <row r="66" spans="1:7">
      <c r="A66" s="10" t="s">
        <v>199</v>
      </c>
      <c r="B66" s="10">
        <v>1</v>
      </c>
    </row>
    <row r="67" spans="1:7">
      <c r="A67" s="10" t="s">
        <v>200</v>
      </c>
      <c r="F67" s="10">
        <v>1</v>
      </c>
    </row>
    <row r="68" spans="1:7">
      <c r="A68" s="10" t="s">
        <v>153</v>
      </c>
      <c r="G68" s="10">
        <v>1</v>
      </c>
    </row>
    <row r="69" spans="1:7">
      <c r="A69" s="10" t="s">
        <v>224</v>
      </c>
      <c r="D69" s="10">
        <v>1</v>
      </c>
    </row>
    <row r="70" spans="1:7">
      <c r="A70" s="10" t="s">
        <v>211</v>
      </c>
      <c r="B70" s="10">
        <v>1</v>
      </c>
      <c r="D70" s="10">
        <v>0</v>
      </c>
    </row>
    <row r="71" spans="1:7">
      <c r="A71" s="10" t="s">
        <v>206</v>
      </c>
      <c r="D71" s="10">
        <v>1</v>
      </c>
    </row>
    <row r="72" spans="1:7">
      <c r="A72" s="10" t="s">
        <v>210</v>
      </c>
      <c r="D72" s="10">
        <v>1</v>
      </c>
    </row>
    <row r="73" spans="1:7">
      <c r="A73" s="10" t="s">
        <v>207</v>
      </c>
      <c r="D73" s="10">
        <v>1</v>
      </c>
    </row>
    <row r="74" spans="1:7">
      <c r="A74" s="10" t="s">
        <v>208</v>
      </c>
      <c r="D74" s="10">
        <v>1</v>
      </c>
    </row>
    <row r="75" spans="1:7">
      <c r="A75" s="10" t="s">
        <v>209</v>
      </c>
      <c r="B75" s="10">
        <v>1</v>
      </c>
      <c r="D75" s="10">
        <v>0</v>
      </c>
    </row>
    <row r="76" spans="1:7">
      <c r="A76" s="10" t="s">
        <v>232</v>
      </c>
      <c r="B76" s="10">
        <v>1</v>
      </c>
      <c r="D76" s="10">
        <v>0</v>
      </c>
    </row>
    <row r="77" spans="1:7">
      <c r="A77" s="10" t="s">
        <v>233</v>
      </c>
      <c r="D77" s="10">
        <v>1</v>
      </c>
    </row>
    <row r="78" spans="1:7">
      <c r="A78" s="10" t="s">
        <v>234</v>
      </c>
      <c r="D78" s="10">
        <v>1</v>
      </c>
    </row>
    <row r="79" spans="1:7">
      <c r="A79" s="10" t="s">
        <v>235</v>
      </c>
      <c r="D79" s="10">
        <v>1</v>
      </c>
    </row>
    <row r="80" spans="1:7">
      <c r="A80" s="10" t="s">
        <v>236</v>
      </c>
      <c r="D80" s="10">
        <v>1</v>
      </c>
    </row>
    <row r="81" spans="1:4">
      <c r="A81" s="10" t="s">
        <v>215</v>
      </c>
      <c r="D81" s="10">
        <v>1</v>
      </c>
    </row>
    <row r="82" spans="1:4">
      <c r="A82" s="10" t="s">
        <v>225</v>
      </c>
      <c r="D82" s="10">
        <v>1</v>
      </c>
    </row>
    <row r="83" spans="1:4">
      <c r="A83" s="10" t="s">
        <v>226</v>
      </c>
      <c r="C83" s="10">
        <v>1</v>
      </c>
    </row>
    <row r="84" spans="1:4">
      <c r="A84" s="10" t="s">
        <v>216</v>
      </c>
      <c r="B84" s="10">
        <v>1</v>
      </c>
      <c r="C84" s="10">
        <v>0</v>
      </c>
    </row>
    <row r="85" spans="1:4">
      <c r="A85" s="10" t="s">
        <v>217</v>
      </c>
      <c r="C85" s="10">
        <v>1</v>
      </c>
    </row>
    <row r="86" spans="1:4">
      <c r="A86" s="10" t="s">
        <v>218</v>
      </c>
      <c r="B86" s="10">
        <v>1</v>
      </c>
      <c r="C86" s="10">
        <v>0</v>
      </c>
    </row>
    <row r="87" spans="1:4">
      <c r="A87" s="10" t="s">
        <v>219</v>
      </c>
      <c r="C87" s="10">
        <v>1</v>
      </c>
    </row>
    <row r="88" spans="1:4">
      <c r="A88" s="10" t="s">
        <v>220</v>
      </c>
      <c r="C88" s="10">
        <v>1</v>
      </c>
    </row>
    <row r="89" spans="1:4">
      <c r="A89" s="10" t="s">
        <v>221</v>
      </c>
      <c r="B89" s="10">
        <v>1</v>
      </c>
      <c r="C89" s="10">
        <v>0</v>
      </c>
    </row>
    <row r="90" spans="1:4">
      <c r="A90" s="10" t="s">
        <v>249</v>
      </c>
      <c r="B90" s="10">
        <v>1</v>
      </c>
      <c r="C90" s="10">
        <v>0</v>
      </c>
    </row>
    <row r="91" spans="1:4">
      <c r="A91" s="10" t="s">
        <v>237</v>
      </c>
      <c r="C91" s="10">
        <v>1</v>
      </c>
    </row>
    <row r="92" spans="1:4">
      <c r="A92" s="10" t="s">
        <v>238</v>
      </c>
      <c r="C92" s="10">
        <v>1</v>
      </c>
    </row>
    <row r="93" spans="1:4">
      <c r="A93" s="10" t="s">
        <v>239</v>
      </c>
      <c r="C93" s="10">
        <v>1</v>
      </c>
    </row>
    <row r="94" spans="1:4">
      <c r="A94" s="10" t="s">
        <v>222</v>
      </c>
      <c r="C94" s="10">
        <v>1</v>
      </c>
    </row>
    <row r="95" spans="1:4">
      <c r="A95" s="10" t="s">
        <v>227</v>
      </c>
      <c r="C95" s="10">
        <v>1</v>
      </c>
    </row>
    <row r="96" spans="1:4">
      <c r="A96" s="10" t="s">
        <v>223</v>
      </c>
      <c r="B96" s="10">
        <v>1</v>
      </c>
      <c r="C96" s="10">
        <v>0</v>
      </c>
    </row>
    <row r="97" spans="1:3">
      <c r="A97" s="10" t="s">
        <v>230</v>
      </c>
      <c r="C97" s="10">
        <v>1</v>
      </c>
    </row>
    <row r="98" spans="1:3">
      <c r="A98" s="10" t="s">
        <v>228</v>
      </c>
      <c r="C98" s="10">
        <v>1</v>
      </c>
    </row>
    <row r="99" spans="1:3">
      <c r="A99" s="10" t="s">
        <v>229</v>
      </c>
      <c r="C99" s="10">
        <v>1</v>
      </c>
    </row>
    <row r="100" spans="1:3">
      <c r="A100" s="10" t="s">
        <v>240</v>
      </c>
      <c r="C100" s="10">
        <v>1</v>
      </c>
    </row>
    <row r="101" spans="1:3">
      <c r="A101" s="10" t="s">
        <v>231</v>
      </c>
      <c r="C101" s="10">
        <v>1</v>
      </c>
    </row>
    <row r="102" spans="1:3">
      <c r="A102" s="10" t="s">
        <v>243</v>
      </c>
      <c r="C102" s="10">
        <v>1</v>
      </c>
    </row>
    <row r="103" spans="1:3">
      <c r="A103" s="10" t="s">
        <v>244</v>
      </c>
      <c r="C103" s="10">
        <v>1</v>
      </c>
    </row>
    <row r="104" spans="1:3">
      <c r="A104" s="10" t="s">
        <v>245</v>
      </c>
      <c r="C104" s="10">
        <v>1</v>
      </c>
    </row>
    <row r="105" spans="1:3">
      <c r="A105" s="10" t="s">
        <v>246</v>
      </c>
      <c r="C105" s="10">
        <v>1</v>
      </c>
    </row>
    <row r="106" spans="1:3">
      <c r="A106" s="10" t="s">
        <v>247</v>
      </c>
      <c r="C106" s="10">
        <v>1</v>
      </c>
    </row>
    <row r="107" spans="1:3">
      <c r="A107" s="10" t="s">
        <v>248</v>
      </c>
      <c r="C107" s="10">
        <v>1</v>
      </c>
    </row>
    <row r="108" spans="1:3">
      <c r="A108" s="10" t="s">
        <v>254</v>
      </c>
      <c r="C108" s="10">
        <v>1</v>
      </c>
    </row>
    <row r="109" spans="1:3">
      <c r="A109" s="10" t="s">
        <v>255</v>
      </c>
      <c r="C109" s="10">
        <v>1</v>
      </c>
    </row>
    <row r="110" spans="1:3">
      <c r="A110" s="10" t="s">
        <v>267</v>
      </c>
      <c r="B110" s="10">
        <v>1</v>
      </c>
      <c r="C110" s="10">
        <v>0</v>
      </c>
    </row>
    <row r="111" spans="1:3">
      <c r="A111" s="10" t="s">
        <v>261</v>
      </c>
      <c r="B111" s="10">
        <v>1</v>
      </c>
      <c r="C111" s="10">
        <v>0</v>
      </c>
    </row>
    <row r="112" spans="1:3">
      <c r="A112" s="10" t="s">
        <v>262</v>
      </c>
      <c r="B112" s="10">
        <v>1</v>
      </c>
      <c r="C112" s="10">
        <v>0</v>
      </c>
    </row>
    <row r="113" spans="1:8">
      <c r="A113" s="10" t="s">
        <v>268</v>
      </c>
      <c r="B113" s="10">
        <v>1</v>
      </c>
      <c r="D113" s="10">
        <v>0</v>
      </c>
    </row>
    <row r="114" spans="1:8">
      <c r="A114" s="10" t="s">
        <v>259</v>
      </c>
      <c r="B114" s="10">
        <v>1</v>
      </c>
      <c r="D114" s="10">
        <v>0</v>
      </c>
    </row>
    <row r="115" spans="1:8">
      <c r="A115" s="10" t="s">
        <v>260</v>
      </c>
      <c r="B115" s="10">
        <v>1</v>
      </c>
      <c r="D115" s="10">
        <v>0</v>
      </c>
    </row>
    <row r="116" spans="1:8">
      <c r="A116" s="10" t="s">
        <v>263</v>
      </c>
      <c r="C116" s="10">
        <v>1</v>
      </c>
    </row>
    <row r="117" spans="1:8">
      <c r="A117" s="10" t="s">
        <v>264</v>
      </c>
      <c r="C117" s="10">
        <v>1</v>
      </c>
    </row>
    <row r="118" spans="1:8">
      <c r="A118" s="10" t="s">
        <v>256</v>
      </c>
      <c r="B118" s="10">
        <v>1</v>
      </c>
    </row>
    <row r="119" spans="1:8">
      <c r="A119" s="10" t="s">
        <v>257</v>
      </c>
      <c r="B119" s="10">
        <v>1</v>
      </c>
    </row>
    <row r="120" spans="1:8">
      <c r="A120" s="10" t="s">
        <v>258</v>
      </c>
      <c r="B120" s="10">
        <v>1</v>
      </c>
    </row>
    <row r="121" spans="1:8">
      <c r="A121" s="10" t="s">
        <v>265</v>
      </c>
      <c r="H121" s="10">
        <v>1</v>
      </c>
    </row>
    <row r="122" spans="1:8">
      <c r="A122" s="10" t="s">
        <v>266</v>
      </c>
      <c r="H122" s="10">
        <v>1</v>
      </c>
    </row>
    <row r="123" spans="1:8">
      <c r="A123" s="10" t="s">
        <v>269</v>
      </c>
      <c r="H123" s="10">
        <v>1</v>
      </c>
    </row>
    <row r="124" spans="1:8">
      <c r="A124" s="10" t="s">
        <v>272</v>
      </c>
      <c r="D124" s="10">
        <v>1</v>
      </c>
    </row>
    <row r="125" spans="1:8">
      <c r="A125" s="10" t="s">
        <v>273</v>
      </c>
      <c r="C125" s="10">
        <v>1</v>
      </c>
    </row>
    <row r="126" spans="1:8">
      <c r="A126" s="10" t="s">
        <v>274</v>
      </c>
      <c r="H126" s="10">
        <v>1</v>
      </c>
    </row>
    <row r="127" spans="1:8">
      <c r="A127" s="10" t="s">
        <v>329</v>
      </c>
      <c r="H127" s="10">
        <v>1</v>
      </c>
    </row>
    <row r="128" spans="1:8">
      <c r="A128" s="10" t="s">
        <v>330</v>
      </c>
      <c r="F128" s="10">
        <v>1</v>
      </c>
    </row>
    <row r="129" spans="1:8">
      <c r="A129" s="10" t="s">
        <v>331</v>
      </c>
      <c r="F129" s="10">
        <v>1</v>
      </c>
    </row>
    <row r="130" spans="1:8">
      <c r="A130" s="10" t="s">
        <v>332</v>
      </c>
      <c r="F130" s="10">
        <v>1</v>
      </c>
    </row>
    <row r="131" spans="1:8">
      <c r="A131" s="10" t="s">
        <v>333</v>
      </c>
      <c r="F131" s="10">
        <v>1</v>
      </c>
    </row>
    <row r="132" spans="1:8">
      <c r="A132" s="10" t="s">
        <v>334</v>
      </c>
      <c r="F132" s="10">
        <v>1</v>
      </c>
    </row>
    <row r="133" spans="1:8">
      <c r="A133" s="10" t="s">
        <v>335</v>
      </c>
      <c r="F133" s="10">
        <v>1</v>
      </c>
    </row>
    <row r="134" spans="1:8">
      <c r="A134" s="62" t="s">
        <v>339</v>
      </c>
      <c r="H134" s="10">
        <v>1</v>
      </c>
    </row>
    <row r="135" spans="1:8">
      <c r="A135" s="62" t="s">
        <v>340</v>
      </c>
      <c r="H135" s="10">
        <v>1</v>
      </c>
    </row>
    <row r="136" spans="1:8">
      <c r="A136" s="10" t="s">
        <v>338</v>
      </c>
      <c r="F136" s="10">
        <v>1</v>
      </c>
    </row>
    <row r="137" spans="1:8">
      <c r="A137" s="62" t="s">
        <v>345</v>
      </c>
      <c r="E137" s="10">
        <v>1</v>
      </c>
    </row>
    <row r="138" spans="1:8">
      <c r="A138" s="62" t="s">
        <v>346</v>
      </c>
      <c r="E138" s="10">
        <v>1</v>
      </c>
    </row>
    <row r="139" spans="1:8">
      <c r="A139" s="62" t="s">
        <v>347</v>
      </c>
      <c r="E139" s="10">
        <v>1</v>
      </c>
    </row>
    <row r="140" spans="1:8">
      <c r="A140" s="10" t="s">
        <v>361</v>
      </c>
      <c r="B140" s="10">
        <v>1</v>
      </c>
    </row>
    <row r="141" spans="1:8">
      <c r="A141" s="10" t="s">
        <v>270</v>
      </c>
      <c r="F141" s="10">
        <v>1</v>
      </c>
    </row>
    <row r="142" spans="1:8">
      <c r="A142" s="10" t="s">
        <v>363</v>
      </c>
      <c r="H142" s="10">
        <v>1</v>
      </c>
    </row>
    <row r="143" spans="1:8">
      <c r="A143" s="10" t="s">
        <v>364</v>
      </c>
      <c r="H143" s="10">
        <v>1</v>
      </c>
    </row>
    <row r="144" spans="1:8">
      <c r="A144" s="10" t="s">
        <v>365</v>
      </c>
      <c r="F144" s="10">
        <v>1</v>
      </c>
    </row>
    <row r="145" spans="1:9">
      <c r="A145" s="10" t="s">
        <v>366</v>
      </c>
      <c r="F145" s="10">
        <v>1</v>
      </c>
    </row>
    <row r="146" spans="1:9">
      <c r="A146" s="10" t="s">
        <v>367</v>
      </c>
      <c r="F146" s="10">
        <v>1</v>
      </c>
    </row>
    <row r="147" spans="1:9">
      <c r="A147" s="10" t="s">
        <v>475</v>
      </c>
      <c r="I147" s="10">
        <v>1</v>
      </c>
    </row>
    <row r="148" spans="1:9">
      <c r="A148" s="10" t="s">
        <v>108</v>
      </c>
      <c r="I148" s="10">
        <v>1</v>
      </c>
    </row>
    <row r="149" spans="1:9">
      <c r="A149" s="10" t="s">
        <v>109</v>
      </c>
      <c r="I149" s="10">
        <v>1</v>
      </c>
    </row>
    <row r="150" spans="1:9">
      <c r="A150" s="10" t="s">
        <v>481</v>
      </c>
      <c r="I150" s="10">
        <v>1</v>
      </c>
    </row>
    <row r="151" spans="1:9">
      <c r="A151" s="10" t="s">
        <v>479</v>
      </c>
      <c r="I151" s="10">
        <v>1</v>
      </c>
    </row>
    <row r="152" spans="1:9">
      <c r="A152" s="10" t="s">
        <v>483</v>
      </c>
      <c r="I152" s="10">
        <v>1</v>
      </c>
    </row>
    <row r="153" spans="1:9">
      <c r="A153" s="10" t="s">
        <v>476</v>
      </c>
      <c r="I153" s="10">
        <v>1</v>
      </c>
    </row>
    <row r="154" spans="1:9">
      <c r="A154" s="10" t="s">
        <v>477</v>
      </c>
      <c r="I154" s="10">
        <v>1</v>
      </c>
    </row>
    <row r="155" spans="1:9">
      <c r="A155" s="10" t="s">
        <v>478</v>
      </c>
      <c r="I155" s="10">
        <v>1</v>
      </c>
    </row>
    <row r="156" spans="1:9">
      <c r="A156" s="10" t="s">
        <v>482</v>
      </c>
      <c r="I156" s="10">
        <v>1</v>
      </c>
    </row>
    <row r="157" spans="1:9">
      <c r="A157" s="10" t="s">
        <v>480</v>
      </c>
      <c r="I157" s="10">
        <v>1</v>
      </c>
    </row>
    <row r="158" spans="1:9">
      <c r="A158" s="10" t="s">
        <v>484</v>
      </c>
      <c r="I158" s="10">
        <v>1</v>
      </c>
    </row>
    <row r="159" spans="1:9">
      <c r="A159" s="10" t="s">
        <v>486</v>
      </c>
      <c r="C159" s="10">
        <v>1</v>
      </c>
    </row>
    <row r="160" spans="1:9">
      <c r="A160" s="10" t="s">
        <v>487</v>
      </c>
      <c r="D160" s="10">
        <v>1</v>
      </c>
    </row>
    <row r="161" spans="1:9">
      <c r="A161" s="10" t="s">
        <v>485</v>
      </c>
      <c r="I161" s="10">
        <v>1</v>
      </c>
    </row>
    <row r="162" spans="1:9">
      <c r="A162" s="10" t="s">
        <v>515</v>
      </c>
      <c r="B162" s="10">
        <v>1</v>
      </c>
    </row>
    <row r="163" spans="1:9">
      <c r="A163" s="10" t="s">
        <v>488</v>
      </c>
      <c r="B163" s="10">
        <v>1</v>
      </c>
    </row>
    <row r="164" spans="1:9">
      <c r="A164" s="10" t="s">
        <v>490</v>
      </c>
      <c r="B164" s="10">
        <v>1</v>
      </c>
    </row>
    <row r="165" spans="1:9">
      <c r="A165" s="10" t="s">
        <v>489</v>
      </c>
      <c r="B165" s="10">
        <v>1</v>
      </c>
    </row>
    <row r="166" spans="1:9">
      <c r="A166" s="10" t="s">
        <v>241</v>
      </c>
      <c r="C166" s="10">
        <v>1</v>
      </c>
    </row>
  </sheetData>
  <dataValidations disablePrompts="1" count="1">
    <dataValidation type="list" allowBlank="1" showInputMessage="1" showErrorMessage="1" sqref="A61 A20:A23 A138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FK6"/>
  <sheetViews>
    <sheetView topLeftCell="EP1" workbookViewId="0">
      <selection activeCell="FC13" sqref="FC13"/>
    </sheetView>
  </sheetViews>
  <sheetFormatPr defaultColWidth="11.42578125" defaultRowHeight="15"/>
  <cols>
    <col min="1" max="1" width="17" style="1" customWidth="1"/>
    <col min="2" max="2" width="16.42578125" style="1" bestFit="1" customWidth="1"/>
    <col min="3" max="3" width="14.42578125" style="1" bestFit="1" customWidth="1"/>
    <col min="4" max="4" width="7.5703125" style="1" bestFit="1" customWidth="1"/>
    <col min="5" max="5" width="11" style="1" bestFit="1" customWidth="1"/>
    <col min="6" max="6" width="11" style="1" customWidth="1"/>
    <col min="7" max="7" width="14" style="1" bestFit="1" customWidth="1"/>
    <col min="8" max="8" width="14" style="1" customWidth="1"/>
    <col min="9" max="9" width="14.42578125" style="1" bestFit="1" customWidth="1"/>
    <col min="10" max="10" width="8.42578125" style="1" bestFit="1" customWidth="1"/>
    <col min="11" max="11" width="6.42578125" style="1" bestFit="1" customWidth="1"/>
    <col min="12" max="12" width="6" style="1" bestFit="1" customWidth="1"/>
    <col min="13" max="13" width="13.42578125" style="1" bestFit="1" customWidth="1"/>
    <col min="14" max="14" width="11.42578125" style="1" bestFit="1" customWidth="1"/>
    <col min="15" max="15" width="16.42578125" style="1" bestFit="1" customWidth="1"/>
    <col min="16" max="16" width="14.42578125" style="1" bestFit="1" customWidth="1"/>
    <col min="17" max="17" width="18" style="1" bestFit="1" customWidth="1"/>
    <col min="18" max="18" width="7.85546875" style="1" bestFit="1" customWidth="1"/>
    <col min="19" max="19" width="14.42578125" style="1" bestFit="1" customWidth="1"/>
    <col min="20" max="20" width="11" style="1" bestFit="1" customWidth="1"/>
    <col min="21" max="21" width="16" style="1" bestFit="1" customWidth="1"/>
    <col min="22" max="22" width="14.140625" style="1" bestFit="1" customWidth="1"/>
    <col min="23" max="23" width="17.42578125" style="1" bestFit="1" customWidth="1"/>
    <col min="24" max="24" width="7.42578125" style="1" bestFit="1" customWidth="1"/>
    <col min="25" max="25" width="14" style="1" bestFit="1" customWidth="1"/>
    <col min="26" max="26" width="12.85546875" style="1" bestFit="1" customWidth="1"/>
    <col min="27" max="28" width="11" style="1" bestFit="1" customWidth="1"/>
    <col min="29" max="29" width="14" style="1" bestFit="1" customWidth="1"/>
    <col min="30" max="30" width="12.42578125" style="1" bestFit="1" customWidth="1"/>
    <col min="31" max="31" width="5.5703125" style="1" bestFit="1" customWidth="1"/>
    <col min="32" max="32" width="8.5703125" style="1" bestFit="1" customWidth="1"/>
    <col min="33" max="33" width="5.5703125" style="1" bestFit="1" customWidth="1"/>
    <col min="34" max="34" width="7.42578125" style="1" bestFit="1" customWidth="1"/>
    <col min="35" max="35" width="14.42578125" style="1" bestFit="1" customWidth="1"/>
    <col min="36" max="36" width="13.85546875" style="1" bestFit="1" customWidth="1"/>
    <col min="37" max="38" width="14.42578125" style="1" bestFit="1" customWidth="1"/>
    <col min="39" max="39" width="9.42578125" style="1" bestFit="1" customWidth="1"/>
    <col min="40" max="40" width="13.85546875" style="1" bestFit="1" customWidth="1"/>
    <col min="41" max="41" width="16.42578125" style="1" bestFit="1" customWidth="1"/>
    <col min="42" max="42" width="15.42578125" style="1" bestFit="1" customWidth="1"/>
    <col min="43" max="43" width="16.42578125" style="1" bestFit="1" customWidth="1"/>
    <col min="44" max="44" width="20.42578125" style="1" bestFit="1" customWidth="1"/>
    <col min="45" max="45" width="19.42578125" style="1" bestFit="1" customWidth="1"/>
    <col min="46" max="46" width="20.42578125" style="1" bestFit="1" customWidth="1"/>
    <col min="47" max="47" width="20.140625" style="1" bestFit="1" customWidth="1"/>
    <col min="48" max="48" width="19.42578125" style="1" bestFit="1" customWidth="1"/>
    <col min="49" max="49" width="20.140625" style="1" bestFit="1" customWidth="1"/>
    <col min="50" max="50" width="11.42578125" style="1" bestFit="1" customWidth="1"/>
    <col min="51" max="51" width="9.5703125" style="1" bestFit="1" customWidth="1"/>
    <col min="52" max="52" width="14.140625" style="1" bestFit="1" customWidth="1"/>
    <col min="53" max="55" width="11.42578125" style="1"/>
    <col min="56" max="56" width="12.42578125" style="27" bestFit="1" customWidth="1"/>
    <col min="57" max="57" width="14.140625" style="27" bestFit="1" customWidth="1"/>
    <col min="58" max="58" width="12.42578125" style="27" bestFit="1" customWidth="1"/>
    <col min="59" max="59" width="11.5703125" style="27" bestFit="1" customWidth="1"/>
    <col min="60" max="60" width="11.85546875" style="27" bestFit="1" customWidth="1"/>
    <col min="61" max="61" width="13.5703125" style="27" bestFit="1" customWidth="1"/>
    <col min="62" max="62" width="12" style="27" bestFit="1" customWidth="1"/>
    <col min="63" max="63" width="11.42578125" style="27" bestFit="1" customWidth="1"/>
    <col min="64" max="64" width="12.5703125" style="27" bestFit="1" customWidth="1"/>
    <col min="65" max="65" width="11.5703125" style="27" bestFit="1" customWidth="1"/>
    <col min="66" max="66" width="13" style="27" bestFit="1" customWidth="1"/>
    <col min="67" max="67" width="11.42578125" style="27" bestFit="1" customWidth="1"/>
    <col min="68" max="68" width="13.5703125" style="27" bestFit="1" customWidth="1"/>
    <col min="69" max="69" width="15.42578125" style="27" bestFit="1" customWidth="1"/>
    <col min="70" max="70" width="14" style="27" bestFit="1" customWidth="1"/>
    <col min="71" max="71" width="13.140625" style="27" bestFit="1" customWidth="1"/>
    <col min="72" max="72" width="13.42578125" style="27" bestFit="1" customWidth="1"/>
    <col min="73" max="73" width="15.140625" style="27" bestFit="1" customWidth="1"/>
    <col min="74" max="16384" width="11.42578125" style="1"/>
  </cols>
  <sheetData>
    <row r="1" spans="1:167">
      <c r="A1" s="1" t="s">
        <v>392</v>
      </c>
    </row>
    <row r="2" spans="1:167">
      <c r="A2" s="1" t="s">
        <v>393</v>
      </c>
    </row>
    <row r="3" spans="1:167">
      <c r="A3" s="1" t="s">
        <v>396</v>
      </c>
    </row>
    <row r="5" spans="1:167" ht="75">
      <c r="A5" s="1" t="s">
        <v>20</v>
      </c>
      <c r="B5" s="1" t="s">
        <v>175</v>
      </c>
      <c r="C5" s="1" t="s">
        <v>176</v>
      </c>
      <c r="D5" s="1" t="s">
        <v>140</v>
      </c>
      <c r="E5" s="1" t="s">
        <v>141</v>
      </c>
      <c r="F5" s="1" t="s">
        <v>152</v>
      </c>
      <c r="G5" s="1" t="s">
        <v>153</v>
      </c>
      <c r="H5" s="1" t="s">
        <v>252</v>
      </c>
      <c r="I5" s="1" t="s">
        <v>250</v>
      </c>
      <c r="J5" s="1" t="s">
        <v>139</v>
      </c>
      <c r="K5" s="1" t="s">
        <v>142</v>
      </c>
      <c r="L5" s="24" t="s">
        <v>134</v>
      </c>
      <c r="M5" s="24" t="s">
        <v>135</v>
      </c>
      <c r="N5" s="24" t="s">
        <v>129</v>
      </c>
      <c r="O5" s="24" t="s">
        <v>61</v>
      </c>
      <c r="P5" s="24" t="s">
        <v>130</v>
      </c>
      <c r="Q5" s="24" t="s">
        <v>131</v>
      </c>
      <c r="R5" s="24" t="s">
        <v>181</v>
      </c>
      <c r="S5" s="24" t="s">
        <v>60</v>
      </c>
      <c r="T5" s="24" t="s">
        <v>59</v>
      </c>
      <c r="U5" s="1" t="s">
        <v>163</v>
      </c>
      <c r="V5" s="1" t="s">
        <v>107</v>
      </c>
      <c r="W5" s="1" t="s">
        <v>106</v>
      </c>
      <c r="X5" s="1" t="s">
        <v>22</v>
      </c>
      <c r="Y5" s="1" t="s">
        <v>23</v>
      </c>
      <c r="Z5" s="1" t="s">
        <v>58</v>
      </c>
      <c r="AA5" s="24" t="s">
        <v>137</v>
      </c>
      <c r="AB5" s="24" t="s">
        <v>62</v>
      </c>
      <c r="AC5" s="24" t="s">
        <v>138</v>
      </c>
      <c r="AD5" s="24" t="s">
        <v>132</v>
      </c>
      <c r="AE5" s="24" t="s">
        <v>133</v>
      </c>
      <c r="AF5" s="24" t="s">
        <v>64</v>
      </c>
      <c r="AG5" s="24" t="s">
        <v>127</v>
      </c>
      <c r="AH5" s="24" t="s">
        <v>63</v>
      </c>
      <c r="AI5" s="24" t="s">
        <v>128</v>
      </c>
      <c r="AJ5" s="1" t="s">
        <v>90</v>
      </c>
      <c r="AK5" s="1" t="s">
        <v>89</v>
      </c>
      <c r="AL5" s="1" t="s">
        <v>88</v>
      </c>
      <c r="AM5" s="1" t="s">
        <v>91</v>
      </c>
      <c r="AN5" s="1" t="s">
        <v>92</v>
      </c>
      <c r="AO5" s="1" t="s">
        <v>158</v>
      </c>
      <c r="AP5" s="1" t="s">
        <v>100</v>
      </c>
      <c r="AQ5" s="1" t="s">
        <v>105</v>
      </c>
      <c r="AR5" s="1" t="s">
        <v>102</v>
      </c>
      <c r="AS5" s="1" t="s">
        <v>103</v>
      </c>
      <c r="AT5" s="1" t="s">
        <v>104</v>
      </c>
      <c r="AU5" s="1" t="s">
        <v>177</v>
      </c>
      <c r="AV5" s="1" t="s">
        <v>178</v>
      </c>
      <c r="AW5" s="1" t="s">
        <v>94</v>
      </c>
      <c r="AX5" s="1" t="s">
        <v>93</v>
      </c>
      <c r="AY5" s="1" t="s">
        <v>95</v>
      </c>
      <c r="AZ5" s="1" t="s">
        <v>170</v>
      </c>
      <c r="BA5" s="1" t="s">
        <v>171</v>
      </c>
      <c r="BB5" s="1" t="s">
        <v>172</v>
      </c>
      <c r="BC5" s="1" t="s">
        <v>97</v>
      </c>
      <c r="BD5" s="1" t="s">
        <v>96</v>
      </c>
      <c r="BE5" s="1" t="s">
        <v>98</v>
      </c>
      <c r="BF5" s="1" t="s">
        <v>125</v>
      </c>
      <c r="BG5" s="1" t="s">
        <v>126</v>
      </c>
      <c r="BH5" s="1" t="s">
        <v>162</v>
      </c>
      <c r="BI5" s="1" t="s">
        <v>186</v>
      </c>
      <c r="BJ5" s="1" t="s">
        <v>185</v>
      </c>
      <c r="BK5" s="1" t="s">
        <v>187</v>
      </c>
      <c r="BL5" s="1" t="s">
        <v>195</v>
      </c>
      <c r="BM5" s="1" t="s">
        <v>196</v>
      </c>
      <c r="BN5" s="1" t="s">
        <v>198</v>
      </c>
      <c r="BO5" s="1" t="s">
        <v>199</v>
      </c>
      <c r="BP5" s="1" t="s">
        <v>200</v>
      </c>
      <c r="BQ5" s="1" t="s">
        <v>153</v>
      </c>
      <c r="BR5" s="1" t="s">
        <v>224</v>
      </c>
      <c r="BS5" s="1" t="s">
        <v>211</v>
      </c>
      <c r="BT5" s="1" t="s">
        <v>206</v>
      </c>
      <c r="BU5" s="1" t="s">
        <v>210</v>
      </c>
      <c r="BV5" s="1" t="s">
        <v>207</v>
      </c>
      <c r="BW5" s="1" t="s">
        <v>208</v>
      </c>
      <c r="BX5" s="1" t="s">
        <v>209</v>
      </c>
      <c r="BY5" s="1" t="s">
        <v>232</v>
      </c>
      <c r="BZ5" s="1" t="s">
        <v>233</v>
      </c>
      <c r="CA5" s="1" t="s">
        <v>234</v>
      </c>
      <c r="CB5" s="1" t="s">
        <v>235</v>
      </c>
      <c r="CC5" s="1" t="s">
        <v>236</v>
      </c>
      <c r="CD5" s="1" t="s">
        <v>215</v>
      </c>
      <c r="CE5" s="1" t="s">
        <v>225</v>
      </c>
      <c r="CF5" s="1" t="s">
        <v>226</v>
      </c>
      <c r="CG5" s="1" t="s">
        <v>216</v>
      </c>
      <c r="CH5" s="1" t="s">
        <v>217</v>
      </c>
      <c r="CI5" s="1" t="s">
        <v>218</v>
      </c>
      <c r="CJ5" s="1" t="s">
        <v>219</v>
      </c>
      <c r="CK5" s="1" t="s">
        <v>220</v>
      </c>
      <c r="CL5" s="1" t="s">
        <v>221</v>
      </c>
      <c r="CM5" s="1" t="s">
        <v>237</v>
      </c>
      <c r="CN5" s="1" t="s">
        <v>238</v>
      </c>
      <c r="CO5" s="1" t="s">
        <v>239</v>
      </c>
      <c r="CP5" s="1" t="s">
        <v>222</v>
      </c>
      <c r="CQ5" s="1" t="s">
        <v>227</v>
      </c>
      <c r="CR5" s="1" t="s">
        <v>223</v>
      </c>
      <c r="CS5" s="1" t="s">
        <v>230</v>
      </c>
      <c r="CT5" s="1" t="s">
        <v>228</v>
      </c>
      <c r="CU5" s="1" t="s">
        <v>229</v>
      </c>
      <c r="CV5" s="1" t="s">
        <v>240</v>
      </c>
      <c r="CW5" s="1" t="s">
        <v>231</v>
      </c>
      <c r="CX5" s="1" t="s">
        <v>243</v>
      </c>
      <c r="CY5" s="1" t="s">
        <v>244</v>
      </c>
      <c r="CZ5" s="1" t="s">
        <v>245</v>
      </c>
      <c r="DA5" s="1" t="s">
        <v>246</v>
      </c>
      <c r="DB5" s="1" t="s">
        <v>247</v>
      </c>
      <c r="DC5" s="1" t="s">
        <v>248</v>
      </c>
      <c r="DD5" s="1" t="s">
        <v>249</v>
      </c>
      <c r="DE5" s="1" t="s">
        <v>254</v>
      </c>
      <c r="DF5" s="1" t="s">
        <v>255</v>
      </c>
      <c r="DG5" s="1" t="s">
        <v>267</v>
      </c>
      <c r="DH5" s="1" t="s">
        <v>261</v>
      </c>
      <c r="DI5" s="1" t="s">
        <v>262</v>
      </c>
      <c r="DJ5" s="1" t="s">
        <v>268</v>
      </c>
      <c r="DK5" s="1" t="s">
        <v>259</v>
      </c>
      <c r="DL5" s="1" t="s">
        <v>260</v>
      </c>
      <c r="DM5" s="1" t="s">
        <v>263</v>
      </c>
      <c r="DN5" s="1" t="s">
        <v>264</v>
      </c>
      <c r="DO5" s="1" t="s">
        <v>256</v>
      </c>
      <c r="DP5" s="1" t="s">
        <v>257</v>
      </c>
      <c r="DQ5" s="1" t="s">
        <v>258</v>
      </c>
      <c r="DR5" s="1" t="s">
        <v>265</v>
      </c>
      <c r="DS5" s="1" t="s">
        <v>266</v>
      </c>
      <c r="DT5" s="1" t="s">
        <v>269</v>
      </c>
      <c r="DU5" s="1" t="s">
        <v>270</v>
      </c>
      <c r="DV5" s="1" t="s">
        <v>272</v>
      </c>
      <c r="DW5" s="1" t="s">
        <v>273</v>
      </c>
      <c r="DX5" s="1" t="s">
        <v>274</v>
      </c>
      <c r="DY5" s="1" t="s">
        <v>241</v>
      </c>
      <c r="DZ5" s="1" t="s">
        <v>329</v>
      </c>
      <c r="EA5" s="1" t="s">
        <v>330</v>
      </c>
      <c r="EB5" s="1" t="s">
        <v>331</v>
      </c>
      <c r="EC5" s="1" t="s">
        <v>332</v>
      </c>
      <c r="ED5" s="1" t="s">
        <v>333</v>
      </c>
      <c r="EE5" s="1" t="s">
        <v>334</v>
      </c>
      <c r="EF5" s="1" t="s">
        <v>335</v>
      </c>
      <c r="EG5" s="24" t="s">
        <v>339</v>
      </c>
      <c r="EH5" s="24" t="s">
        <v>340</v>
      </c>
      <c r="EI5" s="24" t="s">
        <v>345</v>
      </c>
      <c r="EJ5" s="24" t="s">
        <v>346</v>
      </c>
      <c r="EK5" s="24" t="s">
        <v>347</v>
      </c>
      <c r="EL5" s="1" t="s">
        <v>361</v>
      </c>
      <c r="EM5" s="24" t="s">
        <v>270</v>
      </c>
      <c r="EN5" s="24" t="s">
        <v>363</v>
      </c>
      <c r="EO5" s="24" t="s">
        <v>364</v>
      </c>
      <c r="EP5" s="24" t="s">
        <v>365</v>
      </c>
      <c r="EQ5" s="1" t="s">
        <v>366</v>
      </c>
      <c r="ER5" s="1" t="s">
        <v>367</v>
      </c>
      <c r="ES5" s="1" t="s">
        <v>475</v>
      </c>
      <c r="ET5" s="1" t="s">
        <v>108</v>
      </c>
      <c r="EU5" s="1" t="s">
        <v>109</v>
      </c>
      <c r="EV5" s="1" t="s">
        <v>481</v>
      </c>
      <c r="EW5" s="1" t="s">
        <v>479</v>
      </c>
      <c r="EX5" s="1" t="s">
        <v>483</v>
      </c>
      <c r="EY5" s="1" t="s">
        <v>484</v>
      </c>
      <c r="EZ5" s="1" t="s">
        <v>476</v>
      </c>
      <c r="FA5" s="1" t="s">
        <v>477</v>
      </c>
      <c r="FB5" s="1" t="s">
        <v>478</v>
      </c>
      <c r="FC5" s="1" t="s">
        <v>482</v>
      </c>
      <c r="FD5" s="1" t="s">
        <v>480</v>
      </c>
      <c r="FE5" s="1" t="s">
        <v>486</v>
      </c>
      <c r="FF5" s="1" t="s">
        <v>487</v>
      </c>
      <c r="FG5" s="1" t="s">
        <v>485</v>
      </c>
      <c r="FH5" s="9" t="s">
        <v>488</v>
      </c>
      <c r="FI5" s="9" t="s">
        <v>490</v>
      </c>
      <c r="FJ5" s="9" t="s">
        <v>489</v>
      </c>
      <c r="FK5" s="10" t="s">
        <v>499</v>
      </c>
    </row>
    <row r="6" spans="1:167">
      <c r="A6" s="26" t="s">
        <v>284</v>
      </c>
      <c r="B6" s="1">
        <v>1</v>
      </c>
      <c r="C6" s="1">
        <v>1</v>
      </c>
      <c r="D6" s="1">
        <v>31.536000000000001</v>
      </c>
      <c r="E6" s="1">
        <v>31.536000000000001</v>
      </c>
      <c r="F6" s="1">
        <v>31.536000000000001</v>
      </c>
      <c r="G6" s="1">
        <v>31.536000000000001</v>
      </c>
      <c r="H6" s="1">
        <v>31.536000000000001</v>
      </c>
      <c r="I6" s="1">
        <v>31.536000000000001</v>
      </c>
      <c r="J6" s="1">
        <v>31.536000000000001</v>
      </c>
      <c r="K6" s="1">
        <v>31.536000000000001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31.536000000000001</v>
      </c>
      <c r="V6" s="1">
        <v>31.536000000000001</v>
      </c>
      <c r="W6" s="1">
        <v>31.536000000000001</v>
      </c>
      <c r="X6" s="1">
        <v>31.536000000000001</v>
      </c>
      <c r="Y6" s="1">
        <v>31.536000000000001</v>
      </c>
      <c r="Z6" s="1">
        <v>31.536000000000001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31.536000000000001</v>
      </c>
      <c r="AK6" s="1">
        <v>31.536000000000001</v>
      </c>
      <c r="AL6" s="1">
        <v>31.536000000000001</v>
      </c>
      <c r="AM6" s="1">
        <v>31.536000000000001</v>
      </c>
      <c r="AN6" s="1">
        <v>31.536000000000001</v>
      </c>
      <c r="AO6" s="1">
        <v>0</v>
      </c>
      <c r="AP6" s="1">
        <v>31.536000000000001</v>
      </c>
      <c r="AQ6" s="1">
        <v>31.536000000000001</v>
      </c>
      <c r="AR6" s="1">
        <v>31.536000000000001</v>
      </c>
      <c r="AS6" s="1">
        <v>31.536000000000001</v>
      </c>
      <c r="AT6" s="1">
        <v>31.536000000000001</v>
      </c>
      <c r="AU6" s="1">
        <v>31.536000000000001</v>
      </c>
      <c r="AV6" s="1">
        <v>31.536000000000001</v>
      </c>
      <c r="AW6" s="1">
        <v>31.536000000000001</v>
      </c>
      <c r="AX6" s="1">
        <v>31.536000000000001</v>
      </c>
      <c r="AY6" s="1">
        <v>31.536000000000001</v>
      </c>
      <c r="AZ6" s="1">
        <v>31.536000000000001</v>
      </c>
      <c r="BA6" s="1">
        <v>31.536000000000001</v>
      </c>
      <c r="BB6" s="1">
        <v>31.536000000000001</v>
      </c>
      <c r="BC6" s="1">
        <v>31.536000000000001</v>
      </c>
      <c r="BD6" s="1">
        <v>31.536000000000001</v>
      </c>
      <c r="BE6" s="1">
        <v>31.536000000000001</v>
      </c>
      <c r="BF6" s="1">
        <v>31.536000000000001</v>
      </c>
      <c r="BG6" s="1">
        <v>31.536000000000001</v>
      </c>
      <c r="BH6" s="1">
        <v>31.536000000000001</v>
      </c>
      <c r="BI6" s="1">
        <v>31.536000000000001</v>
      </c>
      <c r="BJ6" s="1">
        <v>31.536000000000001</v>
      </c>
      <c r="BK6" s="1">
        <v>31.536000000000001</v>
      </c>
      <c r="BL6" s="1">
        <v>31.536000000000001</v>
      </c>
      <c r="BM6" s="1">
        <v>31.536000000000001</v>
      </c>
      <c r="BN6" s="1">
        <v>31.536000000000001</v>
      </c>
      <c r="BO6" s="1">
        <v>31.536000000000001</v>
      </c>
      <c r="BP6" s="1">
        <v>1</v>
      </c>
      <c r="BQ6" s="1">
        <v>1</v>
      </c>
      <c r="BR6" s="1">
        <v>31.536000000000001</v>
      </c>
      <c r="BS6" s="1">
        <v>31.536000000000001</v>
      </c>
      <c r="BT6" s="1">
        <v>31.536000000000001</v>
      </c>
      <c r="BU6" s="1">
        <v>31.536000000000001</v>
      </c>
      <c r="BV6" s="1">
        <v>31.536000000000001</v>
      </c>
      <c r="BW6" s="1">
        <v>31.536000000000001</v>
      </c>
      <c r="BX6" s="1">
        <v>31.536000000000001</v>
      </c>
      <c r="BY6" s="1">
        <v>31.536000000000001</v>
      </c>
      <c r="BZ6" s="1">
        <v>31.536000000000001</v>
      </c>
      <c r="CA6" s="1">
        <v>31.536000000000001</v>
      </c>
      <c r="CB6" s="1">
        <v>31.536000000000001</v>
      </c>
      <c r="CC6" s="1">
        <v>31.536000000000001</v>
      </c>
      <c r="CD6" s="1">
        <v>31.536000000000001</v>
      </c>
      <c r="CE6" s="1">
        <v>31.536000000000001</v>
      </c>
      <c r="CF6" s="1">
        <v>31.536000000000001</v>
      </c>
      <c r="CG6" s="1">
        <v>31.536000000000001</v>
      </c>
      <c r="CH6" s="1">
        <v>31.536000000000001</v>
      </c>
      <c r="CI6" s="1">
        <v>31.536000000000001</v>
      </c>
      <c r="CJ6" s="1">
        <v>31.536000000000001</v>
      </c>
      <c r="CK6" s="1">
        <v>31.536000000000001</v>
      </c>
      <c r="CL6" s="1">
        <v>31.536000000000001</v>
      </c>
      <c r="CM6" s="1">
        <v>31.536000000000001</v>
      </c>
      <c r="CN6" s="1">
        <v>31.536000000000001</v>
      </c>
      <c r="CO6" s="1">
        <v>31.536000000000001</v>
      </c>
      <c r="CP6" s="1">
        <v>31.536000000000001</v>
      </c>
      <c r="CQ6" s="1">
        <v>31.536000000000001</v>
      </c>
      <c r="CR6" s="1">
        <v>31.536000000000001</v>
      </c>
      <c r="CS6" s="1">
        <v>31.536000000000001</v>
      </c>
      <c r="CT6" s="1">
        <v>31.536000000000001</v>
      </c>
      <c r="CU6" s="1">
        <v>31.536000000000001</v>
      </c>
      <c r="CV6" s="1">
        <v>31.536000000000001</v>
      </c>
      <c r="CW6" s="1">
        <v>31.536000000000001</v>
      </c>
      <c r="CX6" s="1">
        <v>31.536000000000001</v>
      </c>
      <c r="CY6" s="1">
        <v>31.536000000000001</v>
      </c>
      <c r="CZ6" s="1">
        <v>31.536000000000001</v>
      </c>
      <c r="DA6" s="1">
        <v>31.536000000000001</v>
      </c>
      <c r="DB6" s="1">
        <v>31.536000000000001</v>
      </c>
      <c r="DC6" s="1">
        <v>31.536000000000001</v>
      </c>
      <c r="DD6" s="1">
        <v>31.536000000000001</v>
      </c>
      <c r="DE6" s="1">
        <v>31.536000000000001</v>
      </c>
      <c r="DF6" s="1">
        <v>31.536000000000001</v>
      </c>
      <c r="DG6" s="1">
        <v>31.536000000000001</v>
      </c>
      <c r="DH6" s="1">
        <v>31.536000000000001</v>
      </c>
      <c r="DI6" s="1">
        <v>31.536000000000001</v>
      </c>
      <c r="DJ6" s="1">
        <v>31.536000000000001</v>
      </c>
      <c r="DK6" s="1">
        <v>31.536000000000001</v>
      </c>
      <c r="DL6" s="1">
        <v>31.536000000000001</v>
      </c>
      <c r="DM6" s="1">
        <v>31.536000000000001</v>
      </c>
      <c r="DN6" s="1">
        <v>31.536000000000001</v>
      </c>
      <c r="DO6" s="1">
        <v>31.536000000000001</v>
      </c>
      <c r="DP6" s="1">
        <v>31.536000000000001</v>
      </c>
      <c r="DQ6" s="1">
        <v>31.536000000000001</v>
      </c>
      <c r="DR6" s="1">
        <v>31.536000000000001</v>
      </c>
      <c r="DS6" s="1">
        <v>31.536000000000001</v>
      </c>
      <c r="DT6" s="1">
        <v>31.536000000000001</v>
      </c>
      <c r="DU6" s="1">
        <v>1</v>
      </c>
      <c r="DV6" s="1">
        <v>31.536000000000001</v>
      </c>
      <c r="DW6" s="1">
        <v>31.536000000000001</v>
      </c>
      <c r="DX6" s="1">
        <v>31.536000000000001</v>
      </c>
      <c r="DY6" s="1">
        <v>31.536000000000001</v>
      </c>
      <c r="DZ6" s="1">
        <v>1</v>
      </c>
      <c r="EA6" s="1">
        <v>1</v>
      </c>
      <c r="EB6" s="1">
        <v>1</v>
      </c>
      <c r="EC6" s="1">
        <v>1</v>
      </c>
      <c r="ED6" s="1">
        <v>1</v>
      </c>
      <c r="EE6" s="1">
        <v>1</v>
      </c>
      <c r="EF6" s="1">
        <v>1</v>
      </c>
      <c r="EG6" s="1">
        <v>31.536000000000001</v>
      </c>
      <c r="EH6" s="1">
        <v>31.536000000000001</v>
      </c>
      <c r="EI6" s="1">
        <v>1</v>
      </c>
      <c r="EJ6" s="1">
        <v>1</v>
      </c>
      <c r="EK6" s="1">
        <v>1</v>
      </c>
      <c r="EL6" s="1">
        <v>31.536000000000001</v>
      </c>
      <c r="EM6" s="1">
        <v>1</v>
      </c>
      <c r="EN6" s="1">
        <v>1</v>
      </c>
      <c r="EO6" s="1">
        <v>1</v>
      </c>
      <c r="EP6" s="1">
        <v>31.536000000000001</v>
      </c>
      <c r="EQ6" s="1">
        <v>1</v>
      </c>
      <c r="ER6" s="1">
        <v>1</v>
      </c>
      <c r="ES6" s="1">
        <v>31.536000000000001</v>
      </c>
      <c r="ET6" s="1">
        <v>31.536000000000001</v>
      </c>
      <c r="EU6" s="1">
        <v>31.536000000000001</v>
      </c>
      <c r="EV6" s="1">
        <v>31.536000000000001</v>
      </c>
      <c r="EW6" s="1">
        <v>31.536000000000001</v>
      </c>
      <c r="EX6" s="1">
        <v>31.536000000000001</v>
      </c>
      <c r="EY6" s="1">
        <v>31.536000000000001</v>
      </c>
      <c r="EZ6" s="1">
        <v>31.536000000000001</v>
      </c>
      <c r="FA6" s="1">
        <v>31.536000000000001</v>
      </c>
      <c r="FB6" s="1">
        <v>31.536000000000001</v>
      </c>
      <c r="FC6" s="1">
        <v>31.536000000000001</v>
      </c>
      <c r="FD6" s="1">
        <v>31.536000000000001</v>
      </c>
      <c r="FE6" s="1">
        <v>1</v>
      </c>
      <c r="FF6" s="1">
        <v>1</v>
      </c>
      <c r="FG6" s="1">
        <v>31.536000000000001</v>
      </c>
      <c r="FH6" s="1">
        <v>31.536000000000001</v>
      </c>
      <c r="FI6" s="1">
        <v>31.536000000000001</v>
      </c>
      <c r="FJ6" s="1">
        <v>31.536000000000001</v>
      </c>
      <c r="FK6" s="1">
        <v>31.536000000000001</v>
      </c>
    </row>
  </sheetData>
  <dataValidations count="1">
    <dataValidation type="list" allowBlank="1" showInputMessage="1" showErrorMessage="1" sqref="BG5 Q5:T5 BL5 EJ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I15" sqref="I15"/>
    </sheetView>
  </sheetViews>
  <sheetFormatPr defaultColWidth="11.42578125" defaultRowHeight="15"/>
  <cols>
    <col min="1" max="16384" width="11.42578125" style="1"/>
  </cols>
  <sheetData>
    <row r="1" spans="1:5">
      <c r="A1" s="1" t="s">
        <v>14</v>
      </c>
    </row>
    <row r="2" spans="1:5">
      <c r="A2" s="1" t="s">
        <v>15</v>
      </c>
    </row>
    <row r="3" spans="1:5">
      <c r="A3" s="1" t="s">
        <v>416</v>
      </c>
    </row>
    <row r="5" spans="1:5">
      <c r="A5" s="1" t="s">
        <v>28</v>
      </c>
      <c r="B5" s="1">
        <v>1</v>
      </c>
      <c r="C5" s="1">
        <v>2</v>
      </c>
      <c r="D5" s="1">
        <v>3</v>
      </c>
      <c r="E5" s="1">
        <v>4</v>
      </c>
    </row>
    <row r="6" spans="1:5">
      <c r="A6" s="1" t="s">
        <v>69</v>
      </c>
      <c r="B6" s="1">
        <v>1</v>
      </c>
    </row>
    <row r="7" spans="1:5">
      <c r="A7" s="1" t="s">
        <v>70</v>
      </c>
      <c r="B7" s="1">
        <v>1</v>
      </c>
    </row>
    <row r="8" spans="1:5">
      <c r="A8" s="1" t="s">
        <v>71</v>
      </c>
      <c r="B8" s="1">
        <v>1</v>
      </c>
    </row>
    <row r="9" spans="1:5">
      <c r="A9" s="1" t="s">
        <v>68</v>
      </c>
      <c r="B9" s="1">
        <v>1</v>
      </c>
    </row>
    <row r="10" spans="1:5">
      <c r="A10" s="1" t="s">
        <v>72</v>
      </c>
      <c r="C10" s="1">
        <v>1</v>
      </c>
    </row>
    <row r="11" spans="1:5">
      <c r="A11" s="1" t="s">
        <v>73</v>
      </c>
      <c r="C11" s="1">
        <v>1</v>
      </c>
    </row>
    <row r="12" spans="1:5">
      <c r="A12" s="1" t="s">
        <v>74</v>
      </c>
      <c r="C12" s="1">
        <v>1</v>
      </c>
    </row>
    <row r="13" spans="1:5">
      <c r="A13" s="1" t="s">
        <v>75</v>
      </c>
      <c r="C13" s="1">
        <v>1</v>
      </c>
    </row>
    <row r="14" spans="1:5">
      <c r="A14" s="1" t="s">
        <v>76</v>
      </c>
      <c r="D14" s="1">
        <v>1</v>
      </c>
    </row>
    <row r="15" spans="1:5">
      <c r="A15" s="1" t="s">
        <v>77</v>
      </c>
      <c r="D15" s="1">
        <v>1</v>
      </c>
    </row>
    <row r="16" spans="1:5">
      <c r="A16" s="1" t="s">
        <v>78</v>
      </c>
      <c r="D16" s="1">
        <v>1</v>
      </c>
    </row>
    <row r="17" spans="1:5">
      <c r="A17" s="1" t="s">
        <v>79</v>
      </c>
      <c r="D17" s="1">
        <v>1</v>
      </c>
    </row>
    <row r="18" spans="1:5">
      <c r="A18" s="1" t="s">
        <v>80</v>
      </c>
      <c r="E18" s="1">
        <v>1</v>
      </c>
    </row>
    <row r="19" spans="1:5">
      <c r="A19" s="1" t="s">
        <v>81</v>
      </c>
      <c r="E19" s="1">
        <v>1</v>
      </c>
    </row>
    <row r="20" spans="1:5">
      <c r="A20" s="1" t="s">
        <v>82</v>
      </c>
      <c r="E20" s="1">
        <v>1</v>
      </c>
    </row>
    <row r="21" spans="1:5">
      <c r="A21" s="1" t="s">
        <v>83</v>
      </c>
      <c r="E21" s="1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4" sqref="A4"/>
    </sheetView>
  </sheetViews>
  <sheetFormatPr defaultColWidth="11.42578125" defaultRowHeight="15"/>
  <sheetData>
    <row r="1" spans="1:2">
      <c r="A1" t="s">
        <v>16</v>
      </c>
    </row>
    <row r="2" spans="1:2">
      <c r="A2" t="s">
        <v>17</v>
      </c>
    </row>
    <row r="3" spans="1:2">
      <c r="A3" t="s">
        <v>416</v>
      </c>
    </row>
    <row r="5" spans="1:2">
      <c r="A5" t="s">
        <v>28</v>
      </c>
      <c r="B5">
        <v>1</v>
      </c>
    </row>
    <row r="6" spans="1:2">
      <c r="A6" t="s">
        <v>69</v>
      </c>
      <c r="B6">
        <v>1</v>
      </c>
    </row>
    <row r="7" spans="1:2">
      <c r="A7" t="s">
        <v>70</v>
      </c>
      <c r="B7">
        <v>1</v>
      </c>
    </row>
    <row r="8" spans="1:2">
      <c r="A8" t="s">
        <v>71</v>
      </c>
      <c r="B8">
        <v>1</v>
      </c>
    </row>
    <row r="9" spans="1:2">
      <c r="A9" t="s">
        <v>68</v>
      </c>
      <c r="B9">
        <v>1</v>
      </c>
    </row>
    <row r="10" spans="1:2">
      <c r="A10" t="s">
        <v>72</v>
      </c>
      <c r="B10">
        <v>1</v>
      </c>
    </row>
    <row r="11" spans="1:2">
      <c r="A11" t="s">
        <v>73</v>
      </c>
      <c r="B11">
        <v>1</v>
      </c>
    </row>
    <row r="12" spans="1:2">
      <c r="A12" t="s">
        <v>74</v>
      </c>
      <c r="B12">
        <v>1</v>
      </c>
    </row>
    <row r="13" spans="1:2">
      <c r="A13" t="s">
        <v>75</v>
      </c>
      <c r="B13">
        <v>1</v>
      </c>
    </row>
    <row r="14" spans="1:2">
      <c r="A14" t="s">
        <v>76</v>
      </c>
      <c r="B14">
        <v>1</v>
      </c>
    </row>
    <row r="15" spans="1:2">
      <c r="A15" t="s">
        <v>77</v>
      </c>
      <c r="B15">
        <v>1</v>
      </c>
    </row>
    <row r="16" spans="1:2">
      <c r="A16" t="s">
        <v>78</v>
      </c>
      <c r="B16">
        <v>1</v>
      </c>
    </row>
    <row r="17" spans="1:2">
      <c r="A17" t="s">
        <v>79</v>
      </c>
      <c r="B17">
        <v>1</v>
      </c>
    </row>
    <row r="18" spans="1:2">
      <c r="A18" t="s">
        <v>80</v>
      </c>
      <c r="B18">
        <v>1</v>
      </c>
    </row>
    <row r="19" spans="1:2">
      <c r="A19" t="s">
        <v>81</v>
      </c>
      <c r="B19">
        <v>1</v>
      </c>
    </row>
    <row r="20" spans="1:2">
      <c r="A20" t="s">
        <v>82</v>
      </c>
      <c r="B20">
        <v>1</v>
      </c>
    </row>
    <row r="21" spans="1:2">
      <c r="A21" t="s">
        <v>83</v>
      </c>
      <c r="B21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A4" sqref="A4"/>
    </sheetView>
  </sheetViews>
  <sheetFormatPr defaultColWidth="11.42578125" defaultRowHeight="15"/>
  <sheetData>
    <row r="1" spans="1:5">
      <c r="A1" t="s">
        <v>18</v>
      </c>
    </row>
    <row r="2" spans="1:5">
      <c r="A2" t="s">
        <v>19</v>
      </c>
    </row>
    <row r="3" spans="1:5">
      <c r="A3" t="s">
        <v>416</v>
      </c>
    </row>
    <row r="4" spans="1:5">
      <c r="B4" t="s">
        <v>84</v>
      </c>
      <c r="C4" t="s">
        <v>85</v>
      </c>
      <c r="D4" t="s">
        <v>86</v>
      </c>
      <c r="E4" t="s">
        <v>87</v>
      </c>
    </row>
    <row r="5" spans="1:5">
      <c r="A5" t="s">
        <v>28</v>
      </c>
      <c r="B5">
        <v>4</v>
      </c>
      <c r="C5">
        <v>1</v>
      </c>
      <c r="D5">
        <v>2</v>
      </c>
      <c r="E5">
        <v>3</v>
      </c>
    </row>
    <row r="6" spans="1:5">
      <c r="A6" t="s">
        <v>69</v>
      </c>
      <c r="B6">
        <v>1</v>
      </c>
    </row>
    <row r="7" spans="1:5">
      <c r="A7" t="s">
        <v>70</v>
      </c>
      <c r="C7">
        <v>1</v>
      </c>
    </row>
    <row r="8" spans="1:5">
      <c r="A8" t="s">
        <v>71</v>
      </c>
      <c r="D8">
        <v>1</v>
      </c>
    </row>
    <row r="9" spans="1:5">
      <c r="A9" t="s">
        <v>68</v>
      </c>
      <c r="E9">
        <v>1</v>
      </c>
    </row>
    <row r="10" spans="1:5">
      <c r="A10" t="s">
        <v>72</v>
      </c>
      <c r="B10">
        <v>1</v>
      </c>
    </row>
    <row r="11" spans="1:5">
      <c r="A11" t="s">
        <v>73</v>
      </c>
      <c r="C11">
        <v>1</v>
      </c>
    </row>
    <row r="12" spans="1:5">
      <c r="A12" t="s">
        <v>74</v>
      </c>
      <c r="D12">
        <v>1</v>
      </c>
    </row>
    <row r="13" spans="1:5">
      <c r="A13" t="s">
        <v>75</v>
      </c>
      <c r="E13">
        <v>1</v>
      </c>
    </row>
    <row r="14" spans="1:5">
      <c r="A14" t="s">
        <v>76</v>
      </c>
      <c r="B14">
        <v>1</v>
      </c>
    </row>
    <row r="15" spans="1:5">
      <c r="A15" t="s">
        <v>77</v>
      </c>
      <c r="C15">
        <v>1</v>
      </c>
    </row>
    <row r="16" spans="1:5">
      <c r="A16" t="s">
        <v>78</v>
      </c>
      <c r="D16">
        <v>1</v>
      </c>
    </row>
    <row r="17" spans="1:5">
      <c r="A17" t="s">
        <v>79</v>
      </c>
      <c r="E17">
        <v>1</v>
      </c>
    </row>
    <row r="18" spans="1:5">
      <c r="A18" t="s">
        <v>80</v>
      </c>
      <c r="B18">
        <v>1</v>
      </c>
    </row>
    <row r="19" spans="1:5">
      <c r="A19" t="s">
        <v>81</v>
      </c>
      <c r="C19">
        <v>1</v>
      </c>
    </row>
    <row r="20" spans="1:5">
      <c r="A20" t="s">
        <v>82</v>
      </c>
      <c r="D20">
        <v>1</v>
      </c>
    </row>
    <row r="21" spans="1:5">
      <c r="A21" t="s">
        <v>83</v>
      </c>
      <c r="E2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3"/>
  <dimension ref="A1:AF910"/>
  <sheetViews>
    <sheetView zoomScale="85" zoomScaleNormal="85" workbookViewId="0">
      <selection activeCell="A2" sqref="A1:XFD1048576"/>
    </sheetView>
  </sheetViews>
  <sheetFormatPr defaultColWidth="11.42578125" defaultRowHeight="15"/>
  <cols>
    <col min="1" max="1" width="11.42578125" style="10"/>
    <col min="2" max="2" width="15" style="10" bestFit="1" customWidth="1"/>
    <col min="3" max="16384" width="11.42578125" style="10"/>
  </cols>
  <sheetData>
    <row r="1" spans="1:32">
      <c r="A1" s="10" t="s">
        <v>400</v>
      </c>
    </row>
    <row r="2" spans="1:32">
      <c r="A2" s="10" t="s">
        <v>55</v>
      </c>
    </row>
    <row r="3" spans="1:32">
      <c r="A3" s="10" t="s">
        <v>394</v>
      </c>
    </row>
    <row r="5" spans="1:32">
      <c r="B5" s="63"/>
      <c r="C5" s="63" t="s">
        <v>288</v>
      </c>
      <c r="D5" s="63" t="s">
        <v>278</v>
      </c>
      <c r="E5" s="63" t="s">
        <v>280</v>
      </c>
      <c r="F5" s="63" t="s">
        <v>281</v>
      </c>
      <c r="G5" s="63" t="s">
        <v>282</v>
      </c>
      <c r="H5" s="63" t="s">
        <v>283</v>
      </c>
      <c r="I5" s="63" t="s">
        <v>284</v>
      </c>
      <c r="J5" s="63" t="s">
        <v>285</v>
      </c>
      <c r="K5" s="63" t="s">
        <v>308</v>
      </c>
      <c r="L5" s="63" t="s">
        <v>286</v>
      </c>
      <c r="M5" s="63" t="s">
        <v>287</v>
      </c>
      <c r="N5" s="63" t="s">
        <v>289</v>
      </c>
      <c r="O5" s="63" t="s">
        <v>290</v>
      </c>
      <c r="P5" s="63" t="s">
        <v>291</v>
      </c>
      <c r="Q5" s="63" t="s">
        <v>292</v>
      </c>
      <c r="R5" s="63" t="s">
        <v>293</v>
      </c>
      <c r="S5" s="63" t="s">
        <v>309</v>
      </c>
      <c r="T5" s="63" t="s">
        <v>294</v>
      </c>
      <c r="U5" s="63" t="s">
        <v>310</v>
      </c>
      <c r="V5" s="63" t="s">
        <v>357</v>
      </c>
      <c r="W5" s="63" t="s">
        <v>297</v>
      </c>
      <c r="X5" s="63" t="s">
        <v>298</v>
      </c>
      <c r="Y5" s="63" t="s">
        <v>299</v>
      </c>
      <c r="Z5" s="63" t="s">
        <v>300</v>
      </c>
      <c r="AA5" s="63" t="s">
        <v>301</v>
      </c>
      <c r="AB5" s="63" t="s">
        <v>303</v>
      </c>
      <c r="AC5" s="63" t="s">
        <v>304</v>
      </c>
      <c r="AD5" s="63" t="s">
        <v>305</v>
      </c>
      <c r="AE5" s="63" t="s">
        <v>307</v>
      </c>
      <c r="AF5" s="63" t="s">
        <v>356</v>
      </c>
    </row>
    <row r="6" spans="1:32" ht="15" customHeight="1">
      <c r="A6" s="10" t="s">
        <v>275</v>
      </c>
      <c r="B6" s="61" t="s">
        <v>278</v>
      </c>
      <c r="C6" s="10">
        <v>1462.5</v>
      </c>
      <c r="D6" s="10">
        <v>0</v>
      </c>
      <c r="E6" s="10">
        <v>770.24</v>
      </c>
      <c r="F6" s="10">
        <v>1022.45</v>
      </c>
      <c r="G6" s="10">
        <v>456.36</v>
      </c>
      <c r="H6" s="10">
        <v>254.84</v>
      </c>
      <c r="I6" s="10">
        <v>477.04</v>
      </c>
      <c r="J6" s="10">
        <v>973.03</v>
      </c>
      <c r="K6" s="10">
        <v>0</v>
      </c>
      <c r="L6" s="10">
        <v>1640.58</v>
      </c>
      <c r="M6" s="10">
        <v>0</v>
      </c>
      <c r="N6" s="10">
        <v>1188.01</v>
      </c>
      <c r="O6" s="10">
        <v>332.27</v>
      </c>
      <c r="P6" s="10">
        <v>400.59</v>
      </c>
      <c r="Q6" s="10">
        <v>0</v>
      </c>
      <c r="R6" s="10">
        <v>557.69000000000005</v>
      </c>
      <c r="S6" s="10">
        <v>1094.8399999999999</v>
      </c>
      <c r="T6" s="10">
        <v>640.32000000000005</v>
      </c>
      <c r="U6" s="10">
        <v>1264.26</v>
      </c>
      <c r="V6" s="10">
        <v>667.29</v>
      </c>
      <c r="W6" s="10">
        <v>804.24</v>
      </c>
      <c r="X6" s="10">
        <v>0</v>
      </c>
      <c r="Y6" s="10">
        <v>630.36</v>
      </c>
      <c r="Z6" s="10">
        <v>0</v>
      </c>
      <c r="AA6" s="10">
        <v>850.72</v>
      </c>
      <c r="AB6" s="10">
        <v>1698.79</v>
      </c>
      <c r="AC6" s="10">
        <v>171.24</v>
      </c>
      <c r="AD6" s="10">
        <v>416.67</v>
      </c>
      <c r="AE6" s="10">
        <v>1399.02</v>
      </c>
      <c r="AF6" s="10">
        <v>0</v>
      </c>
    </row>
    <row r="7" spans="1:32" ht="15" customHeight="1">
      <c r="A7" s="10" t="s">
        <v>275</v>
      </c>
      <c r="B7" s="61" t="s">
        <v>280</v>
      </c>
      <c r="C7" s="10">
        <v>300</v>
      </c>
      <c r="D7" s="10">
        <v>770.24</v>
      </c>
      <c r="E7" s="10">
        <v>0</v>
      </c>
      <c r="F7" s="10">
        <v>0</v>
      </c>
      <c r="G7" s="10">
        <v>501.4</v>
      </c>
      <c r="H7" s="10">
        <v>767.87</v>
      </c>
      <c r="I7" s="10">
        <v>406.5</v>
      </c>
      <c r="J7" s="10">
        <v>692.16</v>
      </c>
      <c r="K7" s="10">
        <v>0</v>
      </c>
      <c r="L7" s="10">
        <v>1325.38</v>
      </c>
      <c r="M7" s="10">
        <v>0</v>
      </c>
      <c r="N7" s="10">
        <v>0</v>
      </c>
      <c r="O7" s="10">
        <v>1075.07</v>
      </c>
      <c r="P7" s="10">
        <v>1146.05</v>
      </c>
      <c r="Q7" s="10">
        <v>924.14</v>
      </c>
      <c r="R7" s="10">
        <v>1040.22</v>
      </c>
      <c r="S7" s="10">
        <v>0</v>
      </c>
      <c r="T7" s="10">
        <v>140.4</v>
      </c>
      <c r="U7" s="10">
        <v>0</v>
      </c>
      <c r="V7" s="10">
        <v>0</v>
      </c>
      <c r="W7" s="10">
        <v>192.2</v>
      </c>
      <c r="X7" s="10">
        <v>1636.14</v>
      </c>
      <c r="Y7" s="10">
        <v>1037.53</v>
      </c>
      <c r="Z7" s="10">
        <v>0</v>
      </c>
      <c r="AA7" s="10">
        <v>0</v>
      </c>
      <c r="AB7" s="10">
        <v>1535.26</v>
      </c>
      <c r="AC7" s="10">
        <v>903.98</v>
      </c>
      <c r="AD7" s="10">
        <v>1089.56</v>
      </c>
      <c r="AE7" s="10">
        <v>645.59</v>
      </c>
      <c r="AF7" s="10">
        <v>0</v>
      </c>
    </row>
    <row r="8" spans="1:32" ht="15" customHeight="1">
      <c r="A8" s="10" t="s">
        <v>275</v>
      </c>
      <c r="B8" s="61" t="s">
        <v>281</v>
      </c>
      <c r="C8" s="10">
        <v>0</v>
      </c>
      <c r="D8" s="10">
        <v>1022.45</v>
      </c>
      <c r="E8" s="10">
        <v>0</v>
      </c>
      <c r="F8" s="10">
        <v>0</v>
      </c>
      <c r="G8" s="10">
        <v>1415.45</v>
      </c>
      <c r="H8" s="10">
        <v>1087.05</v>
      </c>
      <c r="I8" s="10">
        <v>1458.02</v>
      </c>
      <c r="J8" s="10">
        <v>0</v>
      </c>
      <c r="K8" s="10">
        <v>0</v>
      </c>
      <c r="L8" s="10">
        <v>0</v>
      </c>
      <c r="M8" s="10">
        <v>0</v>
      </c>
      <c r="N8" s="10">
        <v>453.95</v>
      </c>
      <c r="O8" s="10">
        <v>753.16</v>
      </c>
      <c r="P8" s="10">
        <v>671.18</v>
      </c>
      <c r="Q8" s="10">
        <v>0</v>
      </c>
      <c r="R8" s="10">
        <v>1075.51</v>
      </c>
      <c r="S8" s="10">
        <v>0</v>
      </c>
      <c r="T8" s="10">
        <v>0</v>
      </c>
      <c r="U8" s="10">
        <v>0</v>
      </c>
      <c r="V8" s="10">
        <v>489.51</v>
      </c>
      <c r="W8" s="10">
        <v>0</v>
      </c>
      <c r="X8" s="10">
        <v>0</v>
      </c>
      <c r="Y8" s="10">
        <v>1129.69</v>
      </c>
      <c r="Z8" s="10">
        <v>0</v>
      </c>
      <c r="AA8" s="10">
        <v>343.03</v>
      </c>
      <c r="AB8" s="10">
        <v>0</v>
      </c>
      <c r="AC8" s="10">
        <v>908.29</v>
      </c>
      <c r="AD8" s="10">
        <v>797.9</v>
      </c>
      <c r="AE8" s="10">
        <v>0</v>
      </c>
      <c r="AF8" s="10">
        <v>428</v>
      </c>
    </row>
    <row r="9" spans="1:32" ht="15" customHeight="1">
      <c r="A9" s="10" t="s">
        <v>275</v>
      </c>
      <c r="B9" s="61" t="s">
        <v>282</v>
      </c>
      <c r="C9" s="10">
        <v>350</v>
      </c>
      <c r="D9" s="10">
        <v>456.36</v>
      </c>
      <c r="E9" s="10">
        <v>501.4</v>
      </c>
      <c r="F9" s="10">
        <v>1415.45</v>
      </c>
      <c r="G9" s="10">
        <v>0</v>
      </c>
      <c r="H9" s="10">
        <v>619.89</v>
      </c>
      <c r="I9" s="10">
        <v>504.62</v>
      </c>
      <c r="J9" s="10">
        <v>1027.05</v>
      </c>
      <c r="K9" s="10">
        <v>0</v>
      </c>
      <c r="L9" s="10">
        <v>1204.01</v>
      </c>
      <c r="M9" s="10">
        <v>0</v>
      </c>
      <c r="N9" s="10">
        <v>0</v>
      </c>
      <c r="O9" s="10">
        <v>662.94</v>
      </c>
      <c r="P9" s="10">
        <v>850.87</v>
      </c>
      <c r="Q9" s="10">
        <v>0</v>
      </c>
      <c r="R9" s="10">
        <v>540.01</v>
      </c>
      <c r="S9" s="10">
        <v>0</v>
      </c>
      <c r="T9" s="10">
        <v>367.02</v>
      </c>
      <c r="U9" s="10">
        <v>0</v>
      </c>
      <c r="V9" s="10">
        <v>978.2</v>
      </c>
      <c r="W9" s="10">
        <v>637.54999999999995</v>
      </c>
      <c r="X9" s="10">
        <v>0</v>
      </c>
      <c r="Y9" s="10">
        <v>1001.53</v>
      </c>
      <c r="Z9" s="10">
        <v>0</v>
      </c>
      <c r="AA9" s="10">
        <v>1292.28</v>
      </c>
      <c r="AB9" s="10">
        <v>1857.41</v>
      </c>
      <c r="AC9" s="10">
        <v>511.84</v>
      </c>
      <c r="AD9" s="10">
        <v>869.38</v>
      </c>
      <c r="AE9" s="10">
        <v>1134.76</v>
      </c>
      <c r="AF9" s="10">
        <v>0</v>
      </c>
    </row>
    <row r="10" spans="1:32" ht="15" customHeight="1">
      <c r="A10" s="10" t="s">
        <v>275</v>
      </c>
      <c r="B10" s="61" t="s">
        <v>283</v>
      </c>
      <c r="C10" s="10">
        <v>1630.33</v>
      </c>
      <c r="D10" s="10">
        <v>254.84</v>
      </c>
      <c r="E10" s="10">
        <v>767.87</v>
      </c>
      <c r="F10" s="10">
        <v>1087.05</v>
      </c>
      <c r="G10" s="10">
        <v>619.89</v>
      </c>
      <c r="H10" s="10">
        <v>0</v>
      </c>
      <c r="I10" s="10">
        <v>382.63</v>
      </c>
      <c r="J10" s="10">
        <v>777.76</v>
      </c>
      <c r="K10" s="10">
        <v>1194.05</v>
      </c>
      <c r="L10" s="10">
        <v>0</v>
      </c>
      <c r="M10" s="10">
        <v>0</v>
      </c>
      <c r="N10" s="10">
        <v>1334.1</v>
      </c>
      <c r="O10" s="10">
        <v>528.63</v>
      </c>
      <c r="P10" s="10">
        <v>415.87</v>
      </c>
      <c r="Q10" s="10">
        <v>0</v>
      </c>
      <c r="R10" s="10">
        <v>812.43</v>
      </c>
      <c r="S10" s="10">
        <v>850.9</v>
      </c>
      <c r="T10" s="10">
        <v>665.24</v>
      </c>
      <c r="U10" s="10">
        <v>1016.04</v>
      </c>
      <c r="V10" s="10">
        <v>829.38</v>
      </c>
      <c r="W10" s="10">
        <v>738.71</v>
      </c>
      <c r="X10" s="10">
        <v>1642</v>
      </c>
      <c r="Y10" s="10">
        <v>390.18</v>
      </c>
      <c r="Z10" s="10">
        <v>0</v>
      </c>
      <c r="AA10" s="10">
        <v>842.37</v>
      </c>
      <c r="AB10" s="10">
        <v>1454.22</v>
      </c>
      <c r="AC10" s="10">
        <v>404.31</v>
      </c>
      <c r="AD10" s="10">
        <v>323.69</v>
      </c>
      <c r="AE10" s="10">
        <v>1341.38</v>
      </c>
      <c r="AF10" s="10">
        <v>0</v>
      </c>
    </row>
    <row r="11" spans="1:32" ht="15" customHeight="1">
      <c r="A11" s="10" t="s">
        <v>275</v>
      </c>
      <c r="B11" s="61" t="s">
        <v>284</v>
      </c>
      <c r="C11" s="10">
        <v>500</v>
      </c>
      <c r="D11" s="10">
        <v>477.04</v>
      </c>
      <c r="E11" s="10">
        <v>406.5</v>
      </c>
      <c r="F11" s="10">
        <v>1458.02</v>
      </c>
      <c r="G11" s="10">
        <v>504.62</v>
      </c>
      <c r="H11" s="10">
        <v>382.63</v>
      </c>
      <c r="I11" s="10">
        <v>0</v>
      </c>
      <c r="J11" s="10">
        <v>540.49</v>
      </c>
      <c r="K11" s="10">
        <v>1281.04</v>
      </c>
      <c r="L11" s="10">
        <v>1624.96</v>
      </c>
      <c r="M11" s="10">
        <v>1750.79</v>
      </c>
      <c r="N11" s="10">
        <v>1662.66</v>
      </c>
      <c r="O11" s="10">
        <v>809.27</v>
      </c>
      <c r="P11" s="10">
        <v>790.13</v>
      </c>
      <c r="Q11" s="10">
        <v>1286.0899999999999</v>
      </c>
      <c r="R11" s="10">
        <v>934.15</v>
      </c>
      <c r="S11" s="10">
        <v>1015.33</v>
      </c>
      <c r="T11" s="10">
        <v>339.26</v>
      </c>
      <c r="U11" s="10">
        <v>1144.5999999999999</v>
      </c>
      <c r="V11" s="10">
        <v>1143.0899999999999</v>
      </c>
      <c r="W11" s="10">
        <v>356.15</v>
      </c>
      <c r="X11" s="10">
        <v>1503.63</v>
      </c>
      <c r="Y11" s="10">
        <v>633.87</v>
      </c>
      <c r="Z11" s="10">
        <v>0</v>
      </c>
      <c r="AA11" s="10">
        <v>1224.8499999999999</v>
      </c>
      <c r="AB11" s="10">
        <v>1354.27</v>
      </c>
      <c r="AC11" s="10">
        <v>643.65</v>
      </c>
      <c r="AD11" s="10">
        <v>705.3</v>
      </c>
      <c r="AE11" s="10">
        <v>959.53</v>
      </c>
      <c r="AF11" s="10">
        <v>0</v>
      </c>
    </row>
    <row r="12" spans="1:32" ht="15" customHeight="1">
      <c r="A12" s="10" t="s">
        <v>275</v>
      </c>
      <c r="B12" s="61" t="s">
        <v>285</v>
      </c>
      <c r="C12" s="10">
        <v>1789.51</v>
      </c>
      <c r="D12" s="10">
        <v>973.03</v>
      </c>
      <c r="E12" s="10">
        <v>692.16</v>
      </c>
      <c r="F12" s="10">
        <v>0</v>
      </c>
      <c r="G12" s="10">
        <v>1027.05</v>
      </c>
      <c r="H12" s="10">
        <v>777.76</v>
      </c>
      <c r="I12" s="10">
        <v>540.49</v>
      </c>
      <c r="J12" s="10">
        <v>0</v>
      </c>
      <c r="K12" s="10">
        <v>978.44</v>
      </c>
      <c r="L12" s="10">
        <v>0</v>
      </c>
      <c r="M12" s="10">
        <v>1298.0899999999999</v>
      </c>
      <c r="N12" s="10">
        <v>0</v>
      </c>
      <c r="O12" s="10">
        <v>1294.23</v>
      </c>
      <c r="P12" s="10">
        <v>1171.94</v>
      </c>
      <c r="Q12" s="10">
        <v>1213.43</v>
      </c>
      <c r="R12" s="10">
        <v>1472.56</v>
      </c>
      <c r="S12" s="10">
        <v>873.01</v>
      </c>
      <c r="T12" s="10">
        <v>737.81</v>
      </c>
      <c r="U12" s="10">
        <v>921.65</v>
      </c>
      <c r="V12" s="10">
        <v>0</v>
      </c>
      <c r="W12" s="10">
        <v>503.89</v>
      </c>
      <c r="X12" s="10">
        <v>700</v>
      </c>
      <c r="Y12" s="10">
        <v>745.5</v>
      </c>
      <c r="Z12" s="10">
        <v>0</v>
      </c>
      <c r="AA12" s="10">
        <v>1533.41</v>
      </c>
      <c r="AB12" s="10">
        <v>400</v>
      </c>
      <c r="AC12" s="10">
        <v>1144.1199999999999</v>
      </c>
      <c r="AD12" s="10">
        <v>1030.02</v>
      </c>
      <c r="AE12" s="10">
        <v>850.09</v>
      </c>
      <c r="AF12" s="10">
        <v>0</v>
      </c>
    </row>
    <row r="13" spans="1:32" ht="15" customHeight="1">
      <c r="A13" s="10" t="s">
        <v>275</v>
      </c>
      <c r="B13" s="61" t="s">
        <v>308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1194.05</v>
      </c>
      <c r="I13" s="10">
        <v>1281.04</v>
      </c>
      <c r="J13" s="10">
        <v>978.44</v>
      </c>
      <c r="K13" s="10">
        <v>0</v>
      </c>
      <c r="L13" s="10">
        <v>0</v>
      </c>
      <c r="M13" s="10">
        <v>647.91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384.47</v>
      </c>
      <c r="T13" s="10">
        <v>0</v>
      </c>
      <c r="U13" s="10">
        <v>205.65</v>
      </c>
      <c r="V13" s="10">
        <v>0</v>
      </c>
      <c r="W13" s="10">
        <v>0</v>
      </c>
      <c r="X13" s="10">
        <v>885</v>
      </c>
      <c r="Y13" s="10">
        <v>825.43</v>
      </c>
      <c r="Z13" s="10">
        <v>0</v>
      </c>
      <c r="AA13" s="10">
        <v>0</v>
      </c>
      <c r="AB13" s="10">
        <v>661.72</v>
      </c>
      <c r="AC13" s="10">
        <v>0</v>
      </c>
      <c r="AD13" s="10">
        <v>1177.79</v>
      </c>
      <c r="AE13" s="10">
        <v>0</v>
      </c>
      <c r="AF13" s="10">
        <v>0</v>
      </c>
    </row>
    <row r="14" spans="1:32" ht="15" customHeight="1">
      <c r="A14" s="10" t="s">
        <v>275</v>
      </c>
      <c r="B14" s="61" t="s">
        <v>286</v>
      </c>
      <c r="C14" s="10">
        <v>229.59</v>
      </c>
      <c r="D14" s="10">
        <v>1640.58</v>
      </c>
      <c r="E14" s="10">
        <v>1325.38</v>
      </c>
      <c r="F14" s="10">
        <v>0</v>
      </c>
      <c r="G14" s="10">
        <v>1204.01</v>
      </c>
      <c r="H14" s="10">
        <v>0</v>
      </c>
      <c r="I14" s="10">
        <v>1624.96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1723.59</v>
      </c>
      <c r="P14" s="10">
        <v>0</v>
      </c>
      <c r="Q14" s="10">
        <v>1479.45</v>
      </c>
      <c r="R14" s="10">
        <v>1341.02</v>
      </c>
      <c r="S14" s="10">
        <v>0</v>
      </c>
      <c r="T14" s="10">
        <v>1307.3599999999999</v>
      </c>
      <c r="U14" s="10">
        <v>0</v>
      </c>
      <c r="V14" s="10">
        <v>0</v>
      </c>
      <c r="W14" s="10">
        <v>1513.18</v>
      </c>
      <c r="X14" s="10">
        <v>0</v>
      </c>
      <c r="Y14" s="10">
        <v>0</v>
      </c>
      <c r="Z14" s="10">
        <v>421.67</v>
      </c>
      <c r="AA14" s="10">
        <v>0</v>
      </c>
      <c r="AB14" s="10">
        <v>0</v>
      </c>
      <c r="AC14" s="10">
        <v>1632.96</v>
      </c>
      <c r="AD14" s="10">
        <v>0</v>
      </c>
      <c r="AE14" s="10">
        <v>1549.51</v>
      </c>
      <c r="AF14" s="10">
        <v>0</v>
      </c>
    </row>
    <row r="15" spans="1:32" ht="15" customHeight="1">
      <c r="A15" s="10" t="s">
        <v>275</v>
      </c>
      <c r="B15" s="61" t="s">
        <v>287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1750.79</v>
      </c>
      <c r="J15" s="10">
        <v>1298.0899999999999</v>
      </c>
      <c r="K15" s="10">
        <v>647.91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1026.31</v>
      </c>
      <c r="T15" s="10">
        <v>0</v>
      </c>
      <c r="U15" s="10">
        <v>852.16</v>
      </c>
      <c r="V15" s="10">
        <v>0</v>
      </c>
      <c r="W15" s="10">
        <v>0</v>
      </c>
      <c r="X15" s="10">
        <v>1000</v>
      </c>
      <c r="Y15" s="10">
        <v>1430.78</v>
      </c>
      <c r="Z15" s="10">
        <v>0</v>
      </c>
      <c r="AA15" s="10">
        <v>0</v>
      </c>
      <c r="AB15" s="10">
        <v>505.83</v>
      </c>
      <c r="AC15" s="10">
        <v>0</v>
      </c>
      <c r="AD15" s="10">
        <v>0</v>
      </c>
      <c r="AE15" s="10">
        <v>0</v>
      </c>
      <c r="AF15" s="10">
        <v>0</v>
      </c>
    </row>
    <row r="16" spans="1:32" ht="15" customHeight="1">
      <c r="A16" s="10" t="s">
        <v>275</v>
      </c>
      <c r="B16" s="61" t="s">
        <v>288</v>
      </c>
      <c r="C16" s="10">
        <v>0</v>
      </c>
      <c r="D16" s="10">
        <v>1462.5</v>
      </c>
      <c r="E16" s="10">
        <v>300</v>
      </c>
      <c r="F16" s="10">
        <v>0</v>
      </c>
      <c r="G16" s="10">
        <v>350</v>
      </c>
      <c r="H16" s="10">
        <v>1630.33</v>
      </c>
      <c r="I16" s="10">
        <v>500</v>
      </c>
      <c r="J16" s="10">
        <v>1789.51</v>
      </c>
      <c r="K16" s="10">
        <v>0</v>
      </c>
      <c r="L16" s="10">
        <v>229.59</v>
      </c>
      <c r="M16" s="10">
        <v>0</v>
      </c>
      <c r="N16" s="10">
        <v>2201.09</v>
      </c>
      <c r="O16" s="10">
        <v>1577.99</v>
      </c>
      <c r="P16" s="10">
        <v>1838.39</v>
      </c>
      <c r="Q16" s="10">
        <v>1284.49</v>
      </c>
      <c r="R16" s="10">
        <v>1000</v>
      </c>
      <c r="S16" s="10">
        <v>0</v>
      </c>
      <c r="T16" s="10">
        <v>1087.05</v>
      </c>
      <c r="U16" s="10">
        <v>0</v>
      </c>
      <c r="V16" s="10">
        <v>1809.09</v>
      </c>
      <c r="W16" s="10">
        <v>1285.6600000000001</v>
      </c>
      <c r="X16" s="10">
        <v>2702.36</v>
      </c>
      <c r="Y16" s="10">
        <v>2000.6</v>
      </c>
      <c r="Z16" s="10">
        <v>560.61</v>
      </c>
      <c r="AA16" s="10">
        <v>2252.62</v>
      </c>
      <c r="AB16" s="10">
        <v>2623.55</v>
      </c>
      <c r="AC16" s="10">
        <v>1472.14</v>
      </c>
      <c r="AD16" s="10">
        <v>1879.08</v>
      </c>
      <c r="AE16" s="10">
        <v>600</v>
      </c>
      <c r="AF16" s="10">
        <v>0</v>
      </c>
    </row>
    <row r="17" spans="1:32">
      <c r="A17" s="10" t="s">
        <v>275</v>
      </c>
      <c r="B17" s="61" t="s">
        <v>289</v>
      </c>
      <c r="C17" s="10">
        <v>2201.09</v>
      </c>
      <c r="D17" s="10">
        <v>1188.01</v>
      </c>
      <c r="E17" s="10">
        <v>0</v>
      </c>
      <c r="F17" s="10">
        <v>453.95</v>
      </c>
      <c r="G17" s="10">
        <v>0</v>
      </c>
      <c r="H17" s="10">
        <v>1334.1</v>
      </c>
      <c r="I17" s="10">
        <v>1662.66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859.98</v>
      </c>
      <c r="P17" s="10">
        <v>947.65</v>
      </c>
      <c r="Q17" s="10">
        <v>0</v>
      </c>
      <c r="R17" s="10">
        <v>1007.1</v>
      </c>
      <c r="S17" s="10">
        <v>0</v>
      </c>
      <c r="T17" s="10">
        <v>0</v>
      </c>
      <c r="U17" s="10">
        <v>0</v>
      </c>
      <c r="V17" s="10">
        <v>521.16</v>
      </c>
      <c r="W17" s="10">
        <v>0</v>
      </c>
      <c r="X17" s="10">
        <v>0</v>
      </c>
      <c r="Y17" s="10">
        <v>1480.09</v>
      </c>
      <c r="Z17" s="10">
        <v>0</v>
      </c>
      <c r="AA17" s="10">
        <v>772.6</v>
      </c>
      <c r="AB17" s="10">
        <v>0</v>
      </c>
      <c r="AC17" s="10">
        <v>1031.6199999999999</v>
      </c>
      <c r="AD17" s="10">
        <v>1109.6099999999999</v>
      </c>
      <c r="AE17" s="10">
        <v>0</v>
      </c>
      <c r="AF17" s="10">
        <v>868</v>
      </c>
    </row>
    <row r="18" spans="1:32" ht="15" customHeight="1">
      <c r="A18" s="10" t="s">
        <v>275</v>
      </c>
      <c r="B18" s="61" t="s">
        <v>290</v>
      </c>
      <c r="C18" s="10">
        <v>1577.99</v>
      </c>
      <c r="D18" s="10">
        <v>332.27</v>
      </c>
      <c r="E18" s="10">
        <v>1075.07</v>
      </c>
      <c r="F18" s="10">
        <v>753.16</v>
      </c>
      <c r="G18" s="10">
        <v>662.94</v>
      </c>
      <c r="H18" s="10">
        <v>528.63</v>
      </c>
      <c r="I18" s="10">
        <v>809.27</v>
      </c>
      <c r="J18" s="10">
        <v>1294.23</v>
      </c>
      <c r="K18" s="10">
        <v>0</v>
      </c>
      <c r="L18" s="10">
        <v>1723.59</v>
      </c>
      <c r="M18" s="10">
        <v>0</v>
      </c>
      <c r="N18" s="10">
        <v>859.98</v>
      </c>
      <c r="O18" s="10">
        <v>0</v>
      </c>
      <c r="P18" s="10">
        <v>331.49</v>
      </c>
      <c r="Q18" s="10">
        <v>0</v>
      </c>
      <c r="R18" s="10">
        <v>427.99</v>
      </c>
      <c r="S18" s="10">
        <v>1262.6500000000001</v>
      </c>
      <c r="T18" s="10">
        <v>938.11</v>
      </c>
      <c r="U18" s="10">
        <v>0</v>
      </c>
      <c r="V18" s="10">
        <v>339.14</v>
      </c>
      <c r="W18" s="10">
        <v>1129.3900000000001</v>
      </c>
      <c r="X18" s="10">
        <v>0</v>
      </c>
      <c r="Y18" s="10">
        <v>818.17</v>
      </c>
      <c r="Z18" s="10">
        <v>0</v>
      </c>
      <c r="AA18" s="10">
        <v>677.09</v>
      </c>
      <c r="AB18" s="10">
        <v>1974.19</v>
      </c>
      <c r="AC18" s="10">
        <v>171.93</v>
      </c>
      <c r="AD18" s="10">
        <v>470.6</v>
      </c>
      <c r="AE18" s="10">
        <v>0</v>
      </c>
      <c r="AF18" s="10">
        <v>0</v>
      </c>
    </row>
    <row r="19" spans="1:32" ht="15" customHeight="1">
      <c r="A19" s="10" t="s">
        <v>275</v>
      </c>
      <c r="B19" s="61" t="s">
        <v>291</v>
      </c>
      <c r="C19" s="10">
        <v>1838.39</v>
      </c>
      <c r="D19" s="10">
        <v>400.59</v>
      </c>
      <c r="E19" s="10">
        <v>1146.05</v>
      </c>
      <c r="F19" s="10">
        <v>671.18</v>
      </c>
      <c r="G19" s="10">
        <v>850.87</v>
      </c>
      <c r="H19" s="10">
        <v>415.87</v>
      </c>
      <c r="I19" s="10">
        <v>790.13</v>
      </c>
      <c r="J19" s="10">
        <v>1171.94</v>
      </c>
      <c r="K19" s="10">
        <v>0</v>
      </c>
      <c r="L19" s="10">
        <v>0</v>
      </c>
      <c r="M19" s="10">
        <v>0</v>
      </c>
      <c r="N19" s="10">
        <v>947.65</v>
      </c>
      <c r="O19" s="10">
        <v>331.49</v>
      </c>
      <c r="P19" s="10">
        <v>0</v>
      </c>
      <c r="Q19" s="10">
        <v>0</v>
      </c>
      <c r="R19" s="10">
        <v>755.26</v>
      </c>
      <c r="S19" s="10">
        <v>961.23</v>
      </c>
      <c r="T19" s="10">
        <v>1025.1099999999999</v>
      </c>
      <c r="U19" s="10">
        <v>1141.83</v>
      </c>
      <c r="V19" s="10">
        <v>486.51</v>
      </c>
      <c r="W19" s="10">
        <v>1144.4000000000001</v>
      </c>
      <c r="X19" s="10">
        <v>0</v>
      </c>
      <c r="Y19" s="10">
        <v>551.72</v>
      </c>
      <c r="Z19" s="10">
        <v>0</v>
      </c>
      <c r="AA19" s="10">
        <v>452.36</v>
      </c>
      <c r="AB19" s="10">
        <v>1745.85</v>
      </c>
      <c r="AC19" s="10">
        <v>369.97</v>
      </c>
      <c r="AD19" s="10">
        <v>171.65</v>
      </c>
      <c r="AE19" s="10">
        <v>0</v>
      </c>
      <c r="AF19" s="10">
        <v>0</v>
      </c>
    </row>
    <row r="20" spans="1:32" ht="15" customHeight="1">
      <c r="A20" s="10" t="s">
        <v>275</v>
      </c>
      <c r="B20" s="61" t="s">
        <v>292</v>
      </c>
      <c r="C20" s="10">
        <v>1284.49</v>
      </c>
      <c r="D20" s="10">
        <v>0</v>
      </c>
      <c r="E20" s="10">
        <v>924.14</v>
      </c>
      <c r="F20" s="10">
        <v>0</v>
      </c>
      <c r="G20" s="10">
        <v>0</v>
      </c>
      <c r="H20" s="10">
        <v>0</v>
      </c>
      <c r="I20" s="10">
        <v>1286.0899999999999</v>
      </c>
      <c r="J20" s="10">
        <v>1213.43</v>
      </c>
      <c r="K20" s="10">
        <v>0</v>
      </c>
      <c r="L20" s="10">
        <v>1479.45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1057.17</v>
      </c>
      <c r="U20" s="10">
        <v>0</v>
      </c>
      <c r="V20" s="10">
        <v>0</v>
      </c>
      <c r="W20" s="10">
        <v>932.26</v>
      </c>
      <c r="X20" s="10">
        <v>1780.16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363.85</v>
      </c>
      <c r="AF20" s="10">
        <v>0</v>
      </c>
    </row>
    <row r="21" spans="1:32" ht="15" customHeight="1">
      <c r="A21" s="10" t="s">
        <v>275</v>
      </c>
      <c r="B21" s="61" t="s">
        <v>293</v>
      </c>
      <c r="C21" s="10">
        <v>1000</v>
      </c>
      <c r="D21" s="10">
        <v>557.69000000000005</v>
      </c>
      <c r="E21" s="10">
        <v>1040.22</v>
      </c>
      <c r="F21" s="10">
        <v>1075.51</v>
      </c>
      <c r="G21" s="10">
        <v>540.01</v>
      </c>
      <c r="H21" s="10">
        <v>812.43</v>
      </c>
      <c r="I21" s="10">
        <v>934.15</v>
      </c>
      <c r="J21" s="10">
        <v>1472.56</v>
      </c>
      <c r="K21" s="10">
        <v>0</v>
      </c>
      <c r="L21" s="10">
        <v>1341.02</v>
      </c>
      <c r="M21" s="10">
        <v>0</v>
      </c>
      <c r="N21" s="10">
        <v>1007.1</v>
      </c>
      <c r="O21" s="10">
        <v>427.99</v>
      </c>
      <c r="P21" s="10">
        <v>755.26</v>
      </c>
      <c r="Q21" s="10">
        <v>0</v>
      </c>
      <c r="R21" s="10">
        <v>0</v>
      </c>
      <c r="S21" s="10">
        <v>0</v>
      </c>
      <c r="T21" s="10">
        <v>903.08</v>
      </c>
      <c r="U21" s="10">
        <v>0</v>
      </c>
      <c r="V21" s="10">
        <v>586.66</v>
      </c>
      <c r="W21" s="10">
        <v>1161.05</v>
      </c>
      <c r="X21" s="10">
        <v>0</v>
      </c>
      <c r="Y21" s="10">
        <v>1174.6600000000001</v>
      </c>
      <c r="Z21" s="10">
        <v>0</v>
      </c>
      <c r="AA21" s="10">
        <v>1082.6300000000001</v>
      </c>
      <c r="AB21" s="10">
        <v>2245.4899999999998</v>
      </c>
      <c r="AC21" s="10">
        <v>429.95</v>
      </c>
      <c r="AD21" s="10">
        <v>874.11</v>
      </c>
      <c r="AE21" s="10">
        <v>1673.84</v>
      </c>
      <c r="AF21" s="10">
        <v>0</v>
      </c>
    </row>
    <row r="22" spans="1:32" ht="15" customHeight="1">
      <c r="A22" s="10" t="s">
        <v>275</v>
      </c>
      <c r="B22" s="61" t="s">
        <v>309</v>
      </c>
      <c r="C22" s="10">
        <v>0</v>
      </c>
      <c r="D22" s="10">
        <v>1094.8399999999999</v>
      </c>
      <c r="E22" s="10">
        <v>0</v>
      </c>
      <c r="F22" s="10">
        <v>0</v>
      </c>
      <c r="G22" s="10">
        <v>0</v>
      </c>
      <c r="H22" s="10">
        <v>850.9</v>
      </c>
      <c r="I22" s="10">
        <v>1015.33</v>
      </c>
      <c r="J22" s="10">
        <v>873.01</v>
      </c>
      <c r="K22" s="10">
        <v>384.47</v>
      </c>
      <c r="L22" s="10">
        <v>0</v>
      </c>
      <c r="M22" s="10">
        <v>1026.31</v>
      </c>
      <c r="N22" s="10">
        <v>0</v>
      </c>
      <c r="O22" s="10">
        <v>1262.6500000000001</v>
      </c>
      <c r="P22" s="10">
        <v>961.23</v>
      </c>
      <c r="Q22" s="10">
        <v>0</v>
      </c>
      <c r="R22" s="10">
        <v>0</v>
      </c>
      <c r="S22" s="10">
        <v>0</v>
      </c>
      <c r="T22" s="10">
        <v>0</v>
      </c>
      <c r="U22" s="10">
        <v>180.61</v>
      </c>
      <c r="V22" s="10">
        <v>0</v>
      </c>
      <c r="W22" s="10">
        <v>1249.7</v>
      </c>
      <c r="X22" s="10">
        <v>1153.01</v>
      </c>
      <c r="Y22" s="10">
        <v>464.52</v>
      </c>
      <c r="Z22" s="10">
        <v>0</v>
      </c>
      <c r="AA22" s="10">
        <v>1059.29</v>
      </c>
      <c r="AB22" s="10">
        <v>923.23</v>
      </c>
      <c r="AC22" s="10">
        <v>1207.05</v>
      </c>
      <c r="AD22" s="10">
        <v>797.05</v>
      </c>
      <c r="AE22" s="10">
        <v>0</v>
      </c>
      <c r="AF22" s="10">
        <v>0</v>
      </c>
    </row>
    <row r="23" spans="1:32" ht="15" customHeight="1">
      <c r="A23" s="10" t="s">
        <v>275</v>
      </c>
      <c r="B23" s="61" t="s">
        <v>294</v>
      </c>
      <c r="C23" s="10">
        <v>1087.05</v>
      </c>
      <c r="D23" s="10">
        <v>640.32000000000005</v>
      </c>
      <c r="E23" s="10">
        <v>140.4</v>
      </c>
      <c r="F23" s="10">
        <v>0</v>
      </c>
      <c r="G23" s="10">
        <v>367.02</v>
      </c>
      <c r="H23" s="10">
        <v>665.24</v>
      </c>
      <c r="I23" s="10">
        <v>339.26</v>
      </c>
      <c r="J23" s="10">
        <v>737.81</v>
      </c>
      <c r="K23" s="10">
        <v>0</v>
      </c>
      <c r="L23" s="10">
        <v>1307.3599999999999</v>
      </c>
      <c r="M23" s="10">
        <v>0</v>
      </c>
      <c r="N23" s="10">
        <v>0</v>
      </c>
      <c r="O23" s="10">
        <v>938.11</v>
      </c>
      <c r="P23" s="10">
        <v>1025.1099999999999</v>
      </c>
      <c r="Q23" s="10">
        <v>1057.17</v>
      </c>
      <c r="R23" s="10">
        <v>903.08</v>
      </c>
      <c r="S23" s="10">
        <v>0</v>
      </c>
      <c r="T23" s="10">
        <v>0</v>
      </c>
      <c r="U23" s="10">
        <v>0</v>
      </c>
      <c r="V23" s="10">
        <v>0</v>
      </c>
      <c r="W23" s="10">
        <v>279.54000000000002</v>
      </c>
      <c r="X23" s="10">
        <v>1703.34</v>
      </c>
      <c r="Y23" s="10">
        <v>969.45</v>
      </c>
      <c r="Z23" s="10">
        <v>0</v>
      </c>
      <c r="AA23" s="10">
        <v>0</v>
      </c>
      <c r="AB23" s="10">
        <v>1586.29</v>
      </c>
      <c r="AC23" s="10">
        <v>767.73</v>
      </c>
      <c r="AD23" s="10">
        <v>981.17</v>
      </c>
      <c r="AE23" s="10">
        <v>785.89</v>
      </c>
      <c r="AF23" s="10">
        <v>0</v>
      </c>
    </row>
    <row r="24" spans="1:32" ht="15" customHeight="1">
      <c r="A24" s="10" t="s">
        <v>275</v>
      </c>
      <c r="B24" s="61" t="s">
        <v>310</v>
      </c>
      <c r="C24" s="10">
        <v>0</v>
      </c>
      <c r="D24" s="10">
        <v>1264.26</v>
      </c>
      <c r="E24" s="10">
        <v>0</v>
      </c>
      <c r="F24" s="10">
        <v>0</v>
      </c>
      <c r="G24" s="10">
        <v>0</v>
      </c>
      <c r="H24" s="10">
        <v>1016.04</v>
      </c>
      <c r="I24" s="10">
        <v>1144.5999999999999</v>
      </c>
      <c r="J24" s="10">
        <v>921.65</v>
      </c>
      <c r="K24" s="10">
        <v>205.65</v>
      </c>
      <c r="L24" s="10">
        <v>0</v>
      </c>
      <c r="M24" s="10">
        <v>852.16</v>
      </c>
      <c r="N24" s="10">
        <v>0</v>
      </c>
      <c r="O24" s="10">
        <v>0</v>
      </c>
      <c r="P24" s="10">
        <v>1141.83</v>
      </c>
      <c r="Q24" s="10">
        <v>0</v>
      </c>
      <c r="R24" s="10">
        <v>0</v>
      </c>
      <c r="S24" s="10">
        <v>180.61</v>
      </c>
      <c r="T24" s="10">
        <v>0</v>
      </c>
      <c r="U24" s="10">
        <v>0</v>
      </c>
      <c r="V24" s="10">
        <v>0</v>
      </c>
      <c r="W24" s="10">
        <v>1345.25</v>
      </c>
      <c r="X24" s="10">
        <v>1031.76</v>
      </c>
      <c r="Y24" s="10">
        <v>636.20000000000005</v>
      </c>
      <c r="Z24" s="10">
        <v>0</v>
      </c>
      <c r="AA24" s="10">
        <v>1225.5</v>
      </c>
      <c r="AB24" s="10">
        <v>802.01</v>
      </c>
      <c r="AC24" s="10">
        <v>0</v>
      </c>
      <c r="AD24" s="10">
        <v>977.33</v>
      </c>
      <c r="AE24" s="10">
        <v>0</v>
      </c>
      <c r="AF24" s="10">
        <v>0</v>
      </c>
    </row>
    <row r="25" spans="1:32" ht="15" customHeight="1">
      <c r="A25" s="10" t="s">
        <v>275</v>
      </c>
      <c r="B25" s="61" t="s">
        <v>297</v>
      </c>
      <c r="C25" s="10">
        <v>1285.6600000000001</v>
      </c>
      <c r="D25" s="10">
        <v>804.24</v>
      </c>
      <c r="E25" s="10">
        <v>192.2</v>
      </c>
      <c r="F25" s="10">
        <v>0</v>
      </c>
      <c r="G25" s="10">
        <v>637.54999999999995</v>
      </c>
      <c r="H25" s="10">
        <v>738.71</v>
      </c>
      <c r="I25" s="10">
        <v>356.15</v>
      </c>
      <c r="J25" s="10">
        <v>503.89</v>
      </c>
      <c r="K25" s="10">
        <v>0</v>
      </c>
      <c r="L25" s="10">
        <v>1513.18</v>
      </c>
      <c r="M25" s="10">
        <v>0</v>
      </c>
      <c r="N25" s="10">
        <v>0</v>
      </c>
      <c r="O25" s="10">
        <v>1129.3900000000001</v>
      </c>
      <c r="P25" s="10">
        <v>1144.4000000000001</v>
      </c>
      <c r="Q25" s="10">
        <v>932.26</v>
      </c>
      <c r="R25" s="10">
        <v>1161.05</v>
      </c>
      <c r="S25" s="10">
        <v>1249.7</v>
      </c>
      <c r="T25" s="10">
        <v>279.54000000000002</v>
      </c>
      <c r="U25" s="10">
        <v>1345.25</v>
      </c>
      <c r="V25" s="10">
        <v>0</v>
      </c>
      <c r="W25" s="10">
        <v>0</v>
      </c>
      <c r="X25" s="10">
        <v>1444.25</v>
      </c>
      <c r="Y25" s="10">
        <v>943.16</v>
      </c>
      <c r="Z25" s="10">
        <v>0</v>
      </c>
      <c r="AA25" s="10">
        <v>0</v>
      </c>
      <c r="AB25" s="10">
        <v>1343.75</v>
      </c>
      <c r="AC25" s="10">
        <v>958.07</v>
      </c>
      <c r="AD25" s="10">
        <v>1060.75</v>
      </c>
      <c r="AE25" s="10">
        <v>604.03</v>
      </c>
      <c r="AF25" s="10">
        <v>0</v>
      </c>
    </row>
    <row r="26" spans="1:32" ht="15" customHeight="1">
      <c r="A26" s="10" t="s">
        <v>275</v>
      </c>
      <c r="B26" s="61" t="s">
        <v>298</v>
      </c>
      <c r="C26" s="10">
        <v>2702.36</v>
      </c>
      <c r="D26" s="10">
        <v>0</v>
      </c>
      <c r="E26" s="10">
        <v>1636.14</v>
      </c>
      <c r="F26" s="10">
        <v>0</v>
      </c>
      <c r="G26" s="10">
        <v>0</v>
      </c>
      <c r="H26" s="10">
        <v>1642</v>
      </c>
      <c r="I26" s="10">
        <v>1503.63</v>
      </c>
      <c r="J26" s="10">
        <v>700</v>
      </c>
      <c r="K26" s="10">
        <v>885</v>
      </c>
      <c r="L26" s="10">
        <v>0</v>
      </c>
      <c r="M26" s="10">
        <v>1000</v>
      </c>
      <c r="N26" s="10">
        <v>0</v>
      </c>
      <c r="O26" s="10">
        <v>0</v>
      </c>
      <c r="P26" s="10">
        <v>0</v>
      </c>
      <c r="Q26" s="10">
        <v>1780.16</v>
      </c>
      <c r="R26" s="10">
        <v>0</v>
      </c>
      <c r="S26" s="10">
        <v>1153.01</v>
      </c>
      <c r="T26" s="10">
        <v>1703.34</v>
      </c>
      <c r="U26" s="10">
        <v>1031.76</v>
      </c>
      <c r="V26" s="10">
        <v>0</v>
      </c>
      <c r="W26" s="10">
        <v>1444.25</v>
      </c>
      <c r="X26" s="10">
        <v>0</v>
      </c>
      <c r="Y26" s="10">
        <v>1408.54</v>
      </c>
      <c r="Z26" s="10">
        <v>0</v>
      </c>
      <c r="AA26" s="10">
        <v>0</v>
      </c>
      <c r="AB26" s="10">
        <v>230.32</v>
      </c>
      <c r="AC26" s="10">
        <v>0</v>
      </c>
      <c r="AD26" s="10">
        <v>0</v>
      </c>
      <c r="AE26" s="10">
        <v>1492.31</v>
      </c>
      <c r="AF26" s="10">
        <v>0</v>
      </c>
    </row>
    <row r="27" spans="1:32" ht="15" customHeight="1">
      <c r="A27" s="10" t="s">
        <v>275</v>
      </c>
      <c r="B27" s="61" t="s">
        <v>357</v>
      </c>
      <c r="C27" s="10">
        <v>1809.09</v>
      </c>
      <c r="D27" s="10">
        <v>667.29</v>
      </c>
      <c r="E27" s="10">
        <v>0</v>
      </c>
      <c r="F27" s="10">
        <v>489.51</v>
      </c>
      <c r="G27" s="10">
        <v>978.2</v>
      </c>
      <c r="H27" s="10">
        <v>829.38</v>
      </c>
      <c r="I27" s="10">
        <v>1143.0899999999999</v>
      </c>
      <c r="J27" s="10">
        <v>0</v>
      </c>
      <c r="K27" s="10">
        <v>0</v>
      </c>
      <c r="L27" s="10">
        <v>0</v>
      </c>
      <c r="M27" s="10">
        <v>0</v>
      </c>
      <c r="N27" s="10">
        <v>521.16</v>
      </c>
      <c r="O27" s="10">
        <v>339.14</v>
      </c>
      <c r="P27" s="10">
        <v>486.51</v>
      </c>
      <c r="Q27" s="10">
        <v>0</v>
      </c>
      <c r="R27" s="10">
        <v>586.66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1038.1300000000001</v>
      </c>
      <c r="Z27" s="10">
        <v>0</v>
      </c>
      <c r="AA27" s="10">
        <v>569.07000000000005</v>
      </c>
      <c r="AB27" s="10">
        <v>0</v>
      </c>
      <c r="AC27" s="10">
        <v>511.02</v>
      </c>
      <c r="AD27" s="10">
        <v>658.16</v>
      </c>
      <c r="AE27" s="10">
        <v>0</v>
      </c>
      <c r="AF27" s="10">
        <v>0</v>
      </c>
    </row>
    <row r="28" spans="1:32" ht="15" customHeight="1">
      <c r="A28" s="10" t="s">
        <v>275</v>
      </c>
      <c r="B28" s="61" t="s">
        <v>299</v>
      </c>
      <c r="C28" s="10">
        <v>2000.6</v>
      </c>
      <c r="D28" s="10">
        <v>630.36</v>
      </c>
      <c r="E28" s="10">
        <v>1037.53</v>
      </c>
      <c r="F28" s="10">
        <v>1129.69</v>
      </c>
      <c r="G28" s="10">
        <v>1001.53</v>
      </c>
      <c r="H28" s="10">
        <v>390.18</v>
      </c>
      <c r="I28" s="10">
        <v>633.87</v>
      </c>
      <c r="J28" s="10">
        <v>745.5</v>
      </c>
      <c r="K28" s="10">
        <v>825.43</v>
      </c>
      <c r="L28" s="10">
        <v>0</v>
      </c>
      <c r="M28" s="10">
        <v>1430.78</v>
      </c>
      <c r="N28" s="10">
        <v>1480.09</v>
      </c>
      <c r="O28" s="10">
        <v>818.17</v>
      </c>
      <c r="P28" s="10">
        <v>551.72</v>
      </c>
      <c r="Q28" s="10">
        <v>0</v>
      </c>
      <c r="R28" s="10">
        <v>1174.6600000000001</v>
      </c>
      <c r="S28" s="10">
        <v>464.52</v>
      </c>
      <c r="T28" s="10">
        <v>969.45</v>
      </c>
      <c r="U28" s="10">
        <v>636.20000000000005</v>
      </c>
      <c r="V28" s="10">
        <v>1038.1300000000001</v>
      </c>
      <c r="W28" s="10">
        <v>943.16</v>
      </c>
      <c r="X28" s="10">
        <v>1408.54</v>
      </c>
      <c r="Y28" s="10">
        <v>0</v>
      </c>
      <c r="Z28" s="10">
        <v>0</v>
      </c>
      <c r="AA28" s="10">
        <v>809.16</v>
      </c>
      <c r="AB28" s="10">
        <v>1196.53</v>
      </c>
      <c r="AC28" s="10">
        <v>746.53</v>
      </c>
      <c r="AD28" s="10">
        <v>380.21</v>
      </c>
      <c r="AE28" s="10">
        <v>1502.63</v>
      </c>
      <c r="AF28" s="10">
        <v>0</v>
      </c>
    </row>
    <row r="29" spans="1:32" ht="15" customHeight="1">
      <c r="A29" s="10" t="s">
        <v>275</v>
      </c>
      <c r="B29" s="61" t="s">
        <v>300</v>
      </c>
      <c r="C29" s="10">
        <v>560.61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421.67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1672.93</v>
      </c>
      <c r="AF29" s="10">
        <v>0</v>
      </c>
    </row>
    <row r="30" spans="1:32" ht="15" customHeight="1">
      <c r="A30" s="10" t="s">
        <v>275</v>
      </c>
      <c r="B30" s="61" t="s">
        <v>301</v>
      </c>
      <c r="C30" s="10">
        <v>2252.62</v>
      </c>
      <c r="D30" s="10">
        <v>850.72</v>
      </c>
      <c r="E30" s="10">
        <v>0</v>
      </c>
      <c r="F30" s="10">
        <v>343.03</v>
      </c>
      <c r="G30" s="10">
        <v>1292.28</v>
      </c>
      <c r="H30" s="10">
        <v>842.37</v>
      </c>
      <c r="I30" s="10">
        <v>1224.8499999999999</v>
      </c>
      <c r="J30" s="10">
        <v>1533.41</v>
      </c>
      <c r="K30" s="10">
        <v>0</v>
      </c>
      <c r="L30" s="10">
        <v>0</v>
      </c>
      <c r="M30" s="10">
        <v>0</v>
      </c>
      <c r="N30" s="10">
        <v>772.6</v>
      </c>
      <c r="O30" s="10">
        <v>677.09</v>
      </c>
      <c r="P30" s="10">
        <v>452.36</v>
      </c>
      <c r="Q30" s="10">
        <v>0</v>
      </c>
      <c r="R30" s="10">
        <v>1082.6300000000001</v>
      </c>
      <c r="S30" s="10">
        <v>1059.29</v>
      </c>
      <c r="T30" s="10">
        <v>0</v>
      </c>
      <c r="U30" s="10">
        <v>1225.5</v>
      </c>
      <c r="V30" s="10">
        <v>569.07000000000005</v>
      </c>
      <c r="W30" s="10">
        <v>0</v>
      </c>
      <c r="X30" s="10">
        <v>0</v>
      </c>
      <c r="Y30" s="10">
        <v>809.16</v>
      </c>
      <c r="Z30" s="10">
        <v>0</v>
      </c>
      <c r="AA30" s="10">
        <v>0</v>
      </c>
      <c r="AB30" s="10">
        <v>0</v>
      </c>
      <c r="AC30" s="10">
        <v>787.57</v>
      </c>
      <c r="AD30" s="10">
        <v>523.91999999999996</v>
      </c>
      <c r="AE30" s="10">
        <v>0</v>
      </c>
      <c r="AF30" s="10">
        <v>899</v>
      </c>
    </row>
    <row r="31" spans="1:32" ht="15" customHeight="1">
      <c r="A31" s="10" t="s">
        <v>275</v>
      </c>
      <c r="B31" s="61" t="s">
        <v>303</v>
      </c>
      <c r="C31" s="10">
        <v>2623.55</v>
      </c>
      <c r="D31" s="10">
        <v>1698.79</v>
      </c>
      <c r="E31" s="10">
        <v>1535.26</v>
      </c>
      <c r="F31" s="10">
        <v>0</v>
      </c>
      <c r="G31" s="10">
        <v>1857.41</v>
      </c>
      <c r="H31" s="10">
        <v>1454.22</v>
      </c>
      <c r="I31" s="10">
        <v>1354.27</v>
      </c>
      <c r="J31" s="10">
        <v>400</v>
      </c>
      <c r="K31" s="10">
        <v>661.72</v>
      </c>
      <c r="L31" s="10">
        <v>0</v>
      </c>
      <c r="M31" s="10">
        <v>505.83</v>
      </c>
      <c r="N31" s="10">
        <v>0</v>
      </c>
      <c r="O31" s="10">
        <v>1974.19</v>
      </c>
      <c r="P31" s="10">
        <v>1745.85</v>
      </c>
      <c r="Q31" s="10">
        <v>0</v>
      </c>
      <c r="R31" s="10">
        <v>2245.4899999999998</v>
      </c>
      <c r="S31" s="10">
        <v>923.23</v>
      </c>
      <c r="T31" s="10">
        <v>1586.29</v>
      </c>
      <c r="U31" s="10">
        <v>802.01</v>
      </c>
      <c r="V31" s="10">
        <v>0</v>
      </c>
      <c r="W31" s="10">
        <v>1343.75</v>
      </c>
      <c r="X31" s="10">
        <v>230.32</v>
      </c>
      <c r="Y31" s="10">
        <v>1196.53</v>
      </c>
      <c r="Z31" s="10">
        <v>0</v>
      </c>
      <c r="AA31" s="10">
        <v>0</v>
      </c>
      <c r="AB31" s="10">
        <v>0</v>
      </c>
      <c r="AC31" s="10">
        <v>1858.18</v>
      </c>
      <c r="AD31" s="10">
        <v>1575.37</v>
      </c>
      <c r="AE31" s="10">
        <v>1485.18</v>
      </c>
      <c r="AF31" s="10">
        <v>0</v>
      </c>
    </row>
    <row r="32" spans="1:32" ht="15" customHeight="1">
      <c r="A32" s="10" t="s">
        <v>275</v>
      </c>
      <c r="B32" s="61" t="s">
        <v>304</v>
      </c>
      <c r="C32" s="10">
        <v>1472.14</v>
      </c>
      <c r="D32" s="10">
        <v>171.24</v>
      </c>
      <c r="E32" s="10">
        <v>903.98</v>
      </c>
      <c r="F32" s="10">
        <v>908.29</v>
      </c>
      <c r="G32" s="10">
        <v>511.84</v>
      </c>
      <c r="H32" s="10">
        <v>404.31</v>
      </c>
      <c r="I32" s="10">
        <v>643.65</v>
      </c>
      <c r="J32" s="10">
        <v>1144.1199999999999</v>
      </c>
      <c r="K32" s="10">
        <v>0</v>
      </c>
      <c r="L32" s="10">
        <v>1632.96</v>
      </c>
      <c r="M32" s="10">
        <v>0</v>
      </c>
      <c r="N32" s="10">
        <v>1031.6199999999999</v>
      </c>
      <c r="O32" s="10">
        <v>171.93</v>
      </c>
      <c r="P32" s="10">
        <v>369.97</v>
      </c>
      <c r="Q32" s="10">
        <v>0</v>
      </c>
      <c r="R32" s="10">
        <v>429.95</v>
      </c>
      <c r="S32" s="10">
        <v>1207.05</v>
      </c>
      <c r="T32" s="10">
        <v>767.73</v>
      </c>
      <c r="U32" s="10">
        <v>0</v>
      </c>
      <c r="V32" s="10">
        <v>511.02</v>
      </c>
      <c r="W32" s="10">
        <v>958.07</v>
      </c>
      <c r="X32" s="10">
        <v>0</v>
      </c>
      <c r="Y32" s="10">
        <v>746.53</v>
      </c>
      <c r="Z32" s="10">
        <v>0</v>
      </c>
      <c r="AA32" s="10">
        <v>787.57</v>
      </c>
      <c r="AB32" s="10">
        <v>1858.18</v>
      </c>
      <c r="AC32" s="10">
        <v>0</v>
      </c>
      <c r="AD32" s="10">
        <v>454.53</v>
      </c>
      <c r="AE32" s="10">
        <v>0</v>
      </c>
      <c r="AF32" s="10">
        <v>0</v>
      </c>
    </row>
    <row r="33" spans="1:32" ht="15" customHeight="1">
      <c r="A33" s="10" t="s">
        <v>275</v>
      </c>
      <c r="B33" s="61" t="s">
        <v>305</v>
      </c>
      <c r="C33" s="10">
        <v>1879.08</v>
      </c>
      <c r="D33" s="10">
        <v>416.67</v>
      </c>
      <c r="E33" s="10">
        <v>1089.56</v>
      </c>
      <c r="F33" s="10">
        <v>797.9</v>
      </c>
      <c r="G33" s="10">
        <v>869.38</v>
      </c>
      <c r="H33" s="10">
        <v>323.69</v>
      </c>
      <c r="I33" s="10">
        <v>705.3</v>
      </c>
      <c r="J33" s="10">
        <v>1030.02</v>
      </c>
      <c r="K33" s="10">
        <v>1177.79</v>
      </c>
      <c r="L33" s="10">
        <v>0</v>
      </c>
      <c r="M33" s="10">
        <v>0</v>
      </c>
      <c r="N33" s="10">
        <v>1109.6099999999999</v>
      </c>
      <c r="O33" s="10">
        <v>470.6</v>
      </c>
      <c r="P33" s="10">
        <v>171.65</v>
      </c>
      <c r="Q33" s="10">
        <v>0</v>
      </c>
      <c r="R33" s="10">
        <v>874.11</v>
      </c>
      <c r="S33" s="10">
        <v>797.05</v>
      </c>
      <c r="T33" s="10">
        <v>981.17</v>
      </c>
      <c r="U33" s="10">
        <v>977.33</v>
      </c>
      <c r="V33" s="10">
        <v>658.16</v>
      </c>
      <c r="W33" s="10">
        <v>1060.75</v>
      </c>
      <c r="X33" s="10">
        <v>0</v>
      </c>
      <c r="Y33" s="10">
        <v>380.21</v>
      </c>
      <c r="Z33" s="10">
        <v>0</v>
      </c>
      <c r="AA33" s="10">
        <v>523.91999999999996</v>
      </c>
      <c r="AB33" s="10">
        <v>1575.37</v>
      </c>
      <c r="AC33" s="10">
        <v>454.53</v>
      </c>
      <c r="AD33" s="10">
        <v>0</v>
      </c>
      <c r="AE33" s="10">
        <v>0</v>
      </c>
      <c r="AF33" s="10">
        <v>0</v>
      </c>
    </row>
    <row r="34" spans="1:32" ht="15" customHeight="1">
      <c r="A34" s="10" t="s">
        <v>275</v>
      </c>
      <c r="B34" s="10" t="s">
        <v>356</v>
      </c>
      <c r="C34" s="10">
        <v>0</v>
      </c>
      <c r="D34" s="10">
        <v>0</v>
      </c>
      <c r="E34" s="10">
        <v>0</v>
      </c>
      <c r="F34" s="10">
        <v>428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868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899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</row>
    <row r="35" spans="1:32" ht="15" customHeight="1">
      <c r="A35" s="10" t="s">
        <v>275</v>
      </c>
      <c r="B35" s="61" t="s">
        <v>307</v>
      </c>
      <c r="C35" s="10">
        <v>600</v>
      </c>
      <c r="D35" s="10">
        <v>1399.02</v>
      </c>
      <c r="E35" s="10">
        <v>645.59</v>
      </c>
      <c r="F35" s="10">
        <v>0</v>
      </c>
      <c r="G35" s="10">
        <v>1134.76</v>
      </c>
      <c r="H35" s="10">
        <v>1341.38</v>
      </c>
      <c r="I35" s="10">
        <v>959.53</v>
      </c>
      <c r="J35" s="10">
        <v>850.09</v>
      </c>
      <c r="K35" s="10">
        <v>0</v>
      </c>
      <c r="L35" s="10">
        <v>1549.51</v>
      </c>
      <c r="M35" s="10">
        <v>0</v>
      </c>
      <c r="N35" s="10">
        <v>0</v>
      </c>
      <c r="O35" s="10">
        <v>0</v>
      </c>
      <c r="P35" s="10">
        <v>0</v>
      </c>
      <c r="Q35" s="10">
        <v>363.85</v>
      </c>
      <c r="R35" s="10">
        <v>1673.84</v>
      </c>
      <c r="S35" s="10">
        <v>0</v>
      </c>
      <c r="T35" s="10">
        <v>785.89</v>
      </c>
      <c r="U35" s="10">
        <v>0</v>
      </c>
      <c r="V35" s="10">
        <v>0</v>
      </c>
      <c r="W35" s="10">
        <v>604.03</v>
      </c>
      <c r="X35" s="10">
        <v>1492.31</v>
      </c>
      <c r="Y35" s="10">
        <v>1502.63</v>
      </c>
      <c r="Z35" s="10">
        <v>1672.93</v>
      </c>
      <c r="AA35" s="10">
        <v>0</v>
      </c>
      <c r="AB35" s="10">
        <v>1485.18</v>
      </c>
      <c r="AC35" s="10">
        <v>0</v>
      </c>
      <c r="AD35" s="10">
        <v>0</v>
      </c>
      <c r="AE35" s="10">
        <v>0</v>
      </c>
      <c r="AF35" s="10">
        <v>0</v>
      </c>
    </row>
    <row r="36" spans="1:32" ht="15" customHeight="1">
      <c r="A36" s="10" t="s">
        <v>146</v>
      </c>
      <c r="B36" s="61" t="s">
        <v>278</v>
      </c>
      <c r="C36" s="10">
        <v>1462.5</v>
      </c>
      <c r="D36" s="10">
        <v>0</v>
      </c>
      <c r="E36" s="10">
        <v>770.24</v>
      </c>
      <c r="F36" s="10">
        <v>1022.45</v>
      </c>
      <c r="G36" s="10">
        <v>456.36</v>
      </c>
      <c r="H36" s="10">
        <v>254.84</v>
      </c>
      <c r="I36" s="10">
        <v>477.04</v>
      </c>
      <c r="J36" s="10">
        <v>973.03</v>
      </c>
      <c r="K36" s="10">
        <v>0</v>
      </c>
      <c r="L36" s="10">
        <v>1640.58</v>
      </c>
      <c r="M36" s="10">
        <v>0</v>
      </c>
      <c r="N36" s="10">
        <v>1188.01</v>
      </c>
      <c r="O36" s="10">
        <v>332.27</v>
      </c>
      <c r="P36" s="10">
        <v>400.59</v>
      </c>
      <c r="Q36" s="10">
        <v>0</v>
      </c>
      <c r="R36" s="10">
        <v>557.69000000000005</v>
      </c>
      <c r="S36" s="10">
        <v>1094.8399999999999</v>
      </c>
      <c r="T36" s="10">
        <v>640.32000000000005</v>
      </c>
      <c r="U36" s="10">
        <v>1264.26</v>
      </c>
      <c r="V36" s="10">
        <v>667.29</v>
      </c>
      <c r="W36" s="10">
        <v>804.24</v>
      </c>
      <c r="X36" s="10">
        <v>0</v>
      </c>
      <c r="Y36" s="10">
        <v>630.36</v>
      </c>
      <c r="Z36" s="10">
        <v>0</v>
      </c>
      <c r="AA36" s="10">
        <v>850.72</v>
      </c>
      <c r="AB36" s="10">
        <v>1698.79</v>
      </c>
      <c r="AC36" s="10">
        <v>171.24</v>
      </c>
      <c r="AD36" s="10">
        <v>416.67</v>
      </c>
      <c r="AE36" s="10">
        <v>1399.02</v>
      </c>
      <c r="AF36" s="10">
        <v>0</v>
      </c>
    </row>
    <row r="37" spans="1:32" ht="15" customHeight="1">
      <c r="A37" s="10" t="s">
        <v>146</v>
      </c>
      <c r="B37" s="61" t="s">
        <v>280</v>
      </c>
      <c r="C37" s="10">
        <v>300</v>
      </c>
      <c r="D37" s="10">
        <v>770.24</v>
      </c>
      <c r="E37" s="10">
        <v>0</v>
      </c>
      <c r="F37" s="10">
        <v>0</v>
      </c>
      <c r="G37" s="10">
        <v>501.4</v>
      </c>
      <c r="H37" s="10">
        <v>767.87</v>
      </c>
      <c r="I37" s="10">
        <v>406.5</v>
      </c>
      <c r="J37" s="10">
        <v>692.16</v>
      </c>
      <c r="K37" s="10">
        <v>0</v>
      </c>
      <c r="L37" s="10">
        <v>1325.38</v>
      </c>
      <c r="M37" s="10">
        <v>0</v>
      </c>
      <c r="N37" s="10">
        <v>0</v>
      </c>
      <c r="O37" s="10">
        <v>1075.07</v>
      </c>
      <c r="P37" s="10">
        <v>1146.05</v>
      </c>
      <c r="Q37" s="10">
        <v>924.14</v>
      </c>
      <c r="R37" s="10">
        <v>1040.22</v>
      </c>
      <c r="S37" s="10">
        <v>0</v>
      </c>
      <c r="T37" s="10">
        <v>140.4</v>
      </c>
      <c r="U37" s="10">
        <v>0</v>
      </c>
      <c r="V37" s="10">
        <v>0</v>
      </c>
      <c r="W37" s="10">
        <v>192.2</v>
      </c>
      <c r="X37" s="10">
        <v>1636.14</v>
      </c>
      <c r="Y37" s="10">
        <v>1037.53</v>
      </c>
      <c r="Z37" s="10">
        <v>0</v>
      </c>
      <c r="AA37" s="10">
        <v>0</v>
      </c>
      <c r="AB37" s="10">
        <v>1535.26</v>
      </c>
      <c r="AC37" s="10">
        <v>903.98</v>
      </c>
      <c r="AD37" s="10">
        <v>1089.56</v>
      </c>
      <c r="AE37" s="10">
        <v>645.59</v>
      </c>
      <c r="AF37" s="10">
        <v>0</v>
      </c>
    </row>
    <row r="38" spans="1:32" ht="15" customHeight="1">
      <c r="A38" s="10" t="s">
        <v>146</v>
      </c>
      <c r="B38" s="61" t="s">
        <v>281</v>
      </c>
      <c r="C38" s="10">
        <v>0</v>
      </c>
      <c r="D38" s="10">
        <v>1022.45</v>
      </c>
      <c r="E38" s="10">
        <v>0</v>
      </c>
      <c r="F38" s="10">
        <v>0</v>
      </c>
      <c r="G38" s="10">
        <v>1415.45</v>
      </c>
      <c r="H38" s="10">
        <v>1087.05</v>
      </c>
      <c r="I38" s="10">
        <v>1458.02</v>
      </c>
      <c r="J38" s="10">
        <v>0</v>
      </c>
      <c r="K38" s="10">
        <v>0</v>
      </c>
      <c r="L38" s="10">
        <v>0</v>
      </c>
      <c r="M38" s="10">
        <v>0</v>
      </c>
      <c r="N38" s="10">
        <v>453.95</v>
      </c>
      <c r="O38" s="10">
        <v>753.16</v>
      </c>
      <c r="P38" s="10">
        <v>671.18</v>
      </c>
      <c r="Q38" s="10">
        <v>0</v>
      </c>
      <c r="R38" s="10">
        <v>1075.51</v>
      </c>
      <c r="S38" s="10">
        <v>0</v>
      </c>
      <c r="T38" s="10">
        <v>0</v>
      </c>
      <c r="U38" s="10">
        <v>0</v>
      </c>
      <c r="V38" s="10">
        <v>489.51</v>
      </c>
      <c r="W38" s="10">
        <v>0</v>
      </c>
      <c r="X38" s="10">
        <v>0</v>
      </c>
      <c r="Y38" s="10">
        <v>1129.69</v>
      </c>
      <c r="Z38" s="10">
        <v>0</v>
      </c>
      <c r="AA38" s="10">
        <v>343.03</v>
      </c>
      <c r="AB38" s="10">
        <v>0</v>
      </c>
      <c r="AC38" s="10">
        <v>908.29</v>
      </c>
      <c r="AD38" s="10">
        <v>797.9</v>
      </c>
      <c r="AE38" s="10">
        <v>0</v>
      </c>
      <c r="AF38" s="10">
        <v>428</v>
      </c>
    </row>
    <row r="39" spans="1:32" ht="15" customHeight="1">
      <c r="A39" s="10" t="s">
        <v>146</v>
      </c>
      <c r="B39" s="61" t="s">
        <v>282</v>
      </c>
      <c r="C39" s="10">
        <v>350</v>
      </c>
      <c r="D39" s="10">
        <v>456.36</v>
      </c>
      <c r="E39" s="10">
        <v>501.4</v>
      </c>
      <c r="F39" s="10">
        <v>1415.45</v>
      </c>
      <c r="G39" s="10">
        <v>0</v>
      </c>
      <c r="H39" s="10">
        <v>619.89</v>
      </c>
      <c r="I39" s="10">
        <v>504.62</v>
      </c>
      <c r="J39" s="10">
        <v>1027.05</v>
      </c>
      <c r="K39" s="10">
        <v>0</v>
      </c>
      <c r="L39" s="10">
        <v>1204.01</v>
      </c>
      <c r="M39" s="10">
        <v>0</v>
      </c>
      <c r="N39" s="10">
        <v>0</v>
      </c>
      <c r="O39" s="10">
        <v>662.94</v>
      </c>
      <c r="P39" s="10">
        <v>850.87</v>
      </c>
      <c r="Q39" s="10">
        <v>0</v>
      </c>
      <c r="R39" s="10">
        <v>540.01</v>
      </c>
      <c r="S39" s="10">
        <v>0</v>
      </c>
      <c r="T39" s="10">
        <v>367.02</v>
      </c>
      <c r="U39" s="10">
        <v>0</v>
      </c>
      <c r="V39" s="10">
        <v>978.2</v>
      </c>
      <c r="W39" s="10">
        <v>637.54999999999995</v>
      </c>
      <c r="X39" s="10">
        <v>0</v>
      </c>
      <c r="Y39" s="10">
        <v>1001.53</v>
      </c>
      <c r="Z39" s="10">
        <v>0</v>
      </c>
      <c r="AA39" s="10">
        <v>1292.28</v>
      </c>
      <c r="AB39" s="10">
        <v>1857.41</v>
      </c>
      <c r="AC39" s="10">
        <v>511.84</v>
      </c>
      <c r="AD39" s="10">
        <v>869.38</v>
      </c>
      <c r="AE39" s="10">
        <v>1134.76</v>
      </c>
      <c r="AF39" s="10">
        <v>0</v>
      </c>
    </row>
    <row r="40" spans="1:32" ht="15" customHeight="1">
      <c r="A40" s="10" t="s">
        <v>146</v>
      </c>
      <c r="B40" s="61" t="s">
        <v>283</v>
      </c>
      <c r="C40" s="10">
        <v>1630.33</v>
      </c>
      <c r="D40" s="10">
        <v>254.84</v>
      </c>
      <c r="E40" s="10">
        <v>767.87</v>
      </c>
      <c r="F40" s="10">
        <v>1087.05</v>
      </c>
      <c r="G40" s="10">
        <v>619.89</v>
      </c>
      <c r="H40" s="10">
        <v>0</v>
      </c>
      <c r="I40" s="10">
        <v>382.63</v>
      </c>
      <c r="J40" s="10">
        <v>777.76</v>
      </c>
      <c r="K40" s="10">
        <v>1194.05</v>
      </c>
      <c r="L40" s="10">
        <v>0</v>
      </c>
      <c r="M40" s="10">
        <v>0</v>
      </c>
      <c r="N40" s="10">
        <v>1334.1</v>
      </c>
      <c r="O40" s="10">
        <v>528.63</v>
      </c>
      <c r="P40" s="10">
        <v>415.87</v>
      </c>
      <c r="Q40" s="10">
        <v>0</v>
      </c>
      <c r="R40" s="10">
        <v>812.43</v>
      </c>
      <c r="S40" s="10">
        <v>850.9</v>
      </c>
      <c r="T40" s="10">
        <v>665.24</v>
      </c>
      <c r="U40" s="10">
        <v>1016.04</v>
      </c>
      <c r="V40" s="10">
        <v>829.38</v>
      </c>
      <c r="W40" s="10">
        <v>738.71</v>
      </c>
      <c r="X40" s="10">
        <v>1642</v>
      </c>
      <c r="Y40" s="10">
        <v>390.18</v>
      </c>
      <c r="Z40" s="10">
        <v>0</v>
      </c>
      <c r="AA40" s="10">
        <v>842.37</v>
      </c>
      <c r="AB40" s="10">
        <v>1454.22</v>
      </c>
      <c r="AC40" s="10">
        <v>404.31</v>
      </c>
      <c r="AD40" s="10">
        <v>323.69</v>
      </c>
      <c r="AE40" s="10">
        <v>1341.38</v>
      </c>
      <c r="AF40" s="10">
        <v>0</v>
      </c>
    </row>
    <row r="41" spans="1:32" ht="15" customHeight="1">
      <c r="A41" s="10" t="s">
        <v>146</v>
      </c>
      <c r="B41" s="61" t="s">
        <v>284</v>
      </c>
      <c r="C41" s="10">
        <v>500</v>
      </c>
      <c r="D41" s="10">
        <v>477.04</v>
      </c>
      <c r="E41" s="10">
        <v>406.5</v>
      </c>
      <c r="F41" s="10">
        <v>1458.02</v>
      </c>
      <c r="G41" s="10">
        <v>504.62</v>
      </c>
      <c r="H41" s="10">
        <v>382.63</v>
      </c>
      <c r="I41" s="10">
        <v>0</v>
      </c>
      <c r="J41" s="10">
        <v>540.49</v>
      </c>
      <c r="K41" s="10">
        <v>1281.04</v>
      </c>
      <c r="L41" s="10">
        <v>1624.96</v>
      </c>
      <c r="M41" s="10">
        <v>1750.79</v>
      </c>
      <c r="N41" s="10">
        <v>1662.66</v>
      </c>
      <c r="O41" s="10">
        <v>809.27</v>
      </c>
      <c r="P41" s="10">
        <v>790.13</v>
      </c>
      <c r="Q41" s="10">
        <v>1286.0899999999999</v>
      </c>
      <c r="R41" s="10">
        <v>934.15</v>
      </c>
      <c r="S41" s="10">
        <v>1015.33</v>
      </c>
      <c r="T41" s="10">
        <v>339.26</v>
      </c>
      <c r="U41" s="10">
        <v>1144.5999999999999</v>
      </c>
      <c r="V41" s="10">
        <v>1143.0899999999999</v>
      </c>
      <c r="W41" s="10">
        <v>356.15</v>
      </c>
      <c r="X41" s="10">
        <v>1503.63</v>
      </c>
      <c r="Y41" s="10">
        <v>633.87</v>
      </c>
      <c r="Z41" s="10">
        <v>0</v>
      </c>
      <c r="AA41" s="10">
        <v>1224.8499999999999</v>
      </c>
      <c r="AB41" s="10">
        <v>1354.27</v>
      </c>
      <c r="AC41" s="10">
        <v>643.65</v>
      </c>
      <c r="AD41" s="10">
        <v>705.3</v>
      </c>
      <c r="AE41" s="10">
        <v>959.53</v>
      </c>
      <c r="AF41" s="10">
        <v>0</v>
      </c>
    </row>
    <row r="42" spans="1:32" ht="15" customHeight="1">
      <c r="A42" s="10" t="s">
        <v>146</v>
      </c>
      <c r="B42" s="61" t="s">
        <v>285</v>
      </c>
      <c r="C42" s="10">
        <v>1789.51</v>
      </c>
      <c r="D42" s="10">
        <v>973.03</v>
      </c>
      <c r="E42" s="10">
        <v>692.16</v>
      </c>
      <c r="F42" s="10">
        <v>0</v>
      </c>
      <c r="G42" s="10">
        <v>1027.05</v>
      </c>
      <c r="H42" s="10">
        <v>777.76</v>
      </c>
      <c r="I42" s="10">
        <v>540.49</v>
      </c>
      <c r="J42" s="10">
        <v>0</v>
      </c>
      <c r="K42" s="10">
        <v>978.44</v>
      </c>
      <c r="L42" s="10">
        <v>0</v>
      </c>
      <c r="M42" s="10">
        <v>1298.0899999999999</v>
      </c>
      <c r="N42" s="10">
        <v>0</v>
      </c>
      <c r="O42" s="10">
        <v>1294.23</v>
      </c>
      <c r="P42" s="10">
        <v>1171.94</v>
      </c>
      <c r="Q42" s="10">
        <v>1213.43</v>
      </c>
      <c r="R42" s="10">
        <v>1472.56</v>
      </c>
      <c r="S42" s="10">
        <v>873.01</v>
      </c>
      <c r="T42" s="10">
        <v>737.81</v>
      </c>
      <c r="U42" s="10">
        <v>921.65</v>
      </c>
      <c r="V42" s="10">
        <v>0</v>
      </c>
      <c r="W42" s="10">
        <v>503.89</v>
      </c>
      <c r="X42" s="10">
        <v>700</v>
      </c>
      <c r="Y42" s="10">
        <v>745.5</v>
      </c>
      <c r="Z42" s="10">
        <v>0</v>
      </c>
      <c r="AA42" s="10">
        <v>1533.41</v>
      </c>
      <c r="AB42" s="10">
        <v>400</v>
      </c>
      <c r="AC42" s="10">
        <v>1144.1199999999999</v>
      </c>
      <c r="AD42" s="10">
        <v>1030.02</v>
      </c>
      <c r="AE42" s="10">
        <v>850.09</v>
      </c>
      <c r="AF42" s="10">
        <v>0</v>
      </c>
    </row>
    <row r="43" spans="1:32" ht="15" customHeight="1">
      <c r="A43" s="10" t="s">
        <v>146</v>
      </c>
      <c r="B43" s="61" t="s">
        <v>308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1194.05</v>
      </c>
      <c r="I43" s="10">
        <v>1281.04</v>
      </c>
      <c r="J43" s="10">
        <v>978.44</v>
      </c>
      <c r="K43" s="10">
        <v>0</v>
      </c>
      <c r="L43" s="10">
        <v>0</v>
      </c>
      <c r="M43" s="10">
        <v>647.91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384.47</v>
      </c>
      <c r="T43" s="10">
        <v>0</v>
      </c>
      <c r="U43" s="10">
        <v>205.65</v>
      </c>
      <c r="V43" s="10">
        <v>0</v>
      </c>
      <c r="W43" s="10">
        <v>0</v>
      </c>
      <c r="X43" s="10">
        <v>885</v>
      </c>
      <c r="Y43" s="10">
        <v>825.43</v>
      </c>
      <c r="Z43" s="10">
        <v>0</v>
      </c>
      <c r="AA43" s="10">
        <v>0</v>
      </c>
      <c r="AB43" s="10">
        <v>661.72</v>
      </c>
      <c r="AC43" s="10">
        <v>0</v>
      </c>
      <c r="AD43" s="10">
        <v>1177.79</v>
      </c>
      <c r="AE43" s="10">
        <v>0</v>
      </c>
      <c r="AF43" s="10">
        <v>0</v>
      </c>
    </row>
    <row r="44" spans="1:32" ht="15" customHeight="1">
      <c r="A44" s="10" t="s">
        <v>146</v>
      </c>
      <c r="B44" s="61" t="s">
        <v>286</v>
      </c>
      <c r="C44" s="10">
        <v>229.59</v>
      </c>
      <c r="D44" s="10">
        <v>1640.58</v>
      </c>
      <c r="E44" s="10">
        <v>1325.38</v>
      </c>
      <c r="F44" s="10">
        <v>0</v>
      </c>
      <c r="G44" s="10">
        <v>1204.01</v>
      </c>
      <c r="H44" s="10">
        <v>0</v>
      </c>
      <c r="I44" s="10">
        <v>1624.96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1723.59</v>
      </c>
      <c r="P44" s="10">
        <v>0</v>
      </c>
      <c r="Q44" s="10">
        <v>1479.45</v>
      </c>
      <c r="R44" s="10">
        <v>1341.02</v>
      </c>
      <c r="S44" s="10">
        <v>0</v>
      </c>
      <c r="T44" s="10">
        <v>1307.3599999999999</v>
      </c>
      <c r="U44" s="10">
        <v>0</v>
      </c>
      <c r="V44" s="10">
        <v>0</v>
      </c>
      <c r="W44" s="10">
        <v>1513.18</v>
      </c>
      <c r="X44" s="10">
        <v>0</v>
      </c>
      <c r="Y44" s="10">
        <v>0</v>
      </c>
      <c r="Z44" s="10">
        <v>421.67</v>
      </c>
      <c r="AA44" s="10">
        <v>0</v>
      </c>
      <c r="AB44" s="10">
        <v>0</v>
      </c>
      <c r="AC44" s="10">
        <v>1632.96</v>
      </c>
      <c r="AD44" s="10">
        <v>0</v>
      </c>
      <c r="AE44" s="10">
        <v>1549.51</v>
      </c>
      <c r="AF44" s="10">
        <v>0</v>
      </c>
    </row>
    <row r="45" spans="1:32" ht="15" customHeight="1">
      <c r="A45" s="10" t="s">
        <v>146</v>
      </c>
      <c r="B45" s="61" t="s">
        <v>287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1750.79</v>
      </c>
      <c r="J45" s="10">
        <v>1298.0899999999999</v>
      </c>
      <c r="K45" s="10">
        <v>647.91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1026.31</v>
      </c>
      <c r="T45" s="10">
        <v>0</v>
      </c>
      <c r="U45" s="10">
        <v>852.16</v>
      </c>
      <c r="V45" s="10">
        <v>0</v>
      </c>
      <c r="W45" s="10">
        <v>0</v>
      </c>
      <c r="X45" s="10">
        <v>1000</v>
      </c>
      <c r="Y45" s="10">
        <v>1430.78</v>
      </c>
      <c r="Z45" s="10">
        <v>0</v>
      </c>
      <c r="AA45" s="10">
        <v>0</v>
      </c>
      <c r="AB45" s="10">
        <v>505.83</v>
      </c>
      <c r="AC45" s="10">
        <v>0</v>
      </c>
      <c r="AD45" s="10">
        <v>0</v>
      </c>
      <c r="AE45" s="10">
        <v>0</v>
      </c>
      <c r="AF45" s="10">
        <v>0</v>
      </c>
    </row>
    <row r="46" spans="1:32">
      <c r="A46" s="10" t="s">
        <v>146</v>
      </c>
      <c r="B46" s="61" t="s">
        <v>288</v>
      </c>
      <c r="C46" s="10">
        <v>0</v>
      </c>
      <c r="D46" s="10">
        <v>1462.5</v>
      </c>
      <c r="E46" s="10">
        <v>300</v>
      </c>
      <c r="F46" s="10">
        <v>0</v>
      </c>
      <c r="G46" s="10">
        <v>350</v>
      </c>
      <c r="H46" s="10">
        <v>1630.33</v>
      </c>
      <c r="I46" s="10">
        <v>500</v>
      </c>
      <c r="J46" s="10">
        <v>1789.51</v>
      </c>
      <c r="K46" s="10">
        <v>0</v>
      </c>
      <c r="L46" s="10">
        <v>229.59</v>
      </c>
      <c r="M46" s="10">
        <v>0</v>
      </c>
      <c r="N46" s="10">
        <v>2201.09</v>
      </c>
      <c r="O46" s="10">
        <v>1577.99</v>
      </c>
      <c r="P46" s="10">
        <v>1838.39</v>
      </c>
      <c r="Q46" s="10">
        <v>1284.49</v>
      </c>
      <c r="R46" s="10">
        <v>1000</v>
      </c>
      <c r="S46" s="10">
        <v>0</v>
      </c>
      <c r="T46" s="10">
        <v>1087.05</v>
      </c>
      <c r="U46" s="10">
        <v>0</v>
      </c>
      <c r="V46" s="10">
        <v>1809.09</v>
      </c>
      <c r="W46" s="10">
        <v>1285.6600000000001</v>
      </c>
      <c r="X46" s="10">
        <v>2702.36</v>
      </c>
      <c r="Y46" s="10">
        <v>2000.6</v>
      </c>
      <c r="Z46" s="10">
        <v>560.61</v>
      </c>
      <c r="AA46" s="10">
        <v>2252.62</v>
      </c>
      <c r="AB46" s="10">
        <v>2623.55</v>
      </c>
      <c r="AC46" s="10">
        <v>1472.14</v>
      </c>
      <c r="AD46" s="10">
        <v>1879.08</v>
      </c>
      <c r="AE46" s="10">
        <v>600</v>
      </c>
      <c r="AF46" s="10">
        <v>0</v>
      </c>
    </row>
    <row r="47" spans="1:32" ht="15" customHeight="1">
      <c r="A47" s="10" t="s">
        <v>146</v>
      </c>
      <c r="B47" s="61" t="s">
        <v>289</v>
      </c>
      <c r="C47" s="10">
        <v>2201.09</v>
      </c>
      <c r="D47" s="10">
        <v>1188.01</v>
      </c>
      <c r="E47" s="10">
        <v>0</v>
      </c>
      <c r="F47" s="10">
        <v>453.95</v>
      </c>
      <c r="G47" s="10">
        <v>0</v>
      </c>
      <c r="H47" s="10">
        <v>1334.1</v>
      </c>
      <c r="I47" s="10">
        <v>1662.66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859.98</v>
      </c>
      <c r="P47" s="10">
        <v>947.65</v>
      </c>
      <c r="Q47" s="10">
        <v>0</v>
      </c>
      <c r="R47" s="10">
        <v>1007.1</v>
      </c>
      <c r="S47" s="10">
        <v>0</v>
      </c>
      <c r="T47" s="10">
        <v>0</v>
      </c>
      <c r="U47" s="10">
        <v>0</v>
      </c>
      <c r="V47" s="10">
        <v>521.16</v>
      </c>
      <c r="W47" s="10">
        <v>0</v>
      </c>
      <c r="X47" s="10">
        <v>0</v>
      </c>
      <c r="Y47" s="10">
        <v>1480.09</v>
      </c>
      <c r="Z47" s="10">
        <v>0</v>
      </c>
      <c r="AA47" s="10">
        <v>772.6</v>
      </c>
      <c r="AB47" s="10">
        <v>0</v>
      </c>
      <c r="AC47" s="10">
        <v>1031.6199999999999</v>
      </c>
      <c r="AD47" s="10">
        <v>1109.6099999999999</v>
      </c>
      <c r="AE47" s="10">
        <v>0</v>
      </c>
      <c r="AF47" s="10">
        <v>868</v>
      </c>
    </row>
    <row r="48" spans="1:32" ht="15" customHeight="1">
      <c r="A48" s="10" t="s">
        <v>146</v>
      </c>
      <c r="B48" s="61" t="s">
        <v>290</v>
      </c>
      <c r="C48" s="10">
        <v>1577.99</v>
      </c>
      <c r="D48" s="10">
        <v>332.27</v>
      </c>
      <c r="E48" s="10">
        <v>1075.07</v>
      </c>
      <c r="F48" s="10">
        <v>753.16</v>
      </c>
      <c r="G48" s="10">
        <v>662.94</v>
      </c>
      <c r="H48" s="10">
        <v>528.63</v>
      </c>
      <c r="I48" s="10">
        <v>809.27</v>
      </c>
      <c r="J48" s="10">
        <v>1294.23</v>
      </c>
      <c r="K48" s="10">
        <v>0</v>
      </c>
      <c r="L48" s="10">
        <v>1723.59</v>
      </c>
      <c r="M48" s="10">
        <v>0</v>
      </c>
      <c r="N48" s="10">
        <v>859.98</v>
      </c>
      <c r="O48" s="10">
        <v>0</v>
      </c>
      <c r="P48" s="10">
        <v>331.49</v>
      </c>
      <c r="Q48" s="10">
        <v>0</v>
      </c>
      <c r="R48" s="10">
        <v>427.99</v>
      </c>
      <c r="S48" s="10">
        <v>1262.6500000000001</v>
      </c>
      <c r="T48" s="10">
        <v>938.11</v>
      </c>
      <c r="U48" s="10">
        <v>0</v>
      </c>
      <c r="V48" s="10">
        <v>339.14</v>
      </c>
      <c r="W48" s="10">
        <v>1129.3900000000001</v>
      </c>
      <c r="X48" s="10">
        <v>0</v>
      </c>
      <c r="Y48" s="10">
        <v>818.17</v>
      </c>
      <c r="Z48" s="10">
        <v>0</v>
      </c>
      <c r="AA48" s="10">
        <v>677.09</v>
      </c>
      <c r="AB48" s="10">
        <v>1974.19</v>
      </c>
      <c r="AC48" s="10">
        <v>171.93</v>
      </c>
      <c r="AD48" s="10">
        <v>470.6</v>
      </c>
      <c r="AE48" s="10">
        <v>0</v>
      </c>
      <c r="AF48" s="10">
        <v>0</v>
      </c>
    </row>
    <row r="49" spans="1:32" ht="15" customHeight="1">
      <c r="A49" s="10" t="s">
        <v>146</v>
      </c>
      <c r="B49" s="61" t="s">
        <v>291</v>
      </c>
      <c r="C49" s="10">
        <v>1838.39</v>
      </c>
      <c r="D49" s="10">
        <v>400.59</v>
      </c>
      <c r="E49" s="10">
        <v>1146.05</v>
      </c>
      <c r="F49" s="10">
        <v>671.18</v>
      </c>
      <c r="G49" s="10">
        <v>850.87</v>
      </c>
      <c r="H49" s="10">
        <v>415.87</v>
      </c>
      <c r="I49" s="10">
        <v>790.13</v>
      </c>
      <c r="J49" s="10">
        <v>1171.94</v>
      </c>
      <c r="K49" s="10">
        <v>0</v>
      </c>
      <c r="L49" s="10">
        <v>0</v>
      </c>
      <c r="M49" s="10">
        <v>0</v>
      </c>
      <c r="N49" s="10">
        <v>947.65</v>
      </c>
      <c r="O49" s="10">
        <v>331.49</v>
      </c>
      <c r="P49" s="10">
        <v>0</v>
      </c>
      <c r="Q49" s="10">
        <v>0</v>
      </c>
      <c r="R49" s="10">
        <v>755.26</v>
      </c>
      <c r="S49" s="10">
        <v>961.23</v>
      </c>
      <c r="T49" s="10">
        <v>1025.1099999999999</v>
      </c>
      <c r="U49" s="10">
        <v>1141.83</v>
      </c>
      <c r="V49" s="10">
        <v>486.51</v>
      </c>
      <c r="W49" s="10">
        <v>1144.4000000000001</v>
      </c>
      <c r="X49" s="10">
        <v>0</v>
      </c>
      <c r="Y49" s="10">
        <v>551.72</v>
      </c>
      <c r="Z49" s="10">
        <v>0</v>
      </c>
      <c r="AA49" s="10">
        <v>452.36</v>
      </c>
      <c r="AB49" s="10">
        <v>1745.85</v>
      </c>
      <c r="AC49" s="10">
        <v>369.97</v>
      </c>
      <c r="AD49" s="10">
        <v>171.65</v>
      </c>
      <c r="AE49" s="10">
        <v>0</v>
      </c>
      <c r="AF49" s="10">
        <v>0</v>
      </c>
    </row>
    <row r="50" spans="1:32" ht="15" customHeight="1">
      <c r="A50" s="10" t="s">
        <v>146</v>
      </c>
      <c r="B50" s="61" t="s">
        <v>292</v>
      </c>
      <c r="C50" s="10">
        <v>1284.49</v>
      </c>
      <c r="D50" s="10">
        <v>0</v>
      </c>
      <c r="E50" s="10">
        <v>924.14</v>
      </c>
      <c r="F50" s="10">
        <v>0</v>
      </c>
      <c r="G50" s="10">
        <v>0</v>
      </c>
      <c r="H50" s="10">
        <v>0</v>
      </c>
      <c r="I50" s="10">
        <v>1286.0899999999999</v>
      </c>
      <c r="J50" s="10">
        <v>1213.43</v>
      </c>
      <c r="K50" s="10">
        <v>0</v>
      </c>
      <c r="L50" s="10">
        <v>1479.45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1057.17</v>
      </c>
      <c r="U50" s="10">
        <v>0</v>
      </c>
      <c r="V50" s="10">
        <v>0</v>
      </c>
      <c r="W50" s="10">
        <v>932.26</v>
      </c>
      <c r="X50" s="10">
        <v>1780.16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363.85</v>
      </c>
      <c r="AF50" s="10">
        <v>0</v>
      </c>
    </row>
    <row r="51" spans="1:32" ht="15" customHeight="1">
      <c r="A51" s="10" t="s">
        <v>146</v>
      </c>
      <c r="B51" s="61" t="s">
        <v>293</v>
      </c>
      <c r="C51" s="10">
        <v>1000</v>
      </c>
      <c r="D51" s="10">
        <v>557.69000000000005</v>
      </c>
      <c r="E51" s="10">
        <v>1040.22</v>
      </c>
      <c r="F51" s="10">
        <v>1075.51</v>
      </c>
      <c r="G51" s="10">
        <v>540.01</v>
      </c>
      <c r="H51" s="10">
        <v>812.43</v>
      </c>
      <c r="I51" s="10">
        <v>934.15</v>
      </c>
      <c r="J51" s="10">
        <v>1472.56</v>
      </c>
      <c r="K51" s="10">
        <v>0</v>
      </c>
      <c r="L51" s="10">
        <v>1341.02</v>
      </c>
      <c r="M51" s="10">
        <v>0</v>
      </c>
      <c r="N51" s="10">
        <v>1007.1</v>
      </c>
      <c r="O51" s="10">
        <v>427.99</v>
      </c>
      <c r="P51" s="10">
        <v>755.26</v>
      </c>
      <c r="Q51" s="10">
        <v>0</v>
      </c>
      <c r="R51" s="10">
        <v>0</v>
      </c>
      <c r="S51" s="10">
        <v>0</v>
      </c>
      <c r="T51" s="10">
        <v>903.08</v>
      </c>
      <c r="U51" s="10">
        <v>0</v>
      </c>
      <c r="V51" s="10">
        <v>586.66</v>
      </c>
      <c r="W51" s="10">
        <v>1161.05</v>
      </c>
      <c r="X51" s="10">
        <v>0</v>
      </c>
      <c r="Y51" s="10">
        <v>1174.6600000000001</v>
      </c>
      <c r="Z51" s="10">
        <v>0</v>
      </c>
      <c r="AA51" s="10">
        <v>1082.6300000000001</v>
      </c>
      <c r="AB51" s="10">
        <v>2245.4899999999998</v>
      </c>
      <c r="AC51" s="10">
        <v>429.95</v>
      </c>
      <c r="AD51" s="10">
        <v>874.11</v>
      </c>
      <c r="AE51" s="10">
        <v>1673.84</v>
      </c>
      <c r="AF51" s="10">
        <v>0</v>
      </c>
    </row>
    <row r="52" spans="1:32" ht="15" customHeight="1">
      <c r="A52" s="10" t="s">
        <v>146</v>
      </c>
      <c r="B52" s="61" t="s">
        <v>309</v>
      </c>
      <c r="C52" s="10">
        <v>0</v>
      </c>
      <c r="D52" s="10">
        <v>1094.8399999999999</v>
      </c>
      <c r="E52" s="10">
        <v>0</v>
      </c>
      <c r="F52" s="10">
        <v>0</v>
      </c>
      <c r="G52" s="10">
        <v>0</v>
      </c>
      <c r="H52" s="10">
        <v>850.9</v>
      </c>
      <c r="I52" s="10">
        <v>1015.33</v>
      </c>
      <c r="J52" s="10">
        <v>873.01</v>
      </c>
      <c r="K52" s="10">
        <v>384.47</v>
      </c>
      <c r="L52" s="10">
        <v>0</v>
      </c>
      <c r="M52" s="10">
        <v>1026.31</v>
      </c>
      <c r="N52" s="10">
        <v>0</v>
      </c>
      <c r="O52" s="10">
        <v>1262.6500000000001</v>
      </c>
      <c r="P52" s="10">
        <v>961.23</v>
      </c>
      <c r="Q52" s="10">
        <v>0</v>
      </c>
      <c r="R52" s="10">
        <v>0</v>
      </c>
      <c r="S52" s="10">
        <v>0</v>
      </c>
      <c r="T52" s="10">
        <v>0</v>
      </c>
      <c r="U52" s="10">
        <v>180.61</v>
      </c>
      <c r="V52" s="10">
        <v>0</v>
      </c>
      <c r="W52" s="10">
        <v>1249.7</v>
      </c>
      <c r="X52" s="10">
        <v>1153.01</v>
      </c>
      <c r="Y52" s="10">
        <v>464.52</v>
      </c>
      <c r="Z52" s="10">
        <v>0</v>
      </c>
      <c r="AA52" s="10">
        <v>1059.29</v>
      </c>
      <c r="AB52" s="10">
        <v>923.23</v>
      </c>
      <c r="AC52" s="10">
        <v>1207.05</v>
      </c>
      <c r="AD52" s="10">
        <v>797.05</v>
      </c>
      <c r="AE52" s="10">
        <v>0</v>
      </c>
      <c r="AF52" s="10">
        <v>0</v>
      </c>
    </row>
    <row r="53" spans="1:32" ht="15" customHeight="1">
      <c r="A53" s="10" t="s">
        <v>146</v>
      </c>
      <c r="B53" s="61" t="s">
        <v>294</v>
      </c>
      <c r="C53" s="10">
        <v>1087.05</v>
      </c>
      <c r="D53" s="10">
        <v>640.32000000000005</v>
      </c>
      <c r="E53" s="10">
        <v>140.4</v>
      </c>
      <c r="F53" s="10">
        <v>0</v>
      </c>
      <c r="G53" s="10">
        <v>367.02</v>
      </c>
      <c r="H53" s="10">
        <v>665.24</v>
      </c>
      <c r="I53" s="10">
        <v>339.26</v>
      </c>
      <c r="J53" s="10">
        <v>737.81</v>
      </c>
      <c r="K53" s="10">
        <v>0</v>
      </c>
      <c r="L53" s="10">
        <v>1307.3599999999999</v>
      </c>
      <c r="M53" s="10">
        <v>0</v>
      </c>
      <c r="N53" s="10">
        <v>0</v>
      </c>
      <c r="O53" s="10">
        <v>938.11</v>
      </c>
      <c r="P53" s="10">
        <v>1025.1099999999999</v>
      </c>
      <c r="Q53" s="10">
        <v>1057.17</v>
      </c>
      <c r="R53" s="10">
        <v>903.08</v>
      </c>
      <c r="S53" s="10">
        <v>0</v>
      </c>
      <c r="T53" s="10">
        <v>0</v>
      </c>
      <c r="U53" s="10">
        <v>0</v>
      </c>
      <c r="V53" s="10">
        <v>0</v>
      </c>
      <c r="W53" s="10">
        <v>279.54000000000002</v>
      </c>
      <c r="X53" s="10">
        <v>1703.34</v>
      </c>
      <c r="Y53" s="10">
        <v>969.45</v>
      </c>
      <c r="Z53" s="10">
        <v>0</v>
      </c>
      <c r="AA53" s="10">
        <v>0</v>
      </c>
      <c r="AB53" s="10">
        <v>1586.29</v>
      </c>
      <c r="AC53" s="10">
        <v>767.73</v>
      </c>
      <c r="AD53" s="10">
        <v>981.17</v>
      </c>
      <c r="AE53" s="10">
        <v>785.89</v>
      </c>
      <c r="AF53" s="10">
        <v>0</v>
      </c>
    </row>
    <row r="54" spans="1:32" ht="15" customHeight="1">
      <c r="A54" s="10" t="s">
        <v>146</v>
      </c>
      <c r="B54" s="61" t="s">
        <v>310</v>
      </c>
      <c r="C54" s="10">
        <v>0</v>
      </c>
      <c r="D54" s="10">
        <v>1264.26</v>
      </c>
      <c r="E54" s="10">
        <v>0</v>
      </c>
      <c r="F54" s="10">
        <v>0</v>
      </c>
      <c r="G54" s="10">
        <v>0</v>
      </c>
      <c r="H54" s="10">
        <v>1016.04</v>
      </c>
      <c r="I54" s="10">
        <v>1144.5999999999999</v>
      </c>
      <c r="J54" s="10">
        <v>921.65</v>
      </c>
      <c r="K54" s="10">
        <v>205.65</v>
      </c>
      <c r="L54" s="10">
        <v>0</v>
      </c>
      <c r="M54" s="10">
        <v>852.16</v>
      </c>
      <c r="N54" s="10">
        <v>0</v>
      </c>
      <c r="O54" s="10">
        <v>0</v>
      </c>
      <c r="P54" s="10">
        <v>1141.83</v>
      </c>
      <c r="Q54" s="10">
        <v>0</v>
      </c>
      <c r="R54" s="10">
        <v>0</v>
      </c>
      <c r="S54" s="10">
        <v>180.61</v>
      </c>
      <c r="T54" s="10">
        <v>0</v>
      </c>
      <c r="U54" s="10">
        <v>0</v>
      </c>
      <c r="V54" s="10">
        <v>0</v>
      </c>
      <c r="W54" s="10">
        <v>1345.25</v>
      </c>
      <c r="X54" s="10">
        <v>1031.76</v>
      </c>
      <c r="Y54" s="10">
        <v>636.20000000000005</v>
      </c>
      <c r="Z54" s="10">
        <v>0</v>
      </c>
      <c r="AA54" s="10">
        <v>1225.5</v>
      </c>
      <c r="AB54" s="10">
        <v>802.01</v>
      </c>
      <c r="AC54" s="10">
        <v>0</v>
      </c>
      <c r="AD54" s="10">
        <v>977.33</v>
      </c>
      <c r="AE54" s="10">
        <v>0</v>
      </c>
      <c r="AF54" s="10">
        <v>0</v>
      </c>
    </row>
    <row r="55" spans="1:32" ht="15" customHeight="1">
      <c r="A55" s="10" t="s">
        <v>146</v>
      </c>
      <c r="B55" s="61" t="s">
        <v>297</v>
      </c>
      <c r="C55" s="10">
        <v>1285.6600000000001</v>
      </c>
      <c r="D55" s="10">
        <v>804.24</v>
      </c>
      <c r="E55" s="10">
        <v>192.2</v>
      </c>
      <c r="F55" s="10">
        <v>0</v>
      </c>
      <c r="G55" s="10">
        <v>637.54999999999995</v>
      </c>
      <c r="H55" s="10">
        <v>738.71</v>
      </c>
      <c r="I55" s="10">
        <v>356.15</v>
      </c>
      <c r="J55" s="10">
        <v>503.89</v>
      </c>
      <c r="K55" s="10">
        <v>0</v>
      </c>
      <c r="L55" s="10">
        <v>1513.18</v>
      </c>
      <c r="M55" s="10">
        <v>0</v>
      </c>
      <c r="N55" s="10">
        <v>0</v>
      </c>
      <c r="O55" s="10">
        <v>1129.3900000000001</v>
      </c>
      <c r="P55" s="10">
        <v>1144.4000000000001</v>
      </c>
      <c r="Q55" s="10">
        <v>932.26</v>
      </c>
      <c r="R55" s="10">
        <v>1161.05</v>
      </c>
      <c r="S55" s="10">
        <v>1249.7</v>
      </c>
      <c r="T55" s="10">
        <v>279.54000000000002</v>
      </c>
      <c r="U55" s="10">
        <v>1345.25</v>
      </c>
      <c r="V55" s="10">
        <v>0</v>
      </c>
      <c r="W55" s="10">
        <v>0</v>
      </c>
      <c r="X55" s="10">
        <v>1444.25</v>
      </c>
      <c r="Y55" s="10">
        <v>943.16</v>
      </c>
      <c r="Z55" s="10">
        <v>0</v>
      </c>
      <c r="AA55" s="10">
        <v>0</v>
      </c>
      <c r="AB55" s="10">
        <v>1343.75</v>
      </c>
      <c r="AC55" s="10">
        <v>958.07</v>
      </c>
      <c r="AD55" s="10">
        <v>1060.75</v>
      </c>
      <c r="AE55" s="10">
        <v>604.03</v>
      </c>
      <c r="AF55" s="10">
        <v>0</v>
      </c>
    </row>
    <row r="56" spans="1:32" ht="15" customHeight="1">
      <c r="A56" s="10" t="s">
        <v>146</v>
      </c>
      <c r="B56" s="61" t="s">
        <v>298</v>
      </c>
      <c r="C56" s="10">
        <v>2702.36</v>
      </c>
      <c r="D56" s="10">
        <v>0</v>
      </c>
      <c r="E56" s="10">
        <v>1636.14</v>
      </c>
      <c r="F56" s="10">
        <v>0</v>
      </c>
      <c r="G56" s="10">
        <v>0</v>
      </c>
      <c r="H56" s="10">
        <v>1642</v>
      </c>
      <c r="I56" s="10">
        <v>1503.63</v>
      </c>
      <c r="J56" s="10">
        <v>700</v>
      </c>
      <c r="K56" s="10">
        <v>885</v>
      </c>
      <c r="L56" s="10">
        <v>0</v>
      </c>
      <c r="M56" s="10">
        <v>1000</v>
      </c>
      <c r="N56" s="10">
        <v>0</v>
      </c>
      <c r="O56" s="10">
        <v>0</v>
      </c>
      <c r="P56" s="10">
        <v>0</v>
      </c>
      <c r="Q56" s="10">
        <v>1780.16</v>
      </c>
      <c r="R56" s="10">
        <v>0</v>
      </c>
      <c r="S56" s="10">
        <v>1153.01</v>
      </c>
      <c r="T56" s="10">
        <v>1703.34</v>
      </c>
      <c r="U56" s="10">
        <v>1031.76</v>
      </c>
      <c r="V56" s="10">
        <v>0</v>
      </c>
      <c r="W56" s="10">
        <v>1444.25</v>
      </c>
      <c r="X56" s="10">
        <v>0</v>
      </c>
      <c r="Y56" s="10">
        <v>1408.54</v>
      </c>
      <c r="Z56" s="10">
        <v>0</v>
      </c>
      <c r="AA56" s="10">
        <v>0</v>
      </c>
      <c r="AB56" s="10">
        <v>230.32</v>
      </c>
      <c r="AC56" s="10">
        <v>0</v>
      </c>
      <c r="AD56" s="10">
        <v>0</v>
      </c>
      <c r="AE56" s="10">
        <v>1492.31</v>
      </c>
      <c r="AF56" s="10">
        <v>0</v>
      </c>
    </row>
    <row r="57" spans="1:32" ht="15" customHeight="1">
      <c r="A57" s="10" t="s">
        <v>146</v>
      </c>
      <c r="B57" s="61" t="s">
        <v>357</v>
      </c>
      <c r="C57" s="10">
        <v>1809.09</v>
      </c>
      <c r="D57" s="10">
        <v>667.29</v>
      </c>
      <c r="E57" s="10">
        <v>0</v>
      </c>
      <c r="F57" s="10">
        <v>489.51</v>
      </c>
      <c r="G57" s="10">
        <v>978.2</v>
      </c>
      <c r="H57" s="10">
        <v>829.38</v>
      </c>
      <c r="I57" s="10">
        <v>1143.0899999999999</v>
      </c>
      <c r="J57" s="10">
        <v>0</v>
      </c>
      <c r="K57" s="10">
        <v>0</v>
      </c>
      <c r="L57" s="10">
        <v>0</v>
      </c>
      <c r="M57" s="10">
        <v>0</v>
      </c>
      <c r="N57" s="10">
        <v>521.16</v>
      </c>
      <c r="O57" s="10">
        <v>339.14</v>
      </c>
      <c r="P57" s="10">
        <v>486.51</v>
      </c>
      <c r="Q57" s="10">
        <v>0</v>
      </c>
      <c r="R57" s="10">
        <v>586.66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1038.1300000000001</v>
      </c>
      <c r="Z57" s="10">
        <v>0</v>
      </c>
      <c r="AA57" s="10">
        <v>569.07000000000005</v>
      </c>
      <c r="AB57" s="10">
        <v>0</v>
      </c>
      <c r="AC57" s="10">
        <v>511.02</v>
      </c>
      <c r="AD57" s="10">
        <v>658.16</v>
      </c>
      <c r="AE57" s="10">
        <v>0</v>
      </c>
      <c r="AF57" s="10">
        <v>0</v>
      </c>
    </row>
    <row r="58" spans="1:32" ht="15" customHeight="1">
      <c r="A58" s="10" t="s">
        <v>146</v>
      </c>
      <c r="B58" s="61" t="s">
        <v>299</v>
      </c>
      <c r="C58" s="10">
        <v>2000.6</v>
      </c>
      <c r="D58" s="10">
        <v>630.36</v>
      </c>
      <c r="E58" s="10">
        <v>1037.53</v>
      </c>
      <c r="F58" s="10">
        <v>1129.69</v>
      </c>
      <c r="G58" s="10">
        <v>1001.53</v>
      </c>
      <c r="H58" s="10">
        <v>390.18</v>
      </c>
      <c r="I58" s="10">
        <v>633.87</v>
      </c>
      <c r="J58" s="10">
        <v>745.5</v>
      </c>
      <c r="K58" s="10">
        <v>825.43</v>
      </c>
      <c r="L58" s="10">
        <v>0</v>
      </c>
      <c r="M58" s="10">
        <v>1430.78</v>
      </c>
      <c r="N58" s="10">
        <v>1480.09</v>
      </c>
      <c r="O58" s="10">
        <v>818.17</v>
      </c>
      <c r="P58" s="10">
        <v>551.72</v>
      </c>
      <c r="Q58" s="10">
        <v>0</v>
      </c>
      <c r="R58" s="10">
        <v>1174.6600000000001</v>
      </c>
      <c r="S58" s="10">
        <v>464.52</v>
      </c>
      <c r="T58" s="10">
        <v>969.45</v>
      </c>
      <c r="U58" s="10">
        <v>636.20000000000005</v>
      </c>
      <c r="V58" s="10">
        <v>1038.1300000000001</v>
      </c>
      <c r="W58" s="10">
        <v>943.16</v>
      </c>
      <c r="X58" s="10">
        <v>1408.54</v>
      </c>
      <c r="Y58" s="10">
        <v>0</v>
      </c>
      <c r="Z58" s="10">
        <v>0</v>
      </c>
      <c r="AA58" s="10">
        <v>809.16</v>
      </c>
      <c r="AB58" s="10">
        <v>1196.53</v>
      </c>
      <c r="AC58" s="10">
        <v>746.53</v>
      </c>
      <c r="AD58" s="10">
        <v>380.21</v>
      </c>
      <c r="AE58" s="10">
        <v>1502.63</v>
      </c>
      <c r="AF58" s="10">
        <v>0</v>
      </c>
    </row>
    <row r="59" spans="1:32" ht="15" customHeight="1">
      <c r="A59" s="10" t="s">
        <v>146</v>
      </c>
      <c r="B59" s="61" t="s">
        <v>300</v>
      </c>
      <c r="C59" s="10">
        <v>560.61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421.67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1672.93</v>
      </c>
      <c r="AF59" s="10">
        <v>0</v>
      </c>
    </row>
    <row r="60" spans="1:32" ht="15" customHeight="1">
      <c r="A60" s="10" t="s">
        <v>146</v>
      </c>
      <c r="B60" s="61" t="s">
        <v>301</v>
      </c>
      <c r="C60" s="10">
        <v>2252.62</v>
      </c>
      <c r="D60" s="10">
        <v>850.72</v>
      </c>
      <c r="E60" s="10">
        <v>0</v>
      </c>
      <c r="F60" s="10">
        <v>343.03</v>
      </c>
      <c r="G60" s="10">
        <v>1292.28</v>
      </c>
      <c r="H60" s="10">
        <v>842.37</v>
      </c>
      <c r="I60" s="10">
        <v>1224.8499999999999</v>
      </c>
      <c r="J60" s="10">
        <v>1533.41</v>
      </c>
      <c r="K60" s="10">
        <v>0</v>
      </c>
      <c r="L60" s="10">
        <v>0</v>
      </c>
      <c r="M60" s="10">
        <v>0</v>
      </c>
      <c r="N60" s="10">
        <v>772.6</v>
      </c>
      <c r="O60" s="10">
        <v>677.09</v>
      </c>
      <c r="P60" s="10">
        <v>452.36</v>
      </c>
      <c r="Q60" s="10">
        <v>0</v>
      </c>
      <c r="R60" s="10">
        <v>1082.6300000000001</v>
      </c>
      <c r="S60" s="10">
        <v>1059.29</v>
      </c>
      <c r="T60" s="10">
        <v>0</v>
      </c>
      <c r="U60" s="10">
        <v>1225.5</v>
      </c>
      <c r="V60" s="10">
        <v>569.07000000000005</v>
      </c>
      <c r="W60" s="10">
        <v>0</v>
      </c>
      <c r="X60" s="10">
        <v>0</v>
      </c>
      <c r="Y60" s="10">
        <v>809.16</v>
      </c>
      <c r="Z60" s="10">
        <v>0</v>
      </c>
      <c r="AA60" s="10">
        <v>0</v>
      </c>
      <c r="AB60" s="10">
        <v>0</v>
      </c>
      <c r="AC60" s="10">
        <v>787.57</v>
      </c>
      <c r="AD60" s="10">
        <v>523.91999999999996</v>
      </c>
      <c r="AE60" s="10">
        <v>0</v>
      </c>
      <c r="AF60" s="10">
        <v>899</v>
      </c>
    </row>
    <row r="61" spans="1:32" ht="15" customHeight="1">
      <c r="A61" s="10" t="s">
        <v>146</v>
      </c>
      <c r="B61" s="61" t="s">
        <v>303</v>
      </c>
      <c r="C61" s="10">
        <v>2623.55</v>
      </c>
      <c r="D61" s="10">
        <v>1698.79</v>
      </c>
      <c r="E61" s="10">
        <v>1535.26</v>
      </c>
      <c r="F61" s="10">
        <v>0</v>
      </c>
      <c r="G61" s="10">
        <v>1857.41</v>
      </c>
      <c r="H61" s="10">
        <v>1454.22</v>
      </c>
      <c r="I61" s="10">
        <v>1354.27</v>
      </c>
      <c r="J61" s="10">
        <v>400</v>
      </c>
      <c r="K61" s="10">
        <v>661.72</v>
      </c>
      <c r="L61" s="10">
        <v>0</v>
      </c>
      <c r="M61" s="10">
        <v>505.83</v>
      </c>
      <c r="N61" s="10">
        <v>0</v>
      </c>
      <c r="O61" s="10">
        <v>1974.19</v>
      </c>
      <c r="P61" s="10">
        <v>1745.85</v>
      </c>
      <c r="Q61" s="10">
        <v>0</v>
      </c>
      <c r="R61" s="10">
        <v>2245.4899999999998</v>
      </c>
      <c r="S61" s="10">
        <v>923.23</v>
      </c>
      <c r="T61" s="10">
        <v>1586.29</v>
      </c>
      <c r="U61" s="10">
        <v>802.01</v>
      </c>
      <c r="V61" s="10">
        <v>0</v>
      </c>
      <c r="W61" s="10">
        <v>1343.75</v>
      </c>
      <c r="X61" s="10">
        <v>230.32</v>
      </c>
      <c r="Y61" s="10">
        <v>1196.53</v>
      </c>
      <c r="Z61" s="10">
        <v>0</v>
      </c>
      <c r="AA61" s="10">
        <v>0</v>
      </c>
      <c r="AB61" s="10">
        <v>0</v>
      </c>
      <c r="AC61" s="10">
        <v>1858.18</v>
      </c>
      <c r="AD61" s="10">
        <v>1575.37</v>
      </c>
      <c r="AE61" s="10">
        <v>1485.18</v>
      </c>
      <c r="AF61" s="10">
        <v>0</v>
      </c>
    </row>
    <row r="62" spans="1:32" ht="15" customHeight="1">
      <c r="A62" s="10" t="s">
        <v>146</v>
      </c>
      <c r="B62" s="61" t="s">
        <v>304</v>
      </c>
      <c r="C62" s="10">
        <v>1472.14</v>
      </c>
      <c r="D62" s="10">
        <v>171.24</v>
      </c>
      <c r="E62" s="10">
        <v>903.98</v>
      </c>
      <c r="F62" s="10">
        <v>908.29</v>
      </c>
      <c r="G62" s="10">
        <v>511.84</v>
      </c>
      <c r="H62" s="10">
        <v>404.31</v>
      </c>
      <c r="I62" s="10">
        <v>643.65</v>
      </c>
      <c r="J62" s="10">
        <v>1144.1199999999999</v>
      </c>
      <c r="K62" s="10">
        <v>0</v>
      </c>
      <c r="L62" s="10">
        <v>1632.96</v>
      </c>
      <c r="M62" s="10">
        <v>0</v>
      </c>
      <c r="N62" s="10">
        <v>1031.6199999999999</v>
      </c>
      <c r="O62" s="10">
        <v>171.93</v>
      </c>
      <c r="P62" s="10">
        <v>369.97</v>
      </c>
      <c r="Q62" s="10">
        <v>0</v>
      </c>
      <c r="R62" s="10">
        <v>429.95</v>
      </c>
      <c r="S62" s="10">
        <v>1207.05</v>
      </c>
      <c r="T62" s="10">
        <v>767.73</v>
      </c>
      <c r="U62" s="10">
        <v>0</v>
      </c>
      <c r="V62" s="10">
        <v>511.02</v>
      </c>
      <c r="W62" s="10">
        <v>958.07</v>
      </c>
      <c r="X62" s="10">
        <v>0</v>
      </c>
      <c r="Y62" s="10">
        <v>746.53</v>
      </c>
      <c r="Z62" s="10">
        <v>0</v>
      </c>
      <c r="AA62" s="10">
        <v>787.57</v>
      </c>
      <c r="AB62" s="10">
        <v>1858.18</v>
      </c>
      <c r="AC62" s="10">
        <v>0</v>
      </c>
      <c r="AD62" s="10">
        <v>454.53</v>
      </c>
      <c r="AE62" s="10">
        <v>0</v>
      </c>
      <c r="AF62" s="10">
        <v>0</v>
      </c>
    </row>
    <row r="63" spans="1:32" ht="15" customHeight="1">
      <c r="A63" s="10" t="s">
        <v>146</v>
      </c>
      <c r="B63" s="61" t="s">
        <v>305</v>
      </c>
      <c r="C63" s="10">
        <v>1879.08</v>
      </c>
      <c r="D63" s="10">
        <v>416.67</v>
      </c>
      <c r="E63" s="10">
        <v>1089.56</v>
      </c>
      <c r="F63" s="10">
        <v>797.9</v>
      </c>
      <c r="G63" s="10">
        <v>869.38</v>
      </c>
      <c r="H63" s="10">
        <v>323.69</v>
      </c>
      <c r="I63" s="10">
        <v>705.3</v>
      </c>
      <c r="J63" s="10">
        <v>1030.02</v>
      </c>
      <c r="K63" s="10">
        <v>1177.79</v>
      </c>
      <c r="L63" s="10">
        <v>0</v>
      </c>
      <c r="M63" s="10">
        <v>0</v>
      </c>
      <c r="N63" s="10">
        <v>1109.6099999999999</v>
      </c>
      <c r="O63" s="10">
        <v>470.6</v>
      </c>
      <c r="P63" s="10">
        <v>171.65</v>
      </c>
      <c r="Q63" s="10">
        <v>0</v>
      </c>
      <c r="R63" s="10">
        <v>874.11</v>
      </c>
      <c r="S63" s="10">
        <v>797.05</v>
      </c>
      <c r="T63" s="10">
        <v>981.17</v>
      </c>
      <c r="U63" s="10">
        <v>977.33</v>
      </c>
      <c r="V63" s="10">
        <v>658.16</v>
      </c>
      <c r="W63" s="10">
        <v>1060.75</v>
      </c>
      <c r="X63" s="10">
        <v>0</v>
      </c>
      <c r="Y63" s="10">
        <v>380.21</v>
      </c>
      <c r="Z63" s="10">
        <v>0</v>
      </c>
      <c r="AA63" s="10">
        <v>523.91999999999996</v>
      </c>
      <c r="AB63" s="10">
        <v>1575.37</v>
      </c>
      <c r="AC63" s="10">
        <v>454.53</v>
      </c>
      <c r="AD63" s="10">
        <v>0</v>
      </c>
      <c r="AE63" s="10">
        <v>0</v>
      </c>
      <c r="AF63" s="10">
        <v>0</v>
      </c>
    </row>
    <row r="64" spans="1:32" ht="15" customHeight="1">
      <c r="A64" s="10" t="s">
        <v>146</v>
      </c>
      <c r="B64" s="10" t="s">
        <v>356</v>
      </c>
      <c r="C64" s="10">
        <v>0</v>
      </c>
      <c r="D64" s="10">
        <v>0</v>
      </c>
      <c r="E64" s="10">
        <v>0</v>
      </c>
      <c r="F64" s="10">
        <v>428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868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899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</row>
    <row r="65" spans="1:32" ht="15" customHeight="1">
      <c r="A65" s="10" t="s">
        <v>146</v>
      </c>
      <c r="B65" s="61" t="s">
        <v>307</v>
      </c>
      <c r="C65" s="10">
        <v>600</v>
      </c>
      <c r="D65" s="10">
        <v>1399.02</v>
      </c>
      <c r="E65" s="10">
        <v>645.59</v>
      </c>
      <c r="F65" s="10">
        <v>0</v>
      </c>
      <c r="G65" s="10">
        <v>1134.76</v>
      </c>
      <c r="H65" s="10">
        <v>1341.38</v>
      </c>
      <c r="I65" s="10">
        <v>959.53</v>
      </c>
      <c r="J65" s="10">
        <v>850.09</v>
      </c>
      <c r="K65" s="10">
        <v>0</v>
      </c>
      <c r="L65" s="10">
        <v>1549.51</v>
      </c>
      <c r="M65" s="10">
        <v>0</v>
      </c>
      <c r="N65" s="10">
        <v>0</v>
      </c>
      <c r="O65" s="10">
        <v>0</v>
      </c>
      <c r="P65" s="10">
        <v>0</v>
      </c>
      <c r="Q65" s="10">
        <v>363.85</v>
      </c>
      <c r="R65" s="10">
        <v>1673.84</v>
      </c>
      <c r="S65" s="10">
        <v>0</v>
      </c>
      <c r="T65" s="10">
        <v>785.89</v>
      </c>
      <c r="U65" s="10">
        <v>0</v>
      </c>
      <c r="V65" s="10">
        <v>0</v>
      </c>
      <c r="W65" s="10">
        <v>604.03</v>
      </c>
      <c r="X65" s="10">
        <v>1492.31</v>
      </c>
      <c r="Y65" s="10">
        <v>1502.63</v>
      </c>
      <c r="Z65" s="10">
        <v>1672.93</v>
      </c>
      <c r="AA65" s="10">
        <v>0</v>
      </c>
      <c r="AB65" s="10">
        <v>1485.18</v>
      </c>
      <c r="AC65" s="10">
        <v>0</v>
      </c>
      <c r="AD65" s="10">
        <v>0</v>
      </c>
      <c r="AE65" s="10">
        <v>0</v>
      </c>
      <c r="AF65" s="10">
        <v>0</v>
      </c>
    </row>
    <row r="66" spans="1:32" ht="15" customHeight="1">
      <c r="A66" s="10" t="s">
        <v>203</v>
      </c>
      <c r="B66" s="61" t="s">
        <v>278</v>
      </c>
      <c r="C66" s="10">
        <v>1462.5</v>
      </c>
      <c r="D66" s="10">
        <v>0</v>
      </c>
      <c r="E66" s="10">
        <v>770.24</v>
      </c>
      <c r="F66" s="10">
        <v>1022.45</v>
      </c>
      <c r="G66" s="10">
        <v>456.36</v>
      </c>
      <c r="H66" s="10">
        <v>254.84</v>
      </c>
      <c r="I66" s="10">
        <v>477.04</v>
      </c>
      <c r="J66" s="10">
        <v>973.03</v>
      </c>
      <c r="K66" s="10">
        <v>0</v>
      </c>
      <c r="L66" s="10">
        <v>1640.58</v>
      </c>
      <c r="M66" s="10">
        <v>0</v>
      </c>
      <c r="N66" s="10">
        <v>1188.01</v>
      </c>
      <c r="O66" s="10">
        <v>332.27</v>
      </c>
      <c r="P66" s="10">
        <v>400.59</v>
      </c>
      <c r="Q66" s="10">
        <v>0</v>
      </c>
      <c r="R66" s="10">
        <v>557.69000000000005</v>
      </c>
      <c r="S66" s="10">
        <v>1094.8399999999999</v>
      </c>
      <c r="T66" s="10">
        <v>640.32000000000005</v>
      </c>
      <c r="U66" s="10">
        <v>1264.26</v>
      </c>
      <c r="V66" s="10">
        <v>667.29</v>
      </c>
      <c r="W66" s="10">
        <v>804.24</v>
      </c>
      <c r="X66" s="10">
        <v>0</v>
      </c>
      <c r="Y66" s="10">
        <v>630.36</v>
      </c>
      <c r="Z66" s="10">
        <v>0</v>
      </c>
      <c r="AA66" s="10">
        <v>850.72</v>
      </c>
      <c r="AB66" s="10">
        <v>1698.79</v>
      </c>
      <c r="AC66" s="10">
        <v>171.24</v>
      </c>
      <c r="AD66" s="10">
        <v>416.67</v>
      </c>
      <c r="AE66" s="10">
        <v>1399.02</v>
      </c>
      <c r="AF66" s="10">
        <v>0</v>
      </c>
    </row>
    <row r="67" spans="1:32" ht="15" customHeight="1">
      <c r="A67" s="10" t="s">
        <v>203</v>
      </c>
      <c r="B67" s="61" t="s">
        <v>280</v>
      </c>
      <c r="C67" s="10">
        <v>300</v>
      </c>
      <c r="D67" s="10">
        <v>770.24</v>
      </c>
      <c r="E67" s="10">
        <v>0</v>
      </c>
      <c r="F67" s="10">
        <v>0</v>
      </c>
      <c r="G67" s="10">
        <v>501.4</v>
      </c>
      <c r="H67" s="10">
        <v>767.87</v>
      </c>
      <c r="I67" s="10">
        <v>406.5</v>
      </c>
      <c r="J67" s="10">
        <v>692.16</v>
      </c>
      <c r="K67" s="10">
        <v>0</v>
      </c>
      <c r="L67" s="10">
        <v>1325.38</v>
      </c>
      <c r="M67" s="10">
        <v>0</v>
      </c>
      <c r="N67" s="10">
        <v>0</v>
      </c>
      <c r="O67" s="10">
        <v>1075.07</v>
      </c>
      <c r="P67" s="10">
        <v>1146.05</v>
      </c>
      <c r="Q67" s="10">
        <v>924.14</v>
      </c>
      <c r="R67" s="10">
        <v>1040.22</v>
      </c>
      <c r="S67" s="10">
        <v>0</v>
      </c>
      <c r="T67" s="10">
        <v>140.4</v>
      </c>
      <c r="U67" s="10">
        <v>0</v>
      </c>
      <c r="V67" s="10">
        <v>0</v>
      </c>
      <c r="W67" s="10">
        <v>192.2</v>
      </c>
      <c r="X67" s="10">
        <v>1636.14</v>
      </c>
      <c r="Y67" s="10">
        <v>1037.53</v>
      </c>
      <c r="Z67" s="10">
        <v>0</v>
      </c>
      <c r="AA67" s="10">
        <v>0</v>
      </c>
      <c r="AB67" s="10">
        <v>1535.26</v>
      </c>
      <c r="AC67" s="10">
        <v>903.98</v>
      </c>
      <c r="AD67" s="10">
        <v>1089.56</v>
      </c>
      <c r="AE67" s="10">
        <v>645.59</v>
      </c>
      <c r="AF67" s="10">
        <v>0</v>
      </c>
    </row>
    <row r="68" spans="1:32" ht="15" customHeight="1">
      <c r="A68" s="10" t="s">
        <v>203</v>
      </c>
      <c r="B68" s="61" t="s">
        <v>281</v>
      </c>
      <c r="C68" s="10">
        <v>0</v>
      </c>
      <c r="D68" s="10">
        <v>1022.45</v>
      </c>
      <c r="E68" s="10">
        <v>0</v>
      </c>
      <c r="F68" s="10">
        <v>0</v>
      </c>
      <c r="G68" s="10">
        <v>1415.45</v>
      </c>
      <c r="H68" s="10">
        <v>1087.05</v>
      </c>
      <c r="I68" s="10">
        <v>1458.02</v>
      </c>
      <c r="J68" s="10">
        <v>0</v>
      </c>
      <c r="K68" s="10">
        <v>0</v>
      </c>
      <c r="L68" s="10">
        <v>0</v>
      </c>
      <c r="M68" s="10">
        <v>0</v>
      </c>
      <c r="N68" s="10">
        <v>453.95</v>
      </c>
      <c r="O68" s="10">
        <v>753.16</v>
      </c>
      <c r="P68" s="10">
        <v>671.18</v>
      </c>
      <c r="Q68" s="10">
        <v>0</v>
      </c>
      <c r="R68" s="10">
        <v>1075.51</v>
      </c>
      <c r="S68" s="10">
        <v>0</v>
      </c>
      <c r="T68" s="10">
        <v>0</v>
      </c>
      <c r="U68" s="10">
        <v>0</v>
      </c>
      <c r="V68" s="10">
        <v>489.51</v>
      </c>
      <c r="W68" s="10">
        <v>0</v>
      </c>
      <c r="X68" s="10">
        <v>0</v>
      </c>
      <c r="Y68" s="10">
        <v>1129.69</v>
      </c>
      <c r="Z68" s="10">
        <v>0</v>
      </c>
      <c r="AA68" s="10">
        <v>343.03</v>
      </c>
      <c r="AB68" s="10">
        <v>0</v>
      </c>
      <c r="AC68" s="10">
        <v>908.29</v>
      </c>
      <c r="AD68" s="10">
        <v>797.9</v>
      </c>
      <c r="AE68" s="10">
        <v>0</v>
      </c>
      <c r="AF68" s="10">
        <v>428</v>
      </c>
    </row>
    <row r="69" spans="1:32" ht="15" customHeight="1">
      <c r="A69" s="10" t="s">
        <v>203</v>
      </c>
      <c r="B69" s="61" t="s">
        <v>282</v>
      </c>
      <c r="C69" s="10">
        <v>350</v>
      </c>
      <c r="D69" s="10">
        <v>456.36</v>
      </c>
      <c r="E69" s="10">
        <v>501.4</v>
      </c>
      <c r="F69" s="10">
        <v>1415.45</v>
      </c>
      <c r="G69" s="10">
        <v>0</v>
      </c>
      <c r="H69" s="10">
        <v>619.89</v>
      </c>
      <c r="I69" s="10">
        <v>504.62</v>
      </c>
      <c r="J69" s="10">
        <v>1027.05</v>
      </c>
      <c r="K69" s="10">
        <v>0</v>
      </c>
      <c r="L69" s="10">
        <v>1204.01</v>
      </c>
      <c r="M69" s="10">
        <v>0</v>
      </c>
      <c r="N69" s="10">
        <v>0</v>
      </c>
      <c r="O69" s="10">
        <v>662.94</v>
      </c>
      <c r="P69" s="10">
        <v>850.87</v>
      </c>
      <c r="Q69" s="10">
        <v>0</v>
      </c>
      <c r="R69" s="10">
        <v>540.01</v>
      </c>
      <c r="S69" s="10">
        <v>0</v>
      </c>
      <c r="T69" s="10">
        <v>367.02</v>
      </c>
      <c r="U69" s="10">
        <v>0</v>
      </c>
      <c r="V69" s="10">
        <v>978.2</v>
      </c>
      <c r="W69" s="10">
        <v>637.54999999999995</v>
      </c>
      <c r="X69" s="10">
        <v>0</v>
      </c>
      <c r="Y69" s="10">
        <v>1001.53</v>
      </c>
      <c r="Z69" s="10">
        <v>0</v>
      </c>
      <c r="AA69" s="10">
        <v>1292.28</v>
      </c>
      <c r="AB69" s="10">
        <v>1857.41</v>
      </c>
      <c r="AC69" s="10">
        <v>511.84</v>
      </c>
      <c r="AD69" s="10">
        <v>869.38</v>
      </c>
      <c r="AE69" s="10">
        <v>1134.76</v>
      </c>
      <c r="AF69" s="10">
        <v>0</v>
      </c>
    </row>
    <row r="70" spans="1:32" ht="15" customHeight="1">
      <c r="A70" s="10" t="s">
        <v>203</v>
      </c>
      <c r="B70" s="61" t="s">
        <v>283</v>
      </c>
      <c r="C70" s="10">
        <v>1630.33</v>
      </c>
      <c r="D70" s="10">
        <v>254.84</v>
      </c>
      <c r="E70" s="10">
        <v>767.87</v>
      </c>
      <c r="F70" s="10">
        <v>1087.05</v>
      </c>
      <c r="G70" s="10">
        <v>619.89</v>
      </c>
      <c r="H70" s="10">
        <v>0</v>
      </c>
      <c r="I70" s="10">
        <v>382.63</v>
      </c>
      <c r="J70" s="10">
        <v>777.76</v>
      </c>
      <c r="K70" s="10">
        <v>1194.05</v>
      </c>
      <c r="L70" s="10">
        <v>0</v>
      </c>
      <c r="M70" s="10">
        <v>0</v>
      </c>
      <c r="N70" s="10">
        <v>1334.1</v>
      </c>
      <c r="O70" s="10">
        <v>528.63</v>
      </c>
      <c r="P70" s="10">
        <v>415.87</v>
      </c>
      <c r="Q70" s="10">
        <v>0</v>
      </c>
      <c r="R70" s="10">
        <v>812.43</v>
      </c>
      <c r="S70" s="10">
        <v>850.9</v>
      </c>
      <c r="T70" s="10">
        <v>665.24</v>
      </c>
      <c r="U70" s="10">
        <v>1016.04</v>
      </c>
      <c r="V70" s="10">
        <v>829.38</v>
      </c>
      <c r="W70" s="10">
        <v>738.71</v>
      </c>
      <c r="X70" s="10">
        <v>1642</v>
      </c>
      <c r="Y70" s="10">
        <v>390.18</v>
      </c>
      <c r="Z70" s="10">
        <v>0</v>
      </c>
      <c r="AA70" s="10">
        <v>842.37</v>
      </c>
      <c r="AB70" s="10">
        <v>1454.22</v>
      </c>
      <c r="AC70" s="10">
        <v>404.31</v>
      </c>
      <c r="AD70" s="10">
        <v>323.69</v>
      </c>
      <c r="AE70" s="10">
        <v>1341.38</v>
      </c>
      <c r="AF70" s="10">
        <v>0</v>
      </c>
    </row>
    <row r="71" spans="1:32" ht="15" customHeight="1">
      <c r="A71" s="10" t="s">
        <v>203</v>
      </c>
      <c r="B71" s="61" t="s">
        <v>284</v>
      </c>
      <c r="C71" s="10">
        <v>500</v>
      </c>
      <c r="D71" s="10">
        <v>477.04</v>
      </c>
      <c r="E71" s="10">
        <v>406.5</v>
      </c>
      <c r="F71" s="10">
        <v>1458.02</v>
      </c>
      <c r="G71" s="10">
        <v>504.62</v>
      </c>
      <c r="H71" s="10">
        <v>382.63</v>
      </c>
      <c r="I71" s="10">
        <v>0</v>
      </c>
      <c r="J71" s="10">
        <v>540.49</v>
      </c>
      <c r="K71" s="10">
        <v>1281.04</v>
      </c>
      <c r="L71" s="10">
        <v>1624.96</v>
      </c>
      <c r="M71" s="10">
        <v>1750.79</v>
      </c>
      <c r="N71" s="10">
        <v>1662.66</v>
      </c>
      <c r="O71" s="10">
        <v>809.27</v>
      </c>
      <c r="P71" s="10">
        <v>790.13</v>
      </c>
      <c r="Q71" s="10">
        <v>1286.0899999999999</v>
      </c>
      <c r="R71" s="10">
        <v>934.15</v>
      </c>
      <c r="S71" s="10">
        <v>1015.33</v>
      </c>
      <c r="T71" s="10">
        <v>339.26</v>
      </c>
      <c r="U71" s="10">
        <v>1144.5999999999999</v>
      </c>
      <c r="V71" s="10">
        <v>1143.0899999999999</v>
      </c>
      <c r="W71" s="10">
        <v>356.15</v>
      </c>
      <c r="X71" s="10">
        <v>1503.63</v>
      </c>
      <c r="Y71" s="10">
        <v>633.87</v>
      </c>
      <c r="Z71" s="10">
        <v>0</v>
      </c>
      <c r="AA71" s="10">
        <v>1224.8499999999999</v>
      </c>
      <c r="AB71" s="10">
        <v>1354.27</v>
      </c>
      <c r="AC71" s="10">
        <v>643.65</v>
      </c>
      <c r="AD71" s="10">
        <v>705.3</v>
      </c>
      <c r="AE71" s="10">
        <v>959.53</v>
      </c>
      <c r="AF71" s="10">
        <v>0</v>
      </c>
    </row>
    <row r="72" spans="1:32" ht="15" customHeight="1">
      <c r="A72" s="10" t="s">
        <v>203</v>
      </c>
      <c r="B72" s="61" t="s">
        <v>285</v>
      </c>
      <c r="C72" s="10">
        <v>1789.51</v>
      </c>
      <c r="D72" s="10">
        <v>973.03</v>
      </c>
      <c r="E72" s="10">
        <v>692.16</v>
      </c>
      <c r="F72" s="10">
        <v>0</v>
      </c>
      <c r="G72" s="10">
        <v>1027.05</v>
      </c>
      <c r="H72" s="10">
        <v>777.76</v>
      </c>
      <c r="I72" s="10">
        <v>540.49</v>
      </c>
      <c r="J72" s="10">
        <v>0</v>
      </c>
      <c r="K72" s="10">
        <v>978.44</v>
      </c>
      <c r="L72" s="10">
        <v>0</v>
      </c>
      <c r="M72" s="10">
        <v>1298.0899999999999</v>
      </c>
      <c r="N72" s="10">
        <v>0</v>
      </c>
      <c r="O72" s="10">
        <v>1294.23</v>
      </c>
      <c r="P72" s="10">
        <v>1171.94</v>
      </c>
      <c r="Q72" s="10">
        <v>1213.43</v>
      </c>
      <c r="R72" s="10">
        <v>1472.56</v>
      </c>
      <c r="S72" s="10">
        <v>873.01</v>
      </c>
      <c r="T72" s="10">
        <v>737.81</v>
      </c>
      <c r="U72" s="10">
        <v>921.65</v>
      </c>
      <c r="V72" s="10">
        <v>0</v>
      </c>
      <c r="W72" s="10">
        <v>503.89</v>
      </c>
      <c r="X72" s="10">
        <v>700</v>
      </c>
      <c r="Y72" s="10">
        <v>745.5</v>
      </c>
      <c r="Z72" s="10">
        <v>0</v>
      </c>
      <c r="AA72" s="10">
        <v>1533.41</v>
      </c>
      <c r="AB72" s="10">
        <v>400</v>
      </c>
      <c r="AC72" s="10">
        <v>1144.1199999999999</v>
      </c>
      <c r="AD72" s="10">
        <v>1030.02</v>
      </c>
      <c r="AE72" s="10">
        <v>850.09</v>
      </c>
      <c r="AF72" s="10">
        <v>0</v>
      </c>
    </row>
    <row r="73" spans="1:32" ht="15" customHeight="1">
      <c r="A73" s="10" t="s">
        <v>203</v>
      </c>
      <c r="B73" s="61" t="s">
        <v>308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1194.05</v>
      </c>
      <c r="I73" s="10">
        <v>1281.04</v>
      </c>
      <c r="J73" s="10">
        <v>978.44</v>
      </c>
      <c r="K73" s="10">
        <v>0</v>
      </c>
      <c r="L73" s="10">
        <v>0</v>
      </c>
      <c r="M73" s="10">
        <v>647.91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384.47</v>
      </c>
      <c r="T73" s="10">
        <v>0</v>
      </c>
      <c r="U73" s="10">
        <v>205.65</v>
      </c>
      <c r="V73" s="10">
        <v>0</v>
      </c>
      <c r="W73" s="10">
        <v>0</v>
      </c>
      <c r="X73" s="10">
        <v>885</v>
      </c>
      <c r="Y73" s="10">
        <v>825.43</v>
      </c>
      <c r="Z73" s="10">
        <v>0</v>
      </c>
      <c r="AA73" s="10">
        <v>0</v>
      </c>
      <c r="AB73" s="10">
        <v>661.72</v>
      </c>
      <c r="AC73" s="10">
        <v>0</v>
      </c>
      <c r="AD73" s="10">
        <v>1177.79</v>
      </c>
      <c r="AE73" s="10">
        <v>0</v>
      </c>
      <c r="AF73" s="10">
        <v>0</v>
      </c>
    </row>
    <row r="74" spans="1:32" ht="15" customHeight="1">
      <c r="A74" s="10" t="s">
        <v>203</v>
      </c>
      <c r="B74" s="61" t="s">
        <v>286</v>
      </c>
      <c r="C74" s="10">
        <v>229.59</v>
      </c>
      <c r="D74" s="10">
        <v>1640.58</v>
      </c>
      <c r="E74" s="10">
        <v>1325.38</v>
      </c>
      <c r="F74" s="10">
        <v>0</v>
      </c>
      <c r="G74" s="10">
        <v>1204.01</v>
      </c>
      <c r="H74" s="10">
        <v>0</v>
      </c>
      <c r="I74" s="10">
        <v>1624.96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1723.59</v>
      </c>
      <c r="P74" s="10">
        <v>0</v>
      </c>
      <c r="Q74" s="10">
        <v>1479.45</v>
      </c>
      <c r="R74" s="10">
        <v>1341.02</v>
      </c>
      <c r="S74" s="10">
        <v>0</v>
      </c>
      <c r="T74" s="10">
        <v>1307.3599999999999</v>
      </c>
      <c r="U74" s="10">
        <v>0</v>
      </c>
      <c r="V74" s="10">
        <v>0</v>
      </c>
      <c r="W74" s="10">
        <v>1513.18</v>
      </c>
      <c r="X74" s="10">
        <v>0</v>
      </c>
      <c r="Y74" s="10">
        <v>0</v>
      </c>
      <c r="Z74" s="10">
        <v>421.67</v>
      </c>
      <c r="AA74" s="10">
        <v>0</v>
      </c>
      <c r="AB74" s="10">
        <v>0</v>
      </c>
      <c r="AC74" s="10">
        <v>1632.96</v>
      </c>
      <c r="AD74" s="10">
        <v>0</v>
      </c>
      <c r="AE74" s="10">
        <v>1549.51</v>
      </c>
      <c r="AF74" s="10">
        <v>0</v>
      </c>
    </row>
    <row r="75" spans="1:32">
      <c r="A75" s="10" t="s">
        <v>203</v>
      </c>
      <c r="B75" s="61" t="s">
        <v>287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1750.79</v>
      </c>
      <c r="J75" s="10">
        <v>1298.0899999999999</v>
      </c>
      <c r="K75" s="10">
        <v>647.91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1026.31</v>
      </c>
      <c r="T75" s="10">
        <v>0</v>
      </c>
      <c r="U75" s="10">
        <v>852.16</v>
      </c>
      <c r="V75" s="10">
        <v>0</v>
      </c>
      <c r="W75" s="10">
        <v>0</v>
      </c>
      <c r="X75" s="10">
        <v>1000</v>
      </c>
      <c r="Y75" s="10">
        <v>1430.78</v>
      </c>
      <c r="Z75" s="10">
        <v>0</v>
      </c>
      <c r="AA75" s="10">
        <v>0</v>
      </c>
      <c r="AB75" s="10">
        <v>505.83</v>
      </c>
      <c r="AC75" s="10">
        <v>0</v>
      </c>
      <c r="AD75" s="10">
        <v>0</v>
      </c>
      <c r="AE75" s="10">
        <v>0</v>
      </c>
      <c r="AF75" s="10">
        <v>0</v>
      </c>
    </row>
    <row r="76" spans="1:32" ht="15" customHeight="1">
      <c r="A76" s="10" t="s">
        <v>203</v>
      </c>
      <c r="B76" s="61" t="s">
        <v>288</v>
      </c>
      <c r="C76" s="10">
        <v>0</v>
      </c>
      <c r="D76" s="10">
        <v>1462.5</v>
      </c>
      <c r="E76" s="10">
        <v>300</v>
      </c>
      <c r="F76" s="10">
        <v>0</v>
      </c>
      <c r="G76" s="10">
        <v>350</v>
      </c>
      <c r="H76" s="10">
        <v>1630.33</v>
      </c>
      <c r="I76" s="10">
        <v>500</v>
      </c>
      <c r="J76" s="10">
        <v>1789.51</v>
      </c>
      <c r="K76" s="10">
        <v>0</v>
      </c>
      <c r="L76" s="10">
        <v>229.59</v>
      </c>
      <c r="M76" s="10">
        <v>0</v>
      </c>
      <c r="N76" s="10">
        <v>2201.09</v>
      </c>
      <c r="O76" s="10">
        <v>1577.99</v>
      </c>
      <c r="P76" s="10">
        <v>1838.39</v>
      </c>
      <c r="Q76" s="10">
        <v>1284.49</v>
      </c>
      <c r="R76" s="10">
        <v>1000</v>
      </c>
      <c r="S76" s="10">
        <v>0</v>
      </c>
      <c r="T76" s="10">
        <v>1087.05</v>
      </c>
      <c r="U76" s="10">
        <v>0</v>
      </c>
      <c r="V76" s="10">
        <v>1809.09</v>
      </c>
      <c r="W76" s="10">
        <v>1285.6600000000001</v>
      </c>
      <c r="X76" s="10">
        <v>2702.36</v>
      </c>
      <c r="Y76" s="10">
        <v>2000.6</v>
      </c>
      <c r="Z76" s="10">
        <v>560.61</v>
      </c>
      <c r="AA76" s="10">
        <v>2252.62</v>
      </c>
      <c r="AB76" s="10">
        <v>2623.55</v>
      </c>
      <c r="AC76" s="10">
        <v>1472.14</v>
      </c>
      <c r="AD76" s="10">
        <v>1879.08</v>
      </c>
      <c r="AE76" s="10">
        <v>600</v>
      </c>
      <c r="AF76" s="10">
        <v>0</v>
      </c>
    </row>
    <row r="77" spans="1:32" ht="15" customHeight="1">
      <c r="A77" s="10" t="s">
        <v>203</v>
      </c>
      <c r="B77" s="61" t="s">
        <v>289</v>
      </c>
      <c r="C77" s="10">
        <v>2201.09</v>
      </c>
      <c r="D77" s="10">
        <v>1188.01</v>
      </c>
      <c r="E77" s="10">
        <v>0</v>
      </c>
      <c r="F77" s="10">
        <v>453.95</v>
      </c>
      <c r="G77" s="10">
        <v>0</v>
      </c>
      <c r="H77" s="10">
        <v>1334.1</v>
      </c>
      <c r="I77" s="10">
        <v>1662.66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859.98</v>
      </c>
      <c r="P77" s="10">
        <v>947.65</v>
      </c>
      <c r="Q77" s="10">
        <v>0</v>
      </c>
      <c r="R77" s="10">
        <v>1007.1</v>
      </c>
      <c r="S77" s="10">
        <v>0</v>
      </c>
      <c r="T77" s="10">
        <v>0</v>
      </c>
      <c r="U77" s="10">
        <v>0</v>
      </c>
      <c r="V77" s="10">
        <v>521.16</v>
      </c>
      <c r="W77" s="10">
        <v>0</v>
      </c>
      <c r="X77" s="10">
        <v>0</v>
      </c>
      <c r="Y77" s="10">
        <v>1480.09</v>
      </c>
      <c r="Z77" s="10">
        <v>0</v>
      </c>
      <c r="AA77" s="10">
        <v>772.6</v>
      </c>
      <c r="AB77" s="10">
        <v>0</v>
      </c>
      <c r="AC77" s="10">
        <v>1031.6199999999999</v>
      </c>
      <c r="AD77" s="10">
        <v>1109.6099999999999</v>
      </c>
      <c r="AE77" s="10">
        <v>0</v>
      </c>
      <c r="AF77" s="10">
        <v>868</v>
      </c>
    </row>
    <row r="78" spans="1:32" ht="15" customHeight="1">
      <c r="A78" s="10" t="s">
        <v>203</v>
      </c>
      <c r="B78" s="61" t="s">
        <v>290</v>
      </c>
      <c r="C78" s="10">
        <v>1577.99</v>
      </c>
      <c r="D78" s="10">
        <v>332.27</v>
      </c>
      <c r="E78" s="10">
        <v>1075.07</v>
      </c>
      <c r="F78" s="10">
        <v>753.16</v>
      </c>
      <c r="G78" s="10">
        <v>662.94</v>
      </c>
      <c r="H78" s="10">
        <v>528.63</v>
      </c>
      <c r="I78" s="10">
        <v>809.27</v>
      </c>
      <c r="J78" s="10">
        <v>1294.23</v>
      </c>
      <c r="K78" s="10">
        <v>0</v>
      </c>
      <c r="L78" s="10">
        <v>1723.59</v>
      </c>
      <c r="M78" s="10">
        <v>0</v>
      </c>
      <c r="N78" s="10">
        <v>859.98</v>
      </c>
      <c r="O78" s="10">
        <v>0</v>
      </c>
      <c r="P78" s="10">
        <v>331.49</v>
      </c>
      <c r="Q78" s="10">
        <v>0</v>
      </c>
      <c r="R78" s="10">
        <v>427.99</v>
      </c>
      <c r="S78" s="10">
        <v>1262.6500000000001</v>
      </c>
      <c r="T78" s="10">
        <v>938.11</v>
      </c>
      <c r="U78" s="10">
        <v>0</v>
      </c>
      <c r="V78" s="10">
        <v>339.14</v>
      </c>
      <c r="W78" s="10">
        <v>1129.3900000000001</v>
      </c>
      <c r="X78" s="10">
        <v>0</v>
      </c>
      <c r="Y78" s="10">
        <v>818.17</v>
      </c>
      <c r="Z78" s="10">
        <v>0</v>
      </c>
      <c r="AA78" s="10">
        <v>677.09</v>
      </c>
      <c r="AB78" s="10">
        <v>1974.19</v>
      </c>
      <c r="AC78" s="10">
        <v>171.93</v>
      </c>
      <c r="AD78" s="10">
        <v>470.6</v>
      </c>
      <c r="AE78" s="10">
        <v>0</v>
      </c>
      <c r="AF78" s="10">
        <v>0</v>
      </c>
    </row>
    <row r="79" spans="1:32" ht="15" customHeight="1">
      <c r="A79" s="10" t="s">
        <v>203</v>
      </c>
      <c r="B79" s="61" t="s">
        <v>291</v>
      </c>
      <c r="C79" s="10">
        <v>1838.39</v>
      </c>
      <c r="D79" s="10">
        <v>400.59</v>
      </c>
      <c r="E79" s="10">
        <v>1146.05</v>
      </c>
      <c r="F79" s="10">
        <v>671.18</v>
      </c>
      <c r="G79" s="10">
        <v>850.87</v>
      </c>
      <c r="H79" s="10">
        <v>415.87</v>
      </c>
      <c r="I79" s="10">
        <v>790.13</v>
      </c>
      <c r="J79" s="10">
        <v>1171.94</v>
      </c>
      <c r="K79" s="10">
        <v>0</v>
      </c>
      <c r="L79" s="10">
        <v>0</v>
      </c>
      <c r="M79" s="10">
        <v>0</v>
      </c>
      <c r="N79" s="10">
        <v>947.65</v>
      </c>
      <c r="O79" s="10">
        <v>331.49</v>
      </c>
      <c r="P79" s="10">
        <v>0</v>
      </c>
      <c r="Q79" s="10">
        <v>0</v>
      </c>
      <c r="R79" s="10">
        <v>755.26</v>
      </c>
      <c r="S79" s="10">
        <v>961.23</v>
      </c>
      <c r="T79" s="10">
        <v>1025.1099999999999</v>
      </c>
      <c r="U79" s="10">
        <v>1141.83</v>
      </c>
      <c r="V79" s="10">
        <v>486.51</v>
      </c>
      <c r="W79" s="10">
        <v>1144.4000000000001</v>
      </c>
      <c r="X79" s="10">
        <v>0</v>
      </c>
      <c r="Y79" s="10">
        <v>551.72</v>
      </c>
      <c r="Z79" s="10">
        <v>0</v>
      </c>
      <c r="AA79" s="10">
        <v>452.36</v>
      </c>
      <c r="AB79" s="10">
        <v>1745.85</v>
      </c>
      <c r="AC79" s="10">
        <v>369.97</v>
      </c>
      <c r="AD79" s="10">
        <v>171.65</v>
      </c>
      <c r="AE79" s="10">
        <v>0</v>
      </c>
      <c r="AF79" s="10">
        <v>0</v>
      </c>
    </row>
    <row r="80" spans="1:32" ht="15" customHeight="1">
      <c r="A80" s="10" t="s">
        <v>203</v>
      </c>
      <c r="B80" s="61" t="s">
        <v>292</v>
      </c>
      <c r="C80" s="10">
        <v>1284.49</v>
      </c>
      <c r="D80" s="10">
        <v>0</v>
      </c>
      <c r="E80" s="10">
        <v>924.14</v>
      </c>
      <c r="F80" s="10">
        <v>0</v>
      </c>
      <c r="G80" s="10">
        <v>0</v>
      </c>
      <c r="H80" s="10">
        <v>0</v>
      </c>
      <c r="I80" s="10">
        <v>1286.0899999999999</v>
      </c>
      <c r="J80" s="10">
        <v>1213.43</v>
      </c>
      <c r="K80" s="10">
        <v>0</v>
      </c>
      <c r="L80" s="10">
        <v>1479.45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1057.17</v>
      </c>
      <c r="U80" s="10">
        <v>0</v>
      </c>
      <c r="V80" s="10">
        <v>0</v>
      </c>
      <c r="W80" s="10">
        <v>932.26</v>
      </c>
      <c r="X80" s="10">
        <v>1780.16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363.85</v>
      </c>
      <c r="AF80" s="10">
        <v>0</v>
      </c>
    </row>
    <row r="81" spans="1:32" ht="15" customHeight="1">
      <c r="A81" s="10" t="s">
        <v>203</v>
      </c>
      <c r="B81" s="61" t="s">
        <v>293</v>
      </c>
      <c r="C81" s="10">
        <v>1000</v>
      </c>
      <c r="D81" s="10">
        <v>557.69000000000005</v>
      </c>
      <c r="E81" s="10">
        <v>1040.22</v>
      </c>
      <c r="F81" s="10">
        <v>1075.51</v>
      </c>
      <c r="G81" s="10">
        <v>540.01</v>
      </c>
      <c r="H81" s="10">
        <v>812.43</v>
      </c>
      <c r="I81" s="10">
        <v>934.15</v>
      </c>
      <c r="J81" s="10">
        <v>1472.56</v>
      </c>
      <c r="K81" s="10">
        <v>0</v>
      </c>
      <c r="L81" s="10">
        <v>1341.02</v>
      </c>
      <c r="M81" s="10">
        <v>0</v>
      </c>
      <c r="N81" s="10">
        <v>1007.1</v>
      </c>
      <c r="O81" s="10">
        <v>427.99</v>
      </c>
      <c r="P81" s="10">
        <v>755.26</v>
      </c>
      <c r="Q81" s="10">
        <v>0</v>
      </c>
      <c r="R81" s="10">
        <v>0</v>
      </c>
      <c r="S81" s="10">
        <v>0</v>
      </c>
      <c r="T81" s="10">
        <v>903.08</v>
      </c>
      <c r="U81" s="10">
        <v>0</v>
      </c>
      <c r="V81" s="10">
        <v>586.66</v>
      </c>
      <c r="W81" s="10">
        <v>1161.05</v>
      </c>
      <c r="X81" s="10">
        <v>0</v>
      </c>
      <c r="Y81" s="10">
        <v>1174.6600000000001</v>
      </c>
      <c r="Z81" s="10">
        <v>0</v>
      </c>
      <c r="AA81" s="10">
        <v>1082.6300000000001</v>
      </c>
      <c r="AB81" s="10">
        <v>2245.4899999999998</v>
      </c>
      <c r="AC81" s="10">
        <v>429.95</v>
      </c>
      <c r="AD81" s="10">
        <v>874.11</v>
      </c>
      <c r="AE81" s="10">
        <v>1673.84</v>
      </c>
      <c r="AF81" s="10">
        <v>0</v>
      </c>
    </row>
    <row r="82" spans="1:32" ht="15" customHeight="1">
      <c r="A82" s="10" t="s">
        <v>203</v>
      </c>
      <c r="B82" s="61" t="s">
        <v>309</v>
      </c>
      <c r="C82" s="10">
        <v>0</v>
      </c>
      <c r="D82" s="10">
        <v>1094.8399999999999</v>
      </c>
      <c r="E82" s="10">
        <v>0</v>
      </c>
      <c r="F82" s="10">
        <v>0</v>
      </c>
      <c r="G82" s="10">
        <v>0</v>
      </c>
      <c r="H82" s="10">
        <v>850.9</v>
      </c>
      <c r="I82" s="10">
        <v>1015.33</v>
      </c>
      <c r="J82" s="10">
        <v>873.01</v>
      </c>
      <c r="K82" s="10">
        <v>384.47</v>
      </c>
      <c r="L82" s="10">
        <v>0</v>
      </c>
      <c r="M82" s="10">
        <v>1026.31</v>
      </c>
      <c r="N82" s="10">
        <v>0</v>
      </c>
      <c r="O82" s="10">
        <v>1262.6500000000001</v>
      </c>
      <c r="P82" s="10">
        <v>961.23</v>
      </c>
      <c r="Q82" s="10">
        <v>0</v>
      </c>
      <c r="R82" s="10">
        <v>0</v>
      </c>
      <c r="S82" s="10">
        <v>0</v>
      </c>
      <c r="T82" s="10">
        <v>0</v>
      </c>
      <c r="U82" s="10">
        <v>180.61</v>
      </c>
      <c r="V82" s="10">
        <v>0</v>
      </c>
      <c r="W82" s="10">
        <v>1249.7</v>
      </c>
      <c r="X82" s="10">
        <v>1153.01</v>
      </c>
      <c r="Y82" s="10">
        <v>464.52</v>
      </c>
      <c r="Z82" s="10">
        <v>0</v>
      </c>
      <c r="AA82" s="10">
        <v>1059.29</v>
      </c>
      <c r="AB82" s="10">
        <v>923.23</v>
      </c>
      <c r="AC82" s="10">
        <v>1207.05</v>
      </c>
      <c r="AD82" s="10">
        <v>797.05</v>
      </c>
      <c r="AE82" s="10">
        <v>0</v>
      </c>
      <c r="AF82" s="10">
        <v>0</v>
      </c>
    </row>
    <row r="83" spans="1:32" ht="15" customHeight="1">
      <c r="A83" s="10" t="s">
        <v>203</v>
      </c>
      <c r="B83" s="61" t="s">
        <v>294</v>
      </c>
      <c r="C83" s="10">
        <v>1087.05</v>
      </c>
      <c r="D83" s="10">
        <v>640.32000000000005</v>
      </c>
      <c r="E83" s="10">
        <v>140.4</v>
      </c>
      <c r="F83" s="10">
        <v>0</v>
      </c>
      <c r="G83" s="10">
        <v>367.02</v>
      </c>
      <c r="H83" s="10">
        <v>665.24</v>
      </c>
      <c r="I83" s="10">
        <v>339.26</v>
      </c>
      <c r="J83" s="10">
        <v>737.81</v>
      </c>
      <c r="K83" s="10">
        <v>0</v>
      </c>
      <c r="L83" s="10">
        <v>1307.3599999999999</v>
      </c>
      <c r="M83" s="10">
        <v>0</v>
      </c>
      <c r="N83" s="10">
        <v>0</v>
      </c>
      <c r="O83" s="10">
        <v>938.11</v>
      </c>
      <c r="P83" s="10">
        <v>1025.1099999999999</v>
      </c>
      <c r="Q83" s="10">
        <v>1057.17</v>
      </c>
      <c r="R83" s="10">
        <v>903.08</v>
      </c>
      <c r="S83" s="10">
        <v>0</v>
      </c>
      <c r="T83" s="10">
        <v>0</v>
      </c>
      <c r="U83" s="10">
        <v>0</v>
      </c>
      <c r="V83" s="10">
        <v>0</v>
      </c>
      <c r="W83" s="10">
        <v>279.54000000000002</v>
      </c>
      <c r="X83" s="10">
        <v>1703.34</v>
      </c>
      <c r="Y83" s="10">
        <v>969.45</v>
      </c>
      <c r="Z83" s="10">
        <v>0</v>
      </c>
      <c r="AA83" s="10">
        <v>0</v>
      </c>
      <c r="AB83" s="10">
        <v>1586.29</v>
      </c>
      <c r="AC83" s="10">
        <v>767.73</v>
      </c>
      <c r="AD83" s="10">
        <v>981.17</v>
      </c>
      <c r="AE83" s="10">
        <v>785.89</v>
      </c>
      <c r="AF83" s="10">
        <v>0</v>
      </c>
    </row>
    <row r="84" spans="1:32" ht="15" customHeight="1">
      <c r="A84" s="10" t="s">
        <v>203</v>
      </c>
      <c r="B84" s="61" t="s">
        <v>310</v>
      </c>
      <c r="C84" s="10">
        <v>0</v>
      </c>
      <c r="D84" s="10">
        <v>1264.26</v>
      </c>
      <c r="E84" s="10">
        <v>0</v>
      </c>
      <c r="F84" s="10">
        <v>0</v>
      </c>
      <c r="G84" s="10">
        <v>0</v>
      </c>
      <c r="H84" s="10">
        <v>1016.04</v>
      </c>
      <c r="I84" s="10">
        <v>1144.5999999999999</v>
      </c>
      <c r="J84" s="10">
        <v>921.65</v>
      </c>
      <c r="K84" s="10">
        <v>205.65</v>
      </c>
      <c r="L84" s="10">
        <v>0</v>
      </c>
      <c r="M84" s="10">
        <v>852.16</v>
      </c>
      <c r="N84" s="10">
        <v>0</v>
      </c>
      <c r="O84" s="10">
        <v>0</v>
      </c>
      <c r="P84" s="10">
        <v>1141.83</v>
      </c>
      <c r="Q84" s="10">
        <v>0</v>
      </c>
      <c r="R84" s="10">
        <v>0</v>
      </c>
      <c r="S84" s="10">
        <v>180.61</v>
      </c>
      <c r="T84" s="10">
        <v>0</v>
      </c>
      <c r="U84" s="10">
        <v>0</v>
      </c>
      <c r="V84" s="10">
        <v>0</v>
      </c>
      <c r="W84" s="10">
        <v>1345.25</v>
      </c>
      <c r="X84" s="10">
        <v>1031.76</v>
      </c>
      <c r="Y84" s="10">
        <v>636.20000000000005</v>
      </c>
      <c r="Z84" s="10">
        <v>0</v>
      </c>
      <c r="AA84" s="10">
        <v>1225.5</v>
      </c>
      <c r="AB84" s="10">
        <v>802.01</v>
      </c>
      <c r="AC84" s="10">
        <v>0</v>
      </c>
      <c r="AD84" s="10">
        <v>977.33</v>
      </c>
      <c r="AE84" s="10">
        <v>0</v>
      </c>
      <c r="AF84" s="10">
        <v>0</v>
      </c>
    </row>
    <row r="85" spans="1:32" ht="15" customHeight="1">
      <c r="A85" s="10" t="s">
        <v>203</v>
      </c>
      <c r="B85" s="61" t="s">
        <v>297</v>
      </c>
      <c r="C85" s="10">
        <v>1285.6600000000001</v>
      </c>
      <c r="D85" s="10">
        <v>804.24</v>
      </c>
      <c r="E85" s="10">
        <v>192.2</v>
      </c>
      <c r="F85" s="10">
        <v>0</v>
      </c>
      <c r="G85" s="10">
        <v>637.54999999999995</v>
      </c>
      <c r="H85" s="10">
        <v>738.71</v>
      </c>
      <c r="I85" s="10">
        <v>356.15</v>
      </c>
      <c r="J85" s="10">
        <v>503.89</v>
      </c>
      <c r="K85" s="10">
        <v>0</v>
      </c>
      <c r="L85" s="10">
        <v>1513.18</v>
      </c>
      <c r="M85" s="10">
        <v>0</v>
      </c>
      <c r="N85" s="10">
        <v>0</v>
      </c>
      <c r="O85" s="10">
        <v>1129.3900000000001</v>
      </c>
      <c r="P85" s="10">
        <v>1144.4000000000001</v>
      </c>
      <c r="Q85" s="10">
        <v>932.26</v>
      </c>
      <c r="R85" s="10">
        <v>1161.05</v>
      </c>
      <c r="S85" s="10">
        <v>1249.7</v>
      </c>
      <c r="T85" s="10">
        <v>279.54000000000002</v>
      </c>
      <c r="U85" s="10">
        <v>1345.25</v>
      </c>
      <c r="V85" s="10">
        <v>0</v>
      </c>
      <c r="W85" s="10">
        <v>0</v>
      </c>
      <c r="X85" s="10">
        <v>1444.25</v>
      </c>
      <c r="Y85" s="10">
        <v>943.16</v>
      </c>
      <c r="Z85" s="10">
        <v>0</v>
      </c>
      <c r="AA85" s="10">
        <v>0</v>
      </c>
      <c r="AB85" s="10">
        <v>1343.75</v>
      </c>
      <c r="AC85" s="10">
        <v>958.07</v>
      </c>
      <c r="AD85" s="10">
        <v>1060.75</v>
      </c>
      <c r="AE85" s="10">
        <v>604.03</v>
      </c>
      <c r="AF85" s="10">
        <v>0</v>
      </c>
    </row>
    <row r="86" spans="1:32" ht="15" customHeight="1">
      <c r="A86" s="10" t="s">
        <v>203</v>
      </c>
      <c r="B86" s="61" t="s">
        <v>298</v>
      </c>
      <c r="C86" s="10">
        <v>2702.36</v>
      </c>
      <c r="D86" s="10">
        <v>0</v>
      </c>
      <c r="E86" s="10">
        <v>1636.14</v>
      </c>
      <c r="F86" s="10">
        <v>0</v>
      </c>
      <c r="G86" s="10">
        <v>0</v>
      </c>
      <c r="H86" s="10">
        <v>1642</v>
      </c>
      <c r="I86" s="10">
        <v>1503.63</v>
      </c>
      <c r="J86" s="10">
        <v>700</v>
      </c>
      <c r="K86" s="10">
        <v>885</v>
      </c>
      <c r="L86" s="10">
        <v>0</v>
      </c>
      <c r="M86" s="10">
        <v>1000</v>
      </c>
      <c r="N86" s="10">
        <v>0</v>
      </c>
      <c r="O86" s="10">
        <v>0</v>
      </c>
      <c r="P86" s="10">
        <v>0</v>
      </c>
      <c r="Q86" s="10">
        <v>1780.16</v>
      </c>
      <c r="R86" s="10">
        <v>0</v>
      </c>
      <c r="S86" s="10">
        <v>1153.01</v>
      </c>
      <c r="T86" s="10">
        <v>1703.34</v>
      </c>
      <c r="U86" s="10">
        <v>1031.76</v>
      </c>
      <c r="V86" s="10">
        <v>0</v>
      </c>
      <c r="W86" s="10">
        <v>1444.25</v>
      </c>
      <c r="X86" s="10">
        <v>0</v>
      </c>
      <c r="Y86" s="10">
        <v>1408.54</v>
      </c>
      <c r="Z86" s="10">
        <v>0</v>
      </c>
      <c r="AA86" s="10">
        <v>0</v>
      </c>
      <c r="AB86" s="10">
        <v>230.32</v>
      </c>
      <c r="AC86" s="10">
        <v>0</v>
      </c>
      <c r="AD86" s="10">
        <v>0</v>
      </c>
      <c r="AE86" s="10">
        <v>1492.31</v>
      </c>
      <c r="AF86" s="10">
        <v>0</v>
      </c>
    </row>
    <row r="87" spans="1:32" ht="15" customHeight="1">
      <c r="A87" s="10" t="s">
        <v>203</v>
      </c>
      <c r="B87" s="61" t="s">
        <v>357</v>
      </c>
      <c r="C87" s="10">
        <v>1809.09</v>
      </c>
      <c r="D87" s="10">
        <v>667.29</v>
      </c>
      <c r="E87" s="10">
        <v>0</v>
      </c>
      <c r="F87" s="10">
        <v>489.51</v>
      </c>
      <c r="G87" s="10">
        <v>978.2</v>
      </c>
      <c r="H87" s="10">
        <v>829.38</v>
      </c>
      <c r="I87" s="10">
        <v>1143.0899999999999</v>
      </c>
      <c r="J87" s="10">
        <v>0</v>
      </c>
      <c r="K87" s="10">
        <v>0</v>
      </c>
      <c r="L87" s="10">
        <v>0</v>
      </c>
      <c r="M87" s="10">
        <v>0</v>
      </c>
      <c r="N87" s="10">
        <v>521.16</v>
      </c>
      <c r="O87" s="10">
        <v>339.14</v>
      </c>
      <c r="P87" s="10">
        <v>486.51</v>
      </c>
      <c r="Q87" s="10">
        <v>0</v>
      </c>
      <c r="R87" s="10">
        <v>586.66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1038.1300000000001</v>
      </c>
      <c r="Z87" s="10">
        <v>0</v>
      </c>
      <c r="AA87" s="10">
        <v>569.07000000000005</v>
      </c>
      <c r="AB87" s="10">
        <v>0</v>
      </c>
      <c r="AC87" s="10">
        <v>511.02</v>
      </c>
      <c r="AD87" s="10">
        <v>658.16</v>
      </c>
      <c r="AE87" s="10">
        <v>0</v>
      </c>
      <c r="AF87" s="10">
        <v>0</v>
      </c>
    </row>
    <row r="88" spans="1:32" ht="15" customHeight="1">
      <c r="A88" s="10" t="s">
        <v>203</v>
      </c>
      <c r="B88" s="61" t="s">
        <v>299</v>
      </c>
      <c r="C88" s="10">
        <v>2000.6</v>
      </c>
      <c r="D88" s="10">
        <v>630.36</v>
      </c>
      <c r="E88" s="10">
        <v>1037.53</v>
      </c>
      <c r="F88" s="10">
        <v>1129.69</v>
      </c>
      <c r="G88" s="10">
        <v>1001.53</v>
      </c>
      <c r="H88" s="10">
        <v>390.18</v>
      </c>
      <c r="I88" s="10">
        <v>633.87</v>
      </c>
      <c r="J88" s="10">
        <v>745.5</v>
      </c>
      <c r="K88" s="10">
        <v>825.43</v>
      </c>
      <c r="L88" s="10">
        <v>0</v>
      </c>
      <c r="M88" s="10">
        <v>1430.78</v>
      </c>
      <c r="N88" s="10">
        <v>1480.09</v>
      </c>
      <c r="O88" s="10">
        <v>818.17</v>
      </c>
      <c r="P88" s="10">
        <v>551.72</v>
      </c>
      <c r="Q88" s="10">
        <v>0</v>
      </c>
      <c r="R88" s="10">
        <v>1174.6600000000001</v>
      </c>
      <c r="S88" s="10">
        <v>464.52</v>
      </c>
      <c r="T88" s="10">
        <v>969.45</v>
      </c>
      <c r="U88" s="10">
        <v>636.20000000000005</v>
      </c>
      <c r="V88" s="10">
        <v>1038.1300000000001</v>
      </c>
      <c r="W88" s="10">
        <v>943.16</v>
      </c>
      <c r="X88" s="10">
        <v>1408.54</v>
      </c>
      <c r="Y88" s="10">
        <v>0</v>
      </c>
      <c r="Z88" s="10">
        <v>0</v>
      </c>
      <c r="AA88" s="10">
        <v>809.16</v>
      </c>
      <c r="AB88" s="10">
        <v>1196.53</v>
      </c>
      <c r="AC88" s="10">
        <v>746.53</v>
      </c>
      <c r="AD88" s="10">
        <v>380.21</v>
      </c>
      <c r="AE88" s="10">
        <v>1502.63</v>
      </c>
      <c r="AF88" s="10">
        <v>0</v>
      </c>
    </row>
    <row r="89" spans="1:32" ht="15" customHeight="1">
      <c r="A89" s="10" t="s">
        <v>203</v>
      </c>
      <c r="B89" s="61" t="s">
        <v>300</v>
      </c>
      <c r="C89" s="10">
        <v>560.61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421.67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1672.93</v>
      </c>
      <c r="AF89" s="10">
        <v>0</v>
      </c>
    </row>
    <row r="90" spans="1:32" ht="15" customHeight="1">
      <c r="A90" s="10" t="s">
        <v>203</v>
      </c>
      <c r="B90" s="61" t="s">
        <v>301</v>
      </c>
      <c r="C90" s="10">
        <v>2252.62</v>
      </c>
      <c r="D90" s="10">
        <v>850.72</v>
      </c>
      <c r="E90" s="10">
        <v>0</v>
      </c>
      <c r="F90" s="10">
        <v>343.03</v>
      </c>
      <c r="G90" s="10">
        <v>1292.28</v>
      </c>
      <c r="H90" s="10">
        <v>842.37</v>
      </c>
      <c r="I90" s="10">
        <v>1224.8499999999999</v>
      </c>
      <c r="J90" s="10">
        <v>1533.41</v>
      </c>
      <c r="K90" s="10">
        <v>0</v>
      </c>
      <c r="L90" s="10">
        <v>0</v>
      </c>
      <c r="M90" s="10">
        <v>0</v>
      </c>
      <c r="N90" s="10">
        <v>772.6</v>
      </c>
      <c r="O90" s="10">
        <v>677.09</v>
      </c>
      <c r="P90" s="10">
        <v>452.36</v>
      </c>
      <c r="Q90" s="10">
        <v>0</v>
      </c>
      <c r="R90" s="10">
        <v>1082.6300000000001</v>
      </c>
      <c r="S90" s="10">
        <v>1059.29</v>
      </c>
      <c r="T90" s="10">
        <v>0</v>
      </c>
      <c r="U90" s="10">
        <v>1225.5</v>
      </c>
      <c r="V90" s="10">
        <v>569.07000000000005</v>
      </c>
      <c r="W90" s="10">
        <v>0</v>
      </c>
      <c r="X90" s="10">
        <v>0</v>
      </c>
      <c r="Y90" s="10">
        <v>809.16</v>
      </c>
      <c r="Z90" s="10">
        <v>0</v>
      </c>
      <c r="AA90" s="10">
        <v>0</v>
      </c>
      <c r="AB90" s="10">
        <v>0</v>
      </c>
      <c r="AC90" s="10">
        <v>787.57</v>
      </c>
      <c r="AD90" s="10">
        <v>523.91999999999996</v>
      </c>
      <c r="AE90" s="10">
        <v>0</v>
      </c>
      <c r="AF90" s="10">
        <v>899</v>
      </c>
    </row>
    <row r="91" spans="1:32" ht="15" customHeight="1">
      <c r="A91" s="10" t="s">
        <v>203</v>
      </c>
      <c r="B91" s="61" t="s">
        <v>303</v>
      </c>
      <c r="C91" s="10">
        <v>2623.55</v>
      </c>
      <c r="D91" s="10">
        <v>1698.79</v>
      </c>
      <c r="E91" s="10">
        <v>1535.26</v>
      </c>
      <c r="F91" s="10">
        <v>0</v>
      </c>
      <c r="G91" s="10">
        <v>1857.41</v>
      </c>
      <c r="H91" s="10">
        <v>1454.22</v>
      </c>
      <c r="I91" s="10">
        <v>1354.27</v>
      </c>
      <c r="J91" s="10">
        <v>400</v>
      </c>
      <c r="K91" s="10">
        <v>661.72</v>
      </c>
      <c r="L91" s="10">
        <v>0</v>
      </c>
      <c r="M91" s="10">
        <v>505.83</v>
      </c>
      <c r="N91" s="10">
        <v>0</v>
      </c>
      <c r="O91" s="10">
        <v>1974.19</v>
      </c>
      <c r="P91" s="10">
        <v>1745.85</v>
      </c>
      <c r="Q91" s="10">
        <v>0</v>
      </c>
      <c r="R91" s="10">
        <v>2245.4899999999998</v>
      </c>
      <c r="S91" s="10">
        <v>923.23</v>
      </c>
      <c r="T91" s="10">
        <v>1586.29</v>
      </c>
      <c r="U91" s="10">
        <v>802.01</v>
      </c>
      <c r="V91" s="10">
        <v>0</v>
      </c>
      <c r="W91" s="10">
        <v>1343.75</v>
      </c>
      <c r="X91" s="10">
        <v>230.32</v>
      </c>
      <c r="Y91" s="10">
        <v>1196.53</v>
      </c>
      <c r="Z91" s="10">
        <v>0</v>
      </c>
      <c r="AA91" s="10">
        <v>0</v>
      </c>
      <c r="AB91" s="10">
        <v>0</v>
      </c>
      <c r="AC91" s="10">
        <v>1858.18</v>
      </c>
      <c r="AD91" s="10">
        <v>1575.37</v>
      </c>
      <c r="AE91" s="10">
        <v>1485.18</v>
      </c>
      <c r="AF91" s="10">
        <v>0</v>
      </c>
    </row>
    <row r="92" spans="1:32" ht="15" customHeight="1">
      <c r="A92" s="10" t="s">
        <v>203</v>
      </c>
      <c r="B92" s="61" t="s">
        <v>304</v>
      </c>
      <c r="C92" s="10">
        <v>1472.14</v>
      </c>
      <c r="D92" s="10">
        <v>171.24</v>
      </c>
      <c r="E92" s="10">
        <v>903.98</v>
      </c>
      <c r="F92" s="10">
        <v>908.29</v>
      </c>
      <c r="G92" s="10">
        <v>511.84</v>
      </c>
      <c r="H92" s="10">
        <v>404.31</v>
      </c>
      <c r="I92" s="10">
        <v>643.65</v>
      </c>
      <c r="J92" s="10">
        <v>1144.1199999999999</v>
      </c>
      <c r="K92" s="10">
        <v>0</v>
      </c>
      <c r="L92" s="10">
        <v>1632.96</v>
      </c>
      <c r="M92" s="10">
        <v>0</v>
      </c>
      <c r="N92" s="10">
        <v>1031.6199999999999</v>
      </c>
      <c r="O92" s="10">
        <v>171.93</v>
      </c>
      <c r="P92" s="10">
        <v>369.97</v>
      </c>
      <c r="Q92" s="10">
        <v>0</v>
      </c>
      <c r="R92" s="10">
        <v>429.95</v>
      </c>
      <c r="S92" s="10">
        <v>1207.05</v>
      </c>
      <c r="T92" s="10">
        <v>767.73</v>
      </c>
      <c r="U92" s="10">
        <v>0</v>
      </c>
      <c r="V92" s="10">
        <v>511.02</v>
      </c>
      <c r="W92" s="10">
        <v>958.07</v>
      </c>
      <c r="X92" s="10">
        <v>0</v>
      </c>
      <c r="Y92" s="10">
        <v>746.53</v>
      </c>
      <c r="Z92" s="10">
        <v>0</v>
      </c>
      <c r="AA92" s="10">
        <v>787.57</v>
      </c>
      <c r="AB92" s="10">
        <v>1858.18</v>
      </c>
      <c r="AC92" s="10">
        <v>0</v>
      </c>
      <c r="AD92" s="10">
        <v>454.53</v>
      </c>
      <c r="AE92" s="10">
        <v>0</v>
      </c>
      <c r="AF92" s="10">
        <v>0</v>
      </c>
    </row>
    <row r="93" spans="1:32" ht="15" customHeight="1">
      <c r="A93" s="10" t="s">
        <v>203</v>
      </c>
      <c r="B93" s="61" t="s">
        <v>305</v>
      </c>
      <c r="C93" s="10">
        <v>1879.08</v>
      </c>
      <c r="D93" s="10">
        <v>416.67</v>
      </c>
      <c r="E93" s="10">
        <v>1089.56</v>
      </c>
      <c r="F93" s="10">
        <v>797.9</v>
      </c>
      <c r="G93" s="10">
        <v>869.38</v>
      </c>
      <c r="H93" s="10">
        <v>323.69</v>
      </c>
      <c r="I93" s="10">
        <v>705.3</v>
      </c>
      <c r="J93" s="10">
        <v>1030.02</v>
      </c>
      <c r="K93" s="10">
        <v>1177.79</v>
      </c>
      <c r="L93" s="10">
        <v>0</v>
      </c>
      <c r="M93" s="10">
        <v>0</v>
      </c>
      <c r="N93" s="10">
        <v>1109.6099999999999</v>
      </c>
      <c r="O93" s="10">
        <v>470.6</v>
      </c>
      <c r="P93" s="10">
        <v>171.65</v>
      </c>
      <c r="Q93" s="10">
        <v>0</v>
      </c>
      <c r="R93" s="10">
        <v>874.11</v>
      </c>
      <c r="S93" s="10">
        <v>797.05</v>
      </c>
      <c r="T93" s="10">
        <v>981.17</v>
      </c>
      <c r="U93" s="10">
        <v>977.33</v>
      </c>
      <c r="V93" s="10">
        <v>658.16</v>
      </c>
      <c r="W93" s="10">
        <v>1060.75</v>
      </c>
      <c r="X93" s="10">
        <v>0</v>
      </c>
      <c r="Y93" s="10">
        <v>380.21</v>
      </c>
      <c r="Z93" s="10">
        <v>0</v>
      </c>
      <c r="AA93" s="10">
        <v>523.91999999999996</v>
      </c>
      <c r="AB93" s="10">
        <v>1575.37</v>
      </c>
      <c r="AC93" s="10">
        <v>454.53</v>
      </c>
      <c r="AD93" s="10">
        <v>0</v>
      </c>
      <c r="AE93" s="10">
        <v>0</v>
      </c>
      <c r="AF93" s="10">
        <v>0</v>
      </c>
    </row>
    <row r="94" spans="1:32" ht="15" customHeight="1">
      <c r="A94" s="10" t="s">
        <v>203</v>
      </c>
      <c r="B94" s="10" t="s">
        <v>356</v>
      </c>
      <c r="C94" s="10">
        <v>0</v>
      </c>
      <c r="D94" s="10">
        <v>0</v>
      </c>
      <c r="E94" s="10">
        <v>0</v>
      </c>
      <c r="F94" s="10">
        <v>428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868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899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</row>
    <row r="95" spans="1:32" ht="15" customHeight="1">
      <c r="A95" s="10" t="s">
        <v>203</v>
      </c>
      <c r="B95" s="61" t="s">
        <v>307</v>
      </c>
      <c r="C95" s="10">
        <v>600</v>
      </c>
      <c r="D95" s="10">
        <v>1399.02</v>
      </c>
      <c r="E95" s="10">
        <v>645.59</v>
      </c>
      <c r="F95" s="10">
        <v>0</v>
      </c>
      <c r="G95" s="10">
        <v>1134.76</v>
      </c>
      <c r="H95" s="10">
        <v>1341.38</v>
      </c>
      <c r="I95" s="10">
        <v>959.53</v>
      </c>
      <c r="J95" s="10">
        <v>850.09</v>
      </c>
      <c r="K95" s="10">
        <v>0</v>
      </c>
      <c r="L95" s="10">
        <v>1549.51</v>
      </c>
      <c r="M95" s="10">
        <v>0</v>
      </c>
      <c r="N95" s="10">
        <v>0</v>
      </c>
      <c r="O95" s="10">
        <v>0</v>
      </c>
      <c r="P95" s="10">
        <v>0</v>
      </c>
      <c r="Q95" s="10">
        <v>363.85</v>
      </c>
      <c r="R95" s="10">
        <v>1673.84</v>
      </c>
      <c r="S95" s="10">
        <v>0</v>
      </c>
      <c r="T95" s="10">
        <v>785.89</v>
      </c>
      <c r="U95" s="10">
        <v>0</v>
      </c>
      <c r="V95" s="10">
        <v>0</v>
      </c>
      <c r="W95" s="10">
        <v>604.03</v>
      </c>
      <c r="X95" s="10">
        <v>1492.31</v>
      </c>
      <c r="Y95" s="10">
        <v>1502.63</v>
      </c>
      <c r="Z95" s="10">
        <v>1672.93</v>
      </c>
      <c r="AA95" s="10">
        <v>0</v>
      </c>
      <c r="AB95" s="10">
        <v>1485.18</v>
      </c>
      <c r="AC95" s="10">
        <v>0</v>
      </c>
      <c r="AD95" s="10">
        <v>0</v>
      </c>
      <c r="AE95" s="10">
        <v>0</v>
      </c>
      <c r="AF95" s="10">
        <v>0</v>
      </c>
    </row>
    <row r="96" spans="1:32" ht="15" customHeight="1">
      <c r="A96" s="10" t="s">
        <v>202</v>
      </c>
      <c r="B96" s="61" t="s">
        <v>278</v>
      </c>
      <c r="C96" s="10">
        <v>1462.5</v>
      </c>
      <c r="D96" s="10">
        <v>0</v>
      </c>
      <c r="E96" s="10">
        <v>770.24</v>
      </c>
      <c r="F96" s="10">
        <v>1022.45</v>
      </c>
      <c r="G96" s="10">
        <v>456.36</v>
      </c>
      <c r="H96" s="10">
        <v>254.84</v>
      </c>
      <c r="I96" s="10">
        <v>477.04</v>
      </c>
      <c r="J96" s="10">
        <v>973.03</v>
      </c>
      <c r="K96" s="10">
        <v>0</v>
      </c>
      <c r="L96" s="10">
        <v>1640.58</v>
      </c>
      <c r="M96" s="10">
        <v>0</v>
      </c>
      <c r="N96" s="10">
        <v>1188.01</v>
      </c>
      <c r="O96" s="10">
        <v>332.27</v>
      </c>
      <c r="P96" s="10">
        <v>400.59</v>
      </c>
      <c r="Q96" s="10">
        <v>0</v>
      </c>
      <c r="R96" s="10">
        <v>557.69000000000005</v>
      </c>
      <c r="S96" s="10">
        <v>1094.8399999999999</v>
      </c>
      <c r="T96" s="10">
        <v>640.32000000000005</v>
      </c>
      <c r="U96" s="10">
        <v>1264.26</v>
      </c>
      <c r="V96" s="10">
        <v>667.29</v>
      </c>
      <c r="W96" s="10">
        <v>804.24</v>
      </c>
      <c r="X96" s="10">
        <v>0</v>
      </c>
      <c r="Y96" s="10">
        <v>630.36</v>
      </c>
      <c r="Z96" s="10">
        <v>0</v>
      </c>
      <c r="AA96" s="10">
        <v>850.72</v>
      </c>
      <c r="AB96" s="10">
        <v>1698.79</v>
      </c>
      <c r="AC96" s="10">
        <v>171.24</v>
      </c>
      <c r="AD96" s="10">
        <v>416.67</v>
      </c>
      <c r="AE96" s="10">
        <v>1399.02</v>
      </c>
      <c r="AF96" s="10">
        <v>0</v>
      </c>
    </row>
    <row r="97" spans="1:32" ht="15" customHeight="1">
      <c r="A97" s="10" t="s">
        <v>202</v>
      </c>
      <c r="B97" s="61" t="s">
        <v>280</v>
      </c>
      <c r="C97" s="10">
        <v>300</v>
      </c>
      <c r="D97" s="10">
        <v>770.24</v>
      </c>
      <c r="E97" s="10">
        <v>0</v>
      </c>
      <c r="F97" s="10">
        <v>0</v>
      </c>
      <c r="G97" s="10">
        <v>501.4</v>
      </c>
      <c r="H97" s="10">
        <v>767.87</v>
      </c>
      <c r="I97" s="10">
        <v>406.5</v>
      </c>
      <c r="J97" s="10">
        <v>692.16</v>
      </c>
      <c r="K97" s="10">
        <v>0</v>
      </c>
      <c r="L97" s="10">
        <v>1325.38</v>
      </c>
      <c r="M97" s="10">
        <v>0</v>
      </c>
      <c r="N97" s="10">
        <v>0</v>
      </c>
      <c r="O97" s="10">
        <v>1075.07</v>
      </c>
      <c r="P97" s="10">
        <v>1146.05</v>
      </c>
      <c r="Q97" s="10">
        <v>924.14</v>
      </c>
      <c r="R97" s="10">
        <v>1040.22</v>
      </c>
      <c r="S97" s="10">
        <v>0</v>
      </c>
      <c r="T97" s="10">
        <v>140.4</v>
      </c>
      <c r="U97" s="10">
        <v>0</v>
      </c>
      <c r="V97" s="10">
        <v>0</v>
      </c>
      <c r="W97" s="10">
        <v>192.2</v>
      </c>
      <c r="X97" s="10">
        <v>1636.14</v>
      </c>
      <c r="Y97" s="10">
        <v>1037.53</v>
      </c>
      <c r="Z97" s="10">
        <v>0</v>
      </c>
      <c r="AA97" s="10">
        <v>0</v>
      </c>
      <c r="AB97" s="10">
        <v>1535.26</v>
      </c>
      <c r="AC97" s="10">
        <v>903.98</v>
      </c>
      <c r="AD97" s="10">
        <v>1089.56</v>
      </c>
      <c r="AE97" s="10">
        <v>645.59</v>
      </c>
      <c r="AF97" s="10">
        <v>0</v>
      </c>
    </row>
    <row r="98" spans="1:32" ht="15" customHeight="1">
      <c r="A98" s="10" t="s">
        <v>202</v>
      </c>
      <c r="B98" s="61" t="s">
        <v>281</v>
      </c>
      <c r="C98" s="10">
        <v>0</v>
      </c>
      <c r="D98" s="10">
        <v>1022.45</v>
      </c>
      <c r="E98" s="10">
        <v>0</v>
      </c>
      <c r="F98" s="10">
        <v>0</v>
      </c>
      <c r="G98" s="10">
        <v>1415.45</v>
      </c>
      <c r="H98" s="10">
        <v>1087.05</v>
      </c>
      <c r="I98" s="10">
        <v>1458.02</v>
      </c>
      <c r="J98" s="10">
        <v>0</v>
      </c>
      <c r="K98" s="10">
        <v>0</v>
      </c>
      <c r="L98" s="10">
        <v>0</v>
      </c>
      <c r="M98" s="10">
        <v>0</v>
      </c>
      <c r="N98" s="10">
        <v>453.95</v>
      </c>
      <c r="O98" s="10">
        <v>753.16</v>
      </c>
      <c r="P98" s="10">
        <v>671.18</v>
      </c>
      <c r="Q98" s="10">
        <v>0</v>
      </c>
      <c r="R98" s="10">
        <v>1075.51</v>
      </c>
      <c r="S98" s="10">
        <v>0</v>
      </c>
      <c r="T98" s="10">
        <v>0</v>
      </c>
      <c r="U98" s="10">
        <v>0</v>
      </c>
      <c r="V98" s="10">
        <v>489.51</v>
      </c>
      <c r="W98" s="10">
        <v>0</v>
      </c>
      <c r="X98" s="10">
        <v>0</v>
      </c>
      <c r="Y98" s="10">
        <v>1129.69</v>
      </c>
      <c r="Z98" s="10">
        <v>0</v>
      </c>
      <c r="AA98" s="10">
        <v>343.03</v>
      </c>
      <c r="AB98" s="10">
        <v>0</v>
      </c>
      <c r="AC98" s="10">
        <v>908.29</v>
      </c>
      <c r="AD98" s="10">
        <v>797.9</v>
      </c>
      <c r="AE98" s="10">
        <v>0</v>
      </c>
      <c r="AF98" s="10">
        <v>428</v>
      </c>
    </row>
    <row r="99" spans="1:32" ht="15" customHeight="1">
      <c r="A99" s="10" t="s">
        <v>202</v>
      </c>
      <c r="B99" s="61" t="s">
        <v>282</v>
      </c>
      <c r="C99" s="10">
        <v>350</v>
      </c>
      <c r="D99" s="10">
        <v>456.36</v>
      </c>
      <c r="E99" s="10">
        <v>501.4</v>
      </c>
      <c r="F99" s="10">
        <v>1415.45</v>
      </c>
      <c r="G99" s="10">
        <v>0</v>
      </c>
      <c r="H99" s="10">
        <v>619.89</v>
      </c>
      <c r="I99" s="10">
        <v>504.62</v>
      </c>
      <c r="J99" s="10">
        <v>1027.05</v>
      </c>
      <c r="K99" s="10">
        <v>0</v>
      </c>
      <c r="L99" s="10">
        <v>1204.01</v>
      </c>
      <c r="M99" s="10">
        <v>0</v>
      </c>
      <c r="N99" s="10">
        <v>0</v>
      </c>
      <c r="O99" s="10">
        <v>662.94</v>
      </c>
      <c r="P99" s="10">
        <v>850.87</v>
      </c>
      <c r="Q99" s="10">
        <v>0</v>
      </c>
      <c r="R99" s="10">
        <v>540.01</v>
      </c>
      <c r="S99" s="10">
        <v>0</v>
      </c>
      <c r="T99" s="10">
        <v>367.02</v>
      </c>
      <c r="U99" s="10">
        <v>0</v>
      </c>
      <c r="V99" s="10">
        <v>978.2</v>
      </c>
      <c r="W99" s="10">
        <v>637.54999999999995</v>
      </c>
      <c r="X99" s="10">
        <v>0</v>
      </c>
      <c r="Y99" s="10">
        <v>1001.53</v>
      </c>
      <c r="Z99" s="10">
        <v>0</v>
      </c>
      <c r="AA99" s="10">
        <v>1292.28</v>
      </c>
      <c r="AB99" s="10">
        <v>1857.41</v>
      </c>
      <c r="AC99" s="10">
        <v>511.84</v>
      </c>
      <c r="AD99" s="10">
        <v>869.38</v>
      </c>
      <c r="AE99" s="10">
        <v>1134.76</v>
      </c>
      <c r="AF99" s="10">
        <v>0</v>
      </c>
    </row>
    <row r="100" spans="1:32" ht="15" customHeight="1">
      <c r="A100" s="10" t="s">
        <v>202</v>
      </c>
      <c r="B100" s="61" t="s">
        <v>283</v>
      </c>
      <c r="C100" s="10">
        <v>1630.33</v>
      </c>
      <c r="D100" s="10">
        <v>254.84</v>
      </c>
      <c r="E100" s="10">
        <v>767.87</v>
      </c>
      <c r="F100" s="10">
        <v>1087.05</v>
      </c>
      <c r="G100" s="10">
        <v>619.89</v>
      </c>
      <c r="H100" s="10">
        <v>0</v>
      </c>
      <c r="I100" s="10">
        <v>382.63</v>
      </c>
      <c r="J100" s="10">
        <v>777.76</v>
      </c>
      <c r="K100" s="10">
        <v>1194.05</v>
      </c>
      <c r="L100" s="10">
        <v>0</v>
      </c>
      <c r="M100" s="10">
        <v>0</v>
      </c>
      <c r="N100" s="10">
        <v>1334.1</v>
      </c>
      <c r="O100" s="10">
        <v>528.63</v>
      </c>
      <c r="P100" s="10">
        <v>415.87</v>
      </c>
      <c r="Q100" s="10">
        <v>0</v>
      </c>
      <c r="R100" s="10">
        <v>812.43</v>
      </c>
      <c r="S100" s="10">
        <v>850.9</v>
      </c>
      <c r="T100" s="10">
        <v>665.24</v>
      </c>
      <c r="U100" s="10">
        <v>1016.04</v>
      </c>
      <c r="V100" s="10">
        <v>829.38</v>
      </c>
      <c r="W100" s="10">
        <v>738.71</v>
      </c>
      <c r="X100" s="10">
        <v>1642</v>
      </c>
      <c r="Y100" s="10">
        <v>390.18</v>
      </c>
      <c r="Z100" s="10">
        <v>0</v>
      </c>
      <c r="AA100" s="10">
        <v>842.37</v>
      </c>
      <c r="AB100" s="10">
        <v>1454.22</v>
      </c>
      <c r="AC100" s="10">
        <v>404.31</v>
      </c>
      <c r="AD100" s="10">
        <v>323.69</v>
      </c>
      <c r="AE100" s="10">
        <v>1341.38</v>
      </c>
      <c r="AF100" s="10">
        <v>0</v>
      </c>
    </row>
    <row r="101" spans="1:32" ht="15" customHeight="1">
      <c r="A101" s="10" t="s">
        <v>202</v>
      </c>
      <c r="B101" s="61" t="s">
        <v>284</v>
      </c>
      <c r="C101" s="10">
        <v>500</v>
      </c>
      <c r="D101" s="10">
        <v>477.04</v>
      </c>
      <c r="E101" s="10">
        <v>406.5</v>
      </c>
      <c r="F101" s="10">
        <v>1458.02</v>
      </c>
      <c r="G101" s="10">
        <v>504.62</v>
      </c>
      <c r="H101" s="10">
        <v>382.63</v>
      </c>
      <c r="I101" s="10">
        <v>0</v>
      </c>
      <c r="J101" s="10">
        <v>540.49</v>
      </c>
      <c r="K101" s="10">
        <v>1281.04</v>
      </c>
      <c r="L101" s="10">
        <v>1624.96</v>
      </c>
      <c r="M101" s="10">
        <v>1750.79</v>
      </c>
      <c r="N101" s="10">
        <v>1662.66</v>
      </c>
      <c r="O101" s="10">
        <v>809.27</v>
      </c>
      <c r="P101" s="10">
        <v>790.13</v>
      </c>
      <c r="Q101" s="10">
        <v>1286.0899999999999</v>
      </c>
      <c r="R101" s="10">
        <v>934.15</v>
      </c>
      <c r="S101" s="10">
        <v>1015.33</v>
      </c>
      <c r="T101" s="10">
        <v>339.26</v>
      </c>
      <c r="U101" s="10">
        <v>1144.5999999999999</v>
      </c>
      <c r="V101" s="10">
        <v>1143.0899999999999</v>
      </c>
      <c r="W101" s="10">
        <v>356.15</v>
      </c>
      <c r="X101" s="10">
        <v>1503.63</v>
      </c>
      <c r="Y101" s="10">
        <v>633.87</v>
      </c>
      <c r="Z101" s="10">
        <v>0</v>
      </c>
      <c r="AA101" s="10">
        <v>1224.8499999999999</v>
      </c>
      <c r="AB101" s="10">
        <v>1354.27</v>
      </c>
      <c r="AC101" s="10">
        <v>643.65</v>
      </c>
      <c r="AD101" s="10">
        <v>705.3</v>
      </c>
      <c r="AE101" s="10">
        <v>959.53</v>
      </c>
      <c r="AF101" s="10">
        <v>0</v>
      </c>
    </row>
    <row r="102" spans="1:32" ht="15" customHeight="1">
      <c r="A102" s="10" t="s">
        <v>202</v>
      </c>
      <c r="B102" s="61" t="s">
        <v>285</v>
      </c>
      <c r="C102" s="10">
        <v>1789.51</v>
      </c>
      <c r="D102" s="10">
        <v>973.03</v>
      </c>
      <c r="E102" s="10">
        <v>692.16</v>
      </c>
      <c r="F102" s="10">
        <v>0</v>
      </c>
      <c r="G102" s="10">
        <v>1027.05</v>
      </c>
      <c r="H102" s="10">
        <v>777.76</v>
      </c>
      <c r="I102" s="10">
        <v>540.49</v>
      </c>
      <c r="J102" s="10">
        <v>0</v>
      </c>
      <c r="K102" s="10">
        <v>978.44</v>
      </c>
      <c r="L102" s="10">
        <v>0</v>
      </c>
      <c r="M102" s="10">
        <v>1298.0899999999999</v>
      </c>
      <c r="N102" s="10">
        <v>0</v>
      </c>
      <c r="O102" s="10">
        <v>1294.23</v>
      </c>
      <c r="P102" s="10">
        <v>1171.94</v>
      </c>
      <c r="Q102" s="10">
        <v>1213.43</v>
      </c>
      <c r="R102" s="10">
        <v>1472.56</v>
      </c>
      <c r="S102" s="10">
        <v>873.01</v>
      </c>
      <c r="T102" s="10">
        <v>737.81</v>
      </c>
      <c r="U102" s="10">
        <v>921.65</v>
      </c>
      <c r="V102" s="10">
        <v>0</v>
      </c>
      <c r="W102" s="10">
        <v>503.89</v>
      </c>
      <c r="X102" s="10">
        <v>700</v>
      </c>
      <c r="Y102" s="10">
        <v>745.5</v>
      </c>
      <c r="Z102" s="10">
        <v>0</v>
      </c>
      <c r="AA102" s="10">
        <v>1533.41</v>
      </c>
      <c r="AB102" s="10">
        <v>400</v>
      </c>
      <c r="AC102" s="10">
        <v>1144.1199999999999</v>
      </c>
      <c r="AD102" s="10">
        <v>1030.02</v>
      </c>
      <c r="AE102" s="10">
        <v>850.09</v>
      </c>
      <c r="AF102" s="10">
        <v>0</v>
      </c>
    </row>
    <row r="103" spans="1:32" ht="15" customHeight="1">
      <c r="A103" s="10" t="s">
        <v>202</v>
      </c>
      <c r="B103" s="61" t="s">
        <v>308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1194.05</v>
      </c>
      <c r="I103" s="10">
        <v>1281.04</v>
      </c>
      <c r="J103" s="10">
        <v>978.44</v>
      </c>
      <c r="K103" s="10">
        <v>0</v>
      </c>
      <c r="L103" s="10">
        <v>0</v>
      </c>
      <c r="M103" s="10">
        <v>647.91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384.47</v>
      </c>
      <c r="T103" s="10">
        <v>0</v>
      </c>
      <c r="U103" s="10">
        <v>205.65</v>
      </c>
      <c r="V103" s="10">
        <v>0</v>
      </c>
      <c r="W103" s="10">
        <v>0</v>
      </c>
      <c r="X103" s="10">
        <v>885</v>
      </c>
      <c r="Y103" s="10">
        <v>825.43</v>
      </c>
      <c r="Z103" s="10">
        <v>0</v>
      </c>
      <c r="AA103" s="10">
        <v>0</v>
      </c>
      <c r="AB103" s="10">
        <v>661.72</v>
      </c>
      <c r="AC103" s="10">
        <v>0</v>
      </c>
      <c r="AD103" s="10">
        <v>1177.79</v>
      </c>
      <c r="AE103" s="10">
        <v>0</v>
      </c>
      <c r="AF103" s="10">
        <v>0</v>
      </c>
    </row>
    <row r="104" spans="1:32">
      <c r="A104" s="10" t="s">
        <v>202</v>
      </c>
      <c r="B104" s="61" t="s">
        <v>286</v>
      </c>
      <c r="C104" s="10">
        <v>229.59</v>
      </c>
      <c r="D104" s="10">
        <v>1640.58</v>
      </c>
      <c r="E104" s="10">
        <v>1325.38</v>
      </c>
      <c r="F104" s="10">
        <v>0</v>
      </c>
      <c r="G104" s="10">
        <v>1204.01</v>
      </c>
      <c r="H104" s="10">
        <v>0</v>
      </c>
      <c r="I104" s="10">
        <v>1624.96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1723.59</v>
      </c>
      <c r="P104" s="10">
        <v>0</v>
      </c>
      <c r="Q104" s="10">
        <v>1479.45</v>
      </c>
      <c r="R104" s="10">
        <v>1341.02</v>
      </c>
      <c r="S104" s="10">
        <v>0</v>
      </c>
      <c r="T104" s="10">
        <v>1307.3599999999999</v>
      </c>
      <c r="U104" s="10">
        <v>0</v>
      </c>
      <c r="V104" s="10">
        <v>0</v>
      </c>
      <c r="W104" s="10">
        <v>1513.18</v>
      </c>
      <c r="X104" s="10">
        <v>0</v>
      </c>
      <c r="Y104" s="10">
        <v>0</v>
      </c>
      <c r="Z104" s="10">
        <v>421.67</v>
      </c>
      <c r="AA104" s="10">
        <v>0</v>
      </c>
      <c r="AB104" s="10">
        <v>0</v>
      </c>
      <c r="AC104" s="10">
        <v>1632.96</v>
      </c>
      <c r="AD104" s="10">
        <v>0</v>
      </c>
      <c r="AE104" s="10">
        <v>1549.51</v>
      </c>
      <c r="AF104" s="10">
        <v>0</v>
      </c>
    </row>
    <row r="105" spans="1:32" ht="15" customHeight="1">
      <c r="A105" s="10" t="s">
        <v>202</v>
      </c>
      <c r="B105" s="61" t="s">
        <v>287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1750.79</v>
      </c>
      <c r="J105" s="10">
        <v>1298.0899999999999</v>
      </c>
      <c r="K105" s="10">
        <v>647.91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1026.31</v>
      </c>
      <c r="T105" s="10">
        <v>0</v>
      </c>
      <c r="U105" s="10">
        <v>852.16</v>
      </c>
      <c r="V105" s="10">
        <v>0</v>
      </c>
      <c r="W105" s="10">
        <v>0</v>
      </c>
      <c r="X105" s="10">
        <v>1000</v>
      </c>
      <c r="Y105" s="10">
        <v>1430.78</v>
      </c>
      <c r="Z105" s="10">
        <v>0</v>
      </c>
      <c r="AA105" s="10">
        <v>0</v>
      </c>
      <c r="AB105" s="10">
        <v>505.83</v>
      </c>
      <c r="AC105" s="10">
        <v>0</v>
      </c>
      <c r="AD105" s="10">
        <v>0</v>
      </c>
      <c r="AE105" s="10">
        <v>0</v>
      </c>
      <c r="AF105" s="10">
        <v>0</v>
      </c>
    </row>
    <row r="106" spans="1:32" ht="15" customHeight="1">
      <c r="A106" s="10" t="s">
        <v>202</v>
      </c>
      <c r="B106" s="61" t="s">
        <v>288</v>
      </c>
      <c r="C106" s="10">
        <v>0</v>
      </c>
      <c r="D106" s="10">
        <v>1462.5</v>
      </c>
      <c r="E106" s="10">
        <v>300</v>
      </c>
      <c r="F106" s="10">
        <v>0</v>
      </c>
      <c r="G106" s="10">
        <v>350</v>
      </c>
      <c r="H106" s="10">
        <v>1630.33</v>
      </c>
      <c r="I106" s="10">
        <v>500</v>
      </c>
      <c r="J106" s="10">
        <v>1789.51</v>
      </c>
      <c r="K106" s="10">
        <v>0</v>
      </c>
      <c r="L106" s="10">
        <v>229.59</v>
      </c>
      <c r="M106" s="10">
        <v>0</v>
      </c>
      <c r="N106" s="10">
        <v>2201.09</v>
      </c>
      <c r="O106" s="10">
        <v>1577.99</v>
      </c>
      <c r="P106" s="10">
        <v>1838.39</v>
      </c>
      <c r="Q106" s="10">
        <v>1284.49</v>
      </c>
      <c r="R106" s="10">
        <v>1000</v>
      </c>
      <c r="S106" s="10">
        <v>0</v>
      </c>
      <c r="T106" s="10">
        <v>1087.05</v>
      </c>
      <c r="U106" s="10">
        <v>0</v>
      </c>
      <c r="V106" s="10">
        <v>1809.09</v>
      </c>
      <c r="W106" s="10">
        <v>1285.6600000000001</v>
      </c>
      <c r="X106" s="10">
        <v>2702.36</v>
      </c>
      <c r="Y106" s="10">
        <v>2000.6</v>
      </c>
      <c r="Z106" s="10">
        <v>560.61</v>
      </c>
      <c r="AA106" s="10">
        <v>2252.62</v>
      </c>
      <c r="AB106" s="10">
        <v>2623.55</v>
      </c>
      <c r="AC106" s="10">
        <v>1472.14</v>
      </c>
      <c r="AD106" s="10">
        <v>1879.08</v>
      </c>
      <c r="AE106" s="10">
        <v>600</v>
      </c>
      <c r="AF106" s="10">
        <v>0</v>
      </c>
    </row>
    <row r="107" spans="1:32" ht="15" customHeight="1">
      <c r="A107" s="10" t="s">
        <v>202</v>
      </c>
      <c r="B107" s="61" t="s">
        <v>289</v>
      </c>
      <c r="C107" s="10">
        <v>2201.09</v>
      </c>
      <c r="D107" s="10">
        <v>1188.01</v>
      </c>
      <c r="E107" s="10">
        <v>0</v>
      </c>
      <c r="F107" s="10">
        <v>453.95</v>
      </c>
      <c r="G107" s="10">
        <v>0</v>
      </c>
      <c r="H107" s="10">
        <v>1334.1</v>
      </c>
      <c r="I107" s="10">
        <v>1662.66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859.98</v>
      </c>
      <c r="P107" s="10">
        <v>947.65</v>
      </c>
      <c r="Q107" s="10">
        <v>0</v>
      </c>
      <c r="R107" s="10">
        <v>1007.1</v>
      </c>
      <c r="S107" s="10">
        <v>0</v>
      </c>
      <c r="T107" s="10">
        <v>0</v>
      </c>
      <c r="U107" s="10">
        <v>0</v>
      </c>
      <c r="V107" s="10">
        <v>521.16</v>
      </c>
      <c r="W107" s="10">
        <v>0</v>
      </c>
      <c r="X107" s="10">
        <v>0</v>
      </c>
      <c r="Y107" s="10">
        <v>1480.09</v>
      </c>
      <c r="Z107" s="10">
        <v>0</v>
      </c>
      <c r="AA107" s="10">
        <v>772.6</v>
      </c>
      <c r="AB107" s="10">
        <v>0</v>
      </c>
      <c r="AC107" s="10">
        <v>1031.6199999999999</v>
      </c>
      <c r="AD107" s="10">
        <v>1109.6099999999999</v>
      </c>
      <c r="AE107" s="10">
        <v>0</v>
      </c>
      <c r="AF107" s="10">
        <v>868</v>
      </c>
    </row>
    <row r="108" spans="1:32" ht="15" customHeight="1">
      <c r="A108" s="10" t="s">
        <v>202</v>
      </c>
      <c r="B108" s="61" t="s">
        <v>290</v>
      </c>
      <c r="C108" s="10">
        <v>1577.99</v>
      </c>
      <c r="D108" s="10">
        <v>332.27</v>
      </c>
      <c r="E108" s="10">
        <v>1075.07</v>
      </c>
      <c r="F108" s="10">
        <v>753.16</v>
      </c>
      <c r="G108" s="10">
        <v>662.94</v>
      </c>
      <c r="H108" s="10">
        <v>528.63</v>
      </c>
      <c r="I108" s="10">
        <v>809.27</v>
      </c>
      <c r="J108" s="10">
        <v>1294.23</v>
      </c>
      <c r="K108" s="10">
        <v>0</v>
      </c>
      <c r="L108" s="10">
        <v>1723.59</v>
      </c>
      <c r="M108" s="10">
        <v>0</v>
      </c>
      <c r="N108" s="10">
        <v>859.98</v>
      </c>
      <c r="O108" s="10">
        <v>0</v>
      </c>
      <c r="P108" s="10">
        <v>331.49</v>
      </c>
      <c r="Q108" s="10">
        <v>0</v>
      </c>
      <c r="R108" s="10">
        <v>427.99</v>
      </c>
      <c r="S108" s="10">
        <v>1262.6500000000001</v>
      </c>
      <c r="T108" s="10">
        <v>938.11</v>
      </c>
      <c r="U108" s="10">
        <v>0</v>
      </c>
      <c r="V108" s="10">
        <v>339.14</v>
      </c>
      <c r="W108" s="10">
        <v>1129.3900000000001</v>
      </c>
      <c r="X108" s="10">
        <v>0</v>
      </c>
      <c r="Y108" s="10">
        <v>818.17</v>
      </c>
      <c r="Z108" s="10">
        <v>0</v>
      </c>
      <c r="AA108" s="10">
        <v>677.09</v>
      </c>
      <c r="AB108" s="10">
        <v>1974.19</v>
      </c>
      <c r="AC108" s="10">
        <v>171.93</v>
      </c>
      <c r="AD108" s="10">
        <v>470.6</v>
      </c>
      <c r="AE108" s="10">
        <v>0</v>
      </c>
      <c r="AF108" s="10">
        <v>0</v>
      </c>
    </row>
    <row r="109" spans="1:32" ht="15" customHeight="1">
      <c r="A109" s="10" t="s">
        <v>202</v>
      </c>
      <c r="B109" s="61" t="s">
        <v>291</v>
      </c>
      <c r="C109" s="10">
        <v>1838.39</v>
      </c>
      <c r="D109" s="10">
        <v>400.59</v>
      </c>
      <c r="E109" s="10">
        <v>1146.05</v>
      </c>
      <c r="F109" s="10">
        <v>671.18</v>
      </c>
      <c r="G109" s="10">
        <v>850.87</v>
      </c>
      <c r="H109" s="10">
        <v>415.87</v>
      </c>
      <c r="I109" s="10">
        <v>790.13</v>
      </c>
      <c r="J109" s="10">
        <v>1171.94</v>
      </c>
      <c r="K109" s="10">
        <v>0</v>
      </c>
      <c r="L109" s="10">
        <v>0</v>
      </c>
      <c r="M109" s="10">
        <v>0</v>
      </c>
      <c r="N109" s="10">
        <v>947.65</v>
      </c>
      <c r="O109" s="10">
        <v>331.49</v>
      </c>
      <c r="P109" s="10">
        <v>0</v>
      </c>
      <c r="Q109" s="10">
        <v>0</v>
      </c>
      <c r="R109" s="10">
        <v>755.26</v>
      </c>
      <c r="S109" s="10">
        <v>961.23</v>
      </c>
      <c r="T109" s="10">
        <v>1025.1099999999999</v>
      </c>
      <c r="U109" s="10">
        <v>1141.83</v>
      </c>
      <c r="V109" s="10">
        <v>486.51</v>
      </c>
      <c r="W109" s="10">
        <v>1144.4000000000001</v>
      </c>
      <c r="X109" s="10">
        <v>0</v>
      </c>
      <c r="Y109" s="10">
        <v>551.72</v>
      </c>
      <c r="Z109" s="10">
        <v>0</v>
      </c>
      <c r="AA109" s="10">
        <v>452.36</v>
      </c>
      <c r="AB109" s="10">
        <v>1745.85</v>
      </c>
      <c r="AC109" s="10">
        <v>369.97</v>
      </c>
      <c r="AD109" s="10">
        <v>171.65</v>
      </c>
      <c r="AE109" s="10">
        <v>0</v>
      </c>
      <c r="AF109" s="10">
        <v>0</v>
      </c>
    </row>
    <row r="110" spans="1:32" ht="15" customHeight="1">
      <c r="A110" s="10" t="s">
        <v>202</v>
      </c>
      <c r="B110" s="61" t="s">
        <v>292</v>
      </c>
      <c r="C110" s="10">
        <v>1284.49</v>
      </c>
      <c r="D110" s="10">
        <v>0</v>
      </c>
      <c r="E110" s="10">
        <v>924.14</v>
      </c>
      <c r="F110" s="10">
        <v>0</v>
      </c>
      <c r="G110" s="10">
        <v>0</v>
      </c>
      <c r="H110" s="10">
        <v>0</v>
      </c>
      <c r="I110" s="10">
        <v>1286.0899999999999</v>
      </c>
      <c r="J110" s="10">
        <v>1213.43</v>
      </c>
      <c r="K110" s="10">
        <v>0</v>
      </c>
      <c r="L110" s="10">
        <v>1479.45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1057.17</v>
      </c>
      <c r="U110" s="10">
        <v>0</v>
      </c>
      <c r="V110" s="10">
        <v>0</v>
      </c>
      <c r="W110" s="10">
        <v>932.26</v>
      </c>
      <c r="X110" s="10">
        <v>1780.16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363.85</v>
      </c>
      <c r="AF110" s="10">
        <v>0</v>
      </c>
    </row>
    <row r="111" spans="1:32" ht="15" customHeight="1">
      <c r="A111" s="10" t="s">
        <v>202</v>
      </c>
      <c r="B111" s="61" t="s">
        <v>293</v>
      </c>
      <c r="C111" s="10">
        <v>1000</v>
      </c>
      <c r="D111" s="10">
        <v>557.69000000000005</v>
      </c>
      <c r="E111" s="10">
        <v>1040.22</v>
      </c>
      <c r="F111" s="10">
        <v>1075.51</v>
      </c>
      <c r="G111" s="10">
        <v>540.01</v>
      </c>
      <c r="H111" s="10">
        <v>812.43</v>
      </c>
      <c r="I111" s="10">
        <v>934.15</v>
      </c>
      <c r="J111" s="10">
        <v>1472.56</v>
      </c>
      <c r="K111" s="10">
        <v>0</v>
      </c>
      <c r="L111" s="10">
        <v>1341.02</v>
      </c>
      <c r="M111" s="10">
        <v>0</v>
      </c>
      <c r="N111" s="10">
        <v>1007.1</v>
      </c>
      <c r="O111" s="10">
        <v>427.99</v>
      </c>
      <c r="P111" s="10">
        <v>755.26</v>
      </c>
      <c r="Q111" s="10">
        <v>0</v>
      </c>
      <c r="R111" s="10">
        <v>0</v>
      </c>
      <c r="S111" s="10">
        <v>0</v>
      </c>
      <c r="T111" s="10">
        <v>903.08</v>
      </c>
      <c r="U111" s="10">
        <v>0</v>
      </c>
      <c r="V111" s="10">
        <v>586.66</v>
      </c>
      <c r="W111" s="10">
        <v>1161.05</v>
      </c>
      <c r="X111" s="10">
        <v>0</v>
      </c>
      <c r="Y111" s="10">
        <v>1174.6600000000001</v>
      </c>
      <c r="Z111" s="10">
        <v>0</v>
      </c>
      <c r="AA111" s="10">
        <v>1082.6300000000001</v>
      </c>
      <c r="AB111" s="10">
        <v>2245.4899999999998</v>
      </c>
      <c r="AC111" s="10">
        <v>429.95</v>
      </c>
      <c r="AD111" s="10">
        <v>874.11</v>
      </c>
      <c r="AE111" s="10">
        <v>1673.84</v>
      </c>
      <c r="AF111" s="10">
        <v>0</v>
      </c>
    </row>
    <row r="112" spans="1:32" ht="15" customHeight="1">
      <c r="A112" s="10" t="s">
        <v>202</v>
      </c>
      <c r="B112" s="61" t="s">
        <v>309</v>
      </c>
      <c r="C112" s="10">
        <v>0</v>
      </c>
      <c r="D112" s="10">
        <v>1094.8399999999999</v>
      </c>
      <c r="E112" s="10">
        <v>0</v>
      </c>
      <c r="F112" s="10">
        <v>0</v>
      </c>
      <c r="G112" s="10">
        <v>0</v>
      </c>
      <c r="H112" s="10">
        <v>850.9</v>
      </c>
      <c r="I112" s="10">
        <v>1015.33</v>
      </c>
      <c r="J112" s="10">
        <v>873.01</v>
      </c>
      <c r="K112" s="10">
        <v>384.47</v>
      </c>
      <c r="L112" s="10">
        <v>0</v>
      </c>
      <c r="M112" s="10">
        <v>1026.31</v>
      </c>
      <c r="N112" s="10">
        <v>0</v>
      </c>
      <c r="O112" s="10">
        <v>1262.6500000000001</v>
      </c>
      <c r="P112" s="10">
        <v>961.23</v>
      </c>
      <c r="Q112" s="10">
        <v>0</v>
      </c>
      <c r="R112" s="10">
        <v>0</v>
      </c>
      <c r="S112" s="10">
        <v>0</v>
      </c>
      <c r="T112" s="10">
        <v>0</v>
      </c>
      <c r="U112" s="10">
        <v>180.61</v>
      </c>
      <c r="V112" s="10">
        <v>0</v>
      </c>
      <c r="W112" s="10">
        <v>1249.7</v>
      </c>
      <c r="X112" s="10">
        <v>1153.01</v>
      </c>
      <c r="Y112" s="10">
        <v>464.52</v>
      </c>
      <c r="Z112" s="10">
        <v>0</v>
      </c>
      <c r="AA112" s="10">
        <v>1059.29</v>
      </c>
      <c r="AB112" s="10">
        <v>923.23</v>
      </c>
      <c r="AC112" s="10">
        <v>1207.05</v>
      </c>
      <c r="AD112" s="10">
        <v>797.05</v>
      </c>
      <c r="AE112" s="10">
        <v>0</v>
      </c>
      <c r="AF112" s="10">
        <v>0</v>
      </c>
    </row>
    <row r="113" spans="1:32" ht="15" customHeight="1">
      <c r="A113" s="10" t="s">
        <v>202</v>
      </c>
      <c r="B113" s="61" t="s">
        <v>294</v>
      </c>
      <c r="C113" s="10">
        <v>1087.05</v>
      </c>
      <c r="D113" s="10">
        <v>640.32000000000005</v>
      </c>
      <c r="E113" s="10">
        <v>140.4</v>
      </c>
      <c r="F113" s="10">
        <v>0</v>
      </c>
      <c r="G113" s="10">
        <v>367.02</v>
      </c>
      <c r="H113" s="10">
        <v>665.24</v>
      </c>
      <c r="I113" s="10">
        <v>339.26</v>
      </c>
      <c r="J113" s="10">
        <v>737.81</v>
      </c>
      <c r="K113" s="10">
        <v>0</v>
      </c>
      <c r="L113" s="10">
        <v>1307.3599999999999</v>
      </c>
      <c r="M113" s="10">
        <v>0</v>
      </c>
      <c r="N113" s="10">
        <v>0</v>
      </c>
      <c r="O113" s="10">
        <v>938.11</v>
      </c>
      <c r="P113" s="10">
        <v>1025.1099999999999</v>
      </c>
      <c r="Q113" s="10">
        <v>1057.17</v>
      </c>
      <c r="R113" s="10">
        <v>903.08</v>
      </c>
      <c r="S113" s="10">
        <v>0</v>
      </c>
      <c r="T113" s="10">
        <v>0</v>
      </c>
      <c r="U113" s="10">
        <v>0</v>
      </c>
      <c r="V113" s="10">
        <v>0</v>
      </c>
      <c r="W113" s="10">
        <v>279.54000000000002</v>
      </c>
      <c r="X113" s="10">
        <v>1703.34</v>
      </c>
      <c r="Y113" s="10">
        <v>969.45</v>
      </c>
      <c r="Z113" s="10">
        <v>0</v>
      </c>
      <c r="AA113" s="10">
        <v>0</v>
      </c>
      <c r="AB113" s="10">
        <v>1586.29</v>
      </c>
      <c r="AC113" s="10">
        <v>767.73</v>
      </c>
      <c r="AD113" s="10">
        <v>981.17</v>
      </c>
      <c r="AE113" s="10">
        <v>785.89</v>
      </c>
      <c r="AF113" s="10">
        <v>0</v>
      </c>
    </row>
    <row r="114" spans="1:32" ht="15" customHeight="1">
      <c r="A114" s="10" t="s">
        <v>202</v>
      </c>
      <c r="B114" s="61" t="s">
        <v>310</v>
      </c>
      <c r="C114" s="10">
        <v>0</v>
      </c>
      <c r="D114" s="10">
        <v>1264.26</v>
      </c>
      <c r="E114" s="10">
        <v>0</v>
      </c>
      <c r="F114" s="10">
        <v>0</v>
      </c>
      <c r="G114" s="10">
        <v>0</v>
      </c>
      <c r="H114" s="10">
        <v>1016.04</v>
      </c>
      <c r="I114" s="10">
        <v>1144.5999999999999</v>
      </c>
      <c r="J114" s="10">
        <v>921.65</v>
      </c>
      <c r="K114" s="10">
        <v>205.65</v>
      </c>
      <c r="L114" s="10">
        <v>0</v>
      </c>
      <c r="M114" s="10">
        <v>852.16</v>
      </c>
      <c r="N114" s="10">
        <v>0</v>
      </c>
      <c r="O114" s="10">
        <v>0</v>
      </c>
      <c r="P114" s="10">
        <v>1141.83</v>
      </c>
      <c r="Q114" s="10">
        <v>0</v>
      </c>
      <c r="R114" s="10">
        <v>0</v>
      </c>
      <c r="S114" s="10">
        <v>180.61</v>
      </c>
      <c r="T114" s="10">
        <v>0</v>
      </c>
      <c r="U114" s="10">
        <v>0</v>
      </c>
      <c r="V114" s="10">
        <v>0</v>
      </c>
      <c r="W114" s="10">
        <v>1345.25</v>
      </c>
      <c r="X114" s="10">
        <v>1031.76</v>
      </c>
      <c r="Y114" s="10">
        <v>636.20000000000005</v>
      </c>
      <c r="Z114" s="10">
        <v>0</v>
      </c>
      <c r="AA114" s="10">
        <v>1225.5</v>
      </c>
      <c r="AB114" s="10">
        <v>802.01</v>
      </c>
      <c r="AC114" s="10">
        <v>0</v>
      </c>
      <c r="AD114" s="10">
        <v>977.33</v>
      </c>
      <c r="AE114" s="10">
        <v>0</v>
      </c>
      <c r="AF114" s="10">
        <v>0</v>
      </c>
    </row>
    <row r="115" spans="1:32" ht="15" customHeight="1">
      <c r="A115" s="10" t="s">
        <v>202</v>
      </c>
      <c r="B115" s="61" t="s">
        <v>297</v>
      </c>
      <c r="C115" s="10">
        <v>1285.6600000000001</v>
      </c>
      <c r="D115" s="10">
        <v>804.24</v>
      </c>
      <c r="E115" s="10">
        <v>192.2</v>
      </c>
      <c r="F115" s="10">
        <v>0</v>
      </c>
      <c r="G115" s="10">
        <v>637.54999999999995</v>
      </c>
      <c r="H115" s="10">
        <v>738.71</v>
      </c>
      <c r="I115" s="10">
        <v>356.15</v>
      </c>
      <c r="J115" s="10">
        <v>503.89</v>
      </c>
      <c r="K115" s="10">
        <v>0</v>
      </c>
      <c r="L115" s="10">
        <v>1513.18</v>
      </c>
      <c r="M115" s="10">
        <v>0</v>
      </c>
      <c r="N115" s="10">
        <v>0</v>
      </c>
      <c r="O115" s="10">
        <v>1129.3900000000001</v>
      </c>
      <c r="P115" s="10">
        <v>1144.4000000000001</v>
      </c>
      <c r="Q115" s="10">
        <v>932.26</v>
      </c>
      <c r="R115" s="10">
        <v>1161.05</v>
      </c>
      <c r="S115" s="10">
        <v>1249.7</v>
      </c>
      <c r="T115" s="10">
        <v>279.54000000000002</v>
      </c>
      <c r="U115" s="10">
        <v>1345.25</v>
      </c>
      <c r="V115" s="10">
        <v>0</v>
      </c>
      <c r="W115" s="10">
        <v>0</v>
      </c>
      <c r="X115" s="10">
        <v>1444.25</v>
      </c>
      <c r="Y115" s="10">
        <v>943.16</v>
      </c>
      <c r="Z115" s="10">
        <v>0</v>
      </c>
      <c r="AA115" s="10">
        <v>0</v>
      </c>
      <c r="AB115" s="10">
        <v>1343.75</v>
      </c>
      <c r="AC115" s="10">
        <v>958.07</v>
      </c>
      <c r="AD115" s="10">
        <v>1060.75</v>
      </c>
      <c r="AE115" s="10">
        <v>604.03</v>
      </c>
      <c r="AF115" s="10">
        <v>0</v>
      </c>
    </row>
    <row r="116" spans="1:32" ht="15" customHeight="1">
      <c r="A116" s="10" t="s">
        <v>202</v>
      </c>
      <c r="B116" s="61" t="s">
        <v>298</v>
      </c>
      <c r="C116" s="10">
        <v>2702.36</v>
      </c>
      <c r="D116" s="10">
        <v>0</v>
      </c>
      <c r="E116" s="10">
        <v>1636.14</v>
      </c>
      <c r="F116" s="10">
        <v>0</v>
      </c>
      <c r="G116" s="10">
        <v>0</v>
      </c>
      <c r="H116" s="10">
        <v>1642</v>
      </c>
      <c r="I116" s="10">
        <v>1503.63</v>
      </c>
      <c r="J116" s="10">
        <v>700</v>
      </c>
      <c r="K116" s="10">
        <v>885</v>
      </c>
      <c r="L116" s="10">
        <v>0</v>
      </c>
      <c r="M116" s="10">
        <v>1000</v>
      </c>
      <c r="N116" s="10">
        <v>0</v>
      </c>
      <c r="O116" s="10">
        <v>0</v>
      </c>
      <c r="P116" s="10">
        <v>0</v>
      </c>
      <c r="Q116" s="10">
        <v>1780.16</v>
      </c>
      <c r="R116" s="10">
        <v>0</v>
      </c>
      <c r="S116" s="10">
        <v>1153.01</v>
      </c>
      <c r="T116" s="10">
        <v>1703.34</v>
      </c>
      <c r="U116" s="10">
        <v>1031.76</v>
      </c>
      <c r="V116" s="10">
        <v>0</v>
      </c>
      <c r="W116" s="10">
        <v>1444.25</v>
      </c>
      <c r="X116" s="10">
        <v>0</v>
      </c>
      <c r="Y116" s="10">
        <v>1408.54</v>
      </c>
      <c r="Z116" s="10">
        <v>0</v>
      </c>
      <c r="AA116" s="10">
        <v>0</v>
      </c>
      <c r="AB116" s="10">
        <v>230.32</v>
      </c>
      <c r="AC116" s="10">
        <v>0</v>
      </c>
      <c r="AD116" s="10">
        <v>0</v>
      </c>
      <c r="AE116" s="10">
        <v>1492.31</v>
      </c>
      <c r="AF116" s="10">
        <v>0</v>
      </c>
    </row>
    <row r="117" spans="1:32" ht="15" customHeight="1">
      <c r="A117" s="10" t="s">
        <v>202</v>
      </c>
      <c r="B117" s="61" t="s">
        <v>357</v>
      </c>
      <c r="C117" s="10">
        <v>1809.09</v>
      </c>
      <c r="D117" s="10">
        <v>667.29</v>
      </c>
      <c r="E117" s="10">
        <v>0</v>
      </c>
      <c r="F117" s="10">
        <v>489.51</v>
      </c>
      <c r="G117" s="10">
        <v>978.2</v>
      </c>
      <c r="H117" s="10">
        <v>829.38</v>
      </c>
      <c r="I117" s="10">
        <v>1143.0899999999999</v>
      </c>
      <c r="J117" s="10">
        <v>0</v>
      </c>
      <c r="K117" s="10">
        <v>0</v>
      </c>
      <c r="L117" s="10">
        <v>0</v>
      </c>
      <c r="M117" s="10">
        <v>0</v>
      </c>
      <c r="N117" s="10">
        <v>521.16</v>
      </c>
      <c r="O117" s="10">
        <v>339.14</v>
      </c>
      <c r="P117" s="10">
        <v>486.51</v>
      </c>
      <c r="Q117" s="10">
        <v>0</v>
      </c>
      <c r="R117" s="10">
        <v>586.66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1038.1300000000001</v>
      </c>
      <c r="Z117" s="10">
        <v>0</v>
      </c>
      <c r="AA117" s="10">
        <v>569.07000000000005</v>
      </c>
      <c r="AB117" s="10">
        <v>0</v>
      </c>
      <c r="AC117" s="10">
        <v>511.02</v>
      </c>
      <c r="AD117" s="10">
        <v>658.16</v>
      </c>
      <c r="AE117" s="10">
        <v>0</v>
      </c>
      <c r="AF117" s="10">
        <v>0</v>
      </c>
    </row>
    <row r="118" spans="1:32" ht="15" customHeight="1">
      <c r="A118" s="10" t="s">
        <v>202</v>
      </c>
      <c r="B118" s="61" t="s">
        <v>299</v>
      </c>
      <c r="C118" s="10">
        <v>2000.6</v>
      </c>
      <c r="D118" s="10">
        <v>630.36</v>
      </c>
      <c r="E118" s="10">
        <v>1037.53</v>
      </c>
      <c r="F118" s="10">
        <v>1129.69</v>
      </c>
      <c r="G118" s="10">
        <v>1001.53</v>
      </c>
      <c r="H118" s="10">
        <v>390.18</v>
      </c>
      <c r="I118" s="10">
        <v>633.87</v>
      </c>
      <c r="J118" s="10">
        <v>745.5</v>
      </c>
      <c r="K118" s="10">
        <v>825.43</v>
      </c>
      <c r="L118" s="10">
        <v>0</v>
      </c>
      <c r="M118" s="10">
        <v>1430.78</v>
      </c>
      <c r="N118" s="10">
        <v>1480.09</v>
      </c>
      <c r="O118" s="10">
        <v>818.17</v>
      </c>
      <c r="P118" s="10">
        <v>551.72</v>
      </c>
      <c r="Q118" s="10">
        <v>0</v>
      </c>
      <c r="R118" s="10">
        <v>1174.6600000000001</v>
      </c>
      <c r="S118" s="10">
        <v>464.52</v>
      </c>
      <c r="T118" s="10">
        <v>969.45</v>
      </c>
      <c r="U118" s="10">
        <v>636.20000000000005</v>
      </c>
      <c r="V118" s="10">
        <v>1038.1300000000001</v>
      </c>
      <c r="W118" s="10">
        <v>943.16</v>
      </c>
      <c r="X118" s="10">
        <v>1408.54</v>
      </c>
      <c r="Y118" s="10">
        <v>0</v>
      </c>
      <c r="Z118" s="10">
        <v>0</v>
      </c>
      <c r="AA118" s="10">
        <v>809.16</v>
      </c>
      <c r="AB118" s="10">
        <v>1196.53</v>
      </c>
      <c r="AC118" s="10">
        <v>746.53</v>
      </c>
      <c r="AD118" s="10">
        <v>380.21</v>
      </c>
      <c r="AE118" s="10">
        <v>1502.63</v>
      </c>
      <c r="AF118" s="10">
        <v>0</v>
      </c>
    </row>
    <row r="119" spans="1:32" ht="15" customHeight="1">
      <c r="A119" s="10" t="s">
        <v>202</v>
      </c>
      <c r="B119" s="61" t="s">
        <v>300</v>
      </c>
      <c r="C119" s="10">
        <v>560.61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421.67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1672.93</v>
      </c>
      <c r="AF119" s="10">
        <v>0</v>
      </c>
    </row>
    <row r="120" spans="1:32" ht="15" customHeight="1">
      <c r="A120" s="10" t="s">
        <v>202</v>
      </c>
      <c r="B120" s="61" t="s">
        <v>301</v>
      </c>
      <c r="C120" s="10">
        <v>2252.62</v>
      </c>
      <c r="D120" s="10">
        <v>850.72</v>
      </c>
      <c r="E120" s="10">
        <v>0</v>
      </c>
      <c r="F120" s="10">
        <v>343.03</v>
      </c>
      <c r="G120" s="10">
        <v>1292.28</v>
      </c>
      <c r="H120" s="10">
        <v>842.37</v>
      </c>
      <c r="I120" s="10">
        <v>1224.8499999999999</v>
      </c>
      <c r="J120" s="10">
        <v>1533.41</v>
      </c>
      <c r="K120" s="10">
        <v>0</v>
      </c>
      <c r="L120" s="10">
        <v>0</v>
      </c>
      <c r="M120" s="10">
        <v>0</v>
      </c>
      <c r="N120" s="10">
        <v>772.6</v>
      </c>
      <c r="O120" s="10">
        <v>677.09</v>
      </c>
      <c r="P120" s="10">
        <v>452.36</v>
      </c>
      <c r="Q120" s="10">
        <v>0</v>
      </c>
      <c r="R120" s="10">
        <v>1082.6300000000001</v>
      </c>
      <c r="S120" s="10">
        <v>1059.29</v>
      </c>
      <c r="T120" s="10">
        <v>0</v>
      </c>
      <c r="U120" s="10">
        <v>1225.5</v>
      </c>
      <c r="V120" s="10">
        <v>569.07000000000005</v>
      </c>
      <c r="W120" s="10">
        <v>0</v>
      </c>
      <c r="X120" s="10">
        <v>0</v>
      </c>
      <c r="Y120" s="10">
        <v>809.16</v>
      </c>
      <c r="Z120" s="10">
        <v>0</v>
      </c>
      <c r="AA120" s="10">
        <v>0</v>
      </c>
      <c r="AB120" s="10">
        <v>0</v>
      </c>
      <c r="AC120" s="10">
        <v>787.57</v>
      </c>
      <c r="AD120" s="10">
        <v>523.91999999999996</v>
      </c>
      <c r="AE120" s="10">
        <v>0</v>
      </c>
      <c r="AF120" s="10">
        <v>899</v>
      </c>
    </row>
    <row r="121" spans="1:32" ht="15" customHeight="1">
      <c r="A121" s="10" t="s">
        <v>202</v>
      </c>
      <c r="B121" s="61" t="s">
        <v>303</v>
      </c>
      <c r="C121" s="10">
        <v>2623.55</v>
      </c>
      <c r="D121" s="10">
        <v>1698.79</v>
      </c>
      <c r="E121" s="10">
        <v>1535.26</v>
      </c>
      <c r="F121" s="10">
        <v>0</v>
      </c>
      <c r="G121" s="10">
        <v>1857.41</v>
      </c>
      <c r="H121" s="10">
        <v>1454.22</v>
      </c>
      <c r="I121" s="10">
        <v>1354.27</v>
      </c>
      <c r="J121" s="10">
        <v>400</v>
      </c>
      <c r="K121" s="10">
        <v>661.72</v>
      </c>
      <c r="L121" s="10">
        <v>0</v>
      </c>
      <c r="M121" s="10">
        <v>505.83</v>
      </c>
      <c r="N121" s="10">
        <v>0</v>
      </c>
      <c r="O121" s="10">
        <v>1974.19</v>
      </c>
      <c r="P121" s="10">
        <v>1745.85</v>
      </c>
      <c r="Q121" s="10">
        <v>0</v>
      </c>
      <c r="R121" s="10">
        <v>2245.4899999999998</v>
      </c>
      <c r="S121" s="10">
        <v>923.23</v>
      </c>
      <c r="T121" s="10">
        <v>1586.29</v>
      </c>
      <c r="U121" s="10">
        <v>802.01</v>
      </c>
      <c r="V121" s="10">
        <v>0</v>
      </c>
      <c r="W121" s="10">
        <v>1343.75</v>
      </c>
      <c r="X121" s="10">
        <v>230.32</v>
      </c>
      <c r="Y121" s="10">
        <v>1196.53</v>
      </c>
      <c r="Z121" s="10">
        <v>0</v>
      </c>
      <c r="AA121" s="10">
        <v>0</v>
      </c>
      <c r="AB121" s="10">
        <v>0</v>
      </c>
      <c r="AC121" s="10">
        <v>1858.18</v>
      </c>
      <c r="AD121" s="10">
        <v>1575.37</v>
      </c>
      <c r="AE121" s="10">
        <v>1485.18</v>
      </c>
      <c r="AF121" s="10">
        <v>0</v>
      </c>
    </row>
    <row r="122" spans="1:32" ht="15" customHeight="1">
      <c r="A122" s="10" t="s">
        <v>202</v>
      </c>
      <c r="B122" s="61" t="s">
        <v>304</v>
      </c>
      <c r="C122" s="10">
        <v>1472.14</v>
      </c>
      <c r="D122" s="10">
        <v>171.24</v>
      </c>
      <c r="E122" s="10">
        <v>903.98</v>
      </c>
      <c r="F122" s="10">
        <v>908.29</v>
      </c>
      <c r="G122" s="10">
        <v>511.84</v>
      </c>
      <c r="H122" s="10">
        <v>404.31</v>
      </c>
      <c r="I122" s="10">
        <v>643.65</v>
      </c>
      <c r="J122" s="10">
        <v>1144.1199999999999</v>
      </c>
      <c r="K122" s="10">
        <v>0</v>
      </c>
      <c r="L122" s="10">
        <v>1632.96</v>
      </c>
      <c r="M122" s="10">
        <v>0</v>
      </c>
      <c r="N122" s="10">
        <v>1031.6199999999999</v>
      </c>
      <c r="O122" s="10">
        <v>171.93</v>
      </c>
      <c r="P122" s="10">
        <v>369.97</v>
      </c>
      <c r="Q122" s="10">
        <v>0</v>
      </c>
      <c r="R122" s="10">
        <v>429.95</v>
      </c>
      <c r="S122" s="10">
        <v>1207.05</v>
      </c>
      <c r="T122" s="10">
        <v>767.73</v>
      </c>
      <c r="U122" s="10">
        <v>0</v>
      </c>
      <c r="V122" s="10">
        <v>511.02</v>
      </c>
      <c r="W122" s="10">
        <v>958.07</v>
      </c>
      <c r="X122" s="10">
        <v>0</v>
      </c>
      <c r="Y122" s="10">
        <v>746.53</v>
      </c>
      <c r="Z122" s="10">
        <v>0</v>
      </c>
      <c r="AA122" s="10">
        <v>787.57</v>
      </c>
      <c r="AB122" s="10">
        <v>1858.18</v>
      </c>
      <c r="AC122" s="10">
        <v>0</v>
      </c>
      <c r="AD122" s="10">
        <v>454.53</v>
      </c>
      <c r="AE122" s="10">
        <v>0</v>
      </c>
      <c r="AF122" s="10">
        <v>0</v>
      </c>
    </row>
    <row r="123" spans="1:32" ht="15" customHeight="1">
      <c r="A123" s="10" t="s">
        <v>202</v>
      </c>
      <c r="B123" s="61" t="s">
        <v>305</v>
      </c>
      <c r="C123" s="10">
        <v>1879.08</v>
      </c>
      <c r="D123" s="10">
        <v>416.67</v>
      </c>
      <c r="E123" s="10">
        <v>1089.56</v>
      </c>
      <c r="F123" s="10">
        <v>797.9</v>
      </c>
      <c r="G123" s="10">
        <v>869.38</v>
      </c>
      <c r="H123" s="10">
        <v>323.69</v>
      </c>
      <c r="I123" s="10">
        <v>705.3</v>
      </c>
      <c r="J123" s="10">
        <v>1030.02</v>
      </c>
      <c r="K123" s="10">
        <v>1177.79</v>
      </c>
      <c r="L123" s="10">
        <v>0</v>
      </c>
      <c r="M123" s="10">
        <v>0</v>
      </c>
      <c r="N123" s="10">
        <v>1109.6099999999999</v>
      </c>
      <c r="O123" s="10">
        <v>470.6</v>
      </c>
      <c r="P123" s="10">
        <v>171.65</v>
      </c>
      <c r="Q123" s="10">
        <v>0</v>
      </c>
      <c r="R123" s="10">
        <v>874.11</v>
      </c>
      <c r="S123" s="10">
        <v>797.05</v>
      </c>
      <c r="T123" s="10">
        <v>981.17</v>
      </c>
      <c r="U123" s="10">
        <v>977.33</v>
      </c>
      <c r="V123" s="10">
        <v>658.16</v>
      </c>
      <c r="W123" s="10">
        <v>1060.75</v>
      </c>
      <c r="X123" s="10">
        <v>0</v>
      </c>
      <c r="Y123" s="10">
        <v>380.21</v>
      </c>
      <c r="Z123" s="10">
        <v>0</v>
      </c>
      <c r="AA123" s="10">
        <v>523.91999999999996</v>
      </c>
      <c r="AB123" s="10">
        <v>1575.37</v>
      </c>
      <c r="AC123" s="10">
        <v>454.53</v>
      </c>
      <c r="AD123" s="10">
        <v>0</v>
      </c>
      <c r="AE123" s="10">
        <v>0</v>
      </c>
      <c r="AF123" s="10">
        <v>0</v>
      </c>
    </row>
    <row r="124" spans="1:32" ht="15" customHeight="1">
      <c r="A124" s="10" t="s">
        <v>202</v>
      </c>
      <c r="B124" s="10" t="s">
        <v>356</v>
      </c>
      <c r="C124" s="10">
        <v>0</v>
      </c>
      <c r="D124" s="10">
        <v>0</v>
      </c>
      <c r="E124" s="10">
        <v>0</v>
      </c>
      <c r="F124" s="10">
        <v>428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868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899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 ht="15" customHeight="1">
      <c r="A125" s="10" t="s">
        <v>202</v>
      </c>
      <c r="B125" s="61" t="s">
        <v>307</v>
      </c>
      <c r="C125" s="10">
        <v>600</v>
      </c>
      <c r="D125" s="10">
        <v>1399.02</v>
      </c>
      <c r="E125" s="10">
        <v>645.59</v>
      </c>
      <c r="F125" s="10">
        <v>0</v>
      </c>
      <c r="G125" s="10">
        <v>1134.76</v>
      </c>
      <c r="H125" s="10">
        <v>1341.38</v>
      </c>
      <c r="I125" s="10">
        <v>959.53</v>
      </c>
      <c r="J125" s="10">
        <v>850.09</v>
      </c>
      <c r="K125" s="10">
        <v>0</v>
      </c>
      <c r="L125" s="10">
        <v>1549.51</v>
      </c>
      <c r="M125" s="10">
        <v>0</v>
      </c>
      <c r="N125" s="10">
        <v>0</v>
      </c>
      <c r="O125" s="10">
        <v>0</v>
      </c>
      <c r="P125" s="10">
        <v>0</v>
      </c>
      <c r="Q125" s="10">
        <v>363.85</v>
      </c>
      <c r="R125" s="10">
        <v>1673.84</v>
      </c>
      <c r="S125" s="10">
        <v>0</v>
      </c>
      <c r="T125" s="10">
        <v>785.89</v>
      </c>
      <c r="U125" s="10">
        <v>0</v>
      </c>
      <c r="V125" s="10">
        <v>0</v>
      </c>
      <c r="W125" s="10">
        <v>604.03</v>
      </c>
      <c r="X125" s="10">
        <v>1492.31</v>
      </c>
      <c r="Y125" s="10">
        <v>1502.63</v>
      </c>
      <c r="Z125" s="10">
        <v>1672.93</v>
      </c>
      <c r="AA125" s="10">
        <v>0</v>
      </c>
      <c r="AB125" s="10">
        <v>1485.18</v>
      </c>
      <c r="AC125" s="10">
        <v>0</v>
      </c>
      <c r="AD125" s="10">
        <v>0</v>
      </c>
      <c r="AE125" s="10">
        <v>0</v>
      </c>
      <c r="AF125" s="10">
        <v>0</v>
      </c>
    </row>
    <row r="126" spans="1:32" ht="15" customHeight="1">
      <c r="A126" s="10" t="s">
        <v>204</v>
      </c>
      <c r="B126" s="61" t="s">
        <v>278</v>
      </c>
      <c r="C126" s="10">
        <v>1462.5</v>
      </c>
      <c r="D126" s="10">
        <v>0</v>
      </c>
      <c r="E126" s="10">
        <v>770.24</v>
      </c>
      <c r="F126" s="10">
        <v>1022.45</v>
      </c>
      <c r="G126" s="10">
        <v>456.36</v>
      </c>
      <c r="H126" s="10">
        <v>254.84</v>
      </c>
      <c r="I126" s="10">
        <v>477.04</v>
      </c>
      <c r="J126" s="10">
        <v>973.03</v>
      </c>
      <c r="K126" s="10">
        <v>0</v>
      </c>
      <c r="L126" s="10">
        <v>1640.58</v>
      </c>
      <c r="M126" s="10">
        <v>0</v>
      </c>
      <c r="N126" s="10">
        <v>1188.01</v>
      </c>
      <c r="O126" s="10">
        <v>332.27</v>
      </c>
      <c r="P126" s="10">
        <v>400.59</v>
      </c>
      <c r="Q126" s="10">
        <v>0</v>
      </c>
      <c r="R126" s="10">
        <v>557.69000000000005</v>
      </c>
      <c r="S126" s="10">
        <v>1094.8399999999999</v>
      </c>
      <c r="T126" s="10">
        <v>640.32000000000005</v>
      </c>
      <c r="U126" s="10">
        <v>1264.26</v>
      </c>
      <c r="V126" s="10">
        <v>667.29</v>
      </c>
      <c r="W126" s="10">
        <v>804.24</v>
      </c>
      <c r="X126" s="10">
        <v>0</v>
      </c>
      <c r="Y126" s="10">
        <v>630.36</v>
      </c>
      <c r="Z126" s="10">
        <v>0</v>
      </c>
      <c r="AA126" s="10">
        <v>850.72</v>
      </c>
      <c r="AB126" s="10">
        <v>1698.79</v>
      </c>
      <c r="AC126" s="10">
        <v>171.24</v>
      </c>
      <c r="AD126" s="10">
        <v>416.67</v>
      </c>
      <c r="AE126" s="10">
        <v>1399.02</v>
      </c>
      <c r="AF126" s="10">
        <v>0</v>
      </c>
    </row>
    <row r="127" spans="1:32" ht="15" customHeight="1">
      <c r="A127" s="10" t="s">
        <v>204</v>
      </c>
      <c r="B127" s="61" t="s">
        <v>280</v>
      </c>
      <c r="C127" s="10">
        <v>300</v>
      </c>
      <c r="D127" s="10">
        <v>770.24</v>
      </c>
      <c r="E127" s="10">
        <v>0</v>
      </c>
      <c r="F127" s="10">
        <v>0</v>
      </c>
      <c r="G127" s="10">
        <v>501.4</v>
      </c>
      <c r="H127" s="10">
        <v>767.87</v>
      </c>
      <c r="I127" s="10">
        <v>406.5</v>
      </c>
      <c r="J127" s="10">
        <v>692.16</v>
      </c>
      <c r="K127" s="10">
        <v>0</v>
      </c>
      <c r="L127" s="10">
        <v>1325.38</v>
      </c>
      <c r="M127" s="10">
        <v>0</v>
      </c>
      <c r="N127" s="10">
        <v>0</v>
      </c>
      <c r="O127" s="10">
        <v>1075.07</v>
      </c>
      <c r="P127" s="10">
        <v>1146.05</v>
      </c>
      <c r="Q127" s="10">
        <v>924.14</v>
      </c>
      <c r="R127" s="10">
        <v>1040.22</v>
      </c>
      <c r="S127" s="10">
        <v>0</v>
      </c>
      <c r="T127" s="10">
        <v>140.4</v>
      </c>
      <c r="U127" s="10">
        <v>0</v>
      </c>
      <c r="V127" s="10">
        <v>0</v>
      </c>
      <c r="W127" s="10">
        <v>192.2</v>
      </c>
      <c r="X127" s="10">
        <v>1636.14</v>
      </c>
      <c r="Y127" s="10">
        <v>1037.53</v>
      </c>
      <c r="Z127" s="10">
        <v>0</v>
      </c>
      <c r="AA127" s="10">
        <v>0</v>
      </c>
      <c r="AB127" s="10">
        <v>1535.26</v>
      </c>
      <c r="AC127" s="10">
        <v>903.98</v>
      </c>
      <c r="AD127" s="10">
        <v>1089.56</v>
      </c>
      <c r="AE127" s="10">
        <v>645.59</v>
      </c>
      <c r="AF127" s="10">
        <v>0</v>
      </c>
    </row>
    <row r="128" spans="1:32" ht="15" customHeight="1">
      <c r="A128" s="10" t="s">
        <v>204</v>
      </c>
      <c r="B128" s="61" t="s">
        <v>281</v>
      </c>
      <c r="C128" s="10">
        <v>0</v>
      </c>
      <c r="D128" s="10">
        <v>1022.45</v>
      </c>
      <c r="E128" s="10">
        <v>0</v>
      </c>
      <c r="F128" s="10">
        <v>0</v>
      </c>
      <c r="G128" s="10">
        <v>1415.45</v>
      </c>
      <c r="H128" s="10">
        <v>1087.05</v>
      </c>
      <c r="I128" s="10">
        <v>1458.02</v>
      </c>
      <c r="J128" s="10">
        <v>0</v>
      </c>
      <c r="K128" s="10">
        <v>0</v>
      </c>
      <c r="L128" s="10">
        <v>0</v>
      </c>
      <c r="M128" s="10">
        <v>0</v>
      </c>
      <c r="N128" s="10">
        <v>453.95</v>
      </c>
      <c r="O128" s="10">
        <v>753.16</v>
      </c>
      <c r="P128" s="10">
        <v>671.18</v>
      </c>
      <c r="Q128" s="10">
        <v>0</v>
      </c>
      <c r="R128" s="10">
        <v>1075.51</v>
      </c>
      <c r="S128" s="10">
        <v>0</v>
      </c>
      <c r="T128" s="10">
        <v>0</v>
      </c>
      <c r="U128" s="10">
        <v>0</v>
      </c>
      <c r="V128" s="10">
        <v>489.51</v>
      </c>
      <c r="W128" s="10">
        <v>0</v>
      </c>
      <c r="X128" s="10">
        <v>0</v>
      </c>
      <c r="Y128" s="10">
        <v>1129.69</v>
      </c>
      <c r="Z128" s="10">
        <v>0</v>
      </c>
      <c r="AA128" s="10">
        <v>343.03</v>
      </c>
      <c r="AB128" s="10">
        <v>0</v>
      </c>
      <c r="AC128" s="10">
        <v>908.29</v>
      </c>
      <c r="AD128" s="10">
        <v>797.9</v>
      </c>
      <c r="AE128" s="10">
        <v>0</v>
      </c>
      <c r="AF128" s="10">
        <v>428</v>
      </c>
    </row>
    <row r="129" spans="1:32" ht="15" customHeight="1">
      <c r="A129" s="10" t="s">
        <v>204</v>
      </c>
      <c r="B129" s="61" t="s">
        <v>282</v>
      </c>
      <c r="C129" s="10">
        <v>350</v>
      </c>
      <c r="D129" s="10">
        <v>456.36</v>
      </c>
      <c r="E129" s="10">
        <v>501.4</v>
      </c>
      <c r="F129" s="10">
        <v>1415.45</v>
      </c>
      <c r="G129" s="10">
        <v>0</v>
      </c>
      <c r="H129" s="10">
        <v>619.89</v>
      </c>
      <c r="I129" s="10">
        <v>504.62</v>
      </c>
      <c r="J129" s="10">
        <v>1027.05</v>
      </c>
      <c r="K129" s="10">
        <v>0</v>
      </c>
      <c r="L129" s="10">
        <v>1204.01</v>
      </c>
      <c r="M129" s="10">
        <v>0</v>
      </c>
      <c r="N129" s="10">
        <v>0</v>
      </c>
      <c r="O129" s="10">
        <v>662.94</v>
      </c>
      <c r="P129" s="10">
        <v>850.87</v>
      </c>
      <c r="Q129" s="10">
        <v>0</v>
      </c>
      <c r="R129" s="10">
        <v>540.01</v>
      </c>
      <c r="S129" s="10">
        <v>0</v>
      </c>
      <c r="T129" s="10">
        <v>367.02</v>
      </c>
      <c r="U129" s="10">
        <v>0</v>
      </c>
      <c r="V129" s="10">
        <v>978.2</v>
      </c>
      <c r="W129" s="10">
        <v>637.54999999999995</v>
      </c>
      <c r="X129" s="10">
        <v>0</v>
      </c>
      <c r="Y129" s="10">
        <v>1001.53</v>
      </c>
      <c r="Z129" s="10">
        <v>0</v>
      </c>
      <c r="AA129" s="10">
        <v>1292.28</v>
      </c>
      <c r="AB129" s="10">
        <v>1857.41</v>
      </c>
      <c r="AC129" s="10">
        <v>511.84</v>
      </c>
      <c r="AD129" s="10">
        <v>869.38</v>
      </c>
      <c r="AE129" s="10">
        <v>1134.76</v>
      </c>
      <c r="AF129" s="10">
        <v>0</v>
      </c>
    </row>
    <row r="130" spans="1:32" ht="15" customHeight="1">
      <c r="A130" s="10" t="s">
        <v>204</v>
      </c>
      <c r="B130" s="61" t="s">
        <v>283</v>
      </c>
      <c r="C130" s="10">
        <v>1630.33</v>
      </c>
      <c r="D130" s="10">
        <v>254.84</v>
      </c>
      <c r="E130" s="10">
        <v>767.87</v>
      </c>
      <c r="F130" s="10">
        <v>1087.05</v>
      </c>
      <c r="G130" s="10">
        <v>619.89</v>
      </c>
      <c r="H130" s="10">
        <v>0</v>
      </c>
      <c r="I130" s="10">
        <v>382.63</v>
      </c>
      <c r="J130" s="10">
        <v>777.76</v>
      </c>
      <c r="K130" s="10">
        <v>1194.05</v>
      </c>
      <c r="L130" s="10">
        <v>0</v>
      </c>
      <c r="M130" s="10">
        <v>0</v>
      </c>
      <c r="N130" s="10">
        <v>1334.1</v>
      </c>
      <c r="O130" s="10">
        <v>528.63</v>
      </c>
      <c r="P130" s="10">
        <v>415.87</v>
      </c>
      <c r="Q130" s="10">
        <v>0</v>
      </c>
      <c r="R130" s="10">
        <v>812.43</v>
      </c>
      <c r="S130" s="10">
        <v>850.9</v>
      </c>
      <c r="T130" s="10">
        <v>665.24</v>
      </c>
      <c r="U130" s="10">
        <v>1016.04</v>
      </c>
      <c r="V130" s="10">
        <v>829.38</v>
      </c>
      <c r="W130" s="10">
        <v>738.71</v>
      </c>
      <c r="X130" s="10">
        <v>1642</v>
      </c>
      <c r="Y130" s="10">
        <v>390.18</v>
      </c>
      <c r="Z130" s="10">
        <v>0</v>
      </c>
      <c r="AA130" s="10">
        <v>842.37</v>
      </c>
      <c r="AB130" s="10">
        <v>1454.22</v>
      </c>
      <c r="AC130" s="10">
        <v>404.31</v>
      </c>
      <c r="AD130" s="10">
        <v>323.69</v>
      </c>
      <c r="AE130" s="10">
        <v>1341.38</v>
      </c>
      <c r="AF130" s="10">
        <v>0</v>
      </c>
    </row>
    <row r="131" spans="1:32" ht="15" customHeight="1">
      <c r="A131" s="10" t="s">
        <v>204</v>
      </c>
      <c r="B131" s="61" t="s">
        <v>284</v>
      </c>
      <c r="C131" s="10">
        <v>500</v>
      </c>
      <c r="D131" s="10">
        <v>477.04</v>
      </c>
      <c r="E131" s="10">
        <v>406.5</v>
      </c>
      <c r="F131" s="10">
        <v>1458.02</v>
      </c>
      <c r="G131" s="10">
        <v>504.62</v>
      </c>
      <c r="H131" s="10">
        <v>382.63</v>
      </c>
      <c r="I131" s="10">
        <v>0</v>
      </c>
      <c r="J131" s="10">
        <v>540.49</v>
      </c>
      <c r="K131" s="10">
        <v>1281.04</v>
      </c>
      <c r="L131" s="10">
        <v>1624.96</v>
      </c>
      <c r="M131" s="10">
        <v>1750.79</v>
      </c>
      <c r="N131" s="10">
        <v>1662.66</v>
      </c>
      <c r="O131" s="10">
        <v>809.27</v>
      </c>
      <c r="P131" s="10">
        <v>790.13</v>
      </c>
      <c r="Q131" s="10">
        <v>1286.0899999999999</v>
      </c>
      <c r="R131" s="10">
        <v>934.15</v>
      </c>
      <c r="S131" s="10">
        <v>1015.33</v>
      </c>
      <c r="T131" s="10">
        <v>339.26</v>
      </c>
      <c r="U131" s="10">
        <v>1144.5999999999999</v>
      </c>
      <c r="V131" s="10">
        <v>1143.0899999999999</v>
      </c>
      <c r="W131" s="10">
        <v>356.15</v>
      </c>
      <c r="X131" s="10">
        <v>1503.63</v>
      </c>
      <c r="Y131" s="10">
        <v>633.87</v>
      </c>
      <c r="Z131" s="10">
        <v>0</v>
      </c>
      <c r="AA131" s="10">
        <v>1224.8499999999999</v>
      </c>
      <c r="AB131" s="10">
        <v>1354.27</v>
      </c>
      <c r="AC131" s="10">
        <v>643.65</v>
      </c>
      <c r="AD131" s="10">
        <v>705.3</v>
      </c>
      <c r="AE131" s="10">
        <v>959.53</v>
      </c>
      <c r="AF131" s="10">
        <v>0</v>
      </c>
    </row>
    <row r="132" spans="1:32" ht="15" customHeight="1">
      <c r="A132" s="10" t="s">
        <v>204</v>
      </c>
      <c r="B132" s="61" t="s">
        <v>285</v>
      </c>
      <c r="C132" s="10">
        <v>1789.51</v>
      </c>
      <c r="D132" s="10">
        <v>973.03</v>
      </c>
      <c r="E132" s="10">
        <v>692.16</v>
      </c>
      <c r="F132" s="10">
        <v>0</v>
      </c>
      <c r="G132" s="10">
        <v>1027.05</v>
      </c>
      <c r="H132" s="10">
        <v>777.76</v>
      </c>
      <c r="I132" s="10">
        <v>540.49</v>
      </c>
      <c r="J132" s="10">
        <v>0</v>
      </c>
      <c r="K132" s="10">
        <v>978.44</v>
      </c>
      <c r="L132" s="10">
        <v>0</v>
      </c>
      <c r="M132" s="10">
        <v>1298.0899999999999</v>
      </c>
      <c r="N132" s="10">
        <v>0</v>
      </c>
      <c r="O132" s="10">
        <v>1294.23</v>
      </c>
      <c r="P132" s="10">
        <v>1171.94</v>
      </c>
      <c r="Q132" s="10">
        <v>1213.43</v>
      </c>
      <c r="R132" s="10">
        <v>1472.56</v>
      </c>
      <c r="S132" s="10">
        <v>873.01</v>
      </c>
      <c r="T132" s="10">
        <v>737.81</v>
      </c>
      <c r="U132" s="10">
        <v>921.65</v>
      </c>
      <c r="V132" s="10">
        <v>0</v>
      </c>
      <c r="W132" s="10">
        <v>503.89</v>
      </c>
      <c r="X132" s="10">
        <v>700</v>
      </c>
      <c r="Y132" s="10">
        <v>745.5</v>
      </c>
      <c r="Z132" s="10">
        <v>0</v>
      </c>
      <c r="AA132" s="10">
        <v>1533.41</v>
      </c>
      <c r="AB132" s="10">
        <v>400</v>
      </c>
      <c r="AC132" s="10">
        <v>1144.1199999999999</v>
      </c>
      <c r="AD132" s="10">
        <v>1030.02</v>
      </c>
      <c r="AE132" s="10">
        <v>850.09</v>
      </c>
      <c r="AF132" s="10">
        <v>0</v>
      </c>
    </row>
    <row r="133" spans="1:32">
      <c r="A133" s="10" t="s">
        <v>204</v>
      </c>
      <c r="B133" s="61" t="s">
        <v>308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1194.05</v>
      </c>
      <c r="I133" s="10">
        <v>1281.04</v>
      </c>
      <c r="J133" s="10">
        <v>978.44</v>
      </c>
      <c r="K133" s="10">
        <v>0</v>
      </c>
      <c r="L133" s="10">
        <v>0</v>
      </c>
      <c r="M133" s="10">
        <v>647.91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384.47</v>
      </c>
      <c r="T133" s="10">
        <v>0</v>
      </c>
      <c r="U133" s="10">
        <v>205.65</v>
      </c>
      <c r="V133" s="10">
        <v>0</v>
      </c>
      <c r="W133" s="10">
        <v>0</v>
      </c>
      <c r="X133" s="10">
        <v>885</v>
      </c>
      <c r="Y133" s="10">
        <v>825.43</v>
      </c>
      <c r="Z133" s="10">
        <v>0</v>
      </c>
      <c r="AA133" s="10">
        <v>0</v>
      </c>
      <c r="AB133" s="10">
        <v>661.72</v>
      </c>
      <c r="AC133" s="10">
        <v>0</v>
      </c>
      <c r="AD133" s="10">
        <v>1177.79</v>
      </c>
      <c r="AE133" s="10">
        <v>0</v>
      </c>
      <c r="AF133" s="10">
        <v>0</v>
      </c>
    </row>
    <row r="134" spans="1:32" ht="15" customHeight="1">
      <c r="A134" s="10" t="s">
        <v>204</v>
      </c>
      <c r="B134" s="61" t="s">
        <v>286</v>
      </c>
      <c r="C134" s="10">
        <v>229.59</v>
      </c>
      <c r="D134" s="10">
        <v>1640.58</v>
      </c>
      <c r="E134" s="10">
        <v>1325.38</v>
      </c>
      <c r="F134" s="10">
        <v>0</v>
      </c>
      <c r="G134" s="10">
        <v>1204.01</v>
      </c>
      <c r="H134" s="10">
        <v>0</v>
      </c>
      <c r="I134" s="10">
        <v>1624.96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1723.59</v>
      </c>
      <c r="P134" s="10">
        <v>0</v>
      </c>
      <c r="Q134" s="10">
        <v>1479.45</v>
      </c>
      <c r="R134" s="10">
        <v>1341.02</v>
      </c>
      <c r="S134" s="10">
        <v>0</v>
      </c>
      <c r="T134" s="10">
        <v>1307.3599999999999</v>
      </c>
      <c r="U134" s="10">
        <v>0</v>
      </c>
      <c r="V134" s="10">
        <v>0</v>
      </c>
      <c r="W134" s="10">
        <v>1513.18</v>
      </c>
      <c r="X134" s="10">
        <v>0</v>
      </c>
      <c r="Y134" s="10">
        <v>0</v>
      </c>
      <c r="Z134" s="10">
        <v>421.67</v>
      </c>
      <c r="AA134" s="10">
        <v>0</v>
      </c>
      <c r="AB134" s="10">
        <v>0</v>
      </c>
      <c r="AC134" s="10">
        <v>1632.96</v>
      </c>
      <c r="AD134" s="10">
        <v>0</v>
      </c>
      <c r="AE134" s="10">
        <v>1549.51</v>
      </c>
      <c r="AF134" s="10">
        <v>0</v>
      </c>
    </row>
    <row r="135" spans="1:32" ht="15" customHeight="1">
      <c r="A135" s="10" t="s">
        <v>204</v>
      </c>
      <c r="B135" s="61" t="s">
        <v>287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1750.79</v>
      </c>
      <c r="J135" s="10">
        <v>1298.0899999999999</v>
      </c>
      <c r="K135" s="10">
        <v>647.91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1026.31</v>
      </c>
      <c r="T135" s="10">
        <v>0</v>
      </c>
      <c r="U135" s="10">
        <v>852.16</v>
      </c>
      <c r="V135" s="10">
        <v>0</v>
      </c>
      <c r="W135" s="10">
        <v>0</v>
      </c>
      <c r="X135" s="10">
        <v>1000</v>
      </c>
      <c r="Y135" s="10">
        <v>1430.78</v>
      </c>
      <c r="Z135" s="10">
        <v>0</v>
      </c>
      <c r="AA135" s="10">
        <v>0</v>
      </c>
      <c r="AB135" s="10">
        <v>505.83</v>
      </c>
      <c r="AC135" s="10">
        <v>0</v>
      </c>
      <c r="AD135" s="10">
        <v>0</v>
      </c>
      <c r="AE135" s="10">
        <v>0</v>
      </c>
      <c r="AF135" s="10">
        <v>0</v>
      </c>
    </row>
    <row r="136" spans="1:32" ht="15" customHeight="1">
      <c r="A136" s="10" t="s">
        <v>204</v>
      </c>
      <c r="B136" s="61" t="s">
        <v>288</v>
      </c>
      <c r="C136" s="10">
        <v>0</v>
      </c>
      <c r="D136" s="10">
        <v>1462.5</v>
      </c>
      <c r="E136" s="10">
        <v>300</v>
      </c>
      <c r="F136" s="10">
        <v>0</v>
      </c>
      <c r="G136" s="10">
        <v>350</v>
      </c>
      <c r="H136" s="10">
        <v>1630.33</v>
      </c>
      <c r="I136" s="10">
        <v>500</v>
      </c>
      <c r="J136" s="10">
        <v>1789.51</v>
      </c>
      <c r="K136" s="10">
        <v>0</v>
      </c>
      <c r="L136" s="10">
        <v>229.59</v>
      </c>
      <c r="M136" s="10">
        <v>0</v>
      </c>
      <c r="N136" s="10">
        <v>2201.09</v>
      </c>
      <c r="O136" s="10">
        <v>1577.99</v>
      </c>
      <c r="P136" s="10">
        <v>1838.39</v>
      </c>
      <c r="Q136" s="10">
        <v>1284.49</v>
      </c>
      <c r="R136" s="10">
        <v>1000</v>
      </c>
      <c r="S136" s="10">
        <v>0</v>
      </c>
      <c r="T136" s="10">
        <v>1087.05</v>
      </c>
      <c r="U136" s="10">
        <v>0</v>
      </c>
      <c r="V136" s="10">
        <v>1809.09</v>
      </c>
      <c r="W136" s="10">
        <v>1285.6600000000001</v>
      </c>
      <c r="X136" s="10">
        <v>2702.36</v>
      </c>
      <c r="Y136" s="10">
        <v>2000.6</v>
      </c>
      <c r="Z136" s="10">
        <v>560.61</v>
      </c>
      <c r="AA136" s="10">
        <v>2252.62</v>
      </c>
      <c r="AB136" s="10">
        <v>2623.55</v>
      </c>
      <c r="AC136" s="10">
        <v>1472.14</v>
      </c>
      <c r="AD136" s="10">
        <v>1879.08</v>
      </c>
      <c r="AE136" s="10">
        <v>600</v>
      </c>
      <c r="AF136" s="10">
        <v>0</v>
      </c>
    </row>
    <row r="137" spans="1:32" ht="15" customHeight="1">
      <c r="A137" s="10" t="s">
        <v>204</v>
      </c>
      <c r="B137" s="61" t="s">
        <v>289</v>
      </c>
      <c r="C137" s="10">
        <v>2201.09</v>
      </c>
      <c r="D137" s="10">
        <v>1188.01</v>
      </c>
      <c r="E137" s="10">
        <v>0</v>
      </c>
      <c r="F137" s="10">
        <v>453.95</v>
      </c>
      <c r="G137" s="10">
        <v>0</v>
      </c>
      <c r="H137" s="10">
        <v>1334.1</v>
      </c>
      <c r="I137" s="10">
        <v>1662.66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859.98</v>
      </c>
      <c r="P137" s="10">
        <v>947.65</v>
      </c>
      <c r="Q137" s="10">
        <v>0</v>
      </c>
      <c r="R137" s="10">
        <v>1007.1</v>
      </c>
      <c r="S137" s="10">
        <v>0</v>
      </c>
      <c r="T137" s="10">
        <v>0</v>
      </c>
      <c r="U137" s="10">
        <v>0</v>
      </c>
      <c r="V137" s="10">
        <v>521.16</v>
      </c>
      <c r="W137" s="10">
        <v>0</v>
      </c>
      <c r="X137" s="10">
        <v>0</v>
      </c>
      <c r="Y137" s="10">
        <v>1480.09</v>
      </c>
      <c r="Z137" s="10">
        <v>0</v>
      </c>
      <c r="AA137" s="10">
        <v>772.6</v>
      </c>
      <c r="AB137" s="10">
        <v>0</v>
      </c>
      <c r="AC137" s="10">
        <v>1031.6199999999999</v>
      </c>
      <c r="AD137" s="10">
        <v>1109.6099999999999</v>
      </c>
      <c r="AE137" s="10">
        <v>0</v>
      </c>
      <c r="AF137" s="10">
        <v>868</v>
      </c>
    </row>
    <row r="138" spans="1:32" ht="15" customHeight="1">
      <c r="A138" s="10" t="s">
        <v>204</v>
      </c>
      <c r="B138" s="61" t="s">
        <v>290</v>
      </c>
      <c r="C138" s="10">
        <v>1577.99</v>
      </c>
      <c r="D138" s="10">
        <v>332.27</v>
      </c>
      <c r="E138" s="10">
        <v>1075.07</v>
      </c>
      <c r="F138" s="10">
        <v>753.16</v>
      </c>
      <c r="G138" s="10">
        <v>662.94</v>
      </c>
      <c r="H138" s="10">
        <v>528.63</v>
      </c>
      <c r="I138" s="10">
        <v>809.27</v>
      </c>
      <c r="J138" s="10">
        <v>1294.23</v>
      </c>
      <c r="K138" s="10">
        <v>0</v>
      </c>
      <c r="L138" s="10">
        <v>1723.59</v>
      </c>
      <c r="M138" s="10">
        <v>0</v>
      </c>
      <c r="N138" s="10">
        <v>859.98</v>
      </c>
      <c r="O138" s="10">
        <v>0</v>
      </c>
      <c r="P138" s="10">
        <v>331.49</v>
      </c>
      <c r="Q138" s="10">
        <v>0</v>
      </c>
      <c r="R138" s="10">
        <v>427.99</v>
      </c>
      <c r="S138" s="10">
        <v>1262.6500000000001</v>
      </c>
      <c r="T138" s="10">
        <v>938.11</v>
      </c>
      <c r="U138" s="10">
        <v>0</v>
      </c>
      <c r="V138" s="10">
        <v>339.14</v>
      </c>
      <c r="W138" s="10">
        <v>1129.3900000000001</v>
      </c>
      <c r="X138" s="10">
        <v>0</v>
      </c>
      <c r="Y138" s="10">
        <v>818.17</v>
      </c>
      <c r="Z138" s="10">
        <v>0</v>
      </c>
      <c r="AA138" s="10">
        <v>677.09</v>
      </c>
      <c r="AB138" s="10">
        <v>1974.19</v>
      </c>
      <c r="AC138" s="10">
        <v>171.93</v>
      </c>
      <c r="AD138" s="10">
        <v>470.6</v>
      </c>
      <c r="AE138" s="10">
        <v>0</v>
      </c>
      <c r="AF138" s="10">
        <v>0</v>
      </c>
    </row>
    <row r="139" spans="1:32" ht="15" customHeight="1">
      <c r="A139" s="10" t="s">
        <v>204</v>
      </c>
      <c r="B139" s="61" t="s">
        <v>291</v>
      </c>
      <c r="C139" s="10">
        <v>1838.39</v>
      </c>
      <c r="D139" s="10">
        <v>400.59</v>
      </c>
      <c r="E139" s="10">
        <v>1146.05</v>
      </c>
      <c r="F139" s="10">
        <v>671.18</v>
      </c>
      <c r="G139" s="10">
        <v>850.87</v>
      </c>
      <c r="H139" s="10">
        <v>415.87</v>
      </c>
      <c r="I139" s="10">
        <v>790.13</v>
      </c>
      <c r="J139" s="10">
        <v>1171.94</v>
      </c>
      <c r="K139" s="10">
        <v>0</v>
      </c>
      <c r="L139" s="10">
        <v>0</v>
      </c>
      <c r="M139" s="10">
        <v>0</v>
      </c>
      <c r="N139" s="10">
        <v>947.65</v>
      </c>
      <c r="O139" s="10">
        <v>331.49</v>
      </c>
      <c r="P139" s="10">
        <v>0</v>
      </c>
      <c r="Q139" s="10">
        <v>0</v>
      </c>
      <c r="R139" s="10">
        <v>755.26</v>
      </c>
      <c r="S139" s="10">
        <v>961.23</v>
      </c>
      <c r="T139" s="10">
        <v>1025.1099999999999</v>
      </c>
      <c r="U139" s="10">
        <v>1141.83</v>
      </c>
      <c r="V139" s="10">
        <v>486.51</v>
      </c>
      <c r="W139" s="10">
        <v>1144.4000000000001</v>
      </c>
      <c r="X139" s="10">
        <v>0</v>
      </c>
      <c r="Y139" s="10">
        <v>551.72</v>
      </c>
      <c r="Z139" s="10">
        <v>0</v>
      </c>
      <c r="AA139" s="10">
        <v>452.36</v>
      </c>
      <c r="AB139" s="10">
        <v>1745.85</v>
      </c>
      <c r="AC139" s="10">
        <v>369.97</v>
      </c>
      <c r="AD139" s="10">
        <v>171.65</v>
      </c>
      <c r="AE139" s="10">
        <v>0</v>
      </c>
      <c r="AF139" s="10">
        <v>0</v>
      </c>
    </row>
    <row r="140" spans="1:32" ht="15" customHeight="1">
      <c r="A140" s="10" t="s">
        <v>204</v>
      </c>
      <c r="B140" s="61" t="s">
        <v>292</v>
      </c>
      <c r="C140" s="10">
        <v>1284.49</v>
      </c>
      <c r="D140" s="10">
        <v>0</v>
      </c>
      <c r="E140" s="10">
        <v>924.14</v>
      </c>
      <c r="F140" s="10">
        <v>0</v>
      </c>
      <c r="G140" s="10">
        <v>0</v>
      </c>
      <c r="H140" s="10">
        <v>0</v>
      </c>
      <c r="I140" s="10">
        <v>1286.0899999999999</v>
      </c>
      <c r="J140" s="10">
        <v>1213.43</v>
      </c>
      <c r="K140" s="10">
        <v>0</v>
      </c>
      <c r="L140" s="10">
        <v>1479.45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1057.17</v>
      </c>
      <c r="U140" s="10">
        <v>0</v>
      </c>
      <c r="V140" s="10">
        <v>0</v>
      </c>
      <c r="W140" s="10">
        <v>932.26</v>
      </c>
      <c r="X140" s="10">
        <v>1780.16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363.85</v>
      </c>
      <c r="AF140" s="10">
        <v>0</v>
      </c>
    </row>
    <row r="141" spans="1:32" ht="15" customHeight="1">
      <c r="A141" s="10" t="s">
        <v>204</v>
      </c>
      <c r="B141" s="61" t="s">
        <v>293</v>
      </c>
      <c r="C141" s="10">
        <v>1000</v>
      </c>
      <c r="D141" s="10">
        <v>557.69000000000005</v>
      </c>
      <c r="E141" s="10">
        <v>1040.22</v>
      </c>
      <c r="F141" s="10">
        <v>1075.51</v>
      </c>
      <c r="G141" s="10">
        <v>540.01</v>
      </c>
      <c r="H141" s="10">
        <v>812.43</v>
      </c>
      <c r="I141" s="10">
        <v>934.15</v>
      </c>
      <c r="J141" s="10">
        <v>1472.56</v>
      </c>
      <c r="K141" s="10">
        <v>0</v>
      </c>
      <c r="L141" s="10">
        <v>1341.02</v>
      </c>
      <c r="M141" s="10">
        <v>0</v>
      </c>
      <c r="N141" s="10">
        <v>1007.1</v>
      </c>
      <c r="O141" s="10">
        <v>427.99</v>
      </c>
      <c r="P141" s="10">
        <v>755.26</v>
      </c>
      <c r="Q141" s="10">
        <v>0</v>
      </c>
      <c r="R141" s="10">
        <v>0</v>
      </c>
      <c r="S141" s="10">
        <v>0</v>
      </c>
      <c r="T141" s="10">
        <v>903.08</v>
      </c>
      <c r="U141" s="10">
        <v>0</v>
      </c>
      <c r="V141" s="10">
        <v>586.66</v>
      </c>
      <c r="W141" s="10">
        <v>1161.05</v>
      </c>
      <c r="X141" s="10">
        <v>0</v>
      </c>
      <c r="Y141" s="10">
        <v>1174.6600000000001</v>
      </c>
      <c r="Z141" s="10">
        <v>0</v>
      </c>
      <c r="AA141" s="10">
        <v>1082.6300000000001</v>
      </c>
      <c r="AB141" s="10">
        <v>2245.4899999999998</v>
      </c>
      <c r="AC141" s="10">
        <v>429.95</v>
      </c>
      <c r="AD141" s="10">
        <v>874.11</v>
      </c>
      <c r="AE141" s="10">
        <v>1673.84</v>
      </c>
      <c r="AF141" s="10">
        <v>0</v>
      </c>
    </row>
    <row r="142" spans="1:32" ht="15" customHeight="1">
      <c r="A142" s="10" t="s">
        <v>204</v>
      </c>
      <c r="B142" s="61" t="s">
        <v>309</v>
      </c>
      <c r="C142" s="10">
        <v>0</v>
      </c>
      <c r="D142" s="10">
        <v>1094.8399999999999</v>
      </c>
      <c r="E142" s="10">
        <v>0</v>
      </c>
      <c r="F142" s="10">
        <v>0</v>
      </c>
      <c r="G142" s="10">
        <v>0</v>
      </c>
      <c r="H142" s="10">
        <v>850.9</v>
      </c>
      <c r="I142" s="10">
        <v>1015.33</v>
      </c>
      <c r="J142" s="10">
        <v>873.01</v>
      </c>
      <c r="K142" s="10">
        <v>384.47</v>
      </c>
      <c r="L142" s="10">
        <v>0</v>
      </c>
      <c r="M142" s="10">
        <v>1026.31</v>
      </c>
      <c r="N142" s="10">
        <v>0</v>
      </c>
      <c r="O142" s="10">
        <v>1262.6500000000001</v>
      </c>
      <c r="P142" s="10">
        <v>961.23</v>
      </c>
      <c r="Q142" s="10">
        <v>0</v>
      </c>
      <c r="R142" s="10">
        <v>0</v>
      </c>
      <c r="S142" s="10">
        <v>0</v>
      </c>
      <c r="T142" s="10">
        <v>0</v>
      </c>
      <c r="U142" s="10">
        <v>180.61</v>
      </c>
      <c r="V142" s="10">
        <v>0</v>
      </c>
      <c r="W142" s="10">
        <v>1249.7</v>
      </c>
      <c r="X142" s="10">
        <v>1153.01</v>
      </c>
      <c r="Y142" s="10">
        <v>464.52</v>
      </c>
      <c r="Z142" s="10">
        <v>0</v>
      </c>
      <c r="AA142" s="10">
        <v>1059.29</v>
      </c>
      <c r="AB142" s="10">
        <v>923.23</v>
      </c>
      <c r="AC142" s="10">
        <v>1207.05</v>
      </c>
      <c r="AD142" s="10">
        <v>797.05</v>
      </c>
      <c r="AE142" s="10">
        <v>0</v>
      </c>
      <c r="AF142" s="10">
        <v>0</v>
      </c>
    </row>
    <row r="143" spans="1:32" ht="15" customHeight="1">
      <c r="A143" s="10" t="s">
        <v>204</v>
      </c>
      <c r="B143" s="61" t="s">
        <v>294</v>
      </c>
      <c r="C143" s="10">
        <v>1087.05</v>
      </c>
      <c r="D143" s="10">
        <v>640.32000000000005</v>
      </c>
      <c r="E143" s="10">
        <v>140.4</v>
      </c>
      <c r="F143" s="10">
        <v>0</v>
      </c>
      <c r="G143" s="10">
        <v>367.02</v>
      </c>
      <c r="H143" s="10">
        <v>665.24</v>
      </c>
      <c r="I143" s="10">
        <v>339.26</v>
      </c>
      <c r="J143" s="10">
        <v>737.81</v>
      </c>
      <c r="K143" s="10">
        <v>0</v>
      </c>
      <c r="L143" s="10">
        <v>1307.3599999999999</v>
      </c>
      <c r="M143" s="10">
        <v>0</v>
      </c>
      <c r="N143" s="10">
        <v>0</v>
      </c>
      <c r="O143" s="10">
        <v>938.11</v>
      </c>
      <c r="P143" s="10">
        <v>1025.1099999999999</v>
      </c>
      <c r="Q143" s="10">
        <v>1057.17</v>
      </c>
      <c r="R143" s="10">
        <v>903.08</v>
      </c>
      <c r="S143" s="10">
        <v>0</v>
      </c>
      <c r="T143" s="10">
        <v>0</v>
      </c>
      <c r="U143" s="10">
        <v>0</v>
      </c>
      <c r="V143" s="10">
        <v>0</v>
      </c>
      <c r="W143" s="10">
        <v>279.54000000000002</v>
      </c>
      <c r="X143" s="10">
        <v>1703.34</v>
      </c>
      <c r="Y143" s="10">
        <v>969.45</v>
      </c>
      <c r="Z143" s="10">
        <v>0</v>
      </c>
      <c r="AA143" s="10">
        <v>0</v>
      </c>
      <c r="AB143" s="10">
        <v>1586.29</v>
      </c>
      <c r="AC143" s="10">
        <v>767.73</v>
      </c>
      <c r="AD143" s="10">
        <v>981.17</v>
      </c>
      <c r="AE143" s="10">
        <v>785.89</v>
      </c>
      <c r="AF143" s="10">
        <v>0</v>
      </c>
    </row>
    <row r="144" spans="1:32" ht="15" customHeight="1">
      <c r="A144" s="10" t="s">
        <v>204</v>
      </c>
      <c r="B144" s="61" t="s">
        <v>310</v>
      </c>
      <c r="C144" s="10">
        <v>0</v>
      </c>
      <c r="D144" s="10">
        <v>1264.26</v>
      </c>
      <c r="E144" s="10">
        <v>0</v>
      </c>
      <c r="F144" s="10">
        <v>0</v>
      </c>
      <c r="G144" s="10">
        <v>0</v>
      </c>
      <c r="H144" s="10">
        <v>1016.04</v>
      </c>
      <c r="I144" s="10">
        <v>1144.5999999999999</v>
      </c>
      <c r="J144" s="10">
        <v>921.65</v>
      </c>
      <c r="K144" s="10">
        <v>205.65</v>
      </c>
      <c r="L144" s="10">
        <v>0</v>
      </c>
      <c r="M144" s="10">
        <v>852.16</v>
      </c>
      <c r="N144" s="10">
        <v>0</v>
      </c>
      <c r="O144" s="10">
        <v>0</v>
      </c>
      <c r="P144" s="10">
        <v>1141.83</v>
      </c>
      <c r="Q144" s="10">
        <v>0</v>
      </c>
      <c r="R144" s="10">
        <v>0</v>
      </c>
      <c r="S144" s="10">
        <v>180.61</v>
      </c>
      <c r="T144" s="10">
        <v>0</v>
      </c>
      <c r="U144" s="10">
        <v>0</v>
      </c>
      <c r="V144" s="10">
        <v>0</v>
      </c>
      <c r="W144" s="10">
        <v>1345.25</v>
      </c>
      <c r="X144" s="10">
        <v>1031.76</v>
      </c>
      <c r="Y144" s="10">
        <v>636.20000000000005</v>
      </c>
      <c r="Z144" s="10">
        <v>0</v>
      </c>
      <c r="AA144" s="10">
        <v>1225.5</v>
      </c>
      <c r="AB144" s="10">
        <v>802.01</v>
      </c>
      <c r="AC144" s="10">
        <v>0</v>
      </c>
      <c r="AD144" s="10">
        <v>977.33</v>
      </c>
      <c r="AE144" s="10">
        <v>0</v>
      </c>
      <c r="AF144" s="10">
        <v>0</v>
      </c>
    </row>
    <row r="145" spans="1:32" ht="15" customHeight="1">
      <c r="A145" s="10" t="s">
        <v>204</v>
      </c>
      <c r="B145" s="61" t="s">
        <v>297</v>
      </c>
      <c r="C145" s="10">
        <v>1285.6600000000001</v>
      </c>
      <c r="D145" s="10">
        <v>804.24</v>
      </c>
      <c r="E145" s="10">
        <v>192.2</v>
      </c>
      <c r="F145" s="10">
        <v>0</v>
      </c>
      <c r="G145" s="10">
        <v>637.54999999999995</v>
      </c>
      <c r="H145" s="10">
        <v>738.71</v>
      </c>
      <c r="I145" s="10">
        <v>356.15</v>
      </c>
      <c r="J145" s="10">
        <v>503.89</v>
      </c>
      <c r="K145" s="10">
        <v>0</v>
      </c>
      <c r="L145" s="10">
        <v>1513.18</v>
      </c>
      <c r="M145" s="10">
        <v>0</v>
      </c>
      <c r="N145" s="10">
        <v>0</v>
      </c>
      <c r="O145" s="10">
        <v>1129.3900000000001</v>
      </c>
      <c r="P145" s="10">
        <v>1144.4000000000001</v>
      </c>
      <c r="Q145" s="10">
        <v>932.26</v>
      </c>
      <c r="R145" s="10">
        <v>1161.05</v>
      </c>
      <c r="S145" s="10">
        <v>1249.7</v>
      </c>
      <c r="T145" s="10">
        <v>279.54000000000002</v>
      </c>
      <c r="U145" s="10">
        <v>1345.25</v>
      </c>
      <c r="V145" s="10">
        <v>0</v>
      </c>
      <c r="W145" s="10">
        <v>0</v>
      </c>
      <c r="X145" s="10">
        <v>1444.25</v>
      </c>
      <c r="Y145" s="10">
        <v>943.16</v>
      </c>
      <c r="Z145" s="10">
        <v>0</v>
      </c>
      <c r="AA145" s="10">
        <v>0</v>
      </c>
      <c r="AB145" s="10">
        <v>1343.75</v>
      </c>
      <c r="AC145" s="10">
        <v>958.07</v>
      </c>
      <c r="AD145" s="10">
        <v>1060.75</v>
      </c>
      <c r="AE145" s="10">
        <v>604.03</v>
      </c>
      <c r="AF145" s="10">
        <v>0</v>
      </c>
    </row>
    <row r="146" spans="1:32" ht="15" customHeight="1">
      <c r="A146" s="10" t="s">
        <v>204</v>
      </c>
      <c r="B146" s="61" t="s">
        <v>298</v>
      </c>
      <c r="C146" s="10">
        <v>2702.36</v>
      </c>
      <c r="D146" s="10">
        <v>0</v>
      </c>
      <c r="E146" s="10">
        <v>1636.14</v>
      </c>
      <c r="F146" s="10">
        <v>0</v>
      </c>
      <c r="G146" s="10">
        <v>0</v>
      </c>
      <c r="H146" s="10">
        <v>1642</v>
      </c>
      <c r="I146" s="10">
        <v>1503.63</v>
      </c>
      <c r="J146" s="10">
        <v>700</v>
      </c>
      <c r="K146" s="10">
        <v>885</v>
      </c>
      <c r="L146" s="10">
        <v>0</v>
      </c>
      <c r="M146" s="10">
        <v>1000</v>
      </c>
      <c r="N146" s="10">
        <v>0</v>
      </c>
      <c r="O146" s="10">
        <v>0</v>
      </c>
      <c r="P146" s="10">
        <v>0</v>
      </c>
      <c r="Q146" s="10">
        <v>1780.16</v>
      </c>
      <c r="R146" s="10">
        <v>0</v>
      </c>
      <c r="S146" s="10">
        <v>1153.01</v>
      </c>
      <c r="T146" s="10">
        <v>1703.34</v>
      </c>
      <c r="U146" s="10">
        <v>1031.76</v>
      </c>
      <c r="V146" s="10">
        <v>0</v>
      </c>
      <c r="W146" s="10">
        <v>1444.25</v>
      </c>
      <c r="X146" s="10">
        <v>0</v>
      </c>
      <c r="Y146" s="10">
        <v>1408.54</v>
      </c>
      <c r="Z146" s="10">
        <v>0</v>
      </c>
      <c r="AA146" s="10">
        <v>0</v>
      </c>
      <c r="AB146" s="10">
        <v>230.32</v>
      </c>
      <c r="AC146" s="10">
        <v>0</v>
      </c>
      <c r="AD146" s="10">
        <v>0</v>
      </c>
      <c r="AE146" s="10">
        <v>1492.31</v>
      </c>
      <c r="AF146" s="10">
        <v>0</v>
      </c>
    </row>
    <row r="147" spans="1:32" ht="15" customHeight="1">
      <c r="A147" s="10" t="s">
        <v>204</v>
      </c>
      <c r="B147" s="61" t="s">
        <v>357</v>
      </c>
      <c r="C147" s="10">
        <v>1809.09</v>
      </c>
      <c r="D147" s="10">
        <v>667.29</v>
      </c>
      <c r="E147" s="10">
        <v>0</v>
      </c>
      <c r="F147" s="10">
        <v>489.51</v>
      </c>
      <c r="G147" s="10">
        <v>978.2</v>
      </c>
      <c r="H147" s="10">
        <v>829.38</v>
      </c>
      <c r="I147" s="10">
        <v>1143.0899999999999</v>
      </c>
      <c r="J147" s="10">
        <v>0</v>
      </c>
      <c r="K147" s="10">
        <v>0</v>
      </c>
      <c r="L147" s="10">
        <v>0</v>
      </c>
      <c r="M147" s="10">
        <v>0</v>
      </c>
      <c r="N147" s="10">
        <v>521.16</v>
      </c>
      <c r="O147" s="10">
        <v>339.14</v>
      </c>
      <c r="P147" s="10">
        <v>486.51</v>
      </c>
      <c r="Q147" s="10">
        <v>0</v>
      </c>
      <c r="R147" s="10">
        <v>586.66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1038.1300000000001</v>
      </c>
      <c r="Z147" s="10">
        <v>0</v>
      </c>
      <c r="AA147" s="10">
        <v>569.07000000000005</v>
      </c>
      <c r="AB147" s="10">
        <v>0</v>
      </c>
      <c r="AC147" s="10">
        <v>511.02</v>
      </c>
      <c r="AD147" s="10">
        <v>658.16</v>
      </c>
      <c r="AE147" s="10">
        <v>0</v>
      </c>
      <c r="AF147" s="10">
        <v>0</v>
      </c>
    </row>
    <row r="148" spans="1:32" ht="15" customHeight="1">
      <c r="A148" s="10" t="s">
        <v>204</v>
      </c>
      <c r="B148" s="61" t="s">
        <v>299</v>
      </c>
      <c r="C148" s="10">
        <v>2000.6</v>
      </c>
      <c r="D148" s="10">
        <v>630.36</v>
      </c>
      <c r="E148" s="10">
        <v>1037.53</v>
      </c>
      <c r="F148" s="10">
        <v>1129.69</v>
      </c>
      <c r="G148" s="10">
        <v>1001.53</v>
      </c>
      <c r="H148" s="10">
        <v>390.18</v>
      </c>
      <c r="I148" s="10">
        <v>633.87</v>
      </c>
      <c r="J148" s="10">
        <v>745.5</v>
      </c>
      <c r="K148" s="10">
        <v>825.43</v>
      </c>
      <c r="L148" s="10">
        <v>0</v>
      </c>
      <c r="M148" s="10">
        <v>1430.78</v>
      </c>
      <c r="N148" s="10">
        <v>1480.09</v>
      </c>
      <c r="O148" s="10">
        <v>818.17</v>
      </c>
      <c r="P148" s="10">
        <v>551.72</v>
      </c>
      <c r="Q148" s="10">
        <v>0</v>
      </c>
      <c r="R148" s="10">
        <v>1174.6600000000001</v>
      </c>
      <c r="S148" s="10">
        <v>464.52</v>
      </c>
      <c r="T148" s="10">
        <v>969.45</v>
      </c>
      <c r="U148" s="10">
        <v>636.20000000000005</v>
      </c>
      <c r="V148" s="10">
        <v>1038.1300000000001</v>
      </c>
      <c r="W148" s="10">
        <v>943.16</v>
      </c>
      <c r="X148" s="10">
        <v>1408.54</v>
      </c>
      <c r="Y148" s="10">
        <v>0</v>
      </c>
      <c r="Z148" s="10">
        <v>0</v>
      </c>
      <c r="AA148" s="10">
        <v>809.16</v>
      </c>
      <c r="AB148" s="10">
        <v>1196.53</v>
      </c>
      <c r="AC148" s="10">
        <v>746.53</v>
      </c>
      <c r="AD148" s="10">
        <v>380.21</v>
      </c>
      <c r="AE148" s="10">
        <v>1502.63</v>
      </c>
      <c r="AF148" s="10">
        <v>0</v>
      </c>
    </row>
    <row r="149" spans="1:32" ht="15" customHeight="1">
      <c r="A149" s="10" t="s">
        <v>204</v>
      </c>
      <c r="B149" s="61" t="s">
        <v>300</v>
      </c>
      <c r="C149" s="10">
        <v>560.61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421.67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1672.93</v>
      </c>
      <c r="AF149" s="10">
        <v>0</v>
      </c>
    </row>
    <row r="150" spans="1:32" ht="15" customHeight="1">
      <c r="A150" s="10" t="s">
        <v>204</v>
      </c>
      <c r="B150" s="61" t="s">
        <v>301</v>
      </c>
      <c r="C150" s="10">
        <v>2252.62</v>
      </c>
      <c r="D150" s="10">
        <v>850.72</v>
      </c>
      <c r="E150" s="10">
        <v>0</v>
      </c>
      <c r="F150" s="10">
        <v>343.03</v>
      </c>
      <c r="G150" s="10">
        <v>1292.28</v>
      </c>
      <c r="H150" s="10">
        <v>842.37</v>
      </c>
      <c r="I150" s="10">
        <v>1224.8499999999999</v>
      </c>
      <c r="J150" s="10">
        <v>1533.41</v>
      </c>
      <c r="K150" s="10">
        <v>0</v>
      </c>
      <c r="L150" s="10">
        <v>0</v>
      </c>
      <c r="M150" s="10">
        <v>0</v>
      </c>
      <c r="N150" s="10">
        <v>772.6</v>
      </c>
      <c r="O150" s="10">
        <v>677.09</v>
      </c>
      <c r="P150" s="10">
        <v>452.36</v>
      </c>
      <c r="Q150" s="10">
        <v>0</v>
      </c>
      <c r="R150" s="10">
        <v>1082.6300000000001</v>
      </c>
      <c r="S150" s="10">
        <v>1059.29</v>
      </c>
      <c r="T150" s="10">
        <v>0</v>
      </c>
      <c r="U150" s="10">
        <v>1225.5</v>
      </c>
      <c r="V150" s="10">
        <v>569.07000000000005</v>
      </c>
      <c r="W150" s="10">
        <v>0</v>
      </c>
      <c r="X150" s="10">
        <v>0</v>
      </c>
      <c r="Y150" s="10">
        <v>809.16</v>
      </c>
      <c r="Z150" s="10">
        <v>0</v>
      </c>
      <c r="AA150" s="10">
        <v>0</v>
      </c>
      <c r="AB150" s="10">
        <v>0</v>
      </c>
      <c r="AC150" s="10">
        <v>787.57</v>
      </c>
      <c r="AD150" s="10">
        <v>523.91999999999996</v>
      </c>
      <c r="AE150" s="10">
        <v>0</v>
      </c>
      <c r="AF150" s="10">
        <v>899</v>
      </c>
    </row>
    <row r="151" spans="1:32" ht="15" customHeight="1">
      <c r="A151" s="10" t="s">
        <v>204</v>
      </c>
      <c r="B151" s="61" t="s">
        <v>303</v>
      </c>
      <c r="C151" s="10">
        <v>2623.55</v>
      </c>
      <c r="D151" s="10">
        <v>1698.79</v>
      </c>
      <c r="E151" s="10">
        <v>1535.26</v>
      </c>
      <c r="F151" s="10">
        <v>0</v>
      </c>
      <c r="G151" s="10">
        <v>1857.41</v>
      </c>
      <c r="H151" s="10">
        <v>1454.22</v>
      </c>
      <c r="I151" s="10">
        <v>1354.27</v>
      </c>
      <c r="J151" s="10">
        <v>400</v>
      </c>
      <c r="K151" s="10">
        <v>661.72</v>
      </c>
      <c r="L151" s="10">
        <v>0</v>
      </c>
      <c r="M151" s="10">
        <v>505.83</v>
      </c>
      <c r="N151" s="10">
        <v>0</v>
      </c>
      <c r="O151" s="10">
        <v>1974.19</v>
      </c>
      <c r="P151" s="10">
        <v>1745.85</v>
      </c>
      <c r="Q151" s="10">
        <v>0</v>
      </c>
      <c r="R151" s="10">
        <v>2245.4899999999998</v>
      </c>
      <c r="S151" s="10">
        <v>923.23</v>
      </c>
      <c r="T151" s="10">
        <v>1586.29</v>
      </c>
      <c r="U151" s="10">
        <v>802.01</v>
      </c>
      <c r="V151" s="10">
        <v>0</v>
      </c>
      <c r="W151" s="10">
        <v>1343.75</v>
      </c>
      <c r="X151" s="10">
        <v>230.32</v>
      </c>
      <c r="Y151" s="10">
        <v>1196.53</v>
      </c>
      <c r="Z151" s="10">
        <v>0</v>
      </c>
      <c r="AA151" s="10">
        <v>0</v>
      </c>
      <c r="AB151" s="10">
        <v>0</v>
      </c>
      <c r="AC151" s="10">
        <v>1858.18</v>
      </c>
      <c r="AD151" s="10">
        <v>1575.37</v>
      </c>
      <c r="AE151" s="10">
        <v>1485.18</v>
      </c>
      <c r="AF151" s="10">
        <v>0</v>
      </c>
    </row>
    <row r="152" spans="1:32" ht="15" customHeight="1">
      <c r="A152" s="10" t="s">
        <v>204</v>
      </c>
      <c r="B152" s="61" t="s">
        <v>304</v>
      </c>
      <c r="C152" s="10">
        <v>1472.14</v>
      </c>
      <c r="D152" s="10">
        <v>171.24</v>
      </c>
      <c r="E152" s="10">
        <v>903.98</v>
      </c>
      <c r="F152" s="10">
        <v>908.29</v>
      </c>
      <c r="G152" s="10">
        <v>511.84</v>
      </c>
      <c r="H152" s="10">
        <v>404.31</v>
      </c>
      <c r="I152" s="10">
        <v>643.65</v>
      </c>
      <c r="J152" s="10">
        <v>1144.1199999999999</v>
      </c>
      <c r="K152" s="10">
        <v>0</v>
      </c>
      <c r="L152" s="10">
        <v>1632.96</v>
      </c>
      <c r="M152" s="10">
        <v>0</v>
      </c>
      <c r="N152" s="10">
        <v>1031.6199999999999</v>
      </c>
      <c r="O152" s="10">
        <v>171.93</v>
      </c>
      <c r="P152" s="10">
        <v>369.97</v>
      </c>
      <c r="Q152" s="10">
        <v>0</v>
      </c>
      <c r="R152" s="10">
        <v>429.95</v>
      </c>
      <c r="S152" s="10">
        <v>1207.05</v>
      </c>
      <c r="T152" s="10">
        <v>767.73</v>
      </c>
      <c r="U152" s="10">
        <v>0</v>
      </c>
      <c r="V152" s="10">
        <v>511.02</v>
      </c>
      <c r="W152" s="10">
        <v>958.07</v>
      </c>
      <c r="X152" s="10">
        <v>0</v>
      </c>
      <c r="Y152" s="10">
        <v>746.53</v>
      </c>
      <c r="Z152" s="10">
        <v>0</v>
      </c>
      <c r="AA152" s="10">
        <v>787.57</v>
      </c>
      <c r="AB152" s="10">
        <v>1858.18</v>
      </c>
      <c r="AC152" s="10">
        <v>0</v>
      </c>
      <c r="AD152" s="10">
        <v>454.53</v>
      </c>
      <c r="AE152" s="10">
        <v>0</v>
      </c>
      <c r="AF152" s="10">
        <v>0</v>
      </c>
    </row>
    <row r="153" spans="1:32" ht="15" customHeight="1">
      <c r="A153" s="10" t="s">
        <v>204</v>
      </c>
      <c r="B153" s="61" t="s">
        <v>305</v>
      </c>
      <c r="C153" s="10">
        <v>1879.08</v>
      </c>
      <c r="D153" s="10">
        <v>416.67</v>
      </c>
      <c r="E153" s="10">
        <v>1089.56</v>
      </c>
      <c r="F153" s="10">
        <v>797.9</v>
      </c>
      <c r="G153" s="10">
        <v>869.38</v>
      </c>
      <c r="H153" s="10">
        <v>323.69</v>
      </c>
      <c r="I153" s="10">
        <v>705.3</v>
      </c>
      <c r="J153" s="10">
        <v>1030.02</v>
      </c>
      <c r="K153" s="10">
        <v>1177.79</v>
      </c>
      <c r="L153" s="10">
        <v>0</v>
      </c>
      <c r="M153" s="10">
        <v>0</v>
      </c>
      <c r="N153" s="10">
        <v>1109.6099999999999</v>
      </c>
      <c r="O153" s="10">
        <v>470.6</v>
      </c>
      <c r="P153" s="10">
        <v>171.65</v>
      </c>
      <c r="Q153" s="10">
        <v>0</v>
      </c>
      <c r="R153" s="10">
        <v>874.11</v>
      </c>
      <c r="S153" s="10">
        <v>797.05</v>
      </c>
      <c r="T153" s="10">
        <v>981.17</v>
      </c>
      <c r="U153" s="10">
        <v>977.33</v>
      </c>
      <c r="V153" s="10">
        <v>658.16</v>
      </c>
      <c r="W153" s="10">
        <v>1060.75</v>
      </c>
      <c r="X153" s="10">
        <v>0</v>
      </c>
      <c r="Y153" s="10">
        <v>380.21</v>
      </c>
      <c r="Z153" s="10">
        <v>0</v>
      </c>
      <c r="AA153" s="10">
        <v>523.91999999999996</v>
      </c>
      <c r="AB153" s="10">
        <v>1575.37</v>
      </c>
      <c r="AC153" s="10">
        <v>454.53</v>
      </c>
      <c r="AD153" s="10">
        <v>0</v>
      </c>
      <c r="AE153" s="10">
        <v>0</v>
      </c>
      <c r="AF153" s="10">
        <v>0</v>
      </c>
    </row>
    <row r="154" spans="1:32" ht="15" customHeight="1">
      <c r="A154" s="10" t="s">
        <v>204</v>
      </c>
      <c r="B154" s="10" t="s">
        <v>356</v>
      </c>
      <c r="C154" s="10">
        <v>0</v>
      </c>
      <c r="D154" s="10">
        <v>0</v>
      </c>
      <c r="E154" s="10">
        <v>0</v>
      </c>
      <c r="F154" s="10">
        <v>428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868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899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 ht="15" customHeight="1">
      <c r="A155" s="10" t="s">
        <v>204</v>
      </c>
      <c r="B155" s="61" t="s">
        <v>307</v>
      </c>
      <c r="C155" s="10">
        <v>600</v>
      </c>
      <c r="D155" s="10">
        <v>1399.02</v>
      </c>
      <c r="E155" s="10">
        <v>645.59</v>
      </c>
      <c r="F155" s="10">
        <v>0</v>
      </c>
      <c r="G155" s="10">
        <v>1134.76</v>
      </c>
      <c r="H155" s="10">
        <v>1341.38</v>
      </c>
      <c r="I155" s="10">
        <v>959.53</v>
      </c>
      <c r="J155" s="10">
        <v>850.09</v>
      </c>
      <c r="K155" s="10">
        <v>0</v>
      </c>
      <c r="L155" s="10">
        <v>1549.51</v>
      </c>
      <c r="M155" s="10">
        <v>0</v>
      </c>
      <c r="N155" s="10">
        <v>0</v>
      </c>
      <c r="O155" s="10">
        <v>0</v>
      </c>
      <c r="P155" s="10">
        <v>0</v>
      </c>
      <c r="Q155" s="10">
        <v>363.85</v>
      </c>
      <c r="R155" s="10">
        <v>1673.84</v>
      </c>
      <c r="S155" s="10">
        <v>0</v>
      </c>
      <c r="T155" s="10">
        <v>785.89</v>
      </c>
      <c r="U155" s="10">
        <v>0</v>
      </c>
      <c r="V155" s="10">
        <v>0</v>
      </c>
      <c r="W155" s="10">
        <v>604.03</v>
      </c>
      <c r="X155" s="10">
        <v>1492.31</v>
      </c>
      <c r="Y155" s="10">
        <v>1502.63</v>
      </c>
      <c r="Z155" s="10">
        <v>1672.93</v>
      </c>
      <c r="AA155" s="10">
        <v>0</v>
      </c>
      <c r="AB155" s="10">
        <v>1485.18</v>
      </c>
      <c r="AC155" s="10">
        <v>0</v>
      </c>
      <c r="AD155" s="10">
        <v>0</v>
      </c>
      <c r="AE155" s="10">
        <v>0</v>
      </c>
      <c r="AF155" s="10">
        <v>0</v>
      </c>
    </row>
    <row r="156" spans="1:32" ht="15" customHeight="1">
      <c r="A156" s="10" t="s">
        <v>145</v>
      </c>
      <c r="B156" s="61" t="s">
        <v>278</v>
      </c>
      <c r="C156" s="10">
        <v>1462.5</v>
      </c>
      <c r="D156" s="10">
        <v>0</v>
      </c>
      <c r="E156" s="10">
        <v>770.24</v>
      </c>
      <c r="F156" s="10">
        <v>1022.45</v>
      </c>
      <c r="G156" s="10">
        <v>456.36</v>
      </c>
      <c r="H156" s="10">
        <v>254.84</v>
      </c>
      <c r="I156" s="10">
        <v>477.04</v>
      </c>
      <c r="J156" s="10">
        <v>973.03</v>
      </c>
      <c r="K156" s="10">
        <v>0</v>
      </c>
      <c r="L156" s="10">
        <v>1640.58</v>
      </c>
      <c r="M156" s="10">
        <v>0</v>
      </c>
      <c r="N156" s="10">
        <v>1188.01</v>
      </c>
      <c r="O156" s="10">
        <v>332.27</v>
      </c>
      <c r="P156" s="10">
        <v>400.59</v>
      </c>
      <c r="Q156" s="10">
        <v>0</v>
      </c>
      <c r="R156" s="10">
        <v>557.69000000000005</v>
      </c>
      <c r="S156" s="10">
        <v>1094.8399999999999</v>
      </c>
      <c r="T156" s="10">
        <v>640.32000000000005</v>
      </c>
      <c r="U156" s="10">
        <v>1264.26</v>
      </c>
      <c r="V156" s="10">
        <v>667.29</v>
      </c>
      <c r="W156" s="10">
        <v>804.24</v>
      </c>
      <c r="X156" s="10">
        <v>0</v>
      </c>
      <c r="Y156" s="10">
        <v>630.36</v>
      </c>
      <c r="Z156" s="10">
        <v>0</v>
      </c>
      <c r="AA156" s="10">
        <v>850.72</v>
      </c>
      <c r="AB156" s="10">
        <v>1698.79</v>
      </c>
      <c r="AC156" s="10">
        <v>171.24</v>
      </c>
      <c r="AD156" s="10">
        <v>416.67</v>
      </c>
      <c r="AE156" s="10">
        <v>1399.02</v>
      </c>
      <c r="AF156" s="10">
        <v>0</v>
      </c>
    </row>
    <row r="157" spans="1:32" ht="15" customHeight="1">
      <c r="A157" s="10" t="s">
        <v>145</v>
      </c>
      <c r="B157" s="61" t="s">
        <v>280</v>
      </c>
      <c r="C157" s="10">
        <v>300</v>
      </c>
      <c r="D157" s="10">
        <v>770.24</v>
      </c>
      <c r="E157" s="10">
        <v>0</v>
      </c>
      <c r="F157" s="10">
        <v>0</v>
      </c>
      <c r="G157" s="10">
        <v>501.4</v>
      </c>
      <c r="H157" s="10">
        <v>767.87</v>
      </c>
      <c r="I157" s="10">
        <v>406.5</v>
      </c>
      <c r="J157" s="10">
        <v>692.16</v>
      </c>
      <c r="K157" s="10">
        <v>0</v>
      </c>
      <c r="L157" s="10">
        <v>1325.38</v>
      </c>
      <c r="M157" s="10">
        <v>0</v>
      </c>
      <c r="N157" s="10">
        <v>0</v>
      </c>
      <c r="O157" s="10">
        <v>1075.07</v>
      </c>
      <c r="P157" s="10">
        <v>1146.05</v>
      </c>
      <c r="Q157" s="10">
        <v>924.14</v>
      </c>
      <c r="R157" s="10">
        <v>1040.22</v>
      </c>
      <c r="S157" s="10">
        <v>0</v>
      </c>
      <c r="T157" s="10">
        <v>140.4</v>
      </c>
      <c r="U157" s="10">
        <v>0</v>
      </c>
      <c r="V157" s="10">
        <v>0</v>
      </c>
      <c r="W157" s="10">
        <v>192.2</v>
      </c>
      <c r="X157" s="10">
        <v>1636.14</v>
      </c>
      <c r="Y157" s="10">
        <v>1037.53</v>
      </c>
      <c r="Z157" s="10">
        <v>0</v>
      </c>
      <c r="AA157" s="10">
        <v>0</v>
      </c>
      <c r="AB157" s="10">
        <v>1535.26</v>
      </c>
      <c r="AC157" s="10">
        <v>903.98</v>
      </c>
      <c r="AD157" s="10">
        <v>1089.56</v>
      </c>
      <c r="AE157" s="10">
        <v>645.59</v>
      </c>
      <c r="AF157" s="10">
        <v>0</v>
      </c>
    </row>
    <row r="158" spans="1:32" ht="15" customHeight="1">
      <c r="A158" s="10" t="s">
        <v>145</v>
      </c>
      <c r="B158" s="61" t="s">
        <v>281</v>
      </c>
      <c r="C158" s="10">
        <v>0</v>
      </c>
      <c r="D158" s="10">
        <v>1022.45</v>
      </c>
      <c r="E158" s="10">
        <v>0</v>
      </c>
      <c r="F158" s="10">
        <v>0</v>
      </c>
      <c r="G158" s="10">
        <v>1415.45</v>
      </c>
      <c r="H158" s="10">
        <v>1087.05</v>
      </c>
      <c r="I158" s="10">
        <v>1458.02</v>
      </c>
      <c r="J158" s="10">
        <v>0</v>
      </c>
      <c r="K158" s="10">
        <v>0</v>
      </c>
      <c r="L158" s="10">
        <v>0</v>
      </c>
      <c r="M158" s="10">
        <v>0</v>
      </c>
      <c r="N158" s="10">
        <v>453.95</v>
      </c>
      <c r="O158" s="10">
        <v>753.16</v>
      </c>
      <c r="P158" s="10">
        <v>671.18</v>
      </c>
      <c r="Q158" s="10">
        <v>0</v>
      </c>
      <c r="R158" s="10">
        <v>1075.51</v>
      </c>
      <c r="S158" s="10">
        <v>0</v>
      </c>
      <c r="T158" s="10">
        <v>0</v>
      </c>
      <c r="U158" s="10">
        <v>0</v>
      </c>
      <c r="V158" s="10">
        <v>489.51</v>
      </c>
      <c r="W158" s="10">
        <v>0</v>
      </c>
      <c r="X158" s="10">
        <v>0</v>
      </c>
      <c r="Y158" s="10">
        <v>1129.69</v>
      </c>
      <c r="Z158" s="10">
        <v>0</v>
      </c>
      <c r="AA158" s="10">
        <v>343.03</v>
      </c>
      <c r="AB158" s="10">
        <v>0</v>
      </c>
      <c r="AC158" s="10">
        <v>908.29</v>
      </c>
      <c r="AD158" s="10">
        <v>797.9</v>
      </c>
      <c r="AE158" s="10">
        <v>0</v>
      </c>
      <c r="AF158" s="10">
        <v>428</v>
      </c>
    </row>
    <row r="159" spans="1:32" ht="15" customHeight="1">
      <c r="A159" s="10" t="s">
        <v>145</v>
      </c>
      <c r="B159" s="61" t="s">
        <v>282</v>
      </c>
      <c r="C159" s="10">
        <v>350</v>
      </c>
      <c r="D159" s="10">
        <v>456.36</v>
      </c>
      <c r="E159" s="10">
        <v>501.4</v>
      </c>
      <c r="F159" s="10">
        <v>1415.45</v>
      </c>
      <c r="G159" s="10">
        <v>0</v>
      </c>
      <c r="H159" s="10">
        <v>619.89</v>
      </c>
      <c r="I159" s="10">
        <v>504.62</v>
      </c>
      <c r="J159" s="10">
        <v>1027.05</v>
      </c>
      <c r="K159" s="10">
        <v>0</v>
      </c>
      <c r="L159" s="10">
        <v>1204.01</v>
      </c>
      <c r="M159" s="10">
        <v>0</v>
      </c>
      <c r="N159" s="10">
        <v>0</v>
      </c>
      <c r="O159" s="10">
        <v>662.94</v>
      </c>
      <c r="P159" s="10">
        <v>850.87</v>
      </c>
      <c r="Q159" s="10">
        <v>0</v>
      </c>
      <c r="R159" s="10">
        <v>540.01</v>
      </c>
      <c r="S159" s="10">
        <v>0</v>
      </c>
      <c r="T159" s="10">
        <v>367.02</v>
      </c>
      <c r="U159" s="10">
        <v>0</v>
      </c>
      <c r="V159" s="10">
        <v>978.2</v>
      </c>
      <c r="W159" s="10">
        <v>637.54999999999995</v>
      </c>
      <c r="X159" s="10">
        <v>0</v>
      </c>
      <c r="Y159" s="10">
        <v>1001.53</v>
      </c>
      <c r="Z159" s="10">
        <v>0</v>
      </c>
      <c r="AA159" s="10">
        <v>1292.28</v>
      </c>
      <c r="AB159" s="10">
        <v>1857.41</v>
      </c>
      <c r="AC159" s="10">
        <v>511.84</v>
      </c>
      <c r="AD159" s="10">
        <v>869.38</v>
      </c>
      <c r="AE159" s="10">
        <v>1134.76</v>
      </c>
      <c r="AF159" s="10">
        <v>0</v>
      </c>
    </row>
    <row r="160" spans="1:32" ht="15" customHeight="1">
      <c r="A160" s="10" t="s">
        <v>145</v>
      </c>
      <c r="B160" s="61" t="s">
        <v>283</v>
      </c>
      <c r="C160" s="10">
        <v>1630.33</v>
      </c>
      <c r="D160" s="10">
        <v>254.84</v>
      </c>
      <c r="E160" s="10">
        <v>767.87</v>
      </c>
      <c r="F160" s="10">
        <v>1087.05</v>
      </c>
      <c r="G160" s="10">
        <v>619.89</v>
      </c>
      <c r="H160" s="10">
        <v>0</v>
      </c>
      <c r="I160" s="10">
        <v>382.63</v>
      </c>
      <c r="J160" s="10">
        <v>777.76</v>
      </c>
      <c r="K160" s="10">
        <v>1194.05</v>
      </c>
      <c r="L160" s="10">
        <v>0</v>
      </c>
      <c r="M160" s="10">
        <v>0</v>
      </c>
      <c r="N160" s="10">
        <v>1334.1</v>
      </c>
      <c r="O160" s="10">
        <v>528.63</v>
      </c>
      <c r="P160" s="10">
        <v>415.87</v>
      </c>
      <c r="Q160" s="10">
        <v>0</v>
      </c>
      <c r="R160" s="10">
        <v>812.43</v>
      </c>
      <c r="S160" s="10">
        <v>850.9</v>
      </c>
      <c r="T160" s="10">
        <v>665.24</v>
      </c>
      <c r="U160" s="10">
        <v>1016.04</v>
      </c>
      <c r="V160" s="10">
        <v>829.38</v>
      </c>
      <c r="W160" s="10">
        <v>738.71</v>
      </c>
      <c r="X160" s="10">
        <v>1642</v>
      </c>
      <c r="Y160" s="10">
        <v>390.18</v>
      </c>
      <c r="Z160" s="10">
        <v>0</v>
      </c>
      <c r="AA160" s="10">
        <v>842.37</v>
      </c>
      <c r="AB160" s="10">
        <v>1454.22</v>
      </c>
      <c r="AC160" s="10">
        <v>404.31</v>
      </c>
      <c r="AD160" s="10">
        <v>323.69</v>
      </c>
      <c r="AE160" s="10">
        <v>1341.38</v>
      </c>
      <c r="AF160" s="10">
        <v>0</v>
      </c>
    </row>
    <row r="161" spans="1:32" ht="15" customHeight="1">
      <c r="A161" s="10" t="s">
        <v>145</v>
      </c>
      <c r="B161" s="61" t="s">
        <v>284</v>
      </c>
      <c r="C161" s="10">
        <v>500</v>
      </c>
      <c r="D161" s="10">
        <v>477.04</v>
      </c>
      <c r="E161" s="10">
        <v>406.5</v>
      </c>
      <c r="F161" s="10">
        <v>1458.02</v>
      </c>
      <c r="G161" s="10">
        <v>504.62</v>
      </c>
      <c r="H161" s="10">
        <v>382.63</v>
      </c>
      <c r="I161" s="10">
        <v>0</v>
      </c>
      <c r="J161" s="10">
        <v>540.49</v>
      </c>
      <c r="K161" s="10">
        <v>1281.04</v>
      </c>
      <c r="L161" s="10">
        <v>1624.96</v>
      </c>
      <c r="M161" s="10">
        <v>1750.79</v>
      </c>
      <c r="N161" s="10">
        <v>1662.66</v>
      </c>
      <c r="O161" s="10">
        <v>809.27</v>
      </c>
      <c r="P161" s="10">
        <v>790.13</v>
      </c>
      <c r="Q161" s="10">
        <v>1286.0899999999999</v>
      </c>
      <c r="R161" s="10">
        <v>934.15</v>
      </c>
      <c r="S161" s="10">
        <v>1015.33</v>
      </c>
      <c r="T161" s="10">
        <v>339.26</v>
      </c>
      <c r="U161" s="10">
        <v>1144.5999999999999</v>
      </c>
      <c r="V161" s="10">
        <v>1143.0899999999999</v>
      </c>
      <c r="W161" s="10">
        <v>356.15</v>
      </c>
      <c r="X161" s="10">
        <v>1503.63</v>
      </c>
      <c r="Y161" s="10">
        <v>633.87</v>
      </c>
      <c r="Z161" s="10">
        <v>0</v>
      </c>
      <c r="AA161" s="10">
        <v>1224.8499999999999</v>
      </c>
      <c r="AB161" s="10">
        <v>1354.27</v>
      </c>
      <c r="AC161" s="10">
        <v>643.65</v>
      </c>
      <c r="AD161" s="10">
        <v>705.3</v>
      </c>
      <c r="AE161" s="10">
        <v>959.53</v>
      </c>
      <c r="AF161" s="10">
        <v>0</v>
      </c>
    </row>
    <row r="162" spans="1:32">
      <c r="A162" s="10" t="s">
        <v>145</v>
      </c>
      <c r="B162" s="61" t="s">
        <v>285</v>
      </c>
      <c r="C162" s="10">
        <v>1789.51</v>
      </c>
      <c r="D162" s="10">
        <v>973.03</v>
      </c>
      <c r="E162" s="10">
        <v>692.16</v>
      </c>
      <c r="F162" s="10">
        <v>0</v>
      </c>
      <c r="G162" s="10">
        <v>1027.05</v>
      </c>
      <c r="H162" s="10">
        <v>777.76</v>
      </c>
      <c r="I162" s="10">
        <v>540.49</v>
      </c>
      <c r="J162" s="10">
        <v>0</v>
      </c>
      <c r="K162" s="10">
        <v>978.44</v>
      </c>
      <c r="L162" s="10">
        <v>0</v>
      </c>
      <c r="M162" s="10">
        <v>1298.0899999999999</v>
      </c>
      <c r="N162" s="10">
        <v>0</v>
      </c>
      <c r="O162" s="10">
        <v>1294.23</v>
      </c>
      <c r="P162" s="10">
        <v>1171.94</v>
      </c>
      <c r="Q162" s="10">
        <v>1213.43</v>
      </c>
      <c r="R162" s="10">
        <v>1472.56</v>
      </c>
      <c r="S162" s="10">
        <v>873.01</v>
      </c>
      <c r="T162" s="10">
        <v>737.81</v>
      </c>
      <c r="U162" s="10">
        <v>921.65</v>
      </c>
      <c r="V162" s="10">
        <v>0</v>
      </c>
      <c r="W162" s="10">
        <v>503.89</v>
      </c>
      <c r="X162" s="10">
        <v>700</v>
      </c>
      <c r="Y162" s="10">
        <v>745.5</v>
      </c>
      <c r="Z162" s="10">
        <v>0</v>
      </c>
      <c r="AA162" s="10">
        <v>1533.41</v>
      </c>
      <c r="AB162" s="10">
        <v>400</v>
      </c>
      <c r="AC162" s="10">
        <v>1144.1199999999999</v>
      </c>
      <c r="AD162" s="10">
        <v>1030.02</v>
      </c>
      <c r="AE162" s="10">
        <v>850.09</v>
      </c>
      <c r="AF162" s="10">
        <v>0</v>
      </c>
    </row>
    <row r="163" spans="1:32" ht="15" customHeight="1">
      <c r="A163" s="10" t="s">
        <v>145</v>
      </c>
      <c r="B163" s="61" t="s">
        <v>308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1194.05</v>
      </c>
      <c r="I163" s="10">
        <v>1281.04</v>
      </c>
      <c r="J163" s="10">
        <v>978.44</v>
      </c>
      <c r="K163" s="10">
        <v>0</v>
      </c>
      <c r="L163" s="10">
        <v>0</v>
      </c>
      <c r="M163" s="10">
        <v>647.91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384.47</v>
      </c>
      <c r="T163" s="10">
        <v>0</v>
      </c>
      <c r="U163" s="10">
        <v>205.65</v>
      </c>
      <c r="V163" s="10">
        <v>0</v>
      </c>
      <c r="W163" s="10">
        <v>0</v>
      </c>
      <c r="X163" s="10">
        <v>885</v>
      </c>
      <c r="Y163" s="10">
        <v>825.43</v>
      </c>
      <c r="Z163" s="10">
        <v>0</v>
      </c>
      <c r="AA163" s="10">
        <v>0</v>
      </c>
      <c r="AB163" s="10">
        <v>661.72</v>
      </c>
      <c r="AC163" s="10">
        <v>0</v>
      </c>
      <c r="AD163" s="10">
        <v>1177.79</v>
      </c>
      <c r="AE163" s="10">
        <v>0</v>
      </c>
      <c r="AF163" s="10">
        <v>0</v>
      </c>
    </row>
    <row r="164" spans="1:32" ht="15" customHeight="1">
      <c r="A164" s="10" t="s">
        <v>145</v>
      </c>
      <c r="B164" s="61" t="s">
        <v>286</v>
      </c>
      <c r="C164" s="10">
        <v>229.59</v>
      </c>
      <c r="D164" s="10">
        <v>1640.58</v>
      </c>
      <c r="E164" s="10">
        <v>1325.38</v>
      </c>
      <c r="F164" s="10">
        <v>0</v>
      </c>
      <c r="G164" s="10">
        <v>1204.01</v>
      </c>
      <c r="H164" s="10">
        <v>0</v>
      </c>
      <c r="I164" s="10">
        <v>1624.96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1723.59</v>
      </c>
      <c r="P164" s="10">
        <v>0</v>
      </c>
      <c r="Q164" s="10">
        <v>1479.45</v>
      </c>
      <c r="R164" s="10">
        <v>1341.02</v>
      </c>
      <c r="S164" s="10">
        <v>0</v>
      </c>
      <c r="T164" s="10">
        <v>1307.3599999999999</v>
      </c>
      <c r="U164" s="10">
        <v>0</v>
      </c>
      <c r="V164" s="10">
        <v>0</v>
      </c>
      <c r="W164" s="10">
        <v>1513.18</v>
      </c>
      <c r="X164" s="10">
        <v>0</v>
      </c>
      <c r="Y164" s="10">
        <v>0</v>
      </c>
      <c r="Z164" s="10">
        <v>421.67</v>
      </c>
      <c r="AA164" s="10">
        <v>0</v>
      </c>
      <c r="AB164" s="10">
        <v>0</v>
      </c>
      <c r="AC164" s="10">
        <v>1632.96</v>
      </c>
      <c r="AD164" s="10">
        <v>0</v>
      </c>
      <c r="AE164" s="10">
        <v>1549.51</v>
      </c>
      <c r="AF164" s="10">
        <v>0</v>
      </c>
    </row>
    <row r="165" spans="1:32" ht="15" customHeight="1">
      <c r="A165" s="10" t="s">
        <v>145</v>
      </c>
      <c r="B165" s="61" t="s">
        <v>287</v>
      </c>
      <c r="C165" s="10">
        <v>0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1750.79</v>
      </c>
      <c r="J165" s="10">
        <v>1298.0899999999999</v>
      </c>
      <c r="K165" s="10">
        <v>647.91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1026.31</v>
      </c>
      <c r="T165" s="10">
        <v>0</v>
      </c>
      <c r="U165" s="10">
        <v>852.16</v>
      </c>
      <c r="V165" s="10">
        <v>0</v>
      </c>
      <c r="W165" s="10">
        <v>0</v>
      </c>
      <c r="X165" s="10">
        <v>1000</v>
      </c>
      <c r="Y165" s="10">
        <v>1430.78</v>
      </c>
      <c r="Z165" s="10">
        <v>0</v>
      </c>
      <c r="AA165" s="10">
        <v>0</v>
      </c>
      <c r="AB165" s="10">
        <v>505.83</v>
      </c>
      <c r="AC165" s="10">
        <v>0</v>
      </c>
      <c r="AD165" s="10">
        <v>0</v>
      </c>
      <c r="AE165" s="10">
        <v>0</v>
      </c>
      <c r="AF165" s="10">
        <v>0</v>
      </c>
    </row>
    <row r="166" spans="1:32" ht="15" customHeight="1">
      <c r="A166" s="10" t="s">
        <v>145</v>
      </c>
      <c r="B166" s="61" t="s">
        <v>288</v>
      </c>
      <c r="C166" s="10">
        <v>0</v>
      </c>
      <c r="D166" s="10">
        <v>1462.5</v>
      </c>
      <c r="E166" s="10">
        <v>300</v>
      </c>
      <c r="F166" s="10">
        <v>0</v>
      </c>
      <c r="G166" s="10">
        <v>350</v>
      </c>
      <c r="H166" s="10">
        <v>1630.33</v>
      </c>
      <c r="I166" s="10">
        <v>500</v>
      </c>
      <c r="J166" s="10">
        <v>1789.51</v>
      </c>
      <c r="K166" s="10">
        <v>0</v>
      </c>
      <c r="L166" s="10">
        <v>229.59</v>
      </c>
      <c r="M166" s="10">
        <v>0</v>
      </c>
      <c r="N166" s="10">
        <v>2201.09</v>
      </c>
      <c r="O166" s="10">
        <v>1577.99</v>
      </c>
      <c r="P166" s="10">
        <v>1838.39</v>
      </c>
      <c r="Q166" s="10">
        <v>1284.49</v>
      </c>
      <c r="R166" s="10">
        <v>1000</v>
      </c>
      <c r="S166" s="10">
        <v>0</v>
      </c>
      <c r="T166" s="10">
        <v>1087.05</v>
      </c>
      <c r="U166" s="10">
        <v>0</v>
      </c>
      <c r="V166" s="10">
        <v>1809.09</v>
      </c>
      <c r="W166" s="10">
        <v>1285.6600000000001</v>
      </c>
      <c r="X166" s="10">
        <v>2702.36</v>
      </c>
      <c r="Y166" s="10">
        <v>2000.6</v>
      </c>
      <c r="Z166" s="10">
        <v>560.61</v>
      </c>
      <c r="AA166" s="10">
        <v>2252.62</v>
      </c>
      <c r="AB166" s="10">
        <v>2623.55</v>
      </c>
      <c r="AC166" s="10">
        <v>1472.14</v>
      </c>
      <c r="AD166" s="10">
        <v>1879.08</v>
      </c>
      <c r="AE166" s="10">
        <v>600</v>
      </c>
      <c r="AF166" s="10">
        <v>0</v>
      </c>
    </row>
    <row r="167" spans="1:32" ht="15" customHeight="1">
      <c r="A167" s="10" t="s">
        <v>145</v>
      </c>
      <c r="B167" s="61" t="s">
        <v>289</v>
      </c>
      <c r="C167" s="10">
        <v>2201.09</v>
      </c>
      <c r="D167" s="10">
        <v>1188.01</v>
      </c>
      <c r="E167" s="10">
        <v>0</v>
      </c>
      <c r="F167" s="10">
        <v>453.95</v>
      </c>
      <c r="G167" s="10">
        <v>0</v>
      </c>
      <c r="H167" s="10">
        <v>1334.1</v>
      </c>
      <c r="I167" s="10">
        <v>1662.66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859.98</v>
      </c>
      <c r="P167" s="10">
        <v>947.65</v>
      </c>
      <c r="Q167" s="10">
        <v>0</v>
      </c>
      <c r="R167" s="10">
        <v>1007.1</v>
      </c>
      <c r="S167" s="10">
        <v>0</v>
      </c>
      <c r="T167" s="10">
        <v>0</v>
      </c>
      <c r="U167" s="10">
        <v>0</v>
      </c>
      <c r="V167" s="10">
        <v>521.16</v>
      </c>
      <c r="W167" s="10">
        <v>0</v>
      </c>
      <c r="X167" s="10">
        <v>0</v>
      </c>
      <c r="Y167" s="10">
        <v>1480.09</v>
      </c>
      <c r="Z167" s="10">
        <v>0</v>
      </c>
      <c r="AA167" s="10">
        <v>772.6</v>
      </c>
      <c r="AB167" s="10">
        <v>0</v>
      </c>
      <c r="AC167" s="10">
        <v>1031.6199999999999</v>
      </c>
      <c r="AD167" s="10">
        <v>1109.6099999999999</v>
      </c>
      <c r="AE167" s="10">
        <v>0</v>
      </c>
      <c r="AF167" s="10">
        <v>868</v>
      </c>
    </row>
    <row r="168" spans="1:32" ht="15" customHeight="1">
      <c r="A168" s="10" t="s">
        <v>145</v>
      </c>
      <c r="B168" s="61" t="s">
        <v>290</v>
      </c>
      <c r="C168" s="10">
        <v>1577.99</v>
      </c>
      <c r="D168" s="10">
        <v>332.27</v>
      </c>
      <c r="E168" s="10">
        <v>1075.07</v>
      </c>
      <c r="F168" s="10">
        <v>753.16</v>
      </c>
      <c r="G168" s="10">
        <v>662.94</v>
      </c>
      <c r="H168" s="10">
        <v>528.63</v>
      </c>
      <c r="I168" s="10">
        <v>809.27</v>
      </c>
      <c r="J168" s="10">
        <v>1294.23</v>
      </c>
      <c r="K168" s="10">
        <v>0</v>
      </c>
      <c r="L168" s="10">
        <v>1723.59</v>
      </c>
      <c r="M168" s="10">
        <v>0</v>
      </c>
      <c r="N168" s="10">
        <v>859.98</v>
      </c>
      <c r="O168" s="10">
        <v>0</v>
      </c>
      <c r="P168" s="10">
        <v>331.49</v>
      </c>
      <c r="Q168" s="10">
        <v>0</v>
      </c>
      <c r="R168" s="10">
        <v>427.99</v>
      </c>
      <c r="S168" s="10">
        <v>1262.6500000000001</v>
      </c>
      <c r="T168" s="10">
        <v>938.11</v>
      </c>
      <c r="U168" s="10">
        <v>0</v>
      </c>
      <c r="V168" s="10">
        <v>339.14</v>
      </c>
      <c r="W168" s="10">
        <v>1129.3900000000001</v>
      </c>
      <c r="X168" s="10">
        <v>0</v>
      </c>
      <c r="Y168" s="10">
        <v>818.17</v>
      </c>
      <c r="Z168" s="10">
        <v>0</v>
      </c>
      <c r="AA168" s="10">
        <v>677.09</v>
      </c>
      <c r="AB168" s="10">
        <v>1974.19</v>
      </c>
      <c r="AC168" s="10">
        <v>171.93</v>
      </c>
      <c r="AD168" s="10">
        <v>470.6</v>
      </c>
      <c r="AE168" s="10">
        <v>0</v>
      </c>
      <c r="AF168" s="10">
        <v>0</v>
      </c>
    </row>
    <row r="169" spans="1:32" ht="15" customHeight="1">
      <c r="A169" s="10" t="s">
        <v>145</v>
      </c>
      <c r="B169" s="61" t="s">
        <v>291</v>
      </c>
      <c r="C169" s="10">
        <v>1838.39</v>
      </c>
      <c r="D169" s="10">
        <v>400.59</v>
      </c>
      <c r="E169" s="10">
        <v>1146.05</v>
      </c>
      <c r="F169" s="10">
        <v>671.18</v>
      </c>
      <c r="G169" s="10">
        <v>850.87</v>
      </c>
      <c r="H169" s="10">
        <v>415.87</v>
      </c>
      <c r="I169" s="10">
        <v>790.13</v>
      </c>
      <c r="J169" s="10">
        <v>1171.94</v>
      </c>
      <c r="K169" s="10">
        <v>0</v>
      </c>
      <c r="L169" s="10">
        <v>0</v>
      </c>
      <c r="M169" s="10">
        <v>0</v>
      </c>
      <c r="N169" s="10">
        <v>947.65</v>
      </c>
      <c r="O169" s="10">
        <v>331.49</v>
      </c>
      <c r="P169" s="10">
        <v>0</v>
      </c>
      <c r="Q169" s="10">
        <v>0</v>
      </c>
      <c r="R169" s="10">
        <v>755.26</v>
      </c>
      <c r="S169" s="10">
        <v>961.23</v>
      </c>
      <c r="T169" s="10">
        <v>1025.1099999999999</v>
      </c>
      <c r="U169" s="10">
        <v>1141.83</v>
      </c>
      <c r="V169" s="10">
        <v>486.51</v>
      </c>
      <c r="W169" s="10">
        <v>1144.4000000000001</v>
      </c>
      <c r="X169" s="10">
        <v>0</v>
      </c>
      <c r="Y169" s="10">
        <v>551.72</v>
      </c>
      <c r="Z169" s="10">
        <v>0</v>
      </c>
      <c r="AA169" s="10">
        <v>452.36</v>
      </c>
      <c r="AB169" s="10">
        <v>1745.85</v>
      </c>
      <c r="AC169" s="10">
        <v>369.97</v>
      </c>
      <c r="AD169" s="10">
        <v>171.65</v>
      </c>
      <c r="AE169" s="10">
        <v>0</v>
      </c>
      <c r="AF169" s="10">
        <v>0</v>
      </c>
    </row>
    <row r="170" spans="1:32" ht="15" customHeight="1">
      <c r="A170" s="10" t="s">
        <v>145</v>
      </c>
      <c r="B170" s="61" t="s">
        <v>292</v>
      </c>
      <c r="C170" s="10">
        <v>1284.49</v>
      </c>
      <c r="D170" s="10">
        <v>0</v>
      </c>
      <c r="E170" s="10">
        <v>924.14</v>
      </c>
      <c r="F170" s="10">
        <v>0</v>
      </c>
      <c r="G170" s="10">
        <v>0</v>
      </c>
      <c r="H170" s="10">
        <v>0</v>
      </c>
      <c r="I170" s="10">
        <v>1286.0899999999999</v>
      </c>
      <c r="J170" s="10">
        <v>1213.43</v>
      </c>
      <c r="K170" s="10">
        <v>0</v>
      </c>
      <c r="L170" s="10">
        <v>1479.45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1057.17</v>
      </c>
      <c r="U170" s="10">
        <v>0</v>
      </c>
      <c r="V170" s="10">
        <v>0</v>
      </c>
      <c r="W170" s="10">
        <v>932.26</v>
      </c>
      <c r="X170" s="10">
        <v>1780.16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363.85</v>
      </c>
      <c r="AF170" s="10">
        <v>0</v>
      </c>
    </row>
    <row r="171" spans="1:32" ht="15" customHeight="1">
      <c r="A171" s="10" t="s">
        <v>145</v>
      </c>
      <c r="B171" s="61" t="s">
        <v>293</v>
      </c>
      <c r="C171" s="10">
        <v>1000</v>
      </c>
      <c r="D171" s="10">
        <v>557.69000000000005</v>
      </c>
      <c r="E171" s="10">
        <v>1040.22</v>
      </c>
      <c r="F171" s="10">
        <v>1075.51</v>
      </c>
      <c r="G171" s="10">
        <v>540.01</v>
      </c>
      <c r="H171" s="10">
        <v>812.43</v>
      </c>
      <c r="I171" s="10">
        <v>934.15</v>
      </c>
      <c r="J171" s="10">
        <v>1472.56</v>
      </c>
      <c r="K171" s="10">
        <v>0</v>
      </c>
      <c r="L171" s="10">
        <v>1341.02</v>
      </c>
      <c r="M171" s="10">
        <v>0</v>
      </c>
      <c r="N171" s="10">
        <v>1007.1</v>
      </c>
      <c r="O171" s="10">
        <v>427.99</v>
      </c>
      <c r="P171" s="10">
        <v>755.26</v>
      </c>
      <c r="Q171" s="10">
        <v>0</v>
      </c>
      <c r="R171" s="10">
        <v>0</v>
      </c>
      <c r="S171" s="10">
        <v>0</v>
      </c>
      <c r="T171" s="10">
        <v>903.08</v>
      </c>
      <c r="U171" s="10">
        <v>0</v>
      </c>
      <c r="V171" s="10">
        <v>586.66</v>
      </c>
      <c r="W171" s="10">
        <v>1161.05</v>
      </c>
      <c r="X171" s="10">
        <v>0</v>
      </c>
      <c r="Y171" s="10">
        <v>1174.6600000000001</v>
      </c>
      <c r="Z171" s="10">
        <v>0</v>
      </c>
      <c r="AA171" s="10">
        <v>1082.6300000000001</v>
      </c>
      <c r="AB171" s="10">
        <v>2245.4899999999998</v>
      </c>
      <c r="AC171" s="10">
        <v>429.95</v>
      </c>
      <c r="AD171" s="10">
        <v>874.11</v>
      </c>
      <c r="AE171" s="10">
        <v>1673.84</v>
      </c>
      <c r="AF171" s="10">
        <v>0</v>
      </c>
    </row>
    <row r="172" spans="1:32" ht="15" customHeight="1">
      <c r="A172" s="10" t="s">
        <v>145</v>
      </c>
      <c r="B172" s="61" t="s">
        <v>309</v>
      </c>
      <c r="C172" s="10">
        <v>0</v>
      </c>
      <c r="D172" s="10">
        <v>1094.8399999999999</v>
      </c>
      <c r="E172" s="10">
        <v>0</v>
      </c>
      <c r="F172" s="10">
        <v>0</v>
      </c>
      <c r="G172" s="10">
        <v>0</v>
      </c>
      <c r="H172" s="10">
        <v>850.9</v>
      </c>
      <c r="I172" s="10">
        <v>1015.33</v>
      </c>
      <c r="J172" s="10">
        <v>873.01</v>
      </c>
      <c r="K172" s="10">
        <v>384.47</v>
      </c>
      <c r="L172" s="10">
        <v>0</v>
      </c>
      <c r="M172" s="10">
        <v>1026.31</v>
      </c>
      <c r="N172" s="10">
        <v>0</v>
      </c>
      <c r="O172" s="10">
        <v>1262.6500000000001</v>
      </c>
      <c r="P172" s="10">
        <v>961.23</v>
      </c>
      <c r="Q172" s="10">
        <v>0</v>
      </c>
      <c r="R172" s="10">
        <v>0</v>
      </c>
      <c r="S172" s="10">
        <v>0</v>
      </c>
      <c r="T172" s="10">
        <v>0</v>
      </c>
      <c r="U172" s="10">
        <v>180.61</v>
      </c>
      <c r="V172" s="10">
        <v>0</v>
      </c>
      <c r="W172" s="10">
        <v>1249.7</v>
      </c>
      <c r="X172" s="10">
        <v>1153.01</v>
      </c>
      <c r="Y172" s="10">
        <v>464.52</v>
      </c>
      <c r="Z172" s="10">
        <v>0</v>
      </c>
      <c r="AA172" s="10">
        <v>1059.29</v>
      </c>
      <c r="AB172" s="10">
        <v>923.23</v>
      </c>
      <c r="AC172" s="10">
        <v>1207.05</v>
      </c>
      <c r="AD172" s="10">
        <v>797.05</v>
      </c>
      <c r="AE172" s="10">
        <v>0</v>
      </c>
      <c r="AF172" s="10">
        <v>0</v>
      </c>
    </row>
    <row r="173" spans="1:32" ht="15" customHeight="1">
      <c r="A173" s="10" t="s">
        <v>145</v>
      </c>
      <c r="B173" s="61" t="s">
        <v>294</v>
      </c>
      <c r="C173" s="10">
        <v>1087.05</v>
      </c>
      <c r="D173" s="10">
        <v>640.32000000000005</v>
      </c>
      <c r="E173" s="10">
        <v>140.4</v>
      </c>
      <c r="F173" s="10">
        <v>0</v>
      </c>
      <c r="G173" s="10">
        <v>367.02</v>
      </c>
      <c r="H173" s="10">
        <v>665.24</v>
      </c>
      <c r="I173" s="10">
        <v>339.26</v>
      </c>
      <c r="J173" s="10">
        <v>737.81</v>
      </c>
      <c r="K173" s="10">
        <v>0</v>
      </c>
      <c r="L173" s="10">
        <v>1307.3599999999999</v>
      </c>
      <c r="M173" s="10">
        <v>0</v>
      </c>
      <c r="N173" s="10">
        <v>0</v>
      </c>
      <c r="O173" s="10">
        <v>938.11</v>
      </c>
      <c r="P173" s="10">
        <v>1025.1099999999999</v>
      </c>
      <c r="Q173" s="10">
        <v>1057.17</v>
      </c>
      <c r="R173" s="10">
        <v>903.08</v>
      </c>
      <c r="S173" s="10">
        <v>0</v>
      </c>
      <c r="T173" s="10">
        <v>0</v>
      </c>
      <c r="U173" s="10">
        <v>0</v>
      </c>
      <c r="V173" s="10">
        <v>0</v>
      </c>
      <c r="W173" s="10">
        <v>279.54000000000002</v>
      </c>
      <c r="X173" s="10">
        <v>1703.34</v>
      </c>
      <c r="Y173" s="10">
        <v>969.45</v>
      </c>
      <c r="Z173" s="10">
        <v>0</v>
      </c>
      <c r="AA173" s="10">
        <v>0</v>
      </c>
      <c r="AB173" s="10">
        <v>1586.29</v>
      </c>
      <c r="AC173" s="10">
        <v>767.73</v>
      </c>
      <c r="AD173" s="10">
        <v>981.17</v>
      </c>
      <c r="AE173" s="10">
        <v>785.89</v>
      </c>
      <c r="AF173" s="10">
        <v>0</v>
      </c>
    </row>
    <row r="174" spans="1:32" ht="15" customHeight="1">
      <c r="A174" s="10" t="s">
        <v>145</v>
      </c>
      <c r="B174" s="61" t="s">
        <v>310</v>
      </c>
      <c r="C174" s="10">
        <v>0</v>
      </c>
      <c r="D174" s="10">
        <v>1264.26</v>
      </c>
      <c r="E174" s="10">
        <v>0</v>
      </c>
      <c r="F174" s="10">
        <v>0</v>
      </c>
      <c r="G174" s="10">
        <v>0</v>
      </c>
      <c r="H174" s="10">
        <v>1016.04</v>
      </c>
      <c r="I174" s="10">
        <v>1144.5999999999999</v>
      </c>
      <c r="J174" s="10">
        <v>921.65</v>
      </c>
      <c r="K174" s="10">
        <v>205.65</v>
      </c>
      <c r="L174" s="10">
        <v>0</v>
      </c>
      <c r="M174" s="10">
        <v>852.16</v>
      </c>
      <c r="N174" s="10">
        <v>0</v>
      </c>
      <c r="O174" s="10">
        <v>0</v>
      </c>
      <c r="P174" s="10">
        <v>1141.83</v>
      </c>
      <c r="Q174" s="10">
        <v>0</v>
      </c>
      <c r="R174" s="10">
        <v>0</v>
      </c>
      <c r="S174" s="10">
        <v>180.61</v>
      </c>
      <c r="T174" s="10">
        <v>0</v>
      </c>
      <c r="U174" s="10">
        <v>0</v>
      </c>
      <c r="V174" s="10">
        <v>0</v>
      </c>
      <c r="W174" s="10">
        <v>1345.25</v>
      </c>
      <c r="X174" s="10">
        <v>1031.76</v>
      </c>
      <c r="Y174" s="10">
        <v>636.20000000000005</v>
      </c>
      <c r="Z174" s="10">
        <v>0</v>
      </c>
      <c r="AA174" s="10">
        <v>1225.5</v>
      </c>
      <c r="AB174" s="10">
        <v>802.01</v>
      </c>
      <c r="AC174" s="10">
        <v>0</v>
      </c>
      <c r="AD174" s="10">
        <v>977.33</v>
      </c>
      <c r="AE174" s="10">
        <v>0</v>
      </c>
      <c r="AF174" s="10">
        <v>0</v>
      </c>
    </row>
    <row r="175" spans="1:32" ht="15" customHeight="1">
      <c r="A175" s="10" t="s">
        <v>145</v>
      </c>
      <c r="B175" s="61" t="s">
        <v>297</v>
      </c>
      <c r="C175" s="10">
        <v>1285.6600000000001</v>
      </c>
      <c r="D175" s="10">
        <v>804.24</v>
      </c>
      <c r="E175" s="10">
        <v>192.2</v>
      </c>
      <c r="F175" s="10">
        <v>0</v>
      </c>
      <c r="G175" s="10">
        <v>637.54999999999995</v>
      </c>
      <c r="H175" s="10">
        <v>738.71</v>
      </c>
      <c r="I175" s="10">
        <v>356.15</v>
      </c>
      <c r="J175" s="10">
        <v>503.89</v>
      </c>
      <c r="K175" s="10">
        <v>0</v>
      </c>
      <c r="L175" s="10">
        <v>1513.18</v>
      </c>
      <c r="M175" s="10">
        <v>0</v>
      </c>
      <c r="N175" s="10">
        <v>0</v>
      </c>
      <c r="O175" s="10">
        <v>1129.3900000000001</v>
      </c>
      <c r="P175" s="10">
        <v>1144.4000000000001</v>
      </c>
      <c r="Q175" s="10">
        <v>932.26</v>
      </c>
      <c r="R175" s="10">
        <v>1161.05</v>
      </c>
      <c r="S175" s="10">
        <v>1249.7</v>
      </c>
      <c r="T175" s="10">
        <v>279.54000000000002</v>
      </c>
      <c r="U175" s="10">
        <v>1345.25</v>
      </c>
      <c r="V175" s="10">
        <v>0</v>
      </c>
      <c r="W175" s="10">
        <v>0</v>
      </c>
      <c r="X175" s="10">
        <v>1444.25</v>
      </c>
      <c r="Y175" s="10">
        <v>943.16</v>
      </c>
      <c r="Z175" s="10">
        <v>0</v>
      </c>
      <c r="AA175" s="10">
        <v>0</v>
      </c>
      <c r="AB175" s="10">
        <v>1343.75</v>
      </c>
      <c r="AC175" s="10">
        <v>958.07</v>
      </c>
      <c r="AD175" s="10">
        <v>1060.75</v>
      </c>
      <c r="AE175" s="10">
        <v>604.03</v>
      </c>
      <c r="AF175" s="10">
        <v>0</v>
      </c>
    </row>
    <row r="176" spans="1:32" ht="15" customHeight="1">
      <c r="A176" s="10" t="s">
        <v>145</v>
      </c>
      <c r="B176" s="61" t="s">
        <v>298</v>
      </c>
      <c r="C176" s="10">
        <v>2702.36</v>
      </c>
      <c r="D176" s="10">
        <v>0</v>
      </c>
      <c r="E176" s="10">
        <v>1636.14</v>
      </c>
      <c r="F176" s="10">
        <v>0</v>
      </c>
      <c r="G176" s="10">
        <v>0</v>
      </c>
      <c r="H176" s="10">
        <v>1642</v>
      </c>
      <c r="I176" s="10">
        <v>1503.63</v>
      </c>
      <c r="J176" s="10">
        <v>700</v>
      </c>
      <c r="K176" s="10">
        <v>885</v>
      </c>
      <c r="L176" s="10">
        <v>0</v>
      </c>
      <c r="M176" s="10">
        <v>1000</v>
      </c>
      <c r="N176" s="10">
        <v>0</v>
      </c>
      <c r="O176" s="10">
        <v>0</v>
      </c>
      <c r="P176" s="10">
        <v>0</v>
      </c>
      <c r="Q176" s="10">
        <v>1780.16</v>
      </c>
      <c r="R176" s="10">
        <v>0</v>
      </c>
      <c r="S176" s="10">
        <v>1153.01</v>
      </c>
      <c r="T176" s="10">
        <v>1703.34</v>
      </c>
      <c r="U176" s="10">
        <v>1031.76</v>
      </c>
      <c r="V176" s="10">
        <v>0</v>
      </c>
      <c r="W176" s="10">
        <v>1444.25</v>
      </c>
      <c r="X176" s="10">
        <v>0</v>
      </c>
      <c r="Y176" s="10">
        <v>1408.54</v>
      </c>
      <c r="Z176" s="10">
        <v>0</v>
      </c>
      <c r="AA176" s="10">
        <v>0</v>
      </c>
      <c r="AB176" s="10">
        <v>230.32</v>
      </c>
      <c r="AC176" s="10">
        <v>0</v>
      </c>
      <c r="AD176" s="10">
        <v>0</v>
      </c>
      <c r="AE176" s="10">
        <v>1492.31</v>
      </c>
      <c r="AF176" s="10">
        <v>0</v>
      </c>
    </row>
    <row r="177" spans="1:32" ht="15" customHeight="1">
      <c r="A177" s="10" t="s">
        <v>145</v>
      </c>
      <c r="B177" s="61" t="s">
        <v>357</v>
      </c>
      <c r="C177" s="10">
        <v>1809.09</v>
      </c>
      <c r="D177" s="10">
        <v>667.29</v>
      </c>
      <c r="E177" s="10">
        <v>0</v>
      </c>
      <c r="F177" s="10">
        <v>489.51</v>
      </c>
      <c r="G177" s="10">
        <v>978.2</v>
      </c>
      <c r="H177" s="10">
        <v>829.38</v>
      </c>
      <c r="I177" s="10">
        <v>1143.0899999999999</v>
      </c>
      <c r="J177" s="10">
        <v>0</v>
      </c>
      <c r="K177" s="10">
        <v>0</v>
      </c>
      <c r="L177" s="10">
        <v>0</v>
      </c>
      <c r="M177" s="10">
        <v>0</v>
      </c>
      <c r="N177" s="10">
        <v>521.16</v>
      </c>
      <c r="O177" s="10">
        <v>339.14</v>
      </c>
      <c r="P177" s="10">
        <v>486.51</v>
      </c>
      <c r="Q177" s="10">
        <v>0</v>
      </c>
      <c r="R177" s="10">
        <v>586.66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1038.1300000000001</v>
      </c>
      <c r="Z177" s="10">
        <v>0</v>
      </c>
      <c r="AA177" s="10">
        <v>569.07000000000005</v>
      </c>
      <c r="AB177" s="10">
        <v>0</v>
      </c>
      <c r="AC177" s="10">
        <v>511.02</v>
      </c>
      <c r="AD177" s="10">
        <v>658.16</v>
      </c>
      <c r="AE177" s="10">
        <v>0</v>
      </c>
      <c r="AF177" s="10">
        <v>0</v>
      </c>
    </row>
    <row r="178" spans="1:32" ht="15" customHeight="1">
      <c r="A178" s="10" t="s">
        <v>145</v>
      </c>
      <c r="B178" s="61" t="s">
        <v>299</v>
      </c>
      <c r="C178" s="10">
        <v>2000.6</v>
      </c>
      <c r="D178" s="10">
        <v>630.36</v>
      </c>
      <c r="E178" s="10">
        <v>1037.53</v>
      </c>
      <c r="F178" s="10">
        <v>1129.69</v>
      </c>
      <c r="G178" s="10">
        <v>1001.53</v>
      </c>
      <c r="H178" s="10">
        <v>390.18</v>
      </c>
      <c r="I178" s="10">
        <v>633.87</v>
      </c>
      <c r="J178" s="10">
        <v>745.5</v>
      </c>
      <c r="K178" s="10">
        <v>825.43</v>
      </c>
      <c r="L178" s="10">
        <v>0</v>
      </c>
      <c r="M178" s="10">
        <v>1430.78</v>
      </c>
      <c r="N178" s="10">
        <v>1480.09</v>
      </c>
      <c r="O178" s="10">
        <v>818.17</v>
      </c>
      <c r="P178" s="10">
        <v>551.72</v>
      </c>
      <c r="Q178" s="10">
        <v>0</v>
      </c>
      <c r="R178" s="10">
        <v>1174.6600000000001</v>
      </c>
      <c r="S178" s="10">
        <v>464.52</v>
      </c>
      <c r="T178" s="10">
        <v>969.45</v>
      </c>
      <c r="U178" s="10">
        <v>636.20000000000005</v>
      </c>
      <c r="V178" s="10">
        <v>1038.1300000000001</v>
      </c>
      <c r="W178" s="10">
        <v>943.16</v>
      </c>
      <c r="X178" s="10">
        <v>1408.54</v>
      </c>
      <c r="Y178" s="10">
        <v>0</v>
      </c>
      <c r="Z178" s="10">
        <v>0</v>
      </c>
      <c r="AA178" s="10">
        <v>809.16</v>
      </c>
      <c r="AB178" s="10">
        <v>1196.53</v>
      </c>
      <c r="AC178" s="10">
        <v>746.53</v>
      </c>
      <c r="AD178" s="10">
        <v>380.21</v>
      </c>
      <c r="AE178" s="10">
        <v>1502.63</v>
      </c>
      <c r="AF178" s="10">
        <v>0</v>
      </c>
    </row>
    <row r="179" spans="1:32" ht="15" customHeight="1">
      <c r="A179" s="10" t="s">
        <v>145</v>
      </c>
      <c r="B179" s="61" t="s">
        <v>300</v>
      </c>
      <c r="C179" s="10">
        <v>560.61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421.67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1672.93</v>
      </c>
      <c r="AF179" s="10">
        <v>0</v>
      </c>
    </row>
    <row r="180" spans="1:32" ht="15" customHeight="1">
      <c r="A180" s="10" t="s">
        <v>145</v>
      </c>
      <c r="B180" s="61" t="s">
        <v>301</v>
      </c>
      <c r="C180" s="10">
        <v>2252.62</v>
      </c>
      <c r="D180" s="10">
        <v>850.72</v>
      </c>
      <c r="E180" s="10">
        <v>0</v>
      </c>
      <c r="F180" s="10">
        <v>343.03</v>
      </c>
      <c r="G180" s="10">
        <v>1292.28</v>
      </c>
      <c r="H180" s="10">
        <v>842.37</v>
      </c>
      <c r="I180" s="10">
        <v>1224.8499999999999</v>
      </c>
      <c r="J180" s="10">
        <v>1533.41</v>
      </c>
      <c r="K180" s="10">
        <v>0</v>
      </c>
      <c r="L180" s="10">
        <v>0</v>
      </c>
      <c r="M180" s="10">
        <v>0</v>
      </c>
      <c r="N180" s="10">
        <v>772.6</v>
      </c>
      <c r="O180" s="10">
        <v>677.09</v>
      </c>
      <c r="P180" s="10">
        <v>452.36</v>
      </c>
      <c r="Q180" s="10">
        <v>0</v>
      </c>
      <c r="R180" s="10">
        <v>1082.6300000000001</v>
      </c>
      <c r="S180" s="10">
        <v>1059.29</v>
      </c>
      <c r="T180" s="10">
        <v>0</v>
      </c>
      <c r="U180" s="10">
        <v>1225.5</v>
      </c>
      <c r="V180" s="10">
        <v>569.07000000000005</v>
      </c>
      <c r="W180" s="10">
        <v>0</v>
      </c>
      <c r="X180" s="10">
        <v>0</v>
      </c>
      <c r="Y180" s="10">
        <v>809.16</v>
      </c>
      <c r="Z180" s="10">
        <v>0</v>
      </c>
      <c r="AA180" s="10">
        <v>0</v>
      </c>
      <c r="AB180" s="10">
        <v>0</v>
      </c>
      <c r="AC180" s="10">
        <v>787.57</v>
      </c>
      <c r="AD180" s="10">
        <v>523.91999999999996</v>
      </c>
      <c r="AE180" s="10">
        <v>0</v>
      </c>
      <c r="AF180" s="10">
        <v>899</v>
      </c>
    </row>
    <row r="181" spans="1:32" ht="15" customHeight="1">
      <c r="A181" s="10" t="s">
        <v>145</v>
      </c>
      <c r="B181" s="61" t="s">
        <v>303</v>
      </c>
      <c r="C181" s="10">
        <v>2623.55</v>
      </c>
      <c r="D181" s="10">
        <v>1698.79</v>
      </c>
      <c r="E181" s="10">
        <v>1535.26</v>
      </c>
      <c r="F181" s="10">
        <v>0</v>
      </c>
      <c r="G181" s="10">
        <v>1857.41</v>
      </c>
      <c r="H181" s="10">
        <v>1454.22</v>
      </c>
      <c r="I181" s="10">
        <v>1354.27</v>
      </c>
      <c r="J181" s="10">
        <v>400</v>
      </c>
      <c r="K181" s="10">
        <v>661.72</v>
      </c>
      <c r="L181" s="10">
        <v>0</v>
      </c>
      <c r="M181" s="10">
        <v>505.83</v>
      </c>
      <c r="N181" s="10">
        <v>0</v>
      </c>
      <c r="O181" s="10">
        <v>1974.19</v>
      </c>
      <c r="P181" s="10">
        <v>1745.85</v>
      </c>
      <c r="Q181" s="10">
        <v>0</v>
      </c>
      <c r="R181" s="10">
        <v>2245.4899999999998</v>
      </c>
      <c r="S181" s="10">
        <v>923.23</v>
      </c>
      <c r="T181" s="10">
        <v>1586.29</v>
      </c>
      <c r="U181" s="10">
        <v>802.01</v>
      </c>
      <c r="V181" s="10">
        <v>0</v>
      </c>
      <c r="W181" s="10">
        <v>1343.75</v>
      </c>
      <c r="X181" s="10">
        <v>230.32</v>
      </c>
      <c r="Y181" s="10">
        <v>1196.53</v>
      </c>
      <c r="Z181" s="10">
        <v>0</v>
      </c>
      <c r="AA181" s="10">
        <v>0</v>
      </c>
      <c r="AB181" s="10">
        <v>0</v>
      </c>
      <c r="AC181" s="10">
        <v>1858.18</v>
      </c>
      <c r="AD181" s="10">
        <v>1575.37</v>
      </c>
      <c r="AE181" s="10">
        <v>1485.18</v>
      </c>
      <c r="AF181" s="10">
        <v>0</v>
      </c>
    </row>
    <row r="182" spans="1:32" ht="15" customHeight="1">
      <c r="A182" s="10" t="s">
        <v>145</v>
      </c>
      <c r="B182" s="61" t="s">
        <v>304</v>
      </c>
      <c r="C182" s="10">
        <v>1472.14</v>
      </c>
      <c r="D182" s="10">
        <v>171.24</v>
      </c>
      <c r="E182" s="10">
        <v>903.98</v>
      </c>
      <c r="F182" s="10">
        <v>908.29</v>
      </c>
      <c r="G182" s="10">
        <v>511.84</v>
      </c>
      <c r="H182" s="10">
        <v>404.31</v>
      </c>
      <c r="I182" s="10">
        <v>643.65</v>
      </c>
      <c r="J182" s="10">
        <v>1144.1199999999999</v>
      </c>
      <c r="K182" s="10">
        <v>0</v>
      </c>
      <c r="L182" s="10">
        <v>1632.96</v>
      </c>
      <c r="M182" s="10">
        <v>0</v>
      </c>
      <c r="N182" s="10">
        <v>1031.6199999999999</v>
      </c>
      <c r="O182" s="10">
        <v>171.93</v>
      </c>
      <c r="P182" s="10">
        <v>369.97</v>
      </c>
      <c r="Q182" s="10">
        <v>0</v>
      </c>
      <c r="R182" s="10">
        <v>429.95</v>
      </c>
      <c r="S182" s="10">
        <v>1207.05</v>
      </c>
      <c r="T182" s="10">
        <v>767.73</v>
      </c>
      <c r="U182" s="10">
        <v>0</v>
      </c>
      <c r="V182" s="10">
        <v>511.02</v>
      </c>
      <c r="W182" s="10">
        <v>958.07</v>
      </c>
      <c r="X182" s="10">
        <v>0</v>
      </c>
      <c r="Y182" s="10">
        <v>746.53</v>
      </c>
      <c r="Z182" s="10">
        <v>0</v>
      </c>
      <c r="AA182" s="10">
        <v>787.57</v>
      </c>
      <c r="AB182" s="10">
        <v>1858.18</v>
      </c>
      <c r="AC182" s="10">
        <v>0</v>
      </c>
      <c r="AD182" s="10">
        <v>454.53</v>
      </c>
      <c r="AE182" s="10">
        <v>0</v>
      </c>
      <c r="AF182" s="10">
        <v>0</v>
      </c>
    </row>
    <row r="183" spans="1:32" ht="15" customHeight="1">
      <c r="A183" s="10" t="s">
        <v>145</v>
      </c>
      <c r="B183" s="61" t="s">
        <v>305</v>
      </c>
      <c r="C183" s="10">
        <v>1879.08</v>
      </c>
      <c r="D183" s="10">
        <v>416.67</v>
      </c>
      <c r="E183" s="10">
        <v>1089.56</v>
      </c>
      <c r="F183" s="10">
        <v>797.9</v>
      </c>
      <c r="G183" s="10">
        <v>869.38</v>
      </c>
      <c r="H183" s="10">
        <v>323.69</v>
      </c>
      <c r="I183" s="10">
        <v>705.3</v>
      </c>
      <c r="J183" s="10">
        <v>1030.02</v>
      </c>
      <c r="K183" s="10">
        <v>1177.79</v>
      </c>
      <c r="L183" s="10">
        <v>0</v>
      </c>
      <c r="M183" s="10">
        <v>0</v>
      </c>
      <c r="N183" s="10">
        <v>1109.6099999999999</v>
      </c>
      <c r="O183" s="10">
        <v>470.6</v>
      </c>
      <c r="P183" s="10">
        <v>171.65</v>
      </c>
      <c r="Q183" s="10">
        <v>0</v>
      </c>
      <c r="R183" s="10">
        <v>874.11</v>
      </c>
      <c r="S183" s="10">
        <v>797.05</v>
      </c>
      <c r="T183" s="10">
        <v>981.17</v>
      </c>
      <c r="U183" s="10">
        <v>977.33</v>
      </c>
      <c r="V183" s="10">
        <v>658.16</v>
      </c>
      <c r="W183" s="10">
        <v>1060.75</v>
      </c>
      <c r="X183" s="10">
        <v>0</v>
      </c>
      <c r="Y183" s="10">
        <v>380.21</v>
      </c>
      <c r="Z183" s="10">
        <v>0</v>
      </c>
      <c r="AA183" s="10">
        <v>523.91999999999996</v>
      </c>
      <c r="AB183" s="10">
        <v>1575.37</v>
      </c>
      <c r="AC183" s="10">
        <v>454.53</v>
      </c>
      <c r="AD183" s="10">
        <v>0</v>
      </c>
      <c r="AE183" s="10">
        <v>0</v>
      </c>
      <c r="AF183" s="10">
        <v>0</v>
      </c>
    </row>
    <row r="184" spans="1:32" ht="15" customHeight="1">
      <c r="A184" s="10" t="s">
        <v>145</v>
      </c>
      <c r="B184" s="10" t="s">
        <v>356</v>
      </c>
      <c r="C184" s="10">
        <v>0</v>
      </c>
      <c r="D184" s="10">
        <v>0</v>
      </c>
      <c r="E184" s="10">
        <v>0</v>
      </c>
      <c r="F184" s="10">
        <v>428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868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899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 ht="15" customHeight="1">
      <c r="A185" s="10" t="s">
        <v>145</v>
      </c>
      <c r="B185" s="61" t="s">
        <v>307</v>
      </c>
      <c r="C185" s="10">
        <v>600</v>
      </c>
      <c r="D185" s="10">
        <v>1399.02</v>
      </c>
      <c r="E185" s="10">
        <v>645.59</v>
      </c>
      <c r="F185" s="10">
        <v>0</v>
      </c>
      <c r="G185" s="10">
        <v>1134.76</v>
      </c>
      <c r="H185" s="10">
        <v>1341.38</v>
      </c>
      <c r="I185" s="10">
        <v>959.53</v>
      </c>
      <c r="J185" s="10">
        <v>850.09</v>
      </c>
      <c r="K185" s="10">
        <v>0</v>
      </c>
      <c r="L185" s="10">
        <v>1549.51</v>
      </c>
      <c r="M185" s="10">
        <v>0</v>
      </c>
      <c r="N185" s="10">
        <v>0</v>
      </c>
      <c r="O185" s="10">
        <v>0</v>
      </c>
      <c r="P185" s="10">
        <v>0</v>
      </c>
      <c r="Q185" s="10">
        <v>363.85</v>
      </c>
      <c r="R185" s="10">
        <v>1673.84</v>
      </c>
      <c r="S185" s="10">
        <v>0</v>
      </c>
      <c r="T185" s="10">
        <v>785.89</v>
      </c>
      <c r="U185" s="10">
        <v>0</v>
      </c>
      <c r="V185" s="10">
        <v>0</v>
      </c>
      <c r="W185" s="10">
        <v>604.03</v>
      </c>
      <c r="X185" s="10">
        <v>1492.31</v>
      </c>
      <c r="Y185" s="10">
        <v>1502.63</v>
      </c>
      <c r="Z185" s="10">
        <v>1672.93</v>
      </c>
      <c r="AA185" s="10">
        <v>0</v>
      </c>
      <c r="AB185" s="10">
        <v>1485.18</v>
      </c>
      <c r="AC185" s="10">
        <v>0</v>
      </c>
      <c r="AD185" s="10">
        <v>0</v>
      </c>
      <c r="AE185" s="10">
        <v>0</v>
      </c>
      <c r="AF185" s="10">
        <v>0</v>
      </c>
    </row>
    <row r="186" spans="1:32" ht="15" customHeight="1">
      <c r="A186" s="10" t="s">
        <v>156</v>
      </c>
      <c r="B186" s="61" t="s">
        <v>278</v>
      </c>
      <c r="C186" s="10">
        <v>1462.5</v>
      </c>
      <c r="D186" s="10">
        <v>0</v>
      </c>
      <c r="E186" s="10">
        <v>770.24</v>
      </c>
      <c r="F186" s="10">
        <v>1022.45</v>
      </c>
      <c r="G186" s="10">
        <v>456.36</v>
      </c>
      <c r="H186" s="10">
        <v>254.84</v>
      </c>
      <c r="I186" s="10">
        <v>477.04</v>
      </c>
      <c r="J186" s="10">
        <v>973.03</v>
      </c>
      <c r="K186" s="10">
        <v>0</v>
      </c>
      <c r="L186" s="10">
        <v>1640.58</v>
      </c>
      <c r="M186" s="10">
        <v>0</v>
      </c>
      <c r="N186" s="10">
        <v>1188.01</v>
      </c>
      <c r="O186" s="10">
        <v>332.27</v>
      </c>
      <c r="P186" s="10">
        <v>400.59</v>
      </c>
      <c r="Q186" s="10">
        <v>0</v>
      </c>
      <c r="R186" s="10">
        <v>557.69000000000005</v>
      </c>
      <c r="S186" s="10">
        <v>1094.8399999999999</v>
      </c>
      <c r="T186" s="10">
        <v>640.32000000000005</v>
      </c>
      <c r="U186" s="10">
        <v>1264.26</v>
      </c>
      <c r="V186" s="10">
        <v>667.29</v>
      </c>
      <c r="W186" s="10">
        <v>804.24</v>
      </c>
      <c r="X186" s="10">
        <v>0</v>
      </c>
      <c r="Y186" s="10">
        <v>630.36</v>
      </c>
      <c r="Z186" s="10">
        <v>0</v>
      </c>
      <c r="AA186" s="10">
        <v>850.72</v>
      </c>
      <c r="AB186" s="10">
        <v>1698.79</v>
      </c>
      <c r="AC186" s="10">
        <v>171.24</v>
      </c>
      <c r="AD186" s="10">
        <v>416.67</v>
      </c>
      <c r="AE186" s="10">
        <v>1399.02</v>
      </c>
      <c r="AF186" s="10">
        <v>0</v>
      </c>
    </row>
    <row r="187" spans="1:32" ht="15" customHeight="1">
      <c r="A187" s="10" t="s">
        <v>156</v>
      </c>
      <c r="B187" s="61" t="s">
        <v>280</v>
      </c>
      <c r="C187" s="10">
        <v>300</v>
      </c>
      <c r="D187" s="10">
        <v>770.24</v>
      </c>
      <c r="E187" s="10">
        <v>0</v>
      </c>
      <c r="F187" s="10">
        <v>0</v>
      </c>
      <c r="G187" s="10">
        <v>501.4</v>
      </c>
      <c r="H187" s="10">
        <v>767.87</v>
      </c>
      <c r="I187" s="10">
        <v>406.5</v>
      </c>
      <c r="J187" s="10">
        <v>692.16</v>
      </c>
      <c r="K187" s="10">
        <v>0</v>
      </c>
      <c r="L187" s="10">
        <v>1325.38</v>
      </c>
      <c r="M187" s="10">
        <v>0</v>
      </c>
      <c r="N187" s="10">
        <v>0</v>
      </c>
      <c r="O187" s="10">
        <v>1075.07</v>
      </c>
      <c r="P187" s="10">
        <v>1146.05</v>
      </c>
      <c r="Q187" s="10">
        <v>924.14</v>
      </c>
      <c r="R187" s="10">
        <v>1040.22</v>
      </c>
      <c r="S187" s="10">
        <v>0</v>
      </c>
      <c r="T187" s="10">
        <v>140.4</v>
      </c>
      <c r="U187" s="10">
        <v>0</v>
      </c>
      <c r="V187" s="10">
        <v>0</v>
      </c>
      <c r="W187" s="10">
        <v>192.2</v>
      </c>
      <c r="X187" s="10">
        <v>1636.14</v>
      </c>
      <c r="Y187" s="10">
        <v>1037.53</v>
      </c>
      <c r="Z187" s="10">
        <v>0</v>
      </c>
      <c r="AA187" s="10">
        <v>0</v>
      </c>
      <c r="AB187" s="10">
        <v>1535.26</v>
      </c>
      <c r="AC187" s="10">
        <v>903.98</v>
      </c>
      <c r="AD187" s="10">
        <v>1089.56</v>
      </c>
      <c r="AE187" s="10">
        <v>645.59</v>
      </c>
      <c r="AF187" s="10">
        <v>0</v>
      </c>
    </row>
    <row r="188" spans="1:32" ht="15" customHeight="1">
      <c r="A188" s="10" t="s">
        <v>156</v>
      </c>
      <c r="B188" s="61" t="s">
        <v>281</v>
      </c>
      <c r="C188" s="10">
        <v>0</v>
      </c>
      <c r="D188" s="10">
        <v>1022.45</v>
      </c>
      <c r="E188" s="10">
        <v>0</v>
      </c>
      <c r="F188" s="10">
        <v>0</v>
      </c>
      <c r="G188" s="10">
        <v>1415.45</v>
      </c>
      <c r="H188" s="10">
        <v>1087.05</v>
      </c>
      <c r="I188" s="10">
        <v>1458.02</v>
      </c>
      <c r="J188" s="10">
        <v>0</v>
      </c>
      <c r="K188" s="10">
        <v>0</v>
      </c>
      <c r="L188" s="10">
        <v>0</v>
      </c>
      <c r="M188" s="10">
        <v>0</v>
      </c>
      <c r="N188" s="10">
        <v>453.95</v>
      </c>
      <c r="O188" s="10">
        <v>753.16</v>
      </c>
      <c r="P188" s="10">
        <v>671.18</v>
      </c>
      <c r="Q188" s="10">
        <v>0</v>
      </c>
      <c r="R188" s="10">
        <v>1075.51</v>
      </c>
      <c r="S188" s="10">
        <v>0</v>
      </c>
      <c r="T188" s="10">
        <v>0</v>
      </c>
      <c r="U188" s="10">
        <v>0</v>
      </c>
      <c r="V188" s="10">
        <v>489.51</v>
      </c>
      <c r="W188" s="10">
        <v>0</v>
      </c>
      <c r="X188" s="10">
        <v>0</v>
      </c>
      <c r="Y188" s="10">
        <v>1129.69</v>
      </c>
      <c r="Z188" s="10">
        <v>0</v>
      </c>
      <c r="AA188" s="10">
        <v>343.03</v>
      </c>
      <c r="AB188" s="10">
        <v>0</v>
      </c>
      <c r="AC188" s="10">
        <v>908.29</v>
      </c>
      <c r="AD188" s="10">
        <v>797.9</v>
      </c>
      <c r="AE188" s="10">
        <v>0</v>
      </c>
      <c r="AF188" s="10">
        <v>428</v>
      </c>
    </row>
    <row r="189" spans="1:32" ht="15" customHeight="1">
      <c r="A189" s="10" t="s">
        <v>156</v>
      </c>
      <c r="B189" s="61" t="s">
        <v>282</v>
      </c>
      <c r="C189" s="10">
        <v>350</v>
      </c>
      <c r="D189" s="10">
        <v>456.36</v>
      </c>
      <c r="E189" s="10">
        <v>501.4</v>
      </c>
      <c r="F189" s="10">
        <v>1415.45</v>
      </c>
      <c r="G189" s="10">
        <v>0</v>
      </c>
      <c r="H189" s="10">
        <v>619.89</v>
      </c>
      <c r="I189" s="10">
        <v>504.62</v>
      </c>
      <c r="J189" s="10">
        <v>1027.05</v>
      </c>
      <c r="K189" s="10">
        <v>0</v>
      </c>
      <c r="L189" s="10">
        <v>1204.01</v>
      </c>
      <c r="M189" s="10">
        <v>0</v>
      </c>
      <c r="N189" s="10">
        <v>0</v>
      </c>
      <c r="O189" s="10">
        <v>662.94</v>
      </c>
      <c r="P189" s="10">
        <v>850.87</v>
      </c>
      <c r="Q189" s="10">
        <v>0</v>
      </c>
      <c r="R189" s="10">
        <v>540.01</v>
      </c>
      <c r="S189" s="10">
        <v>0</v>
      </c>
      <c r="T189" s="10">
        <v>367.02</v>
      </c>
      <c r="U189" s="10">
        <v>0</v>
      </c>
      <c r="V189" s="10">
        <v>978.2</v>
      </c>
      <c r="W189" s="10">
        <v>637.54999999999995</v>
      </c>
      <c r="X189" s="10">
        <v>0</v>
      </c>
      <c r="Y189" s="10">
        <v>1001.53</v>
      </c>
      <c r="Z189" s="10">
        <v>0</v>
      </c>
      <c r="AA189" s="10">
        <v>1292.28</v>
      </c>
      <c r="AB189" s="10">
        <v>1857.41</v>
      </c>
      <c r="AC189" s="10">
        <v>511.84</v>
      </c>
      <c r="AD189" s="10">
        <v>869.38</v>
      </c>
      <c r="AE189" s="10">
        <v>1134.76</v>
      </c>
      <c r="AF189" s="10">
        <v>0</v>
      </c>
    </row>
    <row r="190" spans="1:32" ht="15" customHeight="1">
      <c r="A190" s="10" t="s">
        <v>156</v>
      </c>
      <c r="B190" s="61" t="s">
        <v>283</v>
      </c>
      <c r="C190" s="10">
        <v>1630.33</v>
      </c>
      <c r="D190" s="10">
        <v>254.84</v>
      </c>
      <c r="E190" s="10">
        <v>767.87</v>
      </c>
      <c r="F190" s="10">
        <v>1087.05</v>
      </c>
      <c r="G190" s="10">
        <v>619.89</v>
      </c>
      <c r="H190" s="10">
        <v>0</v>
      </c>
      <c r="I190" s="10">
        <v>382.63</v>
      </c>
      <c r="J190" s="10">
        <v>777.76</v>
      </c>
      <c r="K190" s="10">
        <v>1194.05</v>
      </c>
      <c r="L190" s="10">
        <v>0</v>
      </c>
      <c r="M190" s="10">
        <v>0</v>
      </c>
      <c r="N190" s="10">
        <v>1334.1</v>
      </c>
      <c r="O190" s="10">
        <v>528.63</v>
      </c>
      <c r="P190" s="10">
        <v>415.87</v>
      </c>
      <c r="Q190" s="10">
        <v>0</v>
      </c>
      <c r="R190" s="10">
        <v>812.43</v>
      </c>
      <c r="S190" s="10">
        <v>850.9</v>
      </c>
      <c r="T190" s="10">
        <v>665.24</v>
      </c>
      <c r="U190" s="10">
        <v>1016.04</v>
      </c>
      <c r="V190" s="10">
        <v>829.38</v>
      </c>
      <c r="W190" s="10">
        <v>738.71</v>
      </c>
      <c r="X190" s="10">
        <v>1642</v>
      </c>
      <c r="Y190" s="10">
        <v>390.18</v>
      </c>
      <c r="Z190" s="10">
        <v>0</v>
      </c>
      <c r="AA190" s="10">
        <v>842.37</v>
      </c>
      <c r="AB190" s="10">
        <v>1454.22</v>
      </c>
      <c r="AC190" s="10">
        <v>404.31</v>
      </c>
      <c r="AD190" s="10">
        <v>323.69</v>
      </c>
      <c r="AE190" s="10">
        <v>1341.38</v>
      </c>
      <c r="AF190" s="10">
        <v>0</v>
      </c>
    </row>
    <row r="191" spans="1:32">
      <c r="A191" s="10" t="s">
        <v>156</v>
      </c>
      <c r="B191" s="61" t="s">
        <v>284</v>
      </c>
      <c r="C191" s="10">
        <v>500</v>
      </c>
      <c r="D191" s="10">
        <v>477.04</v>
      </c>
      <c r="E191" s="10">
        <v>406.5</v>
      </c>
      <c r="F191" s="10">
        <v>1458.02</v>
      </c>
      <c r="G191" s="10">
        <v>504.62</v>
      </c>
      <c r="H191" s="10">
        <v>382.63</v>
      </c>
      <c r="I191" s="10">
        <v>0</v>
      </c>
      <c r="J191" s="10">
        <v>540.49</v>
      </c>
      <c r="K191" s="10">
        <v>1281.04</v>
      </c>
      <c r="L191" s="10">
        <v>1624.96</v>
      </c>
      <c r="M191" s="10">
        <v>1750.79</v>
      </c>
      <c r="N191" s="10">
        <v>1662.66</v>
      </c>
      <c r="O191" s="10">
        <v>809.27</v>
      </c>
      <c r="P191" s="10">
        <v>790.13</v>
      </c>
      <c r="Q191" s="10">
        <v>1286.0899999999999</v>
      </c>
      <c r="R191" s="10">
        <v>934.15</v>
      </c>
      <c r="S191" s="10">
        <v>1015.33</v>
      </c>
      <c r="T191" s="10">
        <v>339.26</v>
      </c>
      <c r="U191" s="10">
        <v>1144.5999999999999</v>
      </c>
      <c r="V191" s="10">
        <v>1143.0899999999999</v>
      </c>
      <c r="W191" s="10">
        <v>356.15</v>
      </c>
      <c r="X191" s="10">
        <v>1503.63</v>
      </c>
      <c r="Y191" s="10">
        <v>633.87</v>
      </c>
      <c r="Z191" s="10">
        <v>0</v>
      </c>
      <c r="AA191" s="10">
        <v>1224.8499999999999</v>
      </c>
      <c r="AB191" s="10">
        <v>1354.27</v>
      </c>
      <c r="AC191" s="10">
        <v>643.65</v>
      </c>
      <c r="AD191" s="10">
        <v>705.3</v>
      </c>
      <c r="AE191" s="10">
        <v>959.53</v>
      </c>
      <c r="AF191" s="10">
        <v>0</v>
      </c>
    </row>
    <row r="192" spans="1:32" ht="15" customHeight="1">
      <c r="A192" s="10" t="s">
        <v>156</v>
      </c>
      <c r="B192" s="61" t="s">
        <v>285</v>
      </c>
      <c r="C192" s="10">
        <v>1789.51</v>
      </c>
      <c r="D192" s="10">
        <v>973.03</v>
      </c>
      <c r="E192" s="10">
        <v>692.16</v>
      </c>
      <c r="F192" s="10">
        <v>0</v>
      </c>
      <c r="G192" s="10">
        <v>1027.05</v>
      </c>
      <c r="H192" s="10">
        <v>777.76</v>
      </c>
      <c r="I192" s="10">
        <v>540.49</v>
      </c>
      <c r="J192" s="10">
        <v>0</v>
      </c>
      <c r="K192" s="10">
        <v>978.44</v>
      </c>
      <c r="L192" s="10">
        <v>0</v>
      </c>
      <c r="M192" s="10">
        <v>1298.0899999999999</v>
      </c>
      <c r="N192" s="10">
        <v>0</v>
      </c>
      <c r="O192" s="10">
        <v>1294.23</v>
      </c>
      <c r="P192" s="10">
        <v>1171.94</v>
      </c>
      <c r="Q192" s="10">
        <v>1213.43</v>
      </c>
      <c r="R192" s="10">
        <v>1472.56</v>
      </c>
      <c r="S192" s="10">
        <v>873.01</v>
      </c>
      <c r="T192" s="10">
        <v>737.81</v>
      </c>
      <c r="U192" s="10">
        <v>921.65</v>
      </c>
      <c r="V192" s="10">
        <v>0</v>
      </c>
      <c r="W192" s="10">
        <v>503.89</v>
      </c>
      <c r="X192" s="10">
        <v>700</v>
      </c>
      <c r="Y192" s="10">
        <v>745.5</v>
      </c>
      <c r="Z192" s="10">
        <v>0</v>
      </c>
      <c r="AA192" s="10">
        <v>1533.41</v>
      </c>
      <c r="AB192" s="10">
        <v>400</v>
      </c>
      <c r="AC192" s="10">
        <v>1144.1199999999999</v>
      </c>
      <c r="AD192" s="10">
        <v>1030.02</v>
      </c>
      <c r="AE192" s="10">
        <v>850.09</v>
      </c>
      <c r="AF192" s="10">
        <v>0</v>
      </c>
    </row>
    <row r="193" spans="1:32" ht="15" customHeight="1">
      <c r="A193" s="10" t="s">
        <v>156</v>
      </c>
      <c r="B193" s="61" t="s">
        <v>308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0">
        <v>1194.05</v>
      </c>
      <c r="I193" s="10">
        <v>1281.04</v>
      </c>
      <c r="J193" s="10">
        <v>978.44</v>
      </c>
      <c r="K193" s="10">
        <v>0</v>
      </c>
      <c r="L193" s="10">
        <v>0</v>
      </c>
      <c r="M193" s="10">
        <v>647.91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384.47</v>
      </c>
      <c r="T193" s="10">
        <v>0</v>
      </c>
      <c r="U193" s="10">
        <v>205.65</v>
      </c>
      <c r="V193" s="10">
        <v>0</v>
      </c>
      <c r="W193" s="10">
        <v>0</v>
      </c>
      <c r="X193" s="10">
        <v>885</v>
      </c>
      <c r="Y193" s="10">
        <v>825.43</v>
      </c>
      <c r="Z193" s="10">
        <v>0</v>
      </c>
      <c r="AA193" s="10">
        <v>0</v>
      </c>
      <c r="AB193" s="10">
        <v>661.72</v>
      </c>
      <c r="AC193" s="10">
        <v>0</v>
      </c>
      <c r="AD193" s="10">
        <v>1177.79</v>
      </c>
      <c r="AE193" s="10">
        <v>0</v>
      </c>
      <c r="AF193" s="10">
        <v>0</v>
      </c>
    </row>
    <row r="194" spans="1:32" ht="15" customHeight="1">
      <c r="A194" s="10" t="s">
        <v>156</v>
      </c>
      <c r="B194" s="61" t="s">
        <v>286</v>
      </c>
      <c r="C194" s="10">
        <v>229.59</v>
      </c>
      <c r="D194" s="10">
        <v>1640.58</v>
      </c>
      <c r="E194" s="10">
        <v>1325.38</v>
      </c>
      <c r="F194" s="10">
        <v>0</v>
      </c>
      <c r="G194" s="10">
        <v>1204.01</v>
      </c>
      <c r="H194" s="10">
        <v>0</v>
      </c>
      <c r="I194" s="10">
        <v>1624.96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1723.59</v>
      </c>
      <c r="P194" s="10">
        <v>0</v>
      </c>
      <c r="Q194" s="10">
        <v>1479.45</v>
      </c>
      <c r="R194" s="10">
        <v>1341.02</v>
      </c>
      <c r="S194" s="10">
        <v>0</v>
      </c>
      <c r="T194" s="10">
        <v>1307.3599999999999</v>
      </c>
      <c r="U194" s="10">
        <v>0</v>
      </c>
      <c r="V194" s="10">
        <v>0</v>
      </c>
      <c r="W194" s="10">
        <v>1513.18</v>
      </c>
      <c r="X194" s="10">
        <v>0</v>
      </c>
      <c r="Y194" s="10">
        <v>0</v>
      </c>
      <c r="Z194" s="10">
        <v>421.67</v>
      </c>
      <c r="AA194" s="10">
        <v>0</v>
      </c>
      <c r="AB194" s="10">
        <v>0</v>
      </c>
      <c r="AC194" s="10">
        <v>1632.96</v>
      </c>
      <c r="AD194" s="10">
        <v>0</v>
      </c>
      <c r="AE194" s="10">
        <v>1549.51</v>
      </c>
      <c r="AF194" s="10">
        <v>0</v>
      </c>
    </row>
    <row r="195" spans="1:32" ht="15" customHeight="1">
      <c r="A195" s="10" t="s">
        <v>156</v>
      </c>
      <c r="B195" s="61" t="s">
        <v>287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1750.79</v>
      </c>
      <c r="J195" s="10">
        <v>1298.0899999999999</v>
      </c>
      <c r="K195" s="10">
        <v>647.91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1026.31</v>
      </c>
      <c r="T195" s="10">
        <v>0</v>
      </c>
      <c r="U195" s="10">
        <v>852.16</v>
      </c>
      <c r="V195" s="10">
        <v>0</v>
      </c>
      <c r="W195" s="10">
        <v>0</v>
      </c>
      <c r="X195" s="10">
        <v>1000</v>
      </c>
      <c r="Y195" s="10">
        <v>1430.78</v>
      </c>
      <c r="Z195" s="10">
        <v>0</v>
      </c>
      <c r="AA195" s="10">
        <v>0</v>
      </c>
      <c r="AB195" s="10">
        <v>505.83</v>
      </c>
      <c r="AC195" s="10">
        <v>0</v>
      </c>
      <c r="AD195" s="10">
        <v>0</v>
      </c>
      <c r="AE195" s="10">
        <v>0</v>
      </c>
      <c r="AF195" s="10">
        <v>0</v>
      </c>
    </row>
    <row r="196" spans="1:32" ht="15" customHeight="1">
      <c r="A196" s="10" t="s">
        <v>156</v>
      </c>
      <c r="B196" s="61" t="s">
        <v>288</v>
      </c>
      <c r="C196" s="10">
        <v>0</v>
      </c>
      <c r="D196" s="10">
        <v>1462.5</v>
      </c>
      <c r="E196" s="10">
        <v>300</v>
      </c>
      <c r="F196" s="10">
        <v>0</v>
      </c>
      <c r="G196" s="10">
        <v>350</v>
      </c>
      <c r="H196" s="10">
        <v>1630.33</v>
      </c>
      <c r="I196" s="10">
        <v>500</v>
      </c>
      <c r="J196" s="10">
        <v>1789.51</v>
      </c>
      <c r="K196" s="10">
        <v>0</v>
      </c>
      <c r="L196" s="10">
        <v>229.59</v>
      </c>
      <c r="M196" s="10">
        <v>0</v>
      </c>
      <c r="N196" s="10">
        <v>2201.09</v>
      </c>
      <c r="O196" s="10">
        <v>1577.99</v>
      </c>
      <c r="P196" s="10">
        <v>1838.39</v>
      </c>
      <c r="Q196" s="10">
        <v>1284.49</v>
      </c>
      <c r="R196" s="10">
        <v>1000</v>
      </c>
      <c r="S196" s="10">
        <v>0</v>
      </c>
      <c r="T196" s="10">
        <v>1087.05</v>
      </c>
      <c r="U196" s="10">
        <v>0</v>
      </c>
      <c r="V196" s="10">
        <v>1809.09</v>
      </c>
      <c r="W196" s="10">
        <v>1285.6600000000001</v>
      </c>
      <c r="X196" s="10">
        <v>2702.36</v>
      </c>
      <c r="Y196" s="10">
        <v>2000.6</v>
      </c>
      <c r="Z196" s="10">
        <v>560.61</v>
      </c>
      <c r="AA196" s="10">
        <v>2252.62</v>
      </c>
      <c r="AB196" s="10">
        <v>2623.55</v>
      </c>
      <c r="AC196" s="10">
        <v>1472.14</v>
      </c>
      <c r="AD196" s="10">
        <v>1879.08</v>
      </c>
      <c r="AE196" s="10">
        <v>600</v>
      </c>
      <c r="AF196" s="10">
        <v>0</v>
      </c>
    </row>
    <row r="197" spans="1:32" ht="15" customHeight="1">
      <c r="A197" s="10" t="s">
        <v>156</v>
      </c>
      <c r="B197" s="61" t="s">
        <v>289</v>
      </c>
      <c r="C197" s="10">
        <v>2201.09</v>
      </c>
      <c r="D197" s="10">
        <v>1188.01</v>
      </c>
      <c r="E197" s="10">
        <v>0</v>
      </c>
      <c r="F197" s="10">
        <v>453.95</v>
      </c>
      <c r="G197" s="10">
        <v>0</v>
      </c>
      <c r="H197" s="10">
        <v>1334.1</v>
      </c>
      <c r="I197" s="10">
        <v>1662.66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859.98</v>
      </c>
      <c r="P197" s="10">
        <v>947.65</v>
      </c>
      <c r="Q197" s="10">
        <v>0</v>
      </c>
      <c r="R197" s="10">
        <v>1007.1</v>
      </c>
      <c r="S197" s="10">
        <v>0</v>
      </c>
      <c r="T197" s="10">
        <v>0</v>
      </c>
      <c r="U197" s="10">
        <v>0</v>
      </c>
      <c r="V197" s="10">
        <v>521.16</v>
      </c>
      <c r="W197" s="10">
        <v>0</v>
      </c>
      <c r="X197" s="10">
        <v>0</v>
      </c>
      <c r="Y197" s="10">
        <v>1480.09</v>
      </c>
      <c r="Z197" s="10">
        <v>0</v>
      </c>
      <c r="AA197" s="10">
        <v>772.6</v>
      </c>
      <c r="AB197" s="10">
        <v>0</v>
      </c>
      <c r="AC197" s="10">
        <v>1031.6199999999999</v>
      </c>
      <c r="AD197" s="10">
        <v>1109.6099999999999</v>
      </c>
      <c r="AE197" s="10">
        <v>0</v>
      </c>
      <c r="AF197" s="10">
        <v>868</v>
      </c>
    </row>
    <row r="198" spans="1:32" ht="15" customHeight="1">
      <c r="A198" s="10" t="s">
        <v>156</v>
      </c>
      <c r="B198" s="61" t="s">
        <v>290</v>
      </c>
      <c r="C198" s="10">
        <v>1577.99</v>
      </c>
      <c r="D198" s="10">
        <v>332.27</v>
      </c>
      <c r="E198" s="10">
        <v>1075.07</v>
      </c>
      <c r="F198" s="10">
        <v>753.16</v>
      </c>
      <c r="G198" s="10">
        <v>662.94</v>
      </c>
      <c r="H198" s="10">
        <v>528.63</v>
      </c>
      <c r="I198" s="10">
        <v>809.27</v>
      </c>
      <c r="J198" s="10">
        <v>1294.23</v>
      </c>
      <c r="K198" s="10">
        <v>0</v>
      </c>
      <c r="L198" s="10">
        <v>1723.59</v>
      </c>
      <c r="M198" s="10">
        <v>0</v>
      </c>
      <c r="N198" s="10">
        <v>859.98</v>
      </c>
      <c r="O198" s="10">
        <v>0</v>
      </c>
      <c r="P198" s="10">
        <v>331.49</v>
      </c>
      <c r="Q198" s="10">
        <v>0</v>
      </c>
      <c r="R198" s="10">
        <v>427.99</v>
      </c>
      <c r="S198" s="10">
        <v>1262.6500000000001</v>
      </c>
      <c r="T198" s="10">
        <v>938.11</v>
      </c>
      <c r="U198" s="10">
        <v>0</v>
      </c>
      <c r="V198" s="10">
        <v>339.14</v>
      </c>
      <c r="W198" s="10">
        <v>1129.3900000000001</v>
      </c>
      <c r="X198" s="10">
        <v>0</v>
      </c>
      <c r="Y198" s="10">
        <v>818.17</v>
      </c>
      <c r="Z198" s="10">
        <v>0</v>
      </c>
      <c r="AA198" s="10">
        <v>677.09</v>
      </c>
      <c r="AB198" s="10">
        <v>1974.19</v>
      </c>
      <c r="AC198" s="10">
        <v>171.93</v>
      </c>
      <c r="AD198" s="10">
        <v>470.6</v>
      </c>
      <c r="AE198" s="10">
        <v>0</v>
      </c>
      <c r="AF198" s="10">
        <v>0</v>
      </c>
    </row>
    <row r="199" spans="1:32" ht="15" customHeight="1">
      <c r="A199" s="10" t="s">
        <v>156</v>
      </c>
      <c r="B199" s="61" t="s">
        <v>291</v>
      </c>
      <c r="C199" s="10">
        <v>1838.39</v>
      </c>
      <c r="D199" s="10">
        <v>400.59</v>
      </c>
      <c r="E199" s="10">
        <v>1146.05</v>
      </c>
      <c r="F199" s="10">
        <v>671.18</v>
      </c>
      <c r="G199" s="10">
        <v>850.87</v>
      </c>
      <c r="H199" s="10">
        <v>415.87</v>
      </c>
      <c r="I199" s="10">
        <v>790.13</v>
      </c>
      <c r="J199" s="10">
        <v>1171.94</v>
      </c>
      <c r="K199" s="10">
        <v>0</v>
      </c>
      <c r="L199" s="10">
        <v>0</v>
      </c>
      <c r="M199" s="10">
        <v>0</v>
      </c>
      <c r="N199" s="10">
        <v>947.65</v>
      </c>
      <c r="O199" s="10">
        <v>331.49</v>
      </c>
      <c r="P199" s="10">
        <v>0</v>
      </c>
      <c r="Q199" s="10">
        <v>0</v>
      </c>
      <c r="R199" s="10">
        <v>755.26</v>
      </c>
      <c r="S199" s="10">
        <v>961.23</v>
      </c>
      <c r="T199" s="10">
        <v>1025.1099999999999</v>
      </c>
      <c r="U199" s="10">
        <v>1141.83</v>
      </c>
      <c r="V199" s="10">
        <v>486.51</v>
      </c>
      <c r="W199" s="10">
        <v>1144.4000000000001</v>
      </c>
      <c r="X199" s="10">
        <v>0</v>
      </c>
      <c r="Y199" s="10">
        <v>551.72</v>
      </c>
      <c r="Z199" s="10">
        <v>0</v>
      </c>
      <c r="AA199" s="10">
        <v>452.36</v>
      </c>
      <c r="AB199" s="10">
        <v>1745.85</v>
      </c>
      <c r="AC199" s="10">
        <v>369.97</v>
      </c>
      <c r="AD199" s="10">
        <v>171.65</v>
      </c>
      <c r="AE199" s="10">
        <v>0</v>
      </c>
      <c r="AF199" s="10">
        <v>0</v>
      </c>
    </row>
    <row r="200" spans="1:32" ht="15" customHeight="1">
      <c r="A200" s="10" t="s">
        <v>156</v>
      </c>
      <c r="B200" s="61" t="s">
        <v>292</v>
      </c>
      <c r="C200" s="10">
        <v>1284.49</v>
      </c>
      <c r="D200" s="10">
        <v>0</v>
      </c>
      <c r="E200" s="10">
        <v>924.14</v>
      </c>
      <c r="F200" s="10">
        <v>0</v>
      </c>
      <c r="G200" s="10">
        <v>0</v>
      </c>
      <c r="H200" s="10">
        <v>0</v>
      </c>
      <c r="I200" s="10">
        <v>1286.0899999999999</v>
      </c>
      <c r="J200" s="10">
        <v>1213.43</v>
      </c>
      <c r="K200" s="10">
        <v>0</v>
      </c>
      <c r="L200" s="10">
        <v>1479.45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1057.17</v>
      </c>
      <c r="U200" s="10">
        <v>0</v>
      </c>
      <c r="V200" s="10">
        <v>0</v>
      </c>
      <c r="W200" s="10">
        <v>932.26</v>
      </c>
      <c r="X200" s="10">
        <v>1780.16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363.85</v>
      </c>
      <c r="AF200" s="10">
        <v>0</v>
      </c>
    </row>
    <row r="201" spans="1:32" ht="15" customHeight="1">
      <c r="A201" s="10" t="s">
        <v>156</v>
      </c>
      <c r="B201" s="61" t="s">
        <v>293</v>
      </c>
      <c r="C201" s="10">
        <v>1000</v>
      </c>
      <c r="D201" s="10">
        <v>557.69000000000005</v>
      </c>
      <c r="E201" s="10">
        <v>1040.22</v>
      </c>
      <c r="F201" s="10">
        <v>1075.51</v>
      </c>
      <c r="G201" s="10">
        <v>540.01</v>
      </c>
      <c r="H201" s="10">
        <v>812.43</v>
      </c>
      <c r="I201" s="10">
        <v>934.15</v>
      </c>
      <c r="J201" s="10">
        <v>1472.56</v>
      </c>
      <c r="K201" s="10">
        <v>0</v>
      </c>
      <c r="L201" s="10">
        <v>1341.02</v>
      </c>
      <c r="M201" s="10">
        <v>0</v>
      </c>
      <c r="N201" s="10">
        <v>1007.1</v>
      </c>
      <c r="O201" s="10">
        <v>427.99</v>
      </c>
      <c r="P201" s="10">
        <v>755.26</v>
      </c>
      <c r="Q201" s="10">
        <v>0</v>
      </c>
      <c r="R201" s="10">
        <v>0</v>
      </c>
      <c r="S201" s="10">
        <v>0</v>
      </c>
      <c r="T201" s="10">
        <v>903.08</v>
      </c>
      <c r="U201" s="10">
        <v>0</v>
      </c>
      <c r="V201" s="10">
        <v>586.66</v>
      </c>
      <c r="W201" s="10">
        <v>1161.05</v>
      </c>
      <c r="X201" s="10">
        <v>0</v>
      </c>
      <c r="Y201" s="10">
        <v>1174.6600000000001</v>
      </c>
      <c r="Z201" s="10">
        <v>0</v>
      </c>
      <c r="AA201" s="10">
        <v>1082.6300000000001</v>
      </c>
      <c r="AB201" s="10">
        <v>2245.4899999999998</v>
      </c>
      <c r="AC201" s="10">
        <v>429.95</v>
      </c>
      <c r="AD201" s="10">
        <v>874.11</v>
      </c>
      <c r="AE201" s="10">
        <v>1673.84</v>
      </c>
      <c r="AF201" s="10">
        <v>0</v>
      </c>
    </row>
    <row r="202" spans="1:32" ht="15" customHeight="1">
      <c r="A202" s="10" t="s">
        <v>156</v>
      </c>
      <c r="B202" s="61" t="s">
        <v>309</v>
      </c>
      <c r="C202" s="10">
        <v>0</v>
      </c>
      <c r="D202" s="10">
        <v>1094.8399999999999</v>
      </c>
      <c r="E202" s="10">
        <v>0</v>
      </c>
      <c r="F202" s="10">
        <v>0</v>
      </c>
      <c r="G202" s="10">
        <v>0</v>
      </c>
      <c r="H202" s="10">
        <v>850.9</v>
      </c>
      <c r="I202" s="10">
        <v>1015.33</v>
      </c>
      <c r="J202" s="10">
        <v>873.01</v>
      </c>
      <c r="K202" s="10">
        <v>384.47</v>
      </c>
      <c r="L202" s="10">
        <v>0</v>
      </c>
      <c r="M202" s="10">
        <v>1026.31</v>
      </c>
      <c r="N202" s="10">
        <v>0</v>
      </c>
      <c r="O202" s="10">
        <v>1262.6500000000001</v>
      </c>
      <c r="P202" s="10">
        <v>961.23</v>
      </c>
      <c r="Q202" s="10">
        <v>0</v>
      </c>
      <c r="R202" s="10">
        <v>0</v>
      </c>
      <c r="S202" s="10">
        <v>0</v>
      </c>
      <c r="T202" s="10">
        <v>0</v>
      </c>
      <c r="U202" s="10">
        <v>180.61</v>
      </c>
      <c r="V202" s="10">
        <v>0</v>
      </c>
      <c r="W202" s="10">
        <v>1249.7</v>
      </c>
      <c r="X202" s="10">
        <v>1153.01</v>
      </c>
      <c r="Y202" s="10">
        <v>464.52</v>
      </c>
      <c r="Z202" s="10">
        <v>0</v>
      </c>
      <c r="AA202" s="10">
        <v>1059.29</v>
      </c>
      <c r="AB202" s="10">
        <v>923.23</v>
      </c>
      <c r="AC202" s="10">
        <v>1207.05</v>
      </c>
      <c r="AD202" s="10">
        <v>797.05</v>
      </c>
      <c r="AE202" s="10">
        <v>0</v>
      </c>
      <c r="AF202" s="10">
        <v>0</v>
      </c>
    </row>
    <row r="203" spans="1:32" ht="15" customHeight="1">
      <c r="A203" s="10" t="s">
        <v>156</v>
      </c>
      <c r="B203" s="61" t="s">
        <v>294</v>
      </c>
      <c r="C203" s="10">
        <v>1087.05</v>
      </c>
      <c r="D203" s="10">
        <v>640.32000000000005</v>
      </c>
      <c r="E203" s="10">
        <v>140.4</v>
      </c>
      <c r="F203" s="10">
        <v>0</v>
      </c>
      <c r="G203" s="10">
        <v>367.02</v>
      </c>
      <c r="H203" s="10">
        <v>665.24</v>
      </c>
      <c r="I203" s="10">
        <v>339.26</v>
      </c>
      <c r="J203" s="10">
        <v>737.81</v>
      </c>
      <c r="K203" s="10">
        <v>0</v>
      </c>
      <c r="L203" s="10">
        <v>1307.3599999999999</v>
      </c>
      <c r="M203" s="10">
        <v>0</v>
      </c>
      <c r="N203" s="10">
        <v>0</v>
      </c>
      <c r="O203" s="10">
        <v>938.11</v>
      </c>
      <c r="P203" s="10">
        <v>1025.1099999999999</v>
      </c>
      <c r="Q203" s="10">
        <v>1057.17</v>
      </c>
      <c r="R203" s="10">
        <v>903.08</v>
      </c>
      <c r="S203" s="10">
        <v>0</v>
      </c>
      <c r="T203" s="10">
        <v>0</v>
      </c>
      <c r="U203" s="10">
        <v>0</v>
      </c>
      <c r="V203" s="10">
        <v>0</v>
      </c>
      <c r="W203" s="10">
        <v>279.54000000000002</v>
      </c>
      <c r="X203" s="10">
        <v>1703.34</v>
      </c>
      <c r="Y203" s="10">
        <v>969.45</v>
      </c>
      <c r="Z203" s="10">
        <v>0</v>
      </c>
      <c r="AA203" s="10">
        <v>0</v>
      </c>
      <c r="AB203" s="10">
        <v>1586.29</v>
      </c>
      <c r="AC203" s="10">
        <v>767.73</v>
      </c>
      <c r="AD203" s="10">
        <v>981.17</v>
      </c>
      <c r="AE203" s="10">
        <v>785.89</v>
      </c>
      <c r="AF203" s="10">
        <v>0</v>
      </c>
    </row>
    <row r="204" spans="1:32" ht="15" customHeight="1">
      <c r="A204" s="10" t="s">
        <v>156</v>
      </c>
      <c r="B204" s="61" t="s">
        <v>310</v>
      </c>
      <c r="C204" s="10">
        <v>0</v>
      </c>
      <c r="D204" s="10">
        <v>1264.26</v>
      </c>
      <c r="E204" s="10">
        <v>0</v>
      </c>
      <c r="F204" s="10">
        <v>0</v>
      </c>
      <c r="G204" s="10">
        <v>0</v>
      </c>
      <c r="H204" s="10">
        <v>1016.04</v>
      </c>
      <c r="I204" s="10">
        <v>1144.5999999999999</v>
      </c>
      <c r="J204" s="10">
        <v>921.65</v>
      </c>
      <c r="K204" s="10">
        <v>205.65</v>
      </c>
      <c r="L204" s="10">
        <v>0</v>
      </c>
      <c r="M204" s="10">
        <v>852.16</v>
      </c>
      <c r="N204" s="10">
        <v>0</v>
      </c>
      <c r="O204" s="10">
        <v>0</v>
      </c>
      <c r="P204" s="10">
        <v>1141.83</v>
      </c>
      <c r="Q204" s="10">
        <v>0</v>
      </c>
      <c r="R204" s="10">
        <v>0</v>
      </c>
      <c r="S204" s="10">
        <v>180.61</v>
      </c>
      <c r="T204" s="10">
        <v>0</v>
      </c>
      <c r="U204" s="10">
        <v>0</v>
      </c>
      <c r="V204" s="10">
        <v>0</v>
      </c>
      <c r="W204" s="10">
        <v>1345.25</v>
      </c>
      <c r="X204" s="10">
        <v>1031.76</v>
      </c>
      <c r="Y204" s="10">
        <v>636.20000000000005</v>
      </c>
      <c r="Z204" s="10">
        <v>0</v>
      </c>
      <c r="AA204" s="10">
        <v>1225.5</v>
      </c>
      <c r="AB204" s="10">
        <v>802.01</v>
      </c>
      <c r="AC204" s="10">
        <v>0</v>
      </c>
      <c r="AD204" s="10">
        <v>977.33</v>
      </c>
      <c r="AE204" s="10">
        <v>0</v>
      </c>
      <c r="AF204" s="10">
        <v>0</v>
      </c>
    </row>
    <row r="205" spans="1:32" ht="15" customHeight="1">
      <c r="A205" s="10" t="s">
        <v>156</v>
      </c>
      <c r="B205" s="61" t="s">
        <v>297</v>
      </c>
      <c r="C205" s="10">
        <v>1285.6600000000001</v>
      </c>
      <c r="D205" s="10">
        <v>804.24</v>
      </c>
      <c r="E205" s="10">
        <v>192.2</v>
      </c>
      <c r="F205" s="10">
        <v>0</v>
      </c>
      <c r="G205" s="10">
        <v>637.54999999999995</v>
      </c>
      <c r="H205" s="10">
        <v>738.71</v>
      </c>
      <c r="I205" s="10">
        <v>356.15</v>
      </c>
      <c r="J205" s="10">
        <v>503.89</v>
      </c>
      <c r="K205" s="10">
        <v>0</v>
      </c>
      <c r="L205" s="10">
        <v>1513.18</v>
      </c>
      <c r="M205" s="10">
        <v>0</v>
      </c>
      <c r="N205" s="10">
        <v>0</v>
      </c>
      <c r="O205" s="10">
        <v>1129.3900000000001</v>
      </c>
      <c r="P205" s="10">
        <v>1144.4000000000001</v>
      </c>
      <c r="Q205" s="10">
        <v>932.26</v>
      </c>
      <c r="R205" s="10">
        <v>1161.05</v>
      </c>
      <c r="S205" s="10">
        <v>1249.7</v>
      </c>
      <c r="T205" s="10">
        <v>279.54000000000002</v>
      </c>
      <c r="U205" s="10">
        <v>1345.25</v>
      </c>
      <c r="V205" s="10">
        <v>0</v>
      </c>
      <c r="W205" s="10">
        <v>0</v>
      </c>
      <c r="X205" s="10">
        <v>1444.25</v>
      </c>
      <c r="Y205" s="10">
        <v>943.16</v>
      </c>
      <c r="Z205" s="10">
        <v>0</v>
      </c>
      <c r="AA205" s="10">
        <v>0</v>
      </c>
      <c r="AB205" s="10">
        <v>1343.75</v>
      </c>
      <c r="AC205" s="10">
        <v>958.07</v>
      </c>
      <c r="AD205" s="10">
        <v>1060.75</v>
      </c>
      <c r="AE205" s="10">
        <v>604.03</v>
      </c>
      <c r="AF205" s="10">
        <v>0</v>
      </c>
    </row>
    <row r="206" spans="1:32" ht="15" customHeight="1">
      <c r="A206" s="10" t="s">
        <v>156</v>
      </c>
      <c r="B206" s="61" t="s">
        <v>298</v>
      </c>
      <c r="C206" s="10">
        <v>2702.36</v>
      </c>
      <c r="D206" s="10">
        <v>0</v>
      </c>
      <c r="E206" s="10">
        <v>1636.14</v>
      </c>
      <c r="F206" s="10">
        <v>0</v>
      </c>
      <c r="G206" s="10">
        <v>0</v>
      </c>
      <c r="H206" s="10">
        <v>1642</v>
      </c>
      <c r="I206" s="10">
        <v>1503.63</v>
      </c>
      <c r="J206" s="10">
        <v>700</v>
      </c>
      <c r="K206" s="10">
        <v>885</v>
      </c>
      <c r="L206" s="10">
        <v>0</v>
      </c>
      <c r="M206" s="10">
        <v>1000</v>
      </c>
      <c r="N206" s="10">
        <v>0</v>
      </c>
      <c r="O206" s="10">
        <v>0</v>
      </c>
      <c r="P206" s="10">
        <v>0</v>
      </c>
      <c r="Q206" s="10">
        <v>1780.16</v>
      </c>
      <c r="R206" s="10">
        <v>0</v>
      </c>
      <c r="S206" s="10">
        <v>1153.01</v>
      </c>
      <c r="T206" s="10">
        <v>1703.34</v>
      </c>
      <c r="U206" s="10">
        <v>1031.76</v>
      </c>
      <c r="V206" s="10">
        <v>0</v>
      </c>
      <c r="W206" s="10">
        <v>1444.25</v>
      </c>
      <c r="X206" s="10">
        <v>0</v>
      </c>
      <c r="Y206" s="10">
        <v>1408.54</v>
      </c>
      <c r="Z206" s="10">
        <v>0</v>
      </c>
      <c r="AA206" s="10">
        <v>0</v>
      </c>
      <c r="AB206" s="10">
        <v>230.32</v>
      </c>
      <c r="AC206" s="10">
        <v>0</v>
      </c>
      <c r="AD206" s="10">
        <v>0</v>
      </c>
      <c r="AE206" s="10">
        <v>1492.31</v>
      </c>
      <c r="AF206" s="10">
        <v>0</v>
      </c>
    </row>
    <row r="207" spans="1:32" ht="15" customHeight="1">
      <c r="A207" s="10" t="s">
        <v>156</v>
      </c>
      <c r="B207" s="61" t="s">
        <v>357</v>
      </c>
      <c r="C207" s="10">
        <v>1809.09</v>
      </c>
      <c r="D207" s="10">
        <v>667.29</v>
      </c>
      <c r="E207" s="10">
        <v>0</v>
      </c>
      <c r="F207" s="10">
        <v>489.51</v>
      </c>
      <c r="G207" s="10">
        <v>978.2</v>
      </c>
      <c r="H207" s="10">
        <v>829.38</v>
      </c>
      <c r="I207" s="10">
        <v>1143.0899999999999</v>
      </c>
      <c r="J207" s="10">
        <v>0</v>
      </c>
      <c r="K207" s="10">
        <v>0</v>
      </c>
      <c r="L207" s="10">
        <v>0</v>
      </c>
      <c r="M207" s="10">
        <v>0</v>
      </c>
      <c r="N207" s="10">
        <v>521.16</v>
      </c>
      <c r="O207" s="10">
        <v>339.14</v>
      </c>
      <c r="P207" s="10">
        <v>486.51</v>
      </c>
      <c r="Q207" s="10">
        <v>0</v>
      </c>
      <c r="R207" s="10">
        <v>586.66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1038.1300000000001</v>
      </c>
      <c r="Z207" s="10">
        <v>0</v>
      </c>
      <c r="AA207" s="10">
        <v>569.07000000000005</v>
      </c>
      <c r="AB207" s="10">
        <v>0</v>
      </c>
      <c r="AC207" s="10">
        <v>511.02</v>
      </c>
      <c r="AD207" s="10">
        <v>658.16</v>
      </c>
      <c r="AE207" s="10">
        <v>0</v>
      </c>
      <c r="AF207" s="10">
        <v>0</v>
      </c>
    </row>
    <row r="208" spans="1:32" ht="15" customHeight="1">
      <c r="A208" s="10" t="s">
        <v>156</v>
      </c>
      <c r="B208" s="61" t="s">
        <v>299</v>
      </c>
      <c r="C208" s="10">
        <v>2000.6</v>
      </c>
      <c r="D208" s="10">
        <v>630.36</v>
      </c>
      <c r="E208" s="10">
        <v>1037.53</v>
      </c>
      <c r="F208" s="10">
        <v>1129.69</v>
      </c>
      <c r="G208" s="10">
        <v>1001.53</v>
      </c>
      <c r="H208" s="10">
        <v>390.18</v>
      </c>
      <c r="I208" s="10">
        <v>633.87</v>
      </c>
      <c r="J208" s="10">
        <v>745.5</v>
      </c>
      <c r="K208" s="10">
        <v>825.43</v>
      </c>
      <c r="L208" s="10">
        <v>0</v>
      </c>
      <c r="M208" s="10">
        <v>1430.78</v>
      </c>
      <c r="N208" s="10">
        <v>1480.09</v>
      </c>
      <c r="O208" s="10">
        <v>818.17</v>
      </c>
      <c r="P208" s="10">
        <v>551.72</v>
      </c>
      <c r="Q208" s="10">
        <v>0</v>
      </c>
      <c r="R208" s="10">
        <v>1174.6600000000001</v>
      </c>
      <c r="S208" s="10">
        <v>464.52</v>
      </c>
      <c r="T208" s="10">
        <v>969.45</v>
      </c>
      <c r="U208" s="10">
        <v>636.20000000000005</v>
      </c>
      <c r="V208" s="10">
        <v>1038.1300000000001</v>
      </c>
      <c r="W208" s="10">
        <v>943.16</v>
      </c>
      <c r="X208" s="10">
        <v>1408.54</v>
      </c>
      <c r="Y208" s="10">
        <v>0</v>
      </c>
      <c r="Z208" s="10">
        <v>0</v>
      </c>
      <c r="AA208" s="10">
        <v>809.16</v>
      </c>
      <c r="AB208" s="10">
        <v>1196.53</v>
      </c>
      <c r="AC208" s="10">
        <v>746.53</v>
      </c>
      <c r="AD208" s="10">
        <v>380.21</v>
      </c>
      <c r="AE208" s="10">
        <v>1502.63</v>
      </c>
      <c r="AF208" s="10">
        <v>0</v>
      </c>
    </row>
    <row r="209" spans="1:32" ht="15" customHeight="1">
      <c r="A209" s="10" t="s">
        <v>156</v>
      </c>
      <c r="B209" s="61" t="s">
        <v>300</v>
      </c>
      <c r="C209" s="10">
        <v>560.61</v>
      </c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421.67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1672.93</v>
      </c>
      <c r="AF209" s="10">
        <v>0</v>
      </c>
    </row>
    <row r="210" spans="1:32" ht="15" customHeight="1">
      <c r="A210" s="10" t="s">
        <v>156</v>
      </c>
      <c r="B210" s="61" t="s">
        <v>301</v>
      </c>
      <c r="C210" s="10">
        <v>2252.62</v>
      </c>
      <c r="D210" s="10">
        <v>850.72</v>
      </c>
      <c r="E210" s="10">
        <v>0</v>
      </c>
      <c r="F210" s="10">
        <v>343.03</v>
      </c>
      <c r="G210" s="10">
        <v>1292.28</v>
      </c>
      <c r="H210" s="10">
        <v>842.37</v>
      </c>
      <c r="I210" s="10">
        <v>1224.8499999999999</v>
      </c>
      <c r="J210" s="10">
        <v>1533.41</v>
      </c>
      <c r="K210" s="10">
        <v>0</v>
      </c>
      <c r="L210" s="10">
        <v>0</v>
      </c>
      <c r="M210" s="10">
        <v>0</v>
      </c>
      <c r="N210" s="10">
        <v>772.6</v>
      </c>
      <c r="O210" s="10">
        <v>677.09</v>
      </c>
      <c r="P210" s="10">
        <v>452.36</v>
      </c>
      <c r="Q210" s="10">
        <v>0</v>
      </c>
      <c r="R210" s="10">
        <v>1082.6300000000001</v>
      </c>
      <c r="S210" s="10">
        <v>1059.29</v>
      </c>
      <c r="T210" s="10">
        <v>0</v>
      </c>
      <c r="U210" s="10">
        <v>1225.5</v>
      </c>
      <c r="V210" s="10">
        <v>569.07000000000005</v>
      </c>
      <c r="W210" s="10">
        <v>0</v>
      </c>
      <c r="X210" s="10">
        <v>0</v>
      </c>
      <c r="Y210" s="10">
        <v>809.16</v>
      </c>
      <c r="Z210" s="10">
        <v>0</v>
      </c>
      <c r="AA210" s="10">
        <v>0</v>
      </c>
      <c r="AB210" s="10">
        <v>0</v>
      </c>
      <c r="AC210" s="10">
        <v>787.57</v>
      </c>
      <c r="AD210" s="10">
        <v>523.91999999999996</v>
      </c>
      <c r="AE210" s="10">
        <v>0</v>
      </c>
      <c r="AF210" s="10">
        <v>899</v>
      </c>
    </row>
    <row r="211" spans="1:32" ht="15" customHeight="1">
      <c r="A211" s="10" t="s">
        <v>156</v>
      </c>
      <c r="B211" s="61" t="s">
        <v>303</v>
      </c>
      <c r="C211" s="10">
        <v>2623.55</v>
      </c>
      <c r="D211" s="10">
        <v>1698.79</v>
      </c>
      <c r="E211" s="10">
        <v>1535.26</v>
      </c>
      <c r="F211" s="10">
        <v>0</v>
      </c>
      <c r="G211" s="10">
        <v>1857.41</v>
      </c>
      <c r="H211" s="10">
        <v>1454.22</v>
      </c>
      <c r="I211" s="10">
        <v>1354.27</v>
      </c>
      <c r="J211" s="10">
        <v>400</v>
      </c>
      <c r="K211" s="10">
        <v>661.72</v>
      </c>
      <c r="L211" s="10">
        <v>0</v>
      </c>
      <c r="M211" s="10">
        <v>505.83</v>
      </c>
      <c r="N211" s="10">
        <v>0</v>
      </c>
      <c r="O211" s="10">
        <v>1974.19</v>
      </c>
      <c r="P211" s="10">
        <v>1745.85</v>
      </c>
      <c r="Q211" s="10">
        <v>0</v>
      </c>
      <c r="R211" s="10">
        <v>2245.4899999999998</v>
      </c>
      <c r="S211" s="10">
        <v>923.23</v>
      </c>
      <c r="T211" s="10">
        <v>1586.29</v>
      </c>
      <c r="U211" s="10">
        <v>802.01</v>
      </c>
      <c r="V211" s="10">
        <v>0</v>
      </c>
      <c r="W211" s="10">
        <v>1343.75</v>
      </c>
      <c r="X211" s="10">
        <v>230.32</v>
      </c>
      <c r="Y211" s="10">
        <v>1196.53</v>
      </c>
      <c r="Z211" s="10">
        <v>0</v>
      </c>
      <c r="AA211" s="10">
        <v>0</v>
      </c>
      <c r="AB211" s="10">
        <v>0</v>
      </c>
      <c r="AC211" s="10">
        <v>1858.18</v>
      </c>
      <c r="AD211" s="10">
        <v>1575.37</v>
      </c>
      <c r="AE211" s="10">
        <v>1485.18</v>
      </c>
      <c r="AF211" s="10">
        <v>0</v>
      </c>
    </row>
    <row r="212" spans="1:32" ht="15" customHeight="1">
      <c r="A212" s="10" t="s">
        <v>156</v>
      </c>
      <c r="B212" s="61" t="s">
        <v>304</v>
      </c>
      <c r="C212" s="10">
        <v>1472.14</v>
      </c>
      <c r="D212" s="10">
        <v>171.24</v>
      </c>
      <c r="E212" s="10">
        <v>903.98</v>
      </c>
      <c r="F212" s="10">
        <v>908.29</v>
      </c>
      <c r="G212" s="10">
        <v>511.84</v>
      </c>
      <c r="H212" s="10">
        <v>404.31</v>
      </c>
      <c r="I212" s="10">
        <v>643.65</v>
      </c>
      <c r="J212" s="10">
        <v>1144.1199999999999</v>
      </c>
      <c r="K212" s="10">
        <v>0</v>
      </c>
      <c r="L212" s="10">
        <v>1632.96</v>
      </c>
      <c r="M212" s="10">
        <v>0</v>
      </c>
      <c r="N212" s="10">
        <v>1031.6199999999999</v>
      </c>
      <c r="O212" s="10">
        <v>171.93</v>
      </c>
      <c r="P212" s="10">
        <v>369.97</v>
      </c>
      <c r="Q212" s="10">
        <v>0</v>
      </c>
      <c r="R212" s="10">
        <v>429.95</v>
      </c>
      <c r="S212" s="10">
        <v>1207.05</v>
      </c>
      <c r="T212" s="10">
        <v>767.73</v>
      </c>
      <c r="U212" s="10">
        <v>0</v>
      </c>
      <c r="V212" s="10">
        <v>511.02</v>
      </c>
      <c r="W212" s="10">
        <v>958.07</v>
      </c>
      <c r="X212" s="10">
        <v>0</v>
      </c>
      <c r="Y212" s="10">
        <v>746.53</v>
      </c>
      <c r="Z212" s="10">
        <v>0</v>
      </c>
      <c r="AA212" s="10">
        <v>787.57</v>
      </c>
      <c r="AB212" s="10">
        <v>1858.18</v>
      </c>
      <c r="AC212" s="10">
        <v>0</v>
      </c>
      <c r="AD212" s="10">
        <v>454.53</v>
      </c>
      <c r="AE212" s="10">
        <v>0</v>
      </c>
      <c r="AF212" s="10">
        <v>0</v>
      </c>
    </row>
    <row r="213" spans="1:32" ht="15" customHeight="1">
      <c r="A213" s="10" t="s">
        <v>156</v>
      </c>
      <c r="B213" s="61" t="s">
        <v>305</v>
      </c>
      <c r="C213" s="10">
        <v>1879.08</v>
      </c>
      <c r="D213" s="10">
        <v>416.67</v>
      </c>
      <c r="E213" s="10">
        <v>1089.56</v>
      </c>
      <c r="F213" s="10">
        <v>797.9</v>
      </c>
      <c r="G213" s="10">
        <v>869.38</v>
      </c>
      <c r="H213" s="10">
        <v>323.69</v>
      </c>
      <c r="I213" s="10">
        <v>705.3</v>
      </c>
      <c r="J213" s="10">
        <v>1030.02</v>
      </c>
      <c r="K213" s="10">
        <v>1177.79</v>
      </c>
      <c r="L213" s="10">
        <v>0</v>
      </c>
      <c r="M213" s="10">
        <v>0</v>
      </c>
      <c r="N213" s="10">
        <v>1109.6099999999999</v>
      </c>
      <c r="O213" s="10">
        <v>470.6</v>
      </c>
      <c r="P213" s="10">
        <v>171.65</v>
      </c>
      <c r="Q213" s="10">
        <v>0</v>
      </c>
      <c r="R213" s="10">
        <v>874.11</v>
      </c>
      <c r="S213" s="10">
        <v>797.05</v>
      </c>
      <c r="T213" s="10">
        <v>981.17</v>
      </c>
      <c r="U213" s="10">
        <v>977.33</v>
      </c>
      <c r="V213" s="10">
        <v>658.16</v>
      </c>
      <c r="W213" s="10">
        <v>1060.75</v>
      </c>
      <c r="X213" s="10">
        <v>0</v>
      </c>
      <c r="Y213" s="10">
        <v>380.21</v>
      </c>
      <c r="Z213" s="10">
        <v>0</v>
      </c>
      <c r="AA213" s="10">
        <v>523.91999999999996</v>
      </c>
      <c r="AB213" s="10">
        <v>1575.37</v>
      </c>
      <c r="AC213" s="10">
        <v>454.53</v>
      </c>
      <c r="AD213" s="10">
        <v>0</v>
      </c>
      <c r="AE213" s="10">
        <v>0</v>
      </c>
      <c r="AF213" s="10">
        <v>0</v>
      </c>
    </row>
    <row r="214" spans="1:32" ht="15" customHeight="1">
      <c r="A214" s="10" t="s">
        <v>156</v>
      </c>
      <c r="B214" s="10" t="s">
        <v>356</v>
      </c>
      <c r="C214" s="10">
        <v>0</v>
      </c>
      <c r="D214" s="10">
        <v>0</v>
      </c>
      <c r="E214" s="10">
        <v>0</v>
      </c>
      <c r="F214" s="10">
        <v>428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868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899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</row>
    <row r="215" spans="1:32" ht="15" customHeight="1">
      <c r="A215" s="10" t="s">
        <v>156</v>
      </c>
      <c r="B215" s="61" t="s">
        <v>307</v>
      </c>
      <c r="C215" s="10">
        <v>600</v>
      </c>
      <c r="D215" s="10">
        <v>1399.02</v>
      </c>
      <c r="E215" s="10">
        <v>645.59</v>
      </c>
      <c r="F215" s="10">
        <v>0</v>
      </c>
      <c r="G215" s="10">
        <v>1134.76</v>
      </c>
      <c r="H215" s="10">
        <v>1341.38</v>
      </c>
      <c r="I215" s="10">
        <v>959.53</v>
      </c>
      <c r="J215" s="10">
        <v>850.09</v>
      </c>
      <c r="K215" s="10">
        <v>0</v>
      </c>
      <c r="L215" s="10">
        <v>1549.51</v>
      </c>
      <c r="M215" s="10">
        <v>0</v>
      </c>
      <c r="N215" s="10">
        <v>0</v>
      </c>
      <c r="O215" s="10">
        <v>0</v>
      </c>
      <c r="P215" s="10">
        <v>0</v>
      </c>
      <c r="Q215" s="10">
        <v>363.85</v>
      </c>
      <c r="R215" s="10">
        <v>1673.84</v>
      </c>
      <c r="S215" s="10">
        <v>0</v>
      </c>
      <c r="T215" s="10">
        <v>785.89</v>
      </c>
      <c r="U215" s="10">
        <v>0</v>
      </c>
      <c r="V215" s="10">
        <v>0</v>
      </c>
      <c r="W215" s="10">
        <v>604.03</v>
      </c>
      <c r="X215" s="10">
        <v>1492.31</v>
      </c>
      <c r="Y215" s="10">
        <v>1502.63</v>
      </c>
      <c r="Z215" s="10">
        <v>1672.93</v>
      </c>
      <c r="AA215" s="10">
        <v>0</v>
      </c>
      <c r="AB215" s="10">
        <v>1485.18</v>
      </c>
      <c r="AC215" s="10">
        <v>0</v>
      </c>
      <c r="AD215" s="10">
        <v>0</v>
      </c>
      <c r="AE215" s="10">
        <v>0</v>
      </c>
      <c r="AF215" s="10">
        <v>0</v>
      </c>
    </row>
    <row r="216" spans="1:32" ht="15" customHeight="1">
      <c r="A216" s="10" t="s">
        <v>342</v>
      </c>
      <c r="B216" s="61" t="s">
        <v>278</v>
      </c>
      <c r="C216" s="10">
        <v>1462.5</v>
      </c>
      <c r="D216" s="10">
        <v>0</v>
      </c>
      <c r="E216" s="10">
        <v>770.24</v>
      </c>
      <c r="F216" s="10">
        <v>1022.45</v>
      </c>
      <c r="G216" s="10">
        <v>456.36</v>
      </c>
      <c r="H216" s="10">
        <v>254.84</v>
      </c>
      <c r="I216" s="10">
        <v>477.04</v>
      </c>
      <c r="J216" s="10">
        <v>973.03</v>
      </c>
      <c r="K216" s="10">
        <v>0</v>
      </c>
      <c r="L216" s="10">
        <v>1640.58</v>
      </c>
      <c r="M216" s="10">
        <v>0</v>
      </c>
      <c r="N216" s="10">
        <v>1188.01</v>
      </c>
      <c r="O216" s="10">
        <v>332.27</v>
      </c>
      <c r="P216" s="10">
        <v>400.59</v>
      </c>
      <c r="Q216" s="10">
        <v>0</v>
      </c>
      <c r="R216" s="10">
        <v>557.69000000000005</v>
      </c>
      <c r="S216" s="10">
        <v>1094.8399999999999</v>
      </c>
      <c r="T216" s="10">
        <v>640.32000000000005</v>
      </c>
      <c r="U216" s="10">
        <v>1264.26</v>
      </c>
      <c r="V216" s="10">
        <v>667.29</v>
      </c>
      <c r="W216" s="10">
        <v>804.24</v>
      </c>
      <c r="X216" s="10">
        <v>0</v>
      </c>
      <c r="Y216" s="10">
        <v>630.36</v>
      </c>
      <c r="Z216" s="10">
        <v>0</v>
      </c>
      <c r="AA216" s="10">
        <v>850.72</v>
      </c>
      <c r="AB216" s="10">
        <v>1698.79</v>
      </c>
      <c r="AC216" s="10">
        <v>171.24</v>
      </c>
      <c r="AD216" s="10">
        <v>416.67</v>
      </c>
      <c r="AE216" s="10">
        <v>1399.02</v>
      </c>
      <c r="AF216" s="10">
        <v>0</v>
      </c>
    </row>
    <row r="217" spans="1:32" ht="15" customHeight="1">
      <c r="A217" s="10" t="s">
        <v>342</v>
      </c>
      <c r="B217" s="61" t="s">
        <v>280</v>
      </c>
      <c r="C217" s="10">
        <v>300</v>
      </c>
      <c r="D217" s="10">
        <v>770.24</v>
      </c>
      <c r="E217" s="10">
        <v>0</v>
      </c>
      <c r="F217" s="10">
        <v>0</v>
      </c>
      <c r="G217" s="10">
        <v>501.4</v>
      </c>
      <c r="H217" s="10">
        <v>767.87</v>
      </c>
      <c r="I217" s="10">
        <v>406.5</v>
      </c>
      <c r="J217" s="10">
        <v>692.16</v>
      </c>
      <c r="K217" s="10">
        <v>0</v>
      </c>
      <c r="L217" s="10">
        <v>1325.38</v>
      </c>
      <c r="M217" s="10">
        <v>0</v>
      </c>
      <c r="N217" s="10">
        <v>0</v>
      </c>
      <c r="O217" s="10">
        <v>1075.07</v>
      </c>
      <c r="P217" s="10">
        <v>1146.05</v>
      </c>
      <c r="Q217" s="10">
        <v>924.14</v>
      </c>
      <c r="R217" s="10">
        <v>1040.22</v>
      </c>
      <c r="S217" s="10">
        <v>0</v>
      </c>
      <c r="T217" s="10">
        <v>140.4</v>
      </c>
      <c r="U217" s="10">
        <v>0</v>
      </c>
      <c r="V217" s="10">
        <v>0</v>
      </c>
      <c r="W217" s="10">
        <v>192.2</v>
      </c>
      <c r="X217" s="10">
        <v>1636.14</v>
      </c>
      <c r="Y217" s="10">
        <v>1037.53</v>
      </c>
      <c r="Z217" s="10">
        <v>0</v>
      </c>
      <c r="AA217" s="10">
        <v>0</v>
      </c>
      <c r="AB217" s="10">
        <v>1535.26</v>
      </c>
      <c r="AC217" s="10">
        <v>903.98</v>
      </c>
      <c r="AD217" s="10">
        <v>1089.56</v>
      </c>
      <c r="AE217" s="10">
        <v>645.59</v>
      </c>
      <c r="AF217" s="10">
        <v>0</v>
      </c>
    </row>
    <row r="218" spans="1:32" ht="15" customHeight="1">
      <c r="A218" s="10" t="s">
        <v>342</v>
      </c>
      <c r="B218" s="61" t="s">
        <v>281</v>
      </c>
      <c r="C218" s="10">
        <v>0</v>
      </c>
      <c r="D218" s="10">
        <v>1022.45</v>
      </c>
      <c r="E218" s="10">
        <v>0</v>
      </c>
      <c r="F218" s="10">
        <v>0</v>
      </c>
      <c r="G218" s="10">
        <v>1415.45</v>
      </c>
      <c r="H218" s="10">
        <v>1087.05</v>
      </c>
      <c r="I218" s="10">
        <v>1458.02</v>
      </c>
      <c r="J218" s="10">
        <v>0</v>
      </c>
      <c r="K218" s="10">
        <v>0</v>
      </c>
      <c r="L218" s="10">
        <v>0</v>
      </c>
      <c r="M218" s="10">
        <v>0</v>
      </c>
      <c r="N218" s="10">
        <v>453.95</v>
      </c>
      <c r="O218" s="10">
        <v>753.16</v>
      </c>
      <c r="P218" s="10">
        <v>671.18</v>
      </c>
      <c r="Q218" s="10">
        <v>0</v>
      </c>
      <c r="R218" s="10">
        <v>1075.51</v>
      </c>
      <c r="S218" s="10">
        <v>0</v>
      </c>
      <c r="T218" s="10">
        <v>0</v>
      </c>
      <c r="U218" s="10">
        <v>0</v>
      </c>
      <c r="V218" s="10">
        <v>489.51</v>
      </c>
      <c r="W218" s="10">
        <v>0</v>
      </c>
      <c r="X218" s="10">
        <v>0</v>
      </c>
      <c r="Y218" s="10">
        <v>1129.69</v>
      </c>
      <c r="Z218" s="10">
        <v>0</v>
      </c>
      <c r="AA218" s="10">
        <v>343.03</v>
      </c>
      <c r="AB218" s="10">
        <v>0</v>
      </c>
      <c r="AC218" s="10">
        <v>908.29</v>
      </c>
      <c r="AD218" s="10">
        <v>797.9</v>
      </c>
      <c r="AE218" s="10">
        <v>0</v>
      </c>
      <c r="AF218" s="10">
        <v>428</v>
      </c>
    </row>
    <row r="219" spans="1:32" ht="15" customHeight="1">
      <c r="A219" s="10" t="s">
        <v>342</v>
      </c>
      <c r="B219" s="61" t="s">
        <v>282</v>
      </c>
      <c r="C219" s="10">
        <v>350</v>
      </c>
      <c r="D219" s="10">
        <v>456.36</v>
      </c>
      <c r="E219" s="10">
        <v>501.4</v>
      </c>
      <c r="F219" s="10">
        <v>1415.45</v>
      </c>
      <c r="G219" s="10">
        <v>0</v>
      </c>
      <c r="H219" s="10">
        <v>619.89</v>
      </c>
      <c r="I219" s="10">
        <v>504.62</v>
      </c>
      <c r="J219" s="10">
        <v>1027.05</v>
      </c>
      <c r="K219" s="10">
        <v>0</v>
      </c>
      <c r="L219" s="10">
        <v>1204.01</v>
      </c>
      <c r="M219" s="10">
        <v>0</v>
      </c>
      <c r="N219" s="10">
        <v>0</v>
      </c>
      <c r="O219" s="10">
        <v>662.94</v>
      </c>
      <c r="P219" s="10">
        <v>850.87</v>
      </c>
      <c r="Q219" s="10">
        <v>0</v>
      </c>
      <c r="R219" s="10">
        <v>540.01</v>
      </c>
      <c r="S219" s="10">
        <v>0</v>
      </c>
      <c r="T219" s="10">
        <v>367.02</v>
      </c>
      <c r="U219" s="10">
        <v>0</v>
      </c>
      <c r="V219" s="10">
        <v>978.2</v>
      </c>
      <c r="W219" s="10">
        <v>637.54999999999995</v>
      </c>
      <c r="X219" s="10">
        <v>0</v>
      </c>
      <c r="Y219" s="10">
        <v>1001.53</v>
      </c>
      <c r="Z219" s="10">
        <v>0</v>
      </c>
      <c r="AA219" s="10">
        <v>1292.28</v>
      </c>
      <c r="AB219" s="10">
        <v>1857.41</v>
      </c>
      <c r="AC219" s="10">
        <v>511.84</v>
      </c>
      <c r="AD219" s="10">
        <v>869.38</v>
      </c>
      <c r="AE219" s="10">
        <v>1134.76</v>
      </c>
      <c r="AF219" s="10">
        <v>0</v>
      </c>
    </row>
    <row r="220" spans="1:32">
      <c r="A220" s="10" t="s">
        <v>342</v>
      </c>
      <c r="B220" s="61" t="s">
        <v>283</v>
      </c>
      <c r="C220" s="10">
        <v>1630.33</v>
      </c>
      <c r="D220" s="10">
        <v>254.84</v>
      </c>
      <c r="E220" s="10">
        <v>767.87</v>
      </c>
      <c r="F220" s="10">
        <v>1087.05</v>
      </c>
      <c r="G220" s="10">
        <v>619.89</v>
      </c>
      <c r="H220" s="10">
        <v>0</v>
      </c>
      <c r="I220" s="10">
        <v>382.63</v>
      </c>
      <c r="J220" s="10">
        <v>777.76</v>
      </c>
      <c r="K220" s="10">
        <v>1194.05</v>
      </c>
      <c r="L220" s="10">
        <v>0</v>
      </c>
      <c r="M220" s="10">
        <v>0</v>
      </c>
      <c r="N220" s="10">
        <v>1334.1</v>
      </c>
      <c r="O220" s="10">
        <v>528.63</v>
      </c>
      <c r="P220" s="10">
        <v>415.87</v>
      </c>
      <c r="Q220" s="10">
        <v>0</v>
      </c>
      <c r="R220" s="10">
        <v>812.43</v>
      </c>
      <c r="S220" s="10">
        <v>850.9</v>
      </c>
      <c r="T220" s="10">
        <v>665.24</v>
      </c>
      <c r="U220" s="10">
        <v>1016.04</v>
      </c>
      <c r="V220" s="10">
        <v>829.38</v>
      </c>
      <c r="W220" s="10">
        <v>738.71</v>
      </c>
      <c r="X220" s="10">
        <v>1642</v>
      </c>
      <c r="Y220" s="10">
        <v>390.18</v>
      </c>
      <c r="Z220" s="10">
        <v>0</v>
      </c>
      <c r="AA220" s="10">
        <v>842.37</v>
      </c>
      <c r="AB220" s="10">
        <v>1454.22</v>
      </c>
      <c r="AC220" s="10">
        <v>404.31</v>
      </c>
      <c r="AD220" s="10">
        <v>323.69</v>
      </c>
      <c r="AE220" s="10">
        <v>1341.38</v>
      </c>
      <c r="AF220" s="10">
        <v>0</v>
      </c>
    </row>
    <row r="221" spans="1:32" ht="15" customHeight="1">
      <c r="A221" s="10" t="s">
        <v>342</v>
      </c>
      <c r="B221" s="61" t="s">
        <v>284</v>
      </c>
      <c r="C221" s="10">
        <v>500</v>
      </c>
      <c r="D221" s="10">
        <v>477.04</v>
      </c>
      <c r="E221" s="10">
        <v>406.5</v>
      </c>
      <c r="F221" s="10">
        <v>1458.02</v>
      </c>
      <c r="G221" s="10">
        <v>504.62</v>
      </c>
      <c r="H221" s="10">
        <v>382.63</v>
      </c>
      <c r="I221" s="10">
        <v>0</v>
      </c>
      <c r="J221" s="10">
        <v>540.49</v>
      </c>
      <c r="K221" s="10">
        <v>1281.04</v>
      </c>
      <c r="L221" s="10">
        <v>1624.96</v>
      </c>
      <c r="M221" s="10">
        <v>1750.79</v>
      </c>
      <c r="N221" s="10">
        <v>1662.66</v>
      </c>
      <c r="O221" s="10">
        <v>809.27</v>
      </c>
      <c r="P221" s="10">
        <v>790.13</v>
      </c>
      <c r="Q221" s="10">
        <v>1286.0899999999999</v>
      </c>
      <c r="R221" s="10">
        <v>934.15</v>
      </c>
      <c r="S221" s="10">
        <v>1015.33</v>
      </c>
      <c r="T221" s="10">
        <v>339.26</v>
      </c>
      <c r="U221" s="10">
        <v>1144.5999999999999</v>
      </c>
      <c r="V221" s="10">
        <v>1143.0899999999999</v>
      </c>
      <c r="W221" s="10">
        <v>356.15</v>
      </c>
      <c r="X221" s="10">
        <v>1503.63</v>
      </c>
      <c r="Y221" s="10">
        <v>633.87</v>
      </c>
      <c r="Z221" s="10">
        <v>0</v>
      </c>
      <c r="AA221" s="10">
        <v>1224.8499999999999</v>
      </c>
      <c r="AB221" s="10">
        <v>1354.27</v>
      </c>
      <c r="AC221" s="10">
        <v>643.65</v>
      </c>
      <c r="AD221" s="10">
        <v>705.3</v>
      </c>
      <c r="AE221" s="10">
        <v>959.53</v>
      </c>
      <c r="AF221" s="10">
        <v>0</v>
      </c>
    </row>
    <row r="222" spans="1:32" ht="15" customHeight="1">
      <c r="A222" s="10" t="s">
        <v>342</v>
      </c>
      <c r="B222" s="61" t="s">
        <v>285</v>
      </c>
      <c r="C222" s="10">
        <v>1789.51</v>
      </c>
      <c r="D222" s="10">
        <v>973.03</v>
      </c>
      <c r="E222" s="10">
        <v>692.16</v>
      </c>
      <c r="F222" s="10">
        <v>0</v>
      </c>
      <c r="G222" s="10">
        <v>1027.05</v>
      </c>
      <c r="H222" s="10">
        <v>777.76</v>
      </c>
      <c r="I222" s="10">
        <v>540.49</v>
      </c>
      <c r="J222" s="10">
        <v>0</v>
      </c>
      <c r="K222" s="10">
        <v>978.44</v>
      </c>
      <c r="L222" s="10">
        <v>0</v>
      </c>
      <c r="M222" s="10">
        <v>1298.0899999999999</v>
      </c>
      <c r="N222" s="10">
        <v>0</v>
      </c>
      <c r="O222" s="10">
        <v>1294.23</v>
      </c>
      <c r="P222" s="10">
        <v>1171.94</v>
      </c>
      <c r="Q222" s="10">
        <v>1213.43</v>
      </c>
      <c r="R222" s="10">
        <v>1472.56</v>
      </c>
      <c r="S222" s="10">
        <v>873.01</v>
      </c>
      <c r="T222" s="10">
        <v>737.81</v>
      </c>
      <c r="U222" s="10">
        <v>921.65</v>
      </c>
      <c r="V222" s="10">
        <v>0</v>
      </c>
      <c r="W222" s="10">
        <v>503.89</v>
      </c>
      <c r="X222" s="10">
        <v>700</v>
      </c>
      <c r="Y222" s="10">
        <v>745.5</v>
      </c>
      <c r="Z222" s="10">
        <v>0</v>
      </c>
      <c r="AA222" s="10">
        <v>1533.41</v>
      </c>
      <c r="AB222" s="10">
        <v>400</v>
      </c>
      <c r="AC222" s="10">
        <v>1144.1199999999999</v>
      </c>
      <c r="AD222" s="10">
        <v>1030.02</v>
      </c>
      <c r="AE222" s="10">
        <v>850.09</v>
      </c>
      <c r="AF222" s="10">
        <v>0</v>
      </c>
    </row>
    <row r="223" spans="1:32" ht="15" customHeight="1">
      <c r="A223" s="10" t="s">
        <v>342</v>
      </c>
      <c r="B223" s="61" t="s">
        <v>308</v>
      </c>
      <c r="C223" s="10">
        <v>0</v>
      </c>
      <c r="D223" s="10">
        <v>0</v>
      </c>
      <c r="E223" s="10">
        <v>0</v>
      </c>
      <c r="F223" s="10">
        <v>0</v>
      </c>
      <c r="G223" s="10">
        <v>0</v>
      </c>
      <c r="H223" s="10">
        <v>1194.05</v>
      </c>
      <c r="I223" s="10">
        <v>1281.04</v>
      </c>
      <c r="J223" s="10">
        <v>978.44</v>
      </c>
      <c r="K223" s="10">
        <v>0</v>
      </c>
      <c r="L223" s="10">
        <v>0</v>
      </c>
      <c r="M223" s="10">
        <v>647.91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384.47</v>
      </c>
      <c r="T223" s="10">
        <v>0</v>
      </c>
      <c r="U223" s="10">
        <v>205.65</v>
      </c>
      <c r="V223" s="10">
        <v>0</v>
      </c>
      <c r="W223" s="10">
        <v>0</v>
      </c>
      <c r="X223" s="10">
        <v>885</v>
      </c>
      <c r="Y223" s="10">
        <v>825.43</v>
      </c>
      <c r="Z223" s="10">
        <v>0</v>
      </c>
      <c r="AA223" s="10">
        <v>0</v>
      </c>
      <c r="AB223" s="10">
        <v>661.72</v>
      </c>
      <c r="AC223" s="10">
        <v>0</v>
      </c>
      <c r="AD223" s="10">
        <v>1177.79</v>
      </c>
      <c r="AE223" s="10">
        <v>0</v>
      </c>
      <c r="AF223" s="10">
        <v>0</v>
      </c>
    </row>
    <row r="224" spans="1:32" ht="15" customHeight="1">
      <c r="A224" s="10" t="s">
        <v>342</v>
      </c>
      <c r="B224" s="61" t="s">
        <v>286</v>
      </c>
      <c r="C224" s="10">
        <v>229.59</v>
      </c>
      <c r="D224" s="10">
        <v>1640.58</v>
      </c>
      <c r="E224" s="10">
        <v>1325.38</v>
      </c>
      <c r="F224" s="10">
        <v>0</v>
      </c>
      <c r="G224" s="10">
        <v>1204.01</v>
      </c>
      <c r="H224" s="10">
        <v>0</v>
      </c>
      <c r="I224" s="10">
        <v>1624.96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1723.59</v>
      </c>
      <c r="P224" s="10">
        <v>0</v>
      </c>
      <c r="Q224" s="10">
        <v>1479.45</v>
      </c>
      <c r="R224" s="10">
        <v>1341.02</v>
      </c>
      <c r="S224" s="10">
        <v>0</v>
      </c>
      <c r="T224" s="10">
        <v>1307.3599999999999</v>
      </c>
      <c r="U224" s="10">
        <v>0</v>
      </c>
      <c r="V224" s="10">
        <v>0</v>
      </c>
      <c r="W224" s="10">
        <v>1513.18</v>
      </c>
      <c r="X224" s="10">
        <v>0</v>
      </c>
      <c r="Y224" s="10">
        <v>0</v>
      </c>
      <c r="Z224" s="10">
        <v>421.67</v>
      </c>
      <c r="AA224" s="10">
        <v>0</v>
      </c>
      <c r="AB224" s="10">
        <v>0</v>
      </c>
      <c r="AC224" s="10">
        <v>1632.96</v>
      </c>
      <c r="AD224" s="10">
        <v>0</v>
      </c>
      <c r="AE224" s="10">
        <v>1549.51</v>
      </c>
      <c r="AF224" s="10">
        <v>0</v>
      </c>
    </row>
    <row r="225" spans="1:32" ht="15" customHeight="1">
      <c r="A225" s="10" t="s">
        <v>342</v>
      </c>
      <c r="B225" s="61" t="s">
        <v>287</v>
      </c>
      <c r="C225" s="10">
        <v>0</v>
      </c>
      <c r="D225" s="10">
        <v>0</v>
      </c>
      <c r="E225" s="10">
        <v>0</v>
      </c>
      <c r="F225" s="10">
        <v>0</v>
      </c>
      <c r="G225" s="10">
        <v>0</v>
      </c>
      <c r="H225" s="10">
        <v>0</v>
      </c>
      <c r="I225" s="10">
        <v>1750.79</v>
      </c>
      <c r="J225" s="10">
        <v>1298.0899999999999</v>
      </c>
      <c r="K225" s="10">
        <v>647.91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1026.31</v>
      </c>
      <c r="T225" s="10">
        <v>0</v>
      </c>
      <c r="U225" s="10">
        <v>852.16</v>
      </c>
      <c r="V225" s="10">
        <v>0</v>
      </c>
      <c r="W225" s="10">
        <v>0</v>
      </c>
      <c r="X225" s="10">
        <v>1000</v>
      </c>
      <c r="Y225" s="10">
        <v>1430.78</v>
      </c>
      <c r="Z225" s="10">
        <v>0</v>
      </c>
      <c r="AA225" s="10">
        <v>0</v>
      </c>
      <c r="AB225" s="10">
        <v>505.83</v>
      </c>
      <c r="AC225" s="10">
        <v>0</v>
      </c>
      <c r="AD225" s="10">
        <v>0</v>
      </c>
      <c r="AE225" s="10">
        <v>0</v>
      </c>
      <c r="AF225" s="10">
        <v>0</v>
      </c>
    </row>
    <row r="226" spans="1:32" ht="15" customHeight="1">
      <c r="A226" s="10" t="s">
        <v>342</v>
      </c>
      <c r="B226" s="61" t="s">
        <v>288</v>
      </c>
      <c r="C226" s="10">
        <v>0</v>
      </c>
      <c r="D226" s="10">
        <v>1462.5</v>
      </c>
      <c r="E226" s="10">
        <v>300</v>
      </c>
      <c r="F226" s="10">
        <v>0</v>
      </c>
      <c r="G226" s="10">
        <v>350</v>
      </c>
      <c r="H226" s="10">
        <v>1630.33</v>
      </c>
      <c r="I226" s="10">
        <v>500</v>
      </c>
      <c r="J226" s="10">
        <v>1789.51</v>
      </c>
      <c r="K226" s="10">
        <v>0</v>
      </c>
      <c r="L226" s="10">
        <v>229.59</v>
      </c>
      <c r="M226" s="10">
        <v>0</v>
      </c>
      <c r="N226" s="10">
        <v>2201.09</v>
      </c>
      <c r="O226" s="10">
        <v>1577.99</v>
      </c>
      <c r="P226" s="10">
        <v>1838.39</v>
      </c>
      <c r="Q226" s="10">
        <v>1284.49</v>
      </c>
      <c r="R226" s="10">
        <v>1000</v>
      </c>
      <c r="S226" s="10">
        <v>0</v>
      </c>
      <c r="T226" s="10">
        <v>1087.05</v>
      </c>
      <c r="U226" s="10">
        <v>0</v>
      </c>
      <c r="V226" s="10">
        <v>1809.09</v>
      </c>
      <c r="W226" s="10">
        <v>1285.6600000000001</v>
      </c>
      <c r="X226" s="10">
        <v>2702.36</v>
      </c>
      <c r="Y226" s="10">
        <v>2000.6</v>
      </c>
      <c r="Z226" s="10">
        <v>560.61</v>
      </c>
      <c r="AA226" s="10">
        <v>2252.62</v>
      </c>
      <c r="AB226" s="10">
        <v>2623.55</v>
      </c>
      <c r="AC226" s="10">
        <v>1472.14</v>
      </c>
      <c r="AD226" s="10">
        <v>1879.08</v>
      </c>
      <c r="AE226" s="10">
        <v>600</v>
      </c>
      <c r="AF226" s="10">
        <v>0</v>
      </c>
    </row>
    <row r="227" spans="1:32" ht="15" customHeight="1">
      <c r="A227" s="10" t="s">
        <v>342</v>
      </c>
      <c r="B227" s="61" t="s">
        <v>289</v>
      </c>
      <c r="C227" s="10">
        <v>2201.09</v>
      </c>
      <c r="D227" s="10">
        <v>1188.01</v>
      </c>
      <c r="E227" s="10">
        <v>0</v>
      </c>
      <c r="F227" s="10">
        <v>453.95</v>
      </c>
      <c r="G227" s="10">
        <v>0</v>
      </c>
      <c r="H227" s="10">
        <v>1334.1</v>
      </c>
      <c r="I227" s="10">
        <v>1662.66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859.98</v>
      </c>
      <c r="P227" s="10">
        <v>947.65</v>
      </c>
      <c r="Q227" s="10">
        <v>0</v>
      </c>
      <c r="R227" s="10">
        <v>1007.1</v>
      </c>
      <c r="S227" s="10">
        <v>0</v>
      </c>
      <c r="T227" s="10">
        <v>0</v>
      </c>
      <c r="U227" s="10">
        <v>0</v>
      </c>
      <c r="V227" s="10">
        <v>521.16</v>
      </c>
      <c r="W227" s="10">
        <v>0</v>
      </c>
      <c r="X227" s="10">
        <v>0</v>
      </c>
      <c r="Y227" s="10">
        <v>1480.09</v>
      </c>
      <c r="Z227" s="10">
        <v>0</v>
      </c>
      <c r="AA227" s="10">
        <v>772.6</v>
      </c>
      <c r="AB227" s="10">
        <v>0</v>
      </c>
      <c r="AC227" s="10">
        <v>1031.6199999999999</v>
      </c>
      <c r="AD227" s="10">
        <v>1109.6099999999999</v>
      </c>
      <c r="AE227" s="10">
        <v>0</v>
      </c>
      <c r="AF227" s="10">
        <v>868</v>
      </c>
    </row>
    <row r="228" spans="1:32" ht="15" customHeight="1">
      <c r="A228" s="10" t="s">
        <v>342</v>
      </c>
      <c r="B228" s="61" t="s">
        <v>290</v>
      </c>
      <c r="C228" s="10">
        <v>1577.99</v>
      </c>
      <c r="D228" s="10">
        <v>332.27</v>
      </c>
      <c r="E228" s="10">
        <v>1075.07</v>
      </c>
      <c r="F228" s="10">
        <v>753.16</v>
      </c>
      <c r="G228" s="10">
        <v>662.94</v>
      </c>
      <c r="H228" s="10">
        <v>528.63</v>
      </c>
      <c r="I228" s="10">
        <v>809.27</v>
      </c>
      <c r="J228" s="10">
        <v>1294.23</v>
      </c>
      <c r="K228" s="10">
        <v>0</v>
      </c>
      <c r="L228" s="10">
        <v>1723.59</v>
      </c>
      <c r="M228" s="10">
        <v>0</v>
      </c>
      <c r="N228" s="10">
        <v>859.98</v>
      </c>
      <c r="O228" s="10">
        <v>0</v>
      </c>
      <c r="P228" s="10">
        <v>331.49</v>
      </c>
      <c r="Q228" s="10">
        <v>0</v>
      </c>
      <c r="R228" s="10">
        <v>427.99</v>
      </c>
      <c r="S228" s="10">
        <v>1262.6500000000001</v>
      </c>
      <c r="T228" s="10">
        <v>938.11</v>
      </c>
      <c r="U228" s="10">
        <v>0</v>
      </c>
      <c r="V228" s="10">
        <v>339.14</v>
      </c>
      <c r="W228" s="10">
        <v>1129.3900000000001</v>
      </c>
      <c r="X228" s="10">
        <v>0</v>
      </c>
      <c r="Y228" s="10">
        <v>818.17</v>
      </c>
      <c r="Z228" s="10">
        <v>0</v>
      </c>
      <c r="AA228" s="10">
        <v>677.09</v>
      </c>
      <c r="AB228" s="10">
        <v>1974.19</v>
      </c>
      <c r="AC228" s="10">
        <v>171.93</v>
      </c>
      <c r="AD228" s="10">
        <v>470.6</v>
      </c>
      <c r="AE228" s="10">
        <v>0</v>
      </c>
      <c r="AF228" s="10">
        <v>0</v>
      </c>
    </row>
    <row r="229" spans="1:32" ht="15" customHeight="1">
      <c r="A229" s="10" t="s">
        <v>342</v>
      </c>
      <c r="B229" s="61" t="s">
        <v>291</v>
      </c>
      <c r="C229" s="10">
        <v>1838.39</v>
      </c>
      <c r="D229" s="10">
        <v>400.59</v>
      </c>
      <c r="E229" s="10">
        <v>1146.05</v>
      </c>
      <c r="F229" s="10">
        <v>671.18</v>
      </c>
      <c r="G229" s="10">
        <v>850.87</v>
      </c>
      <c r="H229" s="10">
        <v>415.87</v>
      </c>
      <c r="I229" s="10">
        <v>790.13</v>
      </c>
      <c r="J229" s="10">
        <v>1171.94</v>
      </c>
      <c r="K229" s="10">
        <v>0</v>
      </c>
      <c r="L229" s="10">
        <v>0</v>
      </c>
      <c r="M229" s="10">
        <v>0</v>
      </c>
      <c r="N229" s="10">
        <v>947.65</v>
      </c>
      <c r="O229" s="10">
        <v>331.49</v>
      </c>
      <c r="P229" s="10">
        <v>0</v>
      </c>
      <c r="Q229" s="10">
        <v>0</v>
      </c>
      <c r="R229" s="10">
        <v>755.26</v>
      </c>
      <c r="S229" s="10">
        <v>961.23</v>
      </c>
      <c r="T229" s="10">
        <v>1025.1099999999999</v>
      </c>
      <c r="U229" s="10">
        <v>1141.83</v>
      </c>
      <c r="V229" s="10">
        <v>486.51</v>
      </c>
      <c r="W229" s="10">
        <v>1144.4000000000001</v>
      </c>
      <c r="X229" s="10">
        <v>0</v>
      </c>
      <c r="Y229" s="10">
        <v>551.72</v>
      </c>
      <c r="Z229" s="10">
        <v>0</v>
      </c>
      <c r="AA229" s="10">
        <v>452.36</v>
      </c>
      <c r="AB229" s="10">
        <v>1745.85</v>
      </c>
      <c r="AC229" s="10">
        <v>369.97</v>
      </c>
      <c r="AD229" s="10">
        <v>171.65</v>
      </c>
      <c r="AE229" s="10">
        <v>0</v>
      </c>
      <c r="AF229" s="10">
        <v>0</v>
      </c>
    </row>
    <row r="230" spans="1:32" ht="15" customHeight="1">
      <c r="A230" s="10" t="s">
        <v>342</v>
      </c>
      <c r="B230" s="61" t="s">
        <v>292</v>
      </c>
      <c r="C230" s="10">
        <v>1284.49</v>
      </c>
      <c r="D230" s="10">
        <v>0</v>
      </c>
      <c r="E230" s="10">
        <v>924.14</v>
      </c>
      <c r="F230" s="10">
        <v>0</v>
      </c>
      <c r="G230" s="10">
        <v>0</v>
      </c>
      <c r="H230" s="10">
        <v>0</v>
      </c>
      <c r="I230" s="10">
        <v>1286.0899999999999</v>
      </c>
      <c r="J230" s="10">
        <v>1213.43</v>
      </c>
      <c r="K230" s="10">
        <v>0</v>
      </c>
      <c r="L230" s="10">
        <v>1479.45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1057.17</v>
      </c>
      <c r="U230" s="10">
        <v>0</v>
      </c>
      <c r="V230" s="10">
        <v>0</v>
      </c>
      <c r="W230" s="10">
        <v>932.26</v>
      </c>
      <c r="X230" s="10">
        <v>1780.16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363.85</v>
      </c>
      <c r="AF230" s="10">
        <v>0</v>
      </c>
    </row>
    <row r="231" spans="1:32" ht="15" customHeight="1">
      <c r="A231" s="10" t="s">
        <v>342</v>
      </c>
      <c r="B231" s="61" t="s">
        <v>293</v>
      </c>
      <c r="C231" s="10">
        <v>1000</v>
      </c>
      <c r="D231" s="10">
        <v>557.69000000000005</v>
      </c>
      <c r="E231" s="10">
        <v>1040.22</v>
      </c>
      <c r="F231" s="10">
        <v>1075.51</v>
      </c>
      <c r="G231" s="10">
        <v>540.01</v>
      </c>
      <c r="H231" s="10">
        <v>812.43</v>
      </c>
      <c r="I231" s="10">
        <v>934.15</v>
      </c>
      <c r="J231" s="10">
        <v>1472.56</v>
      </c>
      <c r="K231" s="10">
        <v>0</v>
      </c>
      <c r="L231" s="10">
        <v>1341.02</v>
      </c>
      <c r="M231" s="10">
        <v>0</v>
      </c>
      <c r="N231" s="10">
        <v>1007.1</v>
      </c>
      <c r="O231" s="10">
        <v>427.99</v>
      </c>
      <c r="P231" s="10">
        <v>755.26</v>
      </c>
      <c r="Q231" s="10">
        <v>0</v>
      </c>
      <c r="R231" s="10">
        <v>0</v>
      </c>
      <c r="S231" s="10">
        <v>0</v>
      </c>
      <c r="T231" s="10">
        <v>903.08</v>
      </c>
      <c r="U231" s="10">
        <v>0</v>
      </c>
      <c r="V231" s="10">
        <v>586.66</v>
      </c>
      <c r="W231" s="10">
        <v>1161.05</v>
      </c>
      <c r="X231" s="10">
        <v>0</v>
      </c>
      <c r="Y231" s="10">
        <v>1174.6600000000001</v>
      </c>
      <c r="Z231" s="10">
        <v>0</v>
      </c>
      <c r="AA231" s="10">
        <v>1082.6300000000001</v>
      </c>
      <c r="AB231" s="10">
        <v>2245.4899999999998</v>
      </c>
      <c r="AC231" s="10">
        <v>429.95</v>
      </c>
      <c r="AD231" s="10">
        <v>874.11</v>
      </c>
      <c r="AE231" s="10">
        <v>1673.84</v>
      </c>
      <c r="AF231" s="10">
        <v>0</v>
      </c>
    </row>
    <row r="232" spans="1:32" ht="15" customHeight="1">
      <c r="A232" s="10" t="s">
        <v>342</v>
      </c>
      <c r="B232" s="61" t="s">
        <v>309</v>
      </c>
      <c r="C232" s="10">
        <v>0</v>
      </c>
      <c r="D232" s="10">
        <v>1094.8399999999999</v>
      </c>
      <c r="E232" s="10">
        <v>0</v>
      </c>
      <c r="F232" s="10">
        <v>0</v>
      </c>
      <c r="G232" s="10">
        <v>0</v>
      </c>
      <c r="H232" s="10">
        <v>850.9</v>
      </c>
      <c r="I232" s="10">
        <v>1015.33</v>
      </c>
      <c r="J232" s="10">
        <v>873.01</v>
      </c>
      <c r="K232" s="10">
        <v>384.47</v>
      </c>
      <c r="L232" s="10">
        <v>0</v>
      </c>
      <c r="M232" s="10">
        <v>1026.31</v>
      </c>
      <c r="N232" s="10">
        <v>0</v>
      </c>
      <c r="O232" s="10">
        <v>1262.6500000000001</v>
      </c>
      <c r="P232" s="10">
        <v>961.23</v>
      </c>
      <c r="Q232" s="10">
        <v>0</v>
      </c>
      <c r="R232" s="10">
        <v>0</v>
      </c>
      <c r="S232" s="10">
        <v>0</v>
      </c>
      <c r="T232" s="10">
        <v>0</v>
      </c>
      <c r="U232" s="10">
        <v>180.61</v>
      </c>
      <c r="V232" s="10">
        <v>0</v>
      </c>
      <c r="W232" s="10">
        <v>1249.7</v>
      </c>
      <c r="X232" s="10">
        <v>1153.01</v>
      </c>
      <c r="Y232" s="10">
        <v>464.52</v>
      </c>
      <c r="Z232" s="10">
        <v>0</v>
      </c>
      <c r="AA232" s="10">
        <v>1059.29</v>
      </c>
      <c r="AB232" s="10">
        <v>923.23</v>
      </c>
      <c r="AC232" s="10">
        <v>1207.05</v>
      </c>
      <c r="AD232" s="10">
        <v>797.05</v>
      </c>
      <c r="AE232" s="10">
        <v>0</v>
      </c>
      <c r="AF232" s="10">
        <v>0</v>
      </c>
    </row>
    <row r="233" spans="1:32" ht="15" customHeight="1">
      <c r="A233" s="10" t="s">
        <v>342</v>
      </c>
      <c r="B233" s="61" t="s">
        <v>294</v>
      </c>
      <c r="C233" s="10">
        <v>1087.05</v>
      </c>
      <c r="D233" s="10">
        <v>640.32000000000005</v>
      </c>
      <c r="E233" s="10">
        <v>140.4</v>
      </c>
      <c r="F233" s="10">
        <v>0</v>
      </c>
      <c r="G233" s="10">
        <v>367.02</v>
      </c>
      <c r="H233" s="10">
        <v>665.24</v>
      </c>
      <c r="I233" s="10">
        <v>339.26</v>
      </c>
      <c r="J233" s="10">
        <v>737.81</v>
      </c>
      <c r="K233" s="10">
        <v>0</v>
      </c>
      <c r="L233" s="10">
        <v>1307.3599999999999</v>
      </c>
      <c r="M233" s="10">
        <v>0</v>
      </c>
      <c r="N233" s="10">
        <v>0</v>
      </c>
      <c r="O233" s="10">
        <v>938.11</v>
      </c>
      <c r="P233" s="10">
        <v>1025.1099999999999</v>
      </c>
      <c r="Q233" s="10">
        <v>1057.17</v>
      </c>
      <c r="R233" s="10">
        <v>903.08</v>
      </c>
      <c r="S233" s="10">
        <v>0</v>
      </c>
      <c r="T233" s="10">
        <v>0</v>
      </c>
      <c r="U233" s="10">
        <v>0</v>
      </c>
      <c r="V233" s="10">
        <v>0</v>
      </c>
      <c r="W233" s="10">
        <v>279.54000000000002</v>
      </c>
      <c r="X233" s="10">
        <v>1703.34</v>
      </c>
      <c r="Y233" s="10">
        <v>969.45</v>
      </c>
      <c r="Z233" s="10">
        <v>0</v>
      </c>
      <c r="AA233" s="10">
        <v>0</v>
      </c>
      <c r="AB233" s="10">
        <v>1586.29</v>
      </c>
      <c r="AC233" s="10">
        <v>767.73</v>
      </c>
      <c r="AD233" s="10">
        <v>981.17</v>
      </c>
      <c r="AE233" s="10">
        <v>785.89</v>
      </c>
      <c r="AF233" s="10">
        <v>0</v>
      </c>
    </row>
    <row r="234" spans="1:32" ht="15" customHeight="1">
      <c r="A234" s="10" t="s">
        <v>342</v>
      </c>
      <c r="B234" s="61" t="s">
        <v>310</v>
      </c>
      <c r="C234" s="10">
        <v>0</v>
      </c>
      <c r="D234" s="10">
        <v>1264.26</v>
      </c>
      <c r="E234" s="10">
        <v>0</v>
      </c>
      <c r="F234" s="10">
        <v>0</v>
      </c>
      <c r="G234" s="10">
        <v>0</v>
      </c>
      <c r="H234" s="10">
        <v>1016.04</v>
      </c>
      <c r="I234" s="10">
        <v>1144.5999999999999</v>
      </c>
      <c r="J234" s="10">
        <v>921.65</v>
      </c>
      <c r="K234" s="10">
        <v>205.65</v>
      </c>
      <c r="L234" s="10">
        <v>0</v>
      </c>
      <c r="M234" s="10">
        <v>852.16</v>
      </c>
      <c r="N234" s="10">
        <v>0</v>
      </c>
      <c r="O234" s="10">
        <v>0</v>
      </c>
      <c r="P234" s="10">
        <v>1141.83</v>
      </c>
      <c r="Q234" s="10">
        <v>0</v>
      </c>
      <c r="R234" s="10">
        <v>0</v>
      </c>
      <c r="S234" s="10">
        <v>180.61</v>
      </c>
      <c r="T234" s="10">
        <v>0</v>
      </c>
      <c r="U234" s="10">
        <v>0</v>
      </c>
      <c r="V234" s="10">
        <v>0</v>
      </c>
      <c r="W234" s="10">
        <v>1345.25</v>
      </c>
      <c r="X234" s="10">
        <v>1031.76</v>
      </c>
      <c r="Y234" s="10">
        <v>636.20000000000005</v>
      </c>
      <c r="Z234" s="10">
        <v>0</v>
      </c>
      <c r="AA234" s="10">
        <v>1225.5</v>
      </c>
      <c r="AB234" s="10">
        <v>802.01</v>
      </c>
      <c r="AC234" s="10">
        <v>0</v>
      </c>
      <c r="AD234" s="10">
        <v>977.33</v>
      </c>
      <c r="AE234" s="10">
        <v>0</v>
      </c>
      <c r="AF234" s="10">
        <v>0</v>
      </c>
    </row>
    <row r="235" spans="1:32" ht="15" customHeight="1">
      <c r="A235" s="10" t="s">
        <v>342</v>
      </c>
      <c r="B235" s="61" t="s">
        <v>297</v>
      </c>
      <c r="C235" s="10">
        <v>1285.6600000000001</v>
      </c>
      <c r="D235" s="10">
        <v>804.24</v>
      </c>
      <c r="E235" s="10">
        <v>192.2</v>
      </c>
      <c r="F235" s="10">
        <v>0</v>
      </c>
      <c r="G235" s="10">
        <v>637.54999999999995</v>
      </c>
      <c r="H235" s="10">
        <v>738.71</v>
      </c>
      <c r="I235" s="10">
        <v>356.15</v>
      </c>
      <c r="J235" s="10">
        <v>503.89</v>
      </c>
      <c r="K235" s="10">
        <v>0</v>
      </c>
      <c r="L235" s="10">
        <v>1513.18</v>
      </c>
      <c r="M235" s="10">
        <v>0</v>
      </c>
      <c r="N235" s="10">
        <v>0</v>
      </c>
      <c r="O235" s="10">
        <v>1129.3900000000001</v>
      </c>
      <c r="P235" s="10">
        <v>1144.4000000000001</v>
      </c>
      <c r="Q235" s="10">
        <v>932.26</v>
      </c>
      <c r="R235" s="10">
        <v>1161.05</v>
      </c>
      <c r="S235" s="10">
        <v>1249.7</v>
      </c>
      <c r="T235" s="10">
        <v>279.54000000000002</v>
      </c>
      <c r="U235" s="10">
        <v>1345.25</v>
      </c>
      <c r="V235" s="10">
        <v>0</v>
      </c>
      <c r="W235" s="10">
        <v>0</v>
      </c>
      <c r="X235" s="10">
        <v>1444.25</v>
      </c>
      <c r="Y235" s="10">
        <v>943.16</v>
      </c>
      <c r="Z235" s="10">
        <v>0</v>
      </c>
      <c r="AA235" s="10">
        <v>0</v>
      </c>
      <c r="AB235" s="10">
        <v>1343.75</v>
      </c>
      <c r="AC235" s="10">
        <v>958.07</v>
      </c>
      <c r="AD235" s="10">
        <v>1060.75</v>
      </c>
      <c r="AE235" s="10">
        <v>604.03</v>
      </c>
      <c r="AF235" s="10">
        <v>0</v>
      </c>
    </row>
    <row r="236" spans="1:32" ht="15" customHeight="1">
      <c r="A236" s="10" t="s">
        <v>342</v>
      </c>
      <c r="B236" s="61" t="s">
        <v>298</v>
      </c>
      <c r="C236" s="10">
        <v>2702.36</v>
      </c>
      <c r="D236" s="10">
        <v>0</v>
      </c>
      <c r="E236" s="10">
        <v>1636.14</v>
      </c>
      <c r="F236" s="10">
        <v>0</v>
      </c>
      <c r="G236" s="10">
        <v>0</v>
      </c>
      <c r="H236" s="10">
        <v>1642</v>
      </c>
      <c r="I236" s="10">
        <v>1503.63</v>
      </c>
      <c r="J236" s="10">
        <v>700</v>
      </c>
      <c r="K236" s="10">
        <v>885</v>
      </c>
      <c r="L236" s="10">
        <v>0</v>
      </c>
      <c r="M236" s="10">
        <v>1000</v>
      </c>
      <c r="N236" s="10">
        <v>0</v>
      </c>
      <c r="O236" s="10">
        <v>0</v>
      </c>
      <c r="P236" s="10">
        <v>0</v>
      </c>
      <c r="Q236" s="10">
        <v>1780.16</v>
      </c>
      <c r="R236" s="10">
        <v>0</v>
      </c>
      <c r="S236" s="10">
        <v>1153.01</v>
      </c>
      <c r="T236" s="10">
        <v>1703.34</v>
      </c>
      <c r="U236" s="10">
        <v>1031.76</v>
      </c>
      <c r="V236" s="10">
        <v>0</v>
      </c>
      <c r="W236" s="10">
        <v>1444.25</v>
      </c>
      <c r="X236" s="10">
        <v>0</v>
      </c>
      <c r="Y236" s="10">
        <v>1408.54</v>
      </c>
      <c r="Z236" s="10">
        <v>0</v>
      </c>
      <c r="AA236" s="10">
        <v>0</v>
      </c>
      <c r="AB236" s="10">
        <v>230.32</v>
      </c>
      <c r="AC236" s="10">
        <v>0</v>
      </c>
      <c r="AD236" s="10">
        <v>0</v>
      </c>
      <c r="AE236" s="10">
        <v>1492.31</v>
      </c>
      <c r="AF236" s="10">
        <v>0</v>
      </c>
    </row>
    <row r="237" spans="1:32" ht="15" customHeight="1">
      <c r="A237" s="10" t="s">
        <v>342</v>
      </c>
      <c r="B237" s="61" t="s">
        <v>357</v>
      </c>
      <c r="C237" s="10">
        <v>1809.09</v>
      </c>
      <c r="D237" s="10">
        <v>667.29</v>
      </c>
      <c r="E237" s="10">
        <v>0</v>
      </c>
      <c r="F237" s="10">
        <v>489.51</v>
      </c>
      <c r="G237" s="10">
        <v>978.2</v>
      </c>
      <c r="H237" s="10">
        <v>829.38</v>
      </c>
      <c r="I237" s="10">
        <v>1143.0899999999999</v>
      </c>
      <c r="J237" s="10">
        <v>0</v>
      </c>
      <c r="K237" s="10">
        <v>0</v>
      </c>
      <c r="L237" s="10">
        <v>0</v>
      </c>
      <c r="M237" s="10">
        <v>0</v>
      </c>
      <c r="N237" s="10">
        <v>521.16</v>
      </c>
      <c r="O237" s="10">
        <v>339.14</v>
      </c>
      <c r="P237" s="10">
        <v>486.51</v>
      </c>
      <c r="Q237" s="10">
        <v>0</v>
      </c>
      <c r="R237" s="10">
        <v>586.66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1038.1300000000001</v>
      </c>
      <c r="Z237" s="10">
        <v>0</v>
      </c>
      <c r="AA237" s="10">
        <v>569.07000000000005</v>
      </c>
      <c r="AB237" s="10">
        <v>0</v>
      </c>
      <c r="AC237" s="10">
        <v>511.02</v>
      </c>
      <c r="AD237" s="10">
        <v>658.16</v>
      </c>
      <c r="AE237" s="10">
        <v>0</v>
      </c>
      <c r="AF237" s="10">
        <v>0</v>
      </c>
    </row>
    <row r="238" spans="1:32" ht="15" customHeight="1">
      <c r="A238" s="10" t="s">
        <v>342</v>
      </c>
      <c r="B238" s="61" t="s">
        <v>299</v>
      </c>
      <c r="C238" s="10">
        <v>2000.6</v>
      </c>
      <c r="D238" s="10">
        <v>630.36</v>
      </c>
      <c r="E238" s="10">
        <v>1037.53</v>
      </c>
      <c r="F238" s="10">
        <v>1129.69</v>
      </c>
      <c r="G238" s="10">
        <v>1001.53</v>
      </c>
      <c r="H238" s="10">
        <v>390.18</v>
      </c>
      <c r="I238" s="10">
        <v>633.87</v>
      </c>
      <c r="J238" s="10">
        <v>745.5</v>
      </c>
      <c r="K238" s="10">
        <v>825.43</v>
      </c>
      <c r="L238" s="10">
        <v>0</v>
      </c>
      <c r="M238" s="10">
        <v>1430.78</v>
      </c>
      <c r="N238" s="10">
        <v>1480.09</v>
      </c>
      <c r="O238" s="10">
        <v>818.17</v>
      </c>
      <c r="P238" s="10">
        <v>551.72</v>
      </c>
      <c r="Q238" s="10">
        <v>0</v>
      </c>
      <c r="R238" s="10">
        <v>1174.6600000000001</v>
      </c>
      <c r="S238" s="10">
        <v>464.52</v>
      </c>
      <c r="T238" s="10">
        <v>969.45</v>
      </c>
      <c r="U238" s="10">
        <v>636.20000000000005</v>
      </c>
      <c r="V238" s="10">
        <v>1038.1300000000001</v>
      </c>
      <c r="W238" s="10">
        <v>943.16</v>
      </c>
      <c r="X238" s="10">
        <v>1408.54</v>
      </c>
      <c r="Y238" s="10">
        <v>0</v>
      </c>
      <c r="Z238" s="10">
        <v>0</v>
      </c>
      <c r="AA238" s="10">
        <v>809.16</v>
      </c>
      <c r="AB238" s="10">
        <v>1196.53</v>
      </c>
      <c r="AC238" s="10">
        <v>746.53</v>
      </c>
      <c r="AD238" s="10">
        <v>380.21</v>
      </c>
      <c r="AE238" s="10">
        <v>1502.63</v>
      </c>
      <c r="AF238" s="10">
        <v>0</v>
      </c>
    </row>
    <row r="239" spans="1:32" ht="15" customHeight="1">
      <c r="A239" s="10" t="s">
        <v>342</v>
      </c>
      <c r="B239" s="61" t="s">
        <v>300</v>
      </c>
      <c r="C239" s="10">
        <v>560.61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421.67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1672.93</v>
      </c>
      <c r="AF239" s="10">
        <v>0</v>
      </c>
    </row>
    <row r="240" spans="1:32" ht="15" customHeight="1">
      <c r="A240" s="10" t="s">
        <v>342</v>
      </c>
      <c r="B240" s="61" t="s">
        <v>301</v>
      </c>
      <c r="C240" s="10">
        <v>2252.62</v>
      </c>
      <c r="D240" s="10">
        <v>850.72</v>
      </c>
      <c r="E240" s="10">
        <v>0</v>
      </c>
      <c r="F240" s="10">
        <v>343.03</v>
      </c>
      <c r="G240" s="10">
        <v>1292.28</v>
      </c>
      <c r="H240" s="10">
        <v>842.37</v>
      </c>
      <c r="I240" s="10">
        <v>1224.8499999999999</v>
      </c>
      <c r="J240" s="10">
        <v>1533.41</v>
      </c>
      <c r="K240" s="10">
        <v>0</v>
      </c>
      <c r="L240" s="10">
        <v>0</v>
      </c>
      <c r="M240" s="10">
        <v>0</v>
      </c>
      <c r="N240" s="10">
        <v>772.6</v>
      </c>
      <c r="O240" s="10">
        <v>677.09</v>
      </c>
      <c r="P240" s="10">
        <v>452.36</v>
      </c>
      <c r="Q240" s="10">
        <v>0</v>
      </c>
      <c r="R240" s="10">
        <v>1082.6300000000001</v>
      </c>
      <c r="S240" s="10">
        <v>1059.29</v>
      </c>
      <c r="T240" s="10">
        <v>0</v>
      </c>
      <c r="U240" s="10">
        <v>1225.5</v>
      </c>
      <c r="V240" s="10">
        <v>569.07000000000005</v>
      </c>
      <c r="W240" s="10">
        <v>0</v>
      </c>
      <c r="X240" s="10">
        <v>0</v>
      </c>
      <c r="Y240" s="10">
        <v>809.16</v>
      </c>
      <c r="Z240" s="10">
        <v>0</v>
      </c>
      <c r="AA240" s="10">
        <v>0</v>
      </c>
      <c r="AB240" s="10">
        <v>0</v>
      </c>
      <c r="AC240" s="10">
        <v>787.57</v>
      </c>
      <c r="AD240" s="10">
        <v>523.91999999999996</v>
      </c>
      <c r="AE240" s="10">
        <v>0</v>
      </c>
      <c r="AF240" s="10">
        <v>899</v>
      </c>
    </row>
    <row r="241" spans="1:32" ht="15" customHeight="1">
      <c r="A241" s="10" t="s">
        <v>342</v>
      </c>
      <c r="B241" s="61" t="s">
        <v>303</v>
      </c>
      <c r="C241" s="10">
        <v>2623.55</v>
      </c>
      <c r="D241" s="10">
        <v>1698.79</v>
      </c>
      <c r="E241" s="10">
        <v>1535.26</v>
      </c>
      <c r="F241" s="10">
        <v>0</v>
      </c>
      <c r="G241" s="10">
        <v>1857.41</v>
      </c>
      <c r="H241" s="10">
        <v>1454.22</v>
      </c>
      <c r="I241" s="10">
        <v>1354.27</v>
      </c>
      <c r="J241" s="10">
        <v>400</v>
      </c>
      <c r="K241" s="10">
        <v>661.72</v>
      </c>
      <c r="L241" s="10">
        <v>0</v>
      </c>
      <c r="M241" s="10">
        <v>505.83</v>
      </c>
      <c r="N241" s="10">
        <v>0</v>
      </c>
      <c r="O241" s="10">
        <v>1974.19</v>
      </c>
      <c r="P241" s="10">
        <v>1745.85</v>
      </c>
      <c r="Q241" s="10">
        <v>0</v>
      </c>
      <c r="R241" s="10">
        <v>2245.4899999999998</v>
      </c>
      <c r="S241" s="10">
        <v>923.23</v>
      </c>
      <c r="T241" s="10">
        <v>1586.29</v>
      </c>
      <c r="U241" s="10">
        <v>802.01</v>
      </c>
      <c r="V241" s="10">
        <v>0</v>
      </c>
      <c r="W241" s="10">
        <v>1343.75</v>
      </c>
      <c r="X241" s="10">
        <v>230.32</v>
      </c>
      <c r="Y241" s="10">
        <v>1196.53</v>
      </c>
      <c r="Z241" s="10">
        <v>0</v>
      </c>
      <c r="AA241" s="10">
        <v>0</v>
      </c>
      <c r="AB241" s="10">
        <v>0</v>
      </c>
      <c r="AC241" s="10">
        <v>1858.18</v>
      </c>
      <c r="AD241" s="10">
        <v>1575.37</v>
      </c>
      <c r="AE241" s="10">
        <v>1485.18</v>
      </c>
      <c r="AF241" s="10">
        <v>0</v>
      </c>
    </row>
    <row r="242" spans="1:32" ht="15" customHeight="1">
      <c r="A242" s="10" t="s">
        <v>342</v>
      </c>
      <c r="B242" s="61" t="s">
        <v>304</v>
      </c>
      <c r="C242" s="10">
        <v>1472.14</v>
      </c>
      <c r="D242" s="10">
        <v>171.24</v>
      </c>
      <c r="E242" s="10">
        <v>903.98</v>
      </c>
      <c r="F242" s="10">
        <v>908.29</v>
      </c>
      <c r="G242" s="10">
        <v>511.84</v>
      </c>
      <c r="H242" s="10">
        <v>404.31</v>
      </c>
      <c r="I242" s="10">
        <v>643.65</v>
      </c>
      <c r="J242" s="10">
        <v>1144.1199999999999</v>
      </c>
      <c r="K242" s="10">
        <v>0</v>
      </c>
      <c r="L242" s="10">
        <v>1632.96</v>
      </c>
      <c r="M242" s="10">
        <v>0</v>
      </c>
      <c r="N242" s="10">
        <v>1031.6199999999999</v>
      </c>
      <c r="O242" s="10">
        <v>171.93</v>
      </c>
      <c r="P242" s="10">
        <v>369.97</v>
      </c>
      <c r="Q242" s="10">
        <v>0</v>
      </c>
      <c r="R242" s="10">
        <v>429.95</v>
      </c>
      <c r="S242" s="10">
        <v>1207.05</v>
      </c>
      <c r="T242" s="10">
        <v>767.73</v>
      </c>
      <c r="U242" s="10">
        <v>0</v>
      </c>
      <c r="V242" s="10">
        <v>511.02</v>
      </c>
      <c r="W242" s="10">
        <v>958.07</v>
      </c>
      <c r="X242" s="10">
        <v>0</v>
      </c>
      <c r="Y242" s="10">
        <v>746.53</v>
      </c>
      <c r="Z242" s="10">
        <v>0</v>
      </c>
      <c r="AA242" s="10">
        <v>787.57</v>
      </c>
      <c r="AB242" s="10">
        <v>1858.18</v>
      </c>
      <c r="AC242" s="10">
        <v>0</v>
      </c>
      <c r="AD242" s="10">
        <v>454.53</v>
      </c>
      <c r="AE242" s="10">
        <v>0</v>
      </c>
      <c r="AF242" s="10">
        <v>0</v>
      </c>
    </row>
    <row r="243" spans="1:32" ht="15" customHeight="1">
      <c r="A243" s="10" t="s">
        <v>342</v>
      </c>
      <c r="B243" s="61" t="s">
        <v>305</v>
      </c>
      <c r="C243" s="10">
        <v>1879.08</v>
      </c>
      <c r="D243" s="10">
        <v>416.67</v>
      </c>
      <c r="E243" s="10">
        <v>1089.56</v>
      </c>
      <c r="F243" s="10">
        <v>797.9</v>
      </c>
      <c r="G243" s="10">
        <v>869.38</v>
      </c>
      <c r="H243" s="10">
        <v>323.69</v>
      </c>
      <c r="I243" s="10">
        <v>705.3</v>
      </c>
      <c r="J243" s="10">
        <v>1030.02</v>
      </c>
      <c r="K243" s="10">
        <v>1177.79</v>
      </c>
      <c r="L243" s="10">
        <v>0</v>
      </c>
      <c r="M243" s="10">
        <v>0</v>
      </c>
      <c r="N243" s="10">
        <v>1109.6099999999999</v>
      </c>
      <c r="O243" s="10">
        <v>470.6</v>
      </c>
      <c r="P243" s="10">
        <v>171.65</v>
      </c>
      <c r="Q243" s="10">
        <v>0</v>
      </c>
      <c r="R243" s="10">
        <v>874.11</v>
      </c>
      <c r="S243" s="10">
        <v>797.05</v>
      </c>
      <c r="T243" s="10">
        <v>981.17</v>
      </c>
      <c r="U243" s="10">
        <v>977.33</v>
      </c>
      <c r="V243" s="10">
        <v>658.16</v>
      </c>
      <c r="W243" s="10">
        <v>1060.75</v>
      </c>
      <c r="X243" s="10">
        <v>0</v>
      </c>
      <c r="Y243" s="10">
        <v>380.21</v>
      </c>
      <c r="Z243" s="10">
        <v>0</v>
      </c>
      <c r="AA243" s="10">
        <v>523.91999999999996</v>
      </c>
      <c r="AB243" s="10">
        <v>1575.37</v>
      </c>
      <c r="AC243" s="10">
        <v>454.53</v>
      </c>
      <c r="AD243" s="10">
        <v>0</v>
      </c>
      <c r="AE243" s="10">
        <v>0</v>
      </c>
      <c r="AF243" s="10">
        <v>0</v>
      </c>
    </row>
    <row r="244" spans="1:32" ht="15" customHeight="1">
      <c r="A244" s="10" t="s">
        <v>342</v>
      </c>
      <c r="B244" s="10" t="s">
        <v>356</v>
      </c>
      <c r="C244" s="10">
        <v>0</v>
      </c>
      <c r="D244" s="10">
        <v>0</v>
      </c>
      <c r="E244" s="10">
        <v>0</v>
      </c>
      <c r="F244" s="10">
        <v>428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868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899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</row>
    <row r="245" spans="1:32" ht="15" customHeight="1">
      <c r="A245" s="10" t="s">
        <v>342</v>
      </c>
      <c r="B245" s="61" t="s">
        <v>307</v>
      </c>
      <c r="C245" s="10">
        <v>600</v>
      </c>
      <c r="D245" s="10">
        <v>1399.02</v>
      </c>
      <c r="E245" s="10">
        <v>645.59</v>
      </c>
      <c r="F245" s="10">
        <v>0</v>
      </c>
      <c r="G245" s="10">
        <v>1134.76</v>
      </c>
      <c r="H245" s="10">
        <v>1341.38</v>
      </c>
      <c r="I245" s="10">
        <v>959.53</v>
      </c>
      <c r="J245" s="10">
        <v>850.09</v>
      </c>
      <c r="K245" s="10">
        <v>0</v>
      </c>
      <c r="L245" s="10">
        <v>1549.51</v>
      </c>
      <c r="M245" s="10">
        <v>0</v>
      </c>
      <c r="N245" s="10">
        <v>0</v>
      </c>
      <c r="O245" s="10">
        <v>0</v>
      </c>
      <c r="P245" s="10">
        <v>0</v>
      </c>
      <c r="Q245" s="10">
        <v>363.85</v>
      </c>
      <c r="R245" s="10">
        <v>1673.84</v>
      </c>
      <c r="S245" s="10">
        <v>0</v>
      </c>
      <c r="T245" s="10">
        <v>785.89</v>
      </c>
      <c r="U245" s="10">
        <v>0</v>
      </c>
      <c r="V245" s="10">
        <v>0</v>
      </c>
      <c r="W245" s="10">
        <v>604.03</v>
      </c>
      <c r="X245" s="10">
        <v>1492.31</v>
      </c>
      <c r="Y245" s="10">
        <v>1502.63</v>
      </c>
      <c r="Z245" s="10">
        <v>1672.93</v>
      </c>
      <c r="AA245" s="10">
        <v>0</v>
      </c>
      <c r="AB245" s="10">
        <v>1485.18</v>
      </c>
      <c r="AC245" s="10">
        <v>0</v>
      </c>
      <c r="AD245" s="10">
        <v>0</v>
      </c>
      <c r="AE245" s="10">
        <v>0</v>
      </c>
      <c r="AF245" s="10">
        <v>0</v>
      </c>
    </row>
    <row r="246" spans="1:32" ht="15" customHeight="1">
      <c r="A246" s="10" t="s">
        <v>343</v>
      </c>
      <c r="B246" s="61" t="s">
        <v>278</v>
      </c>
      <c r="C246" s="10">
        <v>1462.5</v>
      </c>
      <c r="D246" s="10">
        <v>0</v>
      </c>
      <c r="E246" s="10">
        <v>770.24</v>
      </c>
      <c r="F246" s="10">
        <v>1022.45</v>
      </c>
      <c r="G246" s="10">
        <v>456.36</v>
      </c>
      <c r="H246" s="10">
        <v>254.84</v>
      </c>
      <c r="I246" s="10">
        <v>477.04</v>
      </c>
      <c r="J246" s="10">
        <v>973.03</v>
      </c>
      <c r="K246" s="10">
        <v>0</v>
      </c>
      <c r="L246" s="10">
        <v>1640.58</v>
      </c>
      <c r="M246" s="10">
        <v>0</v>
      </c>
      <c r="N246" s="10">
        <v>1188.01</v>
      </c>
      <c r="O246" s="10">
        <v>332.27</v>
      </c>
      <c r="P246" s="10">
        <v>400.59</v>
      </c>
      <c r="Q246" s="10">
        <v>0</v>
      </c>
      <c r="R246" s="10">
        <v>557.69000000000005</v>
      </c>
      <c r="S246" s="10">
        <v>1094.8399999999999</v>
      </c>
      <c r="T246" s="10">
        <v>640.32000000000005</v>
      </c>
      <c r="U246" s="10">
        <v>1264.26</v>
      </c>
      <c r="V246" s="10">
        <v>667.29</v>
      </c>
      <c r="W246" s="10">
        <v>804.24</v>
      </c>
      <c r="X246" s="10">
        <v>0</v>
      </c>
      <c r="Y246" s="10">
        <v>630.36</v>
      </c>
      <c r="Z246" s="10">
        <v>0</v>
      </c>
      <c r="AA246" s="10">
        <v>850.72</v>
      </c>
      <c r="AB246" s="10">
        <v>1698.79</v>
      </c>
      <c r="AC246" s="10">
        <v>171.24</v>
      </c>
      <c r="AD246" s="10">
        <v>416.67</v>
      </c>
      <c r="AE246" s="10">
        <v>1399.02</v>
      </c>
      <c r="AF246" s="10">
        <v>0</v>
      </c>
    </row>
    <row r="247" spans="1:32" ht="15" customHeight="1">
      <c r="A247" s="10" t="s">
        <v>343</v>
      </c>
      <c r="B247" s="61" t="s">
        <v>280</v>
      </c>
      <c r="C247" s="10">
        <v>300</v>
      </c>
      <c r="D247" s="10">
        <v>770.24</v>
      </c>
      <c r="E247" s="10">
        <v>0</v>
      </c>
      <c r="F247" s="10">
        <v>0</v>
      </c>
      <c r="G247" s="10">
        <v>501.4</v>
      </c>
      <c r="H247" s="10">
        <v>767.87</v>
      </c>
      <c r="I247" s="10">
        <v>406.5</v>
      </c>
      <c r="J247" s="10">
        <v>692.16</v>
      </c>
      <c r="K247" s="10">
        <v>0</v>
      </c>
      <c r="L247" s="10">
        <v>1325.38</v>
      </c>
      <c r="M247" s="10">
        <v>0</v>
      </c>
      <c r="N247" s="10">
        <v>0</v>
      </c>
      <c r="O247" s="10">
        <v>1075.07</v>
      </c>
      <c r="P247" s="10">
        <v>1146.05</v>
      </c>
      <c r="Q247" s="10">
        <v>924.14</v>
      </c>
      <c r="R247" s="10">
        <v>1040.22</v>
      </c>
      <c r="S247" s="10">
        <v>0</v>
      </c>
      <c r="T247" s="10">
        <v>140.4</v>
      </c>
      <c r="U247" s="10">
        <v>0</v>
      </c>
      <c r="V247" s="10">
        <v>0</v>
      </c>
      <c r="W247" s="10">
        <v>192.2</v>
      </c>
      <c r="X247" s="10">
        <v>1636.14</v>
      </c>
      <c r="Y247" s="10">
        <v>1037.53</v>
      </c>
      <c r="Z247" s="10">
        <v>0</v>
      </c>
      <c r="AA247" s="10">
        <v>0</v>
      </c>
      <c r="AB247" s="10">
        <v>1535.26</v>
      </c>
      <c r="AC247" s="10">
        <v>903.98</v>
      </c>
      <c r="AD247" s="10">
        <v>1089.56</v>
      </c>
      <c r="AE247" s="10">
        <v>645.59</v>
      </c>
      <c r="AF247" s="10">
        <v>0</v>
      </c>
    </row>
    <row r="248" spans="1:32" ht="15" customHeight="1">
      <c r="A248" s="10" t="s">
        <v>343</v>
      </c>
      <c r="B248" s="61" t="s">
        <v>281</v>
      </c>
      <c r="C248" s="10">
        <v>0</v>
      </c>
      <c r="D248" s="10">
        <v>1022.45</v>
      </c>
      <c r="E248" s="10">
        <v>0</v>
      </c>
      <c r="F248" s="10">
        <v>0</v>
      </c>
      <c r="G248" s="10">
        <v>1415.45</v>
      </c>
      <c r="H248" s="10">
        <v>1087.05</v>
      </c>
      <c r="I248" s="10">
        <v>1458.02</v>
      </c>
      <c r="J248" s="10">
        <v>0</v>
      </c>
      <c r="K248" s="10">
        <v>0</v>
      </c>
      <c r="L248" s="10">
        <v>0</v>
      </c>
      <c r="M248" s="10">
        <v>0</v>
      </c>
      <c r="N248" s="10">
        <v>453.95</v>
      </c>
      <c r="O248" s="10">
        <v>753.16</v>
      </c>
      <c r="P248" s="10">
        <v>671.18</v>
      </c>
      <c r="Q248" s="10">
        <v>0</v>
      </c>
      <c r="R248" s="10">
        <v>1075.51</v>
      </c>
      <c r="S248" s="10">
        <v>0</v>
      </c>
      <c r="T248" s="10">
        <v>0</v>
      </c>
      <c r="U248" s="10">
        <v>0</v>
      </c>
      <c r="V248" s="10">
        <v>489.51</v>
      </c>
      <c r="W248" s="10">
        <v>0</v>
      </c>
      <c r="X248" s="10">
        <v>0</v>
      </c>
      <c r="Y248" s="10">
        <v>1129.69</v>
      </c>
      <c r="Z248" s="10">
        <v>0</v>
      </c>
      <c r="AA248" s="10">
        <v>343.03</v>
      </c>
      <c r="AB248" s="10">
        <v>0</v>
      </c>
      <c r="AC248" s="10">
        <v>908.29</v>
      </c>
      <c r="AD248" s="10">
        <v>797.9</v>
      </c>
      <c r="AE248" s="10">
        <v>0</v>
      </c>
      <c r="AF248" s="10">
        <v>428</v>
      </c>
    </row>
    <row r="249" spans="1:32">
      <c r="A249" s="10" t="s">
        <v>343</v>
      </c>
      <c r="B249" s="61" t="s">
        <v>282</v>
      </c>
      <c r="C249" s="10">
        <v>350</v>
      </c>
      <c r="D249" s="10">
        <v>456.36</v>
      </c>
      <c r="E249" s="10">
        <v>501.4</v>
      </c>
      <c r="F249" s="10">
        <v>1415.45</v>
      </c>
      <c r="G249" s="10">
        <v>0</v>
      </c>
      <c r="H249" s="10">
        <v>619.89</v>
      </c>
      <c r="I249" s="10">
        <v>504.62</v>
      </c>
      <c r="J249" s="10">
        <v>1027.05</v>
      </c>
      <c r="K249" s="10">
        <v>0</v>
      </c>
      <c r="L249" s="10">
        <v>1204.01</v>
      </c>
      <c r="M249" s="10">
        <v>0</v>
      </c>
      <c r="N249" s="10">
        <v>0</v>
      </c>
      <c r="O249" s="10">
        <v>662.94</v>
      </c>
      <c r="P249" s="10">
        <v>850.87</v>
      </c>
      <c r="Q249" s="10">
        <v>0</v>
      </c>
      <c r="R249" s="10">
        <v>540.01</v>
      </c>
      <c r="S249" s="10">
        <v>0</v>
      </c>
      <c r="T249" s="10">
        <v>367.02</v>
      </c>
      <c r="U249" s="10">
        <v>0</v>
      </c>
      <c r="V249" s="10">
        <v>978.2</v>
      </c>
      <c r="W249" s="10">
        <v>637.54999999999995</v>
      </c>
      <c r="X249" s="10">
        <v>0</v>
      </c>
      <c r="Y249" s="10">
        <v>1001.53</v>
      </c>
      <c r="Z249" s="10">
        <v>0</v>
      </c>
      <c r="AA249" s="10">
        <v>1292.28</v>
      </c>
      <c r="AB249" s="10">
        <v>1857.41</v>
      </c>
      <c r="AC249" s="10">
        <v>511.84</v>
      </c>
      <c r="AD249" s="10">
        <v>869.38</v>
      </c>
      <c r="AE249" s="10">
        <v>1134.76</v>
      </c>
      <c r="AF249" s="10">
        <v>0</v>
      </c>
    </row>
    <row r="250" spans="1:32" ht="15" customHeight="1">
      <c r="A250" s="10" t="s">
        <v>343</v>
      </c>
      <c r="B250" s="61" t="s">
        <v>283</v>
      </c>
      <c r="C250" s="10">
        <v>1630.33</v>
      </c>
      <c r="D250" s="10">
        <v>254.84</v>
      </c>
      <c r="E250" s="10">
        <v>767.87</v>
      </c>
      <c r="F250" s="10">
        <v>1087.05</v>
      </c>
      <c r="G250" s="10">
        <v>619.89</v>
      </c>
      <c r="H250" s="10">
        <v>0</v>
      </c>
      <c r="I250" s="10">
        <v>382.63</v>
      </c>
      <c r="J250" s="10">
        <v>777.76</v>
      </c>
      <c r="K250" s="10">
        <v>1194.05</v>
      </c>
      <c r="L250" s="10">
        <v>0</v>
      </c>
      <c r="M250" s="10">
        <v>0</v>
      </c>
      <c r="N250" s="10">
        <v>1334.1</v>
      </c>
      <c r="O250" s="10">
        <v>528.63</v>
      </c>
      <c r="P250" s="10">
        <v>415.87</v>
      </c>
      <c r="Q250" s="10">
        <v>0</v>
      </c>
      <c r="R250" s="10">
        <v>812.43</v>
      </c>
      <c r="S250" s="10">
        <v>850.9</v>
      </c>
      <c r="T250" s="10">
        <v>665.24</v>
      </c>
      <c r="U250" s="10">
        <v>1016.04</v>
      </c>
      <c r="V250" s="10">
        <v>829.38</v>
      </c>
      <c r="W250" s="10">
        <v>738.71</v>
      </c>
      <c r="X250" s="10">
        <v>1642</v>
      </c>
      <c r="Y250" s="10">
        <v>390.18</v>
      </c>
      <c r="Z250" s="10">
        <v>0</v>
      </c>
      <c r="AA250" s="10">
        <v>842.37</v>
      </c>
      <c r="AB250" s="10">
        <v>1454.22</v>
      </c>
      <c r="AC250" s="10">
        <v>404.31</v>
      </c>
      <c r="AD250" s="10">
        <v>323.69</v>
      </c>
      <c r="AE250" s="10">
        <v>1341.38</v>
      </c>
      <c r="AF250" s="10">
        <v>0</v>
      </c>
    </row>
    <row r="251" spans="1:32" ht="15" customHeight="1">
      <c r="A251" s="10" t="s">
        <v>343</v>
      </c>
      <c r="B251" s="61" t="s">
        <v>284</v>
      </c>
      <c r="C251" s="10">
        <v>500</v>
      </c>
      <c r="D251" s="10">
        <v>477.04</v>
      </c>
      <c r="E251" s="10">
        <v>406.5</v>
      </c>
      <c r="F251" s="10">
        <v>1458.02</v>
      </c>
      <c r="G251" s="10">
        <v>504.62</v>
      </c>
      <c r="H251" s="10">
        <v>382.63</v>
      </c>
      <c r="I251" s="10">
        <v>0</v>
      </c>
      <c r="J251" s="10">
        <v>540.49</v>
      </c>
      <c r="K251" s="10">
        <v>1281.04</v>
      </c>
      <c r="L251" s="10">
        <v>1624.96</v>
      </c>
      <c r="M251" s="10">
        <v>1750.79</v>
      </c>
      <c r="N251" s="10">
        <v>1662.66</v>
      </c>
      <c r="O251" s="10">
        <v>809.27</v>
      </c>
      <c r="P251" s="10">
        <v>790.13</v>
      </c>
      <c r="Q251" s="10">
        <v>1286.0899999999999</v>
      </c>
      <c r="R251" s="10">
        <v>934.15</v>
      </c>
      <c r="S251" s="10">
        <v>1015.33</v>
      </c>
      <c r="T251" s="10">
        <v>339.26</v>
      </c>
      <c r="U251" s="10">
        <v>1144.5999999999999</v>
      </c>
      <c r="V251" s="10">
        <v>1143.0899999999999</v>
      </c>
      <c r="W251" s="10">
        <v>356.15</v>
      </c>
      <c r="X251" s="10">
        <v>1503.63</v>
      </c>
      <c r="Y251" s="10">
        <v>633.87</v>
      </c>
      <c r="Z251" s="10">
        <v>0</v>
      </c>
      <c r="AA251" s="10">
        <v>1224.8499999999999</v>
      </c>
      <c r="AB251" s="10">
        <v>1354.27</v>
      </c>
      <c r="AC251" s="10">
        <v>643.65</v>
      </c>
      <c r="AD251" s="10">
        <v>705.3</v>
      </c>
      <c r="AE251" s="10">
        <v>959.53</v>
      </c>
      <c r="AF251" s="10">
        <v>0</v>
      </c>
    </row>
    <row r="252" spans="1:32" ht="15" customHeight="1">
      <c r="A252" s="10" t="s">
        <v>343</v>
      </c>
      <c r="B252" s="61" t="s">
        <v>285</v>
      </c>
      <c r="C252" s="10">
        <v>1789.51</v>
      </c>
      <c r="D252" s="10">
        <v>973.03</v>
      </c>
      <c r="E252" s="10">
        <v>692.16</v>
      </c>
      <c r="F252" s="10">
        <v>0</v>
      </c>
      <c r="G252" s="10">
        <v>1027.05</v>
      </c>
      <c r="H252" s="10">
        <v>777.76</v>
      </c>
      <c r="I252" s="10">
        <v>540.49</v>
      </c>
      <c r="J252" s="10">
        <v>0</v>
      </c>
      <c r="K252" s="10">
        <v>978.44</v>
      </c>
      <c r="L252" s="10">
        <v>0</v>
      </c>
      <c r="M252" s="10">
        <v>1298.0899999999999</v>
      </c>
      <c r="N252" s="10">
        <v>0</v>
      </c>
      <c r="O252" s="10">
        <v>1294.23</v>
      </c>
      <c r="P252" s="10">
        <v>1171.94</v>
      </c>
      <c r="Q252" s="10">
        <v>1213.43</v>
      </c>
      <c r="R252" s="10">
        <v>1472.56</v>
      </c>
      <c r="S252" s="10">
        <v>873.01</v>
      </c>
      <c r="T252" s="10">
        <v>737.81</v>
      </c>
      <c r="U252" s="10">
        <v>921.65</v>
      </c>
      <c r="V252" s="10">
        <v>0</v>
      </c>
      <c r="W252" s="10">
        <v>503.89</v>
      </c>
      <c r="X252" s="10">
        <v>700</v>
      </c>
      <c r="Y252" s="10">
        <v>745.5</v>
      </c>
      <c r="Z252" s="10">
        <v>0</v>
      </c>
      <c r="AA252" s="10">
        <v>1533.41</v>
      </c>
      <c r="AB252" s="10">
        <v>400</v>
      </c>
      <c r="AC252" s="10">
        <v>1144.1199999999999</v>
      </c>
      <c r="AD252" s="10">
        <v>1030.02</v>
      </c>
      <c r="AE252" s="10">
        <v>850.09</v>
      </c>
      <c r="AF252" s="10">
        <v>0</v>
      </c>
    </row>
    <row r="253" spans="1:32" ht="15" customHeight="1">
      <c r="A253" s="10" t="s">
        <v>343</v>
      </c>
      <c r="B253" s="61" t="s">
        <v>308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1194.05</v>
      </c>
      <c r="I253" s="10">
        <v>1281.04</v>
      </c>
      <c r="J253" s="10">
        <v>978.44</v>
      </c>
      <c r="K253" s="10">
        <v>0</v>
      </c>
      <c r="L253" s="10">
        <v>0</v>
      </c>
      <c r="M253" s="10">
        <v>647.91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384.47</v>
      </c>
      <c r="T253" s="10">
        <v>0</v>
      </c>
      <c r="U253" s="10">
        <v>205.65</v>
      </c>
      <c r="V253" s="10">
        <v>0</v>
      </c>
      <c r="W253" s="10">
        <v>0</v>
      </c>
      <c r="X253" s="10">
        <v>885</v>
      </c>
      <c r="Y253" s="10">
        <v>825.43</v>
      </c>
      <c r="Z253" s="10">
        <v>0</v>
      </c>
      <c r="AA253" s="10">
        <v>0</v>
      </c>
      <c r="AB253" s="10">
        <v>661.72</v>
      </c>
      <c r="AC253" s="10">
        <v>0</v>
      </c>
      <c r="AD253" s="10">
        <v>1177.79</v>
      </c>
      <c r="AE253" s="10">
        <v>0</v>
      </c>
      <c r="AF253" s="10">
        <v>0</v>
      </c>
    </row>
    <row r="254" spans="1:32" ht="15" customHeight="1">
      <c r="A254" s="10" t="s">
        <v>343</v>
      </c>
      <c r="B254" s="61" t="s">
        <v>286</v>
      </c>
      <c r="C254" s="10">
        <v>229.59</v>
      </c>
      <c r="D254" s="10">
        <v>1640.58</v>
      </c>
      <c r="E254" s="10">
        <v>1325.38</v>
      </c>
      <c r="F254" s="10">
        <v>0</v>
      </c>
      <c r="G254" s="10">
        <v>1204.01</v>
      </c>
      <c r="H254" s="10">
        <v>0</v>
      </c>
      <c r="I254" s="10">
        <v>1624.96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1723.59</v>
      </c>
      <c r="P254" s="10">
        <v>0</v>
      </c>
      <c r="Q254" s="10">
        <v>1479.45</v>
      </c>
      <c r="R254" s="10">
        <v>1341.02</v>
      </c>
      <c r="S254" s="10">
        <v>0</v>
      </c>
      <c r="T254" s="10">
        <v>1307.3599999999999</v>
      </c>
      <c r="U254" s="10">
        <v>0</v>
      </c>
      <c r="V254" s="10">
        <v>0</v>
      </c>
      <c r="W254" s="10">
        <v>1513.18</v>
      </c>
      <c r="X254" s="10">
        <v>0</v>
      </c>
      <c r="Y254" s="10">
        <v>0</v>
      </c>
      <c r="Z254" s="10">
        <v>421.67</v>
      </c>
      <c r="AA254" s="10">
        <v>0</v>
      </c>
      <c r="AB254" s="10">
        <v>0</v>
      </c>
      <c r="AC254" s="10">
        <v>1632.96</v>
      </c>
      <c r="AD254" s="10">
        <v>0</v>
      </c>
      <c r="AE254" s="10">
        <v>1549.51</v>
      </c>
      <c r="AF254" s="10">
        <v>0</v>
      </c>
    </row>
    <row r="255" spans="1:32" ht="15" customHeight="1">
      <c r="A255" s="10" t="s">
        <v>343</v>
      </c>
      <c r="B255" s="61" t="s">
        <v>287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1750.79</v>
      </c>
      <c r="J255" s="10">
        <v>1298.0899999999999</v>
      </c>
      <c r="K255" s="10">
        <v>647.91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1026.31</v>
      </c>
      <c r="T255" s="10">
        <v>0</v>
      </c>
      <c r="U255" s="10">
        <v>852.16</v>
      </c>
      <c r="V255" s="10">
        <v>0</v>
      </c>
      <c r="W255" s="10">
        <v>0</v>
      </c>
      <c r="X255" s="10">
        <v>1000</v>
      </c>
      <c r="Y255" s="10">
        <v>1430.78</v>
      </c>
      <c r="Z255" s="10">
        <v>0</v>
      </c>
      <c r="AA255" s="10">
        <v>0</v>
      </c>
      <c r="AB255" s="10">
        <v>505.83</v>
      </c>
      <c r="AC255" s="10">
        <v>0</v>
      </c>
      <c r="AD255" s="10">
        <v>0</v>
      </c>
      <c r="AE255" s="10">
        <v>0</v>
      </c>
      <c r="AF255" s="10">
        <v>0</v>
      </c>
    </row>
    <row r="256" spans="1:32" ht="15" customHeight="1">
      <c r="A256" s="10" t="s">
        <v>343</v>
      </c>
      <c r="B256" s="61" t="s">
        <v>288</v>
      </c>
      <c r="C256" s="10">
        <v>0</v>
      </c>
      <c r="D256" s="10">
        <v>1462.5</v>
      </c>
      <c r="E256" s="10">
        <v>300</v>
      </c>
      <c r="F256" s="10">
        <v>0</v>
      </c>
      <c r="G256" s="10">
        <v>350</v>
      </c>
      <c r="H256" s="10">
        <v>1630.33</v>
      </c>
      <c r="I256" s="10">
        <v>500</v>
      </c>
      <c r="J256" s="10">
        <v>1789.51</v>
      </c>
      <c r="K256" s="10">
        <v>0</v>
      </c>
      <c r="L256" s="10">
        <v>229.59</v>
      </c>
      <c r="M256" s="10">
        <v>0</v>
      </c>
      <c r="N256" s="10">
        <v>2201.09</v>
      </c>
      <c r="O256" s="10">
        <v>1577.99</v>
      </c>
      <c r="P256" s="10">
        <v>1838.39</v>
      </c>
      <c r="Q256" s="10">
        <v>1284.49</v>
      </c>
      <c r="R256" s="10">
        <v>1000</v>
      </c>
      <c r="S256" s="10">
        <v>0</v>
      </c>
      <c r="T256" s="10">
        <v>1087.05</v>
      </c>
      <c r="U256" s="10">
        <v>0</v>
      </c>
      <c r="V256" s="10">
        <v>1809.09</v>
      </c>
      <c r="W256" s="10">
        <v>1285.6600000000001</v>
      </c>
      <c r="X256" s="10">
        <v>2702.36</v>
      </c>
      <c r="Y256" s="10">
        <v>2000.6</v>
      </c>
      <c r="Z256" s="10">
        <v>560.61</v>
      </c>
      <c r="AA256" s="10">
        <v>2252.62</v>
      </c>
      <c r="AB256" s="10">
        <v>2623.55</v>
      </c>
      <c r="AC256" s="10">
        <v>1472.14</v>
      </c>
      <c r="AD256" s="10">
        <v>1879.08</v>
      </c>
      <c r="AE256" s="10">
        <v>600</v>
      </c>
      <c r="AF256" s="10">
        <v>0</v>
      </c>
    </row>
    <row r="257" spans="1:32" ht="15" customHeight="1">
      <c r="A257" s="10" t="s">
        <v>343</v>
      </c>
      <c r="B257" s="61" t="s">
        <v>289</v>
      </c>
      <c r="C257" s="10">
        <v>2201.09</v>
      </c>
      <c r="D257" s="10">
        <v>1188.01</v>
      </c>
      <c r="E257" s="10">
        <v>0</v>
      </c>
      <c r="F257" s="10">
        <v>453.95</v>
      </c>
      <c r="G257" s="10">
        <v>0</v>
      </c>
      <c r="H257" s="10">
        <v>1334.1</v>
      </c>
      <c r="I257" s="10">
        <v>1662.66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859.98</v>
      </c>
      <c r="P257" s="10">
        <v>947.65</v>
      </c>
      <c r="Q257" s="10">
        <v>0</v>
      </c>
      <c r="R257" s="10">
        <v>1007.1</v>
      </c>
      <c r="S257" s="10">
        <v>0</v>
      </c>
      <c r="T257" s="10">
        <v>0</v>
      </c>
      <c r="U257" s="10">
        <v>0</v>
      </c>
      <c r="V257" s="10">
        <v>521.16</v>
      </c>
      <c r="W257" s="10">
        <v>0</v>
      </c>
      <c r="X257" s="10">
        <v>0</v>
      </c>
      <c r="Y257" s="10">
        <v>1480.09</v>
      </c>
      <c r="Z257" s="10">
        <v>0</v>
      </c>
      <c r="AA257" s="10">
        <v>772.6</v>
      </c>
      <c r="AB257" s="10">
        <v>0</v>
      </c>
      <c r="AC257" s="10">
        <v>1031.6199999999999</v>
      </c>
      <c r="AD257" s="10">
        <v>1109.6099999999999</v>
      </c>
      <c r="AE257" s="10">
        <v>0</v>
      </c>
      <c r="AF257" s="10">
        <v>868</v>
      </c>
    </row>
    <row r="258" spans="1:32" ht="15" customHeight="1">
      <c r="A258" s="10" t="s">
        <v>343</v>
      </c>
      <c r="B258" s="61" t="s">
        <v>290</v>
      </c>
      <c r="C258" s="10">
        <v>1577.99</v>
      </c>
      <c r="D258" s="10">
        <v>332.27</v>
      </c>
      <c r="E258" s="10">
        <v>1075.07</v>
      </c>
      <c r="F258" s="10">
        <v>753.16</v>
      </c>
      <c r="G258" s="10">
        <v>662.94</v>
      </c>
      <c r="H258" s="10">
        <v>528.63</v>
      </c>
      <c r="I258" s="10">
        <v>809.27</v>
      </c>
      <c r="J258" s="10">
        <v>1294.23</v>
      </c>
      <c r="K258" s="10">
        <v>0</v>
      </c>
      <c r="L258" s="10">
        <v>1723.59</v>
      </c>
      <c r="M258" s="10">
        <v>0</v>
      </c>
      <c r="N258" s="10">
        <v>859.98</v>
      </c>
      <c r="O258" s="10">
        <v>0</v>
      </c>
      <c r="P258" s="10">
        <v>331.49</v>
      </c>
      <c r="Q258" s="10">
        <v>0</v>
      </c>
      <c r="R258" s="10">
        <v>427.99</v>
      </c>
      <c r="S258" s="10">
        <v>1262.6500000000001</v>
      </c>
      <c r="T258" s="10">
        <v>938.11</v>
      </c>
      <c r="U258" s="10">
        <v>0</v>
      </c>
      <c r="V258" s="10">
        <v>339.14</v>
      </c>
      <c r="W258" s="10">
        <v>1129.3900000000001</v>
      </c>
      <c r="X258" s="10">
        <v>0</v>
      </c>
      <c r="Y258" s="10">
        <v>818.17</v>
      </c>
      <c r="Z258" s="10">
        <v>0</v>
      </c>
      <c r="AA258" s="10">
        <v>677.09</v>
      </c>
      <c r="AB258" s="10">
        <v>1974.19</v>
      </c>
      <c r="AC258" s="10">
        <v>171.93</v>
      </c>
      <c r="AD258" s="10">
        <v>470.6</v>
      </c>
      <c r="AE258" s="10">
        <v>0</v>
      </c>
      <c r="AF258" s="10">
        <v>0</v>
      </c>
    </row>
    <row r="259" spans="1:32" ht="15" customHeight="1">
      <c r="A259" s="10" t="s">
        <v>343</v>
      </c>
      <c r="B259" s="61" t="s">
        <v>291</v>
      </c>
      <c r="C259" s="10">
        <v>1838.39</v>
      </c>
      <c r="D259" s="10">
        <v>400.59</v>
      </c>
      <c r="E259" s="10">
        <v>1146.05</v>
      </c>
      <c r="F259" s="10">
        <v>671.18</v>
      </c>
      <c r="G259" s="10">
        <v>850.87</v>
      </c>
      <c r="H259" s="10">
        <v>415.87</v>
      </c>
      <c r="I259" s="10">
        <v>790.13</v>
      </c>
      <c r="J259" s="10">
        <v>1171.94</v>
      </c>
      <c r="K259" s="10">
        <v>0</v>
      </c>
      <c r="L259" s="10">
        <v>0</v>
      </c>
      <c r="M259" s="10">
        <v>0</v>
      </c>
      <c r="N259" s="10">
        <v>947.65</v>
      </c>
      <c r="O259" s="10">
        <v>331.49</v>
      </c>
      <c r="P259" s="10">
        <v>0</v>
      </c>
      <c r="Q259" s="10">
        <v>0</v>
      </c>
      <c r="R259" s="10">
        <v>755.26</v>
      </c>
      <c r="S259" s="10">
        <v>961.23</v>
      </c>
      <c r="T259" s="10">
        <v>1025.1099999999999</v>
      </c>
      <c r="U259" s="10">
        <v>1141.83</v>
      </c>
      <c r="V259" s="10">
        <v>486.51</v>
      </c>
      <c r="W259" s="10">
        <v>1144.4000000000001</v>
      </c>
      <c r="X259" s="10">
        <v>0</v>
      </c>
      <c r="Y259" s="10">
        <v>551.72</v>
      </c>
      <c r="Z259" s="10">
        <v>0</v>
      </c>
      <c r="AA259" s="10">
        <v>452.36</v>
      </c>
      <c r="AB259" s="10">
        <v>1745.85</v>
      </c>
      <c r="AC259" s="10">
        <v>369.97</v>
      </c>
      <c r="AD259" s="10">
        <v>171.65</v>
      </c>
      <c r="AE259" s="10">
        <v>0</v>
      </c>
      <c r="AF259" s="10">
        <v>0</v>
      </c>
    </row>
    <row r="260" spans="1:32" ht="15" customHeight="1">
      <c r="A260" s="10" t="s">
        <v>343</v>
      </c>
      <c r="B260" s="61" t="s">
        <v>292</v>
      </c>
      <c r="C260" s="10">
        <v>1284.49</v>
      </c>
      <c r="D260" s="10">
        <v>0</v>
      </c>
      <c r="E260" s="10">
        <v>924.14</v>
      </c>
      <c r="F260" s="10">
        <v>0</v>
      </c>
      <c r="G260" s="10">
        <v>0</v>
      </c>
      <c r="H260" s="10">
        <v>0</v>
      </c>
      <c r="I260" s="10">
        <v>1286.0899999999999</v>
      </c>
      <c r="J260" s="10">
        <v>1213.43</v>
      </c>
      <c r="K260" s="10">
        <v>0</v>
      </c>
      <c r="L260" s="10">
        <v>1479.45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1057.17</v>
      </c>
      <c r="U260" s="10">
        <v>0</v>
      </c>
      <c r="V260" s="10">
        <v>0</v>
      </c>
      <c r="W260" s="10">
        <v>932.26</v>
      </c>
      <c r="X260" s="10">
        <v>1780.16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363.85</v>
      </c>
      <c r="AF260" s="10">
        <v>0</v>
      </c>
    </row>
    <row r="261" spans="1:32" ht="15" customHeight="1">
      <c r="A261" s="10" t="s">
        <v>343</v>
      </c>
      <c r="B261" s="61" t="s">
        <v>293</v>
      </c>
      <c r="C261" s="10">
        <v>1000</v>
      </c>
      <c r="D261" s="10">
        <v>557.69000000000005</v>
      </c>
      <c r="E261" s="10">
        <v>1040.22</v>
      </c>
      <c r="F261" s="10">
        <v>1075.51</v>
      </c>
      <c r="G261" s="10">
        <v>540.01</v>
      </c>
      <c r="H261" s="10">
        <v>812.43</v>
      </c>
      <c r="I261" s="10">
        <v>934.15</v>
      </c>
      <c r="J261" s="10">
        <v>1472.56</v>
      </c>
      <c r="K261" s="10">
        <v>0</v>
      </c>
      <c r="L261" s="10">
        <v>1341.02</v>
      </c>
      <c r="M261" s="10">
        <v>0</v>
      </c>
      <c r="N261" s="10">
        <v>1007.1</v>
      </c>
      <c r="O261" s="10">
        <v>427.99</v>
      </c>
      <c r="P261" s="10">
        <v>755.26</v>
      </c>
      <c r="Q261" s="10">
        <v>0</v>
      </c>
      <c r="R261" s="10">
        <v>0</v>
      </c>
      <c r="S261" s="10">
        <v>0</v>
      </c>
      <c r="T261" s="10">
        <v>903.08</v>
      </c>
      <c r="U261" s="10">
        <v>0</v>
      </c>
      <c r="V261" s="10">
        <v>586.66</v>
      </c>
      <c r="W261" s="10">
        <v>1161.05</v>
      </c>
      <c r="X261" s="10">
        <v>0</v>
      </c>
      <c r="Y261" s="10">
        <v>1174.6600000000001</v>
      </c>
      <c r="Z261" s="10">
        <v>0</v>
      </c>
      <c r="AA261" s="10">
        <v>1082.6300000000001</v>
      </c>
      <c r="AB261" s="10">
        <v>2245.4899999999998</v>
      </c>
      <c r="AC261" s="10">
        <v>429.95</v>
      </c>
      <c r="AD261" s="10">
        <v>874.11</v>
      </c>
      <c r="AE261" s="10">
        <v>1673.84</v>
      </c>
      <c r="AF261" s="10">
        <v>0</v>
      </c>
    </row>
    <row r="262" spans="1:32" ht="15" customHeight="1">
      <c r="A262" s="10" t="s">
        <v>343</v>
      </c>
      <c r="B262" s="61" t="s">
        <v>309</v>
      </c>
      <c r="C262" s="10">
        <v>0</v>
      </c>
      <c r="D262" s="10">
        <v>1094.8399999999999</v>
      </c>
      <c r="E262" s="10">
        <v>0</v>
      </c>
      <c r="F262" s="10">
        <v>0</v>
      </c>
      <c r="G262" s="10">
        <v>0</v>
      </c>
      <c r="H262" s="10">
        <v>850.9</v>
      </c>
      <c r="I262" s="10">
        <v>1015.33</v>
      </c>
      <c r="J262" s="10">
        <v>873.01</v>
      </c>
      <c r="K262" s="10">
        <v>384.47</v>
      </c>
      <c r="L262" s="10">
        <v>0</v>
      </c>
      <c r="M262" s="10">
        <v>1026.31</v>
      </c>
      <c r="N262" s="10">
        <v>0</v>
      </c>
      <c r="O262" s="10">
        <v>1262.6500000000001</v>
      </c>
      <c r="P262" s="10">
        <v>961.23</v>
      </c>
      <c r="Q262" s="10">
        <v>0</v>
      </c>
      <c r="R262" s="10">
        <v>0</v>
      </c>
      <c r="S262" s="10">
        <v>0</v>
      </c>
      <c r="T262" s="10">
        <v>0</v>
      </c>
      <c r="U262" s="10">
        <v>180.61</v>
      </c>
      <c r="V262" s="10">
        <v>0</v>
      </c>
      <c r="W262" s="10">
        <v>1249.7</v>
      </c>
      <c r="X262" s="10">
        <v>1153.01</v>
      </c>
      <c r="Y262" s="10">
        <v>464.52</v>
      </c>
      <c r="Z262" s="10">
        <v>0</v>
      </c>
      <c r="AA262" s="10">
        <v>1059.29</v>
      </c>
      <c r="AB262" s="10">
        <v>923.23</v>
      </c>
      <c r="AC262" s="10">
        <v>1207.05</v>
      </c>
      <c r="AD262" s="10">
        <v>797.05</v>
      </c>
      <c r="AE262" s="10">
        <v>0</v>
      </c>
      <c r="AF262" s="10">
        <v>0</v>
      </c>
    </row>
    <row r="263" spans="1:32" ht="15" customHeight="1">
      <c r="A263" s="10" t="s">
        <v>343</v>
      </c>
      <c r="B263" s="61" t="s">
        <v>294</v>
      </c>
      <c r="C263" s="10">
        <v>1087.05</v>
      </c>
      <c r="D263" s="10">
        <v>640.32000000000005</v>
      </c>
      <c r="E263" s="10">
        <v>140.4</v>
      </c>
      <c r="F263" s="10">
        <v>0</v>
      </c>
      <c r="G263" s="10">
        <v>367.02</v>
      </c>
      <c r="H263" s="10">
        <v>665.24</v>
      </c>
      <c r="I263" s="10">
        <v>339.26</v>
      </c>
      <c r="J263" s="10">
        <v>737.81</v>
      </c>
      <c r="K263" s="10">
        <v>0</v>
      </c>
      <c r="L263" s="10">
        <v>1307.3599999999999</v>
      </c>
      <c r="M263" s="10">
        <v>0</v>
      </c>
      <c r="N263" s="10">
        <v>0</v>
      </c>
      <c r="O263" s="10">
        <v>938.11</v>
      </c>
      <c r="P263" s="10">
        <v>1025.1099999999999</v>
      </c>
      <c r="Q263" s="10">
        <v>1057.17</v>
      </c>
      <c r="R263" s="10">
        <v>903.08</v>
      </c>
      <c r="S263" s="10">
        <v>0</v>
      </c>
      <c r="T263" s="10">
        <v>0</v>
      </c>
      <c r="U263" s="10">
        <v>0</v>
      </c>
      <c r="V263" s="10">
        <v>0</v>
      </c>
      <c r="W263" s="10">
        <v>279.54000000000002</v>
      </c>
      <c r="X263" s="10">
        <v>1703.34</v>
      </c>
      <c r="Y263" s="10">
        <v>969.45</v>
      </c>
      <c r="Z263" s="10">
        <v>0</v>
      </c>
      <c r="AA263" s="10">
        <v>0</v>
      </c>
      <c r="AB263" s="10">
        <v>1586.29</v>
      </c>
      <c r="AC263" s="10">
        <v>767.73</v>
      </c>
      <c r="AD263" s="10">
        <v>981.17</v>
      </c>
      <c r="AE263" s="10">
        <v>785.89</v>
      </c>
      <c r="AF263" s="10">
        <v>0</v>
      </c>
    </row>
    <row r="264" spans="1:32" ht="15" customHeight="1">
      <c r="A264" s="10" t="s">
        <v>343</v>
      </c>
      <c r="B264" s="61" t="s">
        <v>310</v>
      </c>
      <c r="C264" s="10">
        <v>0</v>
      </c>
      <c r="D264" s="10">
        <v>1264.26</v>
      </c>
      <c r="E264" s="10">
        <v>0</v>
      </c>
      <c r="F264" s="10">
        <v>0</v>
      </c>
      <c r="G264" s="10">
        <v>0</v>
      </c>
      <c r="H264" s="10">
        <v>1016.04</v>
      </c>
      <c r="I264" s="10">
        <v>1144.5999999999999</v>
      </c>
      <c r="J264" s="10">
        <v>921.65</v>
      </c>
      <c r="K264" s="10">
        <v>205.65</v>
      </c>
      <c r="L264" s="10">
        <v>0</v>
      </c>
      <c r="M264" s="10">
        <v>852.16</v>
      </c>
      <c r="N264" s="10">
        <v>0</v>
      </c>
      <c r="O264" s="10">
        <v>0</v>
      </c>
      <c r="P264" s="10">
        <v>1141.83</v>
      </c>
      <c r="Q264" s="10">
        <v>0</v>
      </c>
      <c r="R264" s="10">
        <v>0</v>
      </c>
      <c r="S264" s="10">
        <v>180.61</v>
      </c>
      <c r="T264" s="10">
        <v>0</v>
      </c>
      <c r="U264" s="10">
        <v>0</v>
      </c>
      <c r="V264" s="10">
        <v>0</v>
      </c>
      <c r="W264" s="10">
        <v>1345.25</v>
      </c>
      <c r="X264" s="10">
        <v>1031.76</v>
      </c>
      <c r="Y264" s="10">
        <v>636.20000000000005</v>
      </c>
      <c r="Z264" s="10">
        <v>0</v>
      </c>
      <c r="AA264" s="10">
        <v>1225.5</v>
      </c>
      <c r="AB264" s="10">
        <v>802.01</v>
      </c>
      <c r="AC264" s="10">
        <v>0</v>
      </c>
      <c r="AD264" s="10">
        <v>977.33</v>
      </c>
      <c r="AE264" s="10">
        <v>0</v>
      </c>
      <c r="AF264" s="10">
        <v>0</v>
      </c>
    </row>
    <row r="265" spans="1:32" ht="15" customHeight="1">
      <c r="A265" s="10" t="s">
        <v>343</v>
      </c>
      <c r="B265" s="61" t="s">
        <v>297</v>
      </c>
      <c r="C265" s="10">
        <v>1285.6600000000001</v>
      </c>
      <c r="D265" s="10">
        <v>804.24</v>
      </c>
      <c r="E265" s="10">
        <v>192.2</v>
      </c>
      <c r="F265" s="10">
        <v>0</v>
      </c>
      <c r="G265" s="10">
        <v>637.54999999999995</v>
      </c>
      <c r="H265" s="10">
        <v>738.71</v>
      </c>
      <c r="I265" s="10">
        <v>356.15</v>
      </c>
      <c r="J265" s="10">
        <v>503.89</v>
      </c>
      <c r="K265" s="10">
        <v>0</v>
      </c>
      <c r="L265" s="10">
        <v>1513.18</v>
      </c>
      <c r="M265" s="10">
        <v>0</v>
      </c>
      <c r="N265" s="10">
        <v>0</v>
      </c>
      <c r="O265" s="10">
        <v>1129.3900000000001</v>
      </c>
      <c r="P265" s="10">
        <v>1144.4000000000001</v>
      </c>
      <c r="Q265" s="10">
        <v>932.26</v>
      </c>
      <c r="R265" s="10">
        <v>1161.05</v>
      </c>
      <c r="S265" s="10">
        <v>1249.7</v>
      </c>
      <c r="T265" s="10">
        <v>279.54000000000002</v>
      </c>
      <c r="U265" s="10">
        <v>1345.25</v>
      </c>
      <c r="V265" s="10">
        <v>0</v>
      </c>
      <c r="W265" s="10">
        <v>0</v>
      </c>
      <c r="X265" s="10">
        <v>1444.25</v>
      </c>
      <c r="Y265" s="10">
        <v>943.16</v>
      </c>
      <c r="Z265" s="10">
        <v>0</v>
      </c>
      <c r="AA265" s="10">
        <v>0</v>
      </c>
      <c r="AB265" s="10">
        <v>1343.75</v>
      </c>
      <c r="AC265" s="10">
        <v>958.07</v>
      </c>
      <c r="AD265" s="10">
        <v>1060.75</v>
      </c>
      <c r="AE265" s="10">
        <v>604.03</v>
      </c>
      <c r="AF265" s="10">
        <v>0</v>
      </c>
    </row>
    <row r="266" spans="1:32" ht="15" customHeight="1">
      <c r="A266" s="10" t="s">
        <v>343</v>
      </c>
      <c r="B266" s="61" t="s">
        <v>298</v>
      </c>
      <c r="C266" s="10">
        <v>2702.36</v>
      </c>
      <c r="D266" s="10">
        <v>0</v>
      </c>
      <c r="E266" s="10">
        <v>1636.14</v>
      </c>
      <c r="F266" s="10">
        <v>0</v>
      </c>
      <c r="G266" s="10">
        <v>0</v>
      </c>
      <c r="H266" s="10">
        <v>1642</v>
      </c>
      <c r="I266" s="10">
        <v>1503.63</v>
      </c>
      <c r="J266" s="10">
        <v>700</v>
      </c>
      <c r="K266" s="10">
        <v>885</v>
      </c>
      <c r="L266" s="10">
        <v>0</v>
      </c>
      <c r="M266" s="10">
        <v>1000</v>
      </c>
      <c r="N266" s="10">
        <v>0</v>
      </c>
      <c r="O266" s="10">
        <v>0</v>
      </c>
      <c r="P266" s="10">
        <v>0</v>
      </c>
      <c r="Q266" s="10">
        <v>1780.16</v>
      </c>
      <c r="R266" s="10">
        <v>0</v>
      </c>
      <c r="S266" s="10">
        <v>1153.01</v>
      </c>
      <c r="T266" s="10">
        <v>1703.34</v>
      </c>
      <c r="U266" s="10">
        <v>1031.76</v>
      </c>
      <c r="V266" s="10">
        <v>0</v>
      </c>
      <c r="W266" s="10">
        <v>1444.25</v>
      </c>
      <c r="X266" s="10">
        <v>0</v>
      </c>
      <c r="Y266" s="10">
        <v>1408.54</v>
      </c>
      <c r="Z266" s="10">
        <v>0</v>
      </c>
      <c r="AA266" s="10">
        <v>0</v>
      </c>
      <c r="AB266" s="10">
        <v>230.32</v>
      </c>
      <c r="AC266" s="10">
        <v>0</v>
      </c>
      <c r="AD266" s="10">
        <v>0</v>
      </c>
      <c r="AE266" s="10">
        <v>1492.31</v>
      </c>
      <c r="AF266" s="10">
        <v>0</v>
      </c>
    </row>
    <row r="267" spans="1:32" ht="15" customHeight="1">
      <c r="A267" s="10" t="s">
        <v>343</v>
      </c>
      <c r="B267" s="61" t="s">
        <v>357</v>
      </c>
      <c r="C267" s="10">
        <v>1809.09</v>
      </c>
      <c r="D267" s="10">
        <v>667.29</v>
      </c>
      <c r="E267" s="10">
        <v>0</v>
      </c>
      <c r="F267" s="10">
        <v>489.51</v>
      </c>
      <c r="G267" s="10">
        <v>978.2</v>
      </c>
      <c r="H267" s="10">
        <v>829.38</v>
      </c>
      <c r="I267" s="10">
        <v>1143.0899999999999</v>
      </c>
      <c r="J267" s="10">
        <v>0</v>
      </c>
      <c r="K267" s="10">
        <v>0</v>
      </c>
      <c r="L267" s="10">
        <v>0</v>
      </c>
      <c r="M267" s="10">
        <v>0</v>
      </c>
      <c r="N267" s="10">
        <v>521.16</v>
      </c>
      <c r="O267" s="10">
        <v>339.14</v>
      </c>
      <c r="P267" s="10">
        <v>486.51</v>
      </c>
      <c r="Q267" s="10">
        <v>0</v>
      </c>
      <c r="R267" s="10">
        <v>586.66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1038.1300000000001</v>
      </c>
      <c r="Z267" s="10">
        <v>0</v>
      </c>
      <c r="AA267" s="10">
        <v>569.07000000000005</v>
      </c>
      <c r="AB267" s="10">
        <v>0</v>
      </c>
      <c r="AC267" s="10">
        <v>511.02</v>
      </c>
      <c r="AD267" s="10">
        <v>658.16</v>
      </c>
      <c r="AE267" s="10">
        <v>0</v>
      </c>
      <c r="AF267" s="10">
        <v>0</v>
      </c>
    </row>
    <row r="268" spans="1:32" ht="15" customHeight="1">
      <c r="A268" s="10" t="s">
        <v>343</v>
      </c>
      <c r="B268" s="61" t="s">
        <v>299</v>
      </c>
      <c r="C268" s="10">
        <v>2000.6</v>
      </c>
      <c r="D268" s="10">
        <v>630.36</v>
      </c>
      <c r="E268" s="10">
        <v>1037.53</v>
      </c>
      <c r="F268" s="10">
        <v>1129.69</v>
      </c>
      <c r="G268" s="10">
        <v>1001.53</v>
      </c>
      <c r="H268" s="10">
        <v>390.18</v>
      </c>
      <c r="I268" s="10">
        <v>633.87</v>
      </c>
      <c r="J268" s="10">
        <v>745.5</v>
      </c>
      <c r="K268" s="10">
        <v>825.43</v>
      </c>
      <c r="L268" s="10">
        <v>0</v>
      </c>
      <c r="M268" s="10">
        <v>1430.78</v>
      </c>
      <c r="N268" s="10">
        <v>1480.09</v>
      </c>
      <c r="O268" s="10">
        <v>818.17</v>
      </c>
      <c r="P268" s="10">
        <v>551.72</v>
      </c>
      <c r="Q268" s="10">
        <v>0</v>
      </c>
      <c r="R268" s="10">
        <v>1174.6600000000001</v>
      </c>
      <c r="S268" s="10">
        <v>464.52</v>
      </c>
      <c r="T268" s="10">
        <v>969.45</v>
      </c>
      <c r="U268" s="10">
        <v>636.20000000000005</v>
      </c>
      <c r="V268" s="10">
        <v>1038.1300000000001</v>
      </c>
      <c r="W268" s="10">
        <v>943.16</v>
      </c>
      <c r="X268" s="10">
        <v>1408.54</v>
      </c>
      <c r="Y268" s="10">
        <v>0</v>
      </c>
      <c r="Z268" s="10">
        <v>0</v>
      </c>
      <c r="AA268" s="10">
        <v>809.16</v>
      </c>
      <c r="AB268" s="10">
        <v>1196.53</v>
      </c>
      <c r="AC268" s="10">
        <v>746.53</v>
      </c>
      <c r="AD268" s="10">
        <v>380.21</v>
      </c>
      <c r="AE268" s="10">
        <v>1502.63</v>
      </c>
      <c r="AF268" s="10">
        <v>0</v>
      </c>
    </row>
    <row r="269" spans="1:32" ht="15" customHeight="1">
      <c r="A269" s="10" t="s">
        <v>343</v>
      </c>
      <c r="B269" s="61" t="s">
        <v>300</v>
      </c>
      <c r="C269" s="10">
        <v>560.61</v>
      </c>
      <c r="D269" s="10">
        <v>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421.67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1672.93</v>
      </c>
      <c r="AF269" s="10">
        <v>0</v>
      </c>
    </row>
    <row r="270" spans="1:32" ht="15" customHeight="1">
      <c r="A270" s="10" t="s">
        <v>343</v>
      </c>
      <c r="B270" s="61" t="s">
        <v>301</v>
      </c>
      <c r="C270" s="10">
        <v>2252.62</v>
      </c>
      <c r="D270" s="10">
        <v>850.72</v>
      </c>
      <c r="E270" s="10">
        <v>0</v>
      </c>
      <c r="F270" s="10">
        <v>343.03</v>
      </c>
      <c r="G270" s="10">
        <v>1292.28</v>
      </c>
      <c r="H270" s="10">
        <v>842.37</v>
      </c>
      <c r="I270" s="10">
        <v>1224.8499999999999</v>
      </c>
      <c r="J270" s="10">
        <v>1533.41</v>
      </c>
      <c r="K270" s="10">
        <v>0</v>
      </c>
      <c r="L270" s="10">
        <v>0</v>
      </c>
      <c r="M270" s="10">
        <v>0</v>
      </c>
      <c r="N270" s="10">
        <v>772.6</v>
      </c>
      <c r="O270" s="10">
        <v>677.09</v>
      </c>
      <c r="P270" s="10">
        <v>452.36</v>
      </c>
      <c r="Q270" s="10">
        <v>0</v>
      </c>
      <c r="R270" s="10">
        <v>1082.6300000000001</v>
      </c>
      <c r="S270" s="10">
        <v>1059.29</v>
      </c>
      <c r="T270" s="10">
        <v>0</v>
      </c>
      <c r="U270" s="10">
        <v>1225.5</v>
      </c>
      <c r="V270" s="10">
        <v>569.07000000000005</v>
      </c>
      <c r="W270" s="10">
        <v>0</v>
      </c>
      <c r="X270" s="10">
        <v>0</v>
      </c>
      <c r="Y270" s="10">
        <v>809.16</v>
      </c>
      <c r="Z270" s="10">
        <v>0</v>
      </c>
      <c r="AA270" s="10">
        <v>0</v>
      </c>
      <c r="AB270" s="10">
        <v>0</v>
      </c>
      <c r="AC270" s="10">
        <v>787.57</v>
      </c>
      <c r="AD270" s="10">
        <v>523.91999999999996</v>
      </c>
      <c r="AE270" s="10">
        <v>0</v>
      </c>
      <c r="AF270" s="10">
        <v>899</v>
      </c>
    </row>
    <row r="271" spans="1:32" ht="15" customHeight="1">
      <c r="A271" s="10" t="s">
        <v>343</v>
      </c>
      <c r="B271" s="61" t="s">
        <v>303</v>
      </c>
      <c r="C271" s="10">
        <v>2623.55</v>
      </c>
      <c r="D271" s="10">
        <v>1698.79</v>
      </c>
      <c r="E271" s="10">
        <v>1535.26</v>
      </c>
      <c r="F271" s="10">
        <v>0</v>
      </c>
      <c r="G271" s="10">
        <v>1857.41</v>
      </c>
      <c r="H271" s="10">
        <v>1454.22</v>
      </c>
      <c r="I271" s="10">
        <v>1354.27</v>
      </c>
      <c r="J271" s="10">
        <v>400</v>
      </c>
      <c r="K271" s="10">
        <v>661.72</v>
      </c>
      <c r="L271" s="10">
        <v>0</v>
      </c>
      <c r="M271" s="10">
        <v>505.83</v>
      </c>
      <c r="N271" s="10">
        <v>0</v>
      </c>
      <c r="O271" s="10">
        <v>1974.19</v>
      </c>
      <c r="P271" s="10">
        <v>1745.85</v>
      </c>
      <c r="Q271" s="10">
        <v>0</v>
      </c>
      <c r="R271" s="10">
        <v>2245.4899999999998</v>
      </c>
      <c r="S271" s="10">
        <v>923.23</v>
      </c>
      <c r="T271" s="10">
        <v>1586.29</v>
      </c>
      <c r="U271" s="10">
        <v>802.01</v>
      </c>
      <c r="V271" s="10">
        <v>0</v>
      </c>
      <c r="W271" s="10">
        <v>1343.75</v>
      </c>
      <c r="X271" s="10">
        <v>230.32</v>
      </c>
      <c r="Y271" s="10">
        <v>1196.53</v>
      </c>
      <c r="Z271" s="10">
        <v>0</v>
      </c>
      <c r="AA271" s="10">
        <v>0</v>
      </c>
      <c r="AB271" s="10">
        <v>0</v>
      </c>
      <c r="AC271" s="10">
        <v>1858.18</v>
      </c>
      <c r="AD271" s="10">
        <v>1575.37</v>
      </c>
      <c r="AE271" s="10">
        <v>1485.18</v>
      </c>
      <c r="AF271" s="10">
        <v>0</v>
      </c>
    </row>
    <row r="272" spans="1:32" ht="15" customHeight="1">
      <c r="A272" s="10" t="s">
        <v>343</v>
      </c>
      <c r="B272" s="61" t="s">
        <v>304</v>
      </c>
      <c r="C272" s="10">
        <v>1472.14</v>
      </c>
      <c r="D272" s="10">
        <v>171.24</v>
      </c>
      <c r="E272" s="10">
        <v>903.98</v>
      </c>
      <c r="F272" s="10">
        <v>908.29</v>
      </c>
      <c r="G272" s="10">
        <v>511.84</v>
      </c>
      <c r="H272" s="10">
        <v>404.31</v>
      </c>
      <c r="I272" s="10">
        <v>643.65</v>
      </c>
      <c r="J272" s="10">
        <v>1144.1199999999999</v>
      </c>
      <c r="K272" s="10">
        <v>0</v>
      </c>
      <c r="L272" s="10">
        <v>1632.96</v>
      </c>
      <c r="M272" s="10">
        <v>0</v>
      </c>
      <c r="N272" s="10">
        <v>1031.6199999999999</v>
      </c>
      <c r="O272" s="10">
        <v>171.93</v>
      </c>
      <c r="P272" s="10">
        <v>369.97</v>
      </c>
      <c r="Q272" s="10">
        <v>0</v>
      </c>
      <c r="R272" s="10">
        <v>429.95</v>
      </c>
      <c r="S272" s="10">
        <v>1207.05</v>
      </c>
      <c r="T272" s="10">
        <v>767.73</v>
      </c>
      <c r="U272" s="10">
        <v>0</v>
      </c>
      <c r="V272" s="10">
        <v>511.02</v>
      </c>
      <c r="W272" s="10">
        <v>958.07</v>
      </c>
      <c r="X272" s="10">
        <v>0</v>
      </c>
      <c r="Y272" s="10">
        <v>746.53</v>
      </c>
      <c r="Z272" s="10">
        <v>0</v>
      </c>
      <c r="AA272" s="10">
        <v>787.57</v>
      </c>
      <c r="AB272" s="10">
        <v>1858.18</v>
      </c>
      <c r="AC272" s="10">
        <v>0</v>
      </c>
      <c r="AD272" s="10">
        <v>454.53</v>
      </c>
      <c r="AE272" s="10">
        <v>0</v>
      </c>
      <c r="AF272" s="10">
        <v>0</v>
      </c>
    </row>
    <row r="273" spans="1:32" ht="15" customHeight="1">
      <c r="A273" s="10" t="s">
        <v>343</v>
      </c>
      <c r="B273" s="61" t="s">
        <v>305</v>
      </c>
      <c r="C273" s="10">
        <v>1879.08</v>
      </c>
      <c r="D273" s="10">
        <v>416.67</v>
      </c>
      <c r="E273" s="10">
        <v>1089.56</v>
      </c>
      <c r="F273" s="10">
        <v>797.9</v>
      </c>
      <c r="G273" s="10">
        <v>869.38</v>
      </c>
      <c r="H273" s="10">
        <v>323.69</v>
      </c>
      <c r="I273" s="10">
        <v>705.3</v>
      </c>
      <c r="J273" s="10">
        <v>1030.02</v>
      </c>
      <c r="K273" s="10">
        <v>1177.79</v>
      </c>
      <c r="L273" s="10">
        <v>0</v>
      </c>
      <c r="M273" s="10">
        <v>0</v>
      </c>
      <c r="N273" s="10">
        <v>1109.6099999999999</v>
      </c>
      <c r="O273" s="10">
        <v>470.6</v>
      </c>
      <c r="P273" s="10">
        <v>171.65</v>
      </c>
      <c r="Q273" s="10">
        <v>0</v>
      </c>
      <c r="R273" s="10">
        <v>874.11</v>
      </c>
      <c r="S273" s="10">
        <v>797.05</v>
      </c>
      <c r="T273" s="10">
        <v>981.17</v>
      </c>
      <c r="U273" s="10">
        <v>977.33</v>
      </c>
      <c r="V273" s="10">
        <v>658.16</v>
      </c>
      <c r="W273" s="10">
        <v>1060.75</v>
      </c>
      <c r="X273" s="10">
        <v>0</v>
      </c>
      <c r="Y273" s="10">
        <v>380.21</v>
      </c>
      <c r="Z273" s="10">
        <v>0</v>
      </c>
      <c r="AA273" s="10">
        <v>523.91999999999996</v>
      </c>
      <c r="AB273" s="10">
        <v>1575.37</v>
      </c>
      <c r="AC273" s="10">
        <v>454.53</v>
      </c>
      <c r="AD273" s="10">
        <v>0</v>
      </c>
      <c r="AE273" s="10">
        <v>0</v>
      </c>
      <c r="AF273" s="10">
        <v>0</v>
      </c>
    </row>
    <row r="274" spans="1:32" ht="15" customHeight="1">
      <c r="A274" s="10" t="s">
        <v>343</v>
      </c>
      <c r="B274" s="10" t="s">
        <v>356</v>
      </c>
      <c r="C274" s="10">
        <v>0</v>
      </c>
      <c r="D274" s="10">
        <v>0</v>
      </c>
      <c r="E274" s="10">
        <v>0</v>
      </c>
      <c r="F274" s="10">
        <v>428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868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899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 ht="15" customHeight="1">
      <c r="A275" s="10" t="s">
        <v>343</v>
      </c>
      <c r="B275" s="61" t="s">
        <v>307</v>
      </c>
      <c r="C275" s="10">
        <v>600</v>
      </c>
      <c r="D275" s="10">
        <v>1399.02</v>
      </c>
      <c r="E275" s="10">
        <v>645.59</v>
      </c>
      <c r="F275" s="10">
        <v>0</v>
      </c>
      <c r="G275" s="10">
        <v>1134.76</v>
      </c>
      <c r="H275" s="10">
        <v>1341.38</v>
      </c>
      <c r="I275" s="10">
        <v>959.53</v>
      </c>
      <c r="J275" s="10">
        <v>850.09</v>
      </c>
      <c r="K275" s="10">
        <v>0</v>
      </c>
      <c r="L275" s="10">
        <v>1549.51</v>
      </c>
      <c r="M275" s="10">
        <v>0</v>
      </c>
      <c r="N275" s="10">
        <v>0</v>
      </c>
      <c r="O275" s="10">
        <v>0</v>
      </c>
      <c r="P275" s="10">
        <v>0</v>
      </c>
      <c r="Q275" s="10">
        <v>363.85</v>
      </c>
      <c r="R275" s="10">
        <v>1673.84</v>
      </c>
      <c r="S275" s="10">
        <v>0</v>
      </c>
      <c r="T275" s="10">
        <v>785.89</v>
      </c>
      <c r="U275" s="10">
        <v>0</v>
      </c>
      <c r="V275" s="10">
        <v>0</v>
      </c>
      <c r="W275" s="10">
        <v>604.03</v>
      </c>
      <c r="X275" s="10">
        <v>1492.31</v>
      </c>
      <c r="Y275" s="10">
        <v>1502.63</v>
      </c>
      <c r="Z275" s="10">
        <v>1672.93</v>
      </c>
      <c r="AA275" s="10">
        <v>0</v>
      </c>
      <c r="AB275" s="10">
        <v>1485.18</v>
      </c>
      <c r="AC275" s="10">
        <v>0</v>
      </c>
      <c r="AD275" s="10">
        <v>0</v>
      </c>
      <c r="AE275" s="10">
        <v>0</v>
      </c>
      <c r="AF275" s="10">
        <v>0</v>
      </c>
    </row>
    <row r="276" spans="1:32" ht="15" customHeight="1">
      <c r="A276" s="10" t="s">
        <v>341</v>
      </c>
      <c r="B276" s="61" t="s">
        <v>278</v>
      </c>
      <c r="C276" s="10">
        <v>1462.5</v>
      </c>
      <c r="D276" s="10">
        <v>0</v>
      </c>
      <c r="E276" s="10">
        <v>770.24</v>
      </c>
      <c r="F276" s="10">
        <v>1022.45</v>
      </c>
      <c r="G276" s="10">
        <v>456.36</v>
      </c>
      <c r="H276" s="10">
        <v>254.84</v>
      </c>
      <c r="I276" s="10">
        <v>477.04</v>
      </c>
      <c r="J276" s="10">
        <v>973.03</v>
      </c>
      <c r="K276" s="10">
        <v>0</v>
      </c>
      <c r="L276" s="10">
        <v>1640.58</v>
      </c>
      <c r="M276" s="10">
        <v>0</v>
      </c>
      <c r="N276" s="10">
        <v>1188.01</v>
      </c>
      <c r="O276" s="10">
        <v>332.27</v>
      </c>
      <c r="P276" s="10">
        <v>400.59</v>
      </c>
      <c r="Q276" s="10">
        <v>0</v>
      </c>
      <c r="R276" s="10">
        <v>557.69000000000005</v>
      </c>
      <c r="S276" s="10">
        <v>1094.8399999999999</v>
      </c>
      <c r="T276" s="10">
        <v>640.32000000000005</v>
      </c>
      <c r="U276" s="10">
        <v>1264.26</v>
      </c>
      <c r="V276" s="10">
        <v>667.29</v>
      </c>
      <c r="W276" s="10">
        <v>804.24</v>
      </c>
      <c r="X276" s="10">
        <v>0</v>
      </c>
      <c r="Y276" s="10">
        <v>630.36</v>
      </c>
      <c r="Z276" s="10">
        <v>0</v>
      </c>
      <c r="AA276" s="10">
        <v>850.72</v>
      </c>
      <c r="AB276" s="10">
        <v>1698.79</v>
      </c>
      <c r="AC276" s="10">
        <v>171.24</v>
      </c>
      <c r="AD276" s="10">
        <v>416.67</v>
      </c>
      <c r="AE276" s="10">
        <v>1399.02</v>
      </c>
      <c r="AF276" s="10">
        <v>0</v>
      </c>
    </row>
    <row r="277" spans="1:32" ht="15" customHeight="1">
      <c r="A277" s="10" t="s">
        <v>341</v>
      </c>
      <c r="B277" s="61" t="s">
        <v>280</v>
      </c>
      <c r="C277" s="10">
        <v>300</v>
      </c>
      <c r="D277" s="10">
        <v>770.24</v>
      </c>
      <c r="E277" s="10">
        <v>0</v>
      </c>
      <c r="F277" s="10">
        <v>0</v>
      </c>
      <c r="G277" s="10">
        <v>501.4</v>
      </c>
      <c r="H277" s="10">
        <v>767.87</v>
      </c>
      <c r="I277" s="10">
        <v>406.5</v>
      </c>
      <c r="J277" s="10">
        <v>692.16</v>
      </c>
      <c r="K277" s="10">
        <v>0</v>
      </c>
      <c r="L277" s="10">
        <v>1325.38</v>
      </c>
      <c r="M277" s="10">
        <v>0</v>
      </c>
      <c r="N277" s="10">
        <v>0</v>
      </c>
      <c r="O277" s="10">
        <v>1075.07</v>
      </c>
      <c r="P277" s="10">
        <v>1146.05</v>
      </c>
      <c r="Q277" s="10">
        <v>924.14</v>
      </c>
      <c r="R277" s="10">
        <v>1040.22</v>
      </c>
      <c r="S277" s="10">
        <v>0</v>
      </c>
      <c r="T277" s="10">
        <v>140.4</v>
      </c>
      <c r="U277" s="10">
        <v>0</v>
      </c>
      <c r="V277" s="10">
        <v>0</v>
      </c>
      <c r="W277" s="10">
        <v>192.2</v>
      </c>
      <c r="X277" s="10">
        <v>1636.14</v>
      </c>
      <c r="Y277" s="10">
        <v>1037.53</v>
      </c>
      <c r="Z277" s="10">
        <v>0</v>
      </c>
      <c r="AA277" s="10">
        <v>0</v>
      </c>
      <c r="AB277" s="10">
        <v>1535.26</v>
      </c>
      <c r="AC277" s="10">
        <v>903.98</v>
      </c>
      <c r="AD277" s="10">
        <v>1089.56</v>
      </c>
      <c r="AE277" s="10">
        <v>645.59</v>
      </c>
      <c r="AF277" s="10">
        <v>0</v>
      </c>
    </row>
    <row r="278" spans="1:32">
      <c r="A278" s="10" t="s">
        <v>341</v>
      </c>
      <c r="B278" s="61" t="s">
        <v>281</v>
      </c>
      <c r="C278" s="10">
        <v>0</v>
      </c>
      <c r="D278" s="10">
        <v>1022.45</v>
      </c>
      <c r="E278" s="10">
        <v>0</v>
      </c>
      <c r="F278" s="10">
        <v>0</v>
      </c>
      <c r="G278" s="10">
        <v>1415.45</v>
      </c>
      <c r="H278" s="10">
        <v>1087.05</v>
      </c>
      <c r="I278" s="10">
        <v>1458.02</v>
      </c>
      <c r="J278" s="10">
        <v>0</v>
      </c>
      <c r="K278" s="10">
        <v>0</v>
      </c>
      <c r="L278" s="10">
        <v>0</v>
      </c>
      <c r="M278" s="10">
        <v>0</v>
      </c>
      <c r="N278" s="10">
        <v>453.95</v>
      </c>
      <c r="O278" s="10">
        <v>753.16</v>
      </c>
      <c r="P278" s="10">
        <v>671.18</v>
      </c>
      <c r="Q278" s="10">
        <v>0</v>
      </c>
      <c r="R278" s="10">
        <v>1075.51</v>
      </c>
      <c r="S278" s="10">
        <v>0</v>
      </c>
      <c r="T278" s="10">
        <v>0</v>
      </c>
      <c r="U278" s="10">
        <v>0</v>
      </c>
      <c r="V278" s="10">
        <v>489.51</v>
      </c>
      <c r="W278" s="10">
        <v>0</v>
      </c>
      <c r="X278" s="10">
        <v>0</v>
      </c>
      <c r="Y278" s="10">
        <v>1129.69</v>
      </c>
      <c r="Z278" s="10">
        <v>0</v>
      </c>
      <c r="AA278" s="10">
        <v>343.03</v>
      </c>
      <c r="AB278" s="10">
        <v>0</v>
      </c>
      <c r="AC278" s="10">
        <v>908.29</v>
      </c>
      <c r="AD278" s="10">
        <v>797.9</v>
      </c>
      <c r="AE278" s="10">
        <v>0</v>
      </c>
      <c r="AF278" s="10">
        <v>428</v>
      </c>
    </row>
    <row r="279" spans="1:32" ht="15" customHeight="1">
      <c r="A279" s="10" t="s">
        <v>341</v>
      </c>
      <c r="B279" s="61" t="s">
        <v>282</v>
      </c>
      <c r="C279" s="10">
        <v>350</v>
      </c>
      <c r="D279" s="10">
        <v>456.36</v>
      </c>
      <c r="E279" s="10">
        <v>501.4</v>
      </c>
      <c r="F279" s="10">
        <v>1415.45</v>
      </c>
      <c r="G279" s="10">
        <v>0</v>
      </c>
      <c r="H279" s="10">
        <v>619.89</v>
      </c>
      <c r="I279" s="10">
        <v>504.62</v>
      </c>
      <c r="J279" s="10">
        <v>1027.05</v>
      </c>
      <c r="K279" s="10">
        <v>0</v>
      </c>
      <c r="L279" s="10">
        <v>1204.01</v>
      </c>
      <c r="M279" s="10">
        <v>0</v>
      </c>
      <c r="N279" s="10">
        <v>0</v>
      </c>
      <c r="O279" s="10">
        <v>662.94</v>
      </c>
      <c r="P279" s="10">
        <v>850.87</v>
      </c>
      <c r="Q279" s="10">
        <v>0</v>
      </c>
      <c r="R279" s="10">
        <v>540.01</v>
      </c>
      <c r="S279" s="10">
        <v>0</v>
      </c>
      <c r="T279" s="10">
        <v>367.02</v>
      </c>
      <c r="U279" s="10">
        <v>0</v>
      </c>
      <c r="V279" s="10">
        <v>978.2</v>
      </c>
      <c r="W279" s="10">
        <v>637.54999999999995</v>
      </c>
      <c r="X279" s="10">
        <v>0</v>
      </c>
      <c r="Y279" s="10">
        <v>1001.53</v>
      </c>
      <c r="Z279" s="10">
        <v>0</v>
      </c>
      <c r="AA279" s="10">
        <v>1292.28</v>
      </c>
      <c r="AB279" s="10">
        <v>1857.41</v>
      </c>
      <c r="AC279" s="10">
        <v>511.84</v>
      </c>
      <c r="AD279" s="10">
        <v>869.38</v>
      </c>
      <c r="AE279" s="10">
        <v>1134.76</v>
      </c>
      <c r="AF279" s="10">
        <v>0</v>
      </c>
    </row>
    <row r="280" spans="1:32" ht="15" customHeight="1">
      <c r="A280" s="10" t="s">
        <v>341</v>
      </c>
      <c r="B280" s="61" t="s">
        <v>283</v>
      </c>
      <c r="C280" s="10">
        <v>1630.33</v>
      </c>
      <c r="D280" s="10">
        <v>254.84</v>
      </c>
      <c r="E280" s="10">
        <v>767.87</v>
      </c>
      <c r="F280" s="10">
        <v>1087.05</v>
      </c>
      <c r="G280" s="10">
        <v>619.89</v>
      </c>
      <c r="H280" s="10">
        <v>0</v>
      </c>
      <c r="I280" s="10">
        <v>382.63</v>
      </c>
      <c r="J280" s="10">
        <v>777.76</v>
      </c>
      <c r="K280" s="10">
        <v>1194.05</v>
      </c>
      <c r="L280" s="10">
        <v>0</v>
      </c>
      <c r="M280" s="10">
        <v>0</v>
      </c>
      <c r="N280" s="10">
        <v>1334.1</v>
      </c>
      <c r="O280" s="10">
        <v>528.63</v>
      </c>
      <c r="P280" s="10">
        <v>415.87</v>
      </c>
      <c r="Q280" s="10">
        <v>0</v>
      </c>
      <c r="R280" s="10">
        <v>812.43</v>
      </c>
      <c r="S280" s="10">
        <v>850.9</v>
      </c>
      <c r="T280" s="10">
        <v>665.24</v>
      </c>
      <c r="U280" s="10">
        <v>1016.04</v>
      </c>
      <c r="V280" s="10">
        <v>829.38</v>
      </c>
      <c r="W280" s="10">
        <v>738.71</v>
      </c>
      <c r="X280" s="10">
        <v>1642</v>
      </c>
      <c r="Y280" s="10">
        <v>390.18</v>
      </c>
      <c r="Z280" s="10">
        <v>0</v>
      </c>
      <c r="AA280" s="10">
        <v>842.37</v>
      </c>
      <c r="AB280" s="10">
        <v>1454.22</v>
      </c>
      <c r="AC280" s="10">
        <v>404.31</v>
      </c>
      <c r="AD280" s="10">
        <v>323.69</v>
      </c>
      <c r="AE280" s="10">
        <v>1341.38</v>
      </c>
      <c r="AF280" s="10">
        <v>0</v>
      </c>
    </row>
    <row r="281" spans="1:32" ht="15" customHeight="1">
      <c r="A281" s="10" t="s">
        <v>341</v>
      </c>
      <c r="B281" s="61" t="s">
        <v>284</v>
      </c>
      <c r="C281" s="10">
        <v>500</v>
      </c>
      <c r="D281" s="10">
        <v>477.04</v>
      </c>
      <c r="E281" s="10">
        <v>406.5</v>
      </c>
      <c r="F281" s="10">
        <v>1458.02</v>
      </c>
      <c r="G281" s="10">
        <v>504.62</v>
      </c>
      <c r="H281" s="10">
        <v>382.63</v>
      </c>
      <c r="I281" s="10">
        <v>0</v>
      </c>
      <c r="J281" s="10">
        <v>540.49</v>
      </c>
      <c r="K281" s="10">
        <v>1281.04</v>
      </c>
      <c r="L281" s="10">
        <v>1624.96</v>
      </c>
      <c r="M281" s="10">
        <v>1750.79</v>
      </c>
      <c r="N281" s="10">
        <v>1662.66</v>
      </c>
      <c r="O281" s="10">
        <v>809.27</v>
      </c>
      <c r="P281" s="10">
        <v>790.13</v>
      </c>
      <c r="Q281" s="10">
        <v>1286.0899999999999</v>
      </c>
      <c r="R281" s="10">
        <v>934.15</v>
      </c>
      <c r="S281" s="10">
        <v>1015.33</v>
      </c>
      <c r="T281" s="10">
        <v>339.26</v>
      </c>
      <c r="U281" s="10">
        <v>1144.5999999999999</v>
      </c>
      <c r="V281" s="10">
        <v>1143.0899999999999</v>
      </c>
      <c r="W281" s="10">
        <v>356.15</v>
      </c>
      <c r="X281" s="10">
        <v>1503.63</v>
      </c>
      <c r="Y281" s="10">
        <v>633.87</v>
      </c>
      <c r="Z281" s="10">
        <v>0</v>
      </c>
      <c r="AA281" s="10">
        <v>1224.8499999999999</v>
      </c>
      <c r="AB281" s="10">
        <v>1354.27</v>
      </c>
      <c r="AC281" s="10">
        <v>643.65</v>
      </c>
      <c r="AD281" s="10">
        <v>705.3</v>
      </c>
      <c r="AE281" s="10">
        <v>959.53</v>
      </c>
      <c r="AF281" s="10">
        <v>0</v>
      </c>
    </row>
    <row r="282" spans="1:32" ht="15" customHeight="1">
      <c r="A282" s="10" t="s">
        <v>341</v>
      </c>
      <c r="B282" s="61" t="s">
        <v>285</v>
      </c>
      <c r="C282" s="10">
        <v>1789.51</v>
      </c>
      <c r="D282" s="10">
        <v>973.03</v>
      </c>
      <c r="E282" s="10">
        <v>692.16</v>
      </c>
      <c r="F282" s="10">
        <v>0</v>
      </c>
      <c r="G282" s="10">
        <v>1027.05</v>
      </c>
      <c r="H282" s="10">
        <v>777.76</v>
      </c>
      <c r="I282" s="10">
        <v>540.49</v>
      </c>
      <c r="J282" s="10">
        <v>0</v>
      </c>
      <c r="K282" s="10">
        <v>978.44</v>
      </c>
      <c r="L282" s="10">
        <v>0</v>
      </c>
      <c r="M282" s="10">
        <v>1298.0899999999999</v>
      </c>
      <c r="N282" s="10">
        <v>0</v>
      </c>
      <c r="O282" s="10">
        <v>1294.23</v>
      </c>
      <c r="P282" s="10">
        <v>1171.94</v>
      </c>
      <c r="Q282" s="10">
        <v>1213.43</v>
      </c>
      <c r="R282" s="10">
        <v>1472.56</v>
      </c>
      <c r="S282" s="10">
        <v>873.01</v>
      </c>
      <c r="T282" s="10">
        <v>737.81</v>
      </c>
      <c r="U282" s="10">
        <v>921.65</v>
      </c>
      <c r="V282" s="10">
        <v>0</v>
      </c>
      <c r="W282" s="10">
        <v>503.89</v>
      </c>
      <c r="X282" s="10">
        <v>700</v>
      </c>
      <c r="Y282" s="10">
        <v>745.5</v>
      </c>
      <c r="Z282" s="10">
        <v>0</v>
      </c>
      <c r="AA282" s="10">
        <v>1533.41</v>
      </c>
      <c r="AB282" s="10">
        <v>400</v>
      </c>
      <c r="AC282" s="10">
        <v>1144.1199999999999</v>
      </c>
      <c r="AD282" s="10">
        <v>1030.02</v>
      </c>
      <c r="AE282" s="10">
        <v>850.09</v>
      </c>
      <c r="AF282" s="10">
        <v>0</v>
      </c>
    </row>
    <row r="283" spans="1:32" ht="15" customHeight="1">
      <c r="A283" s="10" t="s">
        <v>341</v>
      </c>
      <c r="B283" s="61" t="s">
        <v>308</v>
      </c>
      <c r="C283" s="10">
        <v>0</v>
      </c>
      <c r="D283" s="10">
        <v>0</v>
      </c>
      <c r="E283" s="10">
        <v>0</v>
      </c>
      <c r="F283" s="10">
        <v>0</v>
      </c>
      <c r="G283" s="10">
        <v>0</v>
      </c>
      <c r="H283" s="10">
        <v>1194.05</v>
      </c>
      <c r="I283" s="10">
        <v>1281.04</v>
      </c>
      <c r="J283" s="10">
        <v>978.44</v>
      </c>
      <c r="K283" s="10">
        <v>0</v>
      </c>
      <c r="L283" s="10">
        <v>0</v>
      </c>
      <c r="M283" s="10">
        <v>647.91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384.47</v>
      </c>
      <c r="T283" s="10">
        <v>0</v>
      </c>
      <c r="U283" s="10">
        <v>205.65</v>
      </c>
      <c r="V283" s="10">
        <v>0</v>
      </c>
      <c r="W283" s="10">
        <v>0</v>
      </c>
      <c r="X283" s="10">
        <v>885</v>
      </c>
      <c r="Y283" s="10">
        <v>825.43</v>
      </c>
      <c r="Z283" s="10">
        <v>0</v>
      </c>
      <c r="AA283" s="10">
        <v>0</v>
      </c>
      <c r="AB283" s="10">
        <v>661.72</v>
      </c>
      <c r="AC283" s="10">
        <v>0</v>
      </c>
      <c r="AD283" s="10">
        <v>1177.79</v>
      </c>
      <c r="AE283" s="10">
        <v>0</v>
      </c>
      <c r="AF283" s="10">
        <v>0</v>
      </c>
    </row>
    <row r="284" spans="1:32" ht="15" customHeight="1">
      <c r="A284" s="10" t="s">
        <v>341</v>
      </c>
      <c r="B284" s="61" t="s">
        <v>286</v>
      </c>
      <c r="C284" s="10">
        <v>229.59</v>
      </c>
      <c r="D284" s="10">
        <v>1640.58</v>
      </c>
      <c r="E284" s="10">
        <v>1325.38</v>
      </c>
      <c r="F284" s="10">
        <v>0</v>
      </c>
      <c r="G284" s="10">
        <v>1204.01</v>
      </c>
      <c r="H284" s="10">
        <v>0</v>
      </c>
      <c r="I284" s="10">
        <v>1624.96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1723.59</v>
      </c>
      <c r="P284" s="10">
        <v>0</v>
      </c>
      <c r="Q284" s="10">
        <v>1479.45</v>
      </c>
      <c r="R284" s="10">
        <v>1341.02</v>
      </c>
      <c r="S284" s="10">
        <v>0</v>
      </c>
      <c r="T284" s="10">
        <v>1307.3599999999999</v>
      </c>
      <c r="U284" s="10">
        <v>0</v>
      </c>
      <c r="V284" s="10">
        <v>0</v>
      </c>
      <c r="W284" s="10">
        <v>1513.18</v>
      </c>
      <c r="X284" s="10">
        <v>0</v>
      </c>
      <c r="Y284" s="10">
        <v>0</v>
      </c>
      <c r="Z284" s="10">
        <v>421.67</v>
      </c>
      <c r="AA284" s="10">
        <v>0</v>
      </c>
      <c r="AB284" s="10">
        <v>0</v>
      </c>
      <c r="AC284" s="10">
        <v>1632.96</v>
      </c>
      <c r="AD284" s="10">
        <v>0</v>
      </c>
      <c r="AE284" s="10">
        <v>1549.51</v>
      </c>
      <c r="AF284" s="10">
        <v>0</v>
      </c>
    </row>
    <row r="285" spans="1:32" ht="15" customHeight="1">
      <c r="A285" s="10" t="s">
        <v>341</v>
      </c>
      <c r="B285" s="61" t="s">
        <v>287</v>
      </c>
      <c r="C285" s="10">
        <v>0</v>
      </c>
      <c r="D285" s="10">
        <v>0</v>
      </c>
      <c r="E285" s="10">
        <v>0</v>
      </c>
      <c r="F285" s="10">
        <v>0</v>
      </c>
      <c r="G285" s="10">
        <v>0</v>
      </c>
      <c r="H285" s="10">
        <v>0</v>
      </c>
      <c r="I285" s="10">
        <v>1750.79</v>
      </c>
      <c r="J285" s="10">
        <v>1298.0899999999999</v>
      </c>
      <c r="K285" s="10">
        <v>647.91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1026.31</v>
      </c>
      <c r="T285" s="10">
        <v>0</v>
      </c>
      <c r="U285" s="10">
        <v>852.16</v>
      </c>
      <c r="V285" s="10">
        <v>0</v>
      </c>
      <c r="W285" s="10">
        <v>0</v>
      </c>
      <c r="X285" s="10">
        <v>1000</v>
      </c>
      <c r="Y285" s="10">
        <v>1430.78</v>
      </c>
      <c r="Z285" s="10">
        <v>0</v>
      </c>
      <c r="AA285" s="10">
        <v>0</v>
      </c>
      <c r="AB285" s="10">
        <v>505.83</v>
      </c>
      <c r="AC285" s="10">
        <v>0</v>
      </c>
      <c r="AD285" s="10">
        <v>0</v>
      </c>
      <c r="AE285" s="10">
        <v>0</v>
      </c>
      <c r="AF285" s="10">
        <v>0</v>
      </c>
    </row>
    <row r="286" spans="1:32" ht="15" customHeight="1">
      <c r="A286" s="10" t="s">
        <v>341</v>
      </c>
      <c r="B286" s="61" t="s">
        <v>288</v>
      </c>
      <c r="C286" s="10">
        <v>0</v>
      </c>
      <c r="D286" s="10">
        <v>1462.5</v>
      </c>
      <c r="E286" s="10">
        <v>300</v>
      </c>
      <c r="F286" s="10">
        <v>0</v>
      </c>
      <c r="G286" s="10">
        <v>350</v>
      </c>
      <c r="H286" s="10">
        <v>1630.33</v>
      </c>
      <c r="I286" s="10">
        <v>500</v>
      </c>
      <c r="J286" s="10">
        <v>1789.51</v>
      </c>
      <c r="K286" s="10">
        <v>0</v>
      </c>
      <c r="L286" s="10">
        <v>229.59</v>
      </c>
      <c r="M286" s="10">
        <v>0</v>
      </c>
      <c r="N286" s="10">
        <v>2201.09</v>
      </c>
      <c r="O286" s="10">
        <v>1577.99</v>
      </c>
      <c r="P286" s="10">
        <v>1838.39</v>
      </c>
      <c r="Q286" s="10">
        <v>1284.49</v>
      </c>
      <c r="R286" s="10">
        <v>1000</v>
      </c>
      <c r="S286" s="10">
        <v>0</v>
      </c>
      <c r="T286" s="10">
        <v>1087.05</v>
      </c>
      <c r="U286" s="10">
        <v>0</v>
      </c>
      <c r="V286" s="10">
        <v>1809.09</v>
      </c>
      <c r="W286" s="10">
        <v>1285.6600000000001</v>
      </c>
      <c r="X286" s="10">
        <v>2702.36</v>
      </c>
      <c r="Y286" s="10">
        <v>2000.6</v>
      </c>
      <c r="Z286" s="10">
        <v>560.61</v>
      </c>
      <c r="AA286" s="10">
        <v>2252.62</v>
      </c>
      <c r="AB286" s="10">
        <v>2623.55</v>
      </c>
      <c r="AC286" s="10">
        <v>1472.14</v>
      </c>
      <c r="AD286" s="10">
        <v>1879.08</v>
      </c>
      <c r="AE286" s="10">
        <v>600</v>
      </c>
      <c r="AF286" s="10">
        <v>0</v>
      </c>
    </row>
    <row r="287" spans="1:32" ht="15" customHeight="1">
      <c r="A287" s="10" t="s">
        <v>341</v>
      </c>
      <c r="B287" s="61" t="s">
        <v>289</v>
      </c>
      <c r="C287" s="10">
        <v>2201.09</v>
      </c>
      <c r="D287" s="10">
        <v>1188.01</v>
      </c>
      <c r="E287" s="10">
        <v>0</v>
      </c>
      <c r="F287" s="10">
        <v>453.95</v>
      </c>
      <c r="G287" s="10">
        <v>0</v>
      </c>
      <c r="H287" s="10">
        <v>1334.1</v>
      </c>
      <c r="I287" s="10">
        <v>1662.66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859.98</v>
      </c>
      <c r="P287" s="10">
        <v>947.65</v>
      </c>
      <c r="Q287" s="10">
        <v>0</v>
      </c>
      <c r="R287" s="10">
        <v>1007.1</v>
      </c>
      <c r="S287" s="10">
        <v>0</v>
      </c>
      <c r="T287" s="10">
        <v>0</v>
      </c>
      <c r="U287" s="10">
        <v>0</v>
      </c>
      <c r="V287" s="10">
        <v>521.16</v>
      </c>
      <c r="W287" s="10">
        <v>0</v>
      </c>
      <c r="X287" s="10">
        <v>0</v>
      </c>
      <c r="Y287" s="10">
        <v>1480.09</v>
      </c>
      <c r="Z287" s="10">
        <v>0</v>
      </c>
      <c r="AA287" s="10">
        <v>772.6</v>
      </c>
      <c r="AB287" s="10">
        <v>0</v>
      </c>
      <c r="AC287" s="10">
        <v>1031.6199999999999</v>
      </c>
      <c r="AD287" s="10">
        <v>1109.6099999999999</v>
      </c>
      <c r="AE287" s="10">
        <v>0</v>
      </c>
      <c r="AF287" s="10">
        <v>868</v>
      </c>
    </row>
    <row r="288" spans="1:32" ht="15" customHeight="1">
      <c r="A288" s="10" t="s">
        <v>341</v>
      </c>
      <c r="B288" s="61" t="s">
        <v>290</v>
      </c>
      <c r="C288" s="10">
        <v>1577.99</v>
      </c>
      <c r="D288" s="10">
        <v>332.27</v>
      </c>
      <c r="E288" s="10">
        <v>1075.07</v>
      </c>
      <c r="F288" s="10">
        <v>753.16</v>
      </c>
      <c r="G288" s="10">
        <v>662.94</v>
      </c>
      <c r="H288" s="10">
        <v>528.63</v>
      </c>
      <c r="I288" s="10">
        <v>809.27</v>
      </c>
      <c r="J288" s="10">
        <v>1294.23</v>
      </c>
      <c r="K288" s="10">
        <v>0</v>
      </c>
      <c r="L288" s="10">
        <v>1723.59</v>
      </c>
      <c r="M288" s="10">
        <v>0</v>
      </c>
      <c r="N288" s="10">
        <v>859.98</v>
      </c>
      <c r="O288" s="10">
        <v>0</v>
      </c>
      <c r="P288" s="10">
        <v>331.49</v>
      </c>
      <c r="Q288" s="10">
        <v>0</v>
      </c>
      <c r="R288" s="10">
        <v>427.99</v>
      </c>
      <c r="S288" s="10">
        <v>1262.6500000000001</v>
      </c>
      <c r="T288" s="10">
        <v>938.11</v>
      </c>
      <c r="U288" s="10">
        <v>0</v>
      </c>
      <c r="V288" s="10">
        <v>339.14</v>
      </c>
      <c r="W288" s="10">
        <v>1129.3900000000001</v>
      </c>
      <c r="X288" s="10">
        <v>0</v>
      </c>
      <c r="Y288" s="10">
        <v>818.17</v>
      </c>
      <c r="Z288" s="10">
        <v>0</v>
      </c>
      <c r="AA288" s="10">
        <v>677.09</v>
      </c>
      <c r="AB288" s="10">
        <v>1974.19</v>
      </c>
      <c r="AC288" s="10">
        <v>171.93</v>
      </c>
      <c r="AD288" s="10">
        <v>470.6</v>
      </c>
      <c r="AE288" s="10">
        <v>0</v>
      </c>
      <c r="AF288" s="10">
        <v>0</v>
      </c>
    </row>
    <row r="289" spans="1:32" ht="15" customHeight="1">
      <c r="A289" s="10" t="s">
        <v>341</v>
      </c>
      <c r="B289" s="61" t="s">
        <v>291</v>
      </c>
      <c r="C289" s="10">
        <v>1838.39</v>
      </c>
      <c r="D289" s="10">
        <v>400.59</v>
      </c>
      <c r="E289" s="10">
        <v>1146.05</v>
      </c>
      <c r="F289" s="10">
        <v>671.18</v>
      </c>
      <c r="G289" s="10">
        <v>850.87</v>
      </c>
      <c r="H289" s="10">
        <v>415.87</v>
      </c>
      <c r="I289" s="10">
        <v>790.13</v>
      </c>
      <c r="J289" s="10">
        <v>1171.94</v>
      </c>
      <c r="K289" s="10">
        <v>0</v>
      </c>
      <c r="L289" s="10">
        <v>0</v>
      </c>
      <c r="M289" s="10">
        <v>0</v>
      </c>
      <c r="N289" s="10">
        <v>947.65</v>
      </c>
      <c r="O289" s="10">
        <v>331.49</v>
      </c>
      <c r="P289" s="10">
        <v>0</v>
      </c>
      <c r="Q289" s="10">
        <v>0</v>
      </c>
      <c r="R289" s="10">
        <v>755.26</v>
      </c>
      <c r="S289" s="10">
        <v>961.23</v>
      </c>
      <c r="T289" s="10">
        <v>1025.1099999999999</v>
      </c>
      <c r="U289" s="10">
        <v>1141.83</v>
      </c>
      <c r="V289" s="10">
        <v>486.51</v>
      </c>
      <c r="W289" s="10">
        <v>1144.4000000000001</v>
      </c>
      <c r="X289" s="10">
        <v>0</v>
      </c>
      <c r="Y289" s="10">
        <v>551.72</v>
      </c>
      <c r="Z289" s="10">
        <v>0</v>
      </c>
      <c r="AA289" s="10">
        <v>452.36</v>
      </c>
      <c r="AB289" s="10">
        <v>1745.85</v>
      </c>
      <c r="AC289" s="10">
        <v>369.97</v>
      </c>
      <c r="AD289" s="10">
        <v>171.65</v>
      </c>
      <c r="AE289" s="10">
        <v>0</v>
      </c>
      <c r="AF289" s="10">
        <v>0</v>
      </c>
    </row>
    <row r="290" spans="1:32" ht="15" customHeight="1">
      <c r="A290" s="10" t="s">
        <v>341</v>
      </c>
      <c r="B290" s="61" t="s">
        <v>292</v>
      </c>
      <c r="C290" s="10">
        <v>1284.49</v>
      </c>
      <c r="D290" s="10">
        <v>0</v>
      </c>
      <c r="E290" s="10">
        <v>924.14</v>
      </c>
      <c r="F290" s="10">
        <v>0</v>
      </c>
      <c r="G290" s="10">
        <v>0</v>
      </c>
      <c r="H290" s="10">
        <v>0</v>
      </c>
      <c r="I290" s="10">
        <v>1286.0899999999999</v>
      </c>
      <c r="J290" s="10">
        <v>1213.43</v>
      </c>
      <c r="K290" s="10">
        <v>0</v>
      </c>
      <c r="L290" s="10">
        <v>1479.45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1057.17</v>
      </c>
      <c r="U290" s="10">
        <v>0</v>
      </c>
      <c r="V290" s="10">
        <v>0</v>
      </c>
      <c r="W290" s="10">
        <v>932.26</v>
      </c>
      <c r="X290" s="10">
        <v>1780.16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363.85</v>
      </c>
      <c r="AF290" s="10">
        <v>0</v>
      </c>
    </row>
    <row r="291" spans="1:32" ht="15" customHeight="1">
      <c r="A291" s="10" t="s">
        <v>341</v>
      </c>
      <c r="B291" s="61" t="s">
        <v>293</v>
      </c>
      <c r="C291" s="10">
        <v>1000</v>
      </c>
      <c r="D291" s="10">
        <v>557.69000000000005</v>
      </c>
      <c r="E291" s="10">
        <v>1040.22</v>
      </c>
      <c r="F291" s="10">
        <v>1075.51</v>
      </c>
      <c r="G291" s="10">
        <v>540.01</v>
      </c>
      <c r="H291" s="10">
        <v>812.43</v>
      </c>
      <c r="I291" s="10">
        <v>934.15</v>
      </c>
      <c r="J291" s="10">
        <v>1472.56</v>
      </c>
      <c r="K291" s="10">
        <v>0</v>
      </c>
      <c r="L291" s="10">
        <v>1341.02</v>
      </c>
      <c r="M291" s="10">
        <v>0</v>
      </c>
      <c r="N291" s="10">
        <v>1007.1</v>
      </c>
      <c r="O291" s="10">
        <v>427.99</v>
      </c>
      <c r="P291" s="10">
        <v>755.26</v>
      </c>
      <c r="Q291" s="10">
        <v>0</v>
      </c>
      <c r="R291" s="10">
        <v>0</v>
      </c>
      <c r="S291" s="10">
        <v>0</v>
      </c>
      <c r="T291" s="10">
        <v>903.08</v>
      </c>
      <c r="U291" s="10">
        <v>0</v>
      </c>
      <c r="V291" s="10">
        <v>586.66</v>
      </c>
      <c r="W291" s="10">
        <v>1161.05</v>
      </c>
      <c r="X291" s="10">
        <v>0</v>
      </c>
      <c r="Y291" s="10">
        <v>1174.6600000000001</v>
      </c>
      <c r="Z291" s="10">
        <v>0</v>
      </c>
      <c r="AA291" s="10">
        <v>1082.6300000000001</v>
      </c>
      <c r="AB291" s="10">
        <v>2245.4899999999998</v>
      </c>
      <c r="AC291" s="10">
        <v>429.95</v>
      </c>
      <c r="AD291" s="10">
        <v>874.11</v>
      </c>
      <c r="AE291" s="10">
        <v>1673.84</v>
      </c>
      <c r="AF291" s="10">
        <v>0</v>
      </c>
    </row>
    <row r="292" spans="1:32" ht="15" customHeight="1">
      <c r="A292" s="10" t="s">
        <v>341</v>
      </c>
      <c r="B292" s="61" t="s">
        <v>309</v>
      </c>
      <c r="C292" s="10">
        <v>0</v>
      </c>
      <c r="D292" s="10">
        <v>1094.8399999999999</v>
      </c>
      <c r="E292" s="10">
        <v>0</v>
      </c>
      <c r="F292" s="10">
        <v>0</v>
      </c>
      <c r="G292" s="10">
        <v>0</v>
      </c>
      <c r="H292" s="10">
        <v>850.9</v>
      </c>
      <c r="I292" s="10">
        <v>1015.33</v>
      </c>
      <c r="J292" s="10">
        <v>873.01</v>
      </c>
      <c r="K292" s="10">
        <v>384.47</v>
      </c>
      <c r="L292" s="10">
        <v>0</v>
      </c>
      <c r="M292" s="10">
        <v>1026.31</v>
      </c>
      <c r="N292" s="10">
        <v>0</v>
      </c>
      <c r="O292" s="10">
        <v>1262.6500000000001</v>
      </c>
      <c r="P292" s="10">
        <v>961.23</v>
      </c>
      <c r="Q292" s="10">
        <v>0</v>
      </c>
      <c r="R292" s="10">
        <v>0</v>
      </c>
      <c r="S292" s="10">
        <v>0</v>
      </c>
      <c r="T292" s="10">
        <v>0</v>
      </c>
      <c r="U292" s="10">
        <v>180.61</v>
      </c>
      <c r="V292" s="10">
        <v>0</v>
      </c>
      <c r="W292" s="10">
        <v>1249.7</v>
      </c>
      <c r="X292" s="10">
        <v>1153.01</v>
      </c>
      <c r="Y292" s="10">
        <v>464.52</v>
      </c>
      <c r="Z292" s="10">
        <v>0</v>
      </c>
      <c r="AA292" s="10">
        <v>1059.29</v>
      </c>
      <c r="AB292" s="10">
        <v>923.23</v>
      </c>
      <c r="AC292" s="10">
        <v>1207.05</v>
      </c>
      <c r="AD292" s="10">
        <v>797.05</v>
      </c>
      <c r="AE292" s="10">
        <v>0</v>
      </c>
      <c r="AF292" s="10">
        <v>0</v>
      </c>
    </row>
    <row r="293" spans="1:32" ht="15" customHeight="1">
      <c r="A293" s="10" t="s">
        <v>341</v>
      </c>
      <c r="B293" s="61" t="s">
        <v>294</v>
      </c>
      <c r="C293" s="10">
        <v>1087.05</v>
      </c>
      <c r="D293" s="10">
        <v>640.32000000000005</v>
      </c>
      <c r="E293" s="10">
        <v>140.4</v>
      </c>
      <c r="F293" s="10">
        <v>0</v>
      </c>
      <c r="G293" s="10">
        <v>367.02</v>
      </c>
      <c r="H293" s="10">
        <v>665.24</v>
      </c>
      <c r="I293" s="10">
        <v>339.26</v>
      </c>
      <c r="J293" s="10">
        <v>737.81</v>
      </c>
      <c r="K293" s="10">
        <v>0</v>
      </c>
      <c r="L293" s="10">
        <v>1307.3599999999999</v>
      </c>
      <c r="M293" s="10">
        <v>0</v>
      </c>
      <c r="N293" s="10">
        <v>0</v>
      </c>
      <c r="O293" s="10">
        <v>938.11</v>
      </c>
      <c r="P293" s="10">
        <v>1025.1099999999999</v>
      </c>
      <c r="Q293" s="10">
        <v>1057.17</v>
      </c>
      <c r="R293" s="10">
        <v>903.08</v>
      </c>
      <c r="S293" s="10">
        <v>0</v>
      </c>
      <c r="T293" s="10">
        <v>0</v>
      </c>
      <c r="U293" s="10">
        <v>0</v>
      </c>
      <c r="V293" s="10">
        <v>0</v>
      </c>
      <c r="W293" s="10">
        <v>279.54000000000002</v>
      </c>
      <c r="X293" s="10">
        <v>1703.34</v>
      </c>
      <c r="Y293" s="10">
        <v>969.45</v>
      </c>
      <c r="Z293" s="10">
        <v>0</v>
      </c>
      <c r="AA293" s="10">
        <v>0</v>
      </c>
      <c r="AB293" s="10">
        <v>1586.29</v>
      </c>
      <c r="AC293" s="10">
        <v>767.73</v>
      </c>
      <c r="AD293" s="10">
        <v>981.17</v>
      </c>
      <c r="AE293" s="10">
        <v>785.89</v>
      </c>
      <c r="AF293" s="10">
        <v>0</v>
      </c>
    </row>
    <row r="294" spans="1:32" ht="15" customHeight="1">
      <c r="A294" s="10" t="s">
        <v>341</v>
      </c>
      <c r="B294" s="61" t="s">
        <v>310</v>
      </c>
      <c r="C294" s="10">
        <v>0</v>
      </c>
      <c r="D294" s="10">
        <v>1264.26</v>
      </c>
      <c r="E294" s="10">
        <v>0</v>
      </c>
      <c r="F294" s="10">
        <v>0</v>
      </c>
      <c r="G294" s="10">
        <v>0</v>
      </c>
      <c r="H294" s="10">
        <v>1016.04</v>
      </c>
      <c r="I294" s="10">
        <v>1144.5999999999999</v>
      </c>
      <c r="J294" s="10">
        <v>921.65</v>
      </c>
      <c r="K294" s="10">
        <v>205.65</v>
      </c>
      <c r="L294" s="10">
        <v>0</v>
      </c>
      <c r="M294" s="10">
        <v>852.16</v>
      </c>
      <c r="N294" s="10">
        <v>0</v>
      </c>
      <c r="O294" s="10">
        <v>0</v>
      </c>
      <c r="P294" s="10">
        <v>1141.83</v>
      </c>
      <c r="Q294" s="10">
        <v>0</v>
      </c>
      <c r="R294" s="10">
        <v>0</v>
      </c>
      <c r="S294" s="10">
        <v>180.61</v>
      </c>
      <c r="T294" s="10">
        <v>0</v>
      </c>
      <c r="U294" s="10">
        <v>0</v>
      </c>
      <c r="V294" s="10">
        <v>0</v>
      </c>
      <c r="W294" s="10">
        <v>1345.25</v>
      </c>
      <c r="X294" s="10">
        <v>1031.76</v>
      </c>
      <c r="Y294" s="10">
        <v>636.20000000000005</v>
      </c>
      <c r="Z294" s="10">
        <v>0</v>
      </c>
      <c r="AA294" s="10">
        <v>1225.5</v>
      </c>
      <c r="AB294" s="10">
        <v>802.01</v>
      </c>
      <c r="AC294" s="10">
        <v>0</v>
      </c>
      <c r="AD294" s="10">
        <v>977.33</v>
      </c>
      <c r="AE294" s="10">
        <v>0</v>
      </c>
      <c r="AF294" s="10">
        <v>0</v>
      </c>
    </row>
    <row r="295" spans="1:32" ht="15" customHeight="1">
      <c r="A295" s="10" t="s">
        <v>341</v>
      </c>
      <c r="B295" s="61" t="s">
        <v>297</v>
      </c>
      <c r="C295" s="10">
        <v>1285.6600000000001</v>
      </c>
      <c r="D295" s="10">
        <v>804.24</v>
      </c>
      <c r="E295" s="10">
        <v>192.2</v>
      </c>
      <c r="F295" s="10">
        <v>0</v>
      </c>
      <c r="G295" s="10">
        <v>637.54999999999995</v>
      </c>
      <c r="H295" s="10">
        <v>738.71</v>
      </c>
      <c r="I295" s="10">
        <v>356.15</v>
      </c>
      <c r="J295" s="10">
        <v>503.89</v>
      </c>
      <c r="K295" s="10">
        <v>0</v>
      </c>
      <c r="L295" s="10">
        <v>1513.18</v>
      </c>
      <c r="M295" s="10">
        <v>0</v>
      </c>
      <c r="N295" s="10">
        <v>0</v>
      </c>
      <c r="O295" s="10">
        <v>1129.3900000000001</v>
      </c>
      <c r="P295" s="10">
        <v>1144.4000000000001</v>
      </c>
      <c r="Q295" s="10">
        <v>932.26</v>
      </c>
      <c r="R295" s="10">
        <v>1161.05</v>
      </c>
      <c r="S295" s="10">
        <v>1249.7</v>
      </c>
      <c r="T295" s="10">
        <v>279.54000000000002</v>
      </c>
      <c r="U295" s="10">
        <v>1345.25</v>
      </c>
      <c r="V295" s="10">
        <v>0</v>
      </c>
      <c r="W295" s="10">
        <v>0</v>
      </c>
      <c r="X295" s="10">
        <v>1444.25</v>
      </c>
      <c r="Y295" s="10">
        <v>943.16</v>
      </c>
      <c r="Z295" s="10">
        <v>0</v>
      </c>
      <c r="AA295" s="10">
        <v>0</v>
      </c>
      <c r="AB295" s="10">
        <v>1343.75</v>
      </c>
      <c r="AC295" s="10">
        <v>958.07</v>
      </c>
      <c r="AD295" s="10">
        <v>1060.75</v>
      </c>
      <c r="AE295" s="10">
        <v>604.03</v>
      </c>
      <c r="AF295" s="10">
        <v>0</v>
      </c>
    </row>
    <row r="296" spans="1:32" ht="15" customHeight="1">
      <c r="A296" s="10" t="s">
        <v>341</v>
      </c>
      <c r="B296" s="61" t="s">
        <v>298</v>
      </c>
      <c r="C296" s="10">
        <v>2702.36</v>
      </c>
      <c r="D296" s="10">
        <v>0</v>
      </c>
      <c r="E296" s="10">
        <v>1636.14</v>
      </c>
      <c r="F296" s="10">
        <v>0</v>
      </c>
      <c r="G296" s="10">
        <v>0</v>
      </c>
      <c r="H296" s="10">
        <v>1642</v>
      </c>
      <c r="I296" s="10">
        <v>1503.63</v>
      </c>
      <c r="J296" s="10">
        <v>700</v>
      </c>
      <c r="K296" s="10">
        <v>885</v>
      </c>
      <c r="L296" s="10">
        <v>0</v>
      </c>
      <c r="M296" s="10">
        <v>1000</v>
      </c>
      <c r="N296" s="10">
        <v>0</v>
      </c>
      <c r="O296" s="10">
        <v>0</v>
      </c>
      <c r="P296" s="10">
        <v>0</v>
      </c>
      <c r="Q296" s="10">
        <v>1780.16</v>
      </c>
      <c r="R296" s="10">
        <v>0</v>
      </c>
      <c r="S296" s="10">
        <v>1153.01</v>
      </c>
      <c r="T296" s="10">
        <v>1703.34</v>
      </c>
      <c r="U296" s="10">
        <v>1031.76</v>
      </c>
      <c r="V296" s="10">
        <v>0</v>
      </c>
      <c r="W296" s="10">
        <v>1444.25</v>
      </c>
      <c r="X296" s="10">
        <v>0</v>
      </c>
      <c r="Y296" s="10">
        <v>1408.54</v>
      </c>
      <c r="Z296" s="10">
        <v>0</v>
      </c>
      <c r="AA296" s="10">
        <v>0</v>
      </c>
      <c r="AB296" s="10">
        <v>230.32</v>
      </c>
      <c r="AC296" s="10">
        <v>0</v>
      </c>
      <c r="AD296" s="10">
        <v>0</v>
      </c>
      <c r="AE296" s="10">
        <v>1492.31</v>
      </c>
      <c r="AF296" s="10">
        <v>0</v>
      </c>
    </row>
    <row r="297" spans="1:32" ht="15" customHeight="1">
      <c r="A297" s="10" t="s">
        <v>341</v>
      </c>
      <c r="B297" s="61" t="s">
        <v>357</v>
      </c>
      <c r="C297" s="10">
        <v>1809.09</v>
      </c>
      <c r="D297" s="10">
        <v>667.29</v>
      </c>
      <c r="E297" s="10">
        <v>0</v>
      </c>
      <c r="F297" s="10">
        <v>489.51</v>
      </c>
      <c r="G297" s="10">
        <v>978.2</v>
      </c>
      <c r="H297" s="10">
        <v>829.38</v>
      </c>
      <c r="I297" s="10">
        <v>1143.0899999999999</v>
      </c>
      <c r="J297" s="10">
        <v>0</v>
      </c>
      <c r="K297" s="10">
        <v>0</v>
      </c>
      <c r="L297" s="10">
        <v>0</v>
      </c>
      <c r="M297" s="10">
        <v>0</v>
      </c>
      <c r="N297" s="10">
        <v>521.16</v>
      </c>
      <c r="O297" s="10">
        <v>339.14</v>
      </c>
      <c r="P297" s="10">
        <v>486.51</v>
      </c>
      <c r="Q297" s="10">
        <v>0</v>
      </c>
      <c r="R297" s="10">
        <v>586.66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1038.1300000000001</v>
      </c>
      <c r="Z297" s="10">
        <v>0</v>
      </c>
      <c r="AA297" s="10">
        <v>569.07000000000005</v>
      </c>
      <c r="AB297" s="10">
        <v>0</v>
      </c>
      <c r="AC297" s="10">
        <v>511.02</v>
      </c>
      <c r="AD297" s="10">
        <v>658.16</v>
      </c>
      <c r="AE297" s="10">
        <v>0</v>
      </c>
      <c r="AF297" s="10">
        <v>0</v>
      </c>
    </row>
    <row r="298" spans="1:32" ht="15" customHeight="1">
      <c r="A298" s="10" t="s">
        <v>341</v>
      </c>
      <c r="B298" s="61" t="s">
        <v>299</v>
      </c>
      <c r="C298" s="10">
        <v>2000.6</v>
      </c>
      <c r="D298" s="10">
        <v>630.36</v>
      </c>
      <c r="E298" s="10">
        <v>1037.53</v>
      </c>
      <c r="F298" s="10">
        <v>1129.69</v>
      </c>
      <c r="G298" s="10">
        <v>1001.53</v>
      </c>
      <c r="H298" s="10">
        <v>390.18</v>
      </c>
      <c r="I298" s="10">
        <v>633.87</v>
      </c>
      <c r="J298" s="10">
        <v>745.5</v>
      </c>
      <c r="K298" s="10">
        <v>825.43</v>
      </c>
      <c r="L298" s="10">
        <v>0</v>
      </c>
      <c r="M298" s="10">
        <v>1430.78</v>
      </c>
      <c r="N298" s="10">
        <v>1480.09</v>
      </c>
      <c r="O298" s="10">
        <v>818.17</v>
      </c>
      <c r="P298" s="10">
        <v>551.72</v>
      </c>
      <c r="Q298" s="10">
        <v>0</v>
      </c>
      <c r="R298" s="10">
        <v>1174.6600000000001</v>
      </c>
      <c r="S298" s="10">
        <v>464.52</v>
      </c>
      <c r="T298" s="10">
        <v>969.45</v>
      </c>
      <c r="U298" s="10">
        <v>636.20000000000005</v>
      </c>
      <c r="V298" s="10">
        <v>1038.1300000000001</v>
      </c>
      <c r="W298" s="10">
        <v>943.16</v>
      </c>
      <c r="X298" s="10">
        <v>1408.54</v>
      </c>
      <c r="Y298" s="10">
        <v>0</v>
      </c>
      <c r="Z298" s="10">
        <v>0</v>
      </c>
      <c r="AA298" s="10">
        <v>809.16</v>
      </c>
      <c r="AB298" s="10">
        <v>1196.53</v>
      </c>
      <c r="AC298" s="10">
        <v>746.53</v>
      </c>
      <c r="AD298" s="10">
        <v>380.21</v>
      </c>
      <c r="AE298" s="10">
        <v>1502.63</v>
      </c>
      <c r="AF298" s="10">
        <v>0</v>
      </c>
    </row>
    <row r="299" spans="1:32" ht="15" customHeight="1">
      <c r="A299" s="10" t="s">
        <v>341</v>
      </c>
      <c r="B299" s="61" t="s">
        <v>300</v>
      </c>
      <c r="C299" s="10">
        <v>560.61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421.67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1672.93</v>
      </c>
      <c r="AF299" s="10">
        <v>0</v>
      </c>
    </row>
    <row r="300" spans="1:32" ht="15" customHeight="1">
      <c r="A300" s="10" t="s">
        <v>341</v>
      </c>
      <c r="B300" s="61" t="s">
        <v>301</v>
      </c>
      <c r="C300" s="10">
        <v>2252.62</v>
      </c>
      <c r="D300" s="10">
        <v>850.72</v>
      </c>
      <c r="E300" s="10">
        <v>0</v>
      </c>
      <c r="F300" s="10">
        <v>343.03</v>
      </c>
      <c r="G300" s="10">
        <v>1292.28</v>
      </c>
      <c r="H300" s="10">
        <v>842.37</v>
      </c>
      <c r="I300" s="10">
        <v>1224.8499999999999</v>
      </c>
      <c r="J300" s="10">
        <v>1533.41</v>
      </c>
      <c r="K300" s="10">
        <v>0</v>
      </c>
      <c r="L300" s="10">
        <v>0</v>
      </c>
      <c r="M300" s="10">
        <v>0</v>
      </c>
      <c r="N300" s="10">
        <v>772.6</v>
      </c>
      <c r="O300" s="10">
        <v>677.09</v>
      </c>
      <c r="P300" s="10">
        <v>452.36</v>
      </c>
      <c r="Q300" s="10">
        <v>0</v>
      </c>
      <c r="R300" s="10">
        <v>1082.6300000000001</v>
      </c>
      <c r="S300" s="10">
        <v>1059.29</v>
      </c>
      <c r="T300" s="10">
        <v>0</v>
      </c>
      <c r="U300" s="10">
        <v>1225.5</v>
      </c>
      <c r="V300" s="10">
        <v>569.07000000000005</v>
      </c>
      <c r="W300" s="10">
        <v>0</v>
      </c>
      <c r="X300" s="10">
        <v>0</v>
      </c>
      <c r="Y300" s="10">
        <v>809.16</v>
      </c>
      <c r="Z300" s="10">
        <v>0</v>
      </c>
      <c r="AA300" s="10">
        <v>0</v>
      </c>
      <c r="AB300" s="10">
        <v>0</v>
      </c>
      <c r="AC300" s="10">
        <v>787.57</v>
      </c>
      <c r="AD300" s="10">
        <v>523.91999999999996</v>
      </c>
      <c r="AE300" s="10">
        <v>0</v>
      </c>
      <c r="AF300" s="10">
        <v>899</v>
      </c>
    </row>
    <row r="301" spans="1:32" ht="15" customHeight="1">
      <c r="A301" s="10" t="s">
        <v>341</v>
      </c>
      <c r="B301" s="61" t="s">
        <v>303</v>
      </c>
      <c r="C301" s="10">
        <v>2623.55</v>
      </c>
      <c r="D301" s="10">
        <v>1698.79</v>
      </c>
      <c r="E301" s="10">
        <v>1535.26</v>
      </c>
      <c r="F301" s="10">
        <v>0</v>
      </c>
      <c r="G301" s="10">
        <v>1857.41</v>
      </c>
      <c r="H301" s="10">
        <v>1454.22</v>
      </c>
      <c r="I301" s="10">
        <v>1354.27</v>
      </c>
      <c r="J301" s="10">
        <v>400</v>
      </c>
      <c r="K301" s="10">
        <v>661.72</v>
      </c>
      <c r="L301" s="10">
        <v>0</v>
      </c>
      <c r="M301" s="10">
        <v>505.83</v>
      </c>
      <c r="N301" s="10">
        <v>0</v>
      </c>
      <c r="O301" s="10">
        <v>1974.19</v>
      </c>
      <c r="P301" s="10">
        <v>1745.85</v>
      </c>
      <c r="Q301" s="10">
        <v>0</v>
      </c>
      <c r="R301" s="10">
        <v>2245.4899999999998</v>
      </c>
      <c r="S301" s="10">
        <v>923.23</v>
      </c>
      <c r="T301" s="10">
        <v>1586.29</v>
      </c>
      <c r="U301" s="10">
        <v>802.01</v>
      </c>
      <c r="V301" s="10">
        <v>0</v>
      </c>
      <c r="W301" s="10">
        <v>1343.75</v>
      </c>
      <c r="X301" s="10">
        <v>230.32</v>
      </c>
      <c r="Y301" s="10">
        <v>1196.53</v>
      </c>
      <c r="Z301" s="10">
        <v>0</v>
      </c>
      <c r="AA301" s="10">
        <v>0</v>
      </c>
      <c r="AB301" s="10">
        <v>0</v>
      </c>
      <c r="AC301" s="10">
        <v>1858.18</v>
      </c>
      <c r="AD301" s="10">
        <v>1575.37</v>
      </c>
      <c r="AE301" s="10">
        <v>1485.18</v>
      </c>
      <c r="AF301" s="10">
        <v>0</v>
      </c>
    </row>
    <row r="302" spans="1:32" ht="15" customHeight="1">
      <c r="A302" s="10" t="s">
        <v>341</v>
      </c>
      <c r="B302" s="61" t="s">
        <v>304</v>
      </c>
      <c r="C302" s="10">
        <v>1472.14</v>
      </c>
      <c r="D302" s="10">
        <v>171.24</v>
      </c>
      <c r="E302" s="10">
        <v>903.98</v>
      </c>
      <c r="F302" s="10">
        <v>908.29</v>
      </c>
      <c r="G302" s="10">
        <v>511.84</v>
      </c>
      <c r="H302" s="10">
        <v>404.31</v>
      </c>
      <c r="I302" s="10">
        <v>643.65</v>
      </c>
      <c r="J302" s="10">
        <v>1144.1199999999999</v>
      </c>
      <c r="K302" s="10">
        <v>0</v>
      </c>
      <c r="L302" s="10">
        <v>1632.96</v>
      </c>
      <c r="M302" s="10">
        <v>0</v>
      </c>
      <c r="N302" s="10">
        <v>1031.6199999999999</v>
      </c>
      <c r="O302" s="10">
        <v>171.93</v>
      </c>
      <c r="P302" s="10">
        <v>369.97</v>
      </c>
      <c r="Q302" s="10">
        <v>0</v>
      </c>
      <c r="R302" s="10">
        <v>429.95</v>
      </c>
      <c r="S302" s="10">
        <v>1207.05</v>
      </c>
      <c r="T302" s="10">
        <v>767.73</v>
      </c>
      <c r="U302" s="10">
        <v>0</v>
      </c>
      <c r="V302" s="10">
        <v>511.02</v>
      </c>
      <c r="W302" s="10">
        <v>958.07</v>
      </c>
      <c r="X302" s="10">
        <v>0</v>
      </c>
      <c r="Y302" s="10">
        <v>746.53</v>
      </c>
      <c r="Z302" s="10">
        <v>0</v>
      </c>
      <c r="AA302" s="10">
        <v>787.57</v>
      </c>
      <c r="AB302" s="10">
        <v>1858.18</v>
      </c>
      <c r="AC302" s="10">
        <v>0</v>
      </c>
      <c r="AD302" s="10">
        <v>454.53</v>
      </c>
      <c r="AE302" s="10">
        <v>0</v>
      </c>
      <c r="AF302" s="10">
        <v>0</v>
      </c>
    </row>
    <row r="303" spans="1:32" ht="15" customHeight="1">
      <c r="A303" s="10" t="s">
        <v>341</v>
      </c>
      <c r="B303" s="61" t="s">
        <v>305</v>
      </c>
      <c r="C303" s="10">
        <v>1879.08</v>
      </c>
      <c r="D303" s="10">
        <v>416.67</v>
      </c>
      <c r="E303" s="10">
        <v>1089.56</v>
      </c>
      <c r="F303" s="10">
        <v>797.9</v>
      </c>
      <c r="G303" s="10">
        <v>869.38</v>
      </c>
      <c r="H303" s="10">
        <v>323.69</v>
      </c>
      <c r="I303" s="10">
        <v>705.3</v>
      </c>
      <c r="J303" s="10">
        <v>1030.02</v>
      </c>
      <c r="K303" s="10">
        <v>1177.79</v>
      </c>
      <c r="L303" s="10">
        <v>0</v>
      </c>
      <c r="M303" s="10">
        <v>0</v>
      </c>
      <c r="N303" s="10">
        <v>1109.6099999999999</v>
      </c>
      <c r="O303" s="10">
        <v>470.6</v>
      </c>
      <c r="P303" s="10">
        <v>171.65</v>
      </c>
      <c r="Q303" s="10">
        <v>0</v>
      </c>
      <c r="R303" s="10">
        <v>874.11</v>
      </c>
      <c r="S303" s="10">
        <v>797.05</v>
      </c>
      <c r="T303" s="10">
        <v>981.17</v>
      </c>
      <c r="U303" s="10">
        <v>977.33</v>
      </c>
      <c r="V303" s="10">
        <v>658.16</v>
      </c>
      <c r="W303" s="10">
        <v>1060.75</v>
      </c>
      <c r="X303" s="10">
        <v>0</v>
      </c>
      <c r="Y303" s="10">
        <v>380.21</v>
      </c>
      <c r="Z303" s="10">
        <v>0</v>
      </c>
      <c r="AA303" s="10">
        <v>523.91999999999996</v>
      </c>
      <c r="AB303" s="10">
        <v>1575.37</v>
      </c>
      <c r="AC303" s="10">
        <v>454.53</v>
      </c>
      <c r="AD303" s="10">
        <v>0</v>
      </c>
      <c r="AE303" s="10">
        <v>0</v>
      </c>
      <c r="AF303" s="10">
        <v>0</v>
      </c>
    </row>
    <row r="304" spans="1:32" ht="15" customHeight="1">
      <c r="A304" s="10" t="s">
        <v>341</v>
      </c>
      <c r="B304" s="10" t="s">
        <v>356</v>
      </c>
      <c r="C304" s="10">
        <v>0</v>
      </c>
      <c r="D304" s="10">
        <v>0</v>
      </c>
      <c r="E304" s="10">
        <v>0</v>
      </c>
      <c r="F304" s="10">
        <v>428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868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899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</row>
    <row r="305" spans="1:32" ht="15" customHeight="1">
      <c r="A305" s="10" t="s">
        <v>341</v>
      </c>
      <c r="B305" s="61" t="s">
        <v>307</v>
      </c>
      <c r="C305" s="10">
        <v>600</v>
      </c>
      <c r="D305" s="10">
        <v>1399.02</v>
      </c>
      <c r="E305" s="10">
        <v>645.59</v>
      </c>
      <c r="F305" s="10">
        <v>0</v>
      </c>
      <c r="G305" s="10">
        <v>1134.76</v>
      </c>
      <c r="H305" s="10">
        <v>1341.38</v>
      </c>
      <c r="I305" s="10">
        <v>959.53</v>
      </c>
      <c r="J305" s="10">
        <v>850.09</v>
      </c>
      <c r="K305" s="10">
        <v>0</v>
      </c>
      <c r="L305" s="10">
        <v>1549.51</v>
      </c>
      <c r="M305" s="10">
        <v>0</v>
      </c>
      <c r="N305" s="10">
        <v>0</v>
      </c>
      <c r="O305" s="10">
        <v>0</v>
      </c>
      <c r="P305" s="10">
        <v>0</v>
      </c>
      <c r="Q305" s="10">
        <v>363.85</v>
      </c>
      <c r="R305" s="10">
        <v>1673.84</v>
      </c>
      <c r="S305" s="10">
        <v>0</v>
      </c>
      <c r="T305" s="10">
        <v>785.89</v>
      </c>
      <c r="U305" s="10">
        <v>0</v>
      </c>
      <c r="V305" s="10">
        <v>0</v>
      </c>
      <c r="W305" s="10">
        <v>604.03</v>
      </c>
      <c r="X305" s="10">
        <v>1492.31</v>
      </c>
      <c r="Y305" s="10">
        <v>1502.63</v>
      </c>
      <c r="Z305" s="10">
        <v>1672.93</v>
      </c>
      <c r="AA305" s="10">
        <v>0</v>
      </c>
      <c r="AB305" s="10">
        <v>1485.18</v>
      </c>
      <c r="AC305" s="10">
        <v>0</v>
      </c>
      <c r="AD305" s="10">
        <v>0</v>
      </c>
      <c r="AE305" s="10">
        <v>0</v>
      </c>
      <c r="AF305" s="10">
        <v>0</v>
      </c>
    </row>
    <row r="306" spans="1:32" ht="15" customHeight="1">
      <c r="A306" s="10" t="s">
        <v>344</v>
      </c>
      <c r="B306" s="61" t="s">
        <v>278</v>
      </c>
      <c r="C306" s="10">
        <v>1462.5</v>
      </c>
      <c r="D306" s="10">
        <v>0</v>
      </c>
      <c r="E306" s="10">
        <v>770.24</v>
      </c>
      <c r="F306" s="10">
        <v>1022.45</v>
      </c>
      <c r="G306" s="10">
        <v>456.36</v>
      </c>
      <c r="H306" s="10">
        <v>254.84</v>
      </c>
      <c r="I306" s="10">
        <v>477.04</v>
      </c>
      <c r="J306" s="10">
        <v>973.03</v>
      </c>
      <c r="K306" s="10">
        <v>0</v>
      </c>
      <c r="L306" s="10">
        <v>1640.58</v>
      </c>
      <c r="M306" s="10">
        <v>0</v>
      </c>
      <c r="N306" s="10">
        <v>1188.01</v>
      </c>
      <c r="O306" s="10">
        <v>332.27</v>
      </c>
      <c r="P306" s="10">
        <v>400.59</v>
      </c>
      <c r="Q306" s="10">
        <v>0</v>
      </c>
      <c r="R306" s="10">
        <v>557.69000000000005</v>
      </c>
      <c r="S306" s="10">
        <v>1094.8399999999999</v>
      </c>
      <c r="T306" s="10">
        <v>640.32000000000005</v>
      </c>
      <c r="U306" s="10">
        <v>1264.26</v>
      </c>
      <c r="V306" s="10">
        <v>667.29</v>
      </c>
      <c r="W306" s="10">
        <v>804.24</v>
      </c>
      <c r="X306" s="10">
        <v>0</v>
      </c>
      <c r="Y306" s="10">
        <v>630.36</v>
      </c>
      <c r="Z306" s="10">
        <v>0</v>
      </c>
      <c r="AA306" s="10">
        <v>850.72</v>
      </c>
      <c r="AB306" s="10">
        <v>1698.79</v>
      </c>
      <c r="AC306" s="10">
        <v>171.24</v>
      </c>
      <c r="AD306" s="10">
        <v>416.67</v>
      </c>
      <c r="AE306" s="10">
        <v>1399.02</v>
      </c>
      <c r="AF306" s="10">
        <v>0</v>
      </c>
    </row>
    <row r="307" spans="1:32">
      <c r="A307" s="10" t="s">
        <v>344</v>
      </c>
      <c r="B307" s="61" t="s">
        <v>280</v>
      </c>
      <c r="C307" s="10">
        <v>300</v>
      </c>
      <c r="D307" s="10">
        <v>770.24</v>
      </c>
      <c r="E307" s="10">
        <v>0</v>
      </c>
      <c r="F307" s="10">
        <v>0</v>
      </c>
      <c r="G307" s="10">
        <v>501.4</v>
      </c>
      <c r="H307" s="10">
        <v>767.87</v>
      </c>
      <c r="I307" s="10">
        <v>406.5</v>
      </c>
      <c r="J307" s="10">
        <v>692.16</v>
      </c>
      <c r="K307" s="10">
        <v>0</v>
      </c>
      <c r="L307" s="10">
        <v>1325.38</v>
      </c>
      <c r="M307" s="10">
        <v>0</v>
      </c>
      <c r="N307" s="10">
        <v>0</v>
      </c>
      <c r="O307" s="10">
        <v>1075.07</v>
      </c>
      <c r="P307" s="10">
        <v>1146.05</v>
      </c>
      <c r="Q307" s="10">
        <v>924.14</v>
      </c>
      <c r="R307" s="10">
        <v>1040.22</v>
      </c>
      <c r="S307" s="10">
        <v>0</v>
      </c>
      <c r="T307" s="10">
        <v>140.4</v>
      </c>
      <c r="U307" s="10">
        <v>0</v>
      </c>
      <c r="V307" s="10">
        <v>0</v>
      </c>
      <c r="W307" s="10">
        <v>192.2</v>
      </c>
      <c r="X307" s="10">
        <v>1636.14</v>
      </c>
      <c r="Y307" s="10">
        <v>1037.53</v>
      </c>
      <c r="Z307" s="10">
        <v>0</v>
      </c>
      <c r="AA307" s="10">
        <v>0</v>
      </c>
      <c r="AB307" s="10">
        <v>1535.26</v>
      </c>
      <c r="AC307" s="10">
        <v>903.98</v>
      </c>
      <c r="AD307" s="10">
        <v>1089.56</v>
      </c>
      <c r="AE307" s="10">
        <v>645.59</v>
      </c>
      <c r="AF307" s="10">
        <v>0</v>
      </c>
    </row>
    <row r="308" spans="1:32" ht="15" customHeight="1">
      <c r="A308" s="10" t="s">
        <v>344</v>
      </c>
      <c r="B308" s="61" t="s">
        <v>281</v>
      </c>
      <c r="C308" s="10">
        <v>0</v>
      </c>
      <c r="D308" s="10">
        <v>1022.45</v>
      </c>
      <c r="E308" s="10">
        <v>0</v>
      </c>
      <c r="F308" s="10">
        <v>0</v>
      </c>
      <c r="G308" s="10">
        <v>1415.45</v>
      </c>
      <c r="H308" s="10">
        <v>1087.05</v>
      </c>
      <c r="I308" s="10">
        <v>1458.02</v>
      </c>
      <c r="J308" s="10">
        <v>0</v>
      </c>
      <c r="K308" s="10">
        <v>0</v>
      </c>
      <c r="L308" s="10">
        <v>0</v>
      </c>
      <c r="M308" s="10">
        <v>0</v>
      </c>
      <c r="N308" s="10">
        <v>453.95</v>
      </c>
      <c r="O308" s="10">
        <v>753.16</v>
      </c>
      <c r="P308" s="10">
        <v>671.18</v>
      </c>
      <c r="Q308" s="10">
        <v>0</v>
      </c>
      <c r="R308" s="10">
        <v>1075.51</v>
      </c>
      <c r="S308" s="10">
        <v>0</v>
      </c>
      <c r="T308" s="10">
        <v>0</v>
      </c>
      <c r="U308" s="10">
        <v>0</v>
      </c>
      <c r="V308" s="10">
        <v>489.51</v>
      </c>
      <c r="W308" s="10">
        <v>0</v>
      </c>
      <c r="X308" s="10">
        <v>0</v>
      </c>
      <c r="Y308" s="10">
        <v>1129.69</v>
      </c>
      <c r="Z308" s="10">
        <v>0</v>
      </c>
      <c r="AA308" s="10">
        <v>343.03</v>
      </c>
      <c r="AB308" s="10">
        <v>0</v>
      </c>
      <c r="AC308" s="10">
        <v>908.29</v>
      </c>
      <c r="AD308" s="10">
        <v>797.9</v>
      </c>
      <c r="AE308" s="10">
        <v>0</v>
      </c>
      <c r="AF308" s="10">
        <v>428</v>
      </c>
    </row>
    <row r="309" spans="1:32" ht="15" customHeight="1">
      <c r="A309" s="10" t="s">
        <v>344</v>
      </c>
      <c r="B309" s="61" t="s">
        <v>282</v>
      </c>
      <c r="C309" s="10">
        <v>350</v>
      </c>
      <c r="D309" s="10">
        <v>456.36</v>
      </c>
      <c r="E309" s="10">
        <v>501.4</v>
      </c>
      <c r="F309" s="10">
        <v>1415.45</v>
      </c>
      <c r="G309" s="10">
        <v>0</v>
      </c>
      <c r="H309" s="10">
        <v>619.89</v>
      </c>
      <c r="I309" s="10">
        <v>504.62</v>
      </c>
      <c r="J309" s="10">
        <v>1027.05</v>
      </c>
      <c r="K309" s="10">
        <v>0</v>
      </c>
      <c r="L309" s="10">
        <v>1204.01</v>
      </c>
      <c r="M309" s="10">
        <v>0</v>
      </c>
      <c r="N309" s="10">
        <v>0</v>
      </c>
      <c r="O309" s="10">
        <v>662.94</v>
      </c>
      <c r="P309" s="10">
        <v>850.87</v>
      </c>
      <c r="Q309" s="10">
        <v>0</v>
      </c>
      <c r="R309" s="10">
        <v>540.01</v>
      </c>
      <c r="S309" s="10">
        <v>0</v>
      </c>
      <c r="T309" s="10">
        <v>367.02</v>
      </c>
      <c r="U309" s="10">
        <v>0</v>
      </c>
      <c r="V309" s="10">
        <v>978.2</v>
      </c>
      <c r="W309" s="10">
        <v>637.54999999999995</v>
      </c>
      <c r="X309" s="10">
        <v>0</v>
      </c>
      <c r="Y309" s="10">
        <v>1001.53</v>
      </c>
      <c r="Z309" s="10">
        <v>0</v>
      </c>
      <c r="AA309" s="10">
        <v>1292.28</v>
      </c>
      <c r="AB309" s="10">
        <v>1857.41</v>
      </c>
      <c r="AC309" s="10">
        <v>511.84</v>
      </c>
      <c r="AD309" s="10">
        <v>869.38</v>
      </c>
      <c r="AE309" s="10">
        <v>1134.76</v>
      </c>
      <c r="AF309" s="10">
        <v>0</v>
      </c>
    </row>
    <row r="310" spans="1:32" ht="15" customHeight="1">
      <c r="A310" s="10" t="s">
        <v>344</v>
      </c>
      <c r="B310" s="61" t="s">
        <v>283</v>
      </c>
      <c r="C310" s="10">
        <v>1630.33</v>
      </c>
      <c r="D310" s="10">
        <v>254.84</v>
      </c>
      <c r="E310" s="10">
        <v>767.87</v>
      </c>
      <c r="F310" s="10">
        <v>1087.05</v>
      </c>
      <c r="G310" s="10">
        <v>619.89</v>
      </c>
      <c r="H310" s="10">
        <v>0</v>
      </c>
      <c r="I310" s="10">
        <v>382.63</v>
      </c>
      <c r="J310" s="10">
        <v>777.76</v>
      </c>
      <c r="K310" s="10">
        <v>1194.05</v>
      </c>
      <c r="L310" s="10">
        <v>0</v>
      </c>
      <c r="M310" s="10">
        <v>0</v>
      </c>
      <c r="N310" s="10">
        <v>1334.1</v>
      </c>
      <c r="O310" s="10">
        <v>528.63</v>
      </c>
      <c r="P310" s="10">
        <v>415.87</v>
      </c>
      <c r="Q310" s="10">
        <v>0</v>
      </c>
      <c r="R310" s="10">
        <v>812.43</v>
      </c>
      <c r="S310" s="10">
        <v>850.9</v>
      </c>
      <c r="T310" s="10">
        <v>665.24</v>
      </c>
      <c r="U310" s="10">
        <v>1016.04</v>
      </c>
      <c r="V310" s="10">
        <v>829.38</v>
      </c>
      <c r="W310" s="10">
        <v>738.71</v>
      </c>
      <c r="X310" s="10">
        <v>1642</v>
      </c>
      <c r="Y310" s="10">
        <v>390.18</v>
      </c>
      <c r="Z310" s="10">
        <v>0</v>
      </c>
      <c r="AA310" s="10">
        <v>842.37</v>
      </c>
      <c r="AB310" s="10">
        <v>1454.22</v>
      </c>
      <c r="AC310" s="10">
        <v>404.31</v>
      </c>
      <c r="AD310" s="10">
        <v>323.69</v>
      </c>
      <c r="AE310" s="10">
        <v>1341.38</v>
      </c>
      <c r="AF310" s="10">
        <v>0</v>
      </c>
    </row>
    <row r="311" spans="1:32" ht="15" customHeight="1">
      <c r="A311" s="10" t="s">
        <v>344</v>
      </c>
      <c r="B311" s="61" t="s">
        <v>284</v>
      </c>
      <c r="C311" s="10">
        <v>500</v>
      </c>
      <c r="D311" s="10">
        <v>477.04</v>
      </c>
      <c r="E311" s="10">
        <v>406.5</v>
      </c>
      <c r="F311" s="10">
        <v>1458.02</v>
      </c>
      <c r="G311" s="10">
        <v>504.62</v>
      </c>
      <c r="H311" s="10">
        <v>382.63</v>
      </c>
      <c r="I311" s="10">
        <v>0</v>
      </c>
      <c r="J311" s="10">
        <v>540.49</v>
      </c>
      <c r="K311" s="10">
        <v>1281.04</v>
      </c>
      <c r="L311" s="10">
        <v>1624.96</v>
      </c>
      <c r="M311" s="10">
        <v>1750.79</v>
      </c>
      <c r="N311" s="10">
        <v>1662.66</v>
      </c>
      <c r="O311" s="10">
        <v>809.27</v>
      </c>
      <c r="P311" s="10">
        <v>790.13</v>
      </c>
      <c r="Q311" s="10">
        <v>1286.0899999999999</v>
      </c>
      <c r="R311" s="10">
        <v>934.15</v>
      </c>
      <c r="S311" s="10">
        <v>1015.33</v>
      </c>
      <c r="T311" s="10">
        <v>339.26</v>
      </c>
      <c r="U311" s="10">
        <v>1144.5999999999999</v>
      </c>
      <c r="V311" s="10">
        <v>1143.0899999999999</v>
      </c>
      <c r="W311" s="10">
        <v>356.15</v>
      </c>
      <c r="X311" s="10">
        <v>1503.63</v>
      </c>
      <c r="Y311" s="10">
        <v>633.87</v>
      </c>
      <c r="Z311" s="10">
        <v>0</v>
      </c>
      <c r="AA311" s="10">
        <v>1224.8499999999999</v>
      </c>
      <c r="AB311" s="10">
        <v>1354.27</v>
      </c>
      <c r="AC311" s="10">
        <v>643.65</v>
      </c>
      <c r="AD311" s="10">
        <v>705.3</v>
      </c>
      <c r="AE311" s="10">
        <v>959.53</v>
      </c>
      <c r="AF311" s="10">
        <v>0</v>
      </c>
    </row>
    <row r="312" spans="1:32" ht="15" customHeight="1">
      <c r="A312" s="10" t="s">
        <v>344</v>
      </c>
      <c r="B312" s="61" t="s">
        <v>285</v>
      </c>
      <c r="C312" s="10">
        <v>1789.51</v>
      </c>
      <c r="D312" s="10">
        <v>973.03</v>
      </c>
      <c r="E312" s="10">
        <v>692.16</v>
      </c>
      <c r="F312" s="10">
        <v>0</v>
      </c>
      <c r="G312" s="10">
        <v>1027.05</v>
      </c>
      <c r="H312" s="10">
        <v>777.76</v>
      </c>
      <c r="I312" s="10">
        <v>540.49</v>
      </c>
      <c r="J312" s="10">
        <v>0</v>
      </c>
      <c r="K312" s="10">
        <v>978.44</v>
      </c>
      <c r="L312" s="10">
        <v>0</v>
      </c>
      <c r="M312" s="10">
        <v>1298.0899999999999</v>
      </c>
      <c r="N312" s="10">
        <v>0</v>
      </c>
      <c r="O312" s="10">
        <v>1294.23</v>
      </c>
      <c r="P312" s="10">
        <v>1171.94</v>
      </c>
      <c r="Q312" s="10">
        <v>1213.43</v>
      </c>
      <c r="R312" s="10">
        <v>1472.56</v>
      </c>
      <c r="S312" s="10">
        <v>873.01</v>
      </c>
      <c r="T312" s="10">
        <v>737.81</v>
      </c>
      <c r="U312" s="10">
        <v>921.65</v>
      </c>
      <c r="V312" s="10">
        <v>0</v>
      </c>
      <c r="W312" s="10">
        <v>503.89</v>
      </c>
      <c r="X312" s="10">
        <v>700</v>
      </c>
      <c r="Y312" s="10">
        <v>745.5</v>
      </c>
      <c r="Z312" s="10">
        <v>0</v>
      </c>
      <c r="AA312" s="10">
        <v>1533.41</v>
      </c>
      <c r="AB312" s="10">
        <v>400</v>
      </c>
      <c r="AC312" s="10">
        <v>1144.1199999999999</v>
      </c>
      <c r="AD312" s="10">
        <v>1030.02</v>
      </c>
      <c r="AE312" s="10">
        <v>850.09</v>
      </c>
      <c r="AF312" s="10">
        <v>0</v>
      </c>
    </row>
    <row r="313" spans="1:32" ht="15" customHeight="1">
      <c r="A313" s="10" t="s">
        <v>344</v>
      </c>
      <c r="B313" s="61" t="s">
        <v>308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1194.05</v>
      </c>
      <c r="I313" s="10">
        <v>1281.04</v>
      </c>
      <c r="J313" s="10">
        <v>978.44</v>
      </c>
      <c r="K313" s="10">
        <v>0</v>
      </c>
      <c r="L313" s="10">
        <v>0</v>
      </c>
      <c r="M313" s="10">
        <v>647.91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384.47</v>
      </c>
      <c r="T313" s="10">
        <v>0</v>
      </c>
      <c r="U313" s="10">
        <v>205.65</v>
      </c>
      <c r="V313" s="10">
        <v>0</v>
      </c>
      <c r="W313" s="10">
        <v>0</v>
      </c>
      <c r="X313" s="10">
        <v>885</v>
      </c>
      <c r="Y313" s="10">
        <v>825.43</v>
      </c>
      <c r="Z313" s="10">
        <v>0</v>
      </c>
      <c r="AA313" s="10">
        <v>0</v>
      </c>
      <c r="AB313" s="10">
        <v>661.72</v>
      </c>
      <c r="AC313" s="10">
        <v>0</v>
      </c>
      <c r="AD313" s="10">
        <v>1177.79</v>
      </c>
      <c r="AE313" s="10">
        <v>0</v>
      </c>
      <c r="AF313" s="10">
        <v>0</v>
      </c>
    </row>
    <row r="314" spans="1:32" ht="15" customHeight="1">
      <c r="A314" s="10" t="s">
        <v>344</v>
      </c>
      <c r="B314" s="61" t="s">
        <v>286</v>
      </c>
      <c r="C314" s="10">
        <v>229.59</v>
      </c>
      <c r="D314" s="10">
        <v>1640.58</v>
      </c>
      <c r="E314" s="10">
        <v>1325.38</v>
      </c>
      <c r="F314" s="10">
        <v>0</v>
      </c>
      <c r="G314" s="10">
        <v>1204.01</v>
      </c>
      <c r="H314" s="10">
        <v>0</v>
      </c>
      <c r="I314" s="10">
        <v>1624.96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1723.59</v>
      </c>
      <c r="P314" s="10">
        <v>0</v>
      </c>
      <c r="Q314" s="10">
        <v>1479.45</v>
      </c>
      <c r="R314" s="10">
        <v>1341.02</v>
      </c>
      <c r="S314" s="10">
        <v>0</v>
      </c>
      <c r="T314" s="10">
        <v>1307.3599999999999</v>
      </c>
      <c r="U314" s="10">
        <v>0</v>
      </c>
      <c r="V314" s="10">
        <v>0</v>
      </c>
      <c r="W314" s="10">
        <v>1513.18</v>
      </c>
      <c r="X314" s="10">
        <v>0</v>
      </c>
      <c r="Y314" s="10">
        <v>0</v>
      </c>
      <c r="Z314" s="10">
        <v>421.67</v>
      </c>
      <c r="AA314" s="10">
        <v>0</v>
      </c>
      <c r="AB314" s="10">
        <v>0</v>
      </c>
      <c r="AC314" s="10">
        <v>1632.96</v>
      </c>
      <c r="AD314" s="10">
        <v>0</v>
      </c>
      <c r="AE314" s="10">
        <v>1549.51</v>
      </c>
      <c r="AF314" s="10">
        <v>0</v>
      </c>
    </row>
    <row r="315" spans="1:32" ht="15" customHeight="1">
      <c r="A315" s="10" t="s">
        <v>344</v>
      </c>
      <c r="B315" s="61" t="s">
        <v>287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1750.79</v>
      </c>
      <c r="J315" s="10">
        <v>1298.0899999999999</v>
      </c>
      <c r="K315" s="10">
        <v>647.91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1026.31</v>
      </c>
      <c r="T315" s="10">
        <v>0</v>
      </c>
      <c r="U315" s="10">
        <v>852.16</v>
      </c>
      <c r="V315" s="10">
        <v>0</v>
      </c>
      <c r="W315" s="10">
        <v>0</v>
      </c>
      <c r="X315" s="10">
        <v>1000</v>
      </c>
      <c r="Y315" s="10">
        <v>1430.78</v>
      </c>
      <c r="Z315" s="10">
        <v>0</v>
      </c>
      <c r="AA315" s="10">
        <v>0</v>
      </c>
      <c r="AB315" s="10">
        <v>505.83</v>
      </c>
      <c r="AC315" s="10">
        <v>0</v>
      </c>
      <c r="AD315" s="10">
        <v>0</v>
      </c>
      <c r="AE315" s="10">
        <v>0</v>
      </c>
      <c r="AF315" s="10">
        <v>0</v>
      </c>
    </row>
    <row r="316" spans="1:32" ht="15" customHeight="1">
      <c r="A316" s="10" t="s">
        <v>344</v>
      </c>
      <c r="B316" s="61" t="s">
        <v>288</v>
      </c>
      <c r="C316" s="10">
        <v>0</v>
      </c>
      <c r="D316" s="10">
        <v>1462.5</v>
      </c>
      <c r="E316" s="10">
        <v>300</v>
      </c>
      <c r="F316" s="10">
        <v>0</v>
      </c>
      <c r="G316" s="10">
        <v>350</v>
      </c>
      <c r="H316" s="10">
        <v>1630.33</v>
      </c>
      <c r="I316" s="10">
        <v>500</v>
      </c>
      <c r="J316" s="10">
        <v>1789.51</v>
      </c>
      <c r="K316" s="10">
        <v>0</v>
      </c>
      <c r="L316" s="10">
        <v>229.59</v>
      </c>
      <c r="M316" s="10">
        <v>0</v>
      </c>
      <c r="N316" s="10">
        <v>2201.09</v>
      </c>
      <c r="O316" s="10">
        <v>1577.99</v>
      </c>
      <c r="P316" s="10">
        <v>1838.39</v>
      </c>
      <c r="Q316" s="10">
        <v>1284.49</v>
      </c>
      <c r="R316" s="10">
        <v>1000</v>
      </c>
      <c r="S316" s="10">
        <v>0</v>
      </c>
      <c r="T316" s="10">
        <v>1087.05</v>
      </c>
      <c r="U316" s="10">
        <v>0</v>
      </c>
      <c r="V316" s="10">
        <v>1809.09</v>
      </c>
      <c r="W316" s="10">
        <v>1285.6600000000001</v>
      </c>
      <c r="X316" s="10">
        <v>2702.36</v>
      </c>
      <c r="Y316" s="10">
        <v>2000.6</v>
      </c>
      <c r="Z316" s="10">
        <v>560.61</v>
      </c>
      <c r="AA316" s="10">
        <v>2252.62</v>
      </c>
      <c r="AB316" s="10">
        <v>2623.55</v>
      </c>
      <c r="AC316" s="10">
        <v>1472.14</v>
      </c>
      <c r="AD316" s="10">
        <v>1879.08</v>
      </c>
      <c r="AE316" s="10">
        <v>600</v>
      </c>
      <c r="AF316" s="10">
        <v>0</v>
      </c>
    </row>
    <row r="317" spans="1:32" ht="15" customHeight="1">
      <c r="A317" s="10" t="s">
        <v>344</v>
      </c>
      <c r="B317" s="61" t="s">
        <v>289</v>
      </c>
      <c r="C317" s="10">
        <v>2201.09</v>
      </c>
      <c r="D317" s="10">
        <v>1188.01</v>
      </c>
      <c r="E317" s="10">
        <v>0</v>
      </c>
      <c r="F317" s="10">
        <v>453.95</v>
      </c>
      <c r="G317" s="10">
        <v>0</v>
      </c>
      <c r="H317" s="10">
        <v>1334.1</v>
      </c>
      <c r="I317" s="10">
        <v>1662.66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859.98</v>
      </c>
      <c r="P317" s="10">
        <v>947.65</v>
      </c>
      <c r="Q317" s="10">
        <v>0</v>
      </c>
      <c r="R317" s="10">
        <v>1007.1</v>
      </c>
      <c r="S317" s="10">
        <v>0</v>
      </c>
      <c r="T317" s="10">
        <v>0</v>
      </c>
      <c r="U317" s="10">
        <v>0</v>
      </c>
      <c r="V317" s="10">
        <v>521.16</v>
      </c>
      <c r="W317" s="10">
        <v>0</v>
      </c>
      <c r="X317" s="10">
        <v>0</v>
      </c>
      <c r="Y317" s="10">
        <v>1480.09</v>
      </c>
      <c r="Z317" s="10">
        <v>0</v>
      </c>
      <c r="AA317" s="10">
        <v>772.6</v>
      </c>
      <c r="AB317" s="10">
        <v>0</v>
      </c>
      <c r="AC317" s="10">
        <v>1031.6199999999999</v>
      </c>
      <c r="AD317" s="10">
        <v>1109.6099999999999</v>
      </c>
      <c r="AE317" s="10">
        <v>0</v>
      </c>
      <c r="AF317" s="10">
        <v>868</v>
      </c>
    </row>
    <row r="318" spans="1:32" ht="15" customHeight="1">
      <c r="A318" s="10" t="s">
        <v>344</v>
      </c>
      <c r="B318" s="61" t="s">
        <v>290</v>
      </c>
      <c r="C318" s="10">
        <v>1577.99</v>
      </c>
      <c r="D318" s="10">
        <v>332.27</v>
      </c>
      <c r="E318" s="10">
        <v>1075.07</v>
      </c>
      <c r="F318" s="10">
        <v>753.16</v>
      </c>
      <c r="G318" s="10">
        <v>662.94</v>
      </c>
      <c r="H318" s="10">
        <v>528.63</v>
      </c>
      <c r="I318" s="10">
        <v>809.27</v>
      </c>
      <c r="J318" s="10">
        <v>1294.23</v>
      </c>
      <c r="K318" s="10">
        <v>0</v>
      </c>
      <c r="L318" s="10">
        <v>1723.59</v>
      </c>
      <c r="M318" s="10">
        <v>0</v>
      </c>
      <c r="N318" s="10">
        <v>859.98</v>
      </c>
      <c r="O318" s="10">
        <v>0</v>
      </c>
      <c r="P318" s="10">
        <v>331.49</v>
      </c>
      <c r="Q318" s="10">
        <v>0</v>
      </c>
      <c r="R318" s="10">
        <v>427.99</v>
      </c>
      <c r="S318" s="10">
        <v>1262.6500000000001</v>
      </c>
      <c r="T318" s="10">
        <v>938.11</v>
      </c>
      <c r="U318" s="10">
        <v>0</v>
      </c>
      <c r="V318" s="10">
        <v>339.14</v>
      </c>
      <c r="W318" s="10">
        <v>1129.3900000000001</v>
      </c>
      <c r="X318" s="10">
        <v>0</v>
      </c>
      <c r="Y318" s="10">
        <v>818.17</v>
      </c>
      <c r="Z318" s="10">
        <v>0</v>
      </c>
      <c r="AA318" s="10">
        <v>677.09</v>
      </c>
      <c r="AB318" s="10">
        <v>1974.19</v>
      </c>
      <c r="AC318" s="10">
        <v>171.93</v>
      </c>
      <c r="AD318" s="10">
        <v>470.6</v>
      </c>
      <c r="AE318" s="10">
        <v>0</v>
      </c>
      <c r="AF318" s="10">
        <v>0</v>
      </c>
    </row>
    <row r="319" spans="1:32" ht="15" customHeight="1">
      <c r="A319" s="10" t="s">
        <v>344</v>
      </c>
      <c r="B319" s="61" t="s">
        <v>291</v>
      </c>
      <c r="C319" s="10">
        <v>1838.39</v>
      </c>
      <c r="D319" s="10">
        <v>400.59</v>
      </c>
      <c r="E319" s="10">
        <v>1146.05</v>
      </c>
      <c r="F319" s="10">
        <v>671.18</v>
      </c>
      <c r="G319" s="10">
        <v>850.87</v>
      </c>
      <c r="H319" s="10">
        <v>415.87</v>
      </c>
      <c r="I319" s="10">
        <v>790.13</v>
      </c>
      <c r="J319" s="10">
        <v>1171.94</v>
      </c>
      <c r="K319" s="10">
        <v>0</v>
      </c>
      <c r="L319" s="10">
        <v>0</v>
      </c>
      <c r="M319" s="10">
        <v>0</v>
      </c>
      <c r="N319" s="10">
        <v>947.65</v>
      </c>
      <c r="O319" s="10">
        <v>331.49</v>
      </c>
      <c r="P319" s="10">
        <v>0</v>
      </c>
      <c r="Q319" s="10">
        <v>0</v>
      </c>
      <c r="R319" s="10">
        <v>755.26</v>
      </c>
      <c r="S319" s="10">
        <v>961.23</v>
      </c>
      <c r="T319" s="10">
        <v>1025.1099999999999</v>
      </c>
      <c r="U319" s="10">
        <v>1141.83</v>
      </c>
      <c r="V319" s="10">
        <v>486.51</v>
      </c>
      <c r="W319" s="10">
        <v>1144.4000000000001</v>
      </c>
      <c r="X319" s="10">
        <v>0</v>
      </c>
      <c r="Y319" s="10">
        <v>551.72</v>
      </c>
      <c r="Z319" s="10">
        <v>0</v>
      </c>
      <c r="AA319" s="10">
        <v>452.36</v>
      </c>
      <c r="AB319" s="10">
        <v>1745.85</v>
      </c>
      <c r="AC319" s="10">
        <v>369.97</v>
      </c>
      <c r="AD319" s="10">
        <v>171.65</v>
      </c>
      <c r="AE319" s="10">
        <v>0</v>
      </c>
      <c r="AF319" s="10">
        <v>0</v>
      </c>
    </row>
    <row r="320" spans="1:32" ht="15" customHeight="1">
      <c r="A320" s="10" t="s">
        <v>344</v>
      </c>
      <c r="B320" s="61" t="s">
        <v>292</v>
      </c>
      <c r="C320" s="10">
        <v>1284.49</v>
      </c>
      <c r="D320" s="10">
        <v>0</v>
      </c>
      <c r="E320" s="10">
        <v>924.14</v>
      </c>
      <c r="F320" s="10">
        <v>0</v>
      </c>
      <c r="G320" s="10">
        <v>0</v>
      </c>
      <c r="H320" s="10">
        <v>0</v>
      </c>
      <c r="I320" s="10">
        <v>1286.0899999999999</v>
      </c>
      <c r="J320" s="10">
        <v>1213.43</v>
      </c>
      <c r="K320" s="10">
        <v>0</v>
      </c>
      <c r="L320" s="10">
        <v>1479.45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1057.17</v>
      </c>
      <c r="U320" s="10">
        <v>0</v>
      </c>
      <c r="V320" s="10">
        <v>0</v>
      </c>
      <c r="W320" s="10">
        <v>932.26</v>
      </c>
      <c r="X320" s="10">
        <v>1780.16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363.85</v>
      </c>
      <c r="AF320" s="10">
        <v>0</v>
      </c>
    </row>
    <row r="321" spans="1:32" ht="15" customHeight="1">
      <c r="A321" s="10" t="s">
        <v>344</v>
      </c>
      <c r="B321" s="61" t="s">
        <v>293</v>
      </c>
      <c r="C321" s="10">
        <v>1000</v>
      </c>
      <c r="D321" s="10">
        <v>557.69000000000005</v>
      </c>
      <c r="E321" s="10">
        <v>1040.22</v>
      </c>
      <c r="F321" s="10">
        <v>1075.51</v>
      </c>
      <c r="G321" s="10">
        <v>540.01</v>
      </c>
      <c r="H321" s="10">
        <v>812.43</v>
      </c>
      <c r="I321" s="10">
        <v>934.15</v>
      </c>
      <c r="J321" s="10">
        <v>1472.56</v>
      </c>
      <c r="K321" s="10">
        <v>0</v>
      </c>
      <c r="L321" s="10">
        <v>1341.02</v>
      </c>
      <c r="M321" s="10">
        <v>0</v>
      </c>
      <c r="N321" s="10">
        <v>1007.1</v>
      </c>
      <c r="O321" s="10">
        <v>427.99</v>
      </c>
      <c r="P321" s="10">
        <v>755.26</v>
      </c>
      <c r="Q321" s="10">
        <v>0</v>
      </c>
      <c r="R321" s="10">
        <v>0</v>
      </c>
      <c r="S321" s="10">
        <v>0</v>
      </c>
      <c r="T321" s="10">
        <v>903.08</v>
      </c>
      <c r="U321" s="10">
        <v>0</v>
      </c>
      <c r="V321" s="10">
        <v>586.66</v>
      </c>
      <c r="W321" s="10">
        <v>1161.05</v>
      </c>
      <c r="X321" s="10">
        <v>0</v>
      </c>
      <c r="Y321" s="10">
        <v>1174.6600000000001</v>
      </c>
      <c r="Z321" s="10">
        <v>0</v>
      </c>
      <c r="AA321" s="10">
        <v>1082.6300000000001</v>
      </c>
      <c r="AB321" s="10">
        <v>2245.4899999999998</v>
      </c>
      <c r="AC321" s="10">
        <v>429.95</v>
      </c>
      <c r="AD321" s="10">
        <v>874.11</v>
      </c>
      <c r="AE321" s="10">
        <v>1673.84</v>
      </c>
      <c r="AF321" s="10">
        <v>0</v>
      </c>
    </row>
    <row r="322" spans="1:32" ht="15" customHeight="1">
      <c r="A322" s="10" t="s">
        <v>344</v>
      </c>
      <c r="B322" s="61" t="s">
        <v>309</v>
      </c>
      <c r="C322" s="10">
        <v>0</v>
      </c>
      <c r="D322" s="10">
        <v>1094.8399999999999</v>
      </c>
      <c r="E322" s="10">
        <v>0</v>
      </c>
      <c r="F322" s="10">
        <v>0</v>
      </c>
      <c r="G322" s="10">
        <v>0</v>
      </c>
      <c r="H322" s="10">
        <v>850.9</v>
      </c>
      <c r="I322" s="10">
        <v>1015.33</v>
      </c>
      <c r="J322" s="10">
        <v>873.01</v>
      </c>
      <c r="K322" s="10">
        <v>384.47</v>
      </c>
      <c r="L322" s="10">
        <v>0</v>
      </c>
      <c r="M322" s="10">
        <v>1026.31</v>
      </c>
      <c r="N322" s="10">
        <v>0</v>
      </c>
      <c r="O322" s="10">
        <v>1262.6500000000001</v>
      </c>
      <c r="P322" s="10">
        <v>961.23</v>
      </c>
      <c r="Q322" s="10">
        <v>0</v>
      </c>
      <c r="R322" s="10">
        <v>0</v>
      </c>
      <c r="S322" s="10">
        <v>0</v>
      </c>
      <c r="T322" s="10">
        <v>0</v>
      </c>
      <c r="U322" s="10">
        <v>180.61</v>
      </c>
      <c r="V322" s="10">
        <v>0</v>
      </c>
      <c r="W322" s="10">
        <v>1249.7</v>
      </c>
      <c r="X322" s="10">
        <v>1153.01</v>
      </c>
      <c r="Y322" s="10">
        <v>464.52</v>
      </c>
      <c r="Z322" s="10">
        <v>0</v>
      </c>
      <c r="AA322" s="10">
        <v>1059.29</v>
      </c>
      <c r="AB322" s="10">
        <v>923.23</v>
      </c>
      <c r="AC322" s="10">
        <v>1207.05</v>
      </c>
      <c r="AD322" s="10">
        <v>797.05</v>
      </c>
      <c r="AE322" s="10">
        <v>0</v>
      </c>
      <c r="AF322" s="10">
        <v>0</v>
      </c>
    </row>
    <row r="323" spans="1:32" ht="15" customHeight="1">
      <c r="A323" s="10" t="s">
        <v>344</v>
      </c>
      <c r="B323" s="61" t="s">
        <v>294</v>
      </c>
      <c r="C323" s="10">
        <v>1087.05</v>
      </c>
      <c r="D323" s="10">
        <v>640.32000000000005</v>
      </c>
      <c r="E323" s="10">
        <v>140.4</v>
      </c>
      <c r="F323" s="10">
        <v>0</v>
      </c>
      <c r="G323" s="10">
        <v>367.02</v>
      </c>
      <c r="H323" s="10">
        <v>665.24</v>
      </c>
      <c r="I323" s="10">
        <v>339.26</v>
      </c>
      <c r="J323" s="10">
        <v>737.81</v>
      </c>
      <c r="K323" s="10">
        <v>0</v>
      </c>
      <c r="L323" s="10">
        <v>1307.3599999999999</v>
      </c>
      <c r="M323" s="10">
        <v>0</v>
      </c>
      <c r="N323" s="10">
        <v>0</v>
      </c>
      <c r="O323" s="10">
        <v>938.11</v>
      </c>
      <c r="P323" s="10">
        <v>1025.1099999999999</v>
      </c>
      <c r="Q323" s="10">
        <v>1057.17</v>
      </c>
      <c r="R323" s="10">
        <v>903.08</v>
      </c>
      <c r="S323" s="10">
        <v>0</v>
      </c>
      <c r="T323" s="10">
        <v>0</v>
      </c>
      <c r="U323" s="10">
        <v>0</v>
      </c>
      <c r="V323" s="10">
        <v>0</v>
      </c>
      <c r="W323" s="10">
        <v>279.54000000000002</v>
      </c>
      <c r="X323" s="10">
        <v>1703.34</v>
      </c>
      <c r="Y323" s="10">
        <v>969.45</v>
      </c>
      <c r="Z323" s="10">
        <v>0</v>
      </c>
      <c r="AA323" s="10">
        <v>0</v>
      </c>
      <c r="AB323" s="10">
        <v>1586.29</v>
      </c>
      <c r="AC323" s="10">
        <v>767.73</v>
      </c>
      <c r="AD323" s="10">
        <v>981.17</v>
      </c>
      <c r="AE323" s="10">
        <v>785.89</v>
      </c>
      <c r="AF323" s="10">
        <v>0</v>
      </c>
    </row>
    <row r="324" spans="1:32" ht="15" customHeight="1">
      <c r="A324" s="10" t="s">
        <v>344</v>
      </c>
      <c r="B324" s="61" t="s">
        <v>310</v>
      </c>
      <c r="C324" s="10">
        <v>0</v>
      </c>
      <c r="D324" s="10">
        <v>1264.26</v>
      </c>
      <c r="E324" s="10">
        <v>0</v>
      </c>
      <c r="F324" s="10">
        <v>0</v>
      </c>
      <c r="G324" s="10">
        <v>0</v>
      </c>
      <c r="H324" s="10">
        <v>1016.04</v>
      </c>
      <c r="I324" s="10">
        <v>1144.5999999999999</v>
      </c>
      <c r="J324" s="10">
        <v>921.65</v>
      </c>
      <c r="K324" s="10">
        <v>205.65</v>
      </c>
      <c r="L324" s="10">
        <v>0</v>
      </c>
      <c r="M324" s="10">
        <v>852.16</v>
      </c>
      <c r="N324" s="10">
        <v>0</v>
      </c>
      <c r="O324" s="10">
        <v>0</v>
      </c>
      <c r="P324" s="10">
        <v>1141.83</v>
      </c>
      <c r="Q324" s="10">
        <v>0</v>
      </c>
      <c r="R324" s="10">
        <v>0</v>
      </c>
      <c r="S324" s="10">
        <v>180.61</v>
      </c>
      <c r="T324" s="10">
        <v>0</v>
      </c>
      <c r="U324" s="10">
        <v>0</v>
      </c>
      <c r="V324" s="10">
        <v>0</v>
      </c>
      <c r="W324" s="10">
        <v>1345.25</v>
      </c>
      <c r="X324" s="10">
        <v>1031.76</v>
      </c>
      <c r="Y324" s="10">
        <v>636.20000000000005</v>
      </c>
      <c r="Z324" s="10">
        <v>0</v>
      </c>
      <c r="AA324" s="10">
        <v>1225.5</v>
      </c>
      <c r="AB324" s="10">
        <v>802.01</v>
      </c>
      <c r="AC324" s="10">
        <v>0</v>
      </c>
      <c r="AD324" s="10">
        <v>977.33</v>
      </c>
      <c r="AE324" s="10">
        <v>0</v>
      </c>
      <c r="AF324" s="10">
        <v>0</v>
      </c>
    </row>
    <row r="325" spans="1:32" ht="15" customHeight="1">
      <c r="A325" s="10" t="s">
        <v>344</v>
      </c>
      <c r="B325" s="61" t="s">
        <v>297</v>
      </c>
      <c r="C325" s="10">
        <v>1285.6600000000001</v>
      </c>
      <c r="D325" s="10">
        <v>804.24</v>
      </c>
      <c r="E325" s="10">
        <v>192.2</v>
      </c>
      <c r="F325" s="10">
        <v>0</v>
      </c>
      <c r="G325" s="10">
        <v>637.54999999999995</v>
      </c>
      <c r="H325" s="10">
        <v>738.71</v>
      </c>
      <c r="I325" s="10">
        <v>356.15</v>
      </c>
      <c r="J325" s="10">
        <v>503.89</v>
      </c>
      <c r="K325" s="10">
        <v>0</v>
      </c>
      <c r="L325" s="10">
        <v>1513.18</v>
      </c>
      <c r="M325" s="10">
        <v>0</v>
      </c>
      <c r="N325" s="10">
        <v>0</v>
      </c>
      <c r="O325" s="10">
        <v>1129.3900000000001</v>
      </c>
      <c r="P325" s="10">
        <v>1144.4000000000001</v>
      </c>
      <c r="Q325" s="10">
        <v>932.26</v>
      </c>
      <c r="R325" s="10">
        <v>1161.05</v>
      </c>
      <c r="S325" s="10">
        <v>1249.7</v>
      </c>
      <c r="T325" s="10">
        <v>279.54000000000002</v>
      </c>
      <c r="U325" s="10">
        <v>1345.25</v>
      </c>
      <c r="V325" s="10">
        <v>0</v>
      </c>
      <c r="W325" s="10">
        <v>0</v>
      </c>
      <c r="X325" s="10">
        <v>1444.25</v>
      </c>
      <c r="Y325" s="10">
        <v>943.16</v>
      </c>
      <c r="Z325" s="10">
        <v>0</v>
      </c>
      <c r="AA325" s="10">
        <v>0</v>
      </c>
      <c r="AB325" s="10">
        <v>1343.75</v>
      </c>
      <c r="AC325" s="10">
        <v>958.07</v>
      </c>
      <c r="AD325" s="10">
        <v>1060.75</v>
      </c>
      <c r="AE325" s="10">
        <v>604.03</v>
      </c>
      <c r="AF325" s="10">
        <v>0</v>
      </c>
    </row>
    <row r="326" spans="1:32" ht="15" customHeight="1">
      <c r="A326" s="10" t="s">
        <v>344</v>
      </c>
      <c r="B326" s="61" t="s">
        <v>298</v>
      </c>
      <c r="C326" s="10">
        <v>2702.36</v>
      </c>
      <c r="D326" s="10">
        <v>0</v>
      </c>
      <c r="E326" s="10">
        <v>1636.14</v>
      </c>
      <c r="F326" s="10">
        <v>0</v>
      </c>
      <c r="G326" s="10">
        <v>0</v>
      </c>
      <c r="H326" s="10">
        <v>1642</v>
      </c>
      <c r="I326" s="10">
        <v>1503.63</v>
      </c>
      <c r="J326" s="10">
        <v>700</v>
      </c>
      <c r="K326" s="10">
        <v>885</v>
      </c>
      <c r="L326" s="10">
        <v>0</v>
      </c>
      <c r="M326" s="10">
        <v>1000</v>
      </c>
      <c r="N326" s="10">
        <v>0</v>
      </c>
      <c r="O326" s="10">
        <v>0</v>
      </c>
      <c r="P326" s="10">
        <v>0</v>
      </c>
      <c r="Q326" s="10">
        <v>1780.16</v>
      </c>
      <c r="R326" s="10">
        <v>0</v>
      </c>
      <c r="S326" s="10">
        <v>1153.01</v>
      </c>
      <c r="T326" s="10">
        <v>1703.34</v>
      </c>
      <c r="U326" s="10">
        <v>1031.76</v>
      </c>
      <c r="V326" s="10">
        <v>0</v>
      </c>
      <c r="W326" s="10">
        <v>1444.25</v>
      </c>
      <c r="X326" s="10">
        <v>0</v>
      </c>
      <c r="Y326" s="10">
        <v>1408.54</v>
      </c>
      <c r="Z326" s="10">
        <v>0</v>
      </c>
      <c r="AA326" s="10">
        <v>0</v>
      </c>
      <c r="AB326" s="10">
        <v>230.32</v>
      </c>
      <c r="AC326" s="10">
        <v>0</v>
      </c>
      <c r="AD326" s="10">
        <v>0</v>
      </c>
      <c r="AE326" s="10">
        <v>1492.31</v>
      </c>
      <c r="AF326" s="10">
        <v>0</v>
      </c>
    </row>
    <row r="327" spans="1:32" ht="15" customHeight="1">
      <c r="A327" s="10" t="s">
        <v>344</v>
      </c>
      <c r="B327" s="61" t="s">
        <v>357</v>
      </c>
      <c r="C327" s="10">
        <v>1809.09</v>
      </c>
      <c r="D327" s="10">
        <v>667.29</v>
      </c>
      <c r="E327" s="10">
        <v>0</v>
      </c>
      <c r="F327" s="10">
        <v>489.51</v>
      </c>
      <c r="G327" s="10">
        <v>978.2</v>
      </c>
      <c r="H327" s="10">
        <v>829.38</v>
      </c>
      <c r="I327" s="10">
        <v>1143.0899999999999</v>
      </c>
      <c r="J327" s="10">
        <v>0</v>
      </c>
      <c r="K327" s="10">
        <v>0</v>
      </c>
      <c r="L327" s="10">
        <v>0</v>
      </c>
      <c r="M327" s="10">
        <v>0</v>
      </c>
      <c r="N327" s="10">
        <v>521.16</v>
      </c>
      <c r="O327" s="10">
        <v>339.14</v>
      </c>
      <c r="P327" s="10">
        <v>486.51</v>
      </c>
      <c r="Q327" s="10">
        <v>0</v>
      </c>
      <c r="R327" s="10">
        <v>586.66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1038.1300000000001</v>
      </c>
      <c r="Z327" s="10">
        <v>0</v>
      </c>
      <c r="AA327" s="10">
        <v>569.07000000000005</v>
      </c>
      <c r="AB327" s="10">
        <v>0</v>
      </c>
      <c r="AC327" s="10">
        <v>511.02</v>
      </c>
      <c r="AD327" s="10">
        <v>658.16</v>
      </c>
      <c r="AE327" s="10">
        <v>0</v>
      </c>
      <c r="AF327" s="10">
        <v>0</v>
      </c>
    </row>
    <row r="328" spans="1:32" ht="15" customHeight="1">
      <c r="A328" s="10" t="s">
        <v>344</v>
      </c>
      <c r="B328" s="61" t="s">
        <v>299</v>
      </c>
      <c r="C328" s="10">
        <v>2000.6</v>
      </c>
      <c r="D328" s="10">
        <v>630.36</v>
      </c>
      <c r="E328" s="10">
        <v>1037.53</v>
      </c>
      <c r="F328" s="10">
        <v>1129.69</v>
      </c>
      <c r="G328" s="10">
        <v>1001.53</v>
      </c>
      <c r="H328" s="10">
        <v>390.18</v>
      </c>
      <c r="I328" s="10">
        <v>633.87</v>
      </c>
      <c r="J328" s="10">
        <v>745.5</v>
      </c>
      <c r="K328" s="10">
        <v>825.43</v>
      </c>
      <c r="L328" s="10">
        <v>0</v>
      </c>
      <c r="M328" s="10">
        <v>1430.78</v>
      </c>
      <c r="N328" s="10">
        <v>1480.09</v>
      </c>
      <c r="O328" s="10">
        <v>818.17</v>
      </c>
      <c r="P328" s="10">
        <v>551.72</v>
      </c>
      <c r="Q328" s="10">
        <v>0</v>
      </c>
      <c r="R328" s="10">
        <v>1174.6600000000001</v>
      </c>
      <c r="S328" s="10">
        <v>464.52</v>
      </c>
      <c r="T328" s="10">
        <v>969.45</v>
      </c>
      <c r="U328" s="10">
        <v>636.20000000000005</v>
      </c>
      <c r="V328" s="10">
        <v>1038.1300000000001</v>
      </c>
      <c r="W328" s="10">
        <v>943.16</v>
      </c>
      <c r="X328" s="10">
        <v>1408.54</v>
      </c>
      <c r="Y328" s="10">
        <v>0</v>
      </c>
      <c r="Z328" s="10">
        <v>0</v>
      </c>
      <c r="AA328" s="10">
        <v>809.16</v>
      </c>
      <c r="AB328" s="10">
        <v>1196.53</v>
      </c>
      <c r="AC328" s="10">
        <v>746.53</v>
      </c>
      <c r="AD328" s="10">
        <v>380.21</v>
      </c>
      <c r="AE328" s="10">
        <v>1502.63</v>
      </c>
      <c r="AF328" s="10">
        <v>0</v>
      </c>
    </row>
    <row r="329" spans="1:32" ht="15" customHeight="1">
      <c r="A329" s="10" t="s">
        <v>344</v>
      </c>
      <c r="B329" s="61" t="s">
        <v>300</v>
      </c>
      <c r="C329" s="10">
        <v>560.61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421.67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1672.93</v>
      </c>
      <c r="AF329" s="10">
        <v>0</v>
      </c>
    </row>
    <row r="330" spans="1:32" ht="15" customHeight="1">
      <c r="A330" s="10" t="s">
        <v>344</v>
      </c>
      <c r="B330" s="61" t="s">
        <v>301</v>
      </c>
      <c r="C330" s="10">
        <v>2252.62</v>
      </c>
      <c r="D330" s="10">
        <v>850.72</v>
      </c>
      <c r="E330" s="10">
        <v>0</v>
      </c>
      <c r="F330" s="10">
        <v>343.03</v>
      </c>
      <c r="G330" s="10">
        <v>1292.28</v>
      </c>
      <c r="H330" s="10">
        <v>842.37</v>
      </c>
      <c r="I330" s="10">
        <v>1224.8499999999999</v>
      </c>
      <c r="J330" s="10">
        <v>1533.41</v>
      </c>
      <c r="K330" s="10">
        <v>0</v>
      </c>
      <c r="L330" s="10">
        <v>0</v>
      </c>
      <c r="M330" s="10">
        <v>0</v>
      </c>
      <c r="N330" s="10">
        <v>772.6</v>
      </c>
      <c r="O330" s="10">
        <v>677.09</v>
      </c>
      <c r="P330" s="10">
        <v>452.36</v>
      </c>
      <c r="Q330" s="10">
        <v>0</v>
      </c>
      <c r="R330" s="10">
        <v>1082.6300000000001</v>
      </c>
      <c r="S330" s="10">
        <v>1059.29</v>
      </c>
      <c r="T330" s="10">
        <v>0</v>
      </c>
      <c r="U330" s="10">
        <v>1225.5</v>
      </c>
      <c r="V330" s="10">
        <v>569.07000000000005</v>
      </c>
      <c r="W330" s="10">
        <v>0</v>
      </c>
      <c r="X330" s="10">
        <v>0</v>
      </c>
      <c r="Y330" s="10">
        <v>809.16</v>
      </c>
      <c r="Z330" s="10">
        <v>0</v>
      </c>
      <c r="AA330" s="10">
        <v>0</v>
      </c>
      <c r="AB330" s="10">
        <v>0</v>
      </c>
      <c r="AC330" s="10">
        <v>787.57</v>
      </c>
      <c r="AD330" s="10">
        <v>523.91999999999996</v>
      </c>
      <c r="AE330" s="10">
        <v>0</v>
      </c>
      <c r="AF330" s="10">
        <v>899</v>
      </c>
    </row>
    <row r="331" spans="1:32" ht="15" customHeight="1">
      <c r="A331" s="10" t="s">
        <v>344</v>
      </c>
      <c r="B331" s="61" t="s">
        <v>303</v>
      </c>
      <c r="C331" s="10">
        <v>2623.55</v>
      </c>
      <c r="D331" s="10">
        <v>1698.79</v>
      </c>
      <c r="E331" s="10">
        <v>1535.26</v>
      </c>
      <c r="F331" s="10">
        <v>0</v>
      </c>
      <c r="G331" s="10">
        <v>1857.41</v>
      </c>
      <c r="H331" s="10">
        <v>1454.22</v>
      </c>
      <c r="I331" s="10">
        <v>1354.27</v>
      </c>
      <c r="J331" s="10">
        <v>400</v>
      </c>
      <c r="K331" s="10">
        <v>661.72</v>
      </c>
      <c r="L331" s="10">
        <v>0</v>
      </c>
      <c r="M331" s="10">
        <v>505.83</v>
      </c>
      <c r="N331" s="10">
        <v>0</v>
      </c>
      <c r="O331" s="10">
        <v>1974.19</v>
      </c>
      <c r="P331" s="10">
        <v>1745.85</v>
      </c>
      <c r="Q331" s="10">
        <v>0</v>
      </c>
      <c r="R331" s="10">
        <v>2245.4899999999998</v>
      </c>
      <c r="S331" s="10">
        <v>923.23</v>
      </c>
      <c r="T331" s="10">
        <v>1586.29</v>
      </c>
      <c r="U331" s="10">
        <v>802.01</v>
      </c>
      <c r="V331" s="10">
        <v>0</v>
      </c>
      <c r="W331" s="10">
        <v>1343.75</v>
      </c>
      <c r="X331" s="10">
        <v>230.32</v>
      </c>
      <c r="Y331" s="10">
        <v>1196.53</v>
      </c>
      <c r="Z331" s="10">
        <v>0</v>
      </c>
      <c r="AA331" s="10">
        <v>0</v>
      </c>
      <c r="AB331" s="10">
        <v>0</v>
      </c>
      <c r="AC331" s="10">
        <v>1858.18</v>
      </c>
      <c r="AD331" s="10">
        <v>1575.37</v>
      </c>
      <c r="AE331" s="10">
        <v>1485.18</v>
      </c>
      <c r="AF331" s="10">
        <v>0</v>
      </c>
    </row>
    <row r="332" spans="1:32" ht="15" customHeight="1">
      <c r="A332" s="10" t="s">
        <v>344</v>
      </c>
      <c r="B332" s="61" t="s">
        <v>304</v>
      </c>
      <c r="C332" s="10">
        <v>1472.14</v>
      </c>
      <c r="D332" s="10">
        <v>171.24</v>
      </c>
      <c r="E332" s="10">
        <v>903.98</v>
      </c>
      <c r="F332" s="10">
        <v>908.29</v>
      </c>
      <c r="G332" s="10">
        <v>511.84</v>
      </c>
      <c r="H332" s="10">
        <v>404.31</v>
      </c>
      <c r="I332" s="10">
        <v>643.65</v>
      </c>
      <c r="J332" s="10">
        <v>1144.1199999999999</v>
      </c>
      <c r="K332" s="10">
        <v>0</v>
      </c>
      <c r="L332" s="10">
        <v>1632.96</v>
      </c>
      <c r="M332" s="10">
        <v>0</v>
      </c>
      <c r="N332" s="10">
        <v>1031.6199999999999</v>
      </c>
      <c r="O332" s="10">
        <v>171.93</v>
      </c>
      <c r="P332" s="10">
        <v>369.97</v>
      </c>
      <c r="Q332" s="10">
        <v>0</v>
      </c>
      <c r="R332" s="10">
        <v>429.95</v>
      </c>
      <c r="S332" s="10">
        <v>1207.05</v>
      </c>
      <c r="T332" s="10">
        <v>767.73</v>
      </c>
      <c r="U332" s="10">
        <v>0</v>
      </c>
      <c r="V332" s="10">
        <v>511.02</v>
      </c>
      <c r="W332" s="10">
        <v>958.07</v>
      </c>
      <c r="X332" s="10">
        <v>0</v>
      </c>
      <c r="Y332" s="10">
        <v>746.53</v>
      </c>
      <c r="Z332" s="10">
        <v>0</v>
      </c>
      <c r="AA332" s="10">
        <v>787.57</v>
      </c>
      <c r="AB332" s="10">
        <v>1858.18</v>
      </c>
      <c r="AC332" s="10">
        <v>0</v>
      </c>
      <c r="AD332" s="10">
        <v>454.53</v>
      </c>
      <c r="AE332" s="10">
        <v>0</v>
      </c>
      <c r="AF332" s="10">
        <v>0</v>
      </c>
    </row>
    <row r="333" spans="1:32" ht="15" customHeight="1">
      <c r="A333" s="10" t="s">
        <v>344</v>
      </c>
      <c r="B333" s="61" t="s">
        <v>305</v>
      </c>
      <c r="C333" s="10">
        <v>1879.08</v>
      </c>
      <c r="D333" s="10">
        <v>416.67</v>
      </c>
      <c r="E333" s="10">
        <v>1089.56</v>
      </c>
      <c r="F333" s="10">
        <v>797.9</v>
      </c>
      <c r="G333" s="10">
        <v>869.38</v>
      </c>
      <c r="H333" s="10">
        <v>323.69</v>
      </c>
      <c r="I333" s="10">
        <v>705.3</v>
      </c>
      <c r="J333" s="10">
        <v>1030.02</v>
      </c>
      <c r="K333" s="10">
        <v>1177.79</v>
      </c>
      <c r="L333" s="10">
        <v>0</v>
      </c>
      <c r="M333" s="10">
        <v>0</v>
      </c>
      <c r="N333" s="10">
        <v>1109.6099999999999</v>
      </c>
      <c r="O333" s="10">
        <v>470.6</v>
      </c>
      <c r="P333" s="10">
        <v>171.65</v>
      </c>
      <c r="Q333" s="10">
        <v>0</v>
      </c>
      <c r="R333" s="10">
        <v>874.11</v>
      </c>
      <c r="S333" s="10">
        <v>797.05</v>
      </c>
      <c r="T333" s="10">
        <v>981.17</v>
      </c>
      <c r="U333" s="10">
        <v>977.33</v>
      </c>
      <c r="V333" s="10">
        <v>658.16</v>
      </c>
      <c r="W333" s="10">
        <v>1060.75</v>
      </c>
      <c r="X333" s="10">
        <v>0</v>
      </c>
      <c r="Y333" s="10">
        <v>380.21</v>
      </c>
      <c r="Z333" s="10">
        <v>0</v>
      </c>
      <c r="AA333" s="10">
        <v>523.91999999999996</v>
      </c>
      <c r="AB333" s="10">
        <v>1575.37</v>
      </c>
      <c r="AC333" s="10">
        <v>454.53</v>
      </c>
      <c r="AD333" s="10">
        <v>0</v>
      </c>
      <c r="AE333" s="10">
        <v>0</v>
      </c>
      <c r="AF333" s="10">
        <v>0</v>
      </c>
    </row>
    <row r="334" spans="1:32" ht="15" customHeight="1">
      <c r="A334" s="10" t="s">
        <v>344</v>
      </c>
      <c r="B334" s="10" t="s">
        <v>356</v>
      </c>
      <c r="C334" s="10">
        <v>0</v>
      </c>
      <c r="D334" s="10">
        <v>0</v>
      </c>
      <c r="E334" s="10">
        <v>0</v>
      </c>
      <c r="F334" s="10">
        <v>428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868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899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 ht="15" customHeight="1">
      <c r="A335" s="10" t="s">
        <v>344</v>
      </c>
      <c r="B335" s="61" t="s">
        <v>307</v>
      </c>
      <c r="C335" s="10">
        <v>600</v>
      </c>
      <c r="D335" s="10">
        <v>1399.02</v>
      </c>
      <c r="E335" s="10">
        <v>645.59</v>
      </c>
      <c r="F335" s="10">
        <v>0</v>
      </c>
      <c r="G335" s="10">
        <v>1134.76</v>
      </c>
      <c r="H335" s="10">
        <v>1341.38</v>
      </c>
      <c r="I335" s="10">
        <v>959.53</v>
      </c>
      <c r="J335" s="10">
        <v>850.09</v>
      </c>
      <c r="K335" s="10">
        <v>0</v>
      </c>
      <c r="L335" s="10">
        <v>1549.51</v>
      </c>
      <c r="M335" s="10">
        <v>0</v>
      </c>
      <c r="N335" s="10">
        <v>0</v>
      </c>
      <c r="O335" s="10">
        <v>0</v>
      </c>
      <c r="P335" s="10">
        <v>0</v>
      </c>
      <c r="Q335" s="10">
        <v>363.85</v>
      </c>
      <c r="R335" s="10">
        <v>1673.84</v>
      </c>
      <c r="S335" s="10">
        <v>0</v>
      </c>
      <c r="T335" s="10">
        <v>785.89</v>
      </c>
      <c r="U335" s="10">
        <v>0</v>
      </c>
      <c r="V335" s="10">
        <v>0</v>
      </c>
      <c r="W335" s="10">
        <v>604.03</v>
      </c>
      <c r="X335" s="10">
        <v>1492.31</v>
      </c>
      <c r="Y335" s="10">
        <v>1502.63</v>
      </c>
      <c r="Z335" s="10">
        <v>1672.93</v>
      </c>
      <c r="AA335" s="10">
        <v>0</v>
      </c>
      <c r="AB335" s="10">
        <v>1485.18</v>
      </c>
      <c r="AC335" s="10">
        <v>0</v>
      </c>
      <c r="AD335" s="10">
        <v>0</v>
      </c>
      <c r="AE335" s="10">
        <v>0</v>
      </c>
      <c r="AF335" s="10">
        <v>0</v>
      </c>
    </row>
    <row r="336" spans="1:32">
      <c r="A336" s="10" t="s">
        <v>143</v>
      </c>
      <c r="B336" s="61" t="s">
        <v>278</v>
      </c>
      <c r="C336" s="10">
        <v>1462.5</v>
      </c>
      <c r="D336" s="10">
        <v>0</v>
      </c>
      <c r="E336" s="10">
        <v>770.24</v>
      </c>
      <c r="F336" s="10">
        <v>1022.45</v>
      </c>
      <c r="G336" s="10">
        <v>456.36</v>
      </c>
      <c r="H336" s="10">
        <v>254.84</v>
      </c>
      <c r="I336" s="10">
        <v>477.04</v>
      </c>
      <c r="J336" s="10">
        <v>973.03</v>
      </c>
      <c r="K336" s="10">
        <v>0</v>
      </c>
      <c r="L336" s="10">
        <v>1640.58</v>
      </c>
      <c r="M336" s="10">
        <v>0</v>
      </c>
      <c r="N336" s="10">
        <v>1188.01</v>
      </c>
      <c r="O336" s="10">
        <v>332.27</v>
      </c>
      <c r="P336" s="10">
        <v>400.59</v>
      </c>
      <c r="Q336" s="10">
        <v>0</v>
      </c>
      <c r="R336" s="10">
        <v>557.69000000000005</v>
      </c>
      <c r="S336" s="10">
        <v>1094.8399999999999</v>
      </c>
      <c r="T336" s="10">
        <v>640.32000000000005</v>
      </c>
      <c r="U336" s="10">
        <v>1264.26</v>
      </c>
      <c r="V336" s="10">
        <v>667.29</v>
      </c>
      <c r="W336" s="10">
        <v>804.24</v>
      </c>
      <c r="X336" s="10">
        <v>0</v>
      </c>
      <c r="Y336" s="10">
        <v>630.36</v>
      </c>
      <c r="Z336" s="10">
        <v>0</v>
      </c>
      <c r="AA336" s="10">
        <v>850.72</v>
      </c>
      <c r="AB336" s="10">
        <v>1698.79</v>
      </c>
      <c r="AC336" s="10">
        <v>171.24</v>
      </c>
      <c r="AD336" s="10">
        <v>416.67</v>
      </c>
      <c r="AE336" s="10">
        <v>1399.02</v>
      </c>
      <c r="AF336" s="10">
        <v>0</v>
      </c>
    </row>
    <row r="337" spans="1:32" ht="15" customHeight="1">
      <c r="A337" s="10" t="s">
        <v>143</v>
      </c>
      <c r="B337" s="61" t="s">
        <v>280</v>
      </c>
      <c r="C337" s="10">
        <v>300</v>
      </c>
      <c r="D337" s="10">
        <v>770.24</v>
      </c>
      <c r="E337" s="10">
        <v>0</v>
      </c>
      <c r="F337" s="10">
        <v>0</v>
      </c>
      <c r="G337" s="10">
        <v>501.4</v>
      </c>
      <c r="H337" s="10">
        <v>767.87</v>
      </c>
      <c r="I337" s="10">
        <v>406.5</v>
      </c>
      <c r="J337" s="10">
        <v>692.16</v>
      </c>
      <c r="K337" s="10">
        <v>0</v>
      </c>
      <c r="L337" s="10">
        <v>1325.38</v>
      </c>
      <c r="M337" s="10">
        <v>0</v>
      </c>
      <c r="N337" s="10">
        <v>0</v>
      </c>
      <c r="O337" s="10">
        <v>1075.07</v>
      </c>
      <c r="P337" s="10">
        <v>1146.05</v>
      </c>
      <c r="Q337" s="10">
        <v>924.14</v>
      </c>
      <c r="R337" s="10">
        <v>1040.22</v>
      </c>
      <c r="S337" s="10">
        <v>0</v>
      </c>
      <c r="T337" s="10">
        <v>140.4</v>
      </c>
      <c r="U337" s="10">
        <v>0</v>
      </c>
      <c r="V337" s="10">
        <v>0</v>
      </c>
      <c r="W337" s="10">
        <v>192.2</v>
      </c>
      <c r="X337" s="10">
        <v>1636.14</v>
      </c>
      <c r="Y337" s="10">
        <v>1037.53</v>
      </c>
      <c r="Z337" s="10">
        <v>0</v>
      </c>
      <c r="AA337" s="10">
        <v>0</v>
      </c>
      <c r="AB337" s="10">
        <v>1535.26</v>
      </c>
      <c r="AC337" s="10">
        <v>903.98</v>
      </c>
      <c r="AD337" s="10">
        <v>1089.56</v>
      </c>
      <c r="AE337" s="10">
        <v>645.59</v>
      </c>
      <c r="AF337" s="10">
        <v>0</v>
      </c>
    </row>
    <row r="338" spans="1:32" ht="15" customHeight="1">
      <c r="A338" s="10" t="s">
        <v>143</v>
      </c>
      <c r="B338" s="61" t="s">
        <v>281</v>
      </c>
      <c r="C338" s="10">
        <v>0</v>
      </c>
      <c r="D338" s="10">
        <v>1022.45</v>
      </c>
      <c r="E338" s="10">
        <v>0</v>
      </c>
      <c r="F338" s="10">
        <v>0</v>
      </c>
      <c r="G338" s="10">
        <v>1415.45</v>
      </c>
      <c r="H338" s="10">
        <v>1087.05</v>
      </c>
      <c r="I338" s="10">
        <v>1458.02</v>
      </c>
      <c r="J338" s="10">
        <v>0</v>
      </c>
      <c r="K338" s="10">
        <v>0</v>
      </c>
      <c r="L338" s="10">
        <v>0</v>
      </c>
      <c r="M338" s="10">
        <v>0</v>
      </c>
      <c r="N338" s="10">
        <v>453.95</v>
      </c>
      <c r="O338" s="10">
        <v>753.16</v>
      </c>
      <c r="P338" s="10">
        <v>671.18</v>
      </c>
      <c r="Q338" s="10">
        <v>0</v>
      </c>
      <c r="R338" s="10">
        <v>1075.51</v>
      </c>
      <c r="S338" s="10">
        <v>0</v>
      </c>
      <c r="T338" s="10">
        <v>0</v>
      </c>
      <c r="U338" s="10">
        <v>0</v>
      </c>
      <c r="V338" s="10">
        <v>489.51</v>
      </c>
      <c r="W338" s="10">
        <v>0</v>
      </c>
      <c r="X338" s="10">
        <v>0</v>
      </c>
      <c r="Y338" s="10">
        <v>1129.69</v>
      </c>
      <c r="Z338" s="10">
        <v>0</v>
      </c>
      <c r="AA338" s="10">
        <v>343.03</v>
      </c>
      <c r="AB338" s="10">
        <v>0</v>
      </c>
      <c r="AC338" s="10">
        <v>908.29</v>
      </c>
      <c r="AD338" s="10">
        <v>797.9</v>
      </c>
      <c r="AE338" s="10">
        <v>0</v>
      </c>
      <c r="AF338" s="10">
        <v>428</v>
      </c>
    </row>
    <row r="339" spans="1:32" ht="15" customHeight="1">
      <c r="A339" s="10" t="s">
        <v>143</v>
      </c>
      <c r="B339" s="61" t="s">
        <v>282</v>
      </c>
      <c r="C339" s="10">
        <v>350</v>
      </c>
      <c r="D339" s="10">
        <v>456.36</v>
      </c>
      <c r="E339" s="10">
        <v>501.4</v>
      </c>
      <c r="F339" s="10">
        <v>1415.45</v>
      </c>
      <c r="G339" s="10">
        <v>0</v>
      </c>
      <c r="H339" s="10">
        <v>619.89</v>
      </c>
      <c r="I339" s="10">
        <v>504.62</v>
      </c>
      <c r="J339" s="10">
        <v>1027.05</v>
      </c>
      <c r="K339" s="10">
        <v>0</v>
      </c>
      <c r="L339" s="10">
        <v>1204.01</v>
      </c>
      <c r="M339" s="10">
        <v>0</v>
      </c>
      <c r="N339" s="10">
        <v>0</v>
      </c>
      <c r="O339" s="10">
        <v>662.94</v>
      </c>
      <c r="P339" s="10">
        <v>850.87</v>
      </c>
      <c r="Q339" s="10">
        <v>0</v>
      </c>
      <c r="R339" s="10">
        <v>540.01</v>
      </c>
      <c r="S339" s="10">
        <v>0</v>
      </c>
      <c r="T339" s="10">
        <v>367.02</v>
      </c>
      <c r="U339" s="10">
        <v>0</v>
      </c>
      <c r="V339" s="10">
        <v>978.2</v>
      </c>
      <c r="W339" s="10">
        <v>637.54999999999995</v>
      </c>
      <c r="X339" s="10">
        <v>0</v>
      </c>
      <c r="Y339" s="10">
        <v>1001.53</v>
      </c>
      <c r="Z339" s="10">
        <v>0</v>
      </c>
      <c r="AA339" s="10">
        <v>1292.28</v>
      </c>
      <c r="AB339" s="10">
        <v>1857.41</v>
      </c>
      <c r="AC339" s="10">
        <v>511.84</v>
      </c>
      <c r="AD339" s="10">
        <v>869.38</v>
      </c>
      <c r="AE339" s="10">
        <v>1134.76</v>
      </c>
      <c r="AF339" s="10">
        <v>0</v>
      </c>
    </row>
    <row r="340" spans="1:32" ht="15" customHeight="1">
      <c r="A340" s="10" t="s">
        <v>143</v>
      </c>
      <c r="B340" s="61" t="s">
        <v>283</v>
      </c>
      <c r="C340" s="10">
        <v>1630.33</v>
      </c>
      <c r="D340" s="10">
        <v>254.84</v>
      </c>
      <c r="E340" s="10">
        <v>767.87</v>
      </c>
      <c r="F340" s="10">
        <v>1087.05</v>
      </c>
      <c r="G340" s="10">
        <v>619.89</v>
      </c>
      <c r="H340" s="10">
        <v>0</v>
      </c>
      <c r="I340" s="10">
        <v>382.63</v>
      </c>
      <c r="J340" s="10">
        <v>777.76</v>
      </c>
      <c r="K340" s="10">
        <v>1194.05</v>
      </c>
      <c r="L340" s="10">
        <v>0</v>
      </c>
      <c r="M340" s="10">
        <v>0</v>
      </c>
      <c r="N340" s="10">
        <v>1334.1</v>
      </c>
      <c r="O340" s="10">
        <v>528.63</v>
      </c>
      <c r="P340" s="10">
        <v>415.87</v>
      </c>
      <c r="Q340" s="10">
        <v>0</v>
      </c>
      <c r="R340" s="10">
        <v>812.43</v>
      </c>
      <c r="S340" s="10">
        <v>850.9</v>
      </c>
      <c r="T340" s="10">
        <v>665.24</v>
      </c>
      <c r="U340" s="10">
        <v>1016.04</v>
      </c>
      <c r="V340" s="10">
        <v>829.38</v>
      </c>
      <c r="W340" s="10">
        <v>738.71</v>
      </c>
      <c r="X340" s="10">
        <v>1642</v>
      </c>
      <c r="Y340" s="10">
        <v>390.18</v>
      </c>
      <c r="Z340" s="10">
        <v>0</v>
      </c>
      <c r="AA340" s="10">
        <v>842.37</v>
      </c>
      <c r="AB340" s="10">
        <v>1454.22</v>
      </c>
      <c r="AC340" s="10">
        <v>404.31</v>
      </c>
      <c r="AD340" s="10">
        <v>323.69</v>
      </c>
      <c r="AE340" s="10">
        <v>1341.38</v>
      </c>
      <c r="AF340" s="10">
        <v>0</v>
      </c>
    </row>
    <row r="341" spans="1:32" ht="15" customHeight="1">
      <c r="A341" s="10" t="s">
        <v>143</v>
      </c>
      <c r="B341" s="61" t="s">
        <v>284</v>
      </c>
      <c r="C341" s="10">
        <v>500</v>
      </c>
      <c r="D341" s="10">
        <v>477.04</v>
      </c>
      <c r="E341" s="10">
        <v>406.5</v>
      </c>
      <c r="F341" s="10">
        <v>1458.02</v>
      </c>
      <c r="G341" s="10">
        <v>504.62</v>
      </c>
      <c r="H341" s="10">
        <v>382.63</v>
      </c>
      <c r="I341" s="10">
        <v>0</v>
      </c>
      <c r="J341" s="10">
        <v>540.49</v>
      </c>
      <c r="K341" s="10">
        <v>1281.04</v>
      </c>
      <c r="L341" s="10">
        <v>1624.96</v>
      </c>
      <c r="M341" s="10">
        <v>1750.79</v>
      </c>
      <c r="N341" s="10">
        <v>1662.66</v>
      </c>
      <c r="O341" s="10">
        <v>809.27</v>
      </c>
      <c r="P341" s="10">
        <v>790.13</v>
      </c>
      <c r="Q341" s="10">
        <v>1286.0899999999999</v>
      </c>
      <c r="R341" s="10">
        <v>934.15</v>
      </c>
      <c r="S341" s="10">
        <v>1015.33</v>
      </c>
      <c r="T341" s="10">
        <v>339.26</v>
      </c>
      <c r="U341" s="10">
        <v>1144.5999999999999</v>
      </c>
      <c r="V341" s="10">
        <v>1143.0899999999999</v>
      </c>
      <c r="W341" s="10">
        <v>356.15</v>
      </c>
      <c r="X341" s="10">
        <v>1503.63</v>
      </c>
      <c r="Y341" s="10">
        <v>633.87</v>
      </c>
      <c r="Z341" s="10">
        <v>0</v>
      </c>
      <c r="AA341" s="10">
        <v>1224.8499999999999</v>
      </c>
      <c r="AB341" s="10">
        <v>1354.27</v>
      </c>
      <c r="AC341" s="10">
        <v>643.65</v>
      </c>
      <c r="AD341" s="10">
        <v>705.3</v>
      </c>
      <c r="AE341" s="10">
        <v>959.53</v>
      </c>
      <c r="AF341" s="10">
        <v>0</v>
      </c>
    </row>
    <row r="342" spans="1:32" ht="15" customHeight="1">
      <c r="A342" s="10" t="s">
        <v>143</v>
      </c>
      <c r="B342" s="61" t="s">
        <v>285</v>
      </c>
      <c r="C342" s="10">
        <v>1789.51</v>
      </c>
      <c r="D342" s="10">
        <v>973.03</v>
      </c>
      <c r="E342" s="10">
        <v>692.16</v>
      </c>
      <c r="F342" s="10">
        <v>0</v>
      </c>
      <c r="G342" s="10">
        <v>1027.05</v>
      </c>
      <c r="H342" s="10">
        <v>777.76</v>
      </c>
      <c r="I342" s="10">
        <v>540.49</v>
      </c>
      <c r="J342" s="10">
        <v>0</v>
      </c>
      <c r="K342" s="10">
        <v>978.44</v>
      </c>
      <c r="L342" s="10">
        <v>0</v>
      </c>
      <c r="M342" s="10">
        <v>1298.0899999999999</v>
      </c>
      <c r="N342" s="10">
        <v>0</v>
      </c>
      <c r="O342" s="10">
        <v>1294.23</v>
      </c>
      <c r="P342" s="10">
        <v>1171.94</v>
      </c>
      <c r="Q342" s="10">
        <v>1213.43</v>
      </c>
      <c r="R342" s="10">
        <v>1472.56</v>
      </c>
      <c r="S342" s="10">
        <v>873.01</v>
      </c>
      <c r="T342" s="10">
        <v>737.81</v>
      </c>
      <c r="U342" s="10">
        <v>921.65</v>
      </c>
      <c r="V342" s="10">
        <v>0</v>
      </c>
      <c r="W342" s="10">
        <v>503.89</v>
      </c>
      <c r="X342" s="10">
        <v>700</v>
      </c>
      <c r="Y342" s="10">
        <v>745.5</v>
      </c>
      <c r="Z342" s="10">
        <v>0</v>
      </c>
      <c r="AA342" s="10">
        <v>1533.41</v>
      </c>
      <c r="AB342" s="10">
        <v>400</v>
      </c>
      <c r="AC342" s="10">
        <v>1144.1199999999999</v>
      </c>
      <c r="AD342" s="10">
        <v>1030.02</v>
      </c>
      <c r="AE342" s="10">
        <v>850.09</v>
      </c>
      <c r="AF342" s="10">
        <v>0</v>
      </c>
    </row>
    <row r="343" spans="1:32" ht="15" customHeight="1">
      <c r="A343" s="10" t="s">
        <v>143</v>
      </c>
      <c r="B343" s="61" t="s">
        <v>308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1194.05</v>
      </c>
      <c r="I343" s="10">
        <v>1281.04</v>
      </c>
      <c r="J343" s="10">
        <v>978.44</v>
      </c>
      <c r="K343" s="10">
        <v>0</v>
      </c>
      <c r="L343" s="10">
        <v>0</v>
      </c>
      <c r="M343" s="10">
        <v>647.91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384.47</v>
      </c>
      <c r="T343" s="10">
        <v>0</v>
      </c>
      <c r="U343" s="10">
        <v>205.65</v>
      </c>
      <c r="V343" s="10">
        <v>0</v>
      </c>
      <c r="W343" s="10">
        <v>0</v>
      </c>
      <c r="X343" s="10">
        <v>885</v>
      </c>
      <c r="Y343" s="10">
        <v>825.43</v>
      </c>
      <c r="Z343" s="10">
        <v>0</v>
      </c>
      <c r="AA343" s="10">
        <v>0</v>
      </c>
      <c r="AB343" s="10">
        <v>661.72</v>
      </c>
      <c r="AC343" s="10">
        <v>0</v>
      </c>
      <c r="AD343" s="10">
        <v>1177.79</v>
      </c>
      <c r="AE343" s="10">
        <v>0</v>
      </c>
      <c r="AF343" s="10">
        <v>0</v>
      </c>
    </row>
    <row r="344" spans="1:32" ht="15" customHeight="1">
      <c r="A344" s="10" t="s">
        <v>143</v>
      </c>
      <c r="B344" s="61" t="s">
        <v>286</v>
      </c>
      <c r="C344" s="10">
        <v>229.59</v>
      </c>
      <c r="D344" s="10">
        <v>1640.58</v>
      </c>
      <c r="E344" s="10">
        <v>1325.38</v>
      </c>
      <c r="F344" s="10">
        <v>0</v>
      </c>
      <c r="G344" s="10">
        <v>1204.01</v>
      </c>
      <c r="H344" s="10">
        <v>0</v>
      </c>
      <c r="I344" s="10">
        <v>1624.96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1723.59</v>
      </c>
      <c r="P344" s="10">
        <v>0</v>
      </c>
      <c r="Q344" s="10">
        <v>1479.45</v>
      </c>
      <c r="R344" s="10">
        <v>1341.02</v>
      </c>
      <c r="S344" s="10">
        <v>0</v>
      </c>
      <c r="T344" s="10">
        <v>1307.3599999999999</v>
      </c>
      <c r="U344" s="10">
        <v>0</v>
      </c>
      <c r="V344" s="10">
        <v>0</v>
      </c>
      <c r="W344" s="10">
        <v>1513.18</v>
      </c>
      <c r="X344" s="10">
        <v>0</v>
      </c>
      <c r="Y344" s="10">
        <v>0</v>
      </c>
      <c r="Z344" s="10">
        <v>421.67</v>
      </c>
      <c r="AA344" s="10">
        <v>0</v>
      </c>
      <c r="AB344" s="10">
        <v>0</v>
      </c>
      <c r="AC344" s="10">
        <v>1632.96</v>
      </c>
      <c r="AD344" s="10">
        <v>0</v>
      </c>
      <c r="AE344" s="10">
        <v>1549.51</v>
      </c>
      <c r="AF344" s="10">
        <v>0</v>
      </c>
    </row>
    <row r="345" spans="1:32" ht="15" customHeight="1">
      <c r="A345" s="10" t="s">
        <v>143</v>
      </c>
      <c r="B345" s="61" t="s">
        <v>287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1750.79</v>
      </c>
      <c r="J345" s="10">
        <v>1298.0899999999999</v>
      </c>
      <c r="K345" s="10">
        <v>647.91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1026.31</v>
      </c>
      <c r="T345" s="10">
        <v>0</v>
      </c>
      <c r="U345" s="10">
        <v>852.16</v>
      </c>
      <c r="V345" s="10">
        <v>0</v>
      </c>
      <c r="W345" s="10">
        <v>0</v>
      </c>
      <c r="X345" s="10">
        <v>1000</v>
      </c>
      <c r="Y345" s="10">
        <v>1430.78</v>
      </c>
      <c r="Z345" s="10">
        <v>0</v>
      </c>
      <c r="AA345" s="10">
        <v>0</v>
      </c>
      <c r="AB345" s="10">
        <v>505.83</v>
      </c>
      <c r="AC345" s="10">
        <v>0</v>
      </c>
      <c r="AD345" s="10">
        <v>0</v>
      </c>
      <c r="AE345" s="10">
        <v>0</v>
      </c>
      <c r="AF345" s="10">
        <v>0</v>
      </c>
    </row>
    <row r="346" spans="1:32" ht="15" customHeight="1">
      <c r="A346" s="10" t="s">
        <v>143</v>
      </c>
      <c r="B346" s="61" t="s">
        <v>288</v>
      </c>
      <c r="C346" s="10">
        <v>0</v>
      </c>
      <c r="D346" s="10">
        <v>1462.5</v>
      </c>
      <c r="E346" s="10">
        <v>300</v>
      </c>
      <c r="F346" s="10">
        <v>0</v>
      </c>
      <c r="G346" s="10">
        <v>350</v>
      </c>
      <c r="H346" s="10">
        <v>1630.33</v>
      </c>
      <c r="I346" s="10">
        <v>500</v>
      </c>
      <c r="J346" s="10">
        <v>1789.51</v>
      </c>
      <c r="K346" s="10">
        <v>0</v>
      </c>
      <c r="L346" s="10">
        <v>229.59</v>
      </c>
      <c r="M346" s="10">
        <v>0</v>
      </c>
      <c r="N346" s="10">
        <v>2201.09</v>
      </c>
      <c r="O346" s="10">
        <v>1577.99</v>
      </c>
      <c r="P346" s="10">
        <v>1838.39</v>
      </c>
      <c r="Q346" s="10">
        <v>1284.49</v>
      </c>
      <c r="R346" s="10">
        <v>1000</v>
      </c>
      <c r="S346" s="10">
        <v>0</v>
      </c>
      <c r="T346" s="10">
        <v>1087.05</v>
      </c>
      <c r="U346" s="10">
        <v>0</v>
      </c>
      <c r="V346" s="10">
        <v>1809.09</v>
      </c>
      <c r="W346" s="10">
        <v>1285.6600000000001</v>
      </c>
      <c r="X346" s="10">
        <v>2702.36</v>
      </c>
      <c r="Y346" s="10">
        <v>2000.6</v>
      </c>
      <c r="Z346" s="10">
        <v>560.61</v>
      </c>
      <c r="AA346" s="10">
        <v>2252.62</v>
      </c>
      <c r="AB346" s="10">
        <v>2623.55</v>
      </c>
      <c r="AC346" s="10">
        <v>1472.14</v>
      </c>
      <c r="AD346" s="10">
        <v>1879.08</v>
      </c>
      <c r="AE346" s="10">
        <v>600</v>
      </c>
      <c r="AF346" s="10">
        <v>0</v>
      </c>
    </row>
    <row r="347" spans="1:32" ht="15" customHeight="1">
      <c r="A347" s="10" t="s">
        <v>143</v>
      </c>
      <c r="B347" s="61" t="s">
        <v>289</v>
      </c>
      <c r="C347" s="10">
        <v>2201.09</v>
      </c>
      <c r="D347" s="10">
        <v>1188.01</v>
      </c>
      <c r="E347" s="10">
        <v>0</v>
      </c>
      <c r="F347" s="10">
        <v>453.95</v>
      </c>
      <c r="G347" s="10">
        <v>0</v>
      </c>
      <c r="H347" s="10">
        <v>1334.1</v>
      </c>
      <c r="I347" s="10">
        <v>1662.66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859.98</v>
      </c>
      <c r="P347" s="10">
        <v>947.65</v>
      </c>
      <c r="Q347" s="10">
        <v>0</v>
      </c>
      <c r="R347" s="10">
        <v>1007.1</v>
      </c>
      <c r="S347" s="10">
        <v>0</v>
      </c>
      <c r="T347" s="10">
        <v>0</v>
      </c>
      <c r="U347" s="10">
        <v>0</v>
      </c>
      <c r="V347" s="10">
        <v>521.16</v>
      </c>
      <c r="W347" s="10">
        <v>0</v>
      </c>
      <c r="X347" s="10">
        <v>0</v>
      </c>
      <c r="Y347" s="10">
        <v>1480.09</v>
      </c>
      <c r="Z347" s="10">
        <v>0</v>
      </c>
      <c r="AA347" s="10">
        <v>772.6</v>
      </c>
      <c r="AB347" s="10">
        <v>0</v>
      </c>
      <c r="AC347" s="10">
        <v>1031.6199999999999</v>
      </c>
      <c r="AD347" s="10">
        <v>1109.6099999999999</v>
      </c>
      <c r="AE347" s="10">
        <v>0</v>
      </c>
      <c r="AF347" s="10">
        <v>868</v>
      </c>
    </row>
    <row r="348" spans="1:32" ht="15" customHeight="1">
      <c r="A348" s="10" t="s">
        <v>143</v>
      </c>
      <c r="B348" s="61" t="s">
        <v>290</v>
      </c>
      <c r="C348" s="10">
        <v>1577.99</v>
      </c>
      <c r="D348" s="10">
        <v>332.27</v>
      </c>
      <c r="E348" s="10">
        <v>1075.07</v>
      </c>
      <c r="F348" s="10">
        <v>753.16</v>
      </c>
      <c r="G348" s="10">
        <v>662.94</v>
      </c>
      <c r="H348" s="10">
        <v>528.63</v>
      </c>
      <c r="I348" s="10">
        <v>809.27</v>
      </c>
      <c r="J348" s="10">
        <v>1294.23</v>
      </c>
      <c r="K348" s="10">
        <v>0</v>
      </c>
      <c r="L348" s="10">
        <v>1723.59</v>
      </c>
      <c r="M348" s="10">
        <v>0</v>
      </c>
      <c r="N348" s="10">
        <v>859.98</v>
      </c>
      <c r="O348" s="10">
        <v>0</v>
      </c>
      <c r="P348" s="10">
        <v>331.49</v>
      </c>
      <c r="Q348" s="10">
        <v>0</v>
      </c>
      <c r="R348" s="10">
        <v>427.99</v>
      </c>
      <c r="S348" s="10">
        <v>1262.6500000000001</v>
      </c>
      <c r="T348" s="10">
        <v>938.11</v>
      </c>
      <c r="U348" s="10">
        <v>0</v>
      </c>
      <c r="V348" s="10">
        <v>339.14</v>
      </c>
      <c r="W348" s="10">
        <v>1129.3900000000001</v>
      </c>
      <c r="X348" s="10">
        <v>0</v>
      </c>
      <c r="Y348" s="10">
        <v>818.17</v>
      </c>
      <c r="Z348" s="10">
        <v>0</v>
      </c>
      <c r="AA348" s="10">
        <v>677.09</v>
      </c>
      <c r="AB348" s="10">
        <v>1974.19</v>
      </c>
      <c r="AC348" s="10">
        <v>171.93</v>
      </c>
      <c r="AD348" s="10">
        <v>470.6</v>
      </c>
      <c r="AE348" s="10">
        <v>0</v>
      </c>
      <c r="AF348" s="10">
        <v>0</v>
      </c>
    </row>
    <row r="349" spans="1:32" ht="15" customHeight="1">
      <c r="A349" s="10" t="s">
        <v>143</v>
      </c>
      <c r="B349" s="61" t="s">
        <v>291</v>
      </c>
      <c r="C349" s="10">
        <v>1838.39</v>
      </c>
      <c r="D349" s="10">
        <v>400.59</v>
      </c>
      <c r="E349" s="10">
        <v>1146.05</v>
      </c>
      <c r="F349" s="10">
        <v>671.18</v>
      </c>
      <c r="G349" s="10">
        <v>850.87</v>
      </c>
      <c r="H349" s="10">
        <v>415.87</v>
      </c>
      <c r="I349" s="10">
        <v>790.13</v>
      </c>
      <c r="J349" s="10">
        <v>1171.94</v>
      </c>
      <c r="K349" s="10">
        <v>0</v>
      </c>
      <c r="L349" s="10">
        <v>0</v>
      </c>
      <c r="M349" s="10">
        <v>0</v>
      </c>
      <c r="N349" s="10">
        <v>947.65</v>
      </c>
      <c r="O349" s="10">
        <v>331.49</v>
      </c>
      <c r="P349" s="10">
        <v>0</v>
      </c>
      <c r="Q349" s="10">
        <v>0</v>
      </c>
      <c r="R349" s="10">
        <v>755.26</v>
      </c>
      <c r="S349" s="10">
        <v>961.23</v>
      </c>
      <c r="T349" s="10">
        <v>1025.1099999999999</v>
      </c>
      <c r="U349" s="10">
        <v>1141.83</v>
      </c>
      <c r="V349" s="10">
        <v>486.51</v>
      </c>
      <c r="W349" s="10">
        <v>1144.4000000000001</v>
      </c>
      <c r="X349" s="10">
        <v>0</v>
      </c>
      <c r="Y349" s="10">
        <v>551.72</v>
      </c>
      <c r="Z349" s="10">
        <v>0</v>
      </c>
      <c r="AA349" s="10">
        <v>452.36</v>
      </c>
      <c r="AB349" s="10">
        <v>1745.85</v>
      </c>
      <c r="AC349" s="10">
        <v>369.97</v>
      </c>
      <c r="AD349" s="10">
        <v>171.65</v>
      </c>
      <c r="AE349" s="10">
        <v>0</v>
      </c>
      <c r="AF349" s="10">
        <v>0</v>
      </c>
    </row>
    <row r="350" spans="1:32" ht="15" customHeight="1">
      <c r="A350" s="10" t="s">
        <v>143</v>
      </c>
      <c r="B350" s="61" t="s">
        <v>292</v>
      </c>
      <c r="C350" s="10">
        <v>1284.49</v>
      </c>
      <c r="D350" s="10">
        <v>0</v>
      </c>
      <c r="E350" s="10">
        <v>924.14</v>
      </c>
      <c r="F350" s="10">
        <v>0</v>
      </c>
      <c r="G350" s="10">
        <v>0</v>
      </c>
      <c r="H350" s="10">
        <v>0</v>
      </c>
      <c r="I350" s="10">
        <v>1286.0899999999999</v>
      </c>
      <c r="J350" s="10">
        <v>1213.43</v>
      </c>
      <c r="K350" s="10">
        <v>0</v>
      </c>
      <c r="L350" s="10">
        <v>1479.45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1057.17</v>
      </c>
      <c r="U350" s="10">
        <v>0</v>
      </c>
      <c r="V350" s="10">
        <v>0</v>
      </c>
      <c r="W350" s="10">
        <v>932.26</v>
      </c>
      <c r="X350" s="10">
        <v>1780.16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363.85</v>
      </c>
      <c r="AF350" s="10">
        <v>0</v>
      </c>
    </row>
    <row r="351" spans="1:32" ht="15" customHeight="1">
      <c r="A351" s="10" t="s">
        <v>143</v>
      </c>
      <c r="B351" s="61" t="s">
        <v>293</v>
      </c>
      <c r="C351" s="10">
        <v>1000</v>
      </c>
      <c r="D351" s="10">
        <v>557.69000000000005</v>
      </c>
      <c r="E351" s="10">
        <v>1040.22</v>
      </c>
      <c r="F351" s="10">
        <v>1075.51</v>
      </c>
      <c r="G351" s="10">
        <v>540.01</v>
      </c>
      <c r="H351" s="10">
        <v>812.43</v>
      </c>
      <c r="I351" s="10">
        <v>934.15</v>
      </c>
      <c r="J351" s="10">
        <v>1472.56</v>
      </c>
      <c r="K351" s="10">
        <v>0</v>
      </c>
      <c r="L351" s="10">
        <v>1341.02</v>
      </c>
      <c r="M351" s="10">
        <v>0</v>
      </c>
      <c r="N351" s="10">
        <v>1007.1</v>
      </c>
      <c r="O351" s="10">
        <v>427.99</v>
      </c>
      <c r="P351" s="10">
        <v>755.26</v>
      </c>
      <c r="Q351" s="10">
        <v>0</v>
      </c>
      <c r="R351" s="10">
        <v>0</v>
      </c>
      <c r="S351" s="10">
        <v>0</v>
      </c>
      <c r="T351" s="10">
        <v>903.08</v>
      </c>
      <c r="U351" s="10">
        <v>0</v>
      </c>
      <c r="V351" s="10">
        <v>586.66</v>
      </c>
      <c r="W351" s="10">
        <v>1161.05</v>
      </c>
      <c r="X351" s="10">
        <v>0</v>
      </c>
      <c r="Y351" s="10">
        <v>1174.6600000000001</v>
      </c>
      <c r="Z351" s="10">
        <v>0</v>
      </c>
      <c r="AA351" s="10">
        <v>1082.6300000000001</v>
      </c>
      <c r="AB351" s="10">
        <v>2245.4899999999998</v>
      </c>
      <c r="AC351" s="10">
        <v>429.95</v>
      </c>
      <c r="AD351" s="10">
        <v>874.11</v>
      </c>
      <c r="AE351" s="10">
        <v>1673.84</v>
      </c>
      <c r="AF351" s="10">
        <v>0</v>
      </c>
    </row>
    <row r="352" spans="1:32" ht="15" customHeight="1">
      <c r="A352" s="10" t="s">
        <v>143</v>
      </c>
      <c r="B352" s="61" t="s">
        <v>309</v>
      </c>
      <c r="C352" s="10">
        <v>0</v>
      </c>
      <c r="D352" s="10">
        <v>1094.8399999999999</v>
      </c>
      <c r="E352" s="10">
        <v>0</v>
      </c>
      <c r="F352" s="10">
        <v>0</v>
      </c>
      <c r="G352" s="10">
        <v>0</v>
      </c>
      <c r="H352" s="10">
        <v>850.9</v>
      </c>
      <c r="I352" s="10">
        <v>1015.33</v>
      </c>
      <c r="J352" s="10">
        <v>873.01</v>
      </c>
      <c r="K352" s="10">
        <v>384.47</v>
      </c>
      <c r="L352" s="10">
        <v>0</v>
      </c>
      <c r="M352" s="10">
        <v>1026.31</v>
      </c>
      <c r="N352" s="10">
        <v>0</v>
      </c>
      <c r="O352" s="10">
        <v>1262.6500000000001</v>
      </c>
      <c r="P352" s="10">
        <v>961.23</v>
      </c>
      <c r="Q352" s="10">
        <v>0</v>
      </c>
      <c r="R352" s="10">
        <v>0</v>
      </c>
      <c r="S352" s="10">
        <v>0</v>
      </c>
      <c r="T352" s="10">
        <v>0</v>
      </c>
      <c r="U352" s="10">
        <v>180.61</v>
      </c>
      <c r="V352" s="10">
        <v>0</v>
      </c>
      <c r="W352" s="10">
        <v>1249.7</v>
      </c>
      <c r="X352" s="10">
        <v>1153.01</v>
      </c>
      <c r="Y352" s="10">
        <v>464.52</v>
      </c>
      <c r="Z352" s="10">
        <v>0</v>
      </c>
      <c r="AA352" s="10">
        <v>1059.29</v>
      </c>
      <c r="AB352" s="10">
        <v>923.23</v>
      </c>
      <c r="AC352" s="10">
        <v>1207.05</v>
      </c>
      <c r="AD352" s="10">
        <v>797.05</v>
      </c>
      <c r="AE352" s="10">
        <v>0</v>
      </c>
      <c r="AF352" s="10">
        <v>0</v>
      </c>
    </row>
    <row r="353" spans="1:32" ht="15" customHeight="1">
      <c r="A353" s="10" t="s">
        <v>143</v>
      </c>
      <c r="B353" s="61" t="s">
        <v>294</v>
      </c>
      <c r="C353" s="10">
        <v>1087.05</v>
      </c>
      <c r="D353" s="10">
        <v>640.32000000000005</v>
      </c>
      <c r="E353" s="10">
        <v>140.4</v>
      </c>
      <c r="F353" s="10">
        <v>0</v>
      </c>
      <c r="G353" s="10">
        <v>367.02</v>
      </c>
      <c r="H353" s="10">
        <v>665.24</v>
      </c>
      <c r="I353" s="10">
        <v>339.26</v>
      </c>
      <c r="J353" s="10">
        <v>737.81</v>
      </c>
      <c r="K353" s="10">
        <v>0</v>
      </c>
      <c r="L353" s="10">
        <v>1307.3599999999999</v>
      </c>
      <c r="M353" s="10">
        <v>0</v>
      </c>
      <c r="N353" s="10">
        <v>0</v>
      </c>
      <c r="O353" s="10">
        <v>938.11</v>
      </c>
      <c r="P353" s="10">
        <v>1025.1099999999999</v>
      </c>
      <c r="Q353" s="10">
        <v>1057.17</v>
      </c>
      <c r="R353" s="10">
        <v>903.08</v>
      </c>
      <c r="S353" s="10">
        <v>0</v>
      </c>
      <c r="T353" s="10">
        <v>0</v>
      </c>
      <c r="U353" s="10">
        <v>0</v>
      </c>
      <c r="V353" s="10">
        <v>0</v>
      </c>
      <c r="W353" s="10">
        <v>279.54000000000002</v>
      </c>
      <c r="X353" s="10">
        <v>1703.34</v>
      </c>
      <c r="Y353" s="10">
        <v>969.45</v>
      </c>
      <c r="Z353" s="10">
        <v>0</v>
      </c>
      <c r="AA353" s="10">
        <v>0</v>
      </c>
      <c r="AB353" s="10">
        <v>1586.29</v>
      </c>
      <c r="AC353" s="10">
        <v>767.73</v>
      </c>
      <c r="AD353" s="10">
        <v>981.17</v>
      </c>
      <c r="AE353" s="10">
        <v>785.89</v>
      </c>
      <c r="AF353" s="10">
        <v>0</v>
      </c>
    </row>
    <row r="354" spans="1:32" ht="15" customHeight="1">
      <c r="A354" s="10" t="s">
        <v>143</v>
      </c>
      <c r="B354" s="61" t="s">
        <v>310</v>
      </c>
      <c r="C354" s="10">
        <v>0</v>
      </c>
      <c r="D354" s="10">
        <v>1264.26</v>
      </c>
      <c r="E354" s="10">
        <v>0</v>
      </c>
      <c r="F354" s="10">
        <v>0</v>
      </c>
      <c r="G354" s="10">
        <v>0</v>
      </c>
      <c r="H354" s="10">
        <v>1016.04</v>
      </c>
      <c r="I354" s="10">
        <v>1144.5999999999999</v>
      </c>
      <c r="J354" s="10">
        <v>921.65</v>
      </c>
      <c r="K354" s="10">
        <v>205.65</v>
      </c>
      <c r="L354" s="10">
        <v>0</v>
      </c>
      <c r="M354" s="10">
        <v>852.16</v>
      </c>
      <c r="N354" s="10">
        <v>0</v>
      </c>
      <c r="O354" s="10">
        <v>0</v>
      </c>
      <c r="P354" s="10">
        <v>1141.83</v>
      </c>
      <c r="Q354" s="10">
        <v>0</v>
      </c>
      <c r="R354" s="10">
        <v>0</v>
      </c>
      <c r="S354" s="10">
        <v>180.61</v>
      </c>
      <c r="T354" s="10">
        <v>0</v>
      </c>
      <c r="U354" s="10">
        <v>0</v>
      </c>
      <c r="V354" s="10">
        <v>0</v>
      </c>
      <c r="W354" s="10">
        <v>1345.25</v>
      </c>
      <c r="X354" s="10">
        <v>1031.76</v>
      </c>
      <c r="Y354" s="10">
        <v>636.20000000000005</v>
      </c>
      <c r="Z354" s="10">
        <v>0</v>
      </c>
      <c r="AA354" s="10">
        <v>1225.5</v>
      </c>
      <c r="AB354" s="10">
        <v>802.01</v>
      </c>
      <c r="AC354" s="10">
        <v>0</v>
      </c>
      <c r="AD354" s="10">
        <v>977.33</v>
      </c>
      <c r="AE354" s="10">
        <v>0</v>
      </c>
      <c r="AF354" s="10">
        <v>0</v>
      </c>
    </row>
    <row r="355" spans="1:32" ht="15" customHeight="1">
      <c r="A355" s="10" t="s">
        <v>143</v>
      </c>
      <c r="B355" s="61" t="s">
        <v>297</v>
      </c>
      <c r="C355" s="10">
        <v>1285.6600000000001</v>
      </c>
      <c r="D355" s="10">
        <v>804.24</v>
      </c>
      <c r="E355" s="10">
        <v>192.2</v>
      </c>
      <c r="F355" s="10">
        <v>0</v>
      </c>
      <c r="G355" s="10">
        <v>637.54999999999995</v>
      </c>
      <c r="H355" s="10">
        <v>738.71</v>
      </c>
      <c r="I355" s="10">
        <v>356.15</v>
      </c>
      <c r="J355" s="10">
        <v>503.89</v>
      </c>
      <c r="K355" s="10">
        <v>0</v>
      </c>
      <c r="L355" s="10">
        <v>1513.18</v>
      </c>
      <c r="M355" s="10">
        <v>0</v>
      </c>
      <c r="N355" s="10">
        <v>0</v>
      </c>
      <c r="O355" s="10">
        <v>1129.3900000000001</v>
      </c>
      <c r="P355" s="10">
        <v>1144.4000000000001</v>
      </c>
      <c r="Q355" s="10">
        <v>932.26</v>
      </c>
      <c r="R355" s="10">
        <v>1161.05</v>
      </c>
      <c r="S355" s="10">
        <v>1249.7</v>
      </c>
      <c r="T355" s="10">
        <v>279.54000000000002</v>
      </c>
      <c r="U355" s="10">
        <v>1345.25</v>
      </c>
      <c r="V355" s="10">
        <v>0</v>
      </c>
      <c r="W355" s="10">
        <v>0</v>
      </c>
      <c r="X355" s="10">
        <v>1444.25</v>
      </c>
      <c r="Y355" s="10">
        <v>943.16</v>
      </c>
      <c r="Z355" s="10">
        <v>0</v>
      </c>
      <c r="AA355" s="10">
        <v>0</v>
      </c>
      <c r="AB355" s="10">
        <v>1343.75</v>
      </c>
      <c r="AC355" s="10">
        <v>958.07</v>
      </c>
      <c r="AD355" s="10">
        <v>1060.75</v>
      </c>
      <c r="AE355" s="10">
        <v>604.03</v>
      </c>
      <c r="AF355" s="10">
        <v>0</v>
      </c>
    </row>
    <row r="356" spans="1:32" ht="15" customHeight="1">
      <c r="A356" s="10" t="s">
        <v>143</v>
      </c>
      <c r="B356" s="61" t="s">
        <v>298</v>
      </c>
      <c r="C356" s="10">
        <v>2702.36</v>
      </c>
      <c r="D356" s="10">
        <v>0</v>
      </c>
      <c r="E356" s="10">
        <v>1636.14</v>
      </c>
      <c r="F356" s="10">
        <v>0</v>
      </c>
      <c r="G356" s="10">
        <v>0</v>
      </c>
      <c r="H356" s="10">
        <v>1642</v>
      </c>
      <c r="I356" s="10">
        <v>1503.63</v>
      </c>
      <c r="J356" s="10">
        <v>700</v>
      </c>
      <c r="K356" s="10">
        <v>885</v>
      </c>
      <c r="L356" s="10">
        <v>0</v>
      </c>
      <c r="M356" s="10">
        <v>1000</v>
      </c>
      <c r="N356" s="10">
        <v>0</v>
      </c>
      <c r="O356" s="10">
        <v>0</v>
      </c>
      <c r="P356" s="10">
        <v>0</v>
      </c>
      <c r="Q356" s="10">
        <v>1780.16</v>
      </c>
      <c r="R356" s="10">
        <v>0</v>
      </c>
      <c r="S356" s="10">
        <v>1153.01</v>
      </c>
      <c r="T356" s="10">
        <v>1703.34</v>
      </c>
      <c r="U356" s="10">
        <v>1031.76</v>
      </c>
      <c r="V356" s="10">
        <v>0</v>
      </c>
      <c r="W356" s="10">
        <v>1444.25</v>
      </c>
      <c r="X356" s="10">
        <v>0</v>
      </c>
      <c r="Y356" s="10">
        <v>1408.54</v>
      </c>
      <c r="Z356" s="10">
        <v>0</v>
      </c>
      <c r="AA356" s="10">
        <v>0</v>
      </c>
      <c r="AB356" s="10">
        <v>230.32</v>
      </c>
      <c r="AC356" s="10">
        <v>0</v>
      </c>
      <c r="AD356" s="10">
        <v>0</v>
      </c>
      <c r="AE356" s="10">
        <v>1492.31</v>
      </c>
      <c r="AF356" s="10">
        <v>0</v>
      </c>
    </row>
    <row r="357" spans="1:32" ht="15" customHeight="1">
      <c r="A357" s="10" t="s">
        <v>143</v>
      </c>
      <c r="B357" s="61" t="s">
        <v>357</v>
      </c>
      <c r="C357" s="10">
        <v>1809.09</v>
      </c>
      <c r="D357" s="10">
        <v>667.29</v>
      </c>
      <c r="E357" s="10">
        <v>0</v>
      </c>
      <c r="F357" s="10">
        <v>489.51</v>
      </c>
      <c r="G357" s="10">
        <v>978.2</v>
      </c>
      <c r="H357" s="10">
        <v>829.38</v>
      </c>
      <c r="I357" s="10">
        <v>1143.0899999999999</v>
      </c>
      <c r="J357" s="10">
        <v>0</v>
      </c>
      <c r="K357" s="10">
        <v>0</v>
      </c>
      <c r="L357" s="10">
        <v>0</v>
      </c>
      <c r="M357" s="10">
        <v>0</v>
      </c>
      <c r="N357" s="10">
        <v>521.16</v>
      </c>
      <c r="O357" s="10">
        <v>339.14</v>
      </c>
      <c r="P357" s="10">
        <v>486.51</v>
      </c>
      <c r="Q357" s="10">
        <v>0</v>
      </c>
      <c r="R357" s="10">
        <v>586.66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1038.1300000000001</v>
      </c>
      <c r="Z357" s="10">
        <v>0</v>
      </c>
      <c r="AA357" s="10">
        <v>569.07000000000005</v>
      </c>
      <c r="AB357" s="10">
        <v>0</v>
      </c>
      <c r="AC357" s="10">
        <v>511.02</v>
      </c>
      <c r="AD357" s="10">
        <v>658.16</v>
      </c>
      <c r="AE357" s="10">
        <v>0</v>
      </c>
      <c r="AF357" s="10">
        <v>0</v>
      </c>
    </row>
    <row r="358" spans="1:32" ht="15" customHeight="1">
      <c r="A358" s="10" t="s">
        <v>143</v>
      </c>
      <c r="B358" s="61" t="s">
        <v>299</v>
      </c>
      <c r="C358" s="10">
        <v>2000.6</v>
      </c>
      <c r="D358" s="10">
        <v>630.36</v>
      </c>
      <c r="E358" s="10">
        <v>1037.53</v>
      </c>
      <c r="F358" s="10">
        <v>1129.69</v>
      </c>
      <c r="G358" s="10">
        <v>1001.53</v>
      </c>
      <c r="H358" s="10">
        <v>390.18</v>
      </c>
      <c r="I358" s="10">
        <v>633.87</v>
      </c>
      <c r="J358" s="10">
        <v>745.5</v>
      </c>
      <c r="K358" s="10">
        <v>825.43</v>
      </c>
      <c r="L358" s="10">
        <v>0</v>
      </c>
      <c r="M358" s="10">
        <v>1430.78</v>
      </c>
      <c r="N358" s="10">
        <v>1480.09</v>
      </c>
      <c r="O358" s="10">
        <v>818.17</v>
      </c>
      <c r="P358" s="10">
        <v>551.72</v>
      </c>
      <c r="Q358" s="10">
        <v>0</v>
      </c>
      <c r="R358" s="10">
        <v>1174.6600000000001</v>
      </c>
      <c r="S358" s="10">
        <v>464.52</v>
      </c>
      <c r="T358" s="10">
        <v>969.45</v>
      </c>
      <c r="U358" s="10">
        <v>636.20000000000005</v>
      </c>
      <c r="V358" s="10">
        <v>1038.1300000000001</v>
      </c>
      <c r="W358" s="10">
        <v>943.16</v>
      </c>
      <c r="X358" s="10">
        <v>1408.54</v>
      </c>
      <c r="Y358" s="10">
        <v>0</v>
      </c>
      <c r="Z358" s="10">
        <v>0</v>
      </c>
      <c r="AA358" s="10">
        <v>809.16</v>
      </c>
      <c r="AB358" s="10">
        <v>1196.53</v>
      </c>
      <c r="AC358" s="10">
        <v>746.53</v>
      </c>
      <c r="AD358" s="10">
        <v>380.21</v>
      </c>
      <c r="AE358" s="10">
        <v>1502.63</v>
      </c>
      <c r="AF358" s="10">
        <v>0</v>
      </c>
    </row>
    <row r="359" spans="1:32" ht="15" customHeight="1">
      <c r="A359" s="10" t="s">
        <v>143</v>
      </c>
      <c r="B359" s="61" t="s">
        <v>300</v>
      </c>
      <c r="C359" s="10">
        <v>560.61</v>
      </c>
      <c r="D359" s="10">
        <v>0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421.67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1672.93</v>
      </c>
      <c r="AF359" s="10">
        <v>0</v>
      </c>
    </row>
    <row r="360" spans="1:32" ht="15" customHeight="1">
      <c r="A360" s="10" t="s">
        <v>143</v>
      </c>
      <c r="B360" s="61" t="s">
        <v>301</v>
      </c>
      <c r="C360" s="10">
        <v>2252.62</v>
      </c>
      <c r="D360" s="10">
        <v>850.72</v>
      </c>
      <c r="E360" s="10">
        <v>0</v>
      </c>
      <c r="F360" s="10">
        <v>343.03</v>
      </c>
      <c r="G360" s="10">
        <v>1292.28</v>
      </c>
      <c r="H360" s="10">
        <v>842.37</v>
      </c>
      <c r="I360" s="10">
        <v>1224.8499999999999</v>
      </c>
      <c r="J360" s="10">
        <v>1533.41</v>
      </c>
      <c r="K360" s="10">
        <v>0</v>
      </c>
      <c r="L360" s="10">
        <v>0</v>
      </c>
      <c r="M360" s="10">
        <v>0</v>
      </c>
      <c r="N360" s="10">
        <v>772.6</v>
      </c>
      <c r="O360" s="10">
        <v>677.09</v>
      </c>
      <c r="P360" s="10">
        <v>452.36</v>
      </c>
      <c r="Q360" s="10">
        <v>0</v>
      </c>
      <c r="R360" s="10">
        <v>1082.6300000000001</v>
      </c>
      <c r="S360" s="10">
        <v>1059.29</v>
      </c>
      <c r="T360" s="10">
        <v>0</v>
      </c>
      <c r="U360" s="10">
        <v>1225.5</v>
      </c>
      <c r="V360" s="10">
        <v>569.07000000000005</v>
      </c>
      <c r="W360" s="10">
        <v>0</v>
      </c>
      <c r="X360" s="10">
        <v>0</v>
      </c>
      <c r="Y360" s="10">
        <v>809.16</v>
      </c>
      <c r="Z360" s="10">
        <v>0</v>
      </c>
      <c r="AA360" s="10">
        <v>0</v>
      </c>
      <c r="AB360" s="10">
        <v>0</v>
      </c>
      <c r="AC360" s="10">
        <v>787.57</v>
      </c>
      <c r="AD360" s="10">
        <v>523.91999999999996</v>
      </c>
      <c r="AE360" s="10">
        <v>0</v>
      </c>
      <c r="AF360" s="10">
        <v>899</v>
      </c>
    </row>
    <row r="361" spans="1:32" ht="15" customHeight="1">
      <c r="A361" s="10" t="s">
        <v>143</v>
      </c>
      <c r="B361" s="61" t="s">
        <v>303</v>
      </c>
      <c r="C361" s="10">
        <v>2623.55</v>
      </c>
      <c r="D361" s="10">
        <v>1698.79</v>
      </c>
      <c r="E361" s="10">
        <v>1535.26</v>
      </c>
      <c r="F361" s="10">
        <v>0</v>
      </c>
      <c r="G361" s="10">
        <v>1857.41</v>
      </c>
      <c r="H361" s="10">
        <v>1454.22</v>
      </c>
      <c r="I361" s="10">
        <v>1354.27</v>
      </c>
      <c r="J361" s="10">
        <v>400</v>
      </c>
      <c r="K361" s="10">
        <v>661.72</v>
      </c>
      <c r="L361" s="10">
        <v>0</v>
      </c>
      <c r="M361" s="10">
        <v>505.83</v>
      </c>
      <c r="N361" s="10">
        <v>0</v>
      </c>
      <c r="O361" s="10">
        <v>1974.19</v>
      </c>
      <c r="P361" s="10">
        <v>1745.85</v>
      </c>
      <c r="Q361" s="10">
        <v>0</v>
      </c>
      <c r="R361" s="10">
        <v>2245.4899999999998</v>
      </c>
      <c r="S361" s="10">
        <v>923.23</v>
      </c>
      <c r="T361" s="10">
        <v>1586.29</v>
      </c>
      <c r="U361" s="10">
        <v>802.01</v>
      </c>
      <c r="V361" s="10">
        <v>0</v>
      </c>
      <c r="W361" s="10">
        <v>1343.75</v>
      </c>
      <c r="X361" s="10">
        <v>230.32</v>
      </c>
      <c r="Y361" s="10">
        <v>1196.53</v>
      </c>
      <c r="Z361" s="10">
        <v>0</v>
      </c>
      <c r="AA361" s="10">
        <v>0</v>
      </c>
      <c r="AB361" s="10">
        <v>0</v>
      </c>
      <c r="AC361" s="10">
        <v>1858.18</v>
      </c>
      <c r="AD361" s="10">
        <v>1575.37</v>
      </c>
      <c r="AE361" s="10">
        <v>1485.18</v>
      </c>
      <c r="AF361" s="10">
        <v>0</v>
      </c>
    </row>
    <row r="362" spans="1:32" ht="15" customHeight="1">
      <c r="A362" s="10" t="s">
        <v>143</v>
      </c>
      <c r="B362" s="61" t="s">
        <v>304</v>
      </c>
      <c r="C362" s="10">
        <v>1472.14</v>
      </c>
      <c r="D362" s="10">
        <v>171.24</v>
      </c>
      <c r="E362" s="10">
        <v>903.98</v>
      </c>
      <c r="F362" s="10">
        <v>908.29</v>
      </c>
      <c r="G362" s="10">
        <v>511.84</v>
      </c>
      <c r="H362" s="10">
        <v>404.31</v>
      </c>
      <c r="I362" s="10">
        <v>643.65</v>
      </c>
      <c r="J362" s="10">
        <v>1144.1199999999999</v>
      </c>
      <c r="K362" s="10">
        <v>0</v>
      </c>
      <c r="L362" s="10">
        <v>1632.96</v>
      </c>
      <c r="M362" s="10">
        <v>0</v>
      </c>
      <c r="N362" s="10">
        <v>1031.6199999999999</v>
      </c>
      <c r="O362" s="10">
        <v>171.93</v>
      </c>
      <c r="P362" s="10">
        <v>369.97</v>
      </c>
      <c r="Q362" s="10">
        <v>0</v>
      </c>
      <c r="R362" s="10">
        <v>429.95</v>
      </c>
      <c r="S362" s="10">
        <v>1207.05</v>
      </c>
      <c r="T362" s="10">
        <v>767.73</v>
      </c>
      <c r="U362" s="10">
        <v>0</v>
      </c>
      <c r="V362" s="10">
        <v>511.02</v>
      </c>
      <c r="W362" s="10">
        <v>958.07</v>
      </c>
      <c r="X362" s="10">
        <v>0</v>
      </c>
      <c r="Y362" s="10">
        <v>746.53</v>
      </c>
      <c r="Z362" s="10">
        <v>0</v>
      </c>
      <c r="AA362" s="10">
        <v>787.57</v>
      </c>
      <c r="AB362" s="10">
        <v>1858.18</v>
      </c>
      <c r="AC362" s="10">
        <v>0</v>
      </c>
      <c r="AD362" s="10">
        <v>454.53</v>
      </c>
      <c r="AE362" s="10">
        <v>0</v>
      </c>
      <c r="AF362" s="10">
        <v>0</v>
      </c>
    </row>
    <row r="363" spans="1:32" ht="15" customHeight="1">
      <c r="A363" s="10" t="s">
        <v>143</v>
      </c>
      <c r="B363" s="61" t="s">
        <v>305</v>
      </c>
      <c r="C363" s="10">
        <v>1879.08</v>
      </c>
      <c r="D363" s="10">
        <v>416.67</v>
      </c>
      <c r="E363" s="10">
        <v>1089.56</v>
      </c>
      <c r="F363" s="10">
        <v>797.9</v>
      </c>
      <c r="G363" s="10">
        <v>869.38</v>
      </c>
      <c r="H363" s="10">
        <v>323.69</v>
      </c>
      <c r="I363" s="10">
        <v>705.3</v>
      </c>
      <c r="J363" s="10">
        <v>1030.02</v>
      </c>
      <c r="K363" s="10">
        <v>1177.79</v>
      </c>
      <c r="L363" s="10">
        <v>0</v>
      </c>
      <c r="M363" s="10">
        <v>0</v>
      </c>
      <c r="N363" s="10">
        <v>1109.6099999999999</v>
      </c>
      <c r="O363" s="10">
        <v>470.6</v>
      </c>
      <c r="P363" s="10">
        <v>171.65</v>
      </c>
      <c r="Q363" s="10">
        <v>0</v>
      </c>
      <c r="R363" s="10">
        <v>874.11</v>
      </c>
      <c r="S363" s="10">
        <v>797.05</v>
      </c>
      <c r="T363" s="10">
        <v>981.17</v>
      </c>
      <c r="U363" s="10">
        <v>977.33</v>
      </c>
      <c r="V363" s="10">
        <v>658.16</v>
      </c>
      <c r="W363" s="10">
        <v>1060.75</v>
      </c>
      <c r="X363" s="10">
        <v>0</v>
      </c>
      <c r="Y363" s="10">
        <v>380.21</v>
      </c>
      <c r="Z363" s="10">
        <v>0</v>
      </c>
      <c r="AA363" s="10">
        <v>523.91999999999996</v>
      </c>
      <c r="AB363" s="10">
        <v>1575.37</v>
      </c>
      <c r="AC363" s="10">
        <v>454.53</v>
      </c>
      <c r="AD363" s="10">
        <v>0</v>
      </c>
      <c r="AE363" s="10">
        <v>0</v>
      </c>
      <c r="AF363" s="10">
        <v>0</v>
      </c>
    </row>
    <row r="364" spans="1:32" ht="15" customHeight="1">
      <c r="A364" s="10" t="s">
        <v>143</v>
      </c>
      <c r="B364" s="10" t="s">
        <v>356</v>
      </c>
      <c r="C364" s="10">
        <v>0</v>
      </c>
      <c r="D364" s="10">
        <v>0</v>
      </c>
      <c r="E364" s="10">
        <v>0</v>
      </c>
      <c r="F364" s="10">
        <v>428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868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899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0" t="s">
        <v>143</v>
      </c>
      <c r="B365" s="61" t="s">
        <v>307</v>
      </c>
      <c r="C365" s="10">
        <v>600</v>
      </c>
      <c r="D365" s="10">
        <v>1399.02</v>
      </c>
      <c r="E365" s="10">
        <v>645.59</v>
      </c>
      <c r="F365" s="10">
        <v>0</v>
      </c>
      <c r="G365" s="10">
        <v>1134.76</v>
      </c>
      <c r="H365" s="10">
        <v>1341.38</v>
      </c>
      <c r="I365" s="10">
        <v>959.53</v>
      </c>
      <c r="J365" s="10">
        <v>850.09</v>
      </c>
      <c r="K365" s="10">
        <v>0</v>
      </c>
      <c r="L365" s="10">
        <v>1549.51</v>
      </c>
      <c r="M365" s="10">
        <v>0</v>
      </c>
      <c r="N365" s="10">
        <v>0</v>
      </c>
      <c r="O365" s="10">
        <v>0</v>
      </c>
      <c r="P365" s="10">
        <v>0</v>
      </c>
      <c r="Q365" s="10">
        <v>363.85</v>
      </c>
      <c r="R365" s="10">
        <v>1673.84</v>
      </c>
      <c r="S365" s="10">
        <v>0</v>
      </c>
      <c r="T365" s="10">
        <v>785.89</v>
      </c>
      <c r="U365" s="10">
        <v>0</v>
      </c>
      <c r="V365" s="10">
        <v>0</v>
      </c>
      <c r="W365" s="10">
        <v>604.03</v>
      </c>
      <c r="X365" s="10">
        <v>1492.31</v>
      </c>
      <c r="Y365" s="10">
        <v>1502.63</v>
      </c>
      <c r="Z365" s="10">
        <v>1672.93</v>
      </c>
      <c r="AA365" s="10">
        <v>0</v>
      </c>
      <c r="AB365" s="10">
        <v>1485.18</v>
      </c>
      <c r="AC365" s="10">
        <v>0</v>
      </c>
      <c r="AD365" s="10">
        <v>0</v>
      </c>
      <c r="AE365" s="10">
        <v>0</v>
      </c>
      <c r="AF365" s="10">
        <v>0</v>
      </c>
    </row>
    <row r="366" spans="1:32" ht="15" customHeight="1">
      <c r="A366" s="10" t="s">
        <v>24</v>
      </c>
      <c r="B366" s="61" t="s">
        <v>278</v>
      </c>
      <c r="C366" s="10">
        <v>1462.5</v>
      </c>
      <c r="D366" s="10">
        <v>0</v>
      </c>
      <c r="E366" s="10">
        <v>770.24</v>
      </c>
      <c r="F366" s="10">
        <v>1022.45</v>
      </c>
      <c r="G366" s="10">
        <v>456.36</v>
      </c>
      <c r="H366" s="10">
        <v>254.84</v>
      </c>
      <c r="I366" s="10">
        <v>477.04</v>
      </c>
      <c r="J366" s="10">
        <v>973.03</v>
      </c>
      <c r="K366" s="10">
        <v>0</v>
      </c>
      <c r="L366" s="10">
        <v>1640.58</v>
      </c>
      <c r="M366" s="10">
        <v>0</v>
      </c>
      <c r="N366" s="10">
        <v>1188.01</v>
      </c>
      <c r="O366" s="10">
        <v>332.27</v>
      </c>
      <c r="P366" s="10">
        <v>400.59</v>
      </c>
      <c r="Q366" s="10">
        <v>0</v>
      </c>
      <c r="R366" s="10">
        <v>557.69000000000005</v>
      </c>
      <c r="S366" s="10">
        <v>1094.8399999999999</v>
      </c>
      <c r="T366" s="10">
        <v>640.32000000000005</v>
      </c>
      <c r="U366" s="10">
        <v>1264.26</v>
      </c>
      <c r="V366" s="10">
        <v>667.29</v>
      </c>
      <c r="W366" s="10">
        <v>804.24</v>
      </c>
      <c r="X366" s="10">
        <v>0</v>
      </c>
      <c r="Y366" s="10">
        <v>630.36</v>
      </c>
      <c r="Z366" s="10">
        <v>0</v>
      </c>
      <c r="AA366" s="10">
        <v>850.72</v>
      </c>
      <c r="AB366" s="10">
        <v>1698.79</v>
      </c>
      <c r="AC366" s="10">
        <v>171.24</v>
      </c>
      <c r="AD366" s="10">
        <v>416.67</v>
      </c>
      <c r="AE366" s="10">
        <v>1399.02</v>
      </c>
      <c r="AF366" s="10">
        <v>0</v>
      </c>
    </row>
    <row r="367" spans="1:32" ht="15" customHeight="1">
      <c r="A367" s="10" t="s">
        <v>24</v>
      </c>
      <c r="B367" s="61" t="s">
        <v>280</v>
      </c>
      <c r="C367" s="10">
        <v>300</v>
      </c>
      <c r="D367" s="10">
        <v>770.24</v>
      </c>
      <c r="E367" s="10">
        <v>0</v>
      </c>
      <c r="F367" s="10">
        <v>0</v>
      </c>
      <c r="G367" s="10">
        <v>501.4</v>
      </c>
      <c r="H367" s="10">
        <v>767.87</v>
      </c>
      <c r="I367" s="10">
        <v>406.5</v>
      </c>
      <c r="J367" s="10">
        <v>692.16</v>
      </c>
      <c r="K367" s="10">
        <v>0</v>
      </c>
      <c r="L367" s="10">
        <v>1325.38</v>
      </c>
      <c r="M367" s="10">
        <v>0</v>
      </c>
      <c r="N367" s="10">
        <v>0</v>
      </c>
      <c r="O367" s="10">
        <v>1075.07</v>
      </c>
      <c r="P367" s="10">
        <v>1146.05</v>
      </c>
      <c r="Q367" s="10">
        <v>924.14</v>
      </c>
      <c r="R367" s="10">
        <v>1040.22</v>
      </c>
      <c r="S367" s="10">
        <v>0</v>
      </c>
      <c r="T367" s="10">
        <v>140.4</v>
      </c>
      <c r="U367" s="10">
        <v>0</v>
      </c>
      <c r="V367" s="10">
        <v>0</v>
      </c>
      <c r="W367" s="10">
        <v>192.2</v>
      </c>
      <c r="X367" s="10">
        <v>1636.14</v>
      </c>
      <c r="Y367" s="10">
        <v>1037.53</v>
      </c>
      <c r="Z367" s="10">
        <v>0</v>
      </c>
      <c r="AA367" s="10">
        <v>0</v>
      </c>
      <c r="AB367" s="10">
        <v>1535.26</v>
      </c>
      <c r="AC367" s="10">
        <v>903.98</v>
      </c>
      <c r="AD367" s="10">
        <v>1089.56</v>
      </c>
      <c r="AE367" s="10">
        <v>645.59</v>
      </c>
      <c r="AF367" s="10">
        <v>0</v>
      </c>
    </row>
    <row r="368" spans="1:32" ht="15" customHeight="1">
      <c r="A368" s="10" t="s">
        <v>24</v>
      </c>
      <c r="B368" s="61" t="s">
        <v>281</v>
      </c>
      <c r="C368" s="10">
        <v>0</v>
      </c>
      <c r="D368" s="10">
        <v>1022.45</v>
      </c>
      <c r="E368" s="10">
        <v>0</v>
      </c>
      <c r="F368" s="10">
        <v>0</v>
      </c>
      <c r="G368" s="10">
        <v>1415.45</v>
      </c>
      <c r="H368" s="10">
        <v>1087.05</v>
      </c>
      <c r="I368" s="10">
        <v>1458.02</v>
      </c>
      <c r="J368" s="10">
        <v>0</v>
      </c>
      <c r="K368" s="10">
        <v>0</v>
      </c>
      <c r="L368" s="10">
        <v>0</v>
      </c>
      <c r="M368" s="10">
        <v>0</v>
      </c>
      <c r="N368" s="10">
        <v>453.95</v>
      </c>
      <c r="O368" s="10">
        <v>753.16</v>
      </c>
      <c r="P368" s="10">
        <v>671.18</v>
      </c>
      <c r="Q368" s="10">
        <v>0</v>
      </c>
      <c r="R368" s="10">
        <v>1075.51</v>
      </c>
      <c r="S368" s="10">
        <v>0</v>
      </c>
      <c r="T368" s="10">
        <v>0</v>
      </c>
      <c r="U368" s="10">
        <v>0</v>
      </c>
      <c r="V368" s="10">
        <v>489.51</v>
      </c>
      <c r="W368" s="10">
        <v>0</v>
      </c>
      <c r="X368" s="10">
        <v>0</v>
      </c>
      <c r="Y368" s="10">
        <v>1129.69</v>
      </c>
      <c r="Z368" s="10">
        <v>0</v>
      </c>
      <c r="AA368" s="10">
        <v>343.03</v>
      </c>
      <c r="AB368" s="10">
        <v>0</v>
      </c>
      <c r="AC368" s="10">
        <v>908.29</v>
      </c>
      <c r="AD368" s="10">
        <v>797.9</v>
      </c>
      <c r="AE368" s="10">
        <v>0</v>
      </c>
      <c r="AF368" s="10">
        <v>428</v>
      </c>
    </row>
    <row r="369" spans="1:32" ht="15" customHeight="1">
      <c r="A369" s="10" t="s">
        <v>24</v>
      </c>
      <c r="B369" s="61" t="s">
        <v>282</v>
      </c>
      <c r="C369" s="10">
        <v>350</v>
      </c>
      <c r="D369" s="10">
        <v>456.36</v>
      </c>
      <c r="E369" s="10">
        <v>501.4</v>
      </c>
      <c r="F369" s="10">
        <v>1415.45</v>
      </c>
      <c r="G369" s="10">
        <v>0</v>
      </c>
      <c r="H369" s="10">
        <v>619.89</v>
      </c>
      <c r="I369" s="10">
        <v>504.62</v>
      </c>
      <c r="J369" s="10">
        <v>1027.05</v>
      </c>
      <c r="K369" s="10">
        <v>0</v>
      </c>
      <c r="L369" s="10">
        <v>1204.01</v>
      </c>
      <c r="M369" s="10">
        <v>0</v>
      </c>
      <c r="N369" s="10">
        <v>0</v>
      </c>
      <c r="O369" s="10">
        <v>662.94</v>
      </c>
      <c r="P369" s="10">
        <v>850.87</v>
      </c>
      <c r="Q369" s="10">
        <v>0</v>
      </c>
      <c r="R369" s="10">
        <v>540.01</v>
      </c>
      <c r="S369" s="10">
        <v>0</v>
      </c>
      <c r="T369" s="10">
        <v>367.02</v>
      </c>
      <c r="U369" s="10">
        <v>0</v>
      </c>
      <c r="V369" s="10">
        <v>978.2</v>
      </c>
      <c r="W369" s="10">
        <v>637.54999999999995</v>
      </c>
      <c r="X369" s="10">
        <v>0</v>
      </c>
      <c r="Y369" s="10">
        <v>1001.53</v>
      </c>
      <c r="Z369" s="10">
        <v>0</v>
      </c>
      <c r="AA369" s="10">
        <v>1292.28</v>
      </c>
      <c r="AB369" s="10">
        <v>1857.41</v>
      </c>
      <c r="AC369" s="10">
        <v>511.84</v>
      </c>
      <c r="AD369" s="10">
        <v>869.38</v>
      </c>
      <c r="AE369" s="10">
        <v>1134.76</v>
      </c>
      <c r="AF369" s="10">
        <v>0</v>
      </c>
    </row>
    <row r="370" spans="1:32" ht="15" customHeight="1">
      <c r="A370" s="10" t="s">
        <v>24</v>
      </c>
      <c r="B370" s="61" t="s">
        <v>283</v>
      </c>
      <c r="C370" s="10">
        <v>1630.33</v>
      </c>
      <c r="D370" s="10">
        <v>254.84</v>
      </c>
      <c r="E370" s="10">
        <v>767.87</v>
      </c>
      <c r="F370" s="10">
        <v>1087.05</v>
      </c>
      <c r="G370" s="10">
        <v>619.89</v>
      </c>
      <c r="H370" s="10">
        <v>0</v>
      </c>
      <c r="I370" s="10">
        <v>382.63</v>
      </c>
      <c r="J370" s="10">
        <v>777.76</v>
      </c>
      <c r="K370" s="10">
        <v>1194.05</v>
      </c>
      <c r="L370" s="10">
        <v>0</v>
      </c>
      <c r="M370" s="10">
        <v>0</v>
      </c>
      <c r="N370" s="10">
        <v>1334.1</v>
      </c>
      <c r="O370" s="10">
        <v>528.63</v>
      </c>
      <c r="P370" s="10">
        <v>415.87</v>
      </c>
      <c r="Q370" s="10">
        <v>0</v>
      </c>
      <c r="R370" s="10">
        <v>812.43</v>
      </c>
      <c r="S370" s="10">
        <v>850.9</v>
      </c>
      <c r="T370" s="10">
        <v>665.24</v>
      </c>
      <c r="U370" s="10">
        <v>1016.04</v>
      </c>
      <c r="V370" s="10">
        <v>829.38</v>
      </c>
      <c r="W370" s="10">
        <v>738.71</v>
      </c>
      <c r="X370" s="10">
        <v>1642</v>
      </c>
      <c r="Y370" s="10">
        <v>390.18</v>
      </c>
      <c r="Z370" s="10">
        <v>0</v>
      </c>
      <c r="AA370" s="10">
        <v>842.37</v>
      </c>
      <c r="AB370" s="10">
        <v>1454.22</v>
      </c>
      <c r="AC370" s="10">
        <v>404.31</v>
      </c>
      <c r="AD370" s="10">
        <v>323.69</v>
      </c>
      <c r="AE370" s="10">
        <v>1341.38</v>
      </c>
      <c r="AF370" s="10">
        <v>0</v>
      </c>
    </row>
    <row r="371" spans="1:32" ht="15" customHeight="1">
      <c r="A371" s="10" t="s">
        <v>24</v>
      </c>
      <c r="B371" s="61" t="s">
        <v>284</v>
      </c>
      <c r="C371" s="10">
        <v>500</v>
      </c>
      <c r="D371" s="10">
        <v>477.04</v>
      </c>
      <c r="E371" s="10">
        <v>406.5</v>
      </c>
      <c r="F371" s="10">
        <v>1458.02</v>
      </c>
      <c r="G371" s="10">
        <v>504.62</v>
      </c>
      <c r="H371" s="10">
        <v>382.63</v>
      </c>
      <c r="I371" s="10">
        <v>0</v>
      </c>
      <c r="J371" s="10">
        <v>540.49</v>
      </c>
      <c r="K371" s="10">
        <v>1281.04</v>
      </c>
      <c r="L371" s="10">
        <v>1624.96</v>
      </c>
      <c r="M371" s="10">
        <v>1750.79</v>
      </c>
      <c r="N371" s="10">
        <v>1662.66</v>
      </c>
      <c r="O371" s="10">
        <v>809.27</v>
      </c>
      <c r="P371" s="10">
        <v>790.13</v>
      </c>
      <c r="Q371" s="10">
        <v>1286.0899999999999</v>
      </c>
      <c r="R371" s="10">
        <v>934.15</v>
      </c>
      <c r="S371" s="10">
        <v>1015.33</v>
      </c>
      <c r="T371" s="10">
        <v>339.26</v>
      </c>
      <c r="U371" s="10">
        <v>1144.5999999999999</v>
      </c>
      <c r="V371" s="10">
        <v>1143.0899999999999</v>
      </c>
      <c r="W371" s="10">
        <v>356.15</v>
      </c>
      <c r="X371" s="10">
        <v>1503.63</v>
      </c>
      <c r="Y371" s="10">
        <v>633.87</v>
      </c>
      <c r="Z371" s="10">
        <v>0</v>
      </c>
      <c r="AA371" s="10">
        <v>1224.8499999999999</v>
      </c>
      <c r="AB371" s="10">
        <v>1354.27</v>
      </c>
      <c r="AC371" s="10">
        <v>643.65</v>
      </c>
      <c r="AD371" s="10">
        <v>705.3</v>
      </c>
      <c r="AE371" s="10">
        <v>959.53</v>
      </c>
      <c r="AF371" s="10">
        <v>0</v>
      </c>
    </row>
    <row r="372" spans="1:32" ht="15" customHeight="1">
      <c r="A372" s="10" t="s">
        <v>24</v>
      </c>
      <c r="B372" s="61" t="s">
        <v>285</v>
      </c>
      <c r="C372" s="10">
        <v>1789.51</v>
      </c>
      <c r="D372" s="10">
        <v>973.03</v>
      </c>
      <c r="E372" s="10">
        <v>692.16</v>
      </c>
      <c r="F372" s="10">
        <v>0</v>
      </c>
      <c r="G372" s="10">
        <v>1027.05</v>
      </c>
      <c r="H372" s="10">
        <v>777.76</v>
      </c>
      <c r="I372" s="10">
        <v>540.49</v>
      </c>
      <c r="J372" s="10">
        <v>0</v>
      </c>
      <c r="K372" s="10">
        <v>978.44</v>
      </c>
      <c r="L372" s="10">
        <v>0</v>
      </c>
      <c r="M372" s="10">
        <v>1298.0899999999999</v>
      </c>
      <c r="N372" s="10">
        <v>0</v>
      </c>
      <c r="O372" s="10">
        <v>1294.23</v>
      </c>
      <c r="P372" s="10">
        <v>1171.94</v>
      </c>
      <c r="Q372" s="10">
        <v>1213.43</v>
      </c>
      <c r="R372" s="10">
        <v>1472.56</v>
      </c>
      <c r="S372" s="10">
        <v>873.01</v>
      </c>
      <c r="T372" s="10">
        <v>737.81</v>
      </c>
      <c r="U372" s="10">
        <v>921.65</v>
      </c>
      <c r="V372" s="10">
        <v>0</v>
      </c>
      <c r="W372" s="10">
        <v>503.89</v>
      </c>
      <c r="X372" s="10">
        <v>700</v>
      </c>
      <c r="Y372" s="10">
        <v>745.5</v>
      </c>
      <c r="Z372" s="10">
        <v>0</v>
      </c>
      <c r="AA372" s="10">
        <v>1533.41</v>
      </c>
      <c r="AB372" s="10">
        <v>400</v>
      </c>
      <c r="AC372" s="10">
        <v>1144.1199999999999</v>
      </c>
      <c r="AD372" s="10">
        <v>1030.02</v>
      </c>
      <c r="AE372" s="10">
        <v>850.09</v>
      </c>
      <c r="AF372" s="10">
        <v>0</v>
      </c>
    </row>
    <row r="373" spans="1:32" ht="15" customHeight="1">
      <c r="A373" s="10" t="s">
        <v>24</v>
      </c>
      <c r="B373" s="61" t="s">
        <v>308</v>
      </c>
      <c r="C373" s="10">
        <v>0</v>
      </c>
      <c r="D373" s="10">
        <v>0</v>
      </c>
      <c r="E373" s="10">
        <v>0</v>
      </c>
      <c r="F373" s="10">
        <v>0</v>
      </c>
      <c r="G373" s="10">
        <v>0</v>
      </c>
      <c r="H373" s="10">
        <v>1194.05</v>
      </c>
      <c r="I373" s="10">
        <v>1281.04</v>
      </c>
      <c r="J373" s="10">
        <v>978.44</v>
      </c>
      <c r="K373" s="10">
        <v>0</v>
      </c>
      <c r="L373" s="10">
        <v>0</v>
      </c>
      <c r="M373" s="10">
        <v>647.91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384.47</v>
      </c>
      <c r="T373" s="10">
        <v>0</v>
      </c>
      <c r="U373" s="10">
        <v>205.65</v>
      </c>
      <c r="V373" s="10">
        <v>0</v>
      </c>
      <c r="W373" s="10">
        <v>0</v>
      </c>
      <c r="X373" s="10">
        <v>885</v>
      </c>
      <c r="Y373" s="10">
        <v>825.43</v>
      </c>
      <c r="Z373" s="10">
        <v>0</v>
      </c>
      <c r="AA373" s="10">
        <v>0</v>
      </c>
      <c r="AB373" s="10">
        <v>661.72</v>
      </c>
      <c r="AC373" s="10">
        <v>0</v>
      </c>
      <c r="AD373" s="10">
        <v>1177.79</v>
      </c>
      <c r="AE373" s="10">
        <v>0</v>
      </c>
      <c r="AF373" s="10">
        <v>0</v>
      </c>
    </row>
    <row r="374" spans="1:32" ht="15" customHeight="1">
      <c r="A374" s="10" t="s">
        <v>24</v>
      </c>
      <c r="B374" s="61" t="s">
        <v>286</v>
      </c>
      <c r="C374" s="10">
        <v>229.59</v>
      </c>
      <c r="D374" s="10">
        <v>1640.58</v>
      </c>
      <c r="E374" s="10">
        <v>1325.38</v>
      </c>
      <c r="F374" s="10">
        <v>0</v>
      </c>
      <c r="G374" s="10">
        <v>1204.01</v>
      </c>
      <c r="H374" s="10">
        <v>0</v>
      </c>
      <c r="I374" s="10">
        <v>1624.96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1723.59</v>
      </c>
      <c r="P374" s="10">
        <v>0</v>
      </c>
      <c r="Q374" s="10">
        <v>1479.45</v>
      </c>
      <c r="R374" s="10">
        <v>1341.02</v>
      </c>
      <c r="S374" s="10">
        <v>0</v>
      </c>
      <c r="T374" s="10">
        <v>1307.3599999999999</v>
      </c>
      <c r="U374" s="10">
        <v>0</v>
      </c>
      <c r="V374" s="10">
        <v>0</v>
      </c>
      <c r="W374" s="10">
        <v>1513.18</v>
      </c>
      <c r="X374" s="10">
        <v>0</v>
      </c>
      <c r="Y374" s="10">
        <v>0</v>
      </c>
      <c r="Z374" s="10">
        <v>421.67</v>
      </c>
      <c r="AA374" s="10">
        <v>0</v>
      </c>
      <c r="AB374" s="10">
        <v>0</v>
      </c>
      <c r="AC374" s="10">
        <v>1632.96</v>
      </c>
      <c r="AD374" s="10">
        <v>0</v>
      </c>
      <c r="AE374" s="10">
        <v>1549.51</v>
      </c>
      <c r="AF374" s="10">
        <v>0</v>
      </c>
    </row>
    <row r="375" spans="1:32" ht="15" customHeight="1">
      <c r="A375" s="10" t="s">
        <v>24</v>
      </c>
      <c r="B375" s="61" t="s">
        <v>287</v>
      </c>
      <c r="C375" s="10">
        <v>0</v>
      </c>
      <c r="D375" s="10">
        <v>0</v>
      </c>
      <c r="E375" s="10">
        <v>0</v>
      </c>
      <c r="F375" s="10">
        <v>0</v>
      </c>
      <c r="G375" s="10">
        <v>0</v>
      </c>
      <c r="H375" s="10">
        <v>0</v>
      </c>
      <c r="I375" s="10">
        <v>1750.79</v>
      </c>
      <c r="J375" s="10">
        <v>1298.0899999999999</v>
      </c>
      <c r="K375" s="10">
        <v>647.91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1026.31</v>
      </c>
      <c r="T375" s="10">
        <v>0</v>
      </c>
      <c r="U375" s="10">
        <v>852.16</v>
      </c>
      <c r="V375" s="10">
        <v>0</v>
      </c>
      <c r="W375" s="10">
        <v>0</v>
      </c>
      <c r="X375" s="10">
        <v>1000</v>
      </c>
      <c r="Y375" s="10">
        <v>1430.78</v>
      </c>
      <c r="Z375" s="10">
        <v>0</v>
      </c>
      <c r="AA375" s="10">
        <v>0</v>
      </c>
      <c r="AB375" s="10">
        <v>505.83</v>
      </c>
      <c r="AC375" s="10">
        <v>0</v>
      </c>
      <c r="AD375" s="10">
        <v>0</v>
      </c>
      <c r="AE375" s="10">
        <v>0</v>
      </c>
      <c r="AF375" s="10">
        <v>0</v>
      </c>
    </row>
    <row r="376" spans="1:32" ht="15" customHeight="1">
      <c r="A376" s="10" t="s">
        <v>24</v>
      </c>
      <c r="B376" s="61" t="s">
        <v>288</v>
      </c>
      <c r="C376" s="10">
        <v>0</v>
      </c>
      <c r="D376" s="10">
        <v>1462.5</v>
      </c>
      <c r="E376" s="10">
        <v>300</v>
      </c>
      <c r="F376" s="10">
        <v>0</v>
      </c>
      <c r="G376" s="10">
        <v>350</v>
      </c>
      <c r="H376" s="10">
        <v>1630.33</v>
      </c>
      <c r="I376" s="10">
        <v>500</v>
      </c>
      <c r="J376" s="10">
        <v>1789.51</v>
      </c>
      <c r="K376" s="10">
        <v>0</v>
      </c>
      <c r="L376" s="10">
        <v>229.59</v>
      </c>
      <c r="M376" s="10">
        <v>0</v>
      </c>
      <c r="N376" s="10">
        <v>2201.09</v>
      </c>
      <c r="O376" s="10">
        <v>1577.99</v>
      </c>
      <c r="P376" s="10">
        <v>1838.39</v>
      </c>
      <c r="Q376" s="10">
        <v>1284.49</v>
      </c>
      <c r="R376" s="10">
        <v>1000</v>
      </c>
      <c r="S376" s="10">
        <v>0</v>
      </c>
      <c r="T376" s="10">
        <v>1087.05</v>
      </c>
      <c r="U376" s="10">
        <v>0</v>
      </c>
      <c r="V376" s="10">
        <v>1809.09</v>
      </c>
      <c r="W376" s="10">
        <v>1285.6600000000001</v>
      </c>
      <c r="X376" s="10">
        <v>2702.36</v>
      </c>
      <c r="Y376" s="10">
        <v>2000.6</v>
      </c>
      <c r="Z376" s="10">
        <v>560.61</v>
      </c>
      <c r="AA376" s="10">
        <v>2252.62</v>
      </c>
      <c r="AB376" s="10">
        <v>2623.55</v>
      </c>
      <c r="AC376" s="10">
        <v>1472.14</v>
      </c>
      <c r="AD376" s="10">
        <v>1879.08</v>
      </c>
      <c r="AE376" s="10">
        <v>600</v>
      </c>
      <c r="AF376" s="10">
        <v>0</v>
      </c>
    </row>
    <row r="377" spans="1:32" ht="15" customHeight="1">
      <c r="A377" s="10" t="s">
        <v>24</v>
      </c>
      <c r="B377" s="61" t="s">
        <v>289</v>
      </c>
      <c r="C377" s="10">
        <v>2201.09</v>
      </c>
      <c r="D377" s="10">
        <v>1188.01</v>
      </c>
      <c r="E377" s="10">
        <v>0</v>
      </c>
      <c r="F377" s="10">
        <v>453.95</v>
      </c>
      <c r="G377" s="10">
        <v>0</v>
      </c>
      <c r="H377" s="10">
        <v>1334.1</v>
      </c>
      <c r="I377" s="10">
        <v>1662.66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859.98</v>
      </c>
      <c r="P377" s="10">
        <v>947.65</v>
      </c>
      <c r="Q377" s="10">
        <v>0</v>
      </c>
      <c r="R377" s="10">
        <v>1007.1</v>
      </c>
      <c r="S377" s="10">
        <v>0</v>
      </c>
      <c r="T377" s="10">
        <v>0</v>
      </c>
      <c r="U377" s="10">
        <v>0</v>
      </c>
      <c r="V377" s="10">
        <v>521.16</v>
      </c>
      <c r="W377" s="10">
        <v>0</v>
      </c>
      <c r="X377" s="10">
        <v>0</v>
      </c>
      <c r="Y377" s="10">
        <v>1480.09</v>
      </c>
      <c r="Z377" s="10">
        <v>0</v>
      </c>
      <c r="AA377" s="10">
        <v>772.6</v>
      </c>
      <c r="AB377" s="10">
        <v>0</v>
      </c>
      <c r="AC377" s="10">
        <v>1031.6199999999999</v>
      </c>
      <c r="AD377" s="10">
        <v>1109.6099999999999</v>
      </c>
      <c r="AE377" s="10">
        <v>0</v>
      </c>
      <c r="AF377" s="10">
        <v>868</v>
      </c>
    </row>
    <row r="378" spans="1:32" ht="15" customHeight="1">
      <c r="A378" s="10" t="s">
        <v>24</v>
      </c>
      <c r="B378" s="61" t="s">
        <v>290</v>
      </c>
      <c r="C378" s="10">
        <v>1577.99</v>
      </c>
      <c r="D378" s="10">
        <v>332.27</v>
      </c>
      <c r="E378" s="10">
        <v>1075.07</v>
      </c>
      <c r="F378" s="10">
        <v>753.16</v>
      </c>
      <c r="G378" s="10">
        <v>662.94</v>
      </c>
      <c r="H378" s="10">
        <v>528.63</v>
      </c>
      <c r="I378" s="10">
        <v>809.27</v>
      </c>
      <c r="J378" s="10">
        <v>1294.23</v>
      </c>
      <c r="K378" s="10">
        <v>0</v>
      </c>
      <c r="L378" s="10">
        <v>1723.59</v>
      </c>
      <c r="M378" s="10">
        <v>0</v>
      </c>
      <c r="N378" s="10">
        <v>859.98</v>
      </c>
      <c r="O378" s="10">
        <v>0</v>
      </c>
      <c r="P378" s="10">
        <v>331.49</v>
      </c>
      <c r="Q378" s="10">
        <v>0</v>
      </c>
      <c r="R378" s="10">
        <v>427.99</v>
      </c>
      <c r="S378" s="10">
        <v>1262.6500000000001</v>
      </c>
      <c r="T378" s="10">
        <v>938.11</v>
      </c>
      <c r="U378" s="10">
        <v>0</v>
      </c>
      <c r="V378" s="10">
        <v>339.14</v>
      </c>
      <c r="W378" s="10">
        <v>1129.3900000000001</v>
      </c>
      <c r="X378" s="10">
        <v>0</v>
      </c>
      <c r="Y378" s="10">
        <v>818.17</v>
      </c>
      <c r="Z378" s="10">
        <v>0</v>
      </c>
      <c r="AA378" s="10">
        <v>677.09</v>
      </c>
      <c r="AB378" s="10">
        <v>1974.19</v>
      </c>
      <c r="AC378" s="10">
        <v>171.93</v>
      </c>
      <c r="AD378" s="10">
        <v>470.6</v>
      </c>
      <c r="AE378" s="10">
        <v>0</v>
      </c>
      <c r="AF378" s="10">
        <v>0</v>
      </c>
    </row>
    <row r="379" spans="1:32" ht="15" customHeight="1">
      <c r="A379" s="10" t="s">
        <v>24</v>
      </c>
      <c r="B379" s="61" t="s">
        <v>291</v>
      </c>
      <c r="C379" s="10">
        <v>1838.39</v>
      </c>
      <c r="D379" s="10">
        <v>400.59</v>
      </c>
      <c r="E379" s="10">
        <v>1146.05</v>
      </c>
      <c r="F379" s="10">
        <v>671.18</v>
      </c>
      <c r="G379" s="10">
        <v>850.87</v>
      </c>
      <c r="H379" s="10">
        <v>415.87</v>
      </c>
      <c r="I379" s="10">
        <v>790.13</v>
      </c>
      <c r="J379" s="10">
        <v>1171.94</v>
      </c>
      <c r="K379" s="10">
        <v>0</v>
      </c>
      <c r="L379" s="10">
        <v>0</v>
      </c>
      <c r="M379" s="10">
        <v>0</v>
      </c>
      <c r="N379" s="10">
        <v>947.65</v>
      </c>
      <c r="O379" s="10">
        <v>331.49</v>
      </c>
      <c r="P379" s="10">
        <v>0</v>
      </c>
      <c r="Q379" s="10">
        <v>0</v>
      </c>
      <c r="R379" s="10">
        <v>755.26</v>
      </c>
      <c r="S379" s="10">
        <v>961.23</v>
      </c>
      <c r="T379" s="10">
        <v>1025.1099999999999</v>
      </c>
      <c r="U379" s="10">
        <v>1141.83</v>
      </c>
      <c r="V379" s="10">
        <v>486.51</v>
      </c>
      <c r="W379" s="10">
        <v>1144.4000000000001</v>
      </c>
      <c r="X379" s="10">
        <v>0</v>
      </c>
      <c r="Y379" s="10">
        <v>551.72</v>
      </c>
      <c r="Z379" s="10">
        <v>0</v>
      </c>
      <c r="AA379" s="10">
        <v>452.36</v>
      </c>
      <c r="AB379" s="10">
        <v>1745.85</v>
      </c>
      <c r="AC379" s="10">
        <v>369.97</v>
      </c>
      <c r="AD379" s="10">
        <v>171.65</v>
      </c>
      <c r="AE379" s="10">
        <v>0</v>
      </c>
      <c r="AF379" s="10">
        <v>0</v>
      </c>
    </row>
    <row r="380" spans="1:32" ht="15" customHeight="1">
      <c r="A380" s="10" t="s">
        <v>24</v>
      </c>
      <c r="B380" s="61" t="s">
        <v>292</v>
      </c>
      <c r="C380" s="10">
        <v>1284.49</v>
      </c>
      <c r="D380" s="10">
        <v>0</v>
      </c>
      <c r="E380" s="10">
        <v>924.14</v>
      </c>
      <c r="F380" s="10">
        <v>0</v>
      </c>
      <c r="G380" s="10">
        <v>0</v>
      </c>
      <c r="H380" s="10">
        <v>0</v>
      </c>
      <c r="I380" s="10">
        <v>1286.0899999999999</v>
      </c>
      <c r="J380" s="10">
        <v>1213.43</v>
      </c>
      <c r="K380" s="10">
        <v>0</v>
      </c>
      <c r="L380" s="10">
        <v>1479.45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1057.17</v>
      </c>
      <c r="U380" s="10">
        <v>0</v>
      </c>
      <c r="V380" s="10">
        <v>0</v>
      </c>
      <c r="W380" s="10">
        <v>932.26</v>
      </c>
      <c r="X380" s="10">
        <v>1780.16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363.85</v>
      </c>
      <c r="AF380" s="10">
        <v>0</v>
      </c>
    </row>
    <row r="381" spans="1:32" ht="15" customHeight="1">
      <c r="A381" s="10" t="s">
        <v>24</v>
      </c>
      <c r="B381" s="61" t="s">
        <v>293</v>
      </c>
      <c r="C381" s="10">
        <v>1000</v>
      </c>
      <c r="D381" s="10">
        <v>557.69000000000005</v>
      </c>
      <c r="E381" s="10">
        <v>1040.22</v>
      </c>
      <c r="F381" s="10">
        <v>1075.51</v>
      </c>
      <c r="G381" s="10">
        <v>540.01</v>
      </c>
      <c r="H381" s="10">
        <v>812.43</v>
      </c>
      <c r="I381" s="10">
        <v>934.15</v>
      </c>
      <c r="J381" s="10">
        <v>1472.56</v>
      </c>
      <c r="K381" s="10">
        <v>0</v>
      </c>
      <c r="L381" s="10">
        <v>1341.02</v>
      </c>
      <c r="M381" s="10">
        <v>0</v>
      </c>
      <c r="N381" s="10">
        <v>1007.1</v>
      </c>
      <c r="O381" s="10">
        <v>427.99</v>
      </c>
      <c r="P381" s="10">
        <v>755.26</v>
      </c>
      <c r="Q381" s="10">
        <v>0</v>
      </c>
      <c r="R381" s="10">
        <v>0</v>
      </c>
      <c r="S381" s="10">
        <v>0</v>
      </c>
      <c r="T381" s="10">
        <v>903.08</v>
      </c>
      <c r="U381" s="10">
        <v>0</v>
      </c>
      <c r="V381" s="10">
        <v>586.66</v>
      </c>
      <c r="W381" s="10">
        <v>1161.05</v>
      </c>
      <c r="X381" s="10">
        <v>0</v>
      </c>
      <c r="Y381" s="10">
        <v>1174.6600000000001</v>
      </c>
      <c r="Z381" s="10">
        <v>0</v>
      </c>
      <c r="AA381" s="10">
        <v>1082.6300000000001</v>
      </c>
      <c r="AB381" s="10">
        <v>2245.4899999999998</v>
      </c>
      <c r="AC381" s="10">
        <v>429.95</v>
      </c>
      <c r="AD381" s="10">
        <v>874.11</v>
      </c>
      <c r="AE381" s="10">
        <v>1673.84</v>
      </c>
      <c r="AF381" s="10">
        <v>0</v>
      </c>
    </row>
    <row r="382" spans="1:32" ht="15" customHeight="1">
      <c r="A382" s="10" t="s">
        <v>24</v>
      </c>
      <c r="B382" s="61" t="s">
        <v>309</v>
      </c>
      <c r="C382" s="10">
        <v>0</v>
      </c>
      <c r="D382" s="10">
        <v>1094.8399999999999</v>
      </c>
      <c r="E382" s="10">
        <v>0</v>
      </c>
      <c r="F382" s="10">
        <v>0</v>
      </c>
      <c r="G382" s="10">
        <v>0</v>
      </c>
      <c r="H382" s="10">
        <v>850.9</v>
      </c>
      <c r="I382" s="10">
        <v>1015.33</v>
      </c>
      <c r="J382" s="10">
        <v>873.01</v>
      </c>
      <c r="K382" s="10">
        <v>384.47</v>
      </c>
      <c r="L382" s="10">
        <v>0</v>
      </c>
      <c r="M382" s="10">
        <v>1026.31</v>
      </c>
      <c r="N382" s="10">
        <v>0</v>
      </c>
      <c r="O382" s="10">
        <v>1262.6500000000001</v>
      </c>
      <c r="P382" s="10">
        <v>961.23</v>
      </c>
      <c r="Q382" s="10">
        <v>0</v>
      </c>
      <c r="R382" s="10">
        <v>0</v>
      </c>
      <c r="S382" s="10">
        <v>0</v>
      </c>
      <c r="T382" s="10">
        <v>0</v>
      </c>
      <c r="U382" s="10">
        <v>180.61</v>
      </c>
      <c r="V382" s="10">
        <v>0</v>
      </c>
      <c r="W382" s="10">
        <v>1249.7</v>
      </c>
      <c r="X382" s="10">
        <v>1153.01</v>
      </c>
      <c r="Y382" s="10">
        <v>464.52</v>
      </c>
      <c r="Z382" s="10">
        <v>0</v>
      </c>
      <c r="AA382" s="10">
        <v>1059.29</v>
      </c>
      <c r="AB382" s="10">
        <v>923.23</v>
      </c>
      <c r="AC382" s="10">
        <v>1207.05</v>
      </c>
      <c r="AD382" s="10">
        <v>797.05</v>
      </c>
      <c r="AE382" s="10">
        <v>0</v>
      </c>
      <c r="AF382" s="10">
        <v>0</v>
      </c>
    </row>
    <row r="383" spans="1:32" ht="15" customHeight="1">
      <c r="A383" s="10" t="s">
        <v>24</v>
      </c>
      <c r="B383" s="61" t="s">
        <v>294</v>
      </c>
      <c r="C383" s="10">
        <v>1087.05</v>
      </c>
      <c r="D383" s="10">
        <v>640.32000000000005</v>
      </c>
      <c r="E383" s="10">
        <v>140.4</v>
      </c>
      <c r="F383" s="10">
        <v>0</v>
      </c>
      <c r="G383" s="10">
        <v>367.02</v>
      </c>
      <c r="H383" s="10">
        <v>665.24</v>
      </c>
      <c r="I383" s="10">
        <v>339.26</v>
      </c>
      <c r="J383" s="10">
        <v>737.81</v>
      </c>
      <c r="K383" s="10">
        <v>0</v>
      </c>
      <c r="L383" s="10">
        <v>1307.3599999999999</v>
      </c>
      <c r="M383" s="10">
        <v>0</v>
      </c>
      <c r="N383" s="10">
        <v>0</v>
      </c>
      <c r="O383" s="10">
        <v>938.11</v>
      </c>
      <c r="P383" s="10">
        <v>1025.1099999999999</v>
      </c>
      <c r="Q383" s="10">
        <v>1057.17</v>
      </c>
      <c r="R383" s="10">
        <v>903.08</v>
      </c>
      <c r="S383" s="10">
        <v>0</v>
      </c>
      <c r="T383" s="10">
        <v>0</v>
      </c>
      <c r="U383" s="10">
        <v>0</v>
      </c>
      <c r="V383" s="10">
        <v>0</v>
      </c>
      <c r="W383" s="10">
        <v>279.54000000000002</v>
      </c>
      <c r="X383" s="10">
        <v>1703.34</v>
      </c>
      <c r="Y383" s="10">
        <v>969.45</v>
      </c>
      <c r="Z383" s="10">
        <v>0</v>
      </c>
      <c r="AA383" s="10">
        <v>0</v>
      </c>
      <c r="AB383" s="10">
        <v>1586.29</v>
      </c>
      <c r="AC383" s="10">
        <v>767.73</v>
      </c>
      <c r="AD383" s="10">
        <v>981.17</v>
      </c>
      <c r="AE383" s="10">
        <v>785.89</v>
      </c>
      <c r="AF383" s="10">
        <v>0</v>
      </c>
    </row>
    <row r="384" spans="1:32" ht="15" customHeight="1">
      <c r="A384" s="10" t="s">
        <v>24</v>
      </c>
      <c r="B384" s="61" t="s">
        <v>310</v>
      </c>
      <c r="C384" s="10">
        <v>0</v>
      </c>
      <c r="D384" s="10">
        <v>1264.26</v>
      </c>
      <c r="E384" s="10">
        <v>0</v>
      </c>
      <c r="F384" s="10">
        <v>0</v>
      </c>
      <c r="G384" s="10">
        <v>0</v>
      </c>
      <c r="H384" s="10">
        <v>1016.04</v>
      </c>
      <c r="I384" s="10">
        <v>1144.5999999999999</v>
      </c>
      <c r="J384" s="10">
        <v>921.65</v>
      </c>
      <c r="K384" s="10">
        <v>205.65</v>
      </c>
      <c r="L384" s="10">
        <v>0</v>
      </c>
      <c r="M384" s="10">
        <v>852.16</v>
      </c>
      <c r="N384" s="10">
        <v>0</v>
      </c>
      <c r="O384" s="10">
        <v>0</v>
      </c>
      <c r="P384" s="10">
        <v>1141.83</v>
      </c>
      <c r="Q384" s="10">
        <v>0</v>
      </c>
      <c r="R384" s="10">
        <v>0</v>
      </c>
      <c r="S384" s="10">
        <v>180.61</v>
      </c>
      <c r="T384" s="10">
        <v>0</v>
      </c>
      <c r="U384" s="10">
        <v>0</v>
      </c>
      <c r="V384" s="10">
        <v>0</v>
      </c>
      <c r="W384" s="10">
        <v>1345.25</v>
      </c>
      <c r="X384" s="10">
        <v>1031.76</v>
      </c>
      <c r="Y384" s="10">
        <v>636.20000000000005</v>
      </c>
      <c r="Z384" s="10">
        <v>0</v>
      </c>
      <c r="AA384" s="10">
        <v>1225.5</v>
      </c>
      <c r="AB384" s="10">
        <v>802.01</v>
      </c>
      <c r="AC384" s="10">
        <v>0</v>
      </c>
      <c r="AD384" s="10">
        <v>977.33</v>
      </c>
      <c r="AE384" s="10">
        <v>0</v>
      </c>
      <c r="AF384" s="10">
        <v>0</v>
      </c>
    </row>
    <row r="385" spans="1:32" ht="15" customHeight="1">
      <c r="A385" s="10" t="s">
        <v>24</v>
      </c>
      <c r="B385" s="61" t="s">
        <v>297</v>
      </c>
      <c r="C385" s="10">
        <v>1285.6600000000001</v>
      </c>
      <c r="D385" s="10">
        <v>804.24</v>
      </c>
      <c r="E385" s="10">
        <v>192.2</v>
      </c>
      <c r="F385" s="10">
        <v>0</v>
      </c>
      <c r="G385" s="10">
        <v>637.54999999999995</v>
      </c>
      <c r="H385" s="10">
        <v>738.71</v>
      </c>
      <c r="I385" s="10">
        <v>356.15</v>
      </c>
      <c r="J385" s="10">
        <v>503.89</v>
      </c>
      <c r="K385" s="10">
        <v>0</v>
      </c>
      <c r="L385" s="10">
        <v>1513.18</v>
      </c>
      <c r="M385" s="10">
        <v>0</v>
      </c>
      <c r="N385" s="10">
        <v>0</v>
      </c>
      <c r="O385" s="10">
        <v>1129.3900000000001</v>
      </c>
      <c r="P385" s="10">
        <v>1144.4000000000001</v>
      </c>
      <c r="Q385" s="10">
        <v>932.26</v>
      </c>
      <c r="R385" s="10">
        <v>1161.05</v>
      </c>
      <c r="S385" s="10">
        <v>1249.7</v>
      </c>
      <c r="T385" s="10">
        <v>279.54000000000002</v>
      </c>
      <c r="U385" s="10">
        <v>1345.25</v>
      </c>
      <c r="V385" s="10">
        <v>0</v>
      </c>
      <c r="W385" s="10">
        <v>0</v>
      </c>
      <c r="X385" s="10">
        <v>1444.25</v>
      </c>
      <c r="Y385" s="10">
        <v>943.16</v>
      </c>
      <c r="Z385" s="10">
        <v>0</v>
      </c>
      <c r="AA385" s="10">
        <v>0</v>
      </c>
      <c r="AB385" s="10">
        <v>1343.75</v>
      </c>
      <c r="AC385" s="10">
        <v>958.07</v>
      </c>
      <c r="AD385" s="10">
        <v>1060.75</v>
      </c>
      <c r="AE385" s="10">
        <v>604.03</v>
      </c>
      <c r="AF385" s="10">
        <v>0</v>
      </c>
    </row>
    <row r="386" spans="1:32" ht="15" customHeight="1">
      <c r="A386" s="10" t="s">
        <v>24</v>
      </c>
      <c r="B386" s="61" t="s">
        <v>298</v>
      </c>
      <c r="C386" s="10">
        <v>2702.36</v>
      </c>
      <c r="D386" s="10">
        <v>0</v>
      </c>
      <c r="E386" s="10">
        <v>1636.14</v>
      </c>
      <c r="F386" s="10">
        <v>0</v>
      </c>
      <c r="G386" s="10">
        <v>0</v>
      </c>
      <c r="H386" s="10">
        <v>1642</v>
      </c>
      <c r="I386" s="10">
        <v>1503.63</v>
      </c>
      <c r="J386" s="10">
        <v>700</v>
      </c>
      <c r="K386" s="10">
        <v>885</v>
      </c>
      <c r="L386" s="10">
        <v>0</v>
      </c>
      <c r="M386" s="10">
        <v>1000</v>
      </c>
      <c r="N386" s="10">
        <v>0</v>
      </c>
      <c r="O386" s="10">
        <v>0</v>
      </c>
      <c r="P386" s="10">
        <v>0</v>
      </c>
      <c r="Q386" s="10">
        <v>1780.16</v>
      </c>
      <c r="R386" s="10">
        <v>0</v>
      </c>
      <c r="S386" s="10">
        <v>1153.01</v>
      </c>
      <c r="T386" s="10">
        <v>1703.34</v>
      </c>
      <c r="U386" s="10">
        <v>1031.76</v>
      </c>
      <c r="V386" s="10">
        <v>0</v>
      </c>
      <c r="W386" s="10">
        <v>1444.25</v>
      </c>
      <c r="X386" s="10">
        <v>0</v>
      </c>
      <c r="Y386" s="10">
        <v>1408.54</v>
      </c>
      <c r="Z386" s="10">
        <v>0</v>
      </c>
      <c r="AA386" s="10">
        <v>0</v>
      </c>
      <c r="AB386" s="10">
        <v>230.32</v>
      </c>
      <c r="AC386" s="10">
        <v>0</v>
      </c>
      <c r="AD386" s="10">
        <v>0</v>
      </c>
      <c r="AE386" s="10">
        <v>1492.31</v>
      </c>
      <c r="AF386" s="10">
        <v>0</v>
      </c>
    </row>
    <row r="387" spans="1:32" ht="15" customHeight="1">
      <c r="A387" s="10" t="s">
        <v>24</v>
      </c>
      <c r="B387" s="61" t="s">
        <v>357</v>
      </c>
      <c r="C387" s="10">
        <v>1809.09</v>
      </c>
      <c r="D387" s="10">
        <v>667.29</v>
      </c>
      <c r="E387" s="10">
        <v>0</v>
      </c>
      <c r="F387" s="10">
        <v>489.51</v>
      </c>
      <c r="G387" s="10">
        <v>978.2</v>
      </c>
      <c r="H387" s="10">
        <v>829.38</v>
      </c>
      <c r="I387" s="10">
        <v>1143.0899999999999</v>
      </c>
      <c r="J387" s="10">
        <v>0</v>
      </c>
      <c r="K387" s="10">
        <v>0</v>
      </c>
      <c r="L387" s="10">
        <v>0</v>
      </c>
      <c r="M387" s="10">
        <v>0</v>
      </c>
      <c r="N387" s="10">
        <v>521.16</v>
      </c>
      <c r="O387" s="10">
        <v>339.14</v>
      </c>
      <c r="P387" s="10">
        <v>486.51</v>
      </c>
      <c r="Q387" s="10">
        <v>0</v>
      </c>
      <c r="R387" s="10">
        <v>586.66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1038.1300000000001</v>
      </c>
      <c r="Z387" s="10">
        <v>0</v>
      </c>
      <c r="AA387" s="10">
        <v>569.07000000000005</v>
      </c>
      <c r="AB387" s="10">
        <v>0</v>
      </c>
      <c r="AC387" s="10">
        <v>511.02</v>
      </c>
      <c r="AD387" s="10">
        <v>658.16</v>
      </c>
      <c r="AE387" s="10">
        <v>0</v>
      </c>
      <c r="AF387" s="10">
        <v>0</v>
      </c>
    </row>
    <row r="388" spans="1:32" ht="15" customHeight="1">
      <c r="A388" s="10" t="s">
        <v>24</v>
      </c>
      <c r="B388" s="61" t="s">
        <v>299</v>
      </c>
      <c r="C388" s="10">
        <v>2000.6</v>
      </c>
      <c r="D388" s="10">
        <v>630.36</v>
      </c>
      <c r="E388" s="10">
        <v>1037.53</v>
      </c>
      <c r="F388" s="10">
        <v>1129.69</v>
      </c>
      <c r="G388" s="10">
        <v>1001.53</v>
      </c>
      <c r="H388" s="10">
        <v>390.18</v>
      </c>
      <c r="I388" s="10">
        <v>633.87</v>
      </c>
      <c r="J388" s="10">
        <v>745.5</v>
      </c>
      <c r="K388" s="10">
        <v>825.43</v>
      </c>
      <c r="L388" s="10">
        <v>0</v>
      </c>
      <c r="M388" s="10">
        <v>1430.78</v>
      </c>
      <c r="N388" s="10">
        <v>1480.09</v>
      </c>
      <c r="O388" s="10">
        <v>818.17</v>
      </c>
      <c r="P388" s="10">
        <v>551.72</v>
      </c>
      <c r="Q388" s="10">
        <v>0</v>
      </c>
      <c r="R388" s="10">
        <v>1174.6600000000001</v>
      </c>
      <c r="S388" s="10">
        <v>464.52</v>
      </c>
      <c r="T388" s="10">
        <v>969.45</v>
      </c>
      <c r="U388" s="10">
        <v>636.20000000000005</v>
      </c>
      <c r="V388" s="10">
        <v>1038.1300000000001</v>
      </c>
      <c r="W388" s="10">
        <v>943.16</v>
      </c>
      <c r="X388" s="10">
        <v>1408.54</v>
      </c>
      <c r="Y388" s="10">
        <v>0</v>
      </c>
      <c r="Z388" s="10">
        <v>0</v>
      </c>
      <c r="AA388" s="10">
        <v>809.16</v>
      </c>
      <c r="AB388" s="10">
        <v>1196.53</v>
      </c>
      <c r="AC388" s="10">
        <v>746.53</v>
      </c>
      <c r="AD388" s="10">
        <v>380.21</v>
      </c>
      <c r="AE388" s="10">
        <v>1502.63</v>
      </c>
      <c r="AF388" s="10">
        <v>0</v>
      </c>
    </row>
    <row r="389" spans="1:32" ht="15" customHeight="1">
      <c r="A389" s="10" t="s">
        <v>24</v>
      </c>
      <c r="B389" s="61" t="s">
        <v>300</v>
      </c>
      <c r="C389" s="10">
        <v>560.61</v>
      </c>
      <c r="D389" s="10">
        <v>0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421.67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1672.93</v>
      </c>
      <c r="AF389" s="10">
        <v>0</v>
      </c>
    </row>
    <row r="390" spans="1:32" ht="15" customHeight="1">
      <c r="A390" s="10" t="s">
        <v>24</v>
      </c>
      <c r="B390" s="61" t="s">
        <v>301</v>
      </c>
      <c r="C390" s="10">
        <v>2252.62</v>
      </c>
      <c r="D390" s="10">
        <v>850.72</v>
      </c>
      <c r="E390" s="10">
        <v>0</v>
      </c>
      <c r="F390" s="10">
        <v>343.03</v>
      </c>
      <c r="G390" s="10">
        <v>1292.28</v>
      </c>
      <c r="H390" s="10">
        <v>842.37</v>
      </c>
      <c r="I390" s="10">
        <v>1224.8499999999999</v>
      </c>
      <c r="J390" s="10">
        <v>1533.41</v>
      </c>
      <c r="K390" s="10">
        <v>0</v>
      </c>
      <c r="L390" s="10">
        <v>0</v>
      </c>
      <c r="M390" s="10">
        <v>0</v>
      </c>
      <c r="N390" s="10">
        <v>772.6</v>
      </c>
      <c r="O390" s="10">
        <v>677.09</v>
      </c>
      <c r="P390" s="10">
        <v>452.36</v>
      </c>
      <c r="Q390" s="10">
        <v>0</v>
      </c>
      <c r="R390" s="10">
        <v>1082.6300000000001</v>
      </c>
      <c r="S390" s="10">
        <v>1059.29</v>
      </c>
      <c r="T390" s="10">
        <v>0</v>
      </c>
      <c r="U390" s="10">
        <v>1225.5</v>
      </c>
      <c r="V390" s="10">
        <v>569.07000000000005</v>
      </c>
      <c r="W390" s="10">
        <v>0</v>
      </c>
      <c r="X390" s="10">
        <v>0</v>
      </c>
      <c r="Y390" s="10">
        <v>809.16</v>
      </c>
      <c r="Z390" s="10">
        <v>0</v>
      </c>
      <c r="AA390" s="10">
        <v>0</v>
      </c>
      <c r="AB390" s="10">
        <v>0</v>
      </c>
      <c r="AC390" s="10">
        <v>787.57</v>
      </c>
      <c r="AD390" s="10">
        <v>523.91999999999996</v>
      </c>
      <c r="AE390" s="10">
        <v>0</v>
      </c>
      <c r="AF390" s="10">
        <v>899</v>
      </c>
    </row>
    <row r="391" spans="1:32" ht="15" customHeight="1">
      <c r="A391" s="10" t="s">
        <v>24</v>
      </c>
      <c r="B391" s="61" t="s">
        <v>303</v>
      </c>
      <c r="C391" s="10">
        <v>2623.55</v>
      </c>
      <c r="D391" s="10">
        <v>1698.79</v>
      </c>
      <c r="E391" s="10">
        <v>1535.26</v>
      </c>
      <c r="F391" s="10">
        <v>0</v>
      </c>
      <c r="G391" s="10">
        <v>1857.41</v>
      </c>
      <c r="H391" s="10">
        <v>1454.22</v>
      </c>
      <c r="I391" s="10">
        <v>1354.27</v>
      </c>
      <c r="J391" s="10">
        <v>400</v>
      </c>
      <c r="K391" s="10">
        <v>661.72</v>
      </c>
      <c r="L391" s="10">
        <v>0</v>
      </c>
      <c r="M391" s="10">
        <v>505.83</v>
      </c>
      <c r="N391" s="10">
        <v>0</v>
      </c>
      <c r="O391" s="10">
        <v>1974.19</v>
      </c>
      <c r="P391" s="10">
        <v>1745.85</v>
      </c>
      <c r="Q391" s="10">
        <v>0</v>
      </c>
      <c r="R391" s="10">
        <v>2245.4899999999998</v>
      </c>
      <c r="S391" s="10">
        <v>923.23</v>
      </c>
      <c r="T391" s="10">
        <v>1586.29</v>
      </c>
      <c r="U391" s="10">
        <v>802.01</v>
      </c>
      <c r="V391" s="10">
        <v>0</v>
      </c>
      <c r="W391" s="10">
        <v>1343.75</v>
      </c>
      <c r="X391" s="10">
        <v>230.32</v>
      </c>
      <c r="Y391" s="10">
        <v>1196.53</v>
      </c>
      <c r="Z391" s="10">
        <v>0</v>
      </c>
      <c r="AA391" s="10">
        <v>0</v>
      </c>
      <c r="AB391" s="10">
        <v>0</v>
      </c>
      <c r="AC391" s="10">
        <v>1858.18</v>
      </c>
      <c r="AD391" s="10">
        <v>1575.37</v>
      </c>
      <c r="AE391" s="10">
        <v>1485.18</v>
      </c>
      <c r="AF391" s="10">
        <v>0</v>
      </c>
    </row>
    <row r="392" spans="1:32" ht="15" customHeight="1">
      <c r="A392" s="10" t="s">
        <v>24</v>
      </c>
      <c r="B392" s="61" t="s">
        <v>304</v>
      </c>
      <c r="C392" s="10">
        <v>1472.14</v>
      </c>
      <c r="D392" s="10">
        <v>171.24</v>
      </c>
      <c r="E392" s="10">
        <v>903.98</v>
      </c>
      <c r="F392" s="10">
        <v>908.29</v>
      </c>
      <c r="G392" s="10">
        <v>511.84</v>
      </c>
      <c r="H392" s="10">
        <v>404.31</v>
      </c>
      <c r="I392" s="10">
        <v>643.65</v>
      </c>
      <c r="J392" s="10">
        <v>1144.1199999999999</v>
      </c>
      <c r="K392" s="10">
        <v>0</v>
      </c>
      <c r="L392" s="10">
        <v>1632.96</v>
      </c>
      <c r="M392" s="10">
        <v>0</v>
      </c>
      <c r="N392" s="10">
        <v>1031.6199999999999</v>
      </c>
      <c r="O392" s="10">
        <v>171.93</v>
      </c>
      <c r="P392" s="10">
        <v>369.97</v>
      </c>
      <c r="Q392" s="10">
        <v>0</v>
      </c>
      <c r="R392" s="10">
        <v>429.95</v>
      </c>
      <c r="S392" s="10">
        <v>1207.05</v>
      </c>
      <c r="T392" s="10">
        <v>767.73</v>
      </c>
      <c r="U392" s="10">
        <v>0</v>
      </c>
      <c r="V392" s="10">
        <v>511.02</v>
      </c>
      <c r="W392" s="10">
        <v>958.07</v>
      </c>
      <c r="X392" s="10">
        <v>0</v>
      </c>
      <c r="Y392" s="10">
        <v>746.53</v>
      </c>
      <c r="Z392" s="10">
        <v>0</v>
      </c>
      <c r="AA392" s="10">
        <v>787.57</v>
      </c>
      <c r="AB392" s="10">
        <v>1858.18</v>
      </c>
      <c r="AC392" s="10">
        <v>0</v>
      </c>
      <c r="AD392" s="10">
        <v>454.53</v>
      </c>
      <c r="AE392" s="10">
        <v>0</v>
      </c>
      <c r="AF392" s="10">
        <v>0</v>
      </c>
    </row>
    <row r="393" spans="1:32" ht="15" customHeight="1">
      <c r="A393" s="10" t="s">
        <v>24</v>
      </c>
      <c r="B393" s="61" t="s">
        <v>305</v>
      </c>
      <c r="C393" s="10">
        <v>1879.08</v>
      </c>
      <c r="D393" s="10">
        <v>416.67</v>
      </c>
      <c r="E393" s="10">
        <v>1089.56</v>
      </c>
      <c r="F393" s="10">
        <v>797.9</v>
      </c>
      <c r="G393" s="10">
        <v>869.38</v>
      </c>
      <c r="H393" s="10">
        <v>323.69</v>
      </c>
      <c r="I393" s="10">
        <v>705.3</v>
      </c>
      <c r="J393" s="10">
        <v>1030.02</v>
      </c>
      <c r="K393" s="10">
        <v>1177.79</v>
      </c>
      <c r="L393" s="10">
        <v>0</v>
      </c>
      <c r="M393" s="10">
        <v>0</v>
      </c>
      <c r="N393" s="10">
        <v>1109.6099999999999</v>
      </c>
      <c r="O393" s="10">
        <v>470.6</v>
      </c>
      <c r="P393" s="10">
        <v>171.65</v>
      </c>
      <c r="Q393" s="10">
        <v>0</v>
      </c>
      <c r="R393" s="10">
        <v>874.11</v>
      </c>
      <c r="S393" s="10">
        <v>797.05</v>
      </c>
      <c r="T393" s="10">
        <v>981.17</v>
      </c>
      <c r="U393" s="10">
        <v>977.33</v>
      </c>
      <c r="V393" s="10">
        <v>658.16</v>
      </c>
      <c r="W393" s="10">
        <v>1060.75</v>
      </c>
      <c r="X393" s="10">
        <v>0</v>
      </c>
      <c r="Y393" s="10">
        <v>380.21</v>
      </c>
      <c r="Z393" s="10">
        <v>0</v>
      </c>
      <c r="AA393" s="10">
        <v>523.91999999999996</v>
      </c>
      <c r="AB393" s="10">
        <v>1575.37</v>
      </c>
      <c r="AC393" s="10">
        <v>454.53</v>
      </c>
      <c r="AD393" s="10">
        <v>0</v>
      </c>
      <c r="AE393" s="10">
        <v>0</v>
      </c>
      <c r="AF393" s="10">
        <v>0</v>
      </c>
    </row>
    <row r="394" spans="1:32" ht="15" customHeight="1">
      <c r="A394" s="10" t="s">
        <v>24</v>
      </c>
      <c r="B394" s="61" t="s">
        <v>356</v>
      </c>
      <c r="C394" s="10">
        <v>0</v>
      </c>
      <c r="D394" s="10">
        <v>0</v>
      </c>
      <c r="E394" s="10">
        <v>0</v>
      </c>
      <c r="F394" s="10">
        <v>428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868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899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0" t="s">
        <v>24</v>
      </c>
      <c r="B395" s="61" t="s">
        <v>307</v>
      </c>
      <c r="C395" s="10">
        <v>600</v>
      </c>
      <c r="D395" s="10">
        <v>1399.02</v>
      </c>
      <c r="E395" s="10">
        <v>645.59</v>
      </c>
      <c r="F395" s="10">
        <v>0</v>
      </c>
      <c r="G395" s="10">
        <v>1134.76</v>
      </c>
      <c r="H395" s="10">
        <v>1341.38</v>
      </c>
      <c r="I395" s="10">
        <v>959.53</v>
      </c>
      <c r="J395" s="10">
        <v>850.09</v>
      </c>
      <c r="K395" s="10">
        <v>0</v>
      </c>
      <c r="L395" s="10">
        <v>1549.51</v>
      </c>
      <c r="M395" s="10">
        <v>0</v>
      </c>
      <c r="N395" s="10">
        <v>0</v>
      </c>
      <c r="O395" s="10">
        <v>0</v>
      </c>
      <c r="P395" s="10">
        <v>0</v>
      </c>
      <c r="Q395" s="10">
        <v>363.85</v>
      </c>
      <c r="R395" s="10">
        <v>1673.84</v>
      </c>
      <c r="S395" s="10">
        <v>0</v>
      </c>
      <c r="T395" s="10">
        <v>785.89</v>
      </c>
      <c r="U395" s="10">
        <v>0</v>
      </c>
      <c r="V395" s="10">
        <v>0</v>
      </c>
      <c r="W395" s="10">
        <v>604.03</v>
      </c>
      <c r="X395" s="10">
        <v>1492.31</v>
      </c>
      <c r="Y395" s="10">
        <v>1502.63</v>
      </c>
      <c r="Z395" s="10">
        <v>1672.93</v>
      </c>
      <c r="AA395" s="10">
        <v>0</v>
      </c>
      <c r="AB395" s="10">
        <v>1485.18</v>
      </c>
      <c r="AC395" s="10">
        <v>0</v>
      </c>
      <c r="AD395" s="10">
        <v>0</v>
      </c>
      <c r="AE395" s="10">
        <v>0</v>
      </c>
      <c r="AF395" s="10">
        <v>0</v>
      </c>
    </row>
    <row r="396" spans="1:32" ht="15" customHeight="1">
      <c r="A396" s="10" t="s">
        <v>328</v>
      </c>
      <c r="B396" s="61" t="s">
        <v>278</v>
      </c>
      <c r="C396" s="10">
        <v>1462.5</v>
      </c>
      <c r="D396" s="10">
        <v>0</v>
      </c>
      <c r="E396" s="10">
        <v>770.24</v>
      </c>
      <c r="F396" s="10">
        <v>1022.45</v>
      </c>
      <c r="G396" s="10">
        <v>456.36</v>
      </c>
      <c r="H396" s="10">
        <v>254.84</v>
      </c>
      <c r="I396" s="10">
        <v>477.04</v>
      </c>
      <c r="J396" s="10">
        <v>973.03</v>
      </c>
      <c r="K396" s="10">
        <v>0</v>
      </c>
      <c r="L396" s="10">
        <v>1640.58</v>
      </c>
      <c r="M396" s="10">
        <v>0</v>
      </c>
      <c r="N396" s="10">
        <v>1188.01</v>
      </c>
      <c r="O396" s="10">
        <v>332.27</v>
      </c>
      <c r="P396" s="10">
        <v>400.59</v>
      </c>
      <c r="Q396" s="10">
        <v>0</v>
      </c>
      <c r="R396" s="10">
        <v>557.69000000000005</v>
      </c>
      <c r="S396" s="10">
        <v>1094.8399999999999</v>
      </c>
      <c r="T396" s="10">
        <v>640.32000000000005</v>
      </c>
      <c r="U396" s="10">
        <v>1264.26</v>
      </c>
      <c r="V396" s="10">
        <v>667.29</v>
      </c>
      <c r="W396" s="10">
        <v>804.24</v>
      </c>
      <c r="X396" s="10">
        <v>0</v>
      </c>
      <c r="Y396" s="10">
        <v>630.36</v>
      </c>
      <c r="Z396" s="10">
        <v>0</v>
      </c>
      <c r="AA396" s="10">
        <v>850.72</v>
      </c>
      <c r="AB396" s="10">
        <v>1698.79</v>
      </c>
      <c r="AC396" s="10">
        <v>171.24</v>
      </c>
      <c r="AD396" s="10">
        <v>416.67</v>
      </c>
      <c r="AE396" s="10">
        <v>1399.02</v>
      </c>
      <c r="AF396" s="10">
        <v>0</v>
      </c>
    </row>
    <row r="397" spans="1:32" ht="15" customHeight="1">
      <c r="A397" s="10" t="s">
        <v>328</v>
      </c>
      <c r="B397" s="61" t="s">
        <v>280</v>
      </c>
      <c r="C397" s="10">
        <v>300</v>
      </c>
      <c r="D397" s="10">
        <v>770.24</v>
      </c>
      <c r="E397" s="10">
        <v>0</v>
      </c>
      <c r="F397" s="10">
        <v>0</v>
      </c>
      <c r="G397" s="10">
        <v>501.4</v>
      </c>
      <c r="H397" s="10">
        <v>767.87</v>
      </c>
      <c r="I397" s="10">
        <v>406.5</v>
      </c>
      <c r="J397" s="10">
        <v>692.16</v>
      </c>
      <c r="K397" s="10">
        <v>0</v>
      </c>
      <c r="L397" s="10">
        <v>1325.38</v>
      </c>
      <c r="M397" s="10">
        <v>0</v>
      </c>
      <c r="N397" s="10">
        <v>0</v>
      </c>
      <c r="O397" s="10">
        <v>1075.07</v>
      </c>
      <c r="P397" s="10">
        <v>1146.05</v>
      </c>
      <c r="Q397" s="10">
        <v>924.14</v>
      </c>
      <c r="R397" s="10">
        <v>1040.22</v>
      </c>
      <c r="S397" s="10">
        <v>0</v>
      </c>
      <c r="T397" s="10">
        <v>140.4</v>
      </c>
      <c r="U397" s="10">
        <v>0</v>
      </c>
      <c r="V397" s="10">
        <v>0</v>
      </c>
      <c r="W397" s="10">
        <v>192.2</v>
      </c>
      <c r="X397" s="10">
        <v>1636.14</v>
      </c>
      <c r="Y397" s="10">
        <v>1037.53</v>
      </c>
      <c r="Z397" s="10">
        <v>0</v>
      </c>
      <c r="AA397" s="10">
        <v>0</v>
      </c>
      <c r="AB397" s="10">
        <v>1535.26</v>
      </c>
      <c r="AC397" s="10">
        <v>903.98</v>
      </c>
      <c r="AD397" s="10">
        <v>1089.56</v>
      </c>
      <c r="AE397" s="10">
        <v>645.59</v>
      </c>
      <c r="AF397" s="10">
        <v>0</v>
      </c>
    </row>
    <row r="398" spans="1:32" ht="15" customHeight="1">
      <c r="A398" s="10" t="s">
        <v>328</v>
      </c>
      <c r="B398" s="61" t="s">
        <v>281</v>
      </c>
      <c r="C398" s="10">
        <v>0</v>
      </c>
      <c r="D398" s="10">
        <v>1022.45</v>
      </c>
      <c r="E398" s="10">
        <v>0</v>
      </c>
      <c r="F398" s="10">
        <v>0</v>
      </c>
      <c r="G398" s="10">
        <v>1415.45</v>
      </c>
      <c r="H398" s="10">
        <v>1087.05</v>
      </c>
      <c r="I398" s="10">
        <v>1458.02</v>
      </c>
      <c r="J398" s="10">
        <v>0</v>
      </c>
      <c r="K398" s="10">
        <v>0</v>
      </c>
      <c r="L398" s="10">
        <v>0</v>
      </c>
      <c r="M398" s="10">
        <v>0</v>
      </c>
      <c r="N398" s="10">
        <v>453.95</v>
      </c>
      <c r="O398" s="10">
        <v>753.16</v>
      </c>
      <c r="P398" s="10">
        <v>671.18</v>
      </c>
      <c r="Q398" s="10">
        <v>0</v>
      </c>
      <c r="R398" s="10">
        <v>1075.51</v>
      </c>
      <c r="S398" s="10">
        <v>0</v>
      </c>
      <c r="T398" s="10">
        <v>0</v>
      </c>
      <c r="U398" s="10">
        <v>0</v>
      </c>
      <c r="V398" s="10">
        <v>489.51</v>
      </c>
      <c r="W398" s="10">
        <v>0</v>
      </c>
      <c r="X398" s="10">
        <v>0</v>
      </c>
      <c r="Y398" s="10">
        <v>1129.69</v>
      </c>
      <c r="Z398" s="10">
        <v>0</v>
      </c>
      <c r="AA398" s="10">
        <v>343.03</v>
      </c>
      <c r="AB398" s="10">
        <v>0</v>
      </c>
      <c r="AC398" s="10">
        <v>908.29</v>
      </c>
      <c r="AD398" s="10">
        <v>797.9</v>
      </c>
      <c r="AE398" s="10">
        <v>0</v>
      </c>
      <c r="AF398" s="10">
        <v>428</v>
      </c>
    </row>
    <row r="399" spans="1:32" ht="15" customHeight="1">
      <c r="A399" s="10" t="s">
        <v>328</v>
      </c>
      <c r="B399" s="61" t="s">
        <v>282</v>
      </c>
      <c r="C399" s="10">
        <v>350</v>
      </c>
      <c r="D399" s="10">
        <v>456.36</v>
      </c>
      <c r="E399" s="10">
        <v>501.4</v>
      </c>
      <c r="F399" s="10">
        <v>1415.45</v>
      </c>
      <c r="G399" s="10">
        <v>0</v>
      </c>
      <c r="H399" s="10">
        <v>619.89</v>
      </c>
      <c r="I399" s="10">
        <v>504.62</v>
      </c>
      <c r="J399" s="10">
        <v>1027.05</v>
      </c>
      <c r="K399" s="10">
        <v>0</v>
      </c>
      <c r="L399" s="10">
        <v>1204.01</v>
      </c>
      <c r="M399" s="10">
        <v>0</v>
      </c>
      <c r="N399" s="10">
        <v>0</v>
      </c>
      <c r="O399" s="10">
        <v>662.94</v>
      </c>
      <c r="P399" s="10">
        <v>850.87</v>
      </c>
      <c r="Q399" s="10">
        <v>0</v>
      </c>
      <c r="R399" s="10">
        <v>540.01</v>
      </c>
      <c r="S399" s="10">
        <v>0</v>
      </c>
      <c r="T399" s="10">
        <v>367.02</v>
      </c>
      <c r="U399" s="10">
        <v>0</v>
      </c>
      <c r="V399" s="10">
        <v>978.2</v>
      </c>
      <c r="W399" s="10">
        <v>637.54999999999995</v>
      </c>
      <c r="X399" s="10">
        <v>0</v>
      </c>
      <c r="Y399" s="10">
        <v>1001.53</v>
      </c>
      <c r="Z399" s="10">
        <v>0</v>
      </c>
      <c r="AA399" s="10">
        <v>1292.28</v>
      </c>
      <c r="AB399" s="10">
        <v>1857.41</v>
      </c>
      <c r="AC399" s="10">
        <v>511.84</v>
      </c>
      <c r="AD399" s="10">
        <v>869.38</v>
      </c>
      <c r="AE399" s="10">
        <v>1134.76</v>
      </c>
      <c r="AF399" s="10">
        <v>0</v>
      </c>
    </row>
    <row r="400" spans="1:32" ht="15" customHeight="1">
      <c r="A400" s="10" t="s">
        <v>328</v>
      </c>
      <c r="B400" s="61" t="s">
        <v>283</v>
      </c>
      <c r="C400" s="10">
        <v>1630.33</v>
      </c>
      <c r="D400" s="10">
        <v>254.84</v>
      </c>
      <c r="E400" s="10">
        <v>767.87</v>
      </c>
      <c r="F400" s="10">
        <v>1087.05</v>
      </c>
      <c r="G400" s="10">
        <v>619.89</v>
      </c>
      <c r="H400" s="10">
        <v>0</v>
      </c>
      <c r="I400" s="10">
        <v>382.63</v>
      </c>
      <c r="J400" s="10">
        <v>777.76</v>
      </c>
      <c r="K400" s="10">
        <v>1194.05</v>
      </c>
      <c r="L400" s="10">
        <v>0</v>
      </c>
      <c r="M400" s="10">
        <v>0</v>
      </c>
      <c r="N400" s="10">
        <v>1334.1</v>
      </c>
      <c r="O400" s="10">
        <v>528.63</v>
      </c>
      <c r="P400" s="10">
        <v>415.87</v>
      </c>
      <c r="Q400" s="10">
        <v>0</v>
      </c>
      <c r="R400" s="10">
        <v>812.43</v>
      </c>
      <c r="S400" s="10">
        <v>850.9</v>
      </c>
      <c r="T400" s="10">
        <v>665.24</v>
      </c>
      <c r="U400" s="10">
        <v>1016.04</v>
      </c>
      <c r="V400" s="10">
        <v>829.38</v>
      </c>
      <c r="W400" s="10">
        <v>738.71</v>
      </c>
      <c r="X400" s="10">
        <v>1642</v>
      </c>
      <c r="Y400" s="10">
        <v>390.18</v>
      </c>
      <c r="Z400" s="10">
        <v>0</v>
      </c>
      <c r="AA400" s="10">
        <v>842.37</v>
      </c>
      <c r="AB400" s="10">
        <v>1454.22</v>
      </c>
      <c r="AC400" s="10">
        <v>404.31</v>
      </c>
      <c r="AD400" s="10">
        <v>323.69</v>
      </c>
      <c r="AE400" s="10">
        <v>1341.38</v>
      </c>
      <c r="AF400" s="10">
        <v>0</v>
      </c>
    </row>
    <row r="401" spans="1:32" ht="15" customHeight="1">
      <c r="A401" s="10" t="s">
        <v>328</v>
      </c>
      <c r="B401" s="61" t="s">
        <v>284</v>
      </c>
      <c r="C401" s="10">
        <v>500</v>
      </c>
      <c r="D401" s="10">
        <v>477.04</v>
      </c>
      <c r="E401" s="10">
        <v>406.5</v>
      </c>
      <c r="F401" s="10">
        <v>1458.02</v>
      </c>
      <c r="G401" s="10">
        <v>504.62</v>
      </c>
      <c r="H401" s="10">
        <v>382.63</v>
      </c>
      <c r="I401" s="10">
        <v>0</v>
      </c>
      <c r="J401" s="10">
        <v>540.49</v>
      </c>
      <c r="K401" s="10">
        <v>1281.04</v>
      </c>
      <c r="L401" s="10">
        <v>1624.96</v>
      </c>
      <c r="M401" s="10">
        <v>1750.79</v>
      </c>
      <c r="N401" s="10">
        <v>1662.66</v>
      </c>
      <c r="O401" s="10">
        <v>809.27</v>
      </c>
      <c r="P401" s="10">
        <v>790.13</v>
      </c>
      <c r="Q401" s="10">
        <v>1286.0899999999999</v>
      </c>
      <c r="R401" s="10">
        <v>934.15</v>
      </c>
      <c r="S401" s="10">
        <v>1015.33</v>
      </c>
      <c r="T401" s="10">
        <v>339.26</v>
      </c>
      <c r="U401" s="10">
        <v>1144.5999999999999</v>
      </c>
      <c r="V401" s="10">
        <v>1143.0899999999999</v>
      </c>
      <c r="W401" s="10">
        <v>356.15</v>
      </c>
      <c r="X401" s="10">
        <v>1503.63</v>
      </c>
      <c r="Y401" s="10">
        <v>633.87</v>
      </c>
      <c r="Z401" s="10">
        <v>0</v>
      </c>
      <c r="AA401" s="10">
        <v>1224.8499999999999</v>
      </c>
      <c r="AB401" s="10">
        <v>1354.27</v>
      </c>
      <c r="AC401" s="10">
        <v>643.65</v>
      </c>
      <c r="AD401" s="10">
        <v>705.3</v>
      </c>
      <c r="AE401" s="10">
        <v>959.53</v>
      </c>
      <c r="AF401" s="10">
        <v>0</v>
      </c>
    </row>
    <row r="402" spans="1:32" ht="15" customHeight="1">
      <c r="A402" s="10" t="s">
        <v>328</v>
      </c>
      <c r="B402" s="61" t="s">
        <v>285</v>
      </c>
      <c r="C402" s="10">
        <v>1789.51</v>
      </c>
      <c r="D402" s="10">
        <v>973.03</v>
      </c>
      <c r="E402" s="10">
        <v>692.16</v>
      </c>
      <c r="F402" s="10">
        <v>0</v>
      </c>
      <c r="G402" s="10">
        <v>1027.05</v>
      </c>
      <c r="H402" s="10">
        <v>777.76</v>
      </c>
      <c r="I402" s="10">
        <v>540.49</v>
      </c>
      <c r="J402" s="10">
        <v>0</v>
      </c>
      <c r="K402" s="10">
        <v>978.44</v>
      </c>
      <c r="L402" s="10">
        <v>0</v>
      </c>
      <c r="M402" s="10">
        <v>1298.0899999999999</v>
      </c>
      <c r="N402" s="10">
        <v>0</v>
      </c>
      <c r="O402" s="10">
        <v>1294.23</v>
      </c>
      <c r="P402" s="10">
        <v>1171.94</v>
      </c>
      <c r="Q402" s="10">
        <v>1213.43</v>
      </c>
      <c r="R402" s="10">
        <v>1472.56</v>
      </c>
      <c r="S402" s="10">
        <v>873.01</v>
      </c>
      <c r="T402" s="10">
        <v>737.81</v>
      </c>
      <c r="U402" s="10">
        <v>921.65</v>
      </c>
      <c r="V402" s="10">
        <v>0</v>
      </c>
      <c r="W402" s="10">
        <v>503.89</v>
      </c>
      <c r="X402" s="10">
        <v>700</v>
      </c>
      <c r="Y402" s="10">
        <v>745.5</v>
      </c>
      <c r="Z402" s="10">
        <v>0</v>
      </c>
      <c r="AA402" s="10">
        <v>1533.41</v>
      </c>
      <c r="AB402" s="10">
        <v>400</v>
      </c>
      <c r="AC402" s="10">
        <v>1144.1199999999999</v>
      </c>
      <c r="AD402" s="10">
        <v>1030.02</v>
      </c>
      <c r="AE402" s="10">
        <v>850.09</v>
      </c>
      <c r="AF402" s="10">
        <v>0</v>
      </c>
    </row>
    <row r="403" spans="1:32" ht="15" customHeight="1">
      <c r="A403" s="10" t="s">
        <v>328</v>
      </c>
      <c r="B403" s="61" t="s">
        <v>308</v>
      </c>
      <c r="C403" s="10">
        <v>0</v>
      </c>
      <c r="D403" s="10">
        <v>0</v>
      </c>
      <c r="E403" s="10">
        <v>0</v>
      </c>
      <c r="F403" s="10">
        <v>0</v>
      </c>
      <c r="G403" s="10">
        <v>0</v>
      </c>
      <c r="H403" s="10">
        <v>1194.05</v>
      </c>
      <c r="I403" s="10">
        <v>1281.04</v>
      </c>
      <c r="J403" s="10">
        <v>978.44</v>
      </c>
      <c r="K403" s="10">
        <v>0</v>
      </c>
      <c r="L403" s="10">
        <v>0</v>
      </c>
      <c r="M403" s="10">
        <v>647.91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384.47</v>
      </c>
      <c r="T403" s="10">
        <v>0</v>
      </c>
      <c r="U403" s="10">
        <v>205.65</v>
      </c>
      <c r="V403" s="10">
        <v>0</v>
      </c>
      <c r="W403" s="10">
        <v>0</v>
      </c>
      <c r="X403" s="10">
        <v>885</v>
      </c>
      <c r="Y403" s="10">
        <v>825.43</v>
      </c>
      <c r="Z403" s="10">
        <v>0</v>
      </c>
      <c r="AA403" s="10">
        <v>0</v>
      </c>
      <c r="AB403" s="10">
        <v>661.72</v>
      </c>
      <c r="AC403" s="10">
        <v>0</v>
      </c>
      <c r="AD403" s="10">
        <v>1177.79</v>
      </c>
      <c r="AE403" s="10">
        <v>0</v>
      </c>
      <c r="AF403" s="10">
        <v>0</v>
      </c>
    </row>
    <row r="404" spans="1:32" ht="15" customHeight="1">
      <c r="A404" s="10" t="s">
        <v>328</v>
      </c>
      <c r="B404" s="61" t="s">
        <v>286</v>
      </c>
      <c r="C404" s="10">
        <v>229.59</v>
      </c>
      <c r="D404" s="10">
        <v>1640.58</v>
      </c>
      <c r="E404" s="10">
        <v>1325.38</v>
      </c>
      <c r="F404" s="10">
        <v>0</v>
      </c>
      <c r="G404" s="10">
        <v>1204.01</v>
      </c>
      <c r="H404" s="10">
        <v>0</v>
      </c>
      <c r="I404" s="10">
        <v>1624.96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1723.59</v>
      </c>
      <c r="P404" s="10">
        <v>0</v>
      </c>
      <c r="Q404" s="10">
        <v>1479.45</v>
      </c>
      <c r="R404" s="10">
        <v>1341.02</v>
      </c>
      <c r="S404" s="10">
        <v>0</v>
      </c>
      <c r="T404" s="10">
        <v>1307.3599999999999</v>
      </c>
      <c r="U404" s="10">
        <v>0</v>
      </c>
      <c r="V404" s="10">
        <v>0</v>
      </c>
      <c r="W404" s="10">
        <v>1513.18</v>
      </c>
      <c r="X404" s="10">
        <v>0</v>
      </c>
      <c r="Y404" s="10">
        <v>0</v>
      </c>
      <c r="Z404" s="10">
        <v>421.67</v>
      </c>
      <c r="AA404" s="10">
        <v>0</v>
      </c>
      <c r="AB404" s="10">
        <v>0</v>
      </c>
      <c r="AC404" s="10">
        <v>1632.96</v>
      </c>
      <c r="AD404" s="10">
        <v>0</v>
      </c>
      <c r="AE404" s="10">
        <v>1549.51</v>
      </c>
      <c r="AF404" s="10">
        <v>0</v>
      </c>
    </row>
    <row r="405" spans="1:32" ht="15" customHeight="1">
      <c r="A405" s="10" t="s">
        <v>328</v>
      </c>
      <c r="B405" s="61" t="s">
        <v>287</v>
      </c>
      <c r="C405" s="10">
        <v>0</v>
      </c>
      <c r="D405" s="10">
        <v>0</v>
      </c>
      <c r="E405" s="10">
        <v>0</v>
      </c>
      <c r="F405" s="10">
        <v>0</v>
      </c>
      <c r="G405" s="10">
        <v>0</v>
      </c>
      <c r="H405" s="10">
        <v>0</v>
      </c>
      <c r="I405" s="10">
        <v>1750.79</v>
      </c>
      <c r="J405" s="10">
        <v>1298.0899999999999</v>
      </c>
      <c r="K405" s="10">
        <v>647.91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1026.31</v>
      </c>
      <c r="T405" s="10">
        <v>0</v>
      </c>
      <c r="U405" s="10">
        <v>852.16</v>
      </c>
      <c r="V405" s="10">
        <v>0</v>
      </c>
      <c r="W405" s="10">
        <v>0</v>
      </c>
      <c r="X405" s="10">
        <v>1000</v>
      </c>
      <c r="Y405" s="10">
        <v>1430.78</v>
      </c>
      <c r="Z405" s="10">
        <v>0</v>
      </c>
      <c r="AA405" s="10">
        <v>0</v>
      </c>
      <c r="AB405" s="10">
        <v>505.83</v>
      </c>
      <c r="AC405" s="10">
        <v>0</v>
      </c>
      <c r="AD405" s="10">
        <v>0</v>
      </c>
      <c r="AE405" s="10">
        <v>0</v>
      </c>
      <c r="AF405" s="10">
        <v>0</v>
      </c>
    </row>
    <row r="406" spans="1:32" ht="15" customHeight="1">
      <c r="A406" s="10" t="s">
        <v>328</v>
      </c>
      <c r="B406" s="61" t="s">
        <v>288</v>
      </c>
      <c r="C406" s="10">
        <v>0</v>
      </c>
      <c r="D406" s="10">
        <v>1462.5</v>
      </c>
      <c r="E406" s="10">
        <v>300</v>
      </c>
      <c r="F406" s="10">
        <v>0</v>
      </c>
      <c r="G406" s="10">
        <v>350</v>
      </c>
      <c r="H406" s="10">
        <v>1630.33</v>
      </c>
      <c r="I406" s="10">
        <v>500</v>
      </c>
      <c r="J406" s="10">
        <v>1789.51</v>
      </c>
      <c r="K406" s="10">
        <v>0</v>
      </c>
      <c r="L406" s="10">
        <v>229.59</v>
      </c>
      <c r="M406" s="10">
        <v>0</v>
      </c>
      <c r="N406" s="10">
        <v>2201.09</v>
      </c>
      <c r="O406" s="10">
        <v>1577.99</v>
      </c>
      <c r="P406" s="10">
        <v>1838.39</v>
      </c>
      <c r="Q406" s="10">
        <v>1284.49</v>
      </c>
      <c r="R406" s="10">
        <v>1000</v>
      </c>
      <c r="S406" s="10">
        <v>0</v>
      </c>
      <c r="T406" s="10">
        <v>1087.05</v>
      </c>
      <c r="U406" s="10">
        <v>0</v>
      </c>
      <c r="V406" s="10">
        <v>1809.09</v>
      </c>
      <c r="W406" s="10">
        <v>1285.6600000000001</v>
      </c>
      <c r="X406" s="10">
        <v>2702.36</v>
      </c>
      <c r="Y406" s="10">
        <v>2000.6</v>
      </c>
      <c r="Z406" s="10">
        <v>560.61</v>
      </c>
      <c r="AA406" s="10">
        <v>2252.62</v>
      </c>
      <c r="AB406" s="10">
        <v>2623.55</v>
      </c>
      <c r="AC406" s="10">
        <v>1472.14</v>
      </c>
      <c r="AD406" s="10">
        <v>1879.08</v>
      </c>
      <c r="AE406" s="10">
        <v>600</v>
      </c>
      <c r="AF406" s="10">
        <v>0</v>
      </c>
    </row>
    <row r="407" spans="1:32" ht="15" customHeight="1">
      <c r="A407" s="10" t="s">
        <v>328</v>
      </c>
      <c r="B407" s="61" t="s">
        <v>289</v>
      </c>
      <c r="C407" s="10">
        <v>2201.09</v>
      </c>
      <c r="D407" s="10">
        <v>1188.01</v>
      </c>
      <c r="E407" s="10">
        <v>0</v>
      </c>
      <c r="F407" s="10">
        <v>453.95</v>
      </c>
      <c r="G407" s="10">
        <v>0</v>
      </c>
      <c r="H407" s="10">
        <v>1334.1</v>
      </c>
      <c r="I407" s="10">
        <v>1662.66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0">
        <v>859.98</v>
      </c>
      <c r="P407" s="10">
        <v>947.65</v>
      </c>
      <c r="Q407" s="10">
        <v>0</v>
      </c>
      <c r="R407" s="10">
        <v>1007.1</v>
      </c>
      <c r="S407" s="10">
        <v>0</v>
      </c>
      <c r="T407" s="10">
        <v>0</v>
      </c>
      <c r="U407" s="10">
        <v>0</v>
      </c>
      <c r="V407" s="10">
        <v>521.16</v>
      </c>
      <c r="W407" s="10">
        <v>0</v>
      </c>
      <c r="X407" s="10">
        <v>0</v>
      </c>
      <c r="Y407" s="10">
        <v>1480.09</v>
      </c>
      <c r="Z407" s="10">
        <v>0</v>
      </c>
      <c r="AA407" s="10">
        <v>772.6</v>
      </c>
      <c r="AB407" s="10">
        <v>0</v>
      </c>
      <c r="AC407" s="10">
        <v>1031.6199999999999</v>
      </c>
      <c r="AD407" s="10">
        <v>1109.6099999999999</v>
      </c>
      <c r="AE407" s="10">
        <v>0</v>
      </c>
      <c r="AF407" s="10">
        <v>868</v>
      </c>
    </row>
    <row r="408" spans="1:32" ht="15" customHeight="1">
      <c r="A408" s="10" t="s">
        <v>328</v>
      </c>
      <c r="B408" s="61" t="s">
        <v>290</v>
      </c>
      <c r="C408" s="10">
        <v>1577.99</v>
      </c>
      <c r="D408" s="10">
        <v>332.27</v>
      </c>
      <c r="E408" s="10">
        <v>1075.07</v>
      </c>
      <c r="F408" s="10">
        <v>753.16</v>
      </c>
      <c r="G408" s="10">
        <v>662.94</v>
      </c>
      <c r="H408" s="10">
        <v>528.63</v>
      </c>
      <c r="I408" s="10">
        <v>809.27</v>
      </c>
      <c r="J408" s="10">
        <v>1294.23</v>
      </c>
      <c r="K408" s="10">
        <v>0</v>
      </c>
      <c r="L408" s="10">
        <v>1723.59</v>
      </c>
      <c r="M408" s="10">
        <v>0</v>
      </c>
      <c r="N408" s="10">
        <v>859.98</v>
      </c>
      <c r="O408" s="10">
        <v>0</v>
      </c>
      <c r="P408" s="10">
        <v>331.49</v>
      </c>
      <c r="Q408" s="10">
        <v>0</v>
      </c>
      <c r="R408" s="10">
        <v>427.99</v>
      </c>
      <c r="S408" s="10">
        <v>1262.6500000000001</v>
      </c>
      <c r="T408" s="10">
        <v>938.11</v>
      </c>
      <c r="U408" s="10">
        <v>0</v>
      </c>
      <c r="V408" s="10">
        <v>339.14</v>
      </c>
      <c r="W408" s="10">
        <v>1129.3900000000001</v>
      </c>
      <c r="X408" s="10">
        <v>0</v>
      </c>
      <c r="Y408" s="10">
        <v>818.17</v>
      </c>
      <c r="Z408" s="10">
        <v>0</v>
      </c>
      <c r="AA408" s="10">
        <v>677.09</v>
      </c>
      <c r="AB408" s="10">
        <v>1974.19</v>
      </c>
      <c r="AC408" s="10">
        <v>171.93</v>
      </c>
      <c r="AD408" s="10">
        <v>470.6</v>
      </c>
      <c r="AE408" s="10">
        <v>0</v>
      </c>
      <c r="AF408" s="10">
        <v>0</v>
      </c>
    </row>
    <row r="409" spans="1:32" ht="15" customHeight="1">
      <c r="A409" s="10" t="s">
        <v>328</v>
      </c>
      <c r="B409" s="61" t="s">
        <v>291</v>
      </c>
      <c r="C409" s="10">
        <v>1838.39</v>
      </c>
      <c r="D409" s="10">
        <v>400.59</v>
      </c>
      <c r="E409" s="10">
        <v>1146.05</v>
      </c>
      <c r="F409" s="10">
        <v>671.18</v>
      </c>
      <c r="G409" s="10">
        <v>850.87</v>
      </c>
      <c r="H409" s="10">
        <v>415.87</v>
      </c>
      <c r="I409" s="10">
        <v>790.13</v>
      </c>
      <c r="J409" s="10">
        <v>1171.94</v>
      </c>
      <c r="K409" s="10">
        <v>0</v>
      </c>
      <c r="L409" s="10">
        <v>0</v>
      </c>
      <c r="M409" s="10">
        <v>0</v>
      </c>
      <c r="N409" s="10">
        <v>947.65</v>
      </c>
      <c r="O409" s="10">
        <v>331.49</v>
      </c>
      <c r="P409" s="10">
        <v>0</v>
      </c>
      <c r="Q409" s="10">
        <v>0</v>
      </c>
      <c r="R409" s="10">
        <v>755.26</v>
      </c>
      <c r="S409" s="10">
        <v>961.23</v>
      </c>
      <c r="T409" s="10">
        <v>1025.1099999999999</v>
      </c>
      <c r="U409" s="10">
        <v>1141.83</v>
      </c>
      <c r="V409" s="10">
        <v>486.51</v>
      </c>
      <c r="W409" s="10">
        <v>1144.4000000000001</v>
      </c>
      <c r="X409" s="10">
        <v>0</v>
      </c>
      <c r="Y409" s="10">
        <v>551.72</v>
      </c>
      <c r="Z409" s="10">
        <v>0</v>
      </c>
      <c r="AA409" s="10">
        <v>452.36</v>
      </c>
      <c r="AB409" s="10">
        <v>1745.85</v>
      </c>
      <c r="AC409" s="10">
        <v>369.97</v>
      </c>
      <c r="AD409" s="10">
        <v>171.65</v>
      </c>
      <c r="AE409" s="10">
        <v>0</v>
      </c>
      <c r="AF409" s="10">
        <v>0</v>
      </c>
    </row>
    <row r="410" spans="1:32" ht="15" customHeight="1">
      <c r="A410" s="10" t="s">
        <v>328</v>
      </c>
      <c r="B410" s="61" t="s">
        <v>292</v>
      </c>
      <c r="C410" s="10">
        <v>1284.49</v>
      </c>
      <c r="D410" s="10">
        <v>0</v>
      </c>
      <c r="E410" s="10">
        <v>924.14</v>
      </c>
      <c r="F410" s="10">
        <v>0</v>
      </c>
      <c r="G410" s="10">
        <v>0</v>
      </c>
      <c r="H410" s="10">
        <v>0</v>
      </c>
      <c r="I410" s="10">
        <v>1286.0899999999999</v>
      </c>
      <c r="J410" s="10">
        <v>1213.43</v>
      </c>
      <c r="K410" s="10">
        <v>0</v>
      </c>
      <c r="L410" s="10">
        <v>1479.45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1057.17</v>
      </c>
      <c r="U410" s="10">
        <v>0</v>
      </c>
      <c r="V410" s="10">
        <v>0</v>
      </c>
      <c r="W410" s="10">
        <v>932.26</v>
      </c>
      <c r="X410" s="10">
        <v>1780.16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363.85</v>
      </c>
      <c r="AF410" s="10">
        <v>0</v>
      </c>
    </row>
    <row r="411" spans="1:32" ht="15" customHeight="1">
      <c r="A411" s="10" t="s">
        <v>328</v>
      </c>
      <c r="B411" s="61" t="s">
        <v>293</v>
      </c>
      <c r="C411" s="10">
        <v>1000</v>
      </c>
      <c r="D411" s="10">
        <v>557.69000000000005</v>
      </c>
      <c r="E411" s="10">
        <v>1040.22</v>
      </c>
      <c r="F411" s="10">
        <v>1075.51</v>
      </c>
      <c r="G411" s="10">
        <v>540.01</v>
      </c>
      <c r="H411" s="10">
        <v>812.43</v>
      </c>
      <c r="I411" s="10">
        <v>934.15</v>
      </c>
      <c r="J411" s="10">
        <v>1472.56</v>
      </c>
      <c r="K411" s="10">
        <v>0</v>
      </c>
      <c r="L411" s="10">
        <v>1341.02</v>
      </c>
      <c r="M411" s="10">
        <v>0</v>
      </c>
      <c r="N411" s="10">
        <v>1007.1</v>
      </c>
      <c r="O411" s="10">
        <v>427.99</v>
      </c>
      <c r="P411" s="10">
        <v>755.26</v>
      </c>
      <c r="Q411" s="10">
        <v>0</v>
      </c>
      <c r="R411" s="10">
        <v>0</v>
      </c>
      <c r="S411" s="10">
        <v>0</v>
      </c>
      <c r="T411" s="10">
        <v>903.08</v>
      </c>
      <c r="U411" s="10">
        <v>0</v>
      </c>
      <c r="V411" s="10">
        <v>586.66</v>
      </c>
      <c r="W411" s="10">
        <v>1161.05</v>
      </c>
      <c r="X411" s="10">
        <v>0</v>
      </c>
      <c r="Y411" s="10">
        <v>1174.6600000000001</v>
      </c>
      <c r="Z411" s="10">
        <v>0</v>
      </c>
      <c r="AA411" s="10">
        <v>1082.6300000000001</v>
      </c>
      <c r="AB411" s="10">
        <v>2245.4899999999998</v>
      </c>
      <c r="AC411" s="10">
        <v>429.95</v>
      </c>
      <c r="AD411" s="10">
        <v>874.11</v>
      </c>
      <c r="AE411" s="10">
        <v>1673.84</v>
      </c>
      <c r="AF411" s="10">
        <v>0</v>
      </c>
    </row>
    <row r="412" spans="1:32" ht="15" customHeight="1">
      <c r="A412" s="10" t="s">
        <v>328</v>
      </c>
      <c r="B412" s="61" t="s">
        <v>309</v>
      </c>
      <c r="C412" s="10">
        <v>0</v>
      </c>
      <c r="D412" s="10">
        <v>1094.8399999999999</v>
      </c>
      <c r="E412" s="10">
        <v>0</v>
      </c>
      <c r="F412" s="10">
        <v>0</v>
      </c>
      <c r="G412" s="10">
        <v>0</v>
      </c>
      <c r="H412" s="10">
        <v>850.9</v>
      </c>
      <c r="I412" s="10">
        <v>1015.33</v>
      </c>
      <c r="J412" s="10">
        <v>873.01</v>
      </c>
      <c r="K412" s="10">
        <v>384.47</v>
      </c>
      <c r="L412" s="10">
        <v>0</v>
      </c>
      <c r="M412" s="10">
        <v>1026.31</v>
      </c>
      <c r="N412" s="10">
        <v>0</v>
      </c>
      <c r="O412" s="10">
        <v>1262.6500000000001</v>
      </c>
      <c r="P412" s="10">
        <v>961.23</v>
      </c>
      <c r="Q412" s="10">
        <v>0</v>
      </c>
      <c r="R412" s="10">
        <v>0</v>
      </c>
      <c r="S412" s="10">
        <v>0</v>
      </c>
      <c r="T412" s="10">
        <v>0</v>
      </c>
      <c r="U412" s="10">
        <v>180.61</v>
      </c>
      <c r="V412" s="10">
        <v>0</v>
      </c>
      <c r="W412" s="10">
        <v>1249.7</v>
      </c>
      <c r="X412" s="10">
        <v>1153.01</v>
      </c>
      <c r="Y412" s="10">
        <v>464.52</v>
      </c>
      <c r="Z412" s="10">
        <v>0</v>
      </c>
      <c r="AA412" s="10">
        <v>1059.29</v>
      </c>
      <c r="AB412" s="10">
        <v>923.23</v>
      </c>
      <c r="AC412" s="10">
        <v>1207.05</v>
      </c>
      <c r="AD412" s="10">
        <v>797.05</v>
      </c>
      <c r="AE412" s="10">
        <v>0</v>
      </c>
      <c r="AF412" s="10">
        <v>0</v>
      </c>
    </row>
    <row r="413" spans="1:32">
      <c r="A413" s="10" t="s">
        <v>328</v>
      </c>
      <c r="B413" s="61" t="s">
        <v>294</v>
      </c>
      <c r="C413" s="10">
        <v>1087.05</v>
      </c>
      <c r="D413" s="10">
        <v>640.32000000000005</v>
      </c>
      <c r="E413" s="10">
        <v>140.4</v>
      </c>
      <c r="F413" s="10">
        <v>0</v>
      </c>
      <c r="G413" s="10">
        <v>367.02</v>
      </c>
      <c r="H413" s="10">
        <v>665.24</v>
      </c>
      <c r="I413" s="10">
        <v>339.26</v>
      </c>
      <c r="J413" s="10">
        <v>737.81</v>
      </c>
      <c r="K413" s="10">
        <v>0</v>
      </c>
      <c r="L413" s="10">
        <v>1307.3599999999999</v>
      </c>
      <c r="M413" s="10">
        <v>0</v>
      </c>
      <c r="N413" s="10">
        <v>0</v>
      </c>
      <c r="O413" s="10">
        <v>938.11</v>
      </c>
      <c r="P413" s="10">
        <v>1025.1099999999999</v>
      </c>
      <c r="Q413" s="10">
        <v>1057.17</v>
      </c>
      <c r="R413" s="10">
        <v>903.08</v>
      </c>
      <c r="S413" s="10">
        <v>0</v>
      </c>
      <c r="T413" s="10">
        <v>0</v>
      </c>
      <c r="U413" s="10">
        <v>0</v>
      </c>
      <c r="V413" s="10">
        <v>0</v>
      </c>
      <c r="W413" s="10">
        <v>279.54000000000002</v>
      </c>
      <c r="X413" s="10">
        <v>1703.34</v>
      </c>
      <c r="Y413" s="10">
        <v>969.45</v>
      </c>
      <c r="Z413" s="10">
        <v>0</v>
      </c>
      <c r="AA413" s="10">
        <v>0</v>
      </c>
      <c r="AB413" s="10">
        <v>1586.29</v>
      </c>
      <c r="AC413" s="10">
        <v>767.73</v>
      </c>
      <c r="AD413" s="10">
        <v>981.17</v>
      </c>
      <c r="AE413" s="10">
        <v>785.89</v>
      </c>
      <c r="AF413" s="10">
        <v>0</v>
      </c>
    </row>
    <row r="414" spans="1:32">
      <c r="A414" s="10" t="s">
        <v>328</v>
      </c>
      <c r="B414" s="61" t="s">
        <v>310</v>
      </c>
      <c r="C414" s="10">
        <v>0</v>
      </c>
      <c r="D414" s="10">
        <v>1264.26</v>
      </c>
      <c r="E414" s="10">
        <v>0</v>
      </c>
      <c r="F414" s="10">
        <v>0</v>
      </c>
      <c r="G414" s="10">
        <v>0</v>
      </c>
      <c r="H414" s="10">
        <v>1016.04</v>
      </c>
      <c r="I414" s="10">
        <v>1144.5999999999999</v>
      </c>
      <c r="J414" s="10">
        <v>921.65</v>
      </c>
      <c r="K414" s="10">
        <v>205.65</v>
      </c>
      <c r="L414" s="10">
        <v>0</v>
      </c>
      <c r="M414" s="10">
        <v>852.16</v>
      </c>
      <c r="N414" s="10">
        <v>0</v>
      </c>
      <c r="O414" s="10">
        <v>0</v>
      </c>
      <c r="P414" s="10">
        <v>1141.83</v>
      </c>
      <c r="Q414" s="10">
        <v>0</v>
      </c>
      <c r="R414" s="10">
        <v>0</v>
      </c>
      <c r="S414" s="10">
        <v>180.61</v>
      </c>
      <c r="T414" s="10">
        <v>0</v>
      </c>
      <c r="U414" s="10">
        <v>0</v>
      </c>
      <c r="V414" s="10">
        <v>0</v>
      </c>
      <c r="W414" s="10">
        <v>1345.25</v>
      </c>
      <c r="X414" s="10">
        <v>1031.76</v>
      </c>
      <c r="Y414" s="10">
        <v>636.20000000000005</v>
      </c>
      <c r="Z414" s="10">
        <v>0</v>
      </c>
      <c r="AA414" s="10">
        <v>1225.5</v>
      </c>
      <c r="AB414" s="10">
        <v>802.01</v>
      </c>
      <c r="AC414" s="10">
        <v>0</v>
      </c>
      <c r="AD414" s="10">
        <v>977.33</v>
      </c>
      <c r="AE414" s="10">
        <v>0</v>
      </c>
      <c r="AF414" s="10">
        <v>0</v>
      </c>
    </row>
    <row r="415" spans="1:32">
      <c r="A415" s="10" t="s">
        <v>328</v>
      </c>
      <c r="B415" s="61" t="s">
        <v>297</v>
      </c>
      <c r="C415" s="10">
        <v>1285.6600000000001</v>
      </c>
      <c r="D415" s="10">
        <v>804.24</v>
      </c>
      <c r="E415" s="10">
        <v>192.2</v>
      </c>
      <c r="F415" s="10">
        <v>0</v>
      </c>
      <c r="G415" s="10">
        <v>637.54999999999995</v>
      </c>
      <c r="H415" s="10">
        <v>738.71</v>
      </c>
      <c r="I415" s="10">
        <v>356.15</v>
      </c>
      <c r="J415" s="10">
        <v>503.89</v>
      </c>
      <c r="K415" s="10">
        <v>0</v>
      </c>
      <c r="L415" s="10">
        <v>1513.18</v>
      </c>
      <c r="M415" s="10">
        <v>0</v>
      </c>
      <c r="N415" s="10">
        <v>0</v>
      </c>
      <c r="O415" s="10">
        <v>1129.3900000000001</v>
      </c>
      <c r="P415" s="10">
        <v>1144.4000000000001</v>
      </c>
      <c r="Q415" s="10">
        <v>932.26</v>
      </c>
      <c r="R415" s="10">
        <v>1161.05</v>
      </c>
      <c r="S415" s="10">
        <v>1249.7</v>
      </c>
      <c r="T415" s="10">
        <v>279.54000000000002</v>
      </c>
      <c r="U415" s="10">
        <v>1345.25</v>
      </c>
      <c r="V415" s="10">
        <v>0</v>
      </c>
      <c r="W415" s="10">
        <v>0</v>
      </c>
      <c r="X415" s="10">
        <v>1444.25</v>
      </c>
      <c r="Y415" s="10">
        <v>943.16</v>
      </c>
      <c r="Z415" s="10">
        <v>0</v>
      </c>
      <c r="AA415" s="10">
        <v>0</v>
      </c>
      <c r="AB415" s="10">
        <v>1343.75</v>
      </c>
      <c r="AC415" s="10">
        <v>958.07</v>
      </c>
      <c r="AD415" s="10">
        <v>1060.75</v>
      </c>
      <c r="AE415" s="10">
        <v>604.03</v>
      </c>
      <c r="AF415" s="10">
        <v>0</v>
      </c>
    </row>
    <row r="416" spans="1:32">
      <c r="A416" s="10" t="s">
        <v>328</v>
      </c>
      <c r="B416" s="61" t="s">
        <v>298</v>
      </c>
      <c r="C416" s="10">
        <v>2702.36</v>
      </c>
      <c r="D416" s="10">
        <v>0</v>
      </c>
      <c r="E416" s="10">
        <v>1636.14</v>
      </c>
      <c r="F416" s="10">
        <v>0</v>
      </c>
      <c r="G416" s="10">
        <v>0</v>
      </c>
      <c r="H416" s="10">
        <v>1642</v>
      </c>
      <c r="I416" s="10">
        <v>1503.63</v>
      </c>
      <c r="J416" s="10">
        <v>700</v>
      </c>
      <c r="K416" s="10">
        <v>885</v>
      </c>
      <c r="L416" s="10">
        <v>0</v>
      </c>
      <c r="M416" s="10">
        <v>1000</v>
      </c>
      <c r="N416" s="10">
        <v>0</v>
      </c>
      <c r="O416" s="10">
        <v>0</v>
      </c>
      <c r="P416" s="10">
        <v>0</v>
      </c>
      <c r="Q416" s="10">
        <v>1780.16</v>
      </c>
      <c r="R416" s="10">
        <v>0</v>
      </c>
      <c r="S416" s="10">
        <v>1153.01</v>
      </c>
      <c r="T416" s="10">
        <v>1703.34</v>
      </c>
      <c r="U416" s="10">
        <v>1031.76</v>
      </c>
      <c r="V416" s="10">
        <v>0</v>
      </c>
      <c r="W416" s="10">
        <v>1444.25</v>
      </c>
      <c r="X416" s="10">
        <v>0</v>
      </c>
      <c r="Y416" s="10">
        <v>1408.54</v>
      </c>
      <c r="Z416" s="10">
        <v>0</v>
      </c>
      <c r="AA416" s="10">
        <v>0</v>
      </c>
      <c r="AB416" s="10">
        <v>230.32</v>
      </c>
      <c r="AC416" s="10">
        <v>0</v>
      </c>
      <c r="AD416" s="10">
        <v>0</v>
      </c>
      <c r="AE416" s="10">
        <v>1492.31</v>
      </c>
      <c r="AF416" s="10">
        <v>0</v>
      </c>
    </row>
    <row r="417" spans="1:32">
      <c r="A417" s="10" t="s">
        <v>328</v>
      </c>
      <c r="B417" s="61" t="s">
        <v>357</v>
      </c>
      <c r="C417" s="10">
        <v>1809.09</v>
      </c>
      <c r="D417" s="10">
        <v>667.29</v>
      </c>
      <c r="E417" s="10">
        <v>0</v>
      </c>
      <c r="F417" s="10">
        <v>489.51</v>
      </c>
      <c r="G417" s="10">
        <v>978.2</v>
      </c>
      <c r="H417" s="10">
        <v>829.38</v>
      </c>
      <c r="I417" s="10">
        <v>1143.0899999999999</v>
      </c>
      <c r="J417" s="10">
        <v>0</v>
      </c>
      <c r="K417" s="10">
        <v>0</v>
      </c>
      <c r="L417" s="10">
        <v>0</v>
      </c>
      <c r="M417" s="10">
        <v>0</v>
      </c>
      <c r="N417" s="10">
        <v>521.16</v>
      </c>
      <c r="O417" s="10">
        <v>339.14</v>
      </c>
      <c r="P417" s="10">
        <v>486.51</v>
      </c>
      <c r="Q417" s="10">
        <v>0</v>
      </c>
      <c r="R417" s="10">
        <v>586.66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1038.1300000000001</v>
      </c>
      <c r="Z417" s="10">
        <v>0</v>
      </c>
      <c r="AA417" s="10">
        <v>569.07000000000005</v>
      </c>
      <c r="AB417" s="10">
        <v>0</v>
      </c>
      <c r="AC417" s="10">
        <v>511.02</v>
      </c>
      <c r="AD417" s="10">
        <v>658.16</v>
      </c>
      <c r="AE417" s="10">
        <v>0</v>
      </c>
      <c r="AF417" s="10">
        <v>0</v>
      </c>
    </row>
    <row r="418" spans="1:32">
      <c r="A418" s="10" t="s">
        <v>328</v>
      </c>
      <c r="B418" s="61" t="s">
        <v>299</v>
      </c>
      <c r="C418" s="10">
        <v>2000.6</v>
      </c>
      <c r="D418" s="10">
        <v>630.36</v>
      </c>
      <c r="E418" s="10">
        <v>1037.53</v>
      </c>
      <c r="F418" s="10">
        <v>1129.69</v>
      </c>
      <c r="G418" s="10">
        <v>1001.53</v>
      </c>
      <c r="H418" s="10">
        <v>390.18</v>
      </c>
      <c r="I418" s="10">
        <v>633.87</v>
      </c>
      <c r="J418" s="10">
        <v>745.5</v>
      </c>
      <c r="K418" s="10">
        <v>825.43</v>
      </c>
      <c r="L418" s="10">
        <v>0</v>
      </c>
      <c r="M418" s="10">
        <v>1430.78</v>
      </c>
      <c r="N418" s="10">
        <v>1480.09</v>
      </c>
      <c r="O418" s="10">
        <v>818.17</v>
      </c>
      <c r="P418" s="10">
        <v>551.72</v>
      </c>
      <c r="Q418" s="10">
        <v>0</v>
      </c>
      <c r="R418" s="10">
        <v>1174.6600000000001</v>
      </c>
      <c r="S418" s="10">
        <v>464.52</v>
      </c>
      <c r="T418" s="10">
        <v>969.45</v>
      </c>
      <c r="U418" s="10">
        <v>636.20000000000005</v>
      </c>
      <c r="V418" s="10">
        <v>1038.1300000000001</v>
      </c>
      <c r="W418" s="10">
        <v>943.16</v>
      </c>
      <c r="X418" s="10">
        <v>1408.54</v>
      </c>
      <c r="Y418" s="10">
        <v>0</v>
      </c>
      <c r="Z418" s="10">
        <v>0</v>
      </c>
      <c r="AA418" s="10">
        <v>809.16</v>
      </c>
      <c r="AB418" s="10">
        <v>1196.53</v>
      </c>
      <c r="AC418" s="10">
        <v>746.53</v>
      </c>
      <c r="AD418" s="10">
        <v>380.21</v>
      </c>
      <c r="AE418" s="10">
        <v>1502.63</v>
      </c>
      <c r="AF418" s="10">
        <v>0</v>
      </c>
    </row>
    <row r="419" spans="1:32">
      <c r="A419" s="10" t="s">
        <v>328</v>
      </c>
      <c r="B419" s="61" t="s">
        <v>300</v>
      </c>
      <c r="C419" s="10">
        <v>560.61</v>
      </c>
      <c r="D419" s="10">
        <v>0</v>
      </c>
      <c r="E419" s="10">
        <v>0</v>
      </c>
      <c r="F419" s="10">
        <v>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421.67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1672.93</v>
      </c>
      <c r="AF419" s="10">
        <v>0</v>
      </c>
    </row>
    <row r="420" spans="1:32">
      <c r="A420" s="10" t="s">
        <v>328</v>
      </c>
      <c r="B420" s="61" t="s">
        <v>301</v>
      </c>
      <c r="C420" s="10">
        <v>2252.62</v>
      </c>
      <c r="D420" s="10">
        <v>850.72</v>
      </c>
      <c r="E420" s="10">
        <v>0</v>
      </c>
      <c r="F420" s="10">
        <v>343.03</v>
      </c>
      <c r="G420" s="10">
        <v>1292.28</v>
      </c>
      <c r="H420" s="10">
        <v>842.37</v>
      </c>
      <c r="I420" s="10">
        <v>1224.8499999999999</v>
      </c>
      <c r="J420" s="10">
        <v>1533.41</v>
      </c>
      <c r="K420" s="10">
        <v>0</v>
      </c>
      <c r="L420" s="10">
        <v>0</v>
      </c>
      <c r="M420" s="10">
        <v>0</v>
      </c>
      <c r="N420" s="10">
        <v>772.6</v>
      </c>
      <c r="O420" s="10">
        <v>677.09</v>
      </c>
      <c r="P420" s="10">
        <v>452.36</v>
      </c>
      <c r="Q420" s="10">
        <v>0</v>
      </c>
      <c r="R420" s="10">
        <v>1082.6300000000001</v>
      </c>
      <c r="S420" s="10">
        <v>1059.29</v>
      </c>
      <c r="T420" s="10">
        <v>0</v>
      </c>
      <c r="U420" s="10">
        <v>1225.5</v>
      </c>
      <c r="V420" s="10">
        <v>569.07000000000005</v>
      </c>
      <c r="W420" s="10">
        <v>0</v>
      </c>
      <c r="X420" s="10">
        <v>0</v>
      </c>
      <c r="Y420" s="10">
        <v>809.16</v>
      </c>
      <c r="Z420" s="10">
        <v>0</v>
      </c>
      <c r="AA420" s="10">
        <v>0</v>
      </c>
      <c r="AB420" s="10">
        <v>0</v>
      </c>
      <c r="AC420" s="10">
        <v>787.57</v>
      </c>
      <c r="AD420" s="10">
        <v>523.91999999999996</v>
      </c>
      <c r="AE420" s="10">
        <v>0</v>
      </c>
      <c r="AF420" s="10">
        <v>899</v>
      </c>
    </row>
    <row r="421" spans="1:32">
      <c r="A421" s="10" t="s">
        <v>328</v>
      </c>
      <c r="B421" s="61" t="s">
        <v>303</v>
      </c>
      <c r="C421" s="10">
        <v>2623.55</v>
      </c>
      <c r="D421" s="10">
        <v>1698.79</v>
      </c>
      <c r="E421" s="10">
        <v>1535.26</v>
      </c>
      <c r="F421" s="10">
        <v>0</v>
      </c>
      <c r="G421" s="10">
        <v>1857.41</v>
      </c>
      <c r="H421" s="10">
        <v>1454.22</v>
      </c>
      <c r="I421" s="10">
        <v>1354.27</v>
      </c>
      <c r="J421" s="10">
        <v>400</v>
      </c>
      <c r="K421" s="10">
        <v>661.72</v>
      </c>
      <c r="L421" s="10">
        <v>0</v>
      </c>
      <c r="M421" s="10">
        <v>505.83</v>
      </c>
      <c r="N421" s="10">
        <v>0</v>
      </c>
      <c r="O421" s="10">
        <v>1974.19</v>
      </c>
      <c r="P421" s="10">
        <v>1745.85</v>
      </c>
      <c r="Q421" s="10">
        <v>0</v>
      </c>
      <c r="R421" s="10">
        <v>2245.4899999999998</v>
      </c>
      <c r="S421" s="10">
        <v>923.23</v>
      </c>
      <c r="T421" s="10">
        <v>1586.29</v>
      </c>
      <c r="U421" s="10">
        <v>802.01</v>
      </c>
      <c r="V421" s="10">
        <v>0</v>
      </c>
      <c r="W421" s="10">
        <v>1343.75</v>
      </c>
      <c r="X421" s="10">
        <v>230.32</v>
      </c>
      <c r="Y421" s="10">
        <v>1196.53</v>
      </c>
      <c r="Z421" s="10">
        <v>0</v>
      </c>
      <c r="AA421" s="10">
        <v>0</v>
      </c>
      <c r="AB421" s="10">
        <v>0</v>
      </c>
      <c r="AC421" s="10">
        <v>1858.18</v>
      </c>
      <c r="AD421" s="10">
        <v>1575.37</v>
      </c>
      <c r="AE421" s="10">
        <v>1485.18</v>
      </c>
      <c r="AF421" s="10">
        <v>0</v>
      </c>
    </row>
    <row r="422" spans="1:32">
      <c r="A422" s="10" t="s">
        <v>328</v>
      </c>
      <c r="B422" s="61" t="s">
        <v>304</v>
      </c>
      <c r="C422" s="10">
        <v>1472.14</v>
      </c>
      <c r="D422" s="10">
        <v>171.24</v>
      </c>
      <c r="E422" s="10">
        <v>903.98</v>
      </c>
      <c r="F422" s="10">
        <v>908.29</v>
      </c>
      <c r="G422" s="10">
        <v>511.84</v>
      </c>
      <c r="H422" s="10">
        <v>404.31</v>
      </c>
      <c r="I422" s="10">
        <v>643.65</v>
      </c>
      <c r="J422" s="10">
        <v>1144.1199999999999</v>
      </c>
      <c r="K422" s="10">
        <v>0</v>
      </c>
      <c r="L422" s="10">
        <v>1632.96</v>
      </c>
      <c r="M422" s="10">
        <v>0</v>
      </c>
      <c r="N422" s="10">
        <v>1031.6199999999999</v>
      </c>
      <c r="O422" s="10">
        <v>171.93</v>
      </c>
      <c r="P422" s="10">
        <v>369.97</v>
      </c>
      <c r="Q422" s="10">
        <v>0</v>
      </c>
      <c r="R422" s="10">
        <v>429.95</v>
      </c>
      <c r="S422" s="10">
        <v>1207.05</v>
      </c>
      <c r="T422" s="10">
        <v>767.73</v>
      </c>
      <c r="U422" s="10">
        <v>0</v>
      </c>
      <c r="V422" s="10">
        <v>511.02</v>
      </c>
      <c r="W422" s="10">
        <v>958.07</v>
      </c>
      <c r="X422" s="10">
        <v>0</v>
      </c>
      <c r="Y422" s="10">
        <v>746.53</v>
      </c>
      <c r="Z422" s="10">
        <v>0</v>
      </c>
      <c r="AA422" s="10">
        <v>787.57</v>
      </c>
      <c r="AB422" s="10">
        <v>1858.18</v>
      </c>
      <c r="AC422" s="10">
        <v>0</v>
      </c>
      <c r="AD422" s="10">
        <v>454.53</v>
      </c>
      <c r="AE422" s="10">
        <v>0</v>
      </c>
      <c r="AF422" s="10">
        <v>0</v>
      </c>
    </row>
    <row r="423" spans="1:32">
      <c r="A423" s="10" t="s">
        <v>328</v>
      </c>
      <c r="B423" s="61" t="s">
        <v>305</v>
      </c>
      <c r="C423" s="10">
        <v>1879.08</v>
      </c>
      <c r="D423" s="10">
        <v>416.67</v>
      </c>
      <c r="E423" s="10">
        <v>1089.56</v>
      </c>
      <c r="F423" s="10">
        <v>797.9</v>
      </c>
      <c r="G423" s="10">
        <v>869.38</v>
      </c>
      <c r="H423" s="10">
        <v>323.69</v>
      </c>
      <c r="I423" s="10">
        <v>705.3</v>
      </c>
      <c r="J423" s="10">
        <v>1030.02</v>
      </c>
      <c r="K423" s="10">
        <v>1177.79</v>
      </c>
      <c r="L423" s="10">
        <v>0</v>
      </c>
      <c r="M423" s="10">
        <v>0</v>
      </c>
      <c r="N423" s="10">
        <v>1109.6099999999999</v>
      </c>
      <c r="O423" s="10">
        <v>470.6</v>
      </c>
      <c r="P423" s="10">
        <v>171.65</v>
      </c>
      <c r="Q423" s="10">
        <v>0</v>
      </c>
      <c r="R423" s="10">
        <v>874.11</v>
      </c>
      <c r="S423" s="10">
        <v>797.05</v>
      </c>
      <c r="T423" s="10">
        <v>981.17</v>
      </c>
      <c r="U423" s="10">
        <v>977.33</v>
      </c>
      <c r="V423" s="10">
        <v>658.16</v>
      </c>
      <c r="W423" s="10">
        <v>1060.75</v>
      </c>
      <c r="X423" s="10">
        <v>0</v>
      </c>
      <c r="Y423" s="10">
        <v>380.21</v>
      </c>
      <c r="Z423" s="10">
        <v>0</v>
      </c>
      <c r="AA423" s="10">
        <v>523.91999999999996</v>
      </c>
      <c r="AB423" s="10">
        <v>1575.37</v>
      </c>
      <c r="AC423" s="10">
        <v>454.53</v>
      </c>
      <c r="AD423" s="10">
        <v>0</v>
      </c>
      <c r="AE423" s="10">
        <v>0</v>
      </c>
      <c r="AF423" s="10">
        <v>0</v>
      </c>
    </row>
    <row r="424" spans="1:32">
      <c r="A424" s="10" t="s">
        <v>328</v>
      </c>
      <c r="B424" s="10" t="s">
        <v>356</v>
      </c>
      <c r="C424" s="10">
        <v>0</v>
      </c>
      <c r="D424" s="10">
        <v>0</v>
      </c>
      <c r="E424" s="10">
        <v>0</v>
      </c>
      <c r="F424" s="10">
        <v>428</v>
      </c>
      <c r="G424" s="10">
        <v>0</v>
      </c>
      <c r="H424" s="10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868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899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0" t="s">
        <v>328</v>
      </c>
      <c r="B425" s="61" t="s">
        <v>307</v>
      </c>
      <c r="C425" s="10">
        <v>600</v>
      </c>
      <c r="D425" s="10">
        <v>1399.02</v>
      </c>
      <c r="E425" s="10">
        <v>645.59</v>
      </c>
      <c r="F425" s="10">
        <v>0</v>
      </c>
      <c r="G425" s="10">
        <v>1134.76</v>
      </c>
      <c r="H425" s="10">
        <v>1341.38</v>
      </c>
      <c r="I425" s="10">
        <v>959.53</v>
      </c>
      <c r="J425" s="10">
        <v>850.09</v>
      </c>
      <c r="K425" s="10">
        <v>0</v>
      </c>
      <c r="L425" s="10">
        <v>1549.51</v>
      </c>
      <c r="M425" s="10">
        <v>0</v>
      </c>
      <c r="N425" s="10">
        <v>0</v>
      </c>
      <c r="O425" s="10">
        <v>0</v>
      </c>
      <c r="P425" s="10">
        <v>0</v>
      </c>
      <c r="Q425" s="10">
        <v>363.85</v>
      </c>
      <c r="R425" s="10">
        <v>1673.84</v>
      </c>
      <c r="S425" s="10">
        <v>0</v>
      </c>
      <c r="T425" s="10">
        <v>785.89</v>
      </c>
      <c r="U425" s="10">
        <v>0</v>
      </c>
      <c r="V425" s="10">
        <v>0</v>
      </c>
      <c r="W425" s="10">
        <v>604.03</v>
      </c>
      <c r="X425" s="10">
        <v>1492.31</v>
      </c>
      <c r="Y425" s="10">
        <v>1502.63</v>
      </c>
      <c r="Z425" s="10">
        <v>1672.93</v>
      </c>
      <c r="AA425" s="10">
        <v>0</v>
      </c>
      <c r="AB425" s="10">
        <v>1485.18</v>
      </c>
      <c r="AC425" s="10">
        <v>0</v>
      </c>
      <c r="AD425" s="10">
        <v>0</v>
      </c>
      <c r="AE425" s="10">
        <v>0</v>
      </c>
      <c r="AF425" s="10">
        <v>0</v>
      </c>
    </row>
    <row r="426" spans="1:32">
      <c r="A426" s="10" t="s">
        <v>368</v>
      </c>
      <c r="B426" s="63" t="s">
        <v>288</v>
      </c>
      <c r="C426" s="10">
        <v>0</v>
      </c>
      <c r="D426" s="10">
        <v>1</v>
      </c>
      <c r="E426" s="10">
        <v>1</v>
      </c>
      <c r="F426" s="10">
        <v>1</v>
      </c>
      <c r="G426" s="10">
        <v>1</v>
      </c>
      <c r="H426" s="10">
        <v>1</v>
      </c>
      <c r="I426" s="10">
        <v>1</v>
      </c>
      <c r="J426" s="10">
        <v>1</v>
      </c>
      <c r="K426" s="10">
        <v>1</v>
      </c>
      <c r="L426" s="10">
        <v>1</v>
      </c>
      <c r="M426" s="10">
        <v>1</v>
      </c>
      <c r="N426" s="10">
        <v>1</v>
      </c>
      <c r="O426" s="10">
        <v>1</v>
      </c>
      <c r="P426" s="10">
        <v>1</v>
      </c>
      <c r="Q426" s="10">
        <v>1</v>
      </c>
      <c r="R426" s="10">
        <v>1</v>
      </c>
      <c r="S426" s="10">
        <v>1</v>
      </c>
      <c r="T426" s="10">
        <v>1</v>
      </c>
      <c r="U426" s="10">
        <v>1</v>
      </c>
      <c r="V426" s="10">
        <v>1</v>
      </c>
      <c r="W426" s="10">
        <v>1</v>
      </c>
      <c r="X426" s="10">
        <v>1</v>
      </c>
      <c r="Y426" s="10">
        <v>1</v>
      </c>
      <c r="Z426" s="10">
        <v>1</v>
      </c>
      <c r="AA426" s="10">
        <v>1</v>
      </c>
      <c r="AB426" s="10">
        <v>1</v>
      </c>
      <c r="AC426" s="10">
        <v>1</v>
      </c>
      <c r="AD426" s="10">
        <v>1</v>
      </c>
      <c r="AE426" s="10">
        <v>1</v>
      </c>
      <c r="AF426" s="10">
        <v>1</v>
      </c>
    </row>
    <row r="427" spans="1:32">
      <c r="A427" s="10" t="s">
        <v>368</v>
      </c>
      <c r="B427" s="63" t="s">
        <v>278</v>
      </c>
      <c r="C427" s="10">
        <v>1</v>
      </c>
      <c r="D427" s="10">
        <v>0</v>
      </c>
      <c r="E427" s="10">
        <v>1</v>
      </c>
      <c r="F427" s="10">
        <v>1</v>
      </c>
      <c r="G427" s="10">
        <v>1</v>
      </c>
      <c r="H427" s="10">
        <v>1</v>
      </c>
      <c r="I427" s="10">
        <v>1</v>
      </c>
      <c r="J427" s="10">
        <v>1</v>
      </c>
      <c r="K427" s="10">
        <v>1</v>
      </c>
      <c r="L427" s="10">
        <v>1</v>
      </c>
      <c r="M427" s="10">
        <v>1</v>
      </c>
      <c r="N427" s="10">
        <v>1</v>
      </c>
      <c r="O427" s="10">
        <v>1</v>
      </c>
      <c r="P427" s="10">
        <v>1</v>
      </c>
      <c r="Q427" s="10">
        <v>1</v>
      </c>
      <c r="R427" s="10">
        <v>1</v>
      </c>
      <c r="S427" s="10">
        <v>1</v>
      </c>
      <c r="T427" s="10">
        <v>1</v>
      </c>
      <c r="U427" s="10">
        <v>1</v>
      </c>
      <c r="V427" s="10">
        <v>1</v>
      </c>
      <c r="W427" s="10">
        <v>1</v>
      </c>
      <c r="X427" s="10">
        <v>1</v>
      </c>
      <c r="Y427" s="10">
        <v>1</v>
      </c>
      <c r="Z427" s="10">
        <v>1</v>
      </c>
      <c r="AA427" s="10">
        <v>1</v>
      </c>
      <c r="AB427" s="10">
        <v>1</v>
      </c>
      <c r="AC427" s="10">
        <v>1</v>
      </c>
      <c r="AD427" s="10">
        <v>1</v>
      </c>
      <c r="AE427" s="10">
        <v>1</v>
      </c>
      <c r="AF427" s="10">
        <v>1</v>
      </c>
    </row>
    <row r="428" spans="1:32">
      <c r="A428" s="10" t="s">
        <v>368</v>
      </c>
      <c r="B428" s="63" t="s">
        <v>280</v>
      </c>
      <c r="C428" s="10">
        <v>1</v>
      </c>
      <c r="D428" s="10">
        <v>1</v>
      </c>
      <c r="E428" s="10">
        <v>0</v>
      </c>
      <c r="F428" s="10">
        <v>1</v>
      </c>
      <c r="G428" s="10">
        <v>1</v>
      </c>
      <c r="H428" s="10">
        <v>1</v>
      </c>
      <c r="I428" s="10">
        <v>1</v>
      </c>
      <c r="J428" s="10">
        <v>1</v>
      </c>
      <c r="K428" s="10">
        <v>1</v>
      </c>
      <c r="L428" s="10">
        <v>1</v>
      </c>
      <c r="M428" s="10">
        <v>1</v>
      </c>
      <c r="N428" s="10">
        <v>1</v>
      </c>
      <c r="O428" s="10">
        <v>1</v>
      </c>
      <c r="P428" s="10">
        <v>1</v>
      </c>
      <c r="Q428" s="10">
        <v>1</v>
      </c>
      <c r="R428" s="10">
        <v>1</v>
      </c>
      <c r="S428" s="10">
        <v>1</v>
      </c>
      <c r="T428" s="10">
        <v>1</v>
      </c>
      <c r="U428" s="10">
        <v>1</v>
      </c>
      <c r="V428" s="10">
        <v>1</v>
      </c>
      <c r="W428" s="10">
        <v>1</v>
      </c>
      <c r="X428" s="10">
        <v>1</v>
      </c>
      <c r="Y428" s="10">
        <v>1</v>
      </c>
      <c r="Z428" s="10">
        <v>1</v>
      </c>
      <c r="AA428" s="10">
        <v>1</v>
      </c>
      <c r="AB428" s="10">
        <v>1</v>
      </c>
      <c r="AC428" s="10">
        <v>1</v>
      </c>
      <c r="AD428" s="10">
        <v>1</v>
      </c>
      <c r="AE428" s="10">
        <v>1</v>
      </c>
      <c r="AF428" s="10">
        <v>1</v>
      </c>
    </row>
    <row r="429" spans="1:32">
      <c r="A429" s="10" t="s">
        <v>368</v>
      </c>
      <c r="B429" s="63" t="s">
        <v>281</v>
      </c>
      <c r="C429" s="10">
        <v>1</v>
      </c>
      <c r="D429" s="10">
        <v>1</v>
      </c>
      <c r="E429" s="10">
        <v>1</v>
      </c>
      <c r="F429" s="10">
        <v>0</v>
      </c>
      <c r="G429" s="10">
        <v>1</v>
      </c>
      <c r="H429" s="10">
        <v>1</v>
      </c>
      <c r="I429" s="10">
        <v>1</v>
      </c>
      <c r="J429" s="10">
        <v>1</v>
      </c>
      <c r="K429" s="10">
        <v>1</v>
      </c>
      <c r="L429" s="10">
        <v>1</v>
      </c>
      <c r="M429" s="10">
        <v>1</v>
      </c>
      <c r="N429" s="10">
        <v>1</v>
      </c>
      <c r="O429" s="10">
        <v>1</v>
      </c>
      <c r="P429" s="10">
        <v>1</v>
      </c>
      <c r="Q429" s="10">
        <v>1</v>
      </c>
      <c r="R429" s="10">
        <v>1</v>
      </c>
      <c r="S429" s="10">
        <v>1</v>
      </c>
      <c r="T429" s="10">
        <v>1</v>
      </c>
      <c r="U429" s="10">
        <v>1</v>
      </c>
      <c r="V429" s="10">
        <v>1</v>
      </c>
      <c r="W429" s="10">
        <v>1</v>
      </c>
      <c r="X429" s="10">
        <v>1</v>
      </c>
      <c r="Y429" s="10">
        <v>1</v>
      </c>
      <c r="Z429" s="10">
        <v>1</v>
      </c>
      <c r="AA429" s="10">
        <v>1</v>
      </c>
      <c r="AB429" s="10">
        <v>1</v>
      </c>
      <c r="AC429" s="10">
        <v>1</v>
      </c>
      <c r="AD429" s="10">
        <v>1</v>
      </c>
      <c r="AE429" s="10">
        <v>1</v>
      </c>
      <c r="AF429" s="10">
        <v>1</v>
      </c>
    </row>
    <row r="430" spans="1:32">
      <c r="A430" s="10" t="s">
        <v>368</v>
      </c>
      <c r="B430" s="63" t="s">
        <v>282</v>
      </c>
      <c r="C430" s="10">
        <v>1</v>
      </c>
      <c r="D430" s="10">
        <v>1</v>
      </c>
      <c r="E430" s="10">
        <v>1</v>
      </c>
      <c r="F430" s="10">
        <v>1</v>
      </c>
      <c r="G430" s="10">
        <v>0</v>
      </c>
      <c r="H430" s="10">
        <v>1</v>
      </c>
      <c r="I430" s="10">
        <v>1</v>
      </c>
      <c r="J430" s="10">
        <v>1</v>
      </c>
      <c r="K430" s="10">
        <v>1</v>
      </c>
      <c r="L430" s="10">
        <v>1</v>
      </c>
      <c r="M430" s="10">
        <v>1</v>
      </c>
      <c r="N430" s="10">
        <v>1</v>
      </c>
      <c r="O430" s="10">
        <v>1</v>
      </c>
      <c r="P430" s="10">
        <v>1</v>
      </c>
      <c r="Q430" s="10">
        <v>1</v>
      </c>
      <c r="R430" s="10">
        <v>1</v>
      </c>
      <c r="S430" s="10">
        <v>1</v>
      </c>
      <c r="T430" s="10">
        <v>1</v>
      </c>
      <c r="U430" s="10">
        <v>1</v>
      </c>
      <c r="V430" s="10">
        <v>1</v>
      </c>
      <c r="W430" s="10">
        <v>1</v>
      </c>
      <c r="X430" s="10">
        <v>1</v>
      </c>
      <c r="Y430" s="10">
        <v>1</v>
      </c>
      <c r="Z430" s="10">
        <v>1</v>
      </c>
      <c r="AA430" s="10">
        <v>1</v>
      </c>
      <c r="AB430" s="10">
        <v>1</v>
      </c>
      <c r="AC430" s="10">
        <v>1</v>
      </c>
      <c r="AD430" s="10">
        <v>1</v>
      </c>
      <c r="AE430" s="10">
        <v>1</v>
      </c>
      <c r="AF430" s="10">
        <v>1</v>
      </c>
    </row>
    <row r="431" spans="1:32">
      <c r="A431" s="10" t="s">
        <v>368</v>
      </c>
      <c r="B431" s="63" t="s">
        <v>283</v>
      </c>
      <c r="C431" s="10">
        <v>1</v>
      </c>
      <c r="D431" s="10">
        <v>1</v>
      </c>
      <c r="E431" s="10">
        <v>1</v>
      </c>
      <c r="F431" s="10">
        <v>1</v>
      </c>
      <c r="G431" s="10">
        <v>1</v>
      </c>
      <c r="H431" s="10">
        <v>0</v>
      </c>
      <c r="I431" s="10">
        <v>1</v>
      </c>
      <c r="J431" s="10">
        <v>1</v>
      </c>
      <c r="K431" s="10">
        <v>1</v>
      </c>
      <c r="L431" s="10">
        <v>1</v>
      </c>
      <c r="M431" s="10">
        <v>1</v>
      </c>
      <c r="N431" s="10">
        <v>1</v>
      </c>
      <c r="O431" s="10">
        <v>1</v>
      </c>
      <c r="P431" s="10">
        <v>1</v>
      </c>
      <c r="Q431" s="10">
        <v>1</v>
      </c>
      <c r="R431" s="10">
        <v>1</v>
      </c>
      <c r="S431" s="10">
        <v>1</v>
      </c>
      <c r="T431" s="10">
        <v>1</v>
      </c>
      <c r="U431" s="10">
        <v>1</v>
      </c>
      <c r="V431" s="10">
        <v>1</v>
      </c>
      <c r="W431" s="10">
        <v>1</v>
      </c>
      <c r="X431" s="10">
        <v>1</v>
      </c>
      <c r="Y431" s="10">
        <v>1</v>
      </c>
      <c r="Z431" s="10">
        <v>1</v>
      </c>
      <c r="AA431" s="10">
        <v>1</v>
      </c>
      <c r="AB431" s="10">
        <v>1</v>
      </c>
      <c r="AC431" s="10">
        <v>1</v>
      </c>
      <c r="AD431" s="10">
        <v>1</v>
      </c>
      <c r="AE431" s="10">
        <v>1</v>
      </c>
      <c r="AF431" s="10">
        <v>1</v>
      </c>
    </row>
    <row r="432" spans="1:32">
      <c r="A432" s="10" t="s">
        <v>368</v>
      </c>
      <c r="B432" s="63" t="s">
        <v>284</v>
      </c>
      <c r="C432" s="10">
        <v>1</v>
      </c>
      <c r="D432" s="10">
        <v>1</v>
      </c>
      <c r="E432" s="10">
        <v>1</v>
      </c>
      <c r="F432" s="10">
        <v>1</v>
      </c>
      <c r="G432" s="10">
        <v>1</v>
      </c>
      <c r="H432" s="10">
        <v>1</v>
      </c>
      <c r="I432" s="10">
        <v>0</v>
      </c>
      <c r="J432" s="10">
        <v>1</v>
      </c>
      <c r="K432" s="10">
        <v>1</v>
      </c>
      <c r="L432" s="10">
        <v>1</v>
      </c>
      <c r="M432" s="10">
        <v>1</v>
      </c>
      <c r="N432" s="10">
        <v>1</v>
      </c>
      <c r="O432" s="10">
        <v>1</v>
      </c>
      <c r="P432" s="10">
        <v>1</v>
      </c>
      <c r="Q432" s="10">
        <v>1</v>
      </c>
      <c r="R432" s="10">
        <v>1</v>
      </c>
      <c r="S432" s="10">
        <v>1</v>
      </c>
      <c r="T432" s="10">
        <v>1</v>
      </c>
      <c r="U432" s="10">
        <v>1</v>
      </c>
      <c r="V432" s="10">
        <v>1</v>
      </c>
      <c r="W432" s="10">
        <v>1</v>
      </c>
      <c r="X432" s="10">
        <v>1</v>
      </c>
      <c r="Y432" s="10">
        <v>1</v>
      </c>
      <c r="Z432" s="10">
        <v>1</v>
      </c>
      <c r="AA432" s="10">
        <v>1</v>
      </c>
      <c r="AB432" s="10">
        <v>1</v>
      </c>
      <c r="AC432" s="10">
        <v>1</v>
      </c>
      <c r="AD432" s="10">
        <v>1</v>
      </c>
      <c r="AE432" s="10">
        <v>1</v>
      </c>
      <c r="AF432" s="10">
        <v>1</v>
      </c>
    </row>
    <row r="433" spans="1:32">
      <c r="A433" s="10" t="s">
        <v>368</v>
      </c>
      <c r="B433" s="63" t="s">
        <v>285</v>
      </c>
      <c r="C433" s="10">
        <v>1</v>
      </c>
      <c r="D433" s="10">
        <v>1</v>
      </c>
      <c r="E433" s="10">
        <v>1</v>
      </c>
      <c r="F433" s="10">
        <v>1</v>
      </c>
      <c r="G433" s="10">
        <v>1</v>
      </c>
      <c r="H433" s="10">
        <v>1</v>
      </c>
      <c r="I433" s="10">
        <v>1</v>
      </c>
      <c r="J433" s="10">
        <v>0</v>
      </c>
      <c r="K433" s="10">
        <v>1</v>
      </c>
      <c r="L433" s="10">
        <v>1</v>
      </c>
      <c r="M433" s="10">
        <v>1</v>
      </c>
      <c r="N433" s="10">
        <v>1</v>
      </c>
      <c r="O433" s="10">
        <v>1</v>
      </c>
      <c r="P433" s="10">
        <v>1</v>
      </c>
      <c r="Q433" s="10">
        <v>1</v>
      </c>
      <c r="R433" s="10">
        <v>1</v>
      </c>
      <c r="S433" s="10">
        <v>1</v>
      </c>
      <c r="T433" s="10">
        <v>1</v>
      </c>
      <c r="U433" s="10">
        <v>1</v>
      </c>
      <c r="V433" s="10">
        <v>1</v>
      </c>
      <c r="W433" s="10">
        <v>1</v>
      </c>
      <c r="X433" s="10">
        <v>1</v>
      </c>
      <c r="Y433" s="10">
        <v>1</v>
      </c>
      <c r="Z433" s="10">
        <v>1</v>
      </c>
      <c r="AA433" s="10">
        <v>1</v>
      </c>
      <c r="AB433" s="10">
        <v>1</v>
      </c>
      <c r="AC433" s="10">
        <v>1</v>
      </c>
      <c r="AD433" s="10">
        <v>1</v>
      </c>
      <c r="AE433" s="10">
        <v>1</v>
      </c>
      <c r="AF433" s="10">
        <v>1</v>
      </c>
    </row>
    <row r="434" spans="1:32">
      <c r="A434" s="10" t="s">
        <v>368</v>
      </c>
      <c r="B434" s="63" t="s">
        <v>308</v>
      </c>
      <c r="C434" s="10">
        <v>1</v>
      </c>
      <c r="D434" s="10">
        <v>1</v>
      </c>
      <c r="E434" s="10">
        <v>1</v>
      </c>
      <c r="F434" s="10">
        <v>1</v>
      </c>
      <c r="G434" s="10">
        <v>1</v>
      </c>
      <c r="H434" s="10">
        <v>1</v>
      </c>
      <c r="I434" s="10">
        <v>1</v>
      </c>
      <c r="J434" s="10">
        <v>1</v>
      </c>
      <c r="K434" s="10">
        <v>0</v>
      </c>
      <c r="L434" s="10">
        <v>1</v>
      </c>
      <c r="M434" s="10">
        <v>1</v>
      </c>
      <c r="N434" s="10">
        <v>1</v>
      </c>
      <c r="O434" s="10">
        <v>1</v>
      </c>
      <c r="P434" s="10">
        <v>1</v>
      </c>
      <c r="Q434" s="10">
        <v>1</v>
      </c>
      <c r="R434" s="10">
        <v>1</v>
      </c>
      <c r="S434" s="10">
        <v>1</v>
      </c>
      <c r="T434" s="10">
        <v>1</v>
      </c>
      <c r="U434" s="10">
        <v>1</v>
      </c>
      <c r="V434" s="10">
        <v>1</v>
      </c>
      <c r="W434" s="10">
        <v>1</v>
      </c>
      <c r="X434" s="10">
        <v>1</v>
      </c>
      <c r="Y434" s="10">
        <v>1</v>
      </c>
      <c r="Z434" s="10">
        <v>1</v>
      </c>
      <c r="AA434" s="10">
        <v>1</v>
      </c>
      <c r="AB434" s="10">
        <v>1</v>
      </c>
      <c r="AC434" s="10">
        <v>1</v>
      </c>
      <c r="AD434" s="10">
        <v>1</v>
      </c>
      <c r="AE434" s="10">
        <v>1</v>
      </c>
      <c r="AF434" s="10">
        <v>1</v>
      </c>
    </row>
    <row r="435" spans="1:32">
      <c r="A435" s="10" t="s">
        <v>368</v>
      </c>
      <c r="B435" s="63" t="s">
        <v>286</v>
      </c>
      <c r="C435" s="10">
        <v>1</v>
      </c>
      <c r="D435" s="10">
        <v>1</v>
      </c>
      <c r="E435" s="10">
        <v>1</v>
      </c>
      <c r="F435" s="10">
        <v>1</v>
      </c>
      <c r="G435" s="10">
        <v>1</v>
      </c>
      <c r="H435" s="10">
        <v>1</v>
      </c>
      <c r="I435" s="10">
        <v>1</v>
      </c>
      <c r="J435" s="10">
        <v>1</v>
      </c>
      <c r="K435" s="10">
        <v>1</v>
      </c>
      <c r="L435" s="10">
        <v>0</v>
      </c>
      <c r="M435" s="10">
        <v>1</v>
      </c>
      <c r="N435" s="10">
        <v>1</v>
      </c>
      <c r="O435" s="10">
        <v>1</v>
      </c>
      <c r="P435" s="10">
        <v>1</v>
      </c>
      <c r="Q435" s="10">
        <v>1</v>
      </c>
      <c r="R435" s="10">
        <v>1</v>
      </c>
      <c r="S435" s="10">
        <v>1</v>
      </c>
      <c r="T435" s="10">
        <v>1</v>
      </c>
      <c r="U435" s="10">
        <v>1</v>
      </c>
      <c r="V435" s="10">
        <v>1</v>
      </c>
      <c r="W435" s="10">
        <v>1</v>
      </c>
      <c r="X435" s="10">
        <v>1</v>
      </c>
      <c r="Y435" s="10">
        <v>1</v>
      </c>
      <c r="Z435" s="10">
        <v>1</v>
      </c>
      <c r="AA435" s="10">
        <v>1</v>
      </c>
      <c r="AB435" s="10">
        <v>1</v>
      </c>
      <c r="AC435" s="10">
        <v>1</v>
      </c>
      <c r="AD435" s="10">
        <v>1</v>
      </c>
      <c r="AE435" s="10">
        <v>1</v>
      </c>
      <c r="AF435" s="10">
        <v>1</v>
      </c>
    </row>
    <row r="436" spans="1:32">
      <c r="A436" s="10" t="s">
        <v>368</v>
      </c>
      <c r="B436" s="63" t="s">
        <v>287</v>
      </c>
      <c r="C436" s="10">
        <v>1</v>
      </c>
      <c r="D436" s="10">
        <v>1</v>
      </c>
      <c r="E436" s="10">
        <v>1</v>
      </c>
      <c r="F436" s="10">
        <v>1</v>
      </c>
      <c r="G436" s="10">
        <v>1</v>
      </c>
      <c r="H436" s="10">
        <v>1</v>
      </c>
      <c r="I436" s="10">
        <v>1</v>
      </c>
      <c r="J436" s="10">
        <v>1</v>
      </c>
      <c r="K436" s="10">
        <v>1</v>
      </c>
      <c r="L436" s="10">
        <v>1</v>
      </c>
      <c r="M436" s="10">
        <v>0</v>
      </c>
      <c r="N436" s="10">
        <v>1</v>
      </c>
      <c r="O436" s="10">
        <v>1</v>
      </c>
      <c r="P436" s="10">
        <v>1</v>
      </c>
      <c r="Q436" s="10">
        <v>1</v>
      </c>
      <c r="R436" s="10">
        <v>1</v>
      </c>
      <c r="S436" s="10">
        <v>1</v>
      </c>
      <c r="T436" s="10">
        <v>1</v>
      </c>
      <c r="U436" s="10">
        <v>1</v>
      </c>
      <c r="V436" s="10">
        <v>1</v>
      </c>
      <c r="W436" s="10">
        <v>1</v>
      </c>
      <c r="X436" s="10">
        <v>1</v>
      </c>
      <c r="Y436" s="10">
        <v>1</v>
      </c>
      <c r="Z436" s="10">
        <v>1</v>
      </c>
      <c r="AA436" s="10">
        <v>1</v>
      </c>
      <c r="AB436" s="10">
        <v>1</v>
      </c>
      <c r="AC436" s="10">
        <v>1</v>
      </c>
      <c r="AD436" s="10">
        <v>1</v>
      </c>
      <c r="AE436" s="10">
        <v>1</v>
      </c>
      <c r="AF436" s="10">
        <v>1</v>
      </c>
    </row>
    <row r="437" spans="1:32">
      <c r="A437" s="10" t="s">
        <v>368</v>
      </c>
      <c r="B437" s="63" t="s">
        <v>289</v>
      </c>
      <c r="C437" s="10">
        <v>1</v>
      </c>
      <c r="D437" s="10">
        <v>1</v>
      </c>
      <c r="E437" s="10">
        <v>1</v>
      </c>
      <c r="F437" s="10">
        <v>1</v>
      </c>
      <c r="G437" s="10">
        <v>1</v>
      </c>
      <c r="H437" s="10">
        <v>1</v>
      </c>
      <c r="I437" s="10">
        <v>1</v>
      </c>
      <c r="J437" s="10">
        <v>1</v>
      </c>
      <c r="K437" s="10">
        <v>1</v>
      </c>
      <c r="L437" s="10">
        <v>1</v>
      </c>
      <c r="M437" s="10">
        <v>1</v>
      </c>
      <c r="N437" s="10">
        <v>0</v>
      </c>
      <c r="O437" s="10">
        <v>1</v>
      </c>
      <c r="P437" s="10">
        <v>1</v>
      </c>
      <c r="Q437" s="10">
        <v>1</v>
      </c>
      <c r="R437" s="10">
        <v>1</v>
      </c>
      <c r="S437" s="10">
        <v>1</v>
      </c>
      <c r="T437" s="10">
        <v>1</v>
      </c>
      <c r="U437" s="10">
        <v>1</v>
      </c>
      <c r="V437" s="10">
        <v>1</v>
      </c>
      <c r="W437" s="10">
        <v>1</v>
      </c>
      <c r="X437" s="10">
        <v>1</v>
      </c>
      <c r="Y437" s="10">
        <v>1</v>
      </c>
      <c r="Z437" s="10">
        <v>1</v>
      </c>
      <c r="AA437" s="10">
        <v>1</v>
      </c>
      <c r="AB437" s="10">
        <v>1</v>
      </c>
      <c r="AC437" s="10">
        <v>1</v>
      </c>
      <c r="AD437" s="10">
        <v>1</v>
      </c>
      <c r="AE437" s="10">
        <v>1</v>
      </c>
      <c r="AF437" s="10">
        <v>1</v>
      </c>
    </row>
    <row r="438" spans="1:32">
      <c r="A438" s="10" t="s">
        <v>368</v>
      </c>
      <c r="B438" s="63" t="s">
        <v>290</v>
      </c>
      <c r="C438" s="10">
        <v>1</v>
      </c>
      <c r="D438" s="10">
        <v>1</v>
      </c>
      <c r="E438" s="10">
        <v>1</v>
      </c>
      <c r="F438" s="10">
        <v>1</v>
      </c>
      <c r="G438" s="10">
        <v>1</v>
      </c>
      <c r="H438" s="10">
        <v>1</v>
      </c>
      <c r="I438" s="10">
        <v>1</v>
      </c>
      <c r="J438" s="10">
        <v>1</v>
      </c>
      <c r="K438" s="10">
        <v>1</v>
      </c>
      <c r="L438" s="10">
        <v>1</v>
      </c>
      <c r="M438" s="10">
        <v>1</v>
      </c>
      <c r="N438" s="10">
        <v>1</v>
      </c>
      <c r="O438" s="10">
        <v>0</v>
      </c>
      <c r="P438" s="10">
        <v>1</v>
      </c>
      <c r="Q438" s="10">
        <v>1</v>
      </c>
      <c r="R438" s="10">
        <v>1</v>
      </c>
      <c r="S438" s="10">
        <v>1</v>
      </c>
      <c r="T438" s="10">
        <v>1</v>
      </c>
      <c r="U438" s="10">
        <v>1</v>
      </c>
      <c r="V438" s="10">
        <v>1</v>
      </c>
      <c r="W438" s="10">
        <v>1</v>
      </c>
      <c r="X438" s="10">
        <v>1</v>
      </c>
      <c r="Y438" s="10">
        <v>1</v>
      </c>
      <c r="Z438" s="10">
        <v>1</v>
      </c>
      <c r="AA438" s="10">
        <v>1</v>
      </c>
      <c r="AB438" s="10">
        <v>1</v>
      </c>
      <c r="AC438" s="10">
        <v>1</v>
      </c>
      <c r="AD438" s="10">
        <v>1</v>
      </c>
      <c r="AE438" s="10">
        <v>1</v>
      </c>
      <c r="AF438" s="10">
        <v>1</v>
      </c>
    </row>
    <row r="439" spans="1:32">
      <c r="A439" s="10" t="s">
        <v>368</v>
      </c>
      <c r="B439" s="63" t="s">
        <v>291</v>
      </c>
      <c r="C439" s="10">
        <v>1</v>
      </c>
      <c r="D439" s="10">
        <v>1</v>
      </c>
      <c r="E439" s="10">
        <v>1</v>
      </c>
      <c r="F439" s="10">
        <v>1</v>
      </c>
      <c r="G439" s="10">
        <v>1</v>
      </c>
      <c r="H439" s="10">
        <v>1</v>
      </c>
      <c r="I439" s="10">
        <v>1</v>
      </c>
      <c r="J439" s="10">
        <v>1</v>
      </c>
      <c r="K439" s="10">
        <v>1</v>
      </c>
      <c r="L439" s="10">
        <v>1</v>
      </c>
      <c r="M439" s="10">
        <v>1</v>
      </c>
      <c r="N439" s="10">
        <v>1</v>
      </c>
      <c r="O439" s="10">
        <v>1</v>
      </c>
      <c r="P439" s="10">
        <v>0</v>
      </c>
      <c r="Q439" s="10">
        <v>1</v>
      </c>
      <c r="R439" s="10">
        <v>1</v>
      </c>
      <c r="S439" s="10">
        <v>1</v>
      </c>
      <c r="T439" s="10">
        <v>1</v>
      </c>
      <c r="U439" s="10">
        <v>1</v>
      </c>
      <c r="V439" s="10">
        <v>1</v>
      </c>
      <c r="W439" s="10">
        <v>1</v>
      </c>
      <c r="X439" s="10">
        <v>1</v>
      </c>
      <c r="Y439" s="10">
        <v>1</v>
      </c>
      <c r="Z439" s="10">
        <v>1</v>
      </c>
      <c r="AA439" s="10">
        <v>1</v>
      </c>
      <c r="AB439" s="10">
        <v>1</v>
      </c>
      <c r="AC439" s="10">
        <v>1</v>
      </c>
      <c r="AD439" s="10">
        <v>1</v>
      </c>
      <c r="AE439" s="10">
        <v>1</v>
      </c>
      <c r="AF439" s="10">
        <v>1</v>
      </c>
    </row>
    <row r="440" spans="1:32">
      <c r="A440" s="10" t="s">
        <v>368</v>
      </c>
      <c r="B440" s="63" t="s">
        <v>292</v>
      </c>
      <c r="C440" s="10">
        <v>1</v>
      </c>
      <c r="D440" s="10">
        <v>1</v>
      </c>
      <c r="E440" s="10">
        <v>1</v>
      </c>
      <c r="F440" s="10">
        <v>1</v>
      </c>
      <c r="G440" s="10">
        <v>1</v>
      </c>
      <c r="H440" s="10">
        <v>1</v>
      </c>
      <c r="I440" s="10">
        <v>1</v>
      </c>
      <c r="J440" s="10">
        <v>1</v>
      </c>
      <c r="K440" s="10">
        <v>1</v>
      </c>
      <c r="L440" s="10">
        <v>1</v>
      </c>
      <c r="M440" s="10">
        <v>1</v>
      </c>
      <c r="N440" s="10">
        <v>1</v>
      </c>
      <c r="O440" s="10">
        <v>1</v>
      </c>
      <c r="P440" s="10">
        <v>1</v>
      </c>
      <c r="Q440" s="10">
        <v>0</v>
      </c>
      <c r="R440" s="10">
        <v>1</v>
      </c>
      <c r="S440" s="10">
        <v>1</v>
      </c>
      <c r="T440" s="10">
        <v>1</v>
      </c>
      <c r="U440" s="10">
        <v>1</v>
      </c>
      <c r="V440" s="10">
        <v>1</v>
      </c>
      <c r="W440" s="10">
        <v>1</v>
      </c>
      <c r="X440" s="10">
        <v>1</v>
      </c>
      <c r="Y440" s="10">
        <v>1</v>
      </c>
      <c r="Z440" s="10">
        <v>1</v>
      </c>
      <c r="AA440" s="10">
        <v>1</v>
      </c>
      <c r="AB440" s="10">
        <v>1</v>
      </c>
      <c r="AC440" s="10">
        <v>1</v>
      </c>
      <c r="AD440" s="10">
        <v>1</v>
      </c>
      <c r="AE440" s="10">
        <v>1</v>
      </c>
      <c r="AF440" s="10">
        <v>1</v>
      </c>
    </row>
    <row r="441" spans="1:32">
      <c r="A441" s="10" t="s">
        <v>368</v>
      </c>
      <c r="B441" s="63" t="s">
        <v>293</v>
      </c>
      <c r="C441" s="10">
        <v>1</v>
      </c>
      <c r="D441" s="10">
        <v>1</v>
      </c>
      <c r="E441" s="10">
        <v>1</v>
      </c>
      <c r="F441" s="10">
        <v>1</v>
      </c>
      <c r="G441" s="10">
        <v>1</v>
      </c>
      <c r="H441" s="10">
        <v>1</v>
      </c>
      <c r="I441" s="10">
        <v>1</v>
      </c>
      <c r="J441" s="10">
        <v>1</v>
      </c>
      <c r="K441" s="10">
        <v>1</v>
      </c>
      <c r="L441" s="10">
        <v>1</v>
      </c>
      <c r="M441" s="10">
        <v>1</v>
      </c>
      <c r="N441" s="10">
        <v>1</v>
      </c>
      <c r="O441" s="10">
        <v>1</v>
      </c>
      <c r="P441" s="10">
        <v>1</v>
      </c>
      <c r="Q441" s="10">
        <v>1</v>
      </c>
      <c r="R441" s="10">
        <v>0</v>
      </c>
      <c r="S441" s="10">
        <v>1</v>
      </c>
      <c r="T441" s="10">
        <v>1</v>
      </c>
      <c r="U441" s="10">
        <v>1</v>
      </c>
      <c r="V441" s="10">
        <v>1</v>
      </c>
      <c r="W441" s="10">
        <v>1</v>
      </c>
      <c r="X441" s="10">
        <v>1</v>
      </c>
      <c r="Y441" s="10">
        <v>1</v>
      </c>
      <c r="Z441" s="10">
        <v>1</v>
      </c>
      <c r="AA441" s="10">
        <v>1</v>
      </c>
      <c r="AB441" s="10">
        <v>1</v>
      </c>
      <c r="AC441" s="10">
        <v>1</v>
      </c>
      <c r="AD441" s="10">
        <v>1</v>
      </c>
      <c r="AE441" s="10">
        <v>1</v>
      </c>
      <c r="AF441" s="10">
        <v>1</v>
      </c>
    </row>
    <row r="442" spans="1:32">
      <c r="A442" s="10" t="s">
        <v>368</v>
      </c>
      <c r="B442" s="63" t="s">
        <v>309</v>
      </c>
      <c r="C442" s="10">
        <v>1</v>
      </c>
      <c r="D442" s="10">
        <v>1</v>
      </c>
      <c r="E442" s="10">
        <v>1</v>
      </c>
      <c r="F442" s="10">
        <v>1</v>
      </c>
      <c r="G442" s="10">
        <v>1</v>
      </c>
      <c r="H442" s="10">
        <v>1</v>
      </c>
      <c r="I442" s="10">
        <v>1</v>
      </c>
      <c r="J442" s="10">
        <v>1</v>
      </c>
      <c r="K442" s="10">
        <v>1</v>
      </c>
      <c r="L442" s="10">
        <v>1</v>
      </c>
      <c r="M442" s="10">
        <v>1</v>
      </c>
      <c r="N442" s="10">
        <v>1</v>
      </c>
      <c r="O442" s="10">
        <v>1</v>
      </c>
      <c r="P442" s="10">
        <v>1</v>
      </c>
      <c r="Q442" s="10">
        <v>1</v>
      </c>
      <c r="R442" s="10">
        <v>1</v>
      </c>
      <c r="S442" s="10">
        <v>0</v>
      </c>
      <c r="T442" s="10">
        <v>1</v>
      </c>
      <c r="U442" s="10">
        <v>1</v>
      </c>
      <c r="V442" s="10">
        <v>1</v>
      </c>
      <c r="W442" s="10">
        <v>1</v>
      </c>
      <c r="X442" s="10">
        <v>1</v>
      </c>
      <c r="Y442" s="10">
        <v>1</v>
      </c>
      <c r="Z442" s="10">
        <v>1</v>
      </c>
      <c r="AA442" s="10">
        <v>1</v>
      </c>
      <c r="AB442" s="10">
        <v>1</v>
      </c>
      <c r="AC442" s="10">
        <v>1</v>
      </c>
      <c r="AD442" s="10">
        <v>1</v>
      </c>
      <c r="AE442" s="10">
        <v>1</v>
      </c>
      <c r="AF442" s="10">
        <v>1</v>
      </c>
    </row>
    <row r="443" spans="1:32">
      <c r="A443" s="10" t="s">
        <v>368</v>
      </c>
      <c r="B443" s="63" t="s">
        <v>294</v>
      </c>
      <c r="C443" s="10">
        <v>1</v>
      </c>
      <c r="D443" s="10">
        <v>1</v>
      </c>
      <c r="E443" s="10">
        <v>1</v>
      </c>
      <c r="F443" s="10">
        <v>1</v>
      </c>
      <c r="G443" s="10">
        <v>1</v>
      </c>
      <c r="H443" s="10">
        <v>1</v>
      </c>
      <c r="I443" s="10">
        <v>1</v>
      </c>
      <c r="J443" s="10">
        <v>1</v>
      </c>
      <c r="K443" s="10">
        <v>1</v>
      </c>
      <c r="L443" s="10">
        <v>1</v>
      </c>
      <c r="M443" s="10">
        <v>1</v>
      </c>
      <c r="N443" s="10">
        <v>1</v>
      </c>
      <c r="O443" s="10">
        <v>1</v>
      </c>
      <c r="P443" s="10">
        <v>1</v>
      </c>
      <c r="Q443" s="10">
        <v>1</v>
      </c>
      <c r="R443" s="10">
        <v>1</v>
      </c>
      <c r="S443" s="10">
        <v>1</v>
      </c>
      <c r="T443" s="10">
        <v>0</v>
      </c>
      <c r="U443" s="10">
        <v>1</v>
      </c>
      <c r="V443" s="10">
        <v>1</v>
      </c>
      <c r="W443" s="10">
        <v>1</v>
      </c>
      <c r="X443" s="10">
        <v>1</v>
      </c>
      <c r="Y443" s="10">
        <v>1</v>
      </c>
      <c r="Z443" s="10">
        <v>1</v>
      </c>
      <c r="AA443" s="10">
        <v>1</v>
      </c>
      <c r="AB443" s="10">
        <v>1</v>
      </c>
      <c r="AC443" s="10">
        <v>1</v>
      </c>
      <c r="AD443" s="10">
        <v>1</v>
      </c>
      <c r="AE443" s="10">
        <v>1</v>
      </c>
      <c r="AF443" s="10">
        <v>1</v>
      </c>
    </row>
    <row r="444" spans="1:32">
      <c r="A444" s="10" t="s">
        <v>368</v>
      </c>
      <c r="B444" s="63" t="s">
        <v>310</v>
      </c>
      <c r="C444" s="10">
        <v>1</v>
      </c>
      <c r="D444" s="10">
        <v>1</v>
      </c>
      <c r="E444" s="10">
        <v>1</v>
      </c>
      <c r="F444" s="10">
        <v>1</v>
      </c>
      <c r="G444" s="10">
        <v>1</v>
      </c>
      <c r="H444" s="10">
        <v>1</v>
      </c>
      <c r="I444" s="10">
        <v>1</v>
      </c>
      <c r="J444" s="10">
        <v>1</v>
      </c>
      <c r="K444" s="10">
        <v>1</v>
      </c>
      <c r="L444" s="10">
        <v>1</v>
      </c>
      <c r="M444" s="10">
        <v>1</v>
      </c>
      <c r="N444" s="10">
        <v>1</v>
      </c>
      <c r="O444" s="10">
        <v>1</v>
      </c>
      <c r="P444" s="10">
        <v>1</v>
      </c>
      <c r="Q444" s="10">
        <v>1</v>
      </c>
      <c r="R444" s="10">
        <v>1</v>
      </c>
      <c r="S444" s="10">
        <v>1</v>
      </c>
      <c r="T444" s="10">
        <v>1</v>
      </c>
      <c r="U444" s="10">
        <v>0</v>
      </c>
      <c r="V444" s="10">
        <v>1</v>
      </c>
      <c r="W444" s="10">
        <v>1</v>
      </c>
      <c r="X444" s="10">
        <v>1</v>
      </c>
      <c r="Y444" s="10">
        <v>1</v>
      </c>
      <c r="Z444" s="10">
        <v>1</v>
      </c>
      <c r="AA444" s="10">
        <v>1</v>
      </c>
      <c r="AB444" s="10">
        <v>1</v>
      </c>
      <c r="AC444" s="10">
        <v>1</v>
      </c>
      <c r="AD444" s="10">
        <v>1</v>
      </c>
      <c r="AE444" s="10">
        <v>1</v>
      </c>
      <c r="AF444" s="10">
        <v>1</v>
      </c>
    </row>
    <row r="445" spans="1:32">
      <c r="A445" s="10" t="s">
        <v>368</v>
      </c>
      <c r="B445" s="63" t="s">
        <v>357</v>
      </c>
      <c r="C445" s="10">
        <v>1</v>
      </c>
      <c r="D445" s="10">
        <v>1</v>
      </c>
      <c r="E445" s="10">
        <v>1</v>
      </c>
      <c r="F445" s="10">
        <v>1</v>
      </c>
      <c r="G445" s="10">
        <v>1</v>
      </c>
      <c r="H445" s="10">
        <v>1</v>
      </c>
      <c r="I445" s="10">
        <v>1</v>
      </c>
      <c r="J445" s="10">
        <v>1</v>
      </c>
      <c r="K445" s="10">
        <v>1</v>
      </c>
      <c r="L445" s="10">
        <v>1</v>
      </c>
      <c r="M445" s="10">
        <v>1</v>
      </c>
      <c r="N445" s="10">
        <v>1</v>
      </c>
      <c r="O445" s="10">
        <v>1</v>
      </c>
      <c r="P445" s="10">
        <v>1</v>
      </c>
      <c r="Q445" s="10">
        <v>1</v>
      </c>
      <c r="R445" s="10">
        <v>1</v>
      </c>
      <c r="S445" s="10">
        <v>1</v>
      </c>
      <c r="T445" s="10">
        <v>1</v>
      </c>
      <c r="U445" s="10">
        <v>1</v>
      </c>
      <c r="V445" s="10">
        <v>0</v>
      </c>
      <c r="W445" s="10">
        <v>1</v>
      </c>
      <c r="X445" s="10">
        <v>1</v>
      </c>
      <c r="Y445" s="10">
        <v>1</v>
      </c>
      <c r="Z445" s="10">
        <v>1</v>
      </c>
      <c r="AA445" s="10">
        <v>1</v>
      </c>
      <c r="AB445" s="10">
        <v>1</v>
      </c>
      <c r="AC445" s="10">
        <v>1</v>
      </c>
      <c r="AD445" s="10">
        <v>1</v>
      </c>
      <c r="AE445" s="10">
        <v>1</v>
      </c>
      <c r="AF445" s="10">
        <v>1</v>
      </c>
    </row>
    <row r="446" spans="1:32">
      <c r="A446" s="10" t="s">
        <v>368</v>
      </c>
      <c r="B446" s="63" t="s">
        <v>297</v>
      </c>
      <c r="C446" s="10">
        <v>1</v>
      </c>
      <c r="D446" s="10">
        <v>1</v>
      </c>
      <c r="E446" s="10">
        <v>1</v>
      </c>
      <c r="F446" s="10">
        <v>1</v>
      </c>
      <c r="G446" s="10">
        <v>1</v>
      </c>
      <c r="H446" s="10">
        <v>1</v>
      </c>
      <c r="I446" s="10">
        <v>1</v>
      </c>
      <c r="J446" s="10">
        <v>1</v>
      </c>
      <c r="K446" s="10">
        <v>1</v>
      </c>
      <c r="L446" s="10">
        <v>1</v>
      </c>
      <c r="M446" s="10">
        <v>1</v>
      </c>
      <c r="N446" s="10">
        <v>1</v>
      </c>
      <c r="O446" s="10">
        <v>1</v>
      </c>
      <c r="P446" s="10">
        <v>1</v>
      </c>
      <c r="Q446" s="10">
        <v>1</v>
      </c>
      <c r="R446" s="10">
        <v>1</v>
      </c>
      <c r="S446" s="10">
        <v>1</v>
      </c>
      <c r="T446" s="10">
        <v>1</v>
      </c>
      <c r="U446" s="10">
        <v>1</v>
      </c>
      <c r="V446" s="10">
        <v>1</v>
      </c>
      <c r="W446" s="10">
        <v>0</v>
      </c>
      <c r="X446" s="10">
        <v>1</v>
      </c>
      <c r="Y446" s="10">
        <v>1</v>
      </c>
      <c r="Z446" s="10">
        <v>1</v>
      </c>
      <c r="AA446" s="10">
        <v>1</v>
      </c>
      <c r="AB446" s="10">
        <v>1</v>
      </c>
      <c r="AC446" s="10">
        <v>1</v>
      </c>
      <c r="AD446" s="10">
        <v>1</v>
      </c>
      <c r="AE446" s="10">
        <v>1</v>
      </c>
      <c r="AF446" s="10">
        <v>1</v>
      </c>
    </row>
    <row r="447" spans="1:32">
      <c r="A447" s="10" t="s">
        <v>368</v>
      </c>
      <c r="B447" s="63" t="s">
        <v>298</v>
      </c>
      <c r="C447" s="10">
        <v>1</v>
      </c>
      <c r="D447" s="10">
        <v>1</v>
      </c>
      <c r="E447" s="10">
        <v>1</v>
      </c>
      <c r="F447" s="10">
        <v>1</v>
      </c>
      <c r="G447" s="10">
        <v>1</v>
      </c>
      <c r="H447" s="10">
        <v>1</v>
      </c>
      <c r="I447" s="10">
        <v>1</v>
      </c>
      <c r="J447" s="10">
        <v>1</v>
      </c>
      <c r="K447" s="10">
        <v>1</v>
      </c>
      <c r="L447" s="10">
        <v>1</v>
      </c>
      <c r="M447" s="10">
        <v>1</v>
      </c>
      <c r="N447" s="10">
        <v>1</v>
      </c>
      <c r="O447" s="10">
        <v>1</v>
      </c>
      <c r="P447" s="10">
        <v>1</v>
      </c>
      <c r="Q447" s="10">
        <v>1</v>
      </c>
      <c r="R447" s="10">
        <v>1</v>
      </c>
      <c r="S447" s="10">
        <v>1</v>
      </c>
      <c r="T447" s="10">
        <v>1</v>
      </c>
      <c r="U447" s="10">
        <v>1</v>
      </c>
      <c r="V447" s="10">
        <v>1</v>
      </c>
      <c r="W447" s="10">
        <v>1</v>
      </c>
      <c r="X447" s="10">
        <v>0</v>
      </c>
      <c r="Y447" s="10">
        <v>1</v>
      </c>
      <c r="Z447" s="10">
        <v>1</v>
      </c>
      <c r="AA447" s="10">
        <v>1</v>
      </c>
      <c r="AB447" s="10">
        <v>1</v>
      </c>
      <c r="AC447" s="10">
        <v>1</v>
      </c>
      <c r="AD447" s="10">
        <v>1</v>
      </c>
      <c r="AE447" s="10">
        <v>1</v>
      </c>
      <c r="AF447" s="10">
        <v>1</v>
      </c>
    </row>
    <row r="448" spans="1:32">
      <c r="A448" s="10" t="s">
        <v>368</v>
      </c>
      <c r="B448" s="63" t="s">
        <v>299</v>
      </c>
      <c r="C448" s="10">
        <v>1</v>
      </c>
      <c r="D448" s="10">
        <v>1</v>
      </c>
      <c r="E448" s="10">
        <v>1</v>
      </c>
      <c r="F448" s="10">
        <v>1</v>
      </c>
      <c r="G448" s="10">
        <v>1</v>
      </c>
      <c r="H448" s="10">
        <v>1</v>
      </c>
      <c r="I448" s="10">
        <v>1</v>
      </c>
      <c r="J448" s="10">
        <v>1</v>
      </c>
      <c r="K448" s="10">
        <v>1</v>
      </c>
      <c r="L448" s="10">
        <v>1</v>
      </c>
      <c r="M448" s="10">
        <v>1</v>
      </c>
      <c r="N448" s="10">
        <v>1</v>
      </c>
      <c r="O448" s="10">
        <v>1</v>
      </c>
      <c r="P448" s="10">
        <v>1</v>
      </c>
      <c r="Q448" s="10">
        <v>1</v>
      </c>
      <c r="R448" s="10">
        <v>1</v>
      </c>
      <c r="S448" s="10">
        <v>1</v>
      </c>
      <c r="T448" s="10">
        <v>1</v>
      </c>
      <c r="U448" s="10">
        <v>1</v>
      </c>
      <c r="V448" s="10">
        <v>1</v>
      </c>
      <c r="W448" s="10">
        <v>1</v>
      </c>
      <c r="X448" s="10">
        <v>1</v>
      </c>
      <c r="Y448" s="10">
        <v>0</v>
      </c>
      <c r="Z448" s="10">
        <v>1</v>
      </c>
      <c r="AA448" s="10">
        <v>1</v>
      </c>
      <c r="AB448" s="10">
        <v>1</v>
      </c>
      <c r="AC448" s="10">
        <v>1</v>
      </c>
      <c r="AD448" s="10">
        <v>1</v>
      </c>
      <c r="AE448" s="10">
        <v>1</v>
      </c>
      <c r="AF448" s="10">
        <v>1</v>
      </c>
    </row>
    <row r="449" spans="1:32">
      <c r="A449" s="10" t="s">
        <v>368</v>
      </c>
      <c r="B449" s="63" t="s">
        <v>300</v>
      </c>
      <c r="C449" s="10">
        <v>1</v>
      </c>
      <c r="D449" s="10">
        <v>1</v>
      </c>
      <c r="E449" s="10">
        <v>1</v>
      </c>
      <c r="F449" s="10">
        <v>1</v>
      </c>
      <c r="G449" s="10">
        <v>1</v>
      </c>
      <c r="H449" s="10">
        <v>1</v>
      </c>
      <c r="I449" s="10">
        <v>1</v>
      </c>
      <c r="J449" s="10">
        <v>1</v>
      </c>
      <c r="K449" s="10">
        <v>1</v>
      </c>
      <c r="L449" s="10">
        <v>1</v>
      </c>
      <c r="M449" s="10">
        <v>1</v>
      </c>
      <c r="N449" s="10">
        <v>1</v>
      </c>
      <c r="O449" s="10">
        <v>1</v>
      </c>
      <c r="P449" s="10">
        <v>1</v>
      </c>
      <c r="Q449" s="10">
        <v>1</v>
      </c>
      <c r="R449" s="10">
        <v>1</v>
      </c>
      <c r="S449" s="10">
        <v>1</v>
      </c>
      <c r="T449" s="10">
        <v>1</v>
      </c>
      <c r="U449" s="10">
        <v>1</v>
      </c>
      <c r="V449" s="10">
        <v>1</v>
      </c>
      <c r="W449" s="10">
        <v>1</v>
      </c>
      <c r="X449" s="10">
        <v>1</v>
      </c>
      <c r="Y449" s="10">
        <v>1</v>
      </c>
      <c r="Z449" s="10">
        <v>0</v>
      </c>
      <c r="AA449" s="10">
        <v>1</v>
      </c>
      <c r="AB449" s="10">
        <v>1</v>
      </c>
      <c r="AC449" s="10">
        <v>1</v>
      </c>
      <c r="AD449" s="10">
        <v>1</v>
      </c>
      <c r="AE449" s="10">
        <v>1</v>
      </c>
      <c r="AF449" s="10">
        <v>1</v>
      </c>
    </row>
    <row r="450" spans="1:32">
      <c r="A450" s="10" t="s">
        <v>368</v>
      </c>
      <c r="B450" s="63" t="s">
        <v>301</v>
      </c>
      <c r="C450" s="10">
        <v>1</v>
      </c>
      <c r="D450" s="10">
        <v>1</v>
      </c>
      <c r="E450" s="10">
        <v>1</v>
      </c>
      <c r="F450" s="10">
        <v>1</v>
      </c>
      <c r="G450" s="10">
        <v>1</v>
      </c>
      <c r="H450" s="10">
        <v>1</v>
      </c>
      <c r="I450" s="10">
        <v>1</v>
      </c>
      <c r="J450" s="10">
        <v>1</v>
      </c>
      <c r="K450" s="10">
        <v>1</v>
      </c>
      <c r="L450" s="10">
        <v>1</v>
      </c>
      <c r="M450" s="10">
        <v>1</v>
      </c>
      <c r="N450" s="10">
        <v>1</v>
      </c>
      <c r="O450" s="10">
        <v>1</v>
      </c>
      <c r="P450" s="10">
        <v>1</v>
      </c>
      <c r="Q450" s="10">
        <v>1</v>
      </c>
      <c r="R450" s="10">
        <v>1</v>
      </c>
      <c r="S450" s="10">
        <v>1</v>
      </c>
      <c r="T450" s="10">
        <v>1</v>
      </c>
      <c r="U450" s="10">
        <v>1</v>
      </c>
      <c r="V450" s="10">
        <v>1</v>
      </c>
      <c r="W450" s="10">
        <v>1</v>
      </c>
      <c r="X450" s="10">
        <v>1</v>
      </c>
      <c r="Y450" s="10">
        <v>1</v>
      </c>
      <c r="Z450" s="10">
        <v>1</v>
      </c>
      <c r="AA450" s="10">
        <v>0</v>
      </c>
      <c r="AB450" s="10">
        <v>1</v>
      </c>
      <c r="AC450" s="10">
        <v>1</v>
      </c>
      <c r="AD450" s="10">
        <v>1</v>
      </c>
      <c r="AE450" s="10">
        <v>1</v>
      </c>
      <c r="AF450" s="10">
        <v>1</v>
      </c>
    </row>
    <row r="451" spans="1:32">
      <c r="A451" s="10" t="s">
        <v>368</v>
      </c>
      <c r="B451" s="63" t="s">
        <v>303</v>
      </c>
      <c r="C451" s="10">
        <v>1</v>
      </c>
      <c r="D451" s="10">
        <v>1</v>
      </c>
      <c r="E451" s="10">
        <v>1</v>
      </c>
      <c r="F451" s="10">
        <v>1</v>
      </c>
      <c r="G451" s="10">
        <v>1</v>
      </c>
      <c r="H451" s="10">
        <v>1</v>
      </c>
      <c r="I451" s="10">
        <v>1</v>
      </c>
      <c r="J451" s="10">
        <v>1</v>
      </c>
      <c r="K451" s="10">
        <v>1</v>
      </c>
      <c r="L451" s="10">
        <v>1</v>
      </c>
      <c r="M451" s="10">
        <v>1</v>
      </c>
      <c r="N451" s="10">
        <v>1</v>
      </c>
      <c r="O451" s="10">
        <v>1</v>
      </c>
      <c r="P451" s="10">
        <v>1</v>
      </c>
      <c r="Q451" s="10">
        <v>1</v>
      </c>
      <c r="R451" s="10">
        <v>1</v>
      </c>
      <c r="S451" s="10">
        <v>1</v>
      </c>
      <c r="T451" s="10">
        <v>1</v>
      </c>
      <c r="U451" s="10">
        <v>1</v>
      </c>
      <c r="V451" s="10">
        <v>1</v>
      </c>
      <c r="W451" s="10">
        <v>1</v>
      </c>
      <c r="X451" s="10">
        <v>1</v>
      </c>
      <c r="Y451" s="10">
        <v>1</v>
      </c>
      <c r="Z451" s="10">
        <v>1</v>
      </c>
      <c r="AA451" s="10">
        <v>1</v>
      </c>
      <c r="AB451" s="10">
        <v>0</v>
      </c>
      <c r="AC451" s="10">
        <v>1</v>
      </c>
      <c r="AD451" s="10">
        <v>1</v>
      </c>
      <c r="AE451" s="10">
        <v>1</v>
      </c>
      <c r="AF451" s="10">
        <v>1</v>
      </c>
    </row>
    <row r="452" spans="1:32">
      <c r="A452" s="10" t="s">
        <v>368</v>
      </c>
      <c r="B452" s="63" t="s">
        <v>304</v>
      </c>
      <c r="C452" s="10">
        <v>1</v>
      </c>
      <c r="D452" s="10">
        <v>1</v>
      </c>
      <c r="E452" s="10">
        <v>1</v>
      </c>
      <c r="F452" s="10">
        <v>1</v>
      </c>
      <c r="G452" s="10">
        <v>1</v>
      </c>
      <c r="H452" s="10">
        <v>1</v>
      </c>
      <c r="I452" s="10">
        <v>1</v>
      </c>
      <c r="J452" s="10">
        <v>1</v>
      </c>
      <c r="K452" s="10">
        <v>1</v>
      </c>
      <c r="L452" s="10">
        <v>1</v>
      </c>
      <c r="M452" s="10">
        <v>1</v>
      </c>
      <c r="N452" s="10">
        <v>1</v>
      </c>
      <c r="O452" s="10">
        <v>1</v>
      </c>
      <c r="P452" s="10">
        <v>1</v>
      </c>
      <c r="Q452" s="10">
        <v>1</v>
      </c>
      <c r="R452" s="10">
        <v>1</v>
      </c>
      <c r="S452" s="10">
        <v>1</v>
      </c>
      <c r="T452" s="10">
        <v>1</v>
      </c>
      <c r="U452" s="10">
        <v>1</v>
      </c>
      <c r="V452" s="10">
        <v>1</v>
      </c>
      <c r="W452" s="10">
        <v>1</v>
      </c>
      <c r="X452" s="10">
        <v>1</v>
      </c>
      <c r="Y452" s="10">
        <v>1</v>
      </c>
      <c r="Z452" s="10">
        <v>1</v>
      </c>
      <c r="AA452" s="10">
        <v>1</v>
      </c>
      <c r="AB452" s="10">
        <v>1</v>
      </c>
      <c r="AC452" s="10">
        <v>0</v>
      </c>
      <c r="AD452" s="10">
        <v>1</v>
      </c>
      <c r="AE452" s="10">
        <v>1</v>
      </c>
      <c r="AF452" s="10">
        <v>1</v>
      </c>
    </row>
    <row r="453" spans="1:32">
      <c r="A453" s="10" t="s">
        <v>368</v>
      </c>
      <c r="B453" s="63" t="s">
        <v>305</v>
      </c>
      <c r="C453" s="10">
        <v>1</v>
      </c>
      <c r="D453" s="10">
        <v>1</v>
      </c>
      <c r="E453" s="10">
        <v>1</v>
      </c>
      <c r="F453" s="10">
        <v>1</v>
      </c>
      <c r="G453" s="10">
        <v>1</v>
      </c>
      <c r="H453" s="10">
        <v>1</v>
      </c>
      <c r="I453" s="10">
        <v>1</v>
      </c>
      <c r="J453" s="10">
        <v>1</v>
      </c>
      <c r="K453" s="10">
        <v>1</v>
      </c>
      <c r="L453" s="10">
        <v>1</v>
      </c>
      <c r="M453" s="10">
        <v>1</v>
      </c>
      <c r="N453" s="10">
        <v>1</v>
      </c>
      <c r="O453" s="10">
        <v>1</v>
      </c>
      <c r="P453" s="10">
        <v>1</v>
      </c>
      <c r="Q453" s="10">
        <v>1</v>
      </c>
      <c r="R453" s="10">
        <v>1</v>
      </c>
      <c r="S453" s="10">
        <v>1</v>
      </c>
      <c r="T453" s="10">
        <v>1</v>
      </c>
      <c r="U453" s="10">
        <v>1</v>
      </c>
      <c r="V453" s="10">
        <v>1</v>
      </c>
      <c r="W453" s="10">
        <v>1</v>
      </c>
      <c r="X453" s="10">
        <v>1</v>
      </c>
      <c r="Y453" s="10">
        <v>1</v>
      </c>
      <c r="Z453" s="10">
        <v>1</v>
      </c>
      <c r="AA453" s="10">
        <v>1</v>
      </c>
      <c r="AB453" s="10">
        <v>1</v>
      </c>
      <c r="AC453" s="10">
        <v>1</v>
      </c>
      <c r="AD453" s="10">
        <v>0</v>
      </c>
      <c r="AE453" s="10">
        <v>1</v>
      </c>
      <c r="AF453" s="10">
        <v>1</v>
      </c>
    </row>
    <row r="454" spans="1:32">
      <c r="A454" s="10" t="s">
        <v>368</v>
      </c>
      <c r="B454" s="63" t="s">
        <v>307</v>
      </c>
      <c r="C454" s="10">
        <v>1</v>
      </c>
      <c r="D454" s="10">
        <v>1</v>
      </c>
      <c r="E454" s="10">
        <v>1</v>
      </c>
      <c r="F454" s="10">
        <v>1</v>
      </c>
      <c r="G454" s="10">
        <v>1</v>
      </c>
      <c r="H454" s="10">
        <v>1</v>
      </c>
      <c r="I454" s="10">
        <v>1</v>
      </c>
      <c r="J454" s="10">
        <v>1</v>
      </c>
      <c r="K454" s="10">
        <v>1</v>
      </c>
      <c r="L454" s="10">
        <v>1</v>
      </c>
      <c r="M454" s="10">
        <v>1</v>
      </c>
      <c r="N454" s="10">
        <v>1</v>
      </c>
      <c r="O454" s="10">
        <v>1</v>
      </c>
      <c r="P454" s="10">
        <v>1</v>
      </c>
      <c r="Q454" s="10">
        <v>1</v>
      </c>
      <c r="R454" s="10">
        <v>1</v>
      </c>
      <c r="S454" s="10">
        <v>1</v>
      </c>
      <c r="T454" s="10">
        <v>1</v>
      </c>
      <c r="U454" s="10">
        <v>1</v>
      </c>
      <c r="V454" s="10">
        <v>1</v>
      </c>
      <c r="W454" s="10">
        <v>1</v>
      </c>
      <c r="X454" s="10">
        <v>1</v>
      </c>
      <c r="Y454" s="10">
        <v>1</v>
      </c>
      <c r="Z454" s="10">
        <v>1</v>
      </c>
      <c r="AA454" s="10">
        <v>1</v>
      </c>
      <c r="AB454" s="10">
        <v>1</v>
      </c>
      <c r="AC454" s="10">
        <v>1</v>
      </c>
      <c r="AD454" s="10">
        <v>1</v>
      </c>
      <c r="AE454" s="10">
        <v>0</v>
      </c>
      <c r="AF454" s="10">
        <v>1</v>
      </c>
    </row>
    <row r="455" spans="1:32">
      <c r="A455" s="10" t="s">
        <v>368</v>
      </c>
      <c r="B455" s="63" t="s">
        <v>356</v>
      </c>
      <c r="C455" s="10">
        <v>1</v>
      </c>
      <c r="D455" s="10">
        <v>1</v>
      </c>
      <c r="E455" s="10">
        <v>1</v>
      </c>
      <c r="F455" s="10">
        <v>1</v>
      </c>
      <c r="G455" s="10">
        <v>1</v>
      </c>
      <c r="H455" s="10">
        <v>1</v>
      </c>
      <c r="I455" s="10">
        <v>1</v>
      </c>
      <c r="J455" s="10">
        <v>1</v>
      </c>
      <c r="K455" s="10">
        <v>1</v>
      </c>
      <c r="L455" s="10">
        <v>1</v>
      </c>
      <c r="M455" s="10">
        <v>1</v>
      </c>
      <c r="N455" s="10">
        <v>1</v>
      </c>
      <c r="O455" s="10">
        <v>1</v>
      </c>
      <c r="P455" s="10">
        <v>1</v>
      </c>
      <c r="Q455" s="10">
        <v>1</v>
      </c>
      <c r="R455" s="10">
        <v>1</v>
      </c>
      <c r="S455" s="10">
        <v>1</v>
      </c>
      <c r="T455" s="10">
        <v>1</v>
      </c>
      <c r="U455" s="10">
        <v>1</v>
      </c>
      <c r="V455" s="10">
        <v>1</v>
      </c>
      <c r="W455" s="10">
        <v>1</v>
      </c>
      <c r="X455" s="10">
        <v>1</v>
      </c>
      <c r="Y455" s="10">
        <v>1</v>
      </c>
      <c r="Z455" s="10">
        <v>1</v>
      </c>
      <c r="AA455" s="10">
        <v>1</v>
      </c>
      <c r="AB455" s="10">
        <v>1</v>
      </c>
      <c r="AC455" s="10">
        <v>1</v>
      </c>
      <c r="AD455" s="10">
        <v>1</v>
      </c>
      <c r="AE455" s="10">
        <v>1</v>
      </c>
      <c r="AF455" s="10">
        <v>0</v>
      </c>
    </row>
    <row r="461" spans="1:32">
      <c r="B461" s="61"/>
    </row>
    <row r="462" spans="1:32">
      <c r="B462" s="61"/>
    </row>
    <row r="463" spans="1:32">
      <c r="B463" s="61"/>
    </row>
    <row r="464" spans="1:32">
      <c r="B464" s="61"/>
    </row>
    <row r="465" spans="2:2">
      <c r="B465" s="61"/>
    </row>
    <row r="466" spans="2:2">
      <c r="B466" s="61"/>
    </row>
    <row r="467" spans="2:2">
      <c r="B467" s="61"/>
    </row>
    <row r="468" spans="2:2">
      <c r="B468" s="61"/>
    </row>
    <row r="469" spans="2:2">
      <c r="B469" s="61"/>
    </row>
    <row r="470" spans="2:2">
      <c r="B470" s="61"/>
    </row>
    <row r="471" spans="2:2">
      <c r="B471" s="61"/>
    </row>
    <row r="472" spans="2:2">
      <c r="B472" s="61"/>
    </row>
    <row r="473" spans="2:2">
      <c r="B473" s="61"/>
    </row>
    <row r="474" spans="2:2">
      <c r="B474" s="61"/>
    </row>
    <row r="475" spans="2:2">
      <c r="B475" s="61"/>
    </row>
    <row r="476" spans="2:2">
      <c r="B476" s="61"/>
    </row>
    <row r="477" spans="2:2">
      <c r="B477" s="61"/>
    </row>
    <row r="478" spans="2:2">
      <c r="B478" s="61"/>
    </row>
    <row r="479" spans="2:2">
      <c r="B479" s="61"/>
    </row>
    <row r="480" spans="2:2">
      <c r="B480" s="61"/>
    </row>
    <row r="481" spans="2:2">
      <c r="B481" s="61"/>
    </row>
    <row r="482" spans="2:2">
      <c r="B482" s="61"/>
    </row>
    <row r="483" spans="2:2">
      <c r="B483" s="61"/>
    </row>
    <row r="484" spans="2:2">
      <c r="B484" s="61"/>
    </row>
    <row r="485" spans="2:2">
      <c r="B485" s="61"/>
    </row>
    <row r="486" spans="2:2">
      <c r="B486" s="61"/>
    </row>
    <row r="487" spans="2:2">
      <c r="B487" s="61"/>
    </row>
    <row r="488" spans="2:2">
      <c r="B488" s="61"/>
    </row>
    <row r="490" spans="2:2">
      <c r="B490" s="61"/>
    </row>
    <row r="491" spans="2:2">
      <c r="B491" s="61"/>
    </row>
    <row r="492" spans="2:2">
      <c r="B492" s="61"/>
    </row>
    <row r="493" spans="2:2">
      <c r="B493" s="61"/>
    </row>
    <row r="494" spans="2:2">
      <c r="B494" s="61"/>
    </row>
    <row r="495" spans="2:2">
      <c r="B495" s="61"/>
    </row>
    <row r="496" spans="2:2">
      <c r="B496" s="61"/>
    </row>
    <row r="497" spans="2:2">
      <c r="B497" s="61"/>
    </row>
    <row r="498" spans="2:2">
      <c r="B498" s="61"/>
    </row>
    <row r="499" spans="2:2">
      <c r="B499" s="61"/>
    </row>
    <row r="500" spans="2:2">
      <c r="B500" s="61"/>
    </row>
    <row r="501" spans="2:2">
      <c r="B501" s="61"/>
    </row>
    <row r="502" spans="2:2">
      <c r="B502" s="61"/>
    </row>
    <row r="503" spans="2:2">
      <c r="B503" s="61"/>
    </row>
    <row r="504" spans="2:2">
      <c r="B504" s="61"/>
    </row>
    <row r="505" spans="2:2">
      <c r="B505" s="61"/>
    </row>
    <row r="506" spans="2:2">
      <c r="B506" s="61"/>
    </row>
    <row r="507" spans="2:2">
      <c r="B507" s="61"/>
    </row>
    <row r="508" spans="2:2">
      <c r="B508" s="61"/>
    </row>
    <row r="509" spans="2:2">
      <c r="B509" s="61"/>
    </row>
    <row r="510" spans="2:2">
      <c r="B510" s="61"/>
    </row>
    <row r="511" spans="2:2">
      <c r="B511" s="61"/>
    </row>
    <row r="512" spans="2:2">
      <c r="B512" s="61"/>
    </row>
    <row r="513" spans="2:2">
      <c r="B513" s="61"/>
    </row>
    <row r="514" spans="2:2">
      <c r="B514" s="61"/>
    </row>
    <row r="515" spans="2:2">
      <c r="B515" s="61"/>
    </row>
    <row r="516" spans="2:2">
      <c r="B516" s="61"/>
    </row>
    <row r="517" spans="2:2">
      <c r="B517" s="61"/>
    </row>
    <row r="518" spans="2:2">
      <c r="B518" s="61"/>
    </row>
    <row r="520" spans="2:2">
      <c r="B520" s="61"/>
    </row>
    <row r="521" spans="2:2">
      <c r="B521" s="61"/>
    </row>
    <row r="522" spans="2:2">
      <c r="B522" s="61"/>
    </row>
    <row r="523" spans="2:2">
      <c r="B523" s="61"/>
    </row>
    <row r="524" spans="2:2">
      <c r="B524" s="61"/>
    </row>
    <row r="525" spans="2:2">
      <c r="B525" s="61"/>
    </row>
    <row r="526" spans="2:2">
      <c r="B526" s="61"/>
    </row>
    <row r="527" spans="2:2">
      <c r="B527" s="61"/>
    </row>
    <row r="528" spans="2:2">
      <c r="B528" s="61"/>
    </row>
    <row r="529" spans="2:2">
      <c r="B529" s="61"/>
    </row>
    <row r="530" spans="2:2">
      <c r="B530" s="61"/>
    </row>
    <row r="531" spans="2:2">
      <c r="B531" s="61"/>
    </row>
    <row r="532" spans="2:2">
      <c r="B532" s="61"/>
    </row>
    <row r="533" spans="2:2">
      <c r="B533" s="61"/>
    </row>
    <row r="534" spans="2:2">
      <c r="B534" s="61"/>
    </row>
    <row r="535" spans="2:2">
      <c r="B535" s="61"/>
    </row>
    <row r="536" spans="2:2">
      <c r="B536" s="61"/>
    </row>
    <row r="537" spans="2:2">
      <c r="B537" s="61"/>
    </row>
    <row r="538" spans="2:2">
      <c r="B538" s="61"/>
    </row>
    <row r="539" spans="2:2">
      <c r="B539" s="61"/>
    </row>
    <row r="540" spans="2:2">
      <c r="B540" s="61"/>
    </row>
    <row r="541" spans="2:2">
      <c r="B541" s="61"/>
    </row>
    <row r="542" spans="2:2">
      <c r="B542" s="61"/>
    </row>
    <row r="543" spans="2:2">
      <c r="B543" s="61"/>
    </row>
    <row r="544" spans="2:2">
      <c r="B544" s="61"/>
    </row>
    <row r="545" spans="2:2">
      <c r="B545" s="61"/>
    </row>
    <row r="546" spans="2:2">
      <c r="B546" s="61"/>
    </row>
    <row r="547" spans="2:2">
      <c r="B547" s="61"/>
    </row>
    <row r="548" spans="2:2">
      <c r="B548" s="61"/>
    </row>
    <row r="550" spans="2:2">
      <c r="B550" s="61"/>
    </row>
    <row r="551" spans="2:2">
      <c r="B551" s="61"/>
    </row>
    <row r="552" spans="2:2">
      <c r="B552" s="61"/>
    </row>
    <row r="553" spans="2:2">
      <c r="B553" s="61"/>
    </row>
    <row r="554" spans="2:2">
      <c r="B554" s="61"/>
    </row>
    <row r="555" spans="2:2">
      <c r="B555" s="61"/>
    </row>
    <row r="556" spans="2:2">
      <c r="B556" s="61"/>
    </row>
    <row r="557" spans="2:2">
      <c r="B557" s="61"/>
    </row>
    <row r="558" spans="2:2">
      <c r="B558" s="61"/>
    </row>
    <row r="559" spans="2:2">
      <c r="B559" s="61"/>
    </row>
    <row r="560" spans="2:2">
      <c r="B560" s="61"/>
    </row>
    <row r="561" spans="2:2">
      <c r="B561" s="61"/>
    </row>
    <row r="562" spans="2:2">
      <c r="B562" s="61"/>
    </row>
    <row r="563" spans="2:2">
      <c r="B563" s="61"/>
    </row>
    <row r="564" spans="2:2">
      <c r="B564" s="61"/>
    </row>
    <row r="565" spans="2:2">
      <c r="B565" s="61"/>
    </row>
    <row r="566" spans="2:2">
      <c r="B566" s="61"/>
    </row>
    <row r="567" spans="2:2">
      <c r="B567" s="61"/>
    </row>
    <row r="568" spans="2:2">
      <c r="B568" s="61"/>
    </row>
    <row r="569" spans="2:2">
      <c r="B569" s="61"/>
    </row>
    <row r="570" spans="2:2">
      <c r="B570" s="61"/>
    </row>
    <row r="571" spans="2:2">
      <c r="B571" s="61"/>
    </row>
    <row r="572" spans="2:2">
      <c r="B572" s="61"/>
    </row>
    <row r="573" spans="2:2">
      <c r="B573" s="61"/>
    </row>
    <row r="574" spans="2:2">
      <c r="B574" s="61"/>
    </row>
    <row r="575" spans="2:2">
      <c r="B575" s="61"/>
    </row>
    <row r="576" spans="2:2">
      <c r="B576" s="61"/>
    </row>
    <row r="577" spans="2:2">
      <c r="B577" s="61"/>
    </row>
    <row r="578" spans="2:2">
      <c r="B578" s="61"/>
    </row>
    <row r="580" spans="2:2">
      <c r="B580" s="61"/>
    </row>
    <row r="581" spans="2:2">
      <c r="B581" s="61"/>
    </row>
    <row r="582" spans="2:2">
      <c r="B582" s="61"/>
    </row>
    <row r="583" spans="2:2">
      <c r="B583" s="61"/>
    </row>
    <row r="584" spans="2:2">
      <c r="B584" s="61"/>
    </row>
    <row r="585" spans="2:2">
      <c r="B585" s="61"/>
    </row>
    <row r="586" spans="2:2">
      <c r="B586" s="61"/>
    </row>
    <row r="587" spans="2:2">
      <c r="B587" s="61"/>
    </row>
    <row r="588" spans="2:2">
      <c r="B588" s="61"/>
    </row>
    <row r="589" spans="2:2">
      <c r="B589" s="61"/>
    </row>
    <row r="590" spans="2:2">
      <c r="B590" s="61"/>
    </row>
    <row r="591" spans="2:2">
      <c r="B591" s="61"/>
    </row>
    <row r="592" spans="2:2">
      <c r="B592" s="61"/>
    </row>
    <row r="593" spans="2:2">
      <c r="B593" s="61"/>
    </row>
    <row r="594" spans="2:2">
      <c r="B594" s="61"/>
    </row>
    <row r="595" spans="2:2">
      <c r="B595" s="61"/>
    </row>
    <row r="596" spans="2:2">
      <c r="B596" s="61"/>
    </row>
    <row r="597" spans="2:2">
      <c r="B597" s="61"/>
    </row>
    <row r="598" spans="2:2">
      <c r="B598" s="61"/>
    </row>
    <row r="599" spans="2:2">
      <c r="B599" s="61"/>
    </row>
    <row r="600" spans="2:2">
      <c r="B600" s="61"/>
    </row>
    <row r="601" spans="2:2">
      <c r="B601" s="61"/>
    </row>
    <row r="602" spans="2:2">
      <c r="B602" s="61"/>
    </row>
    <row r="603" spans="2:2">
      <c r="B603" s="61"/>
    </row>
    <row r="604" spans="2:2">
      <c r="B604" s="61"/>
    </row>
    <row r="605" spans="2:2">
      <c r="B605" s="61"/>
    </row>
    <row r="606" spans="2:2">
      <c r="B606" s="61"/>
    </row>
    <row r="607" spans="2:2">
      <c r="B607" s="61"/>
    </row>
    <row r="608" spans="2:2">
      <c r="B608" s="61"/>
    </row>
    <row r="610" spans="2:2">
      <c r="B610" s="61"/>
    </row>
    <row r="611" spans="2:2">
      <c r="B611" s="61"/>
    </row>
    <row r="612" spans="2:2">
      <c r="B612" s="61"/>
    </row>
    <row r="613" spans="2:2">
      <c r="B613" s="61"/>
    </row>
    <row r="614" spans="2:2">
      <c r="B614" s="61"/>
    </row>
    <row r="615" spans="2:2">
      <c r="B615" s="61"/>
    </row>
    <row r="616" spans="2:2">
      <c r="B616" s="61"/>
    </row>
    <row r="617" spans="2:2">
      <c r="B617" s="61"/>
    </row>
    <row r="618" spans="2:2">
      <c r="B618" s="61"/>
    </row>
    <row r="619" spans="2:2">
      <c r="B619" s="61"/>
    </row>
    <row r="620" spans="2:2">
      <c r="B620" s="61"/>
    </row>
    <row r="621" spans="2:2">
      <c r="B621" s="61"/>
    </row>
    <row r="622" spans="2:2">
      <c r="B622" s="61"/>
    </row>
    <row r="623" spans="2:2">
      <c r="B623" s="61"/>
    </row>
    <row r="624" spans="2:2">
      <c r="B624" s="61"/>
    </row>
    <row r="625" spans="2:2">
      <c r="B625" s="61"/>
    </row>
    <row r="626" spans="2:2">
      <c r="B626" s="61"/>
    </row>
    <row r="627" spans="2:2">
      <c r="B627" s="61"/>
    </row>
    <row r="628" spans="2:2">
      <c r="B628" s="61"/>
    </row>
    <row r="629" spans="2:2">
      <c r="B629" s="61"/>
    </row>
    <row r="630" spans="2:2">
      <c r="B630" s="61"/>
    </row>
    <row r="631" spans="2:2">
      <c r="B631" s="61"/>
    </row>
    <row r="632" spans="2:2">
      <c r="B632" s="61"/>
    </row>
    <row r="633" spans="2:2">
      <c r="B633" s="61"/>
    </row>
    <row r="634" spans="2:2">
      <c r="B634" s="61"/>
    </row>
    <row r="635" spans="2:2">
      <c r="B635" s="61"/>
    </row>
    <row r="636" spans="2:2">
      <c r="B636" s="61"/>
    </row>
    <row r="637" spans="2:2">
      <c r="B637" s="61"/>
    </row>
    <row r="638" spans="2:2">
      <c r="B638" s="61"/>
    </row>
    <row r="640" spans="2:2">
      <c r="B640" s="61"/>
    </row>
    <row r="641" spans="2:2">
      <c r="B641" s="61"/>
    </row>
    <row r="642" spans="2:2">
      <c r="B642" s="61"/>
    </row>
    <row r="643" spans="2:2">
      <c r="B643" s="61"/>
    </row>
    <row r="644" spans="2:2">
      <c r="B644" s="61"/>
    </row>
    <row r="645" spans="2:2">
      <c r="B645" s="61"/>
    </row>
    <row r="646" spans="2:2">
      <c r="B646" s="61"/>
    </row>
    <row r="647" spans="2:2">
      <c r="B647" s="61"/>
    </row>
    <row r="648" spans="2:2">
      <c r="B648" s="61"/>
    </row>
    <row r="649" spans="2:2">
      <c r="B649" s="61"/>
    </row>
    <row r="650" spans="2:2">
      <c r="B650" s="61"/>
    </row>
    <row r="651" spans="2:2">
      <c r="B651" s="61"/>
    </row>
    <row r="652" spans="2:2">
      <c r="B652" s="61"/>
    </row>
    <row r="653" spans="2:2">
      <c r="B653" s="61"/>
    </row>
    <row r="654" spans="2:2">
      <c r="B654" s="61"/>
    </row>
    <row r="655" spans="2:2">
      <c r="B655" s="61"/>
    </row>
    <row r="656" spans="2:2">
      <c r="B656" s="61"/>
    </row>
    <row r="657" spans="2:2">
      <c r="B657" s="61"/>
    </row>
    <row r="658" spans="2:2">
      <c r="B658" s="61"/>
    </row>
    <row r="659" spans="2:2">
      <c r="B659" s="61"/>
    </row>
    <row r="660" spans="2:2">
      <c r="B660" s="61"/>
    </row>
    <row r="661" spans="2:2">
      <c r="B661" s="61"/>
    </row>
    <row r="662" spans="2:2">
      <c r="B662" s="61"/>
    </row>
    <row r="663" spans="2:2">
      <c r="B663" s="61"/>
    </row>
    <row r="664" spans="2:2">
      <c r="B664" s="61"/>
    </row>
    <row r="665" spans="2:2">
      <c r="B665" s="61"/>
    </row>
    <row r="666" spans="2:2">
      <c r="B666" s="61"/>
    </row>
    <row r="667" spans="2:2">
      <c r="B667" s="61"/>
    </row>
    <row r="668" spans="2:2">
      <c r="B668" s="61"/>
    </row>
    <row r="670" spans="2:2">
      <c r="B670" s="61"/>
    </row>
    <row r="671" spans="2:2">
      <c r="B671" s="61"/>
    </row>
    <row r="672" spans="2:2">
      <c r="B672" s="61"/>
    </row>
    <row r="673" spans="2:2">
      <c r="B673" s="61"/>
    </row>
    <row r="674" spans="2:2">
      <c r="B674" s="61"/>
    </row>
    <row r="675" spans="2:2">
      <c r="B675" s="61"/>
    </row>
    <row r="676" spans="2:2">
      <c r="B676" s="61"/>
    </row>
    <row r="677" spans="2:2">
      <c r="B677" s="61"/>
    </row>
    <row r="678" spans="2:2">
      <c r="B678" s="61"/>
    </row>
    <row r="679" spans="2:2">
      <c r="B679" s="61"/>
    </row>
    <row r="680" spans="2:2">
      <c r="B680" s="61"/>
    </row>
    <row r="681" spans="2:2">
      <c r="B681" s="61"/>
    </row>
    <row r="682" spans="2:2">
      <c r="B682" s="61"/>
    </row>
    <row r="683" spans="2:2">
      <c r="B683" s="61"/>
    </row>
    <row r="684" spans="2:2">
      <c r="B684" s="61"/>
    </row>
    <row r="685" spans="2:2">
      <c r="B685" s="61"/>
    </row>
    <row r="686" spans="2:2">
      <c r="B686" s="61"/>
    </row>
    <row r="687" spans="2:2">
      <c r="B687" s="61"/>
    </row>
    <row r="688" spans="2:2">
      <c r="B688" s="61"/>
    </row>
    <row r="689" spans="2:2">
      <c r="B689" s="61"/>
    </row>
    <row r="690" spans="2:2">
      <c r="B690" s="61"/>
    </row>
    <row r="691" spans="2:2">
      <c r="B691" s="61"/>
    </row>
    <row r="692" spans="2:2">
      <c r="B692" s="61"/>
    </row>
    <row r="693" spans="2:2">
      <c r="B693" s="61"/>
    </row>
    <row r="694" spans="2:2">
      <c r="B694" s="61"/>
    </row>
    <row r="695" spans="2:2">
      <c r="B695" s="61"/>
    </row>
    <row r="696" spans="2:2">
      <c r="B696" s="61"/>
    </row>
    <row r="697" spans="2:2">
      <c r="B697" s="61"/>
    </row>
    <row r="698" spans="2:2">
      <c r="B698" s="61"/>
    </row>
    <row r="700" spans="2:2">
      <c r="B700" s="61"/>
    </row>
    <row r="701" spans="2:2">
      <c r="B701" s="61"/>
    </row>
    <row r="702" spans="2:2">
      <c r="B702" s="61"/>
    </row>
    <row r="703" spans="2:2">
      <c r="B703" s="61"/>
    </row>
    <row r="704" spans="2:2">
      <c r="B704" s="61"/>
    </row>
    <row r="705" spans="2:2">
      <c r="B705" s="61"/>
    </row>
    <row r="706" spans="2:2">
      <c r="B706" s="61"/>
    </row>
    <row r="707" spans="2:2">
      <c r="B707" s="61"/>
    </row>
    <row r="708" spans="2:2">
      <c r="B708" s="61"/>
    </row>
    <row r="709" spans="2:2">
      <c r="B709" s="61"/>
    </row>
    <row r="710" spans="2:2">
      <c r="B710" s="61"/>
    </row>
    <row r="711" spans="2:2">
      <c r="B711" s="61"/>
    </row>
    <row r="712" spans="2:2">
      <c r="B712" s="61"/>
    </row>
    <row r="713" spans="2:2">
      <c r="B713" s="61"/>
    </row>
    <row r="714" spans="2:2">
      <c r="B714" s="61"/>
    </row>
    <row r="715" spans="2:2">
      <c r="B715" s="61"/>
    </row>
    <row r="716" spans="2:2">
      <c r="B716" s="61"/>
    </row>
    <row r="717" spans="2:2">
      <c r="B717" s="61"/>
    </row>
    <row r="718" spans="2:2">
      <c r="B718" s="61"/>
    </row>
    <row r="719" spans="2:2">
      <c r="B719" s="61"/>
    </row>
    <row r="720" spans="2:2">
      <c r="B720" s="61"/>
    </row>
    <row r="721" spans="2:2">
      <c r="B721" s="61"/>
    </row>
    <row r="722" spans="2:2">
      <c r="B722" s="61"/>
    </row>
    <row r="723" spans="2:2">
      <c r="B723" s="61"/>
    </row>
    <row r="724" spans="2:2">
      <c r="B724" s="61"/>
    </row>
    <row r="725" spans="2:2">
      <c r="B725" s="61"/>
    </row>
    <row r="726" spans="2:2">
      <c r="B726" s="61"/>
    </row>
    <row r="727" spans="2:2">
      <c r="B727" s="61"/>
    </row>
    <row r="728" spans="2:2">
      <c r="B728" s="61"/>
    </row>
    <row r="730" spans="2:2">
      <c r="B730" s="61"/>
    </row>
    <row r="731" spans="2:2">
      <c r="B731" s="61"/>
    </row>
    <row r="732" spans="2:2">
      <c r="B732" s="61"/>
    </row>
    <row r="733" spans="2:2">
      <c r="B733" s="61"/>
    </row>
    <row r="734" spans="2:2">
      <c r="B734" s="61"/>
    </row>
    <row r="735" spans="2:2">
      <c r="B735" s="61"/>
    </row>
    <row r="736" spans="2:2">
      <c r="B736" s="61"/>
    </row>
    <row r="737" spans="2:2">
      <c r="B737" s="61"/>
    </row>
    <row r="738" spans="2:2">
      <c r="B738" s="61"/>
    </row>
    <row r="739" spans="2:2">
      <c r="B739" s="61"/>
    </row>
    <row r="740" spans="2:2">
      <c r="B740" s="61"/>
    </row>
    <row r="741" spans="2:2">
      <c r="B741" s="61"/>
    </row>
    <row r="742" spans="2:2">
      <c r="B742" s="61"/>
    </row>
    <row r="743" spans="2:2">
      <c r="B743" s="61"/>
    </row>
    <row r="744" spans="2:2">
      <c r="B744" s="61"/>
    </row>
    <row r="745" spans="2:2">
      <c r="B745" s="61"/>
    </row>
    <row r="746" spans="2:2">
      <c r="B746" s="61"/>
    </row>
    <row r="747" spans="2:2">
      <c r="B747" s="61"/>
    </row>
    <row r="748" spans="2:2">
      <c r="B748" s="61"/>
    </row>
    <row r="749" spans="2:2">
      <c r="B749" s="61"/>
    </row>
    <row r="750" spans="2:2">
      <c r="B750" s="61"/>
    </row>
    <row r="751" spans="2:2">
      <c r="B751" s="61"/>
    </row>
    <row r="752" spans="2:2">
      <c r="B752" s="61"/>
    </row>
    <row r="753" spans="2:2">
      <c r="B753" s="61"/>
    </row>
    <row r="754" spans="2:2">
      <c r="B754" s="61"/>
    </row>
    <row r="755" spans="2:2">
      <c r="B755" s="61"/>
    </row>
    <row r="756" spans="2:2">
      <c r="B756" s="61"/>
    </row>
    <row r="757" spans="2:2">
      <c r="B757" s="61"/>
    </row>
    <row r="758" spans="2:2">
      <c r="B758" s="61"/>
    </row>
    <row r="760" spans="2:2">
      <c r="B760" s="61"/>
    </row>
    <row r="761" spans="2:2">
      <c r="B761" s="61"/>
    </row>
    <row r="762" spans="2:2">
      <c r="B762" s="61"/>
    </row>
    <row r="763" spans="2:2">
      <c r="B763" s="61"/>
    </row>
    <row r="764" spans="2:2">
      <c r="B764" s="61"/>
    </row>
    <row r="765" spans="2:2">
      <c r="B765" s="61"/>
    </row>
    <row r="766" spans="2:2">
      <c r="B766" s="61"/>
    </row>
    <row r="767" spans="2:2">
      <c r="B767" s="61"/>
    </row>
    <row r="768" spans="2:2">
      <c r="B768" s="61"/>
    </row>
    <row r="769" spans="2:2">
      <c r="B769" s="61"/>
    </row>
    <row r="770" spans="2:2">
      <c r="B770" s="61"/>
    </row>
    <row r="771" spans="2:2">
      <c r="B771" s="61"/>
    </row>
    <row r="772" spans="2:2">
      <c r="B772" s="61"/>
    </row>
    <row r="773" spans="2:2">
      <c r="B773" s="61"/>
    </row>
    <row r="774" spans="2:2">
      <c r="B774" s="61"/>
    </row>
    <row r="775" spans="2:2">
      <c r="B775" s="61"/>
    </row>
    <row r="776" spans="2:2">
      <c r="B776" s="61"/>
    </row>
    <row r="777" spans="2:2">
      <c r="B777" s="61"/>
    </row>
    <row r="778" spans="2:2">
      <c r="B778" s="61"/>
    </row>
    <row r="779" spans="2:2">
      <c r="B779" s="61"/>
    </row>
    <row r="780" spans="2:2">
      <c r="B780" s="61"/>
    </row>
    <row r="781" spans="2:2">
      <c r="B781" s="61"/>
    </row>
    <row r="782" spans="2:2">
      <c r="B782" s="61"/>
    </row>
    <row r="783" spans="2:2">
      <c r="B783" s="61"/>
    </row>
    <row r="784" spans="2:2">
      <c r="B784" s="61"/>
    </row>
    <row r="785" spans="2:2">
      <c r="B785" s="61"/>
    </row>
    <row r="786" spans="2:2">
      <c r="B786" s="61"/>
    </row>
    <row r="787" spans="2:2">
      <c r="B787" s="61"/>
    </row>
    <row r="788" spans="2:2">
      <c r="B788" s="61"/>
    </row>
    <row r="790" spans="2:2">
      <c r="B790" s="61"/>
    </row>
    <row r="791" spans="2:2">
      <c r="B791" s="61"/>
    </row>
    <row r="792" spans="2:2">
      <c r="B792" s="61"/>
    </row>
    <row r="793" spans="2:2">
      <c r="B793" s="61"/>
    </row>
    <row r="794" spans="2:2">
      <c r="B794" s="61"/>
    </row>
    <row r="795" spans="2:2">
      <c r="B795" s="61"/>
    </row>
    <row r="796" spans="2:2">
      <c r="B796" s="61"/>
    </row>
    <row r="797" spans="2:2">
      <c r="B797" s="61"/>
    </row>
    <row r="798" spans="2:2">
      <c r="B798" s="61"/>
    </row>
    <row r="799" spans="2:2">
      <c r="B799" s="61"/>
    </row>
    <row r="800" spans="2:2">
      <c r="B800" s="61"/>
    </row>
    <row r="801" spans="2:2">
      <c r="B801" s="61"/>
    </row>
    <row r="802" spans="2:2">
      <c r="B802" s="61"/>
    </row>
    <row r="803" spans="2:2">
      <c r="B803" s="61"/>
    </row>
    <row r="804" spans="2:2">
      <c r="B804" s="61"/>
    </row>
    <row r="805" spans="2:2">
      <c r="B805" s="61"/>
    </row>
    <row r="806" spans="2:2">
      <c r="B806" s="61"/>
    </row>
    <row r="807" spans="2:2">
      <c r="B807" s="61"/>
    </row>
    <row r="808" spans="2:2">
      <c r="B808" s="61"/>
    </row>
    <row r="809" spans="2:2">
      <c r="B809" s="61"/>
    </row>
    <row r="810" spans="2:2">
      <c r="B810" s="61"/>
    </row>
    <row r="811" spans="2:2">
      <c r="B811" s="61"/>
    </row>
    <row r="812" spans="2:2">
      <c r="B812" s="61"/>
    </row>
    <row r="813" spans="2:2">
      <c r="B813" s="61"/>
    </row>
    <row r="814" spans="2:2">
      <c r="B814" s="61"/>
    </row>
    <row r="815" spans="2:2">
      <c r="B815" s="61"/>
    </row>
    <row r="816" spans="2:2">
      <c r="B816" s="61"/>
    </row>
    <row r="817" spans="2:2">
      <c r="B817" s="61"/>
    </row>
    <row r="818" spans="2:2">
      <c r="B818" s="61"/>
    </row>
    <row r="820" spans="2:2">
      <c r="B820" s="61"/>
    </row>
    <row r="821" spans="2:2">
      <c r="B821" s="61"/>
    </row>
    <row r="822" spans="2:2">
      <c r="B822" s="61"/>
    </row>
    <row r="823" spans="2:2">
      <c r="B823" s="61"/>
    </row>
    <row r="824" spans="2:2">
      <c r="B824" s="61"/>
    </row>
    <row r="825" spans="2:2">
      <c r="B825" s="61"/>
    </row>
    <row r="826" spans="2:2">
      <c r="B826" s="61"/>
    </row>
    <row r="827" spans="2:2">
      <c r="B827" s="61"/>
    </row>
    <row r="828" spans="2:2">
      <c r="B828" s="61"/>
    </row>
    <row r="829" spans="2:2">
      <c r="B829" s="61"/>
    </row>
    <row r="830" spans="2:2">
      <c r="B830" s="61"/>
    </row>
    <row r="831" spans="2:2">
      <c r="B831" s="61"/>
    </row>
    <row r="832" spans="2:2">
      <c r="B832" s="61"/>
    </row>
    <row r="833" spans="2:2">
      <c r="B833" s="61"/>
    </row>
    <row r="834" spans="2:2">
      <c r="B834" s="61"/>
    </row>
    <row r="835" spans="2:2">
      <c r="B835" s="61"/>
    </row>
    <row r="836" spans="2:2">
      <c r="B836" s="61"/>
    </row>
    <row r="837" spans="2:2">
      <c r="B837" s="61"/>
    </row>
    <row r="838" spans="2:2">
      <c r="B838" s="61"/>
    </row>
    <row r="839" spans="2:2">
      <c r="B839" s="61"/>
    </row>
    <row r="840" spans="2:2">
      <c r="B840" s="61"/>
    </row>
    <row r="841" spans="2:2">
      <c r="B841" s="61"/>
    </row>
    <row r="842" spans="2:2">
      <c r="B842" s="61"/>
    </row>
    <row r="843" spans="2:2">
      <c r="B843" s="61"/>
    </row>
    <row r="844" spans="2:2">
      <c r="B844" s="61"/>
    </row>
    <row r="845" spans="2:2">
      <c r="B845" s="61"/>
    </row>
    <row r="846" spans="2:2">
      <c r="B846" s="61"/>
    </row>
    <row r="847" spans="2:2">
      <c r="B847" s="61"/>
    </row>
    <row r="848" spans="2:2">
      <c r="B848" s="61"/>
    </row>
    <row r="849" spans="2:2">
      <c r="B849" s="61"/>
    </row>
    <row r="850" spans="2:2">
      <c r="B850" s="61"/>
    </row>
    <row r="851" spans="2:2">
      <c r="B851" s="61"/>
    </row>
    <row r="852" spans="2:2">
      <c r="B852" s="61"/>
    </row>
    <row r="853" spans="2:2">
      <c r="B853" s="61"/>
    </row>
    <row r="854" spans="2:2">
      <c r="B854" s="61"/>
    </row>
    <row r="855" spans="2:2">
      <c r="B855" s="61"/>
    </row>
    <row r="856" spans="2:2">
      <c r="B856" s="61"/>
    </row>
    <row r="857" spans="2:2">
      <c r="B857" s="61"/>
    </row>
    <row r="858" spans="2:2">
      <c r="B858" s="61"/>
    </row>
    <row r="859" spans="2:2">
      <c r="B859" s="61"/>
    </row>
    <row r="860" spans="2:2">
      <c r="B860" s="61"/>
    </row>
    <row r="861" spans="2:2">
      <c r="B861" s="61"/>
    </row>
    <row r="862" spans="2:2">
      <c r="B862" s="61"/>
    </row>
    <row r="863" spans="2:2">
      <c r="B863" s="61"/>
    </row>
    <row r="864" spans="2:2">
      <c r="B864" s="61"/>
    </row>
    <row r="865" spans="2:2">
      <c r="B865" s="61"/>
    </row>
    <row r="866" spans="2:2">
      <c r="B866" s="61"/>
    </row>
    <row r="867" spans="2:2">
      <c r="B867" s="61"/>
    </row>
    <row r="868" spans="2:2">
      <c r="B868" s="61"/>
    </row>
    <row r="869" spans="2:2">
      <c r="B869" s="61"/>
    </row>
    <row r="870" spans="2:2">
      <c r="B870" s="61"/>
    </row>
    <row r="871" spans="2:2">
      <c r="B871" s="61"/>
    </row>
    <row r="872" spans="2:2">
      <c r="B872" s="61"/>
    </row>
    <row r="873" spans="2:2">
      <c r="B873" s="61"/>
    </row>
    <row r="874" spans="2:2">
      <c r="B874" s="61"/>
    </row>
    <row r="875" spans="2:2">
      <c r="B875" s="61"/>
    </row>
    <row r="876" spans="2:2">
      <c r="B876" s="61"/>
    </row>
    <row r="877" spans="2:2">
      <c r="B877" s="61"/>
    </row>
    <row r="878" spans="2:2">
      <c r="B878" s="61"/>
    </row>
    <row r="880" spans="2:2">
      <c r="B880" s="61"/>
    </row>
    <row r="881" spans="2:2">
      <c r="B881" s="63"/>
    </row>
    <row r="882" spans="2:2">
      <c r="B882" s="63"/>
    </row>
    <row r="883" spans="2:2">
      <c r="B883" s="63"/>
    </row>
    <row r="884" spans="2:2">
      <c r="B884" s="63"/>
    </row>
    <row r="885" spans="2:2">
      <c r="B885" s="63"/>
    </row>
    <row r="886" spans="2:2">
      <c r="B886" s="63"/>
    </row>
    <row r="887" spans="2:2">
      <c r="B887" s="63"/>
    </row>
    <row r="888" spans="2:2">
      <c r="B888" s="63"/>
    </row>
    <row r="889" spans="2:2">
      <c r="B889" s="63"/>
    </row>
    <row r="890" spans="2:2">
      <c r="B890" s="63"/>
    </row>
    <row r="891" spans="2:2">
      <c r="B891" s="63"/>
    </row>
    <row r="892" spans="2:2">
      <c r="B892" s="63"/>
    </row>
    <row r="893" spans="2:2">
      <c r="B893" s="63"/>
    </row>
    <row r="894" spans="2:2">
      <c r="B894" s="63"/>
    </row>
    <row r="895" spans="2:2">
      <c r="B895" s="63"/>
    </row>
    <row r="896" spans="2:2">
      <c r="B896" s="63"/>
    </row>
    <row r="897" spans="2:2">
      <c r="B897" s="63"/>
    </row>
    <row r="898" spans="2:2">
      <c r="B898" s="63"/>
    </row>
    <row r="899" spans="2:2">
      <c r="B899" s="63"/>
    </row>
    <row r="900" spans="2:2">
      <c r="B900" s="63"/>
    </row>
    <row r="901" spans="2:2">
      <c r="B901" s="63"/>
    </row>
    <row r="902" spans="2:2">
      <c r="B902" s="63"/>
    </row>
    <row r="903" spans="2:2">
      <c r="B903" s="63"/>
    </row>
    <row r="904" spans="2:2">
      <c r="B904" s="63"/>
    </row>
    <row r="905" spans="2:2">
      <c r="B905" s="63"/>
    </row>
    <row r="906" spans="2:2">
      <c r="B906" s="63"/>
    </row>
    <row r="907" spans="2:2">
      <c r="B907" s="63"/>
    </row>
    <row r="908" spans="2:2">
      <c r="B908" s="63"/>
    </row>
    <row r="909" spans="2:2">
      <c r="B909" s="63"/>
    </row>
    <row r="910" spans="2:2">
      <c r="B910" s="63"/>
    </row>
  </sheetData>
  <autoFilter ref="A5:AE425" xr:uid="{00000000-0009-0000-0000-000008000000}"/>
  <sortState xmlns:xlrd2="http://schemas.microsoft.com/office/spreadsheetml/2017/richdata2" ref="A6:AF424">
    <sortCondition ref="A6:A424"/>
    <sortCondition ref="B6:B424"/>
  </sortState>
  <dataValidations disablePrompts="1" count="1">
    <dataValidation type="list" allowBlank="1" showInputMessage="1" showErrorMessage="1" sqref="A151:A179 A417 A606:A634 A872" xr:uid="{9819BD07-4E54-43BF-B17D-61AB53579CA4}">
      <formula1>Fuels</formula1>
    </dataValidation>
  </dataValidation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21"/>
  <dimension ref="A1:AL968"/>
  <sheetViews>
    <sheetView topLeftCell="M3" workbookViewId="0">
      <selection activeCell="C6" sqref="C6:AF35"/>
    </sheetView>
  </sheetViews>
  <sheetFormatPr defaultColWidth="11.42578125" defaultRowHeight="15"/>
  <cols>
    <col min="1" max="1" width="11.42578125" style="10"/>
    <col min="2" max="2" width="13.42578125" style="10" customWidth="1"/>
    <col min="3" max="4" width="14.42578125" style="10" customWidth="1"/>
    <col min="5" max="5" width="12.85546875" style="10" customWidth="1"/>
    <col min="6" max="6" width="18.42578125" style="10" customWidth="1"/>
    <col min="7" max="7" width="15.42578125" style="10" customWidth="1"/>
    <col min="8" max="8" width="15.85546875" style="10" customWidth="1"/>
    <col min="9" max="9" width="15.42578125" style="10" customWidth="1"/>
    <col min="10" max="10" width="14.42578125" style="10" customWidth="1"/>
    <col min="11" max="11" width="15.85546875" style="10" customWidth="1"/>
    <col min="12" max="12" width="16" style="10" customWidth="1"/>
    <col min="13" max="13" width="11.42578125" style="10"/>
    <col min="14" max="14" width="15.42578125" style="10" customWidth="1"/>
    <col min="15" max="15" width="21.85546875" style="10" customWidth="1"/>
    <col min="16" max="21" width="11.42578125" style="10"/>
    <col min="22" max="22" width="11.85546875" style="10" customWidth="1"/>
    <col min="23" max="16384" width="11.42578125" style="10"/>
  </cols>
  <sheetData>
    <row r="1" spans="1:38">
      <c r="A1" s="10" t="s">
        <v>402</v>
      </c>
    </row>
    <row r="2" spans="1:38">
      <c r="A2" s="10" t="s">
        <v>398</v>
      </c>
    </row>
    <row r="3" spans="1:38">
      <c r="A3" s="10" t="s">
        <v>397</v>
      </c>
    </row>
    <row r="5" spans="1:38">
      <c r="B5" s="63"/>
      <c r="C5" s="63" t="s">
        <v>288</v>
      </c>
      <c r="D5" s="63" t="s">
        <v>278</v>
      </c>
      <c r="E5" s="63" t="s">
        <v>280</v>
      </c>
      <c r="F5" s="63" t="s">
        <v>281</v>
      </c>
      <c r="G5" s="63" t="s">
        <v>282</v>
      </c>
      <c r="H5" s="63" t="s">
        <v>283</v>
      </c>
      <c r="I5" s="63" t="s">
        <v>284</v>
      </c>
      <c r="J5" s="63" t="s">
        <v>285</v>
      </c>
      <c r="K5" s="63" t="s">
        <v>308</v>
      </c>
      <c r="L5" s="63" t="s">
        <v>286</v>
      </c>
      <c r="M5" s="63" t="s">
        <v>287</v>
      </c>
      <c r="N5" s="63" t="s">
        <v>289</v>
      </c>
      <c r="O5" s="63" t="s">
        <v>290</v>
      </c>
      <c r="P5" s="63" t="s">
        <v>291</v>
      </c>
      <c r="Q5" s="63" t="s">
        <v>292</v>
      </c>
      <c r="R5" s="63" t="s">
        <v>293</v>
      </c>
      <c r="S5" s="63" t="s">
        <v>309</v>
      </c>
      <c r="T5" s="63" t="s">
        <v>294</v>
      </c>
      <c r="U5" s="63" t="s">
        <v>310</v>
      </c>
      <c r="V5" s="63" t="s">
        <v>357</v>
      </c>
      <c r="W5" s="63" t="s">
        <v>297</v>
      </c>
      <c r="X5" s="63" t="s">
        <v>298</v>
      </c>
      <c r="Y5" s="63" t="s">
        <v>299</v>
      </c>
      <c r="Z5" s="63" t="s">
        <v>300</v>
      </c>
      <c r="AA5" s="63" t="s">
        <v>301</v>
      </c>
      <c r="AB5" s="63" t="s">
        <v>303</v>
      </c>
      <c r="AC5" s="63" t="s">
        <v>304</v>
      </c>
      <c r="AD5" s="63" t="s">
        <v>305</v>
      </c>
      <c r="AE5" s="63" t="s">
        <v>307</v>
      </c>
      <c r="AF5" s="63" t="s">
        <v>356</v>
      </c>
      <c r="AG5" s="63"/>
      <c r="AH5" s="63"/>
      <c r="AI5" s="63"/>
      <c r="AJ5" s="63"/>
      <c r="AK5" s="63"/>
      <c r="AL5" s="63"/>
    </row>
    <row r="6" spans="1:38">
      <c r="A6" s="10" t="s">
        <v>468</v>
      </c>
      <c r="B6" s="61" t="s">
        <v>278</v>
      </c>
      <c r="C6" s="10">
        <f>Par_TradeRoute!C6</f>
        <v>1462.5</v>
      </c>
      <c r="D6" s="10">
        <f>Par_TradeRoute!D6</f>
        <v>0</v>
      </c>
      <c r="E6" s="10">
        <f>Par_TradeRoute!E6</f>
        <v>770.24</v>
      </c>
      <c r="F6" s="10">
        <f>Par_TradeRoute!F6</f>
        <v>1022.45</v>
      </c>
      <c r="G6" s="10">
        <f>Par_TradeRoute!G6</f>
        <v>456.36</v>
      </c>
      <c r="H6" s="10">
        <f>Par_TradeRoute!H6</f>
        <v>254.84</v>
      </c>
      <c r="I6" s="10">
        <f>Par_TradeRoute!I6</f>
        <v>477.04</v>
      </c>
      <c r="J6" s="10">
        <f>Par_TradeRoute!J6</f>
        <v>973.03</v>
      </c>
      <c r="K6" s="10">
        <f>Par_TradeRoute!K6</f>
        <v>0</v>
      </c>
      <c r="L6" s="10">
        <f>Par_TradeRoute!L6</f>
        <v>1640.58</v>
      </c>
      <c r="M6" s="10">
        <f>Par_TradeRoute!M6</f>
        <v>0</v>
      </c>
      <c r="N6" s="10">
        <f>Par_TradeRoute!N6</f>
        <v>1188.01</v>
      </c>
      <c r="O6" s="10">
        <f>Par_TradeRoute!O6</f>
        <v>332.27</v>
      </c>
      <c r="P6" s="10">
        <f>Par_TradeRoute!P6</f>
        <v>400.59</v>
      </c>
      <c r="Q6" s="10">
        <f>Par_TradeRoute!Q6</f>
        <v>0</v>
      </c>
      <c r="R6" s="10">
        <f>Par_TradeRoute!R6</f>
        <v>557.69000000000005</v>
      </c>
      <c r="S6" s="10">
        <f>Par_TradeRoute!S6</f>
        <v>1094.8399999999999</v>
      </c>
      <c r="T6" s="10">
        <f>Par_TradeRoute!T6</f>
        <v>640.32000000000005</v>
      </c>
      <c r="U6" s="10">
        <f>Par_TradeRoute!U6</f>
        <v>1264.26</v>
      </c>
      <c r="V6" s="10">
        <f>Par_TradeRoute!V6</f>
        <v>667.29</v>
      </c>
      <c r="W6" s="10">
        <f>Par_TradeRoute!W6</f>
        <v>804.24</v>
      </c>
      <c r="X6" s="10">
        <f>Par_TradeRoute!X6</f>
        <v>0</v>
      </c>
      <c r="Y6" s="10">
        <f>Par_TradeRoute!Y6</f>
        <v>630.36</v>
      </c>
      <c r="Z6" s="10">
        <f>Par_TradeRoute!Z6</f>
        <v>0</v>
      </c>
      <c r="AA6" s="10">
        <f>Par_TradeRoute!AA6</f>
        <v>850.72</v>
      </c>
      <c r="AB6" s="10">
        <f>Par_TradeRoute!AB6</f>
        <v>1698.79</v>
      </c>
      <c r="AC6" s="10">
        <f>Par_TradeRoute!AC6</f>
        <v>171.24</v>
      </c>
      <c r="AD6" s="10">
        <f>Par_TradeRoute!AD6</f>
        <v>416.67</v>
      </c>
      <c r="AE6" s="10">
        <f>Par_TradeRoute!AE6</f>
        <v>1399.02</v>
      </c>
      <c r="AF6" s="10">
        <f>Par_TradeRoute!AF6</f>
        <v>0</v>
      </c>
    </row>
    <row r="7" spans="1:38">
      <c r="A7" s="10" t="s">
        <v>468</v>
      </c>
      <c r="B7" s="61" t="s">
        <v>280</v>
      </c>
      <c r="C7" s="10">
        <f>Par_TradeRoute!C7</f>
        <v>300</v>
      </c>
      <c r="D7" s="10">
        <f>Par_TradeRoute!D7</f>
        <v>770.24</v>
      </c>
      <c r="E7" s="10">
        <f>Par_TradeRoute!E7</f>
        <v>0</v>
      </c>
      <c r="F7" s="10">
        <f>Par_TradeRoute!F7</f>
        <v>0</v>
      </c>
      <c r="G7" s="10">
        <f>Par_TradeRoute!G7</f>
        <v>501.4</v>
      </c>
      <c r="H7" s="10">
        <f>Par_TradeRoute!H7</f>
        <v>767.87</v>
      </c>
      <c r="I7" s="10">
        <f>Par_TradeRoute!I7</f>
        <v>406.5</v>
      </c>
      <c r="J7" s="10">
        <f>Par_TradeRoute!J7</f>
        <v>692.16</v>
      </c>
      <c r="K7" s="10">
        <f>Par_TradeRoute!K7</f>
        <v>0</v>
      </c>
      <c r="L7" s="10">
        <f>Par_TradeRoute!L7</f>
        <v>1325.38</v>
      </c>
      <c r="M7" s="10">
        <f>Par_TradeRoute!M7</f>
        <v>0</v>
      </c>
      <c r="N7" s="10">
        <f>Par_TradeRoute!N7</f>
        <v>0</v>
      </c>
      <c r="O7" s="10">
        <f>Par_TradeRoute!O7</f>
        <v>1075.07</v>
      </c>
      <c r="P7" s="10">
        <f>Par_TradeRoute!P7</f>
        <v>1146.05</v>
      </c>
      <c r="Q7" s="10">
        <f>Par_TradeRoute!Q7</f>
        <v>924.14</v>
      </c>
      <c r="R7" s="10">
        <f>Par_TradeRoute!R7</f>
        <v>1040.22</v>
      </c>
      <c r="S7" s="10">
        <f>Par_TradeRoute!S7</f>
        <v>0</v>
      </c>
      <c r="T7" s="10">
        <f>Par_TradeRoute!T7</f>
        <v>140.4</v>
      </c>
      <c r="U7" s="10">
        <f>Par_TradeRoute!U7</f>
        <v>0</v>
      </c>
      <c r="V7" s="10">
        <f>Par_TradeRoute!V7</f>
        <v>0</v>
      </c>
      <c r="W7" s="10">
        <f>Par_TradeRoute!W7</f>
        <v>192.2</v>
      </c>
      <c r="X7" s="10">
        <f>Par_TradeRoute!X7</f>
        <v>1636.14</v>
      </c>
      <c r="Y7" s="10">
        <f>Par_TradeRoute!Y7</f>
        <v>1037.53</v>
      </c>
      <c r="Z7" s="10">
        <f>Par_TradeRoute!Z7</f>
        <v>0</v>
      </c>
      <c r="AA7" s="10">
        <f>Par_TradeRoute!AA7</f>
        <v>0</v>
      </c>
      <c r="AB7" s="10">
        <f>Par_TradeRoute!AB7</f>
        <v>1535.26</v>
      </c>
      <c r="AC7" s="10">
        <f>Par_TradeRoute!AC7</f>
        <v>903.98</v>
      </c>
      <c r="AD7" s="10">
        <f>Par_TradeRoute!AD7</f>
        <v>1089.56</v>
      </c>
      <c r="AE7" s="10">
        <f>Par_TradeRoute!AE7</f>
        <v>645.59</v>
      </c>
      <c r="AF7" s="10">
        <f>Par_TradeRoute!AF7</f>
        <v>0</v>
      </c>
    </row>
    <row r="8" spans="1:38">
      <c r="A8" s="10" t="s">
        <v>468</v>
      </c>
      <c r="B8" s="61" t="s">
        <v>281</v>
      </c>
      <c r="C8" s="10">
        <f>Par_TradeRoute!C8</f>
        <v>0</v>
      </c>
      <c r="D8" s="10">
        <f>Par_TradeRoute!D8</f>
        <v>1022.45</v>
      </c>
      <c r="E8" s="10">
        <f>Par_TradeRoute!E8</f>
        <v>0</v>
      </c>
      <c r="F8" s="10">
        <f>Par_TradeRoute!F8</f>
        <v>0</v>
      </c>
      <c r="G8" s="10">
        <f>Par_TradeRoute!G8</f>
        <v>1415.45</v>
      </c>
      <c r="H8" s="10">
        <f>Par_TradeRoute!H8</f>
        <v>1087.05</v>
      </c>
      <c r="I8" s="10">
        <f>Par_TradeRoute!I8</f>
        <v>1458.02</v>
      </c>
      <c r="J8" s="10">
        <f>Par_TradeRoute!J8</f>
        <v>0</v>
      </c>
      <c r="K8" s="10">
        <f>Par_TradeRoute!K8</f>
        <v>0</v>
      </c>
      <c r="L8" s="10">
        <f>Par_TradeRoute!L8</f>
        <v>0</v>
      </c>
      <c r="M8" s="10">
        <f>Par_TradeRoute!M8</f>
        <v>0</v>
      </c>
      <c r="N8" s="10">
        <f>Par_TradeRoute!N8</f>
        <v>453.95</v>
      </c>
      <c r="O8" s="10">
        <f>Par_TradeRoute!O8</f>
        <v>753.16</v>
      </c>
      <c r="P8" s="10">
        <f>Par_TradeRoute!P8</f>
        <v>671.18</v>
      </c>
      <c r="Q8" s="10">
        <f>Par_TradeRoute!Q8</f>
        <v>0</v>
      </c>
      <c r="R8" s="10">
        <f>Par_TradeRoute!R8</f>
        <v>1075.51</v>
      </c>
      <c r="S8" s="10">
        <f>Par_TradeRoute!S8</f>
        <v>0</v>
      </c>
      <c r="T8" s="10">
        <f>Par_TradeRoute!T8</f>
        <v>0</v>
      </c>
      <c r="U8" s="10">
        <f>Par_TradeRoute!U8</f>
        <v>0</v>
      </c>
      <c r="V8" s="10">
        <f>Par_TradeRoute!V8</f>
        <v>489.51</v>
      </c>
      <c r="W8" s="10">
        <f>Par_TradeRoute!W8</f>
        <v>0</v>
      </c>
      <c r="X8" s="10">
        <f>Par_TradeRoute!X8</f>
        <v>0</v>
      </c>
      <c r="Y8" s="10">
        <f>Par_TradeRoute!Y8</f>
        <v>1129.69</v>
      </c>
      <c r="Z8" s="10">
        <f>Par_TradeRoute!Z8</f>
        <v>0</v>
      </c>
      <c r="AA8" s="10">
        <f>Par_TradeRoute!AA8</f>
        <v>343.03</v>
      </c>
      <c r="AB8" s="10">
        <f>Par_TradeRoute!AB8</f>
        <v>0</v>
      </c>
      <c r="AC8" s="10">
        <f>Par_TradeRoute!AC8</f>
        <v>908.29</v>
      </c>
      <c r="AD8" s="10">
        <f>Par_TradeRoute!AD8</f>
        <v>797.9</v>
      </c>
      <c r="AE8" s="10">
        <f>Par_TradeRoute!AE8</f>
        <v>0</v>
      </c>
      <c r="AF8" s="10">
        <f>Par_TradeRoute!AF8</f>
        <v>428</v>
      </c>
    </row>
    <row r="9" spans="1:38">
      <c r="A9" s="10" t="s">
        <v>468</v>
      </c>
      <c r="B9" s="61" t="s">
        <v>282</v>
      </c>
      <c r="C9" s="10">
        <f>Par_TradeRoute!C9</f>
        <v>350</v>
      </c>
      <c r="D9" s="10">
        <f>Par_TradeRoute!D9</f>
        <v>456.36</v>
      </c>
      <c r="E9" s="10">
        <f>Par_TradeRoute!E9</f>
        <v>501.4</v>
      </c>
      <c r="F9" s="10">
        <f>Par_TradeRoute!F9</f>
        <v>1415.45</v>
      </c>
      <c r="G9" s="10">
        <f>Par_TradeRoute!G9</f>
        <v>0</v>
      </c>
      <c r="H9" s="10">
        <f>Par_TradeRoute!H9</f>
        <v>619.89</v>
      </c>
      <c r="I9" s="10">
        <f>Par_TradeRoute!I9</f>
        <v>504.62</v>
      </c>
      <c r="J9" s="10">
        <f>Par_TradeRoute!J9</f>
        <v>1027.05</v>
      </c>
      <c r="K9" s="10">
        <f>Par_TradeRoute!K9</f>
        <v>0</v>
      </c>
      <c r="L9" s="10">
        <f>Par_TradeRoute!L9</f>
        <v>1204.01</v>
      </c>
      <c r="M9" s="10">
        <f>Par_TradeRoute!M9</f>
        <v>0</v>
      </c>
      <c r="N9" s="10">
        <f>Par_TradeRoute!N9</f>
        <v>0</v>
      </c>
      <c r="O9" s="10">
        <f>Par_TradeRoute!O9</f>
        <v>662.94</v>
      </c>
      <c r="P9" s="10">
        <f>Par_TradeRoute!P9</f>
        <v>850.87</v>
      </c>
      <c r="Q9" s="10">
        <f>Par_TradeRoute!Q9</f>
        <v>0</v>
      </c>
      <c r="R9" s="10">
        <f>Par_TradeRoute!R9</f>
        <v>540.01</v>
      </c>
      <c r="S9" s="10">
        <f>Par_TradeRoute!S9</f>
        <v>0</v>
      </c>
      <c r="T9" s="10">
        <f>Par_TradeRoute!T9</f>
        <v>367.02</v>
      </c>
      <c r="U9" s="10">
        <f>Par_TradeRoute!U9</f>
        <v>0</v>
      </c>
      <c r="V9" s="10">
        <f>Par_TradeRoute!V9</f>
        <v>978.2</v>
      </c>
      <c r="W9" s="10">
        <f>Par_TradeRoute!W9</f>
        <v>637.54999999999995</v>
      </c>
      <c r="X9" s="10">
        <f>Par_TradeRoute!X9</f>
        <v>0</v>
      </c>
      <c r="Y9" s="10">
        <f>Par_TradeRoute!Y9</f>
        <v>1001.53</v>
      </c>
      <c r="Z9" s="10">
        <f>Par_TradeRoute!Z9</f>
        <v>0</v>
      </c>
      <c r="AA9" s="10">
        <f>Par_TradeRoute!AA9</f>
        <v>1292.28</v>
      </c>
      <c r="AB9" s="10">
        <f>Par_TradeRoute!AB9</f>
        <v>1857.41</v>
      </c>
      <c r="AC9" s="10">
        <f>Par_TradeRoute!AC9</f>
        <v>511.84</v>
      </c>
      <c r="AD9" s="10">
        <f>Par_TradeRoute!AD9</f>
        <v>869.38</v>
      </c>
      <c r="AE9" s="10">
        <f>Par_TradeRoute!AE9</f>
        <v>1134.76</v>
      </c>
      <c r="AF9" s="10">
        <f>Par_TradeRoute!AF9</f>
        <v>0</v>
      </c>
    </row>
    <row r="10" spans="1:38">
      <c r="A10" s="10" t="s">
        <v>468</v>
      </c>
      <c r="B10" s="61" t="s">
        <v>283</v>
      </c>
      <c r="C10" s="10">
        <f>Par_TradeRoute!C10</f>
        <v>1630.33</v>
      </c>
      <c r="D10" s="10">
        <f>Par_TradeRoute!D10</f>
        <v>254.84</v>
      </c>
      <c r="E10" s="10">
        <f>Par_TradeRoute!E10</f>
        <v>767.87</v>
      </c>
      <c r="F10" s="10">
        <f>Par_TradeRoute!F10</f>
        <v>1087.05</v>
      </c>
      <c r="G10" s="10">
        <f>Par_TradeRoute!G10</f>
        <v>619.89</v>
      </c>
      <c r="H10" s="10">
        <f>Par_TradeRoute!H10</f>
        <v>0</v>
      </c>
      <c r="I10" s="10">
        <f>Par_TradeRoute!I10</f>
        <v>382.63</v>
      </c>
      <c r="J10" s="10">
        <f>Par_TradeRoute!J10</f>
        <v>777.76</v>
      </c>
      <c r="K10" s="10">
        <f>Par_TradeRoute!K10</f>
        <v>1194.05</v>
      </c>
      <c r="L10" s="10">
        <f>Par_TradeRoute!L10</f>
        <v>0</v>
      </c>
      <c r="M10" s="10">
        <f>Par_TradeRoute!M10</f>
        <v>0</v>
      </c>
      <c r="N10" s="10">
        <f>Par_TradeRoute!N10</f>
        <v>1334.1</v>
      </c>
      <c r="O10" s="10">
        <f>Par_TradeRoute!O10</f>
        <v>528.63</v>
      </c>
      <c r="P10" s="10">
        <f>Par_TradeRoute!P10</f>
        <v>415.87</v>
      </c>
      <c r="Q10" s="10">
        <f>Par_TradeRoute!Q10</f>
        <v>0</v>
      </c>
      <c r="R10" s="10">
        <f>Par_TradeRoute!R10</f>
        <v>812.43</v>
      </c>
      <c r="S10" s="10">
        <f>Par_TradeRoute!S10</f>
        <v>850.9</v>
      </c>
      <c r="T10" s="10">
        <f>Par_TradeRoute!T10</f>
        <v>665.24</v>
      </c>
      <c r="U10" s="10">
        <f>Par_TradeRoute!U10</f>
        <v>1016.04</v>
      </c>
      <c r="V10" s="10">
        <f>Par_TradeRoute!V10</f>
        <v>829.38</v>
      </c>
      <c r="W10" s="10">
        <f>Par_TradeRoute!W10</f>
        <v>738.71</v>
      </c>
      <c r="X10" s="10">
        <f>Par_TradeRoute!X10</f>
        <v>1642</v>
      </c>
      <c r="Y10" s="10">
        <f>Par_TradeRoute!Y10</f>
        <v>390.18</v>
      </c>
      <c r="Z10" s="10">
        <f>Par_TradeRoute!Z10</f>
        <v>0</v>
      </c>
      <c r="AA10" s="10">
        <f>Par_TradeRoute!AA10</f>
        <v>842.37</v>
      </c>
      <c r="AB10" s="10">
        <f>Par_TradeRoute!AB10</f>
        <v>1454.22</v>
      </c>
      <c r="AC10" s="10">
        <f>Par_TradeRoute!AC10</f>
        <v>404.31</v>
      </c>
      <c r="AD10" s="10">
        <f>Par_TradeRoute!AD10</f>
        <v>323.69</v>
      </c>
      <c r="AE10" s="10">
        <f>Par_TradeRoute!AE10</f>
        <v>1341.38</v>
      </c>
      <c r="AF10" s="10">
        <f>Par_TradeRoute!AF10</f>
        <v>0</v>
      </c>
    </row>
    <row r="11" spans="1:38">
      <c r="A11" s="10" t="s">
        <v>468</v>
      </c>
      <c r="B11" s="61" t="s">
        <v>284</v>
      </c>
      <c r="C11" s="10">
        <f>Par_TradeRoute!C11</f>
        <v>500</v>
      </c>
      <c r="D11" s="10">
        <f>Par_TradeRoute!D11</f>
        <v>477.04</v>
      </c>
      <c r="E11" s="10">
        <f>Par_TradeRoute!E11</f>
        <v>406.5</v>
      </c>
      <c r="F11" s="10">
        <f>Par_TradeRoute!F11</f>
        <v>1458.02</v>
      </c>
      <c r="G11" s="10">
        <f>Par_TradeRoute!G11</f>
        <v>504.62</v>
      </c>
      <c r="H11" s="10">
        <f>Par_TradeRoute!H11</f>
        <v>382.63</v>
      </c>
      <c r="I11" s="10">
        <f>Par_TradeRoute!I11</f>
        <v>0</v>
      </c>
      <c r="J11" s="10">
        <f>Par_TradeRoute!J11</f>
        <v>540.49</v>
      </c>
      <c r="K11" s="10">
        <f>Par_TradeRoute!K11</f>
        <v>1281.04</v>
      </c>
      <c r="L11" s="10">
        <f>Par_TradeRoute!L11</f>
        <v>1624.96</v>
      </c>
      <c r="M11" s="10">
        <f>Par_TradeRoute!M11</f>
        <v>1750.79</v>
      </c>
      <c r="N11" s="10">
        <f>Par_TradeRoute!N11</f>
        <v>1662.66</v>
      </c>
      <c r="O11" s="10">
        <f>Par_TradeRoute!O11</f>
        <v>809.27</v>
      </c>
      <c r="P11" s="10">
        <f>Par_TradeRoute!P11</f>
        <v>790.13</v>
      </c>
      <c r="Q11" s="10">
        <f>Par_TradeRoute!Q11</f>
        <v>1286.0899999999999</v>
      </c>
      <c r="R11" s="10">
        <f>Par_TradeRoute!R11</f>
        <v>934.15</v>
      </c>
      <c r="S11" s="10">
        <f>Par_TradeRoute!S11</f>
        <v>1015.33</v>
      </c>
      <c r="T11" s="10">
        <f>Par_TradeRoute!T11</f>
        <v>339.26</v>
      </c>
      <c r="U11" s="10">
        <f>Par_TradeRoute!U11</f>
        <v>1144.5999999999999</v>
      </c>
      <c r="V11" s="10">
        <f>Par_TradeRoute!V11</f>
        <v>1143.0899999999999</v>
      </c>
      <c r="W11" s="10">
        <f>Par_TradeRoute!W11</f>
        <v>356.15</v>
      </c>
      <c r="X11" s="10">
        <f>Par_TradeRoute!X11</f>
        <v>1503.63</v>
      </c>
      <c r="Y11" s="10">
        <f>Par_TradeRoute!Y11</f>
        <v>633.87</v>
      </c>
      <c r="Z11" s="10">
        <f>Par_TradeRoute!Z11</f>
        <v>0</v>
      </c>
      <c r="AA11" s="10">
        <f>Par_TradeRoute!AA11</f>
        <v>1224.8499999999999</v>
      </c>
      <c r="AB11" s="10">
        <f>Par_TradeRoute!AB11</f>
        <v>1354.27</v>
      </c>
      <c r="AC11" s="10">
        <f>Par_TradeRoute!AC11</f>
        <v>643.65</v>
      </c>
      <c r="AD11" s="10">
        <f>Par_TradeRoute!AD11</f>
        <v>705.3</v>
      </c>
      <c r="AE11" s="10">
        <f>Par_TradeRoute!AE11</f>
        <v>959.53</v>
      </c>
      <c r="AF11" s="10">
        <f>Par_TradeRoute!AF11</f>
        <v>0</v>
      </c>
    </row>
    <row r="12" spans="1:38">
      <c r="A12" s="10" t="s">
        <v>468</v>
      </c>
      <c r="B12" s="61" t="s">
        <v>285</v>
      </c>
      <c r="C12" s="10">
        <f>Par_TradeRoute!C12</f>
        <v>1789.51</v>
      </c>
      <c r="D12" s="10">
        <f>Par_TradeRoute!D12</f>
        <v>973.03</v>
      </c>
      <c r="E12" s="10">
        <f>Par_TradeRoute!E12</f>
        <v>692.16</v>
      </c>
      <c r="F12" s="10">
        <f>Par_TradeRoute!F12</f>
        <v>0</v>
      </c>
      <c r="G12" s="10">
        <f>Par_TradeRoute!G12</f>
        <v>1027.05</v>
      </c>
      <c r="H12" s="10">
        <f>Par_TradeRoute!H12</f>
        <v>777.76</v>
      </c>
      <c r="I12" s="10">
        <f>Par_TradeRoute!I12</f>
        <v>540.49</v>
      </c>
      <c r="J12" s="10">
        <f>Par_TradeRoute!J12</f>
        <v>0</v>
      </c>
      <c r="K12" s="10">
        <f>Par_TradeRoute!K12</f>
        <v>978.44</v>
      </c>
      <c r="L12" s="10">
        <f>Par_TradeRoute!L12</f>
        <v>0</v>
      </c>
      <c r="M12" s="10">
        <f>Par_TradeRoute!M12</f>
        <v>1298.0899999999999</v>
      </c>
      <c r="N12" s="10">
        <f>Par_TradeRoute!N12</f>
        <v>0</v>
      </c>
      <c r="O12" s="10">
        <f>Par_TradeRoute!O12</f>
        <v>1294.23</v>
      </c>
      <c r="P12" s="10">
        <f>Par_TradeRoute!P12</f>
        <v>1171.94</v>
      </c>
      <c r="Q12" s="10">
        <f>Par_TradeRoute!Q12</f>
        <v>1213.43</v>
      </c>
      <c r="R12" s="10">
        <f>Par_TradeRoute!R12</f>
        <v>1472.56</v>
      </c>
      <c r="S12" s="10">
        <f>Par_TradeRoute!S12</f>
        <v>873.01</v>
      </c>
      <c r="T12" s="10">
        <f>Par_TradeRoute!T12</f>
        <v>737.81</v>
      </c>
      <c r="U12" s="10">
        <f>Par_TradeRoute!U12</f>
        <v>921.65</v>
      </c>
      <c r="V12" s="10">
        <f>Par_TradeRoute!V12</f>
        <v>0</v>
      </c>
      <c r="W12" s="10">
        <f>Par_TradeRoute!W12</f>
        <v>503.89</v>
      </c>
      <c r="X12" s="10">
        <f>Par_TradeRoute!X12</f>
        <v>700</v>
      </c>
      <c r="Y12" s="10">
        <f>Par_TradeRoute!Y12</f>
        <v>745.5</v>
      </c>
      <c r="Z12" s="10">
        <f>Par_TradeRoute!Z12</f>
        <v>0</v>
      </c>
      <c r="AA12" s="10">
        <f>Par_TradeRoute!AA12</f>
        <v>1533.41</v>
      </c>
      <c r="AB12" s="10">
        <f>Par_TradeRoute!AB12</f>
        <v>400</v>
      </c>
      <c r="AC12" s="10">
        <f>Par_TradeRoute!AC12</f>
        <v>1144.1199999999999</v>
      </c>
      <c r="AD12" s="10">
        <f>Par_TradeRoute!AD12</f>
        <v>1030.02</v>
      </c>
      <c r="AE12" s="10">
        <f>Par_TradeRoute!AE12</f>
        <v>850.09</v>
      </c>
      <c r="AF12" s="10">
        <f>Par_TradeRoute!AF12</f>
        <v>0</v>
      </c>
    </row>
    <row r="13" spans="1:38">
      <c r="A13" s="10" t="s">
        <v>468</v>
      </c>
      <c r="B13" s="61" t="s">
        <v>308</v>
      </c>
      <c r="C13" s="10">
        <f>Par_TradeRoute!C13</f>
        <v>0</v>
      </c>
      <c r="D13" s="10">
        <f>Par_TradeRoute!D13</f>
        <v>0</v>
      </c>
      <c r="E13" s="10">
        <f>Par_TradeRoute!E13</f>
        <v>0</v>
      </c>
      <c r="F13" s="10">
        <f>Par_TradeRoute!F13</f>
        <v>0</v>
      </c>
      <c r="G13" s="10">
        <f>Par_TradeRoute!G13</f>
        <v>0</v>
      </c>
      <c r="H13" s="10">
        <f>Par_TradeRoute!H13</f>
        <v>1194.05</v>
      </c>
      <c r="I13" s="10">
        <f>Par_TradeRoute!I13</f>
        <v>1281.04</v>
      </c>
      <c r="J13" s="10">
        <f>Par_TradeRoute!J13</f>
        <v>978.44</v>
      </c>
      <c r="K13" s="10">
        <f>Par_TradeRoute!K13</f>
        <v>0</v>
      </c>
      <c r="L13" s="10">
        <f>Par_TradeRoute!L13</f>
        <v>0</v>
      </c>
      <c r="M13" s="10">
        <f>Par_TradeRoute!M13</f>
        <v>647.91</v>
      </c>
      <c r="N13" s="10">
        <f>Par_TradeRoute!N13</f>
        <v>0</v>
      </c>
      <c r="O13" s="10">
        <f>Par_TradeRoute!O13</f>
        <v>0</v>
      </c>
      <c r="P13" s="10">
        <f>Par_TradeRoute!P13</f>
        <v>0</v>
      </c>
      <c r="Q13" s="10">
        <f>Par_TradeRoute!Q13</f>
        <v>0</v>
      </c>
      <c r="R13" s="10">
        <f>Par_TradeRoute!R13</f>
        <v>0</v>
      </c>
      <c r="S13" s="10">
        <f>Par_TradeRoute!S13</f>
        <v>384.47</v>
      </c>
      <c r="T13" s="10">
        <f>Par_TradeRoute!T13</f>
        <v>0</v>
      </c>
      <c r="U13" s="10">
        <f>Par_TradeRoute!U13</f>
        <v>205.65</v>
      </c>
      <c r="V13" s="10">
        <f>Par_TradeRoute!V13</f>
        <v>0</v>
      </c>
      <c r="W13" s="10">
        <f>Par_TradeRoute!W13</f>
        <v>0</v>
      </c>
      <c r="X13" s="10">
        <f>Par_TradeRoute!X13</f>
        <v>885</v>
      </c>
      <c r="Y13" s="10">
        <f>Par_TradeRoute!Y13</f>
        <v>825.43</v>
      </c>
      <c r="Z13" s="10">
        <f>Par_TradeRoute!Z13</f>
        <v>0</v>
      </c>
      <c r="AA13" s="10">
        <f>Par_TradeRoute!AA13</f>
        <v>0</v>
      </c>
      <c r="AB13" s="10">
        <f>Par_TradeRoute!AB13</f>
        <v>661.72</v>
      </c>
      <c r="AC13" s="10">
        <f>Par_TradeRoute!AC13</f>
        <v>0</v>
      </c>
      <c r="AD13" s="10">
        <f>Par_TradeRoute!AD13</f>
        <v>1177.79</v>
      </c>
      <c r="AE13" s="10">
        <f>Par_TradeRoute!AE13</f>
        <v>0</v>
      </c>
      <c r="AF13" s="10">
        <f>Par_TradeRoute!AF13</f>
        <v>0</v>
      </c>
    </row>
    <row r="14" spans="1:38">
      <c r="A14" s="10" t="s">
        <v>468</v>
      </c>
      <c r="B14" s="61" t="s">
        <v>286</v>
      </c>
      <c r="C14" s="10">
        <f>Par_TradeRoute!C14</f>
        <v>229.59</v>
      </c>
      <c r="D14" s="10">
        <f>Par_TradeRoute!D14</f>
        <v>1640.58</v>
      </c>
      <c r="E14" s="10">
        <f>Par_TradeRoute!E14</f>
        <v>1325.38</v>
      </c>
      <c r="F14" s="10">
        <f>Par_TradeRoute!F14</f>
        <v>0</v>
      </c>
      <c r="G14" s="10">
        <f>Par_TradeRoute!G14</f>
        <v>1204.01</v>
      </c>
      <c r="H14" s="10">
        <f>Par_TradeRoute!H14</f>
        <v>0</v>
      </c>
      <c r="I14" s="10">
        <f>Par_TradeRoute!I14</f>
        <v>1624.96</v>
      </c>
      <c r="J14" s="10">
        <f>Par_TradeRoute!J14</f>
        <v>0</v>
      </c>
      <c r="K14" s="10">
        <f>Par_TradeRoute!K14</f>
        <v>0</v>
      </c>
      <c r="L14" s="10">
        <f>Par_TradeRoute!L14</f>
        <v>0</v>
      </c>
      <c r="M14" s="10">
        <f>Par_TradeRoute!M14</f>
        <v>0</v>
      </c>
      <c r="N14" s="10">
        <f>Par_TradeRoute!N14</f>
        <v>0</v>
      </c>
      <c r="O14" s="10">
        <f>Par_TradeRoute!O14</f>
        <v>1723.59</v>
      </c>
      <c r="P14" s="10">
        <f>Par_TradeRoute!P14</f>
        <v>0</v>
      </c>
      <c r="Q14" s="10">
        <f>Par_TradeRoute!Q14</f>
        <v>1479.45</v>
      </c>
      <c r="R14" s="10">
        <f>Par_TradeRoute!R14</f>
        <v>1341.02</v>
      </c>
      <c r="S14" s="10">
        <f>Par_TradeRoute!S14</f>
        <v>0</v>
      </c>
      <c r="T14" s="10">
        <f>Par_TradeRoute!T14</f>
        <v>1307.3599999999999</v>
      </c>
      <c r="U14" s="10">
        <f>Par_TradeRoute!U14</f>
        <v>0</v>
      </c>
      <c r="V14" s="10">
        <f>Par_TradeRoute!V14</f>
        <v>0</v>
      </c>
      <c r="W14" s="10">
        <f>Par_TradeRoute!W14</f>
        <v>1513.18</v>
      </c>
      <c r="X14" s="10">
        <f>Par_TradeRoute!X14</f>
        <v>0</v>
      </c>
      <c r="Y14" s="10">
        <f>Par_TradeRoute!Y14</f>
        <v>0</v>
      </c>
      <c r="Z14" s="10">
        <f>Par_TradeRoute!Z14</f>
        <v>421.67</v>
      </c>
      <c r="AA14" s="10">
        <f>Par_TradeRoute!AA14</f>
        <v>0</v>
      </c>
      <c r="AB14" s="10">
        <f>Par_TradeRoute!AB14</f>
        <v>0</v>
      </c>
      <c r="AC14" s="10">
        <f>Par_TradeRoute!AC14</f>
        <v>1632.96</v>
      </c>
      <c r="AD14" s="10">
        <f>Par_TradeRoute!AD14</f>
        <v>0</v>
      </c>
      <c r="AE14" s="10">
        <f>Par_TradeRoute!AE14</f>
        <v>1549.51</v>
      </c>
      <c r="AF14" s="10">
        <f>Par_TradeRoute!AF14</f>
        <v>0</v>
      </c>
    </row>
    <row r="15" spans="1:38">
      <c r="A15" s="10" t="s">
        <v>468</v>
      </c>
      <c r="B15" s="61" t="s">
        <v>287</v>
      </c>
      <c r="C15" s="10">
        <f>Par_TradeRoute!C15</f>
        <v>0</v>
      </c>
      <c r="D15" s="10">
        <f>Par_TradeRoute!D15</f>
        <v>0</v>
      </c>
      <c r="E15" s="10">
        <f>Par_TradeRoute!E15</f>
        <v>0</v>
      </c>
      <c r="F15" s="10">
        <f>Par_TradeRoute!F15</f>
        <v>0</v>
      </c>
      <c r="G15" s="10">
        <f>Par_TradeRoute!G15</f>
        <v>0</v>
      </c>
      <c r="H15" s="10">
        <f>Par_TradeRoute!H15</f>
        <v>0</v>
      </c>
      <c r="I15" s="10">
        <f>Par_TradeRoute!I15</f>
        <v>1750.79</v>
      </c>
      <c r="J15" s="10">
        <f>Par_TradeRoute!J15</f>
        <v>1298.0899999999999</v>
      </c>
      <c r="K15" s="10">
        <f>Par_TradeRoute!K15</f>
        <v>647.91</v>
      </c>
      <c r="L15" s="10">
        <f>Par_TradeRoute!L15</f>
        <v>0</v>
      </c>
      <c r="M15" s="10">
        <f>Par_TradeRoute!M15</f>
        <v>0</v>
      </c>
      <c r="N15" s="10">
        <f>Par_TradeRoute!N15</f>
        <v>0</v>
      </c>
      <c r="O15" s="10">
        <f>Par_TradeRoute!O15</f>
        <v>0</v>
      </c>
      <c r="P15" s="10">
        <f>Par_TradeRoute!P15</f>
        <v>0</v>
      </c>
      <c r="Q15" s="10">
        <f>Par_TradeRoute!Q15</f>
        <v>0</v>
      </c>
      <c r="R15" s="10">
        <f>Par_TradeRoute!R15</f>
        <v>0</v>
      </c>
      <c r="S15" s="10">
        <f>Par_TradeRoute!S15</f>
        <v>1026.31</v>
      </c>
      <c r="T15" s="10">
        <f>Par_TradeRoute!T15</f>
        <v>0</v>
      </c>
      <c r="U15" s="10">
        <f>Par_TradeRoute!U15</f>
        <v>852.16</v>
      </c>
      <c r="V15" s="10">
        <f>Par_TradeRoute!V15</f>
        <v>0</v>
      </c>
      <c r="W15" s="10">
        <f>Par_TradeRoute!W15</f>
        <v>0</v>
      </c>
      <c r="X15" s="10">
        <f>Par_TradeRoute!X15</f>
        <v>1000</v>
      </c>
      <c r="Y15" s="10">
        <f>Par_TradeRoute!Y15</f>
        <v>1430.78</v>
      </c>
      <c r="Z15" s="10">
        <f>Par_TradeRoute!Z15</f>
        <v>0</v>
      </c>
      <c r="AA15" s="10">
        <f>Par_TradeRoute!AA15</f>
        <v>0</v>
      </c>
      <c r="AB15" s="10">
        <f>Par_TradeRoute!AB15</f>
        <v>505.83</v>
      </c>
      <c r="AC15" s="10">
        <f>Par_TradeRoute!AC15</f>
        <v>0</v>
      </c>
      <c r="AD15" s="10">
        <f>Par_TradeRoute!AD15</f>
        <v>0</v>
      </c>
      <c r="AE15" s="10">
        <f>Par_TradeRoute!AE15</f>
        <v>0</v>
      </c>
      <c r="AF15" s="10">
        <f>Par_TradeRoute!AF15</f>
        <v>0</v>
      </c>
    </row>
    <row r="16" spans="1:38">
      <c r="A16" s="10" t="s">
        <v>468</v>
      </c>
      <c r="B16" s="61" t="s">
        <v>288</v>
      </c>
      <c r="C16" s="10">
        <f>Par_TradeRoute!C16</f>
        <v>0</v>
      </c>
      <c r="D16" s="10">
        <f>Par_TradeRoute!D16</f>
        <v>1462.5</v>
      </c>
      <c r="E16" s="10">
        <f>Par_TradeRoute!E16</f>
        <v>300</v>
      </c>
      <c r="F16" s="10">
        <f>Par_TradeRoute!F16</f>
        <v>0</v>
      </c>
      <c r="G16" s="10">
        <f>Par_TradeRoute!G16</f>
        <v>350</v>
      </c>
      <c r="H16" s="10">
        <f>Par_TradeRoute!H16</f>
        <v>1630.33</v>
      </c>
      <c r="I16" s="10">
        <f>Par_TradeRoute!I16</f>
        <v>500</v>
      </c>
      <c r="J16" s="10">
        <f>Par_TradeRoute!J16</f>
        <v>1789.51</v>
      </c>
      <c r="K16" s="10">
        <f>Par_TradeRoute!K16</f>
        <v>0</v>
      </c>
      <c r="L16" s="10">
        <f>Par_TradeRoute!L16</f>
        <v>229.59</v>
      </c>
      <c r="M16" s="10">
        <f>Par_TradeRoute!M16</f>
        <v>0</v>
      </c>
      <c r="N16" s="10">
        <f>Par_TradeRoute!N16</f>
        <v>2201.09</v>
      </c>
      <c r="O16" s="10">
        <f>Par_TradeRoute!O16</f>
        <v>1577.99</v>
      </c>
      <c r="P16" s="10">
        <f>Par_TradeRoute!P16</f>
        <v>1838.39</v>
      </c>
      <c r="Q16" s="10">
        <f>Par_TradeRoute!Q16</f>
        <v>1284.49</v>
      </c>
      <c r="R16" s="10">
        <f>Par_TradeRoute!R16</f>
        <v>1000</v>
      </c>
      <c r="S16" s="10">
        <f>Par_TradeRoute!S16</f>
        <v>0</v>
      </c>
      <c r="T16" s="10">
        <f>Par_TradeRoute!T16</f>
        <v>1087.05</v>
      </c>
      <c r="U16" s="10">
        <f>Par_TradeRoute!U16</f>
        <v>0</v>
      </c>
      <c r="V16" s="10">
        <f>Par_TradeRoute!V16</f>
        <v>1809.09</v>
      </c>
      <c r="W16" s="10">
        <f>Par_TradeRoute!W16</f>
        <v>1285.6600000000001</v>
      </c>
      <c r="X16" s="10">
        <f>Par_TradeRoute!X16</f>
        <v>2702.36</v>
      </c>
      <c r="Y16" s="10">
        <f>Par_TradeRoute!Y16</f>
        <v>2000.6</v>
      </c>
      <c r="Z16" s="10">
        <f>Par_TradeRoute!Z16</f>
        <v>560.61</v>
      </c>
      <c r="AA16" s="10">
        <f>Par_TradeRoute!AA16</f>
        <v>2252.62</v>
      </c>
      <c r="AB16" s="10">
        <f>Par_TradeRoute!AB16</f>
        <v>2623.55</v>
      </c>
      <c r="AC16" s="10">
        <f>Par_TradeRoute!AC16</f>
        <v>1472.14</v>
      </c>
      <c r="AD16" s="10">
        <f>Par_TradeRoute!AD16</f>
        <v>1879.08</v>
      </c>
      <c r="AE16" s="10">
        <f>Par_TradeRoute!AE16</f>
        <v>600</v>
      </c>
      <c r="AF16" s="10">
        <f>Par_TradeRoute!AF16</f>
        <v>0</v>
      </c>
    </row>
    <row r="17" spans="1:32">
      <c r="A17" s="10" t="s">
        <v>468</v>
      </c>
      <c r="B17" s="61" t="s">
        <v>289</v>
      </c>
      <c r="C17" s="10">
        <f>Par_TradeRoute!C17</f>
        <v>2201.09</v>
      </c>
      <c r="D17" s="10">
        <f>Par_TradeRoute!D17</f>
        <v>1188.01</v>
      </c>
      <c r="E17" s="10">
        <f>Par_TradeRoute!E17</f>
        <v>0</v>
      </c>
      <c r="F17" s="10">
        <f>Par_TradeRoute!F17</f>
        <v>453.95</v>
      </c>
      <c r="G17" s="10">
        <f>Par_TradeRoute!G17</f>
        <v>0</v>
      </c>
      <c r="H17" s="10">
        <f>Par_TradeRoute!H17</f>
        <v>1334.1</v>
      </c>
      <c r="I17" s="10">
        <f>Par_TradeRoute!I17</f>
        <v>1662.66</v>
      </c>
      <c r="J17" s="10">
        <f>Par_TradeRoute!J17</f>
        <v>0</v>
      </c>
      <c r="K17" s="10">
        <f>Par_TradeRoute!K17</f>
        <v>0</v>
      </c>
      <c r="L17" s="10">
        <f>Par_TradeRoute!L17</f>
        <v>0</v>
      </c>
      <c r="M17" s="10">
        <f>Par_TradeRoute!M17</f>
        <v>0</v>
      </c>
      <c r="N17" s="10">
        <f>Par_TradeRoute!N17</f>
        <v>0</v>
      </c>
      <c r="O17" s="10">
        <f>Par_TradeRoute!O17</f>
        <v>859.98</v>
      </c>
      <c r="P17" s="10">
        <f>Par_TradeRoute!P17</f>
        <v>947.65</v>
      </c>
      <c r="Q17" s="10">
        <f>Par_TradeRoute!Q17</f>
        <v>0</v>
      </c>
      <c r="R17" s="10">
        <f>Par_TradeRoute!R17</f>
        <v>1007.1</v>
      </c>
      <c r="S17" s="10">
        <f>Par_TradeRoute!S17</f>
        <v>0</v>
      </c>
      <c r="T17" s="10">
        <f>Par_TradeRoute!T17</f>
        <v>0</v>
      </c>
      <c r="U17" s="10">
        <f>Par_TradeRoute!U17</f>
        <v>0</v>
      </c>
      <c r="V17" s="10">
        <f>Par_TradeRoute!V17</f>
        <v>521.16</v>
      </c>
      <c r="W17" s="10">
        <f>Par_TradeRoute!W17</f>
        <v>0</v>
      </c>
      <c r="X17" s="10">
        <f>Par_TradeRoute!X17</f>
        <v>0</v>
      </c>
      <c r="Y17" s="10">
        <f>Par_TradeRoute!Y17</f>
        <v>1480.09</v>
      </c>
      <c r="Z17" s="10">
        <f>Par_TradeRoute!Z17</f>
        <v>0</v>
      </c>
      <c r="AA17" s="10">
        <f>Par_TradeRoute!AA17</f>
        <v>772.6</v>
      </c>
      <c r="AB17" s="10">
        <f>Par_TradeRoute!AB17</f>
        <v>0</v>
      </c>
      <c r="AC17" s="10">
        <f>Par_TradeRoute!AC17</f>
        <v>1031.6199999999999</v>
      </c>
      <c r="AD17" s="10">
        <f>Par_TradeRoute!AD17</f>
        <v>1109.6099999999999</v>
      </c>
      <c r="AE17" s="10">
        <f>Par_TradeRoute!AE17</f>
        <v>0</v>
      </c>
      <c r="AF17" s="10">
        <f>Par_TradeRoute!AF17</f>
        <v>868</v>
      </c>
    </row>
    <row r="18" spans="1:32">
      <c r="A18" s="10" t="s">
        <v>468</v>
      </c>
      <c r="B18" s="61" t="s">
        <v>290</v>
      </c>
      <c r="C18" s="10">
        <f>Par_TradeRoute!C18</f>
        <v>1577.99</v>
      </c>
      <c r="D18" s="10">
        <f>Par_TradeRoute!D18</f>
        <v>332.27</v>
      </c>
      <c r="E18" s="10">
        <f>Par_TradeRoute!E18</f>
        <v>1075.07</v>
      </c>
      <c r="F18" s="10">
        <f>Par_TradeRoute!F18</f>
        <v>753.16</v>
      </c>
      <c r="G18" s="10">
        <f>Par_TradeRoute!G18</f>
        <v>662.94</v>
      </c>
      <c r="H18" s="10">
        <f>Par_TradeRoute!H18</f>
        <v>528.63</v>
      </c>
      <c r="I18" s="10">
        <f>Par_TradeRoute!I18</f>
        <v>809.27</v>
      </c>
      <c r="J18" s="10">
        <f>Par_TradeRoute!J18</f>
        <v>1294.23</v>
      </c>
      <c r="K18" s="10">
        <f>Par_TradeRoute!K18</f>
        <v>0</v>
      </c>
      <c r="L18" s="10">
        <f>Par_TradeRoute!L18</f>
        <v>1723.59</v>
      </c>
      <c r="M18" s="10">
        <f>Par_TradeRoute!M18</f>
        <v>0</v>
      </c>
      <c r="N18" s="10">
        <f>Par_TradeRoute!N18</f>
        <v>859.98</v>
      </c>
      <c r="O18" s="10">
        <f>Par_TradeRoute!O18</f>
        <v>0</v>
      </c>
      <c r="P18" s="10">
        <f>Par_TradeRoute!P18</f>
        <v>331.49</v>
      </c>
      <c r="Q18" s="10">
        <f>Par_TradeRoute!Q18</f>
        <v>0</v>
      </c>
      <c r="R18" s="10">
        <f>Par_TradeRoute!R18</f>
        <v>427.99</v>
      </c>
      <c r="S18" s="10">
        <f>Par_TradeRoute!S18</f>
        <v>1262.6500000000001</v>
      </c>
      <c r="T18" s="10">
        <f>Par_TradeRoute!T18</f>
        <v>938.11</v>
      </c>
      <c r="U18" s="10">
        <f>Par_TradeRoute!U18</f>
        <v>0</v>
      </c>
      <c r="V18" s="10">
        <f>Par_TradeRoute!V18</f>
        <v>339.14</v>
      </c>
      <c r="W18" s="10">
        <f>Par_TradeRoute!W18</f>
        <v>1129.3900000000001</v>
      </c>
      <c r="X18" s="10">
        <f>Par_TradeRoute!X18</f>
        <v>0</v>
      </c>
      <c r="Y18" s="10">
        <f>Par_TradeRoute!Y18</f>
        <v>818.17</v>
      </c>
      <c r="Z18" s="10">
        <f>Par_TradeRoute!Z18</f>
        <v>0</v>
      </c>
      <c r="AA18" s="10">
        <f>Par_TradeRoute!AA18</f>
        <v>677.09</v>
      </c>
      <c r="AB18" s="10">
        <f>Par_TradeRoute!AB18</f>
        <v>1974.19</v>
      </c>
      <c r="AC18" s="10">
        <f>Par_TradeRoute!AC18</f>
        <v>171.93</v>
      </c>
      <c r="AD18" s="10">
        <f>Par_TradeRoute!AD18</f>
        <v>470.6</v>
      </c>
      <c r="AE18" s="10">
        <f>Par_TradeRoute!AE18</f>
        <v>0</v>
      </c>
      <c r="AF18" s="10">
        <f>Par_TradeRoute!AF18</f>
        <v>0</v>
      </c>
    </row>
    <row r="19" spans="1:32">
      <c r="A19" s="10" t="s">
        <v>468</v>
      </c>
      <c r="B19" s="61" t="s">
        <v>291</v>
      </c>
      <c r="C19" s="10">
        <f>Par_TradeRoute!C19</f>
        <v>1838.39</v>
      </c>
      <c r="D19" s="10">
        <f>Par_TradeRoute!D19</f>
        <v>400.59</v>
      </c>
      <c r="E19" s="10">
        <f>Par_TradeRoute!E19</f>
        <v>1146.05</v>
      </c>
      <c r="F19" s="10">
        <f>Par_TradeRoute!F19</f>
        <v>671.18</v>
      </c>
      <c r="G19" s="10">
        <f>Par_TradeRoute!G19</f>
        <v>850.87</v>
      </c>
      <c r="H19" s="10">
        <f>Par_TradeRoute!H19</f>
        <v>415.87</v>
      </c>
      <c r="I19" s="10">
        <f>Par_TradeRoute!I19</f>
        <v>790.13</v>
      </c>
      <c r="J19" s="10">
        <f>Par_TradeRoute!J19</f>
        <v>1171.94</v>
      </c>
      <c r="K19" s="10">
        <f>Par_TradeRoute!K19</f>
        <v>0</v>
      </c>
      <c r="L19" s="10">
        <f>Par_TradeRoute!L19</f>
        <v>0</v>
      </c>
      <c r="M19" s="10">
        <f>Par_TradeRoute!M19</f>
        <v>0</v>
      </c>
      <c r="N19" s="10">
        <f>Par_TradeRoute!N19</f>
        <v>947.65</v>
      </c>
      <c r="O19" s="10">
        <f>Par_TradeRoute!O19</f>
        <v>331.49</v>
      </c>
      <c r="P19" s="10">
        <f>Par_TradeRoute!P19</f>
        <v>0</v>
      </c>
      <c r="Q19" s="10">
        <f>Par_TradeRoute!Q19</f>
        <v>0</v>
      </c>
      <c r="R19" s="10">
        <f>Par_TradeRoute!R19</f>
        <v>755.26</v>
      </c>
      <c r="S19" s="10">
        <f>Par_TradeRoute!S19</f>
        <v>961.23</v>
      </c>
      <c r="T19" s="10">
        <f>Par_TradeRoute!T19</f>
        <v>1025.1099999999999</v>
      </c>
      <c r="U19" s="10">
        <f>Par_TradeRoute!U19</f>
        <v>1141.83</v>
      </c>
      <c r="V19" s="10">
        <f>Par_TradeRoute!V19</f>
        <v>486.51</v>
      </c>
      <c r="W19" s="10">
        <f>Par_TradeRoute!W19</f>
        <v>1144.4000000000001</v>
      </c>
      <c r="X19" s="10">
        <f>Par_TradeRoute!X19</f>
        <v>0</v>
      </c>
      <c r="Y19" s="10">
        <f>Par_TradeRoute!Y19</f>
        <v>551.72</v>
      </c>
      <c r="Z19" s="10">
        <f>Par_TradeRoute!Z19</f>
        <v>0</v>
      </c>
      <c r="AA19" s="10">
        <f>Par_TradeRoute!AA19</f>
        <v>452.36</v>
      </c>
      <c r="AB19" s="10">
        <f>Par_TradeRoute!AB19</f>
        <v>1745.85</v>
      </c>
      <c r="AC19" s="10">
        <f>Par_TradeRoute!AC19</f>
        <v>369.97</v>
      </c>
      <c r="AD19" s="10">
        <f>Par_TradeRoute!AD19</f>
        <v>171.65</v>
      </c>
      <c r="AE19" s="10">
        <f>Par_TradeRoute!AE19</f>
        <v>0</v>
      </c>
      <c r="AF19" s="10">
        <f>Par_TradeRoute!AF19</f>
        <v>0</v>
      </c>
    </row>
    <row r="20" spans="1:32">
      <c r="A20" s="10" t="s">
        <v>468</v>
      </c>
      <c r="B20" s="61" t="s">
        <v>292</v>
      </c>
      <c r="C20" s="10">
        <f>Par_TradeRoute!C20</f>
        <v>1284.49</v>
      </c>
      <c r="D20" s="10">
        <f>Par_TradeRoute!D20</f>
        <v>0</v>
      </c>
      <c r="E20" s="10">
        <f>Par_TradeRoute!E20</f>
        <v>924.14</v>
      </c>
      <c r="F20" s="10">
        <f>Par_TradeRoute!F20</f>
        <v>0</v>
      </c>
      <c r="G20" s="10">
        <f>Par_TradeRoute!G20</f>
        <v>0</v>
      </c>
      <c r="H20" s="10">
        <f>Par_TradeRoute!H20</f>
        <v>0</v>
      </c>
      <c r="I20" s="10">
        <f>Par_TradeRoute!I20</f>
        <v>1286.0899999999999</v>
      </c>
      <c r="J20" s="10">
        <f>Par_TradeRoute!J20</f>
        <v>1213.43</v>
      </c>
      <c r="K20" s="10">
        <f>Par_TradeRoute!K20</f>
        <v>0</v>
      </c>
      <c r="L20" s="10">
        <f>Par_TradeRoute!L20</f>
        <v>1479.45</v>
      </c>
      <c r="M20" s="10">
        <f>Par_TradeRoute!M20</f>
        <v>0</v>
      </c>
      <c r="N20" s="10">
        <f>Par_TradeRoute!N20</f>
        <v>0</v>
      </c>
      <c r="O20" s="10">
        <f>Par_TradeRoute!O20</f>
        <v>0</v>
      </c>
      <c r="P20" s="10">
        <f>Par_TradeRoute!P20</f>
        <v>0</v>
      </c>
      <c r="Q20" s="10">
        <f>Par_TradeRoute!Q20</f>
        <v>0</v>
      </c>
      <c r="R20" s="10">
        <f>Par_TradeRoute!R20</f>
        <v>0</v>
      </c>
      <c r="S20" s="10">
        <f>Par_TradeRoute!S20</f>
        <v>0</v>
      </c>
      <c r="T20" s="10">
        <f>Par_TradeRoute!T20</f>
        <v>1057.17</v>
      </c>
      <c r="U20" s="10">
        <f>Par_TradeRoute!U20</f>
        <v>0</v>
      </c>
      <c r="V20" s="10">
        <f>Par_TradeRoute!V20</f>
        <v>0</v>
      </c>
      <c r="W20" s="10">
        <f>Par_TradeRoute!W20</f>
        <v>932.26</v>
      </c>
      <c r="X20" s="10">
        <f>Par_TradeRoute!X20</f>
        <v>1780.16</v>
      </c>
      <c r="Y20" s="10">
        <f>Par_TradeRoute!Y20</f>
        <v>0</v>
      </c>
      <c r="Z20" s="10">
        <f>Par_TradeRoute!Z20</f>
        <v>0</v>
      </c>
      <c r="AA20" s="10">
        <f>Par_TradeRoute!AA20</f>
        <v>0</v>
      </c>
      <c r="AB20" s="10">
        <f>Par_TradeRoute!AB20</f>
        <v>0</v>
      </c>
      <c r="AC20" s="10">
        <f>Par_TradeRoute!AC20</f>
        <v>0</v>
      </c>
      <c r="AD20" s="10">
        <f>Par_TradeRoute!AD20</f>
        <v>0</v>
      </c>
      <c r="AE20" s="10">
        <f>Par_TradeRoute!AE20</f>
        <v>363.85</v>
      </c>
      <c r="AF20" s="10">
        <f>Par_TradeRoute!AF20</f>
        <v>0</v>
      </c>
    </row>
    <row r="21" spans="1:32">
      <c r="A21" s="10" t="s">
        <v>468</v>
      </c>
      <c r="B21" s="61" t="s">
        <v>293</v>
      </c>
      <c r="C21" s="10">
        <f>Par_TradeRoute!C21</f>
        <v>1000</v>
      </c>
      <c r="D21" s="10">
        <f>Par_TradeRoute!D21</f>
        <v>557.69000000000005</v>
      </c>
      <c r="E21" s="10">
        <f>Par_TradeRoute!E21</f>
        <v>1040.22</v>
      </c>
      <c r="F21" s="10">
        <f>Par_TradeRoute!F21</f>
        <v>1075.51</v>
      </c>
      <c r="G21" s="10">
        <f>Par_TradeRoute!G21</f>
        <v>540.01</v>
      </c>
      <c r="H21" s="10">
        <f>Par_TradeRoute!H21</f>
        <v>812.43</v>
      </c>
      <c r="I21" s="10">
        <f>Par_TradeRoute!I21</f>
        <v>934.15</v>
      </c>
      <c r="J21" s="10">
        <f>Par_TradeRoute!J21</f>
        <v>1472.56</v>
      </c>
      <c r="K21" s="10">
        <f>Par_TradeRoute!K21</f>
        <v>0</v>
      </c>
      <c r="L21" s="10">
        <f>Par_TradeRoute!L21</f>
        <v>1341.02</v>
      </c>
      <c r="M21" s="10">
        <f>Par_TradeRoute!M21</f>
        <v>0</v>
      </c>
      <c r="N21" s="10">
        <f>Par_TradeRoute!N21</f>
        <v>1007.1</v>
      </c>
      <c r="O21" s="10">
        <f>Par_TradeRoute!O21</f>
        <v>427.99</v>
      </c>
      <c r="P21" s="10">
        <f>Par_TradeRoute!P21</f>
        <v>755.26</v>
      </c>
      <c r="Q21" s="10">
        <f>Par_TradeRoute!Q21</f>
        <v>0</v>
      </c>
      <c r="R21" s="10">
        <f>Par_TradeRoute!R21</f>
        <v>0</v>
      </c>
      <c r="S21" s="10">
        <f>Par_TradeRoute!S21</f>
        <v>0</v>
      </c>
      <c r="T21" s="10">
        <f>Par_TradeRoute!T21</f>
        <v>903.08</v>
      </c>
      <c r="U21" s="10">
        <f>Par_TradeRoute!U21</f>
        <v>0</v>
      </c>
      <c r="V21" s="10">
        <f>Par_TradeRoute!V21</f>
        <v>586.66</v>
      </c>
      <c r="W21" s="10">
        <f>Par_TradeRoute!W21</f>
        <v>1161.05</v>
      </c>
      <c r="X21" s="10">
        <f>Par_TradeRoute!X21</f>
        <v>0</v>
      </c>
      <c r="Y21" s="10">
        <f>Par_TradeRoute!Y21</f>
        <v>1174.6600000000001</v>
      </c>
      <c r="Z21" s="10">
        <f>Par_TradeRoute!Z21</f>
        <v>0</v>
      </c>
      <c r="AA21" s="10">
        <f>Par_TradeRoute!AA21</f>
        <v>1082.6300000000001</v>
      </c>
      <c r="AB21" s="10">
        <f>Par_TradeRoute!AB21</f>
        <v>2245.4899999999998</v>
      </c>
      <c r="AC21" s="10">
        <f>Par_TradeRoute!AC21</f>
        <v>429.95</v>
      </c>
      <c r="AD21" s="10">
        <f>Par_TradeRoute!AD21</f>
        <v>874.11</v>
      </c>
      <c r="AE21" s="10">
        <f>Par_TradeRoute!AE21</f>
        <v>1673.84</v>
      </c>
      <c r="AF21" s="10">
        <f>Par_TradeRoute!AF21</f>
        <v>0</v>
      </c>
    </row>
    <row r="22" spans="1:32">
      <c r="A22" s="10" t="s">
        <v>468</v>
      </c>
      <c r="B22" s="61" t="s">
        <v>309</v>
      </c>
      <c r="C22" s="10">
        <f>Par_TradeRoute!C22</f>
        <v>0</v>
      </c>
      <c r="D22" s="10">
        <f>Par_TradeRoute!D22</f>
        <v>1094.8399999999999</v>
      </c>
      <c r="E22" s="10">
        <f>Par_TradeRoute!E22</f>
        <v>0</v>
      </c>
      <c r="F22" s="10">
        <f>Par_TradeRoute!F22</f>
        <v>0</v>
      </c>
      <c r="G22" s="10">
        <f>Par_TradeRoute!G22</f>
        <v>0</v>
      </c>
      <c r="H22" s="10">
        <f>Par_TradeRoute!H22</f>
        <v>850.9</v>
      </c>
      <c r="I22" s="10">
        <f>Par_TradeRoute!I22</f>
        <v>1015.33</v>
      </c>
      <c r="J22" s="10">
        <f>Par_TradeRoute!J22</f>
        <v>873.01</v>
      </c>
      <c r="K22" s="10">
        <f>Par_TradeRoute!K22</f>
        <v>384.47</v>
      </c>
      <c r="L22" s="10">
        <f>Par_TradeRoute!L22</f>
        <v>0</v>
      </c>
      <c r="M22" s="10">
        <f>Par_TradeRoute!M22</f>
        <v>1026.31</v>
      </c>
      <c r="N22" s="10">
        <f>Par_TradeRoute!N22</f>
        <v>0</v>
      </c>
      <c r="O22" s="10">
        <f>Par_TradeRoute!O22</f>
        <v>1262.6500000000001</v>
      </c>
      <c r="P22" s="10">
        <f>Par_TradeRoute!P22</f>
        <v>961.23</v>
      </c>
      <c r="Q22" s="10">
        <f>Par_TradeRoute!Q22</f>
        <v>0</v>
      </c>
      <c r="R22" s="10">
        <f>Par_TradeRoute!R22</f>
        <v>0</v>
      </c>
      <c r="S22" s="10">
        <f>Par_TradeRoute!S22</f>
        <v>0</v>
      </c>
      <c r="T22" s="10">
        <f>Par_TradeRoute!T22</f>
        <v>0</v>
      </c>
      <c r="U22" s="10">
        <f>Par_TradeRoute!U22</f>
        <v>180.61</v>
      </c>
      <c r="V22" s="10">
        <f>Par_TradeRoute!V22</f>
        <v>0</v>
      </c>
      <c r="W22" s="10">
        <f>Par_TradeRoute!W22</f>
        <v>1249.7</v>
      </c>
      <c r="X22" s="10">
        <f>Par_TradeRoute!X22</f>
        <v>1153.01</v>
      </c>
      <c r="Y22" s="10">
        <f>Par_TradeRoute!Y22</f>
        <v>464.52</v>
      </c>
      <c r="Z22" s="10">
        <f>Par_TradeRoute!Z22</f>
        <v>0</v>
      </c>
      <c r="AA22" s="10">
        <f>Par_TradeRoute!AA22</f>
        <v>1059.29</v>
      </c>
      <c r="AB22" s="10">
        <f>Par_TradeRoute!AB22</f>
        <v>923.23</v>
      </c>
      <c r="AC22" s="10">
        <f>Par_TradeRoute!AC22</f>
        <v>1207.05</v>
      </c>
      <c r="AD22" s="10">
        <f>Par_TradeRoute!AD22</f>
        <v>797.05</v>
      </c>
      <c r="AE22" s="10">
        <f>Par_TradeRoute!AE22</f>
        <v>0</v>
      </c>
      <c r="AF22" s="10">
        <f>Par_TradeRoute!AF22</f>
        <v>0</v>
      </c>
    </row>
    <row r="23" spans="1:32">
      <c r="A23" s="10" t="s">
        <v>468</v>
      </c>
      <c r="B23" s="61" t="s">
        <v>294</v>
      </c>
      <c r="C23" s="10">
        <f>Par_TradeRoute!C23</f>
        <v>1087.05</v>
      </c>
      <c r="D23" s="10">
        <f>Par_TradeRoute!D23</f>
        <v>640.32000000000005</v>
      </c>
      <c r="E23" s="10">
        <f>Par_TradeRoute!E23</f>
        <v>140.4</v>
      </c>
      <c r="F23" s="10">
        <f>Par_TradeRoute!F23</f>
        <v>0</v>
      </c>
      <c r="G23" s="10">
        <f>Par_TradeRoute!G23</f>
        <v>367.02</v>
      </c>
      <c r="H23" s="10">
        <f>Par_TradeRoute!H23</f>
        <v>665.24</v>
      </c>
      <c r="I23" s="10">
        <f>Par_TradeRoute!I23</f>
        <v>339.26</v>
      </c>
      <c r="J23" s="10">
        <f>Par_TradeRoute!J23</f>
        <v>737.81</v>
      </c>
      <c r="K23" s="10">
        <f>Par_TradeRoute!K23</f>
        <v>0</v>
      </c>
      <c r="L23" s="10">
        <f>Par_TradeRoute!L23</f>
        <v>1307.3599999999999</v>
      </c>
      <c r="M23" s="10">
        <f>Par_TradeRoute!M23</f>
        <v>0</v>
      </c>
      <c r="N23" s="10">
        <f>Par_TradeRoute!N23</f>
        <v>0</v>
      </c>
      <c r="O23" s="10">
        <f>Par_TradeRoute!O23</f>
        <v>938.11</v>
      </c>
      <c r="P23" s="10">
        <f>Par_TradeRoute!P23</f>
        <v>1025.1099999999999</v>
      </c>
      <c r="Q23" s="10">
        <f>Par_TradeRoute!Q23</f>
        <v>1057.17</v>
      </c>
      <c r="R23" s="10">
        <f>Par_TradeRoute!R23</f>
        <v>903.08</v>
      </c>
      <c r="S23" s="10">
        <f>Par_TradeRoute!S23</f>
        <v>0</v>
      </c>
      <c r="T23" s="10">
        <f>Par_TradeRoute!T23</f>
        <v>0</v>
      </c>
      <c r="U23" s="10">
        <f>Par_TradeRoute!U23</f>
        <v>0</v>
      </c>
      <c r="V23" s="10">
        <f>Par_TradeRoute!V23</f>
        <v>0</v>
      </c>
      <c r="W23" s="10">
        <f>Par_TradeRoute!W23</f>
        <v>279.54000000000002</v>
      </c>
      <c r="X23" s="10">
        <f>Par_TradeRoute!X23</f>
        <v>1703.34</v>
      </c>
      <c r="Y23" s="10">
        <f>Par_TradeRoute!Y23</f>
        <v>969.45</v>
      </c>
      <c r="Z23" s="10">
        <f>Par_TradeRoute!Z23</f>
        <v>0</v>
      </c>
      <c r="AA23" s="10">
        <f>Par_TradeRoute!AA23</f>
        <v>0</v>
      </c>
      <c r="AB23" s="10">
        <f>Par_TradeRoute!AB23</f>
        <v>1586.29</v>
      </c>
      <c r="AC23" s="10">
        <f>Par_TradeRoute!AC23</f>
        <v>767.73</v>
      </c>
      <c r="AD23" s="10">
        <f>Par_TradeRoute!AD23</f>
        <v>981.17</v>
      </c>
      <c r="AE23" s="10">
        <f>Par_TradeRoute!AE23</f>
        <v>785.89</v>
      </c>
      <c r="AF23" s="10">
        <f>Par_TradeRoute!AF23</f>
        <v>0</v>
      </c>
    </row>
    <row r="24" spans="1:32">
      <c r="A24" s="10" t="s">
        <v>468</v>
      </c>
      <c r="B24" s="61" t="s">
        <v>310</v>
      </c>
      <c r="C24" s="10">
        <f>Par_TradeRoute!C24</f>
        <v>0</v>
      </c>
      <c r="D24" s="10">
        <f>Par_TradeRoute!D24</f>
        <v>1264.26</v>
      </c>
      <c r="E24" s="10">
        <f>Par_TradeRoute!E24</f>
        <v>0</v>
      </c>
      <c r="F24" s="10">
        <f>Par_TradeRoute!F24</f>
        <v>0</v>
      </c>
      <c r="G24" s="10">
        <f>Par_TradeRoute!G24</f>
        <v>0</v>
      </c>
      <c r="H24" s="10">
        <f>Par_TradeRoute!H24</f>
        <v>1016.04</v>
      </c>
      <c r="I24" s="10">
        <f>Par_TradeRoute!I24</f>
        <v>1144.5999999999999</v>
      </c>
      <c r="J24" s="10">
        <f>Par_TradeRoute!J24</f>
        <v>921.65</v>
      </c>
      <c r="K24" s="10">
        <f>Par_TradeRoute!K24</f>
        <v>205.65</v>
      </c>
      <c r="L24" s="10">
        <f>Par_TradeRoute!L24</f>
        <v>0</v>
      </c>
      <c r="M24" s="10">
        <f>Par_TradeRoute!M24</f>
        <v>852.16</v>
      </c>
      <c r="N24" s="10">
        <f>Par_TradeRoute!N24</f>
        <v>0</v>
      </c>
      <c r="O24" s="10">
        <f>Par_TradeRoute!O24</f>
        <v>0</v>
      </c>
      <c r="P24" s="10">
        <f>Par_TradeRoute!P24</f>
        <v>1141.83</v>
      </c>
      <c r="Q24" s="10">
        <f>Par_TradeRoute!Q24</f>
        <v>0</v>
      </c>
      <c r="R24" s="10">
        <f>Par_TradeRoute!R24</f>
        <v>0</v>
      </c>
      <c r="S24" s="10">
        <f>Par_TradeRoute!S24</f>
        <v>180.61</v>
      </c>
      <c r="T24" s="10">
        <f>Par_TradeRoute!T24</f>
        <v>0</v>
      </c>
      <c r="U24" s="10">
        <f>Par_TradeRoute!U24</f>
        <v>0</v>
      </c>
      <c r="V24" s="10">
        <f>Par_TradeRoute!V24</f>
        <v>0</v>
      </c>
      <c r="W24" s="10">
        <f>Par_TradeRoute!W24</f>
        <v>1345.25</v>
      </c>
      <c r="X24" s="10">
        <f>Par_TradeRoute!X24</f>
        <v>1031.76</v>
      </c>
      <c r="Y24" s="10">
        <f>Par_TradeRoute!Y24</f>
        <v>636.20000000000005</v>
      </c>
      <c r="Z24" s="10">
        <f>Par_TradeRoute!Z24</f>
        <v>0</v>
      </c>
      <c r="AA24" s="10">
        <f>Par_TradeRoute!AA24</f>
        <v>1225.5</v>
      </c>
      <c r="AB24" s="10">
        <f>Par_TradeRoute!AB24</f>
        <v>802.01</v>
      </c>
      <c r="AC24" s="10">
        <f>Par_TradeRoute!AC24</f>
        <v>0</v>
      </c>
      <c r="AD24" s="10">
        <f>Par_TradeRoute!AD24</f>
        <v>977.33</v>
      </c>
      <c r="AE24" s="10">
        <f>Par_TradeRoute!AE24</f>
        <v>0</v>
      </c>
      <c r="AF24" s="10">
        <f>Par_TradeRoute!AF24</f>
        <v>0</v>
      </c>
    </row>
    <row r="25" spans="1:32">
      <c r="A25" s="10" t="s">
        <v>468</v>
      </c>
      <c r="B25" s="61" t="s">
        <v>297</v>
      </c>
      <c r="C25" s="10">
        <f>Par_TradeRoute!C25</f>
        <v>1285.6600000000001</v>
      </c>
      <c r="D25" s="10">
        <f>Par_TradeRoute!D25</f>
        <v>804.24</v>
      </c>
      <c r="E25" s="10">
        <f>Par_TradeRoute!E25</f>
        <v>192.2</v>
      </c>
      <c r="F25" s="10">
        <f>Par_TradeRoute!F25</f>
        <v>0</v>
      </c>
      <c r="G25" s="10">
        <f>Par_TradeRoute!G25</f>
        <v>637.54999999999995</v>
      </c>
      <c r="H25" s="10">
        <f>Par_TradeRoute!H25</f>
        <v>738.71</v>
      </c>
      <c r="I25" s="10">
        <f>Par_TradeRoute!I25</f>
        <v>356.15</v>
      </c>
      <c r="J25" s="10">
        <f>Par_TradeRoute!J25</f>
        <v>503.89</v>
      </c>
      <c r="K25" s="10">
        <f>Par_TradeRoute!K25</f>
        <v>0</v>
      </c>
      <c r="L25" s="10">
        <f>Par_TradeRoute!L25</f>
        <v>1513.18</v>
      </c>
      <c r="M25" s="10">
        <f>Par_TradeRoute!M25</f>
        <v>0</v>
      </c>
      <c r="N25" s="10">
        <f>Par_TradeRoute!N25</f>
        <v>0</v>
      </c>
      <c r="O25" s="10">
        <f>Par_TradeRoute!O25</f>
        <v>1129.3900000000001</v>
      </c>
      <c r="P25" s="10">
        <f>Par_TradeRoute!P25</f>
        <v>1144.4000000000001</v>
      </c>
      <c r="Q25" s="10">
        <f>Par_TradeRoute!Q25</f>
        <v>932.26</v>
      </c>
      <c r="R25" s="10">
        <f>Par_TradeRoute!R25</f>
        <v>1161.05</v>
      </c>
      <c r="S25" s="10">
        <f>Par_TradeRoute!S25</f>
        <v>1249.7</v>
      </c>
      <c r="T25" s="10">
        <f>Par_TradeRoute!T25</f>
        <v>279.54000000000002</v>
      </c>
      <c r="U25" s="10">
        <f>Par_TradeRoute!U25</f>
        <v>1345.25</v>
      </c>
      <c r="V25" s="10">
        <f>Par_TradeRoute!V25</f>
        <v>0</v>
      </c>
      <c r="W25" s="10">
        <f>Par_TradeRoute!W25</f>
        <v>0</v>
      </c>
      <c r="X25" s="10">
        <f>Par_TradeRoute!X25</f>
        <v>1444.25</v>
      </c>
      <c r="Y25" s="10">
        <f>Par_TradeRoute!Y25</f>
        <v>943.16</v>
      </c>
      <c r="Z25" s="10">
        <f>Par_TradeRoute!Z25</f>
        <v>0</v>
      </c>
      <c r="AA25" s="10">
        <f>Par_TradeRoute!AA25</f>
        <v>0</v>
      </c>
      <c r="AB25" s="10">
        <f>Par_TradeRoute!AB25</f>
        <v>1343.75</v>
      </c>
      <c r="AC25" s="10">
        <f>Par_TradeRoute!AC25</f>
        <v>958.07</v>
      </c>
      <c r="AD25" s="10">
        <f>Par_TradeRoute!AD25</f>
        <v>1060.75</v>
      </c>
      <c r="AE25" s="10">
        <f>Par_TradeRoute!AE25</f>
        <v>604.03</v>
      </c>
      <c r="AF25" s="10">
        <f>Par_TradeRoute!AF25</f>
        <v>0</v>
      </c>
    </row>
    <row r="26" spans="1:32">
      <c r="A26" s="10" t="s">
        <v>468</v>
      </c>
      <c r="B26" s="61" t="s">
        <v>298</v>
      </c>
      <c r="C26" s="10">
        <f>Par_TradeRoute!C26</f>
        <v>2702.36</v>
      </c>
      <c r="D26" s="10">
        <f>Par_TradeRoute!D26</f>
        <v>0</v>
      </c>
      <c r="E26" s="10">
        <f>Par_TradeRoute!E26</f>
        <v>1636.14</v>
      </c>
      <c r="F26" s="10">
        <f>Par_TradeRoute!F26</f>
        <v>0</v>
      </c>
      <c r="G26" s="10">
        <f>Par_TradeRoute!G26</f>
        <v>0</v>
      </c>
      <c r="H26" s="10">
        <f>Par_TradeRoute!H26</f>
        <v>1642</v>
      </c>
      <c r="I26" s="10">
        <f>Par_TradeRoute!I26</f>
        <v>1503.63</v>
      </c>
      <c r="J26" s="10">
        <f>Par_TradeRoute!J26</f>
        <v>700</v>
      </c>
      <c r="K26" s="10">
        <f>Par_TradeRoute!K26</f>
        <v>885</v>
      </c>
      <c r="L26" s="10">
        <f>Par_TradeRoute!L26</f>
        <v>0</v>
      </c>
      <c r="M26" s="10">
        <f>Par_TradeRoute!M26</f>
        <v>1000</v>
      </c>
      <c r="N26" s="10">
        <f>Par_TradeRoute!N26</f>
        <v>0</v>
      </c>
      <c r="O26" s="10">
        <f>Par_TradeRoute!O26</f>
        <v>0</v>
      </c>
      <c r="P26" s="10">
        <f>Par_TradeRoute!P26</f>
        <v>0</v>
      </c>
      <c r="Q26" s="10">
        <f>Par_TradeRoute!Q26</f>
        <v>1780.16</v>
      </c>
      <c r="R26" s="10">
        <f>Par_TradeRoute!R26</f>
        <v>0</v>
      </c>
      <c r="S26" s="10">
        <f>Par_TradeRoute!S26</f>
        <v>1153.01</v>
      </c>
      <c r="T26" s="10">
        <f>Par_TradeRoute!T26</f>
        <v>1703.34</v>
      </c>
      <c r="U26" s="10">
        <f>Par_TradeRoute!U26</f>
        <v>1031.76</v>
      </c>
      <c r="V26" s="10">
        <f>Par_TradeRoute!V26</f>
        <v>0</v>
      </c>
      <c r="W26" s="10">
        <f>Par_TradeRoute!W26</f>
        <v>1444.25</v>
      </c>
      <c r="X26" s="10">
        <f>Par_TradeRoute!X26</f>
        <v>0</v>
      </c>
      <c r="Y26" s="10">
        <f>Par_TradeRoute!Y26</f>
        <v>1408.54</v>
      </c>
      <c r="Z26" s="10">
        <f>Par_TradeRoute!Z26</f>
        <v>0</v>
      </c>
      <c r="AA26" s="10">
        <f>Par_TradeRoute!AA26</f>
        <v>0</v>
      </c>
      <c r="AB26" s="10">
        <f>Par_TradeRoute!AB26</f>
        <v>230.32</v>
      </c>
      <c r="AC26" s="10">
        <f>Par_TradeRoute!AC26</f>
        <v>0</v>
      </c>
      <c r="AD26" s="10">
        <f>Par_TradeRoute!AD26</f>
        <v>0</v>
      </c>
      <c r="AE26" s="10">
        <f>Par_TradeRoute!AE26</f>
        <v>1492.31</v>
      </c>
      <c r="AF26" s="10">
        <f>Par_TradeRoute!AF26</f>
        <v>0</v>
      </c>
    </row>
    <row r="27" spans="1:32">
      <c r="A27" s="10" t="s">
        <v>468</v>
      </c>
      <c r="B27" s="61" t="s">
        <v>357</v>
      </c>
      <c r="C27" s="10">
        <f>Par_TradeRoute!C27</f>
        <v>1809.09</v>
      </c>
      <c r="D27" s="10">
        <f>Par_TradeRoute!D27</f>
        <v>667.29</v>
      </c>
      <c r="E27" s="10">
        <f>Par_TradeRoute!E27</f>
        <v>0</v>
      </c>
      <c r="F27" s="10">
        <f>Par_TradeRoute!F27</f>
        <v>489.51</v>
      </c>
      <c r="G27" s="10">
        <f>Par_TradeRoute!G27</f>
        <v>978.2</v>
      </c>
      <c r="H27" s="10">
        <f>Par_TradeRoute!H27</f>
        <v>829.38</v>
      </c>
      <c r="I27" s="10">
        <f>Par_TradeRoute!I27</f>
        <v>1143.0899999999999</v>
      </c>
      <c r="J27" s="10">
        <f>Par_TradeRoute!J27</f>
        <v>0</v>
      </c>
      <c r="K27" s="10">
        <f>Par_TradeRoute!K27</f>
        <v>0</v>
      </c>
      <c r="L27" s="10">
        <f>Par_TradeRoute!L27</f>
        <v>0</v>
      </c>
      <c r="M27" s="10">
        <f>Par_TradeRoute!M27</f>
        <v>0</v>
      </c>
      <c r="N27" s="10">
        <f>Par_TradeRoute!N27</f>
        <v>521.16</v>
      </c>
      <c r="O27" s="10">
        <f>Par_TradeRoute!O27</f>
        <v>339.14</v>
      </c>
      <c r="P27" s="10">
        <f>Par_TradeRoute!P27</f>
        <v>486.51</v>
      </c>
      <c r="Q27" s="10">
        <f>Par_TradeRoute!Q27</f>
        <v>0</v>
      </c>
      <c r="R27" s="10">
        <f>Par_TradeRoute!R27</f>
        <v>586.66</v>
      </c>
      <c r="S27" s="10">
        <f>Par_TradeRoute!S27</f>
        <v>0</v>
      </c>
      <c r="T27" s="10">
        <f>Par_TradeRoute!T27</f>
        <v>0</v>
      </c>
      <c r="U27" s="10">
        <f>Par_TradeRoute!U27</f>
        <v>0</v>
      </c>
      <c r="V27" s="10">
        <f>Par_TradeRoute!V27</f>
        <v>0</v>
      </c>
      <c r="W27" s="10">
        <f>Par_TradeRoute!W27</f>
        <v>0</v>
      </c>
      <c r="X27" s="10">
        <f>Par_TradeRoute!X27</f>
        <v>0</v>
      </c>
      <c r="Y27" s="10">
        <f>Par_TradeRoute!Y27</f>
        <v>1038.1300000000001</v>
      </c>
      <c r="Z27" s="10">
        <f>Par_TradeRoute!Z27</f>
        <v>0</v>
      </c>
      <c r="AA27" s="10">
        <f>Par_TradeRoute!AA27</f>
        <v>569.07000000000005</v>
      </c>
      <c r="AB27" s="10">
        <f>Par_TradeRoute!AB27</f>
        <v>0</v>
      </c>
      <c r="AC27" s="10">
        <f>Par_TradeRoute!AC27</f>
        <v>511.02</v>
      </c>
      <c r="AD27" s="10">
        <f>Par_TradeRoute!AD27</f>
        <v>658.16</v>
      </c>
      <c r="AE27" s="10">
        <f>Par_TradeRoute!AE27</f>
        <v>0</v>
      </c>
      <c r="AF27" s="10">
        <f>Par_TradeRoute!AF27</f>
        <v>0</v>
      </c>
    </row>
    <row r="28" spans="1:32">
      <c r="A28" s="10" t="s">
        <v>468</v>
      </c>
      <c r="B28" s="61" t="s">
        <v>299</v>
      </c>
      <c r="C28" s="10">
        <f>Par_TradeRoute!C28</f>
        <v>2000.6</v>
      </c>
      <c r="D28" s="10">
        <f>Par_TradeRoute!D28</f>
        <v>630.36</v>
      </c>
      <c r="E28" s="10">
        <f>Par_TradeRoute!E28</f>
        <v>1037.53</v>
      </c>
      <c r="F28" s="10">
        <f>Par_TradeRoute!F28</f>
        <v>1129.69</v>
      </c>
      <c r="G28" s="10">
        <f>Par_TradeRoute!G28</f>
        <v>1001.53</v>
      </c>
      <c r="H28" s="10">
        <f>Par_TradeRoute!H28</f>
        <v>390.18</v>
      </c>
      <c r="I28" s="10">
        <f>Par_TradeRoute!I28</f>
        <v>633.87</v>
      </c>
      <c r="J28" s="10">
        <f>Par_TradeRoute!J28</f>
        <v>745.5</v>
      </c>
      <c r="K28" s="10">
        <f>Par_TradeRoute!K28</f>
        <v>825.43</v>
      </c>
      <c r="L28" s="10">
        <f>Par_TradeRoute!L28</f>
        <v>0</v>
      </c>
      <c r="M28" s="10">
        <f>Par_TradeRoute!M28</f>
        <v>1430.78</v>
      </c>
      <c r="N28" s="10">
        <f>Par_TradeRoute!N28</f>
        <v>1480.09</v>
      </c>
      <c r="O28" s="10">
        <f>Par_TradeRoute!O28</f>
        <v>818.17</v>
      </c>
      <c r="P28" s="10">
        <f>Par_TradeRoute!P28</f>
        <v>551.72</v>
      </c>
      <c r="Q28" s="10">
        <f>Par_TradeRoute!Q28</f>
        <v>0</v>
      </c>
      <c r="R28" s="10">
        <f>Par_TradeRoute!R28</f>
        <v>1174.6600000000001</v>
      </c>
      <c r="S28" s="10">
        <f>Par_TradeRoute!S28</f>
        <v>464.52</v>
      </c>
      <c r="T28" s="10">
        <f>Par_TradeRoute!T28</f>
        <v>969.45</v>
      </c>
      <c r="U28" s="10">
        <f>Par_TradeRoute!U28</f>
        <v>636.20000000000005</v>
      </c>
      <c r="V28" s="10">
        <f>Par_TradeRoute!V28</f>
        <v>1038.1300000000001</v>
      </c>
      <c r="W28" s="10">
        <f>Par_TradeRoute!W28</f>
        <v>943.16</v>
      </c>
      <c r="X28" s="10">
        <f>Par_TradeRoute!X28</f>
        <v>1408.54</v>
      </c>
      <c r="Y28" s="10">
        <f>Par_TradeRoute!Y28</f>
        <v>0</v>
      </c>
      <c r="Z28" s="10">
        <f>Par_TradeRoute!Z28</f>
        <v>0</v>
      </c>
      <c r="AA28" s="10">
        <f>Par_TradeRoute!AA28</f>
        <v>809.16</v>
      </c>
      <c r="AB28" s="10">
        <f>Par_TradeRoute!AB28</f>
        <v>1196.53</v>
      </c>
      <c r="AC28" s="10">
        <f>Par_TradeRoute!AC28</f>
        <v>746.53</v>
      </c>
      <c r="AD28" s="10">
        <f>Par_TradeRoute!AD28</f>
        <v>380.21</v>
      </c>
      <c r="AE28" s="10">
        <f>Par_TradeRoute!AE28</f>
        <v>1502.63</v>
      </c>
      <c r="AF28" s="10">
        <f>Par_TradeRoute!AF28</f>
        <v>0</v>
      </c>
    </row>
    <row r="29" spans="1:32">
      <c r="A29" s="10" t="s">
        <v>468</v>
      </c>
      <c r="B29" s="61" t="s">
        <v>300</v>
      </c>
      <c r="C29" s="10">
        <f>Par_TradeRoute!C29</f>
        <v>560.61</v>
      </c>
      <c r="D29" s="10">
        <f>Par_TradeRoute!D29</f>
        <v>0</v>
      </c>
      <c r="E29" s="10">
        <f>Par_TradeRoute!E29</f>
        <v>0</v>
      </c>
      <c r="F29" s="10">
        <f>Par_TradeRoute!F29</f>
        <v>0</v>
      </c>
      <c r="G29" s="10">
        <f>Par_TradeRoute!G29</f>
        <v>0</v>
      </c>
      <c r="H29" s="10">
        <f>Par_TradeRoute!H29</f>
        <v>0</v>
      </c>
      <c r="I29" s="10">
        <f>Par_TradeRoute!I29</f>
        <v>0</v>
      </c>
      <c r="J29" s="10">
        <f>Par_TradeRoute!J29</f>
        <v>0</v>
      </c>
      <c r="K29" s="10">
        <f>Par_TradeRoute!K29</f>
        <v>0</v>
      </c>
      <c r="L29" s="10">
        <f>Par_TradeRoute!L29</f>
        <v>421.67</v>
      </c>
      <c r="M29" s="10">
        <f>Par_TradeRoute!M29</f>
        <v>0</v>
      </c>
      <c r="N29" s="10">
        <f>Par_TradeRoute!N29</f>
        <v>0</v>
      </c>
      <c r="O29" s="10">
        <f>Par_TradeRoute!O29</f>
        <v>0</v>
      </c>
      <c r="P29" s="10">
        <f>Par_TradeRoute!P29</f>
        <v>0</v>
      </c>
      <c r="Q29" s="10">
        <f>Par_TradeRoute!Q29</f>
        <v>0</v>
      </c>
      <c r="R29" s="10">
        <f>Par_TradeRoute!R29</f>
        <v>0</v>
      </c>
      <c r="S29" s="10">
        <f>Par_TradeRoute!S29</f>
        <v>0</v>
      </c>
      <c r="T29" s="10">
        <f>Par_TradeRoute!T29</f>
        <v>0</v>
      </c>
      <c r="U29" s="10">
        <f>Par_TradeRoute!U29</f>
        <v>0</v>
      </c>
      <c r="V29" s="10">
        <f>Par_TradeRoute!V29</f>
        <v>0</v>
      </c>
      <c r="W29" s="10">
        <f>Par_TradeRoute!W29</f>
        <v>0</v>
      </c>
      <c r="X29" s="10">
        <f>Par_TradeRoute!X29</f>
        <v>0</v>
      </c>
      <c r="Y29" s="10">
        <f>Par_TradeRoute!Y29</f>
        <v>0</v>
      </c>
      <c r="Z29" s="10">
        <f>Par_TradeRoute!Z29</f>
        <v>0</v>
      </c>
      <c r="AA29" s="10">
        <f>Par_TradeRoute!AA29</f>
        <v>0</v>
      </c>
      <c r="AB29" s="10">
        <f>Par_TradeRoute!AB29</f>
        <v>0</v>
      </c>
      <c r="AC29" s="10">
        <f>Par_TradeRoute!AC29</f>
        <v>0</v>
      </c>
      <c r="AD29" s="10">
        <f>Par_TradeRoute!AD29</f>
        <v>0</v>
      </c>
      <c r="AE29" s="10">
        <f>Par_TradeRoute!AE29</f>
        <v>1672.93</v>
      </c>
      <c r="AF29" s="10">
        <f>Par_TradeRoute!AF29</f>
        <v>0</v>
      </c>
    </row>
    <row r="30" spans="1:32">
      <c r="A30" s="10" t="s">
        <v>468</v>
      </c>
      <c r="B30" s="61" t="s">
        <v>301</v>
      </c>
      <c r="C30" s="10">
        <f>Par_TradeRoute!C30</f>
        <v>2252.62</v>
      </c>
      <c r="D30" s="10">
        <f>Par_TradeRoute!D30</f>
        <v>850.72</v>
      </c>
      <c r="E30" s="10">
        <f>Par_TradeRoute!E30</f>
        <v>0</v>
      </c>
      <c r="F30" s="10">
        <f>Par_TradeRoute!F30</f>
        <v>343.03</v>
      </c>
      <c r="G30" s="10">
        <f>Par_TradeRoute!G30</f>
        <v>1292.28</v>
      </c>
      <c r="H30" s="10">
        <f>Par_TradeRoute!H30</f>
        <v>842.37</v>
      </c>
      <c r="I30" s="10">
        <f>Par_TradeRoute!I30</f>
        <v>1224.8499999999999</v>
      </c>
      <c r="J30" s="10">
        <f>Par_TradeRoute!J30</f>
        <v>1533.41</v>
      </c>
      <c r="K30" s="10">
        <f>Par_TradeRoute!K30</f>
        <v>0</v>
      </c>
      <c r="L30" s="10">
        <f>Par_TradeRoute!L30</f>
        <v>0</v>
      </c>
      <c r="M30" s="10">
        <f>Par_TradeRoute!M30</f>
        <v>0</v>
      </c>
      <c r="N30" s="10">
        <f>Par_TradeRoute!N30</f>
        <v>772.6</v>
      </c>
      <c r="O30" s="10">
        <f>Par_TradeRoute!O30</f>
        <v>677.09</v>
      </c>
      <c r="P30" s="10">
        <f>Par_TradeRoute!P30</f>
        <v>452.36</v>
      </c>
      <c r="Q30" s="10">
        <f>Par_TradeRoute!Q30</f>
        <v>0</v>
      </c>
      <c r="R30" s="10">
        <f>Par_TradeRoute!R30</f>
        <v>1082.6300000000001</v>
      </c>
      <c r="S30" s="10">
        <f>Par_TradeRoute!S30</f>
        <v>1059.29</v>
      </c>
      <c r="T30" s="10">
        <f>Par_TradeRoute!T30</f>
        <v>0</v>
      </c>
      <c r="U30" s="10">
        <f>Par_TradeRoute!U30</f>
        <v>1225.5</v>
      </c>
      <c r="V30" s="10">
        <f>Par_TradeRoute!V30</f>
        <v>569.07000000000005</v>
      </c>
      <c r="W30" s="10">
        <f>Par_TradeRoute!W30</f>
        <v>0</v>
      </c>
      <c r="X30" s="10">
        <f>Par_TradeRoute!X30</f>
        <v>0</v>
      </c>
      <c r="Y30" s="10">
        <f>Par_TradeRoute!Y30</f>
        <v>809.16</v>
      </c>
      <c r="Z30" s="10">
        <f>Par_TradeRoute!Z30</f>
        <v>0</v>
      </c>
      <c r="AA30" s="10">
        <f>Par_TradeRoute!AA30</f>
        <v>0</v>
      </c>
      <c r="AB30" s="10">
        <f>Par_TradeRoute!AB30</f>
        <v>0</v>
      </c>
      <c r="AC30" s="10">
        <f>Par_TradeRoute!AC30</f>
        <v>787.57</v>
      </c>
      <c r="AD30" s="10">
        <f>Par_TradeRoute!AD30</f>
        <v>523.91999999999996</v>
      </c>
      <c r="AE30" s="10">
        <f>Par_TradeRoute!AE30</f>
        <v>0</v>
      </c>
      <c r="AF30" s="10">
        <f>Par_TradeRoute!AF30</f>
        <v>899</v>
      </c>
    </row>
    <row r="31" spans="1:32">
      <c r="A31" s="10" t="s">
        <v>468</v>
      </c>
      <c r="B31" s="61" t="s">
        <v>303</v>
      </c>
      <c r="C31" s="10">
        <f>Par_TradeRoute!C31</f>
        <v>2623.55</v>
      </c>
      <c r="D31" s="10">
        <f>Par_TradeRoute!D31</f>
        <v>1698.79</v>
      </c>
      <c r="E31" s="10">
        <f>Par_TradeRoute!E31</f>
        <v>1535.26</v>
      </c>
      <c r="F31" s="10">
        <f>Par_TradeRoute!F31</f>
        <v>0</v>
      </c>
      <c r="G31" s="10">
        <f>Par_TradeRoute!G31</f>
        <v>1857.41</v>
      </c>
      <c r="H31" s="10">
        <f>Par_TradeRoute!H31</f>
        <v>1454.22</v>
      </c>
      <c r="I31" s="10">
        <f>Par_TradeRoute!I31</f>
        <v>1354.27</v>
      </c>
      <c r="J31" s="10">
        <f>Par_TradeRoute!J31</f>
        <v>400</v>
      </c>
      <c r="K31" s="10">
        <f>Par_TradeRoute!K31</f>
        <v>661.72</v>
      </c>
      <c r="L31" s="10">
        <f>Par_TradeRoute!L31</f>
        <v>0</v>
      </c>
      <c r="M31" s="10">
        <f>Par_TradeRoute!M31</f>
        <v>505.83</v>
      </c>
      <c r="N31" s="10">
        <f>Par_TradeRoute!N31</f>
        <v>0</v>
      </c>
      <c r="O31" s="10">
        <f>Par_TradeRoute!O31</f>
        <v>1974.19</v>
      </c>
      <c r="P31" s="10">
        <f>Par_TradeRoute!P31</f>
        <v>1745.85</v>
      </c>
      <c r="Q31" s="10">
        <f>Par_TradeRoute!Q31</f>
        <v>0</v>
      </c>
      <c r="R31" s="10">
        <f>Par_TradeRoute!R31</f>
        <v>2245.4899999999998</v>
      </c>
      <c r="S31" s="10">
        <f>Par_TradeRoute!S31</f>
        <v>923.23</v>
      </c>
      <c r="T31" s="10">
        <f>Par_TradeRoute!T31</f>
        <v>1586.29</v>
      </c>
      <c r="U31" s="10">
        <f>Par_TradeRoute!U31</f>
        <v>802.01</v>
      </c>
      <c r="V31" s="10">
        <f>Par_TradeRoute!V31</f>
        <v>0</v>
      </c>
      <c r="W31" s="10">
        <f>Par_TradeRoute!W31</f>
        <v>1343.75</v>
      </c>
      <c r="X31" s="10">
        <f>Par_TradeRoute!X31</f>
        <v>230.32</v>
      </c>
      <c r="Y31" s="10">
        <f>Par_TradeRoute!Y31</f>
        <v>1196.53</v>
      </c>
      <c r="Z31" s="10">
        <f>Par_TradeRoute!Z31</f>
        <v>0</v>
      </c>
      <c r="AA31" s="10">
        <f>Par_TradeRoute!AA31</f>
        <v>0</v>
      </c>
      <c r="AB31" s="10">
        <f>Par_TradeRoute!AB31</f>
        <v>0</v>
      </c>
      <c r="AC31" s="10">
        <f>Par_TradeRoute!AC31</f>
        <v>1858.18</v>
      </c>
      <c r="AD31" s="10">
        <f>Par_TradeRoute!AD31</f>
        <v>1575.37</v>
      </c>
      <c r="AE31" s="10">
        <f>Par_TradeRoute!AE31</f>
        <v>1485.18</v>
      </c>
      <c r="AF31" s="10">
        <f>Par_TradeRoute!AF31</f>
        <v>0</v>
      </c>
    </row>
    <row r="32" spans="1:32">
      <c r="A32" s="10" t="s">
        <v>468</v>
      </c>
      <c r="B32" s="61" t="s">
        <v>304</v>
      </c>
      <c r="C32" s="10">
        <f>Par_TradeRoute!C32</f>
        <v>1472.14</v>
      </c>
      <c r="D32" s="10">
        <f>Par_TradeRoute!D32</f>
        <v>171.24</v>
      </c>
      <c r="E32" s="10">
        <f>Par_TradeRoute!E32</f>
        <v>903.98</v>
      </c>
      <c r="F32" s="10">
        <f>Par_TradeRoute!F32</f>
        <v>908.29</v>
      </c>
      <c r="G32" s="10">
        <f>Par_TradeRoute!G32</f>
        <v>511.84</v>
      </c>
      <c r="H32" s="10">
        <f>Par_TradeRoute!H32</f>
        <v>404.31</v>
      </c>
      <c r="I32" s="10">
        <f>Par_TradeRoute!I32</f>
        <v>643.65</v>
      </c>
      <c r="J32" s="10">
        <f>Par_TradeRoute!J32</f>
        <v>1144.1199999999999</v>
      </c>
      <c r="K32" s="10">
        <f>Par_TradeRoute!K32</f>
        <v>0</v>
      </c>
      <c r="L32" s="10">
        <f>Par_TradeRoute!L32</f>
        <v>1632.96</v>
      </c>
      <c r="M32" s="10">
        <f>Par_TradeRoute!M32</f>
        <v>0</v>
      </c>
      <c r="N32" s="10">
        <f>Par_TradeRoute!N32</f>
        <v>1031.6199999999999</v>
      </c>
      <c r="O32" s="10">
        <f>Par_TradeRoute!O32</f>
        <v>171.93</v>
      </c>
      <c r="P32" s="10">
        <f>Par_TradeRoute!P32</f>
        <v>369.97</v>
      </c>
      <c r="Q32" s="10">
        <f>Par_TradeRoute!Q32</f>
        <v>0</v>
      </c>
      <c r="R32" s="10">
        <f>Par_TradeRoute!R32</f>
        <v>429.95</v>
      </c>
      <c r="S32" s="10">
        <f>Par_TradeRoute!S32</f>
        <v>1207.05</v>
      </c>
      <c r="T32" s="10">
        <f>Par_TradeRoute!T32</f>
        <v>767.73</v>
      </c>
      <c r="U32" s="10">
        <f>Par_TradeRoute!U32</f>
        <v>0</v>
      </c>
      <c r="V32" s="10">
        <f>Par_TradeRoute!V32</f>
        <v>511.02</v>
      </c>
      <c r="W32" s="10">
        <f>Par_TradeRoute!W32</f>
        <v>958.07</v>
      </c>
      <c r="X32" s="10">
        <f>Par_TradeRoute!X32</f>
        <v>0</v>
      </c>
      <c r="Y32" s="10">
        <f>Par_TradeRoute!Y32</f>
        <v>746.53</v>
      </c>
      <c r="Z32" s="10">
        <f>Par_TradeRoute!Z32</f>
        <v>0</v>
      </c>
      <c r="AA32" s="10">
        <f>Par_TradeRoute!AA32</f>
        <v>787.57</v>
      </c>
      <c r="AB32" s="10">
        <f>Par_TradeRoute!AB32</f>
        <v>1858.18</v>
      </c>
      <c r="AC32" s="10">
        <f>Par_TradeRoute!AC32</f>
        <v>0</v>
      </c>
      <c r="AD32" s="10">
        <f>Par_TradeRoute!AD32</f>
        <v>454.53</v>
      </c>
      <c r="AE32" s="10">
        <f>Par_TradeRoute!AE32</f>
        <v>0</v>
      </c>
      <c r="AF32" s="10">
        <f>Par_TradeRoute!AF32</f>
        <v>0</v>
      </c>
    </row>
    <row r="33" spans="1:32">
      <c r="A33" s="10" t="s">
        <v>468</v>
      </c>
      <c r="B33" s="61" t="s">
        <v>305</v>
      </c>
      <c r="C33" s="10">
        <f>Par_TradeRoute!C33</f>
        <v>1879.08</v>
      </c>
      <c r="D33" s="10">
        <f>Par_TradeRoute!D33</f>
        <v>416.67</v>
      </c>
      <c r="E33" s="10">
        <f>Par_TradeRoute!E33</f>
        <v>1089.56</v>
      </c>
      <c r="F33" s="10">
        <f>Par_TradeRoute!F33</f>
        <v>797.9</v>
      </c>
      <c r="G33" s="10">
        <f>Par_TradeRoute!G33</f>
        <v>869.38</v>
      </c>
      <c r="H33" s="10">
        <f>Par_TradeRoute!H33</f>
        <v>323.69</v>
      </c>
      <c r="I33" s="10">
        <f>Par_TradeRoute!I33</f>
        <v>705.3</v>
      </c>
      <c r="J33" s="10">
        <f>Par_TradeRoute!J33</f>
        <v>1030.02</v>
      </c>
      <c r="K33" s="10">
        <f>Par_TradeRoute!K33</f>
        <v>1177.79</v>
      </c>
      <c r="L33" s="10">
        <f>Par_TradeRoute!L33</f>
        <v>0</v>
      </c>
      <c r="M33" s="10">
        <f>Par_TradeRoute!M33</f>
        <v>0</v>
      </c>
      <c r="N33" s="10">
        <f>Par_TradeRoute!N33</f>
        <v>1109.6099999999999</v>
      </c>
      <c r="O33" s="10">
        <f>Par_TradeRoute!O33</f>
        <v>470.6</v>
      </c>
      <c r="P33" s="10">
        <f>Par_TradeRoute!P33</f>
        <v>171.65</v>
      </c>
      <c r="Q33" s="10">
        <f>Par_TradeRoute!Q33</f>
        <v>0</v>
      </c>
      <c r="R33" s="10">
        <f>Par_TradeRoute!R33</f>
        <v>874.11</v>
      </c>
      <c r="S33" s="10">
        <f>Par_TradeRoute!S33</f>
        <v>797.05</v>
      </c>
      <c r="T33" s="10">
        <f>Par_TradeRoute!T33</f>
        <v>981.17</v>
      </c>
      <c r="U33" s="10">
        <f>Par_TradeRoute!U33</f>
        <v>977.33</v>
      </c>
      <c r="V33" s="10">
        <f>Par_TradeRoute!V33</f>
        <v>658.16</v>
      </c>
      <c r="W33" s="10">
        <f>Par_TradeRoute!W33</f>
        <v>1060.75</v>
      </c>
      <c r="X33" s="10">
        <f>Par_TradeRoute!X33</f>
        <v>0</v>
      </c>
      <c r="Y33" s="10">
        <f>Par_TradeRoute!Y33</f>
        <v>380.21</v>
      </c>
      <c r="Z33" s="10">
        <f>Par_TradeRoute!Z33</f>
        <v>0</v>
      </c>
      <c r="AA33" s="10">
        <f>Par_TradeRoute!AA33</f>
        <v>523.91999999999996</v>
      </c>
      <c r="AB33" s="10">
        <f>Par_TradeRoute!AB33</f>
        <v>1575.37</v>
      </c>
      <c r="AC33" s="10">
        <f>Par_TradeRoute!AC33</f>
        <v>454.53</v>
      </c>
      <c r="AD33" s="10">
        <f>Par_TradeRoute!AD33</f>
        <v>0</v>
      </c>
      <c r="AE33" s="10">
        <f>Par_TradeRoute!AE33</f>
        <v>0</v>
      </c>
      <c r="AF33" s="10">
        <f>Par_TradeRoute!AF33</f>
        <v>0</v>
      </c>
    </row>
    <row r="34" spans="1:32">
      <c r="A34" s="10" t="s">
        <v>468</v>
      </c>
      <c r="B34" s="10" t="s">
        <v>356</v>
      </c>
      <c r="C34" s="10">
        <f>Par_TradeRoute!C34</f>
        <v>0</v>
      </c>
      <c r="D34" s="10">
        <f>Par_TradeRoute!D34</f>
        <v>0</v>
      </c>
      <c r="E34" s="10">
        <f>Par_TradeRoute!E34</f>
        <v>0</v>
      </c>
      <c r="F34" s="10">
        <f>Par_TradeRoute!F34</f>
        <v>428</v>
      </c>
      <c r="G34" s="10">
        <f>Par_TradeRoute!G34</f>
        <v>0</v>
      </c>
      <c r="H34" s="10">
        <f>Par_TradeRoute!H34</f>
        <v>0</v>
      </c>
      <c r="I34" s="10">
        <f>Par_TradeRoute!I34</f>
        <v>0</v>
      </c>
      <c r="J34" s="10">
        <f>Par_TradeRoute!J34</f>
        <v>0</v>
      </c>
      <c r="K34" s="10">
        <f>Par_TradeRoute!K34</f>
        <v>0</v>
      </c>
      <c r="L34" s="10">
        <f>Par_TradeRoute!L34</f>
        <v>0</v>
      </c>
      <c r="M34" s="10">
        <f>Par_TradeRoute!M34</f>
        <v>0</v>
      </c>
      <c r="N34" s="10">
        <f>Par_TradeRoute!N34</f>
        <v>868</v>
      </c>
      <c r="O34" s="10">
        <f>Par_TradeRoute!O34</f>
        <v>0</v>
      </c>
      <c r="P34" s="10">
        <f>Par_TradeRoute!P34</f>
        <v>0</v>
      </c>
      <c r="Q34" s="10">
        <f>Par_TradeRoute!Q34</f>
        <v>0</v>
      </c>
      <c r="R34" s="10">
        <f>Par_TradeRoute!R34</f>
        <v>0</v>
      </c>
      <c r="S34" s="10">
        <f>Par_TradeRoute!S34</f>
        <v>0</v>
      </c>
      <c r="T34" s="10">
        <f>Par_TradeRoute!T34</f>
        <v>0</v>
      </c>
      <c r="U34" s="10">
        <f>Par_TradeRoute!U34</f>
        <v>0</v>
      </c>
      <c r="V34" s="10">
        <f>Par_TradeRoute!V34</f>
        <v>0</v>
      </c>
      <c r="W34" s="10">
        <f>Par_TradeRoute!W34</f>
        <v>0</v>
      </c>
      <c r="X34" s="10">
        <f>Par_TradeRoute!X34</f>
        <v>0</v>
      </c>
      <c r="Y34" s="10">
        <f>Par_TradeRoute!Y34</f>
        <v>0</v>
      </c>
      <c r="Z34" s="10">
        <f>Par_TradeRoute!Z34</f>
        <v>0</v>
      </c>
      <c r="AA34" s="10">
        <f>Par_TradeRoute!AA34</f>
        <v>899</v>
      </c>
      <c r="AB34" s="10">
        <f>Par_TradeRoute!AB34</f>
        <v>0</v>
      </c>
      <c r="AC34" s="10">
        <f>Par_TradeRoute!AC34</f>
        <v>0</v>
      </c>
      <c r="AD34" s="10">
        <f>Par_TradeRoute!AD34</f>
        <v>0</v>
      </c>
      <c r="AE34" s="10">
        <f>Par_TradeRoute!AE34</f>
        <v>0</v>
      </c>
      <c r="AF34" s="10">
        <f>Par_TradeRoute!AF34</f>
        <v>0</v>
      </c>
    </row>
    <row r="35" spans="1:32">
      <c r="A35" s="10" t="s">
        <v>468</v>
      </c>
      <c r="B35" s="61" t="s">
        <v>307</v>
      </c>
      <c r="C35" s="10">
        <f>Par_TradeRoute!C35</f>
        <v>600</v>
      </c>
      <c r="D35" s="10">
        <f>Par_TradeRoute!D35</f>
        <v>1399.02</v>
      </c>
      <c r="E35" s="10">
        <f>Par_TradeRoute!E35</f>
        <v>645.59</v>
      </c>
      <c r="F35" s="10">
        <f>Par_TradeRoute!F35</f>
        <v>0</v>
      </c>
      <c r="G35" s="10">
        <f>Par_TradeRoute!G35</f>
        <v>1134.76</v>
      </c>
      <c r="H35" s="10">
        <f>Par_TradeRoute!H35</f>
        <v>1341.38</v>
      </c>
      <c r="I35" s="10">
        <f>Par_TradeRoute!I35</f>
        <v>959.53</v>
      </c>
      <c r="J35" s="10">
        <f>Par_TradeRoute!J35</f>
        <v>850.09</v>
      </c>
      <c r="K35" s="10">
        <f>Par_TradeRoute!K35</f>
        <v>0</v>
      </c>
      <c r="L35" s="10">
        <f>Par_TradeRoute!L35</f>
        <v>1549.51</v>
      </c>
      <c r="M35" s="10">
        <f>Par_TradeRoute!M35</f>
        <v>0</v>
      </c>
      <c r="N35" s="10">
        <f>Par_TradeRoute!N35</f>
        <v>0</v>
      </c>
      <c r="O35" s="10">
        <f>Par_TradeRoute!O35</f>
        <v>0</v>
      </c>
      <c r="P35" s="10">
        <f>Par_TradeRoute!P35</f>
        <v>0</v>
      </c>
      <c r="Q35" s="10">
        <f>Par_TradeRoute!Q35</f>
        <v>363.85</v>
      </c>
      <c r="R35" s="10">
        <f>Par_TradeRoute!R35</f>
        <v>1673.84</v>
      </c>
      <c r="S35" s="10">
        <f>Par_TradeRoute!S35</f>
        <v>0</v>
      </c>
      <c r="T35" s="10">
        <f>Par_TradeRoute!T35</f>
        <v>785.89</v>
      </c>
      <c r="U35" s="10">
        <f>Par_TradeRoute!U35</f>
        <v>0</v>
      </c>
      <c r="V35" s="10">
        <f>Par_TradeRoute!V35</f>
        <v>0</v>
      </c>
      <c r="W35" s="10">
        <f>Par_TradeRoute!W35</f>
        <v>604.03</v>
      </c>
      <c r="X35" s="10">
        <f>Par_TradeRoute!X35</f>
        <v>1492.31</v>
      </c>
      <c r="Y35" s="10">
        <f>Par_TradeRoute!Y35</f>
        <v>1502.63</v>
      </c>
      <c r="Z35" s="10">
        <f>Par_TradeRoute!Z35</f>
        <v>1672.93</v>
      </c>
      <c r="AA35" s="10">
        <f>Par_TradeRoute!AA35</f>
        <v>0</v>
      </c>
      <c r="AB35" s="10">
        <f>Par_TradeRoute!AB35</f>
        <v>1485.18</v>
      </c>
      <c r="AC35" s="10">
        <f>Par_TradeRoute!AC35</f>
        <v>0</v>
      </c>
      <c r="AD35" s="10">
        <f>Par_TradeRoute!AD35</f>
        <v>0</v>
      </c>
      <c r="AE35" s="10">
        <f>Par_TradeRoute!AE35</f>
        <v>0</v>
      </c>
      <c r="AF35" s="10">
        <f>Par_TradeRoute!AF35</f>
        <v>0</v>
      </c>
    </row>
    <row r="36" spans="1:32">
      <c r="A36" s="10" t="s">
        <v>156</v>
      </c>
      <c r="B36" s="61" t="s">
        <v>278</v>
      </c>
      <c r="C36" s="10">
        <f>ROUND(IF(C6&gt;0, ((0.0014*C6+13.97)/1.15)*(10^12)/(1000*29308)/1000000, 0),3)</f>
        <v>0.47499999999999998</v>
      </c>
      <c r="D36" s="10">
        <f t="shared" ref="D36:AF45" si="0">ROUND(IF(D6&gt;0, ((0.0014*D6+13.97)/1.15)*(10^12)/(1000*29308)/1000000, 0),3)</f>
        <v>0</v>
      </c>
      <c r="E36" s="10">
        <f t="shared" si="0"/>
        <v>0.44600000000000001</v>
      </c>
      <c r="F36" s="10">
        <f t="shared" si="0"/>
        <v>0.45700000000000002</v>
      </c>
      <c r="G36" s="10">
        <f t="shared" si="0"/>
        <v>0.433</v>
      </c>
      <c r="H36" s="10">
        <f t="shared" si="0"/>
        <v>0.42499999999999999</v>
      </c>
      <c r="I36" s="10">
        <f t="shared" si="0"/>
        <v>0.434</v>
      </c>
      <c r="J36" s="10">
        <f t="shared" si="0"/>
        <v>0.45500000000000002</v>
      </c>
      <c r="K36" s="10">
        <f t="shared" si="0"/>
        <v>0</v>
      </c>
      <c r="L36" s="10">
        <f t="shared" si="0"/>
        <v>0.48299999999999998</v>
      </c>
      <c r="M36" s="10">
        <f t="shared" si="0"/>
        <v>0</v>
      </c>
      <c r="N36" s="10">
        <f t="shared" si="0"/>
        <v>0.46400000000000002</v>
      </c>
      <c r="O36" s="10">
        <f t="shared" si="0"/>
        <v>0.42799999999999999</v>
      </c>
      <c r="P36" s="10">
        <f t="shared" si="0"/>
        <v>0.43099999999999999</v>
      </c>
      <c r="Q36" s="10">
        <f t="shared" si="0"/>
        <v>0</v>
      </c>
      <c r="R36" s="10">
        <f t="shared" si="0"/>
        <v>0.438</v>
      </c>
      <c r="S36" s="10">
        <f t="shared" si="0"/>
        <v>0.46</v>
      </c>
      <c r="T36" s="10">
        <f t="shared" si="0"/>
        <v>0.441</v>
      </c>
      <c r="U36" s="10">
        <f t="shared" si="0"/>
        <v>0.46700000000000003</v>
      </c>
      <c r="V36" s="10">
        <f t="shared" si="0"/>
        <v>0.442</v>
      </c>
      <c r="W36" s="10">
        <f t="shared" si="0"/>
        <v>0.44800000000000001</v>
      </c>
      <c r="X36" s="10">
        <f t="shared" si="0"/>
        <v>0</v>
      </c>
      <c r="Y36" s="10">
        <f t="shared" si="0"/>
        <v>0.441</v>
      </c>
      <c r="Z36" s="10">
        <f t="shared" si="0"/>
        <v>0</v>
      </c>
      <c r="AA36" s="10">
        <f t="shared" si="0"/>
        <v>0.45</v>
      </c>
      <c r="AB36" s="10">
        <f t="shared" si="0"/>
        <v>0.48499999999999999</v>
      </c>
      <c r="AC36" s="10">
        <f t="shared" si="0"/>
        <v>0.42199999999999999</v>
      </c>
      <c r="AD36" s="10">
        <f t="shared" si="0"/>
        <v>0.432</v>
      </c>
      <c r="AE36" s="10">
        <f t="shared" si="0"/>
        <v>0.47299999999999998</v>
      </c>
      <c r="AF36" s="10">
        <f t="shared" si="0"/>
        <v>0</v>
      </c>
    </row>
    <row r="37" spans="1:32">
      <c r="A37" s="10" t="s">
        <v>156</v>
      </c>
      <c r="B37" s="61" t="s">
        <v>280</v>
      </c>
      <c r="C37" s="10">
        <f t="shared" ref="C37:R52" si="1">ROUND(IF(C7&gt;0, ((0.0014*C7+13.97)/1.15)*(10^12)/(1000*29308)/1000000, 0),3)</f>
        <v>0.42699999999999999</v>
      </c>
      <c r="D37" s="10">
        <f t="shared" si="1"/>
        <v>0.44600000000000001</v>
      </c>
      <c r="E37" s="10">
        <f t="shared" si="1"/>
        <v>0</v>
      </c>
      <c r="F37" s="10">
        <f t="shared" si="1"/>
        <v>0</v>
      </c>
      <c r="G37" s="10">
        <f t="shared" si="1"/>
        <v>0.435</v>
      </c>
      <c r="H37" s="10">
        <f t="shared" si="1"/>
        <v>0.44600000000000001</v>
      </c>
      <c r="I37" s="10">
        <f t="shared" si="1"/>
        <v>0.43099999999999999</v>
      </c>
      <c r="J37" s="10">
        <f t="shared" si="1"/>
        <v>0.443</v>
      </c>
      <c r="K37" s="10">
        <f t="shared" si="1"/>
        <v>0</v>
      </c>
      <c r="L37" s="10">
        <f t="shared" si="1"/>
        <v>0.47</v>
      </c>
      <c r="M37" s="10">
        <f t="shared" si="1"/>
        <v>0</v>
      </c>
      <c r="N37" s="10">
        <f t="shared" si="1"/>
        <v>0</v>
      </c>
      <c r="O37" s="10">
        <f t="shared" si="1"/>
        <v>0.45900000000000002</v>
      </c>
      <c r="P37" s="10">
        <f t="shared" si="1"/>
        <v>0.46200000000000002</v>
      </c>
      <c r="Q37" s="10">
        <f t="shared" si="1"/>
        <v>0.45300000000000001</v>
      </c>
      <c r="R37" s="10">
        <f t="shared" si="1"/>
        <v>0.45800000000000002</v>
      </c>
      <c r="S37" s="10">
        <f t="shared" si="0"/>
        <v>0</v>
      </c>
      <c r="T37" s="10">
        <f t="shared" si="0"/>
        <v>0.42</v>
      </c>
      <c r="U37" s="10">
        <f t="shared" si="0"/>
        <v>0</v>
      </c>
      <c r="V37" s="10">
        <f t="shared" si="0"/>
        <v>0</v>
      </c>
      <c r="W37" s="10">
        <f t="shared" si="0"/>
        <v>0.42199999999999999</v>
      </c>
      <c r="X37" s="10">
        <f t="shared" si="0"/>
        <v>0.48199999999999998</v>
      </c>
      <c r="Y37" s="10">
        <f t="shared" si="0"/>
        <v>0.45800000000000002</v>
      </c>
      <c r="Z37" s="10">
        <f t="shared" si="0"/>
        <v>0</v>
      </c>
      <c r="AA37" s="10">
        <f t="shared" si="0"/>
        <v>0</v>
      </c>
      <c r="AB37" s="10">
        <f t="shared" si="0"/>
        <v>0.47799999999999998</v>
      </c>
      <c r="AC37" s="10">
        <f t="shared" si="0"/>
        <v>0.45200000000000001</v>
      </c>
      <c r="AD37" s="10">
        <f t="shared" si="0"/>
        <v>0.46</v>
      </c>
      <c r="AE37" s="10">
        <f t="shared" si="0"/>
        <v>0.441</v>
      </c>
      <c r="AF37" s="10">
        <f t="shared" si="0"/>
        <v>0</v>
      </c>
    </row>
    <row r="38" spans="1:32">
      <c r="A38" s="10" t="s">
        <v>156</v>
      </c>
      <c r="B38" s="61" t="s">
        <v>281</v>
      </c>
      <c r="C38" s="10">
        <f t="shared" si="1"/>
        <v>0</v>
      </c>
      <c r="D38" s="10">
        <f t="shared" si="0"/>
        <v>0.45700000000000002</v>
      </c>
      <c r="E38" s="10">
        <f t="shared" si="0"/>
        <v>0</v>
      </c>
      <c r="F38" s="10">
        <f t="shared" si="0"/>
        <v>0</v>
      </c>
      <c r="G38" s="10">
        <f t="shared" si="0"/>
        <v>0.47299999999999998</v>
      </c>
      <c r="H38" s="10">
        <f t="shared" si="0"/>
        <v>0.46</v>
      </c>
      <c r="I38" s="10">
        <f t="shared" si="0"/>
        <v>0.47499999999999998</v>
      </c>
      <c r="J38" s="10">
        <f t="shared" si="0"/>
        <v>0</v>
      </c>
      <c r="K38" s="10">
        <f t="shared" si="0"/>
        <v>0</v>
      </c>
      <c r="L38" s="10">
        <f t="shared" si="0"/>
        <v>0</v>
      </c>
      <c r="M38" s="10">
        <f t="shared" si="0"/>
        <v>0</v>
      </c>
      <c r="N38" s="10">
        <f t="shared" si="0"/>
        <v>0.433</v>
      </c>
      <c r="O38" s="10">
        <f t="shared" si="0"/>
        <v>0.44600000000000001</v>
      </c>
      <c r="P38" s="10">
        <f t="shared" si="0"/>
        <v>0.442</v>
      </c>
      <c r="Q38" s="10">
        <f t="shared" si="0"/>
        <v>0</v>
      </c>
      <c r="R38" s="10">
        <f t="shared" si="0"/>
        <v>0.45900000000000002</v>
      </c>
      <c r="S38" s="10">
        <f t="shared" si="0"/>
        <v>0</v>
      </c>
      <c r="T38" s="10">
        <f t="shared" si="0"/>
        <v>0</v>
      </c>
      <c r="U38" s="10">
        <f t="shared" si="0"/>
        <v>0</v>
      </c>
      <c r="V38" s="10">
        <f t="shared" si="0"/>
        <v>0.435</v>
      </c>
      <c r="W38" s="10">
        <f t="shared" si="0"/>
        <v>0</v>
      </c>
      <c r="X38" s="10">
        <f t="shared" si="0"/>
        <v>0</v>
      </c>
      <c r="Y38" s="10">
        <f t="shared" si="0"/>
        <v>0.46100000000000002</v>
      </c>
      <c r="Z38" s="10">
        <f t="shared" si="0"/>
        <v>0</v>
      </c>
      <c r="AA38" s="10">
        <f t="shared" si="0"/>
        <v>0.42899999999999999</v>
      </c>
      <c r="AB38" s="10">
        <f t="shared" si="0"/>
        <v>0</v>
      </c>
      <c r="AC38" s="10">
        <f t="shared" si="0"/>
        <v>0.45200000000000001</v>
      </c>
      <c r="AD38" s="10">
        <f t="shared" si="0"/>
        <v>0.44800000000000001</v>
      </c>
      <c r="AE38" s="10">
        <f t="shared" si="0"/>
        <v>0</v>
      </c>
      <c r="AF38" s="10">
        <f t="shared" si="0"/>
        <v>0.432</v>
      </c>
    </row>
    <row r="39" spans="1:32">
      <c r="A39" s="10" t="s">
        <v>156</v>
      </c>
      <c r="B39" s="61" t="s">
        <v>282</v>
      </c>
      <c r="C39" s="10">
        <f t="shared" si="1"/>
        <v>0.42899999999999999</v>
      </c>
      <c r="D39" s="10">
        <f t="shared" si="0"/>
        <v>0.433</v>
      </c>
      <c r="E39" s="10">
        <f t="shared" si="0"/>
        <v>0.435</v>
      </c>
      <c r="F39" s="10">
        <f t="shared" si="0"/>
        <v>0.47299999999999998</v>
      </c>
      <c r="G39" s="10">
        <f t="shared" si="0"/>
        <v>0</v>
      </c>
      <c r="H39" s="10">
        <f t="shared" si="0"/>
        <v>0.44</v>
      </c>
      <c r="I39" s="10">
        <f t="shared" si="0"/>
        <v>0.435</v>
      </c>
      <c r="J39" s="10">
        <f t="shared" si="0"/>
        <v>0.45700000000000002</v>
      </c>
      <c r="K39" s="10">
        <f t="shared" si="0"/>
        <v>0</v>
      </c>
      <c r="L39" s="10">
        <f t="shared" si="0"/>
        <v>0.46500000000000002</v>
      </c>
      <c r="M39" s="10">
        <f t="shared" si="0"/>
        <v>0</v>
      </c>
      <c r="N39" s="10">
        <f t="shared" si="0"/>
        <v>0</v>
      </c>
      <c r="O39" s="10">
        <f t="shared" si="0"/>
        <v>0.442</v>
      </c>
      <c r="P39" s="10">
        <f t="shared" si="0"/>
        <v>0.45</v>
      </c>
      <c r="Q39" s="10">
        <f t="shared" si="0"/>
        <v>0</v>
      </c>
      <c r="R39" s="10">
        <f t="shared" si="0"/>
        <v>0.437</v>
      </c>
      <c r="S39" s="10">
        <f t="shared" si="0"/>
        <v>0</v>
      </c>
      <c r="T39" s="10">
        <f t="shared" si="0"/>
        <v>0.43</v>
      </c>
      <c r="U39" s="10">
        <f t="shared" si="0"/>
        <v>0</v>
      </c>
      <c r="V39" s="10">
        <f t="shared" si="0"/>
        <v>0.45500000000000002</v>
      </c>
      <c r="W39" s="10">
        <f t="shared" si="0"/>
        <v>0.441</v>
      </c>
      <c r="X39" s="10">
        <f t="shared" si="0"/>
        <v>0</v>
      </c>
      <c r="Y39" s="10">
        <f t="shared" si="0"/>
        <v>0.45600000000000002</v>
      </c>
      <c r="Z39" s="10">
        <f t="shared" si="0"/>
        <v>0</v>
      </c>
      <c r="AA39" s="10">
        <f t="shared" si="0"/>
        <v>0.46800000000000003</v>
      </c>
      <c r="AB39" s="10">
        <f t="shared" si="0"/>
        <v>0.49199999999999999</v>
      </c>
      <c r="AC39" s="10">
        <f t="shared" si="0"/>
        <v>0.436</v>
      </c>
      <c r="AD39" s="10">
        <f t="shared" si="0"/>
        <v>0.45100000000000001</v>
      </c>
      <c r="AE39" s="10">
        <f t="shared" si="0"/>
        <v>0.46200000000000002</v>
      </c>
      <c r="AF39" s="10">
        <f t="shared" si="0"/>
        <v>0</v>
      </c>
    </row>
    <row r="40" spans="1:32">
      <c r="A40" s="10" t="s">
        <v>156</v>
      </c>
      <c r="B40" s="61" t="s">
        <v>283</v>
      </c>
      <c r="C40" s="10">
        <f t="shared" si="1"/>
        <v>0.48199999999999998</v>
      </c>
      <c r="D40" s="10">
        <f t="shared" si="0"/>
        <v>0.42499999999999999</v>
      </c>
      <c r="E40" s="10">
        <f t="shared" si="0"/>
        <v>0.44600000000000001</v>
      </c>
      <c r="F40" s="10">
        <f t="shared" si="0"/>
        <v>0.46</v>
      </c>
      <c r="G40" s="10">
        <f t="shared" si="0"/>
        <v>0.44</v>
      </c>
      <c r="H40" s="10">
        <f t="shared" si="0"/>
        <v>0</v>
      </c>
      <c r="I40" s="10">
        <f t="shared" si="0"/>
        <v>0.43</v>
      </c>
      <c r="J40" s="10">
        <f t="shared" si="0"/>
        <v>0.44700000000000001</v>
      </c>
      <c r="K40" s="10">
        <f t="shared" si="0"/>
        <v>0.46400000000000002</v>
      </c>
      <c r="L40" s="10">
        <f t="shared" si="0"/>
        <v>0</v>
      </c>
      <c r="M40" s="10">
        <f t="shared" si="0"/>
        <v>0</v>
      </c>
      <c r="N40" s="10">
        <f t="shared" si="0"/>
        <v>0.47</v>
      </c>
      <c r="O40" s="10">
        <f t="shared" si="0"/>
        <v>0.436</v>
      </c>
      <c r="P40" s="10">
        <f t="shared" si="0"/>
        <v>0.432</v>
      </c>
      <c r="Q40" s="10">
        <f t="shared" si="0"/>
        <v>0</v>
      </c>
      <c r="R40" s="10">
        <f t="shared" si="0"/>
        <v>0.44800000000000001</v>
      </c>
      <c r="S40" s="10">
        <f t="shared" si="0"/>
        <v>0.45</v>
      </c>
      <c r="T40" s="10">
        <f t="shared" si="0"/>
        <v>0.442</v>
      </c>
      <c r="U40" s="10">
        <f t="shared" si="0"/>
        <v>0.45700000000000002</v>
      </c>
      <c r="V40" s="10">
        <f t="shared" si="0"/>
        <v>0.44900000000000001</v>
      </c>
      <c r="W40" s="10">
        <f t="shared" si="0"/>
        <v>0.44500000000000001</v>
      </c>
      <c r="X40" s="10">
        <f t="shared" si="0"/>
        <v>0.48299999999999998</v>
      </c>
      <c r="Y40" s="10">
        <f t="shared" si="0"/>
        <v>0.43099999999999999</v>
      </c>
      <c r="Z40" s="10">
        <f t="shared" si="0"/>
        <v>0</v>
      </c>
      <c r="AA40" s="10">
        <f t="shared" si="0"/>
        <v>0.44900000000000001</v>
      </c>
      <c r="AB40" s="10">
        <f t="shared" si="0"/>
        <v>0.47499999999999998</v>
      </c>
      <c r="AC40" s="10">
        <f t="shared" si="0"/>
        <v>0.43099999999999999</v>
      </c>
      <c r="AD40" s="10">
        <f t="shared" si="0"/>
        <v>0.42799999999999999</v>
      </c>
      <c r="AE40" s="10">
        <f t="shared" si="0"/>
        <v>0.47</v>
      </c>
      <c r="AF40" s="10">
        <f t="shared" si="0"/>
        <v>0</v>
      </c>
    </row>
    <row r="41" spans="1:32">
      <c r="A41" s="10" t="s">
        <v>156</v>
      </c>
      <c r="B41" s="61" t="s">
        <v>284</v>
      </c>
      <c r="C41" s="10">
        <f t="shared" si="1"/>
        <v>0.435</v>
      </c>
      <c r="D41" s="10">
        <f t="shared" si="0"/>
        <v>0.434</v>
      </c>
      <c r="E41" s="10">
        <f t="shared" si="0"/>
        <v>0.43099999999999999</v>
      </c>
      <c r="F41" s="10">
        <f t="shared" si="0"/>
        <v>0.47499999999999998</v>
      </c>
      <c r="G41" s="10">
        <f t="shared" si="0"/>
        <v>0.435</v>
      </c>
      <c r="H41" s="10">
        <f t="shared" si="0"/>
        <v>0.43</v>
      </c>
      <c r="I41" s="10">
        <f t="shared" si="0"/>
        <v>0</v>
      </c>
      <c r="J41" s="10">
        <f t="shared" si="0"/>
        <v>0.437</v>
      </c>
      <c r="K41" s="10">
        <f t="shared" si="0"/>
        <v>0.46800000000000003</v>
      </c>
      <c r="L41" s="10">
        <f t="shared" si="0"/>
        <v>0.48199999999999998</v>
      </c>
      <c r="M41" s="10">
        <f t="shared" si="0"/>
        <v>0.48699999999999999</v>
      </c>
      <c r="N41" s="10">
        <f t="shared" si="0"/>
        <v>0.48399999999999999</v>
      </c>
      <c r="O41" s="10">
        <f t="shared" si="0"/>
        <v>0.44800000000000001</v>
      </c>
      <c r="P41" s="10">
        <f t="shared" si="0"/>
        <v>0.44700000000000001</v>
      </c>
      <c r="Q41" s="10">
        <f t="shared" si="0"/>
        <v>0.46800000000000003</v>
      </c>
      <c r="R41" s="10">
        <f t="shared" si="0"/>
        <v>0.45300000000000001</v>
      </c>
      <c r="S41" s="10">
        <f t="shared" si="0"/>
        <v>0.45700000000000002</v>
      </c>
      <c r="T41" s="10">
        <f t="shared" si="0"/>
        <v>0.42899999999999999</v>
      </c>
      <c r="U41" s="10">
        <f t="shared" si="0"/>
        <v>0.46200000000000002</v>
      </c>
      <c r="V41" s="10">
        <f t="shared" si="0"/>
        <v>0.46200000000000002</v>
      </c>
      <c r="W41" s="10">
        <f t="shared" si="0"/>
        <v>0.42899999999999999</v>
      </c>
      <c r="X41" s="10">
        <f t="shared" si="0"/>
        <v>0.47699999999999998</v>
      </c>
      <c r="Y41" s="10">
        <f t="shared" si="0"/>
        <v>0.441</v>
      </c>
      <c r="Z41" s="10">
        <f t="shared" si="0"/>
        <v>0</v>
      </c>
      <c r="AA41" s="10">
        <f t="shared" si="0"/>
        <v>0.46500000000000002</v>
      </c>
      <c r="AB41" s="10">
        <f t="shared" si="0"/>
        <v>0.47099999999999997</v>
      </c>
      <c r="AC41" s="10">
        <f t="shared" si="0"/>
        <v>0.441</v>
      </c>
      <c r="AD41" s="10">
        <f t="shared" si="0"/>
        <v>0.44400000000000001</v>
      </c>
      <c r="AE41" s="10">
        <f t="shared" si="0"/>
        <v>0.45400000000000001</v>
      </c>
      <c r="AF41" s="10">
        <f t="shared" si="0"/>
        <v>0</v>
      </c>
    </row>
    <row r="42" spans="1:32">
      <c r="A42" s="10" t="s">
        <v>156</v>
      </c>
      <c r="B42" s="61" t="s">
        <v>285</v>
      </c>
      <c r="C42" s="10">
        <f t="shared" si="1"/>
        <v>0.48899999999999999</v>
      </c>
      <c r="D42" s="10">
        <f t="shared" si="0"/>
        <v>0.45500000000000002</v>
      </c>
      <c r="E42" s="10">
        <f t="shared" si="0"/>
        <v>0.443</v>
      </c>
      <c r="F42" s="10">
        <f t="shared" si="0"/>
        <v>0</v>
      </c>
      <c r="G42" s="10">
        <f t="shared" si="0"/>
        <v>0.45700000000000002</v>
      </c>
      <c r="H42" s="10">
        <f t="shared" si="0"/>
        <v>0.44700000000000001</v>
      </c>
      <c r="I42" s="10">
        <f t="shared" si="0"/>
        <v>0.437</v>
      </c>
      <c r="J42" s="10">
        <f t="shared" si="0"/>
        <v>0</v>
      </c>
      <c r="K42" s="10">
        <f t="shared" si="0"/>
        <v>0.45500000000000002</v>
      </c>
      <c r="L42" s="10">
        <f t="shared" si="0"/>
        <v>0</v>
      </c>
      <c r="M42" s="10">
        <f t="shared" si="0"/>
        <v>0.46800000000000003</v>
      </c>
      <c r="N42" s="10">
        <f t="shared" si="0"/>
        <v>0</v>
      </c>
      <c r="O42" s="10">
        <f t="shared" si="0"/>
        <v>0.46800000000000003</v>
      </c>
      <c r="P42" s="10">
        <f t="shared" si="0"/>
        <v>0.46300000000000002</v>
      </c>
      <c r="Q42" s="10">
        <f t="shared" si="0"/>
        <v>0.46500000000000002</v>
      </c>
      <c r="R42" s="10">
        <f t="shared" si="0"/>
        <v>0.47599999999999998</v>
      </c>
      <c r="S42" s="10">
        <f t="shared" si="0"/>
        <v>0.45100000000000001</v>
      </c>
      <c r="T42" s="10">
        <f t="shared" si="0"/>
        <v>0.44500000000000001</v>
      </c>
      <c r="U42" s="10">
        <f t="shared" si="0"/>
        <v>0.45300000000000001</v>
      </c>
      <c r="V42" s="10">
        <f t="shared" si="0"/>
        <v>0</v>
      </c>
      <c r="W42" s="10">
        <f t="shared" si="0"/>
        <v>0.435</v>
      </c>
      <c r="X42" s="10">
        <f t="shared" si="0"/>
        <v>0.44400000000000001</v>
      </c>
      <c r="Y42" s="10">
        <f t="shared" si="0"/>
        <v>0.44500000000000001</v>
      </c>
      <c r="Z42" s="10">
        <f t="shared" si="0"/>
        <v>0</v>
      </c>
      <c r="AA42" s="10">
        <f t="shared" si="0"/>
        <v>0.47799999999999998</v>
      </c>
      <c r="AB42" s="10">
        <f t="shared" si="0"/>
        <v>0.43099999999999999</v>
      </c>
      <c r="AC42" s="10">
        <f t="shared" si="0"/>
        <v>0.46200000000000002</v>
      </c>
      <c r="AD42" s="10">
        <f t="shared" si="0"/>
        <v>0.45700000000000002</v>
      </c>
      <c r="AE42" s="10">
        <f t="shared" si="0"/>
        <v>0.45</v>
      </c>
      <c r="AF42" s="10">
        <f t="shared" si="0"/>
        <v>0</v>
      </c>
    </row>
    <row r="43" spans="1:32">
      <c r="A43" s="10" t="s">
        <v>156</v>
      </c>
      <c r="B43" s="61" t="s">
        <v>308</v>
      </c>
      <c r="C43" s="10">
        <f t="shared" si="1"/>
        <v>0</v>
      </c>
      <c r="D43" s="10">
        <f t="shared" si="0"/>
        <v>0</v>
      </c>
      <c r="E43" s="10">
        <f t="shared" si="0"/>
        <v>0</v>
      </c>
      <c r="F43" s="10">
        <f t="shared" si="0"/>
        <v>0</v>
      </c>
      <c r="G43" s="10">
        <f t="shared" si="0"/>
        <v>0</v>
      </c>
      <c r="H43" s="10">
        <f t="shared" si="0"/>
        <v>0.46400000000000002</v>
      </c>
      <c r="I43" s="10">
        <f t="shared" si="0"/>
        <v>0.46800000000000003</v>
      </c>
      <c r="J43" s="10">
        <f t="shared" si="0"/>
        <v>0.45500000000000002</v>
      </c>
      <c r="K43" s="10">
        <f t="shared" si="0"/>
        <v>0</v>
      </c>
      <c r="L43" s="10">
        <f t="shared" si="0"/>
        <v>0</v>
      </c>
      <c r="M43" s="10">
        <f t="shared" si="0"/>
        <v>0.441</v>
      </c>
      <c r="N43" s="10">
        <f t="shared" si="0"/>
        <v>0</v>
      </c>
      <c r="O43" s="10">
        <f t="shared" si="0"/>
        <v>0</v>
      </c>
      <c r="P43" s="10">
        <f t="shared" si="0"/>
        <v>0</v>
      </c>
      <c r="Q43" s="10">
        <f t="shared" si="0"/>
        <v>0</v>
      </c>
      <c r="R43" s="10">
        <f t="shared" si="0"/>
        <v>0</v>
      </c>
      <c r="S43" s="10">
        <f t="shared" si="0"/>
        <v>0.43</v>
      </c>
      <c r="T43" s="10">
        <f t="shared" si="0"/>
        <v>0</v>
      </c>
      <c r="U43" s="10">
        <f t="shared" si="0"/>
        <v>0.42299999999999999</v>
      </c>
      <c r="V43" s="10">
        <f t="shared" si="0"/>
        <v>0</v>
      </c>
      <c r="W43" s="10">
        <f t="shared" si="0"/>
        <v>0</v>
      </c>
      <c r="X43" s="10">
        <f t="shared" si="0"/>
        <v>0.45100000000000001</v>
      </c>
      <c r="Y43" s="10">
        <f t="shared" si="0"/>
        <v>0.44900000000000001</v>
      </c>
      <c r="Z43" s="10">
        <f t="shared" si="0"/>
        <v>0</v>
      </c>
      <c r="AA43" s="10">
        <f t="shared" si="0"/>
        <v>0</v>
      </c>
      <c r="AB43" s="10">
        <f t="shared" si="0"/>
        <v>0.442</v>
      </c>
      <c r="AC43" s="10">
        <f t="shared" si="0"/>
        <v>0</v>
      </c>
      <c r="AD43" s="10">
        <f t="shared" si="0"/>
        <v>0.46300000000000002</v>
      </c>
      <c r="AE43" s="10">
        <f t="shared" si="0"/>
        <v>0</v>
      </c>
      <c r="AF43" s="10">
        <f t="shared" si="0"/>
        <v>0</v>
      </c>
    </row>
    <row r="44" spans="1:32">
      <c r="A44" s="10" t="s">
        <v>156</v>
      </c>
      <c r="B44" s="61" t="s">
        <v>286</v>
      </c>
      <c r="C44" s="10">
        <f t="shared" si="1"/>
        <v>0.42399999999999999</v>
      </c>
      <c r="D44" s="10">
        <f t="shared" si="0"/>
        <v>0.48299999999999998</v>
      </c>
      <c r="E44" s="10">
        <f t="shared" si="0"/>
        <v>0.47</v>
      </c>
      <c r="F44" s="10">
        <f t="shared" si="0"/>
        <v>0</v>
      </c>
      <c r="G44" s="10">
        <f t="shared" si="0"/>
        <v>0.46500000000000002</v>
      </c>
      <c r="H44" s="10">
        <f t="shared" si="0"/>
        <v>0</v>
      </c>
      <c r="I44" s="10">
        <f t="shared" si="0"/>
        <v>0.48199999999999998</v>
      </c>
      <c r="J44" s="10">
        <f t="shared" si="0"/>
        <v>0</v>
      </c>
      <c r="K44" s="10">
        <f t="shared" si="0"/>
        <v>0</v>
      </c>
      <c r="L44" s="10">
        <f t="shared" si="0"/>
        <v>0</v>
      </c>
      <c r="M44" s="10">
        <f t="shared" si="0"/>
        <v>0</v>
      </c>
      <c r="N44" s="10">
        <f t="shared" si="0"/>
        <v>0</v>
      </c>
      <c r="O44" s="10">
        <f t="shared" si="0"/>
        <v>0.48599999999999999</v>
      </c>
      <c r="P44" s="10">
        <f t="shared" si="0"/>
        <v>0</v>
      </c>
      <c r="Q44" s="10">
        <f t="shared" si="0"/>
        <v>0.47599999999999998</v>
      </c>
      <c r="R44" s="10">
        <f t="shared" si="0"/>
        <v>0.47</v>
      </c>
      <c r="S44" s="10">
        <f t="shared" si="0"/>
        <v>0</v>
      </c>
      <c r="T44" s="10">
        <f t="shared" si="0"/>
        <v>0.46899999999999997</v>
      </c>
      <c r="U44" s="10">
        <f t="shared" si="0"/>
        <v>0</v>
      </c>
      <c r="V44" s="10">
        <f t="shared" si="0"/>
        <v>0</v>
      </c>
      <c r="W44" s="10">
        <f t="shared" si="0"/>
        <v>0.47699999999999998</v>
      </c>
      <c r="X44" s="10">
        <f t="shared" si="0"/>
        <v>0</v>
      </c>
      <c r="Y44" s="10">
        <f t="shared" si="0"/>
        <v>0</v>
      </c>
      <c r="Z44" s="10">
        <f t="shared" si="0"/>
        <v>0.432</v>
      </c>
      <c r="AA44" s="10">
        <f t="shared" si="0"/>
        <v>0</v>
      </c>
      <c r="AB44" s="10">
        <f t="shared" si="0"/>
        <v>0</v>
      </c>
      <c r="AC44" s="10">
        <f t="shared" si="0"/>
        <v>0.48199999999999998</v>
      </c>
      <c r="AD44" s="10">
        <f t="shared" si="0"/>
        <v>0</v>
      </c>
      <c r="AE44" s="10">
        <f t="shared" si="0"/>
        <v>0.47899999999999998</v>
      </c>
      <c r="AF44" s="10">
        <f t="shared" si="0"/>
        <v>0</v>
      </c>
    </row>
    <row r="45" spans="1:32">
      <c r="A45" s="10" t="s">
        <v>156</v>
      </c>
      <c r="B45" s="61" t="s">
        <v>287</v>
      </c>
      <c r="C45" s="10">
        <f t="shared" si="1"/>
        <v>0</v>
      </c>
      <c r="D45" s="10">
        <f t="shared" si="0"/>
        <v>0</v>
      </c>
      <c r="E45" s="10">
        <f t="shared" si="0"/>
        <v>0</v>
      </c>
      <c r="F45" s="10">
        <f t="shared" si="0"/>
        <v>0</v>
      </c>
      <c r="G45" s="10">
        <f t="shared" si="0"/>
        <v>0</v>
      </c>
      <c r="H45" s="10">
        <f t="shared" si="0"/>
        <v>0</v>
      </c>
      <c r="I45" s="10">
        <f t="shared" si="0"/>
        <v>0.48699999999999999</v>
      </c>
      <c r="J45" s="10">
        <f t="shared" si="0"/>
        <v>0.46800000000000003</v>
      </c>
      <c r="K45" s="10">
        <f t="shared" si="0"/>
        <v>0.441</v>
      </c>
      <c r="L45" s="10">
        <f t="shared" si="0"/>
        <v>0</v>
      </c>
      <c r="M45" s="10">
        <f t="shared" ref="D45:AF54" si="2">ROUND(IF(M15&gt;0, ((0.0014*M15+13.97)/1.15)*(10^12)/(1000*29308)/1000000, 0),3)</f>
        <v>0</v>
      </c>
      <c r="N45" s="10">
        <f t="shared" si="2"/>
        <v>0</v>
      </c>
      <c r="O45" s="10">
        <f t="shared" si="2"/>
        <v>0</v>
      </c>
      <c r="P45" s="10">
        <f t="shared" si="2"/>
        <v>0</v>
      </c>
      <c r="Q45" s="10">
        <f t="shared" si="2"/>
        <v>0</v>
      </c>
      <c r="R45" s="10">
        <f t="shared" si="2"/>
        <v>0</v>
      </c>
      <c r="S45" s="10">
        <f t="shared" si="2"/>
        <v>0.45700000000000002</v>
      </c>
      <c r="T45" s="10">
        <f t="shared" si="2"/>
        <v>0</v>
      </c>
      <c r="U45" s="10">
        <f t="shared" si="2"/>
        <v>0.45</v>
      </c>
      <c r="V45" s="10">
        <f t="shared" si="2"/>
        <v>0</v>
      </c>
      <c r="W45" s="10">
        <f t="shared" si="2"/>
        <v>0</v>
      </c>
      <c r="X45" s="10">
        <f t="shared" si="2"/>
        <v>0.45600000000000002</v>
      </c>
      <c r="Y45" s="10">
        <f t="shared" si="2"/>
        <v>0.47399999999999998</v>
      </c>
      <c r="Z45" s="10">
        <f t="shared" si="2"/>
        <v>0</v>
      </c>
      <c r="AA45" s="10">
        <f t="shared" si="2"/>
        <v>0</v>
      </c>
      <c r="AB45" s="10">
        <f t="shared" si="2"/>
        <v>0.435</v>
      </c>
      <c r="AC45" s="10">
        <f t="shared" si="2"/>
        <v>0</v>
      </c>
      <c r="AD45" s="10">
        <f t="shared" si="2"/>
        <v>0</v>
      </c>
      <c r="AE45" s="10">
        <f t="shared" si="2"/>
        <v>0</v>
      </c>
      <c r="AF45" s="10">
        <f t="shared" si="2"/>
        <v>0</v>
      </c>
    </row>
    <row r="46" spans="1:32">
      <c r="A46" s="10" t="s">
        <v>156</v>
      </c>
      <c r="B46" s="61" t="s">
        <v>288</v>
      </c>
      <c r="C46" s="10">
        <f t="shared" si="1"/>
        <v>0</v>
      </c>
      <c r="D46" s="10">
        <f t="shared" si="2"/>
        <v>0.47499999999999998</v>
      </c>
      <c r="E46" s="10">
        <f t="shared" si="2"/>
        <v>0.42699999999999999</v>
      </c>
      <c r="F46" s="10">
        <f t="shared" si="2"/>
        <v>0</v>
      </c>
      <c r="G46" s="10">
        <f t="shared" si="2"/>
        <v>0.42899999999999999</v>
      </c>
      <c r="H46" s="10">
        <f t="shared" si="2"/>
        <v>0.48199999999999998</v>
      </c>
      <c r="I46" s="10">
        <f t="shared" si="2"/>
        <v>0.435</v>
      </c>
      <c r="J46" s="10">
        <f t="shared" si="2"/>
        <v>0.48899999999999999</v>
      </c>
      <c r="K46" s="10">
        <f t="shared" si="2"/>
        <v>0</v>
      </c>
      <c r="L46" s="10">
        <f t="shared" si="2"/>
        <v>0.42399999999999999</v>
      </c>
      <c r="M46" s="10">
        <f t="shared" si="2"/>
        <v>0</v>
      </c>
      <c r="N46" s="10">
        <f t="shared" si="2"/>
        <v>0.50600000000000001</v>
      </c>
      <c r="O46" s="10">
        <f t="shared" si="2"/>
        <v>0.48</v>
      </c>
      <c r="P46" s="10">
        <f t="shared" si="2"/>
        <v>0.49099999999999999</v>
      </c>
      <c r="Q46" s="10">
        <f t="shared" si="2"/>
        <v>0.46800000000000003</v>
      </c>
      <c r="R46" s="10">
        <f t="shared" si="2"/>
        <v>0.45600000000000002</v>
      </c>
      <c r="S46" s="10">
        <f t="shared" si="2"/>
        <v>0</v>
      </c>
      <c r="T46" s="10">
        <f t="shared" si="2"/>
        <v>0.46</v>
      </c>
      <c r="U46" s="10">
        <f t="shared" si="2"/>
        <v>0</v>
      </c>
      <c r="V46" s="10">
        <f t="shared" si="2"/>
        <v>0.49</v>
      </c>
      <c r="W46" s="10">
        <f t="shared" si="2"/>
        <v>0.46800000000000003</v>
      </c>
      <c r="X46" s="10">
        <f t="shared" si="2"/>
        <v>0.52700000000000002</v>
      </c>
      <c r="Y46" s="10">
        <f t="shared" si="2"/>
        <v>0.498</v>
      </c>
      <c r="Z46" s="10">
        <f t="shared" si="2"/>
        <v>0.438</v>
      </c>
      <c r="AA46" s="10">
        <f t="shared" si="2"/>
        <v>0.50800000000000001</v>
      </c>
      <c r="AB46" s="10">
        <f t="shared" si="2"/>
        <v>0.52300000000000002</v>
      </c>
      <c r="AC46" s="10">
        <f t="shared" si="2"/>
        <v>0.47599999999999998</v>
      </c>
      <c r="AD46" s="10">
        <f t="shared" si="2"/>
        <v>0.49299999999999999</v>
      </c>
      <c r="AE46" s="10">
        <f t="shared" si="2"/>
        <v>0.439</v>
      </c>
      <c r="AF46" s="10">
        <f t="shared" si="2"/>
        <v>0</v>
      </c>
    </row>
    <row r="47" spans="1:32">
      <c r="A47" s="10" t="s">
        <v>156</v>
      </c>
      <c r="B47" s="61" t="s">
        <v>289</v>
      </c>
      <c r="C47" s="10">
        <f t="shared" si="1"/>
        <v>0.50600000000000001</v>
      </c>
      <c r="D47" s="10">
        <f t="shared" si="2"/>
        <v>0.46400000000000002</v>
      </c>
      <c r="E47" s="10">
        <f t="shared" si="2"/>
        <v>0</v>
      </c>
      <c r="F47" s="10">
        <f t="shared" si="2"/>
        <v>0.433</v>
      </c>
      <c r="G47" s="10">
        <f t="shared" si="2"/>
        <v>0</v>
      </c>
      <c r="H47" s="10">
        <f t="shared" si="2"/>
        <v>0.47</v>
      </c>
      <c r="I47" s="10">
        <f t="shared" si="2"/>
        <v>0.48399999999999999</v>
      </c>
      <c r="J47" s="10">
        <f t="shared" si="2"/>
        <v>0</v>
      </c>
      <c r="K47" s="10">
        <f t="shared" si="2"/>
        <v>0</v>
      </c>
      <c r="L47" s="10">
        <f t="shared" si="2"/>
        <v>0</v>
      </c>
      <c r="M47" s="10">
        <f t="shared" si="2"/>
        <v>0</v>
      </c>
      <c r="N47" s="10">
        <f t="shared" si="2"/>
        <v>0</v>
      </c>
      <c r="O47" s="10">
        <f t="shared" si="2"/>
        <v>0.45</v>
      </c>
      <c r="P47" s="10">
        <f t="shared" si="2"/>
        <v>0.45400000000000001</v>
      </c>
      <c r="Q47" s="10">
        <f t="shared" si="2"/>
        <v>0</v>
      </c>
      <c r="R47" s="10">
        <f t="shared" si="2"/>
        <v>0.45600000000000002</v>
      </c>
      <c r="S47" s="10">
        <f t="shared" si="2"/>
        <v>0</v>
      </c>
      <c r="T47" s="10">
        <f t="shared" si="2"/>
        <v>0</v>
      </c>
      <c r="U47" s="10">
        <f t="shared" si="2"/>
        <v>0</v>
      </c>
      <c r="V47" s="10">
        <f t="shared" si="2"/>
        <v>0.436</v>
      </c>
      <c r="W47" s="10">
        <f t="shared" si="2"/>
        <v>0</v>
      </c>
      <c r="X47" s="10">
        <f t="shared" si="2"/>
        <v>0</v>
      </c>
      <c r="Y47" s="10">
        <f t="shared" si="2"/>
        <v>0.47599999999999998</v>
      </c>
      <c r="Z47" s="10">
        <f t="shared" si="2"/>
        <v>0</v>
      </c>
      <c r="AA47" s="10">
        <f t="shared" si="2"/>
        <v>0.44700000000000001</v>
      </c>
      <c r="AB47" s="10">
        <f t="shared" si="2"/>
        <v>0</v>
      </c>
      <c r="AC47" s="10">
        <f t="shared" si="2"/>
        <v>0.45700000000000002</v>
      </c>
      <c r="AD47" s="10">
        <f t="shared" si="2"/>
        <v>0.46100000000000002</v>
      </c>
      <c r="AE47" s="10">
        <f t="shared" si="2"/>
        <v>0</v>
      </c>
      <c r="AF47" s="10">
        <f t="shared" si="2"/>
        <v>0.45100000000000001</v>
      </c>
    </row>
    <row r="48" spans="1:32">
      <c r="A48" s="10" t="s">
        <v>156</v>
      </c>
      <c r="B48" s="61" t="s">
        <v>290</v>
      </c>
      <c r="C48" s="10">
        <f t="shared" si="1"/>
        <v>0.48</v>
      </c>
      <c r="D48" s="10">
        <f t="shared" si="2"/>
        <v>0.42799999999999999</v>
      </c>
      <c r="E48" s="10">
        <f t="shared" si="2"/>
        <v>0.45900000000000002</v>
      </c>
      <c r="F48" s="10">
        <f t="shared" si="2"/>
        <v>0.44600000000000001</v>
      </c>
      <c r="G48" s="10">
        <f t="shared" si="2"/>
        <v>0.442</v>
      </c>
      <c r="H48" s="10">
        <f t="shared" si="2"/>
        <v>0.436</v>
      </c>
      <c r="I48" s="10">
        <f t="shared" si="2"/>
        <v>0.44800000000000001</v>
      </c>
      <c r="J48" s="10">
        <f t="shared" si="2"/>
        <v>0.46800000000000003</v>
      </c>
      <c r="K48" s="10">
        <f t="shared" si="2"/>
        <v>0</v>
      </c>
      <c r="L48" s="10">
        <f t="shared" si="2"/>
        <v>0.48599999999999999</v>
      </c>
      <c r="M48" s="10">
        <f t="shared" si="2"/>
        <v>0</v>
      </c>
      <c r="N48" s="10">
        <f t="shared" si="2"/>
        <v>0.45</v>
      </c>
      <c r="O48" s="10">
        <f t="shared" si="2"/>
        <v>0</v>
      </c>
      <c r="P48" s="10">
        <f t="shared" si="2"/>
        <v>0.42799999999999999</v>
      </c>
      <c r="Q48" s="10">
        <f t="shared" si="2"/>
        <v>0</v>
      </c>
      <c r="R48" s="10">
        <f t="shared" si="2"/>
        <v>0.432</v>
      </c>
      <c r="S48" s="10">
        <f t="shared" si="2"/>
        <v>0.46700000000000003</v>
      </c>
      <c r="T48" s="10">
        <f t="shared" si="2"/>
        <v>0.45300000000000001</v>
      </c>
      <c r="U48" s="10">
        <f t="shared" si="2"/>
        <v>0</v>
      </c>
      <c r="V48" s="10">
        <f t="shared" si="2"/>
        <v>0.42899999999999999</v>
      </c>
      <c r="W48" s="10">
        <f t="shared" si="2"/>
        <v>0.46100000000000002</v>
      </c>
      <c r="X48" s="10">
        <f t="shared" si="2"/>
        <v>0</v>
      </c>
      <c r="Y48" s="10">
        <f t="shared" si="2"/>
        <v>0.44800000000000001</v>
      </c>
      <c r="Z48" s="10">
        <f t="shared" si="2"/>
        <v>0</v>
      </c>
      <c r="AA48" s="10">
        <f t="shared" si="2"/>
        <v>0.443</v>
      </c>
      <c r="AB48" s="10">
        <f t="shared" si="2"/>
        <v>0.496</v>
      </c>
      <c r="AC48" s="10">
        <f t="shared" si="2"/>
        <v>0.42199999999999999</v>
      </c>
      <c r="AD48" s="10">
        <f t="shared" si="2"/>
        <v>0.434</v>
      </c>
      <c r="AE48" s="10">
        <f t="shared" si="2"/>
        <v>0</v>
      </c>
      <c r="AF48" s="10">
        <f t="shared" si="2"/>
        <v>0</v>
      </c>
    </row>
    <row r="49" spans="1:32">
      <c r="A49" s="10" t="s">
        <v>156</v>
      </c>
      <c r="B49" s="61" t="s">
        <v>291</v>
      </c>
      <c r="C49" s="10">
        <f t="shared" si="1"/>
        <v>0.49099999999999999</v>
      </c>
      <c r="D49" s="10">
        <f t="shared" si="2"/>
        <v>0.43099999999999999</v>
      </c>
      <c r="E49" s="10">
        <f t="shared" si="2"/>
        <v>0.46200000000000002</v>
      </c>
      <c r="F49" s="10">
        <f t="shared" si="2"/>
        <v>0.442</v>
      </c>
      <c r="G49" s="10">
        <f t="shared" si="2"/>
        <v>0.45</v>
      </c>
      <c r="H49" s="10">
        <f t="shared" si="2"/>
        <v>0.432</v>
      </c>
      <c r="I49" s="10">
        <f t="shared" si="2"/>
        <v>0.44700000000000001</v>
      </c>
      <c r="J49" s="10">
        <f t="shared" si="2"/>
        <v>0.46300000000000002</v>
      </c>
      <c r="K49" s="10">
        <f t="shared" si="2"/>
        <v>0</v>
      </c>
      <c r="L49" s="10">
        <f t="shared" si="2"/>
        <v>0</v>
      </c>
      <c r="M49" s="10">
        <f t="shared" si="2"/>
        <v>0</v>
      </c>
      <c r="N49" s="10">
        <f t="shared" si="2"/>
        <v>0.45400000000000001</v>
      </c>
      <c r="O49" s="10">
        <f t="shared" si="2"/>
        <v>0.42799999999999999</v>
      </c>
      <c r="P49" s="10">
        <f t="shared" si="2"/>
        <v>0</v>
      </c>
      <c r="Q49" s="10">
        <f t="shared" si="2"/>
        <v>0</v>
      </c>
      <c r="R49" s="10">
        <f t="shared" si="2"/>
        <v>0.44600000000000001</v>
      </c>
      <c r="S49" s="10">
        <f t="shared" si="2"/>
        <v>0.45400000000000001</v>
      </c>
      <c r="T49" s="10">
        <f t="shared" si="2"/>
        <v>0.45700000000000002</v>
      </c>
      <c r="U49" s="10">
        <f t="shared" si="2"/>
        <v>0.46200000000000002</v>
      </c>
      <c r="V49" s="10">
        <f t="shared" si="2"/>
        <v>0.435</v>
      </c>
      <c r="W49" s="10">
        <f t="shared" si="2"/>
        <v>0.46200000000000002</v>
      </c>
      <c r="X49" s="10">
        <f t="shared" si="2"/>
        <v>0</v>
      </c>
      <c r="Y49" s="10">
        <f t="shared" si="2"/>
        <v>0.437</v>
      </c>
      <c r="Z49" s="10">
        <f t="shared" si="2"/>
        <v>0</v>
      </c>
      <c r="AA49" s="10">
        <f t="shared" si="2"/>
        <v>0.433</v>
      </c>
      <c r="AB49" s="10">
        <f t="shared" si="2"/>
        <v>0.48699999999999999</v>
      </c>
      <c r="AC49" s="10">
        <f t="shared" si="2"/>
        <v>0.43</v>
      </c>
      <c r="AD49" s="10">
        <f t="shared" si="2"/>
        <v>0.42199999999999999</v>
      </c>
      <c r="AE49" s="10">
        <f t="shared" si="2"/>
        <v>0</v>
      </c>
      <c r="AF49" s="10">
        <f t="shared" si="2"/>
        <v>0</v>
      </c>
    </row>
    <row r="50" spans="1:32">
      <c r="A50" s="10" t="s">
        <v>156</v>
      </c>
      <c r="B50" s="61" t="s">
        <v>292</v>
      </c>
      <c r="C50" s="10">
        <f t="shared" si="1"/>
        <v>0.46800000000000003</v>
      </c>
      <c r="D50" s="10">
        <f t="shared" si="2"/>
        <v>0</v>
      </c>
      <c r="E50" s="10">
        <f t="shared" si="2"/>
        <v>0.45300000000000001</v>
      </c>
      <c r="F50" s="10">
        <f t="shared" si="2"/>
        <v>0</v>
      </c>
      <c r="G50" s="10">
        <f t="shared" si="2"/>
        <v>0</v>
      </c>
      <c r="H50" s="10">
        <f t="shared" si="2"/>
        <v>0</v>
      </c>
      <c r="I50" s="10">
        <f t="shared" si="2"/>
        <v>0.46800000000000003</v>
      </c>
      <c r="J50" s="10">
        <f t="shared" si="2"/>
        <v>0.46500000000000002</v>
      </c>
      <c r="K50" s="10">
        <f t="shared" si="2"/>
        <v>0</v>
      </c>
      <c r="L50" s="10">
        <f t="shared" si="2"/>
        <v>0.47599999999999998</v>
      </c>
      <c r="M50" s="10">
        <f t="shared" si="2"/>
        <v>0</v>
      </c>
      <c r="N50" s="10">
        <f t="shared" si="2"/>
        <v>0</v>
      </c>
      <c r="O50" s="10">
        <f t="shared" si="2"/>
        <v>0</v>
      </c>
      <c r="P50" s="10">
        <f t="shared" si="2"/>
        <v>0</v>
      </c>
      <c r="Q50" s="10">
        <f t="shared" si="2"/>
        <v>0</v>
      </c>
      <c r="R50" s="10">
        <f t="shared" si="2"/>
        <v>0</v>
      </c>
      <c r="S50" s="10">
        <f t="shared" si="2"/>
        <v>0</v>
      </c>
      <c r="T50" s="10">
        <f t="shared" si="2"/>
        <v>0.45800000000000002</v>
      </c>
      <c r="U50" s="10">
        <f t="shared" si="2"/>
        <v>0</v>
      </c>
      <c r="V50" s="10">
        <f t="shared" si="2"/>
        <v>0</v>
      </c>
      <c r="W50" s="10">
        <f t="shared" si="2"/>
        <v>0.45300000000000001</v>
      </c>
      <c r="X50" s="10">
        <f t="shared" si="2"/>
        <v>0.48799999999999999</v>
      </c>
      <c r="Y50" s="10">
        <f t="shared" si="2"/>
        <v>0</v>
      </c>
      <c r="Z50" s="10">
        <f t="shared" si="2"/>
        <v>0</v>
      </c>
      <c r="AA50" s="10">
        <f t="shared" si="2"/>
        <v>0</v>
      </c>
      <c r="AB50" s="10">
        <f t="shared" si="2"/>
        <v>0</v>
      </c>
      <c r="AC50" s="10">
        <f t="shared" si="2"/>
        <v>0</v>
      </c>
      <c r="AD50" s="10">
        <f t="shared" si="2"/>
        <v>0</v>
      </c>
      <c r="AE50" s="10">
        <f t="shared" si="2"/>
        <v>0.43</v>
      </c>
      <c r="AF50" s="10">
        <f t="shared" si="2"/>
        <v>0</v>
      </c>
    </row>
    <row r="51" spans="1:32">
      <c r="A51" s="10" t="s">
        <v>156</v>
      </c>
      <c r="B51" s="61" t="s">
        <v>293</v>
      </c>
      <c r="C51" s="10">
        <f t="shared" si="1"/>
        <v>0.45600000000000002</v>
      </c>
      <c r="D51" s="10">
        <f t="shared" si="2"/>
        <v>0.438</v>
      </c>
      <c r="E51" s="10">
        <f t="shared" si="2"/>
        <v>0.45800000000000002</v>
      </c>
      <c r="F51" s="10">
        <f t="shared" si="2"/>
        <v>0.45900000000000002</v>
      </c>
      <c r="G51" s="10">
        <f t="shared" si="2"/>
        <v>0.437</v>
      </c>
      <c r="H51" s="10">
        <f t="shared" si="2"/>
        <v>0.44800000000000001</v>
      </c>
      <c r="I51" s="10">
        <f t="shared" si="2"/>
        <v>0.45300000000000001</v>
      </c>
      <c r="J51" s="10">
        <f t="shared" si="2"/>
        <v>0.47599999999999998</v>
      </c>
      <c r="K51" s="10">
        <f t="shared" si="2"/>
        <v>0</v>
      </c>
      <c r="L51" s="10">
        <f t="shared" si="2"/>
        <v>0.47</v>
      </c>
      <c r="M51" s="10">
        <f t="shared" si="2"/>
        <v>0</v>
      </c>
      <c r="N51" s="10">
        <f t="shared" si="2"/>
        <v>0.45600000000000002</v>
      </c>
      <c r="O51" s="10">
        <f t="shared" si="2"/>
        <v>0.432</v>
      </c>
      <c r="P51" s="10">
        <f t="shared" si="2"/>
        <v>0.44600000000000001</v>
      </c>
      <c r="Q51" s="10">
        <f t="shared" si="2"/>
        <v>0</v>
      </c>
      <c r="R51" s="10">
        <f t="shared" si="2"/>
        <v>0</v>
      </c>
      <c r="S51" s="10">
        <f t="shared" si="2"/>
        <v>0</v>
      </c>
      <c r="T51" s="10">
        <f t="shared" si="2"/>
        <v>0.45200000000000001</v>
      </c>
      <c r="U51" s="10">
        <f t="shared" si="2"/>
        <v>0</v>
      </c>
      <c r="V51" s="10">
        <f t="shared" si="2"/>
        <v>0.439</v>
      </c>
      <c r="W51" s="10">
        <f t="shared" si="2"/>
        <v>0.46300000000000002</v>
      </c>
      <c r="X51" s="10">
        <f t="shared" si="2"/>
        <v>0</v>
      </c>
      <c r="Y51" s="10">
        <f t="shared" si="2"/>
        <v>0.46300000000000002</v>
      </c>
      <c r="Z51" s="10">
        <f t="shared" si="2"/>
        <v>0</v>
      </c>
      <c r="AA51" s="10">
        <f t="shared" si="2"/>
        <v>0.45900000000000002</v>
      </c>
      <c r="AB51" s="10">
        <f t="shared" si="2"/>
        <v>0.50800000000000001</v>
      </c>
      <c r="AC51" s="10">
        <f t="shared" si="2"/>
        <v>0.432</v>
      </c>
      <c r="AD51" s="10">
        <f t="shared" si="2"/>
        <v>0.45100000000000001</v>
      </c>
      <c r="AE51" s="10">
        <f t="shared" si="2"/>
        <v>0.48399999999999999</v>
      </c>
      <c r="AF51" s="10">
        <f t="shared" si="2"/>
        <v>0</v>
      </c>
    </row>
    <row r="52" spans="1:32">
      <c r="A52" s="10" t="s">
        <v>156</v>
      </c>
      <c r="B52" s="61" t="s">
        <v>309</v>
      </c>
      <c r="C52" s="10">
        <f t="shared" si="1"/>
        <v>0</v>
      </c>
      <c r="D52" s="10">
        <f t="shared" si="2"/>
        <v>0.46</v>
      </c>
      <c r="E52" s="10">
        <f t="shared" si="2"/>
        <v>0</v>
      </c>
      <c r="F52" s="10">
        <f t="shared" si="2"/>
        <v>0</v>
      </c>
      <c r="G52" s="10">
        <f t="shared" si="2"/>
        <v>0</v>
      </c>
      <c r="H52" s="10">
        <f t="shared" si="2"/>
        <v>0.45</v>
      </c>
      <c r="I52" s="10">
        <f t="shared" si="2"/>
        <v>0.45700000000000002</v>
      </c>
      <c r="J52" s="10">
        <f t="shared" si="2"/>
        <v>0.45100000000000001</v>
      </c>
      <c r="K52" s="10">
        <f t="shared" si="2"/>
        <v>0.43</v>
      </c>
      <c r="L52" s="10">
        <f t="shared" si="2"/>
        <v>0</v>
      </c>
      <c r="M52" s="10">
        <f t="shared" si="2"/>
        <v>0.45700000000000002</v>
      </c>
      <c r="N52" s="10">
        <f t="shared" si="2"/>
        <v>0</v>
      </c>
      <c r="O52" s="10">
        <f t="shared" si="2"/>
        <v>0.46700000000000003</v>
      </c>
      <c r="P52" s="10">
        <f t="shared" si="2"/>
        <v>0.45400000000000001</v>
      </c>
      <c r="Q52" s="10">
        <f t="shared" si="2"/>
        <v>0</v>
      </c>
      <c r="R52" s="10">
        <f t="shared" si="2"/>
        <v>0</v>
      </c>
      <c r="S52" s="10">
        <f t="shared" si="2"/>
        <v>0</v>
      </c>
      <c r="T52" s="10">
        <f t="shared" si="2"/>
        <v>0</v>
      </c>
      <c r="U52" s="10">
        <f t="shared" si="2"/>
        <v>0.42199999999999999</v>
      </c>
      <c r="V52" s="10">
        <f t="shared" si="2"/>
        <v>0</v>
      </c>
      <c r="W52" s="10">
        <f t="shared" si="2"/>
        <v>0.46600000000000003</v>
      </c>
      <c r="X52" s="10">
        <f t="shared" si="2"/>
        <v>0.46200000000000002</v>
      </c>
      <c r="Y52" s="10">
        <f t="shared" si="2"/>
        <v>0.434</v>
      </c>
      <c r="Z52" s="10">
        <f t="shared" si="2"/>
        <v>0</v>
      </c>
      <c r="AA52" s="10">
        <f t="shared" si="2"/>
        <v>0.45800000000000002</v>
      </c>
      <c r="AB52" s="10">
        <f t="shared" si="2"/>
        <v>0.45300000000000001</v>
      </c>
      <c r="AC52" s="10">
        <f t="shared" si="2"/>
        <v>0.46500000000000002</v>
      </c>
      <c r="AD52" s="10">
        <f t="shared" si="2"/>
        <v>0.44800000000000001</v>
      </c>
      <c r="AE52" s="10">
        <f t="shared" si="2"/>
        <v>0</v>
      </c>
      <c r="AF52" s="10">
        <f t="shared" si="2"/>
        <v>0</v>
      </c>
    </row>
    <row r="53" spans="1:32">
      <c r="A53" s="10" t="s">
        <v>156</v>
      </c>
      <c r="B53" s="61" t="s">
        <v>294</v>
      </c>
      <c r="C53" s="10">
        <f t="shared" ref="C53:R65" si="3">ROUND(IF(C23&gt;0, ((0.0014*C23+13.97)/1.15)*(10^12)/(1000*29308)/1000000, 0),3)</f>
        <v>0.46</v>
      </c>
      <c r="D53" s="10">
        <f t="shared" si="2"/>
        <v>0.441</v>
      </c>
      <c r="E53" s="10">
        <f t="shared" si="2"/>
        <v>0.42</v>
      </c>
      <c r="F53" s="10">
        <f t="shared" si="2"/>
        <v>0</v>
      </c>
      <c r="G53" s="10">
        <f t="shared" si="2"/>
        <v>0.43</v>
      </c>
      <c r="H53" s="10">
        <f t="shared" si="2"/>
        <v>0.442</v>
      </c>
      <c r="I53" s="10">
        <f t="shared" si="2"/>
        <v>0.42899999999999999</v>
      </c>
      <c r="J53" s="10">
        <f t="shared" si="2"/>
        <v>0.44500000000000001</v>
      </c>
      <c r="K53" s="10">
        <f t="shared" si="2"/>
        <v>0</v>
      </c>
      <c r="L53" s="10">
        <f t="shared" si="2"/>
        <v>0.46899999999999997</v>
      </c>
      <c r="M53" s="10">
        <f t="shared" si="2"/>
        <v>0</v>
      </c>
      <c r="N53" s="10">
        <f t="shared" si="2"/>
        <v>0</v>
      </c>
      <c r="O53" s="10">
        <f t="shared" si="2"/>
        <v>0.45300000000000001</v>
      </c>
      <c r="P53" s="10">
        <f t="shared" si="2"/>
        <v>0.45700000000000002</v>
      </c>
      <c r="Q53" s="10">
        <f t="shared" si="2"/>
        <v>0.45800000000000002</v>
      </c>
      <c r="R53" s="10">
        <f t="shared" si="2"/>
        <v>0.45200000000000001</v>
      </c>
      <c r="S53" s="10">
        <f t="shared" si="2"/>
        <v>0</v>
      </c>
      <c r="T53" s="10">
        <f t="shared" si="2"/>
        <v>0</v>
      </c>
      <c r="U53" s="10">
        <f t="shared" si="2"/>
        <v>0</v>
      </c>
      <c r="V53" s="10">
        <f t="shared" si="2"/>
        <v>0</v>
      </c>
      <c r="W53" s="10">
        <f t="shared" si="2"/>
        <v>0.42599999999999999</v>
      </c>
      <c r="X53" s="10">
        <f t="shared" si="2"/>
        <v>0.48499999999999999</v>
      </c>
      <c r="Y53" s="10">
        <f t="shared" si="2"/>
        <v>0.45500000000000002</v>
      </c>
      <c r="Z53" s="10">
        <f t="shared" si="2"/>
        <v>0</v>
      </c>
      <c r="AA53" s="10">
        <f t="shared" si="2"/>
        <v>0</v>
      </c>
      <c r="AB53" s="10">
        <f t="shared" si="2"/>
        <v>0.48</v>
      </c>
      <c r="AC53" s="10">
        <f t="shared" si="2"/>
        <v>0.44600000000000001</v>
      </c>
      <c r="AD53" s="10">
        <f t="shared" si="2"/>
        <v>0.45500000000000002</v>
      </c>
      <c r="AE53" s="10">
        <f t="shared" si="2"/>
        <v>0.44700000000000001</v>
      </c>
      <c r="AF53" s="10">
        <f t="shared" si="2"/>
        <v>0</v>
      </c>
    </row>
    <row r="54" spans="1:32">
      <c r="A54" s="10" t="s">
        <v>156</v>
      </c>
      <c r="B54" s="61" t="s">
        <v>310</v>
      </c>
      <c r="C54" s="10">
        <f t="shared" si="3"/>
        <v>0</v>
      </c>
      <c r="D54" s="10">
        <f t="shared" si="2"/>
        <v>0.46700000000000003</v>
      </c>
      <c r="E54" s="10">
        <f t="shared" si="2"/>
        <v>0</v>
      </c>
      <c r="F54" s="10">
        <f t="shared" si="2"/>
        <v>0</v>
      </c>
      <c r="G54" s="10">
        <f t="shared" ref="D54:AF62" si="4">ROUND(IF(G24&gt;0, ((0.0014*G24+13.97)/1.15)*(10^12)/(1000*29308)/1000000, 0),3)</f>
        <v>0</v>
      </c>
      <c r="H54" s="10">
        <f t="shared" si="4"/>
        <v>0.45700000000000002</v>
      </c>
      <c r="I54" s="10">
        <f t="shared" si="4"/>
        <v>0.46200000000000002</v>
      </c>
      <c r="J54" s="10">
        <f t="shared" si="4"/>
        <v>0.45300000000000001</v>
      </c>
      <c r="K54" s="10">
        <f t="shared" si="4"/>
        <v>0.42299999999999999</v>
      </c>
      <c r="L54" s="10">
        <f t="shared" si="4"/>
        <v>0</v>
      </c>
      <c r="M54" s="10">
        <f t="shared" si="4"/>
        <v>0.45</v>
      </c>
      <c r="N54" s="10">
        <f t="shared" si="4"/>
        <v>0</v>
      </c>
      <c r="O54" s="10">
        <f t="shared" si="4"/>
        <v>0</v>
      </c>
      <c r="P54" s="10">
        <f t="shared" si="4"/>
        <v>0.46200000000000002</v>
      </c>
      <c r="Q54" s="10">
        <f t="shared" si="4"/>
        <v>0</v>
      </c>
      <c r="R54" s="10">
        <f t="shared" si="4"/>
        <v>0</v>
      </c>
      <c r="S54" s="10">
        <f t="shared" si="4"/>
        <v>0.42199999999999999</v>
      </c>
      <c r="T54" s="10">
        <f t="shared" si="4"/>
        <v>0</v>
      </c>
      <c r="U54" s="10">
        <f t="shared" si="4"/>
        <v>0</v>
      </c>
      <c r="V54" s="10">
        <f t="shared" si="4"/>
        <v>0</v>
      </c>
      <c r="W54" s="10">
        <f t="shared" si="4"/>
        <v>0.47</v>
      </c>
      <c r="X54" s="10">
        <f t="shared" si="4"/>
        <v>0.45700000000000002</v>
      </c>
      <c r="Y54" s="10">
        <f t="shared" si="4"/>
        <v>0.441</v>
      </c>
      <c r="Z54" s="10">
        <f t="shared" si="4"/>
        <v>0</v>
      </c>
      <c r="AA54" s="10">
        <f t="shared" si="4"/>
        <v>0.46500000000000002</v>
      </c>
      <c r="AB54" s="10">
        <f t="shared" si="4"/>
        <v>0.44800000000000001</v>
      </c>
      <c r="AC54" s="10">
        <f t="shared" si="4"/>
        <v>0</v>
      </c>
      <c r="AD54" s="10">
        <f t="shared" si="4"/>
        <v>0.45500000000000002</v>
      </c>
      <c r="AE54" s="10">
        <f t="shared" si="4"/>
        <v>0</v>
      </c>
      <c r="AF54" s="10">
        <f t="shared" si="4"/>
        <v>0</v>
      </c>
    </row>
    <row r="55" spans="1:32">
      <c r="A55" s="10" t="s">
        <v>156</v>
      </c>
      <c r="B55" s="61" t="s">
        <v>297</v>
      </c>
      <c r="C55" s="10">
        <f t="shared" si="3"/>
        <v>0.46800000000000003</v>
      </c>
      <c r="D55" s="10">
        <f t="shared" si="4"/>
        <v>0.44800000000000001</v>
      </c>
      <c r="E55" s="10">
        <f t="shared" si="4"/>
        <v>0.42199999999999999</v>
      </c>
      <c r="F55" s="10">
        <f t="shared" si="4"/>
        <v>0</v>
      </c>
      <c r="G55" s="10">
        <f t="shared" si="4"/>
        <v>0.441</v>
      </c>
      <c r="H55" s="10">
        <f t="shared" si="4"/>
        <v>0.44500000000000001</v>
      </c>
      <c r="I55" s="10">
        <f t="shared" si="4"/>
        <v>0.42899999999999999</v>
      </c>
      <c r="J55" s="10">
        <f t="shared" si="4"/>
        <v>0.435</v>
      </c>
      <c r="K55" s="10">
        <f t="shared" si="4"/>
        <v>0</v>
      </c>
      <c r="L55" s="10">
        <f t="shared" si="4"/>
        <v>0.47699999999999998</v>
      </c>
      <c r="M55" s="10">
        <f t="shared" si="4"/>
        <v>0</v>
      </c>
      <c r="N55" s="10">
        <f t="shared" si="4"/>
        <v>0</v>
      </c>
      <c r="O55" s="10">
        <f t="shared" si="4"/>
        <v>0.46100000000000002</v>
      </c>
      <c r="P55" s="10">
        <f t="shared" si="4"/>
        <v>0.46200000000000002</v>
      </c>
      <c r="Q55" s="10">
        <f t="shared" si="4"/>
        <v>0.45300000000000001</v>
      </c>
      <c r="R55" s="10">
        <f t="shared" si="4"/>
        <v>0.46300000000000002</v>
      </c>
      <c r="S55" s="10">
        <f t="shared" si="4"/>
        <v>0.46600000000000003</v>
      </c>
      <c r="T55" s="10">
        <f t="shared" si="4"/>
        <v>0.42599999999999999</v>
      </c>
      <c r="U55" s="10">
        <f t="shared" si="4"/>
        <v>0.47</v>
      </c>
      <c r="V55" s="10">
        <f t="shared" si="4"/>
        <v>0</v>
      </c>
      <c r="W55" s="10">
        <f t="shared" si="4"/>
        <v>0</v>
      </c>
      <c r="X55" s="10">
        <f t="shared" si="4"/>
        <v>0.47399999999999998</v>
      </c>
      <c r="Y55" s="10">
        <f t="shared" si="4"/>
        <v>0.45400000000000001</v>
      </c>
      <c r="Z55" s="10">
        <f t="shared" si="4"/>
        <v>0</v>
      </c>
      <c r="AA55" s="10">
        <f t="shared" si="4"/>
        <v>0</v>
      </c>
      <c r="AB55" s="10">
        <f t="shared" si="4"/>
        <v>0.47</v>
      </c>
      <c r="AC55" s="10">
        <f t="shared" si="4"/>
        <v>0.45400000000000001</v>
      </c>
      <c r="AD55" s="10">
        <f t="shared" si="4"/>
        <v>0.45900000000000002</v>
      </c>
      <c r="AE55" s="10">
        <f t="shared" si="4"/>
        <v>0.44</v>
      </c>
      <c r="AF55" s="10">
        <f t="shared" si="4"/>
        <v>0</v>
      </c>
    </row>
    <row r="56" spans="1:32">
      <c r="A56" s="10" t="s">
        <v>156</v>
      </c>
      <c r="B56" s="61" t="s">
        <v>298</v>
      </c>
      <c r="C56" s="10">
        <f t="shared" si="3"/>
        <v>0.52700000000000002</v>
      </c>
      <c r="D56" s="10">
        <f t="shared" si="4"/>
        <v>0</v>
      </c>
      <c r="E56" s="10">
        <f t="shared" si="4"/>
        <v>0.48199999999999998</v>
      </c>
      <c r="F56" s="10">
        <f t="shared" si="4"/>
        <v>0</v>
      </c>
      <c r="G56" s="10">
        <f t="shared" si="4"/>
        <v>0</v>
      </c>
      <c r="H56" s="10">
        <f t="shared" si="4"/>
        <v>0.48299999999999998</v>
      </c>
      <c r="I56" s="10">
        <f t="shared" si="4"/>
        <v>0.47699999999999998</v>
      </c>
      <c r="J56" s="10">
        <f t="shared" si="4"/>
        <v>0.44400000000000001</v>
      </c>
      <c r="K56" s="10">
        <f t="shared" si="4"/>
        <v>0.45100000000000001</v>
      </c>
      <c r="L56" s="10">
        <f t="shared" si="4"/>
        <v>0</v>
      </c>
      <c r="M56" s="10">
        <f t="shared" si="4"/>
        <v>0.45600000000000002</v>
      </c>
      <c r="N56" s="10">
        <f t="shared" si="4"/>
        <v>0</v>
      </c>
      <c r="O56" s="10">
        <f t="shared" si="4"/>
        <v>0</v>
      </c>
      <c r="P56" s="10">
        <f t="shared" si="4"/>
        <v>0</v>
      </c>
      <c r="Q56" s="10">
        <f t="shared" si="4"/>
        <v>0.48799999999999999</v>
      </c>
      <c r="R56" s="10">
        <f t="shared" si="4"/>
        <v>0</v>
      </c>
      <c r="S56" s="10">
        <f t="shared" si="4"/>
        <v>0.46200000000000002</v>
      </c>
      <c r="T56" s="10">
        <f t="shared" si="4"/>
        <v>0.48499999999999999</v>
      </c>
      <c r="U56" s="10">
        <f t="shared" si="4"/>
        <v>0.45700000000000002</v>
      </c>
      <c r="V56" s="10">
        <f t="shared" si="4"/>
        <v>0</v>
      </c>
      <c r="W56" s="10">
        <f t="shared" si="4"/>
        <v>0.47399999999999998</v>
      </c>
      <c r="X56" s="10">
        <f t="shared" si="4"/>
        <v>0</v>
      </c>
      <c r="Y56" s="10">
        <f t="shared" si="4"/>
        <v>0.47299999999999998</v>
      </c>
      <c r="Z56" s="10">
        <f t="shared" si="4"/>
        <v>0</v>
      </c>
      <c r="AA56" s="10">
        <f t="shared" si="4"/>
        <v>0</v>
      </c>
      <c r="AB56" s="10">
        <f t="shared" si="4"/>
        <v>0.42399999999999999</v>
      </c>
      <c r="AC56" s="10">
        <f t="shared" si="4"/>
        <v>0</v>
      </c>
      <c r="AD56" s="10">
        <f t="shared" si="4"/>
        <v>0</v>
      </c>
      <c r="AE56" s="10">
        <f t="shared" si="4"/>
        <v>0.47599999999999998</v>
      </c>
      <c r="AF56" s="10">
        <f t="shared" si="4"/>
        <v>0</v>
      </c>
    </row>
    <row r="57" spans="1:32">
      <c r="A57" s="10" t="s">
        <v>156</v>
      </c>
      <c r="B57" s="61" t="s">
        <v>357</v>
      </c>
      <c r="C57" s="10">
        <f t="shared" si="3"/>
        <v>0.49</v>
      </c>
      <c r="D57" s="10">
        <f t="shared" si="4"/>
        <v>0.442</v>
      </c>
      <c r="E57" s="10">
        <f t="shared" si="4"/>
        <v>0</v>
      </c>
      <c r="F57" s="10">
        <f t="shared" si="4"/>
        <v>0.435</v>
      </c>
      <c r="G57" s="10">
        <f t="shared" si="4"/>
        <v>0.45500000000000002</v>
      </c>
      <c r="H57" s="10">
        <f t="shared" si="4"/>
        <v>0.44900000000000001</v>
      </c>
      <c r="I57" s="10">
        <f t="shared" si="4"/>
        <v>0.46200000000000002</v>
      </c>
      <c r="J57" s="10">
        <f t="shared" si="4"/>
        <v>0</v>
      </c>
      <c r="K57" s="10">
        <f t="shared" si="4"/>
        <v>0</v>
      </c>
      <c r="L57" s="10">
        <f t="shared" si="4"/>
        <v>0</v>
      </c>
      <c r="M57" s="10">
        <f t="shared" si="4"/>
        <v>0</v>
      </c>
      <c r="N57" s="10">
        <f t="shared" si="4"/>
        <v>0.436</v>
      </c>
      <c r="O57" s="10">
        <f t="shared" si="4"/>
        <v>0.42899999999999999</v>
      </c>
      <c r="P57" s="10">
        <f t="shared" si="4"/>
        <v>0.435</v>
      </c>
      <c r="Q57" s="10">
        <f t="shared" si="4"/>
        <v>0</v>
      </c>
      <c r="R57" s="10">
        <f t="shared" si="4"/>
        <v>0.439</v>
      </c>
      <c r="S57" s="10">
        <f t="shared" si="4"/>
        <v>0</v>
      </c>
      <c r="T57" s="10">
        <f t="shared" si="4"/>
        <v>0</v>
      </c>
      <c r="U57" s="10">
        <f t="shared" si="4"/>
        <v>0</v>
      </c>
      <c r="V57" s="10">
        <f t="shared" si="4"/>
        <v>0</v>
      </c>
      <c r="W57" s="10">
        <f t="shared" si="4"/>
        <v>0</v>
      </c>
      <c r="X57" s="10">
        <f t="shared" si="4"/>
        <v>0</v>
      </c>
      <c r="Y57" s="10">
        <f t="shared" si="4"/>
        <v>0.45800000000000002</v>
      </c>
      <c r="Z57" s="10">
        <f t="shared" si="4"/>
        <v>0</v>
      </c>
      <c r="AA57" s="10">
        <f t="shared" si="4"/>
        <v>0.438</v>
      </c>
      <c r="AB57" s="10">
        <f t="shared" si="4"/>
        <v>0</v>
      </c>
      <c r="AC57" s="10">
        <f t="shared" si="4"/>
        <v>0.436</v>
      </c>
      <c r="AD57" s="10">
        <f t="shared" si="4"/>
        <v>0.442</v>
      </c>
      <c r="AE57" s="10">
        <f t="shared" si="4"/>
        <v>0</v>
      </c>
      <c r="AF57" s="10">
        <f t="shared" si="4"/>
        <v>0</v>
      </c>
    </row>
    <row r="58" spans="1:32">
      <c r="A58" s="10" t="s">
        <v>156</v>
      </c>
      <c r="B58" s="61" t="s">
        <v>299</v>
      </c>
      <c r="C58" s="10">
        <f t="shared" si="3"/>
        <v>0.498</v>
      </c>
      <c r="D58" s="10">
        <f t="shared" si="4"/>
        <v>0.441</v>
      </c>
      <c r="E58" s="10">
        <f t="shared" si="4"/>
        <v>0.45800000000000002</v>
      </c>
      <c r="F58" s="10">
        <f t="shared" si="4"/>
        <v>0.46100000000000002</v>
      </c>
      <c r="G58" s="10">
        <f t="shared" si="4"/>
        <v>0.45600000000000002</v>
      </c>
      <c r="H58" s="10">
        <f t="shared" si="4"/>
        <v>0.43099999999999999</v>
      </c>
      <c r="I58" s="10">
        <f t="shared" si="4"/>
        <v>0.441</v>
      </c>
      <c r="J58" s="10">
        <f t="shared" si="4"/>
        <v>0.44500000000000001</v>
      </c>
      <c r="K58" s="10">
        <f t="shared" si="4"/>
        <v>0.44900000000000001</v>
      </c>
      <c r="L58" s="10">
        <f t="shared" si="4"/>
        <v>0</v>
      </c>
      <c r="M58" s="10">
        <f t="shared" si="4"/>
        <v>0.47399999999999998</v>
      </c>
      <c r="N58" s="10">
        <f t="shared" si="4"/>
        <v>0.47599999999999998</v>
      </c>
      <c r="O58" s="10">
        <f t="shared" si="4"/>
        <v>0.44800000000000001</v>
      </c>
      <c r="P58" s="10">
        <f t="shared" si="4"/>
        <v>0.437</v>
      </c>
      <c r="Q58" s="10">
        <f t="shared" si="4"/>
        <v>0</v>
      </c>
      <c r="R58" s="10">
        <f t="shared" si="4"/>
        <v>0.46300000000000002</v>
      </c>
      <c r="S58" s="10">
        <f t="shared" si="4"/>
        <v>0.434</v>
      </c>
      <c r="T58" s="10">
        <f t="shared" si="4"/>
        <v>0.45500000000000002</v>
      </c>
      <c r="U58" s="10">
        <f t="shared" si="4"/>
        <v>0.441</v>
      </c>
      <c r="V58" s="10">
        <f t="shared" si="4"/>
        <v>0.45800000000000002</v>
      </c>
      <c r="W58" s="10">
        <f t="shared" si="4"/>
        <v>0.45400000000000001</v>
      </c>
      <c r="X58" s="10">
        <f t="shared" si="4"/>
        <v>0.47299999999999998</v>
      </c>
      <c r="Y58" s="10">
        <f t="shared" si="4"/>
        <v>0</v>
      </c>
      <c r="Z58" s="10">
        <f t="shared" si="4"/>
        <v>0</v>
      </c>
      <c r="AA58" s="10">
        <f t="shared" si="4"/>
        <v>0.44800000000000001</v>
      </c>
      <c r="AB58" s="10">
        <f t="shared" si="4"/>
        <v>0.46400000000000002</v>
      </c>
      <c r="AC58" s="10">
        <f t="shared" si="4"/>
        <v>0.44500000000000001</v>
      </c>
      <c r="AD58" s="10">
        <f t="shared" si="4"/>
        <v>0.43</v>
      </c>
      <c r="AE58" s="10">
        <f t="shared" si="4"/>
        <v>0.47699999999999998</v>
      </c>
      <c r="AF58" s="10">
        <f t="shared" si="4"/>
        <v>0</v>
      </c>
    </row>
    <row r="59" spans="1:32">
      <c r="A59" s="10" t="s">
        <v>156</v>
      </c>
      <c r="B59" s="61" t="s">
        <v>300</v>
      </c>
      <c r="C59" s="10">
        <f t="shared" si="3"/>
        <v>0.438</v>
      </c>
      <c r="D59" s="10">
        <f t="shared" si="4"/>
        <v>0</v>
      </c>
      <c r="E59" s="10">
        <f t="shared" si="4"/>
        <v>0</v>
      </c>
      <c r="F59" s="10">
        <f t="shared" si="4"/>
        <v>0</v>
      </c>
      <c r="G59" s="10">
        <f t="shared" si="4"/>
        <v>0</v>
      </c>
      <c r="H59" s="10">
        <f t="shared" si="4"/>
        <v>0</v>
      </c>
      <c r="I59" s="10">
        <f t="shared" si="4"/>
        <v>0</v>
      </c>
      <c r="J59" s="10">
        <f t="shared" si="4"/>
        <v>0</v>
      </c>
      <c r="K59" s="10">
        <f t="shared" si="4"/>
        <v>0</v>
      </c>
      <c r="L59" s="10">
        <f t="shared" si="4"/>
        <v>0.432</v>
      </c>
      <c r="M59" s="10">
        <f t="shared" si="4"/>
        <v>0</v>
      </c>
      <c r="N59" s="10">
        <f t="shared" si="4"/>
        <v>0</v>
      </c>
      <c r="O59" s="10">
        <f t="shared" si="4"/>
        <v>0</v>
      </c>
      <c r="P59" s="10">
        <f t="shared" si="4"/>
        <v>0</v>
      </c>
      <c r="Q59" s="10">
        <f t="shared" si="4"/>
        <v>0</v>
      </c>
      <c r="R59" s="10">
        <f t="shared" si="4"/>
        <v>0</v>
      </c>
      <c r="S59" s="10">
        <f t="shared" si="4"/>
        <v>0</v>
      </c>
      <c r="T59" s="10">
        <f t="shared" si="4"/>
        <v>0</v>
      </c>
      <c r="U59" s="10">
        <f t="shared" si="4"/>
        <v>0</v>
      </c>
      <c r="V59" s="10">
        <f t="shared" si="4"/>
        <v>0</v>
      </c>
      <c r="W59" s="10">
        <f t="shared" si="4"/>
        <v>0</v>
      </c>
      <c r="X59" s="10">
        <f t="shared" si="4"/>
        <v>0</v>
      </c>
      <c r="Y59" s="10">
        <f t="shared" si="4"/>
        <v>0</v>
      </c>
      <c r="Z59" s="10">
        <f t="shared" si="4"/>
        <v>0</v>
      </c>
      <c r="AA59" s="10">
        <f t="shared" si="4"/>
        <v>0</v>
      </c>
      <c r="AB59" s="10">
        <f t="shared" si="4"/>
        <v>0</v>
      </c>
      <c r="AC59" s="10">
        <f t="shared" si="4"/>
        <v>0</v>
      </c>
      <c r="AD59" s="10">
        <f t="shared" si="4"/>
        <v>0</v>
      </c>
      <c r="AE59" s="10">
        <f t="shared" si="4"/>
        <v>0.48399999999999999</v>
      </c>
      <c r="AF59" s="10">
        <f t="shared" si="4"/>
        <v>0</v>
      </c>
    </row>
    <row r="60" spans="1:32">
      <c r="A60" s="10" t="s">
        <v>156</v>
      </c>
      <c r="B60" s="61" t="s">
        <v>301</v>
      </c>
      <c r="C60" s="10">
        <f t="shared" si="3"/>
        <v>0.50800000000000001</v>
      </c>
      <c r="D60" s="10">
        <f t="shared" si="4"/>
        <v>0.45</v>
      </c>
      <c r="E60" s="10">
        <f t="shared" si="4"/>
        <v>0</v>
      </c>
      <c r="F60" s="10">
        <f t="shared" si="4"/>
        <v>0.42899999999999999</v>
      </c>
      <c r="G60" s="10">
        <f t="shared" si="4"/>
        <v>0.46800000000000003</v>
      </c>
      <c r="H60" s="10">
        <f t="shared" si="4"/>
        <v>0.44900000000000001</v>
      </c>
      <c r="I60" s="10">
        <f t="shared" si="4"/>
        <v>0.46500000000000002</v>
      </c>
      <c r="J60" s="10">
        <f t="shared" si="4"/>
        <v>0.47799999999999998</v>
      </c>
      <c r="K60" s="10">
        <f t="shared" si="4"/>
        <v>0</v>
      </c>
      <c r="L60" s="10">
        <f t="shared" si="4"/>
        <v>0</v>
      </c>
      <c r="M60" s="10">
        <f t="shared" si="4"/>
        <v>0</v>
      </c>
      <c r="N60" s="10">
        <f t="shared" si="4"/>
        <v>0.44700000000000001</v>
      </c>
      <c r="O60" s="10">
        <f t="shared" si="4"/>
        <v>0.443</v>
      </c>
      <c r="P60" s="10">
        <f t="shared" si="4"/>
        <v>0.433</v>
      </c>
      <c r="Q60" s="10">
        <f t="shared" si="4"/>
        <v>0</v>
      </c>
      <c r="R60" s="10">
        <f t="shared" si="4"/>
        <v>0.45900000000000002</v>
      </c>
      <c r="S60" s="10">
        <f t="shared" si="4"/>
        <v>0.45800000000000002</v>
      </c>
      <c r="T60" s="10">
        <f t="shared" si="4"/>
        <v>0</v>
      </c>
      <c r="U60" s="10">
        <f t="shared" si="4"/>
        <v>0.46500000000000002</v>
      </c>
      <c r="V60" s="10">
        <f t="shared" si="4"/>
        <v>0.438</v>
      </c>
      <c r="W60" s="10">
        <f t="shared" si="4"/>
        <v>0</v>
      </c>
      <c r="X60" s="10">
        <f t="shared" si="4"/>
        <v>0</v>
      </c>
      <c r="Y60" s="10">
        <f t="shared" si="4"/>
        <v>0.44800000000000001</v>
      </c>
      <c r="Z60" s="10">
        <f t="shared" si="4"/>
        <v>0</v>
      </c>
      <c r="AA60" s="10">
        <f t="shared" si="4"/>
        <v>0</v>
      </c>
      <c r="AB60" s="10">
        <f t="shared" si="4"/>
        <v>0</v>
      </c>
      <c r="AC60" s="10">
        <f t="shared" si="4"/>
        <v>0.44700000000000001</v>
      </c>
      <c r="AD60" s="10">
        <f t="shared" si="4"/>
        <v>0.436</v>
      </c>
      <c r="AE60" s="10">
        <f t="shared" si="4"/>
        <v>0</v>
      </c>
      <c r="AF60" s="10">
        <f t="shared" si="4"/>
        <v>0.45200000000000001</v>
      </c>
    </row>
    <row r="61" spans="1:32">
      <c r="A61" s="10" t="s">
        <v>156</v>
      </c>
      <c r="B61" s="61" t="s">
        <v>303</v>
      </c>
      <c r="C61" s="10">
        <f t="shared" si="3"/>
        <v>0.52300000000000002</v>
      </c>
      <c r="D61" s="10">
        <f t="shared" si="4"/>
        <v>0.48499999999999999</v>
      </c>
      <c r="E61" s="10">
        <f t="shared" si="4"/>
        <v>0.47799999999999998</v>
      </c>
      <c r="F61" s="10">
        <f t="shared" si="4"/>
        <v>0</v>
      </c>
      <c r="G61" s="10">
        <f t="shared" si="4"/>
        <v>0.49199999999999999</v>
      </c>
      <c r="H61" s="10">
        <f t="shared" si="4"/>
        <v>0.47499999999999998</v>
      </c>
      <c r="I61" s="10">
        <f t="shared" si="4"/>
        <v>0.47099999999999997</v>
      </c>
      <c r="J61" s="10">
        <f t="shared" si="4"/>
        <v>0.43099999999999999</v>
      </c>
      <c r="K61" s="10">
        <f t="shared" si="4"/>
        <v>0.442</v>
      </c>
      <c r="L61" s="10">
        <f t="shared" si="4"/>
        <v>0</v>
      </c>
      <c r="M61" s="10">
        <f t="shared" si="4"/>
        <v>0.435</v>
      </c>
      <c r="N61" s="10">
        <f t="shared" si="4"/>
        <v>0</v>
      </c>
      <c r="O61" s="10">
        <f t="shared" si="4"/>
        <v>0.496</v>
      </c>
      <c r="P61" s="10">
        <f t="shared" si="4"/>
        <v>0.48699999999999999</v>
      </c>
      <c r="Q61" s="10">
        <f t="shared" si="4"/>
        <v>0</v>
      </c>
      <c r="R61" s="10">
        <f t="shared" si="4"/>
        <v>0.50800000000000001</v>
      </c>
      <c r="S61" s="10">
        <f t="shared" si="4"/>
        <v>0.45300000000000001</v>
      </c>
      <c r="T61" s="10">
        <f t="shared" si="4"/>
        <v>0.48</v>
      </c>
      <c r="U61" s="10">
        <f t="shared" si="4"/>
        <v>0.44800000000000001</v>
      </c>
      <c r="V61" s="10">
        <f t="shared" si="4"/>
        <v>0</v>
      </c>
      <c r="W61" s="10">
        <f t="shared" si="4"/>
        <v>0.47</v>
      </c>
      <c r="X61" s="10">
        <f t="shared" si="4"/>
        <v>0.42399999999999999</v>
      </c>
      <c r="Y61" s="10">
        <f t="shared" si="4"/>
        <v>0.46400000000000002</v>
      </c>
      <c r="Z61" s="10">
        <f t="shared" si="4"/>
        <v>0</v>
      </c>
      <c r="AA61" s="10">
        <f t="shared" si="4"/>
        <v>0</v>
      </c>
      <c r="AB61" s="10">
        <f t="shared" si="4"/>
        <v>0</v>
      </c>
      <c r="AC61" s="10">
        <f t="shared" si="4"/>
        <v>0.49199999999999999</v>
      </c>
      <c r="AD61" s="10">
        <f t="shared" si="4"/>
        <v>0.48</v>
      </c>
      <c r="AE61" s="10">
        <f t="shared" si="4"/>
        <v>0.47599999999999998</v>
      </c>
      <c r="AF61" s="10">
        <f t="shared" si="4"/>
        <v>0</v>
      </c>
    </row>
    <row r="62" spans="1:32">
      <c r="A62" s="10" t="s">
        <v>156</v>
      </c>
      <c r="B62" s="61" t="s">
        <v>304</v>
      </c>
      <c r="C62" s="10">
        <f t="shared" si="3"/>
        <v>0.47599999999999998</v>
      </c>
      <c r="D62" s="10">
        <f t="shared" si="4"/>
        <v>0.42199999999999999</v>
      </c>
      <c r="E62" s="10">
        <f t="shared" si="4"/>
        <v>0.45200000000000001</v>
      </c>
      <c r="F62" s="10">
        <f t="shared" si="4"/>
        <v>0.45200000000000001</v>
      </c>
      <c r="G62" s="10">
        <f t="shared" si="4"/>
        <v>0.436</v>
      </c>
      <c r="H62" s="10">
        <f t="shared" si="4"/>
        <v>0.43099999999999999</v>
      </c>
      <c r="I62" s="10">
        <f t="shared" si="4"/>
        <v>0.441</v>
      </c>
      <c r="J62" s="10">
        <f t="shared" si="4"/>
        <v>0.46200000000000002</v>
      </c>
      <c r="K62" s="10">
        <f t="shared" si="4"/>
        <v>0</v>
      </c>
      <c r="L62" s="10">
        <f t="shared" si="4"/>
        <v>0.48199999999999998</v>
      </c>
      <c r="M62" s="10">
        <f t="shared" si="4"/>
        <v>0</v>
      </c>
      <c r="N62" s="10">
        <f t="shared" si="4"/>
        <v>0.45700000000000002</v>
      </c>
      <c r="O62" s="10">
        <f t="shared" si="4"/>
        <v>0.42199999999999999</v>
      </c>
      <c r="P62" s="10">
        <f t="shared" si="4"/>
        <v>0.43</v>
      </c>
      <c r="Q62" s="10">
        <f t="shared" si="4"/>
        <v>0</v>
      </c>
      <c r="R62" s="10">
        <f t="shared" si="4"/>
        <v>0.432</v>
      </c>
      <c r="S62" s="10">
        <f t="shared" si="4"/>
        <v>0.46500000000000002</v>
      </c>
      <c r="T62" s="10">
        <f t="shared" si="4"/>
        <v>0.44600000000000001</v>
      </c>
      <c r="U62" s="10">
        <f t="shared" si="4"/>
        <v>0</v>
      </c>
      <c r="V62" s="10">
        <f t="shared" si="4"/>
        <v>0.436</v>
      </c>
      <c r="W62" s="10">
        <f t="shared" si="4"/>
        <v>0.45400000000000001</v>
      </c>
      <c r="X62" s="10">
        <f t="shared" si="4"/>
        <v>0</v>
      </c>
      <c r="Y62" s="10">
        <f t="shared" si="4"/>
        <v>0.44500000000000001</v>
      </c>
      <c r="Z62" s="10">
        <f t="shared" si="4"/>
        <v>0</v>
      </c>
      <c r="AA62" s="10">
        <f t="shared" si="4"/>
        <v>0.44700000000000001</v>
      </c>
      <c r="AB62" s="10">
        <f t="shared" si="4"/>
        <v>0.49199999999999999</v>
      </c>
      <c r="AC62" s="10">
        <f t="shared" si="4"/>
        <v>0</v>
      </c>
      <c r="AD62" s="10">
        <f t="shared" ref="AD62:AF62" si="5">ROUND(IF(AD32&gt;0, ((0.0014*AD32+13.97)/1.15)*(10^12)/(1000*29308)/1000000, 0),3)</f>
        <v>0.433</v>
      </c>
      <c r="AE62" s="10">
        <f t="shared" si="5"/>
        <v>0</v>
      </c>
      <c r="AF62" s="10">
        <f t="shared" si="5"/>
        <v>0</v>
      </c>
    </row>
    <row r="63" spans="1:32">
      <c r="A63" s="10" t="s">
        <v>156</v>
      </c>
      <c r="B63" s="61" t="s">
        <v>305</v>
      </c>
      <c r="C63" s="10">
        <f t="shared" si="3"/>
        <v>0.49299999999999999</v>
      </c>
      <c r="D63" s="10">
        <f t="shared" si="3"/>
        <v>0.432</v>
      </c>
      <c r="E63" s="10">
        <f t="shared" si="3"/>
        <v>0.46</v>
      </c>
      <c r="F63" s="10">
        <f t="shared" si="3"/>
        <v>0.44800000000000001</v>
      </c>
      <c r="G63" s="10">
        <f t="shared" si="3"/>
        <v>0.45100000000000001</v>
      </c>
      <c r="H63" s="10">
        <f t="shared" si="3"/>
        <v>0.42799999999999999</v>
      </c>
      <c r="I63" s="10">
        <f t="shared" si="3"/>
        <v>0.44400000000000001</v>
      </c>
      <c r="J63" s="10">
        <f t="shared" si="3"/>
        <v>0.45700000000000002</v>
      </c>
      <c r="K63" s="10">
        <f t="shared" si="3"/>
        <v>0.46300000000000002</v>
      </c>
      <c r="L63" s="10">
        <f t="shared" si="3"/>
        <v>0</v>
      </c>
      <c r="M63" s="10">
        <f t="shared" si="3"/>
        <v>0</v>
      </c>
      <c r="N63" s="10">
        <f t="shared" si="3"/>
        <v>0.46100000000000002</v>
      </c>
      <c r="O63" s="10">
        <f t="shared" si="3"/>
        <v>0.434</v>
      </c>
      <c r="P63" s="10">
        <f t="shared" si="3"/>
        <v>0.42199999999999999</v>
      </c>
      <c r="Q63" s="10">
        <f t="shared" si="3"/>
        <v>0</v>
      </c>
      <c r="R63" s="10">
        <f t="shared" si="3"/>
        <v>0.45100000000000001</v>
      </c>
      <c r="S63" s="10">
        <f t="shared" ref="S63:AF65" si="6">ROUND(IF(S33&gt;0, ((0.0014*S33+13.97)/1.15)*(10^12)/(1000*29308)/1000000, 0),3)</f>
        <v>0.44800000000000001</v>
      </c>
      <c r="T63" s="10">
        <f t="shared" si="6"/>
        <v>0.45500000000000002</v>
      </c>
      <c r="U63" s="10">
        <f t="shared" si="6"/>
        <v>0.45500000000000002</v>
      </c>
      <c r="V63" s="10">
        <f t="shared" si="6"/>
        <v>0.442</v>
      </c>
      <c r="W63" s="10">
        <f t="shared" si="6"/>
        <v>0.45900000000000002</v>
      </c>
      <c r="X63" s="10">
        <f t="shared" si="6"/>
        <v>0</v>
      </c>
      <c r="Y63" s="10">
        <f t="shared" si="6"/>
        <v>0.43</v>
      </c>
      <c r="Z63" s="10">
        <f t="shared" si="6"/>
        <v>0</v>
      </c>
      <c r="AA63" s="10">
        <f t="shared" si="6"/>
        <v>0.436</v>
      </c>
      <c r="AB63" s="10">
        <f t="shared" si="6"/>
        <v>0.48</v>
      </c>
      <c r="AC63" s="10">
        <f t="shared" si="6"/>
        <v>0.433</v>
      </c>
      <c r="AD63" s="10">
        <f t="shared" si="6"/>
        <v>0</v>
      </c>
      <c r="AE63" s="10">
        <f t="shared" si="6"/>
        <v>0</v>
      </c>
      <c r="AF63" s="10">
        <f t="shared" si="6"/>
        <v>0</v>
      </c>
    </row>
    <row r="64" spans="1:32">
      <c r="A64" s="10" t="s">
        <v>156</v>
      </c>
      <c r="B64" s="10" t="s">
        <v>356</v>
      </c>
      <c r="C64" s="10">
        <f t="shared" si="3"/>
        <v>0</v>
      </c>
      <c r="D64" s="10">
        <f t="shared" si="3"/>
        <v>0</v>
      </c>
      <c r="E64" s="10">
        <f t="shared" si="3"/>
        <v>0</v>
      </c>
      <c r="F64" s="10">
        <f t="shared" si="3"/>
        <v>0.432</v>
      </c>
      <c r="G64" s="10">
        <f t="shared" si="3"/>
        <v>0</v>
      </c>
      <c r="H64" s="10">
        <f t="shared" si="3"/>
        <v>0</v>
      </c>
      <c r="I64" s="10">
        <f t="shared" si="3"/>
        <v>0</v>
      </c>
      <c r="J64" s="10">
        <f t="shared" si="3"/>
        <v>0</v>
      </c>
      <c r="K64" s="10">
        <f t="shared" si="3"/>
        <v>0</v>
      </c>
      <c r="L64" s="10">
        <f t="shared" si="3"/>
        <v>0</v>
      </c>
      <c r="M64" s="10">
        <f t="shared" si="3"/>
        <v>0</v>
      </c>
      <c r="N64" s="10">
        <f t="shared" si="3"/>
        <v>0.45100000000000001</v>
      </c>
      <c r="O64" s="10">
        <f t="shared" si="3"/>
        <v>0</v>
      </c>
      <c r="P64" s="10">
        <f t="shared" si="3"/>
        <v>0</v>
      </c>
      <c r="Q64" s="10">
        <f t="shared" si="3"/>
        <v>0</v>
      </c>
      <c r="R64" s="10">
        <f t="shared" si="3"/>
        <v>0</v>
      </c>
      <c r="S64" s="10">
        <f t="shared" si="6"/>
        <v>0</v>
      </c>
      <c r="T64" s="10">
        <f t="shared" si="6"/>
        <v>0</v>
      </c>
      <c r="U64" s="10">
        <f t="shared" si="6"/>
        <v>0</v>
      </c>
      <c r="V64" s="10">
        <f t="shared" si="6"/>
        <v>0</v>
      </c>
      <c r="W64" s="10">
        <f t="shared" si="6"/>
        <v>0</v>
      </c>
      <c r="X64" s="10">
        <f t="shared" si="6"/>
        <v>0</v>
      </c>
      <c r="Y64" s="10">
        <f t="shared" si="6"/>
        <v>0</v>
      </c>
      <c r="Z64" s="10">
        <f t="shared" si="6"/>
        <v>0</v>
      </c>
      <c r="AA64" s="10">
        <f t="shared" si="6"/>
        <v>0.45200000000000001</v>
      </c>
      <c r="AB64" s="10">
        <f t="shared" si="6"/>
        <v>0</v>
      </c>
      <c r="AC64" s="10">
        <f t="shared" si="6"/>
        <v>0</v>
      </c>
      <c r="AD64" s="10">
        <f t="shared" si="6"/>
        <v>0</v>
      </c>
      <c r="AE64" s="10">
        <f t="shared" si="6"/>
        <v>0</v>
      </c>
      <c r="AF64" s="10">
        <f t="shared" si="6"/>
        <v>0</v>
      </c>
    </row>
    <row r="65" spans="1:32">
      <c r="A65" s="10" t="s">
        <v>156</v>
      </c>
      <c r="B65" s="61" t="s">
        <v>307</v>
      </c>
      <c r="C65" s="10">
        <f t="shared" si="3"/>
        <v>0.439</v>
      </c>
      <c r="D65" s="10">
        <f t="shared" si="3"/>
        <v>0.47299999999999998</v>
      </c>
      <c r="E65" s="10">
        <f t="shared" si="3"/>
        <v>0.441</v>
      </c>
      <c r="F65" s="10">
        <f t="shared" si="3"/>
        <v>0</v>
      </c>
      <c r="G65" s="10">
        <f t="shared" si="3"/>
        <v>0.46200000000000002</v>
      </c>
      <c r="H65" s="10">
        <f t="shared" si="3"/>
        <v>0.47</v>
      </c>
      <c r="I65" s="10">
        <f t="shared" si="3"/>
        <v>0.45400000000000001</v>
      </c>
      <c r="J65" s="10">
        <f t="shared" si="3"/>
        <v>0.45</v>
      </c>
      <c r="K65" s="10">
        <f t="shared" si="3"/>
        <v>0</v>
      </c>
      <c r="L65" s="10">
        <f t="shared" si="3"/>
        <v>0.47899999999999998</v>
      </c>
      <c r="M65" s="10">
        <f t="shared" si="3"/>
        <v>0</v>
      </c>
      <c r="N65" s="10">
        <f t="shared" si="3"/>
        <v>0</v>
      </c>
      <c r="O65" s="10">
        <f t="shared" si="3"/>
        <v>0</v>
      </c>
      <c r="P65" s="10">
        <f t="shared" si="3"/>
        <v>0</v>
      </c>
      <c r="Q65" s="10">
        <f t="shared" si="3"/>
        <v>0.43</v>
      </c>
      <c r="R65" s="10">
        <f t="shared" si="3"/>
        <v>0.48399999999999999</v>
      </c>
      <c r="S65" s="10">
        <f t="shared" si="6"/>
        <v>0</v>
      </c>
      <c r="T65" s="10">
        <f t="shared" si="6"/>
        <v>0.44700000000000001</v>
      </c>
      <c r="U65" s="10">
        <f t="shared" si="6"/>
        <v>0</v>
      </c>
      <c r="V65" s="10">
        <f t="shared" si="6"/>
        <v>0</v>
      </c>
      <c r="W65" s="10">
        <f t="shared" si="6"/>
        <v>0.44</v>
      </c>
      <c r="X65" s="10">
        <f t="shared" si="6"/>
        <v>0.47599999999999998</v>
      </c>
      <c r="Y65" s="10">
        <f t="shared" si="6"/>
        <v>0.47699999999999998</v>
      </c>
      <c r="Z65" s="10">
        <f t="shared" si="6"/>
        <v>0.48399999999999999</v>
      </c>
      <c r="AA65" s="10">
        <f t="shared" si="6"/>
        <v>0</v>
      </c>
      <c r="AB65" s="10">
        <f t="shared" si="6"/>
        <v>0.47599999999999998</v>
      </c>
      <c r="AC65" s="10">
        <f t="shared" si="6"/>
        <v>0</v>
      </c>
      <c r="AD65" s="10">
        <f t="shared" si="6"/>
        <v>0</v>
      </c>
      <c r="AE65" s="10">
        <f t="shared" si="6"/>
        <v>0</v>
      </c>
      <c r="AF65" s="10">
        <f t="shared" si="6"/>
        <v>0</v>
      </c>
    </row>
    <row r="66" spans="1:32">
      <c r="A66" s="10" t="s">
        <v>146</v>
      </c>
      <c r="B66" s="61" t="s">
        <v>278</v>
      </c>
      <c r="C66" s="10">
        <f>C36</f>
        <v>0.47499999999999998</v>
      </c>
      <c r="D66" s="10">
        <f t="shared" ref="D66:AF75" si="7">D36</f>
        <v>0</v>
      </c>
      <c r="E66" s="10">
        <f t="shared" si="7"/>
        <v>0.44600000000000001</v>
      </c>
      <c r="F66" s="10">
        <f t="shared" si="7"/>
        <v>0.45700000000000002</v>
      </c>
      <c r="G66" s="10">
        <f t="shared" si="7"/>
        <v>0.433</v>
      </c>
      <c r="H66" s="10">
        <f t="shared" si="7"/>
        <v>0.42499999999999999</v>
      </c>
      <c r="I66" s="10">
        <f t="shared" si="7"/>
        <v>0.434</v>
      </c>
      <c r="J66" s="10">
        <f t="shared" si="7"/>
        <v>0.45500000000000002</v>
      </c>
      <c r="K66" s="10">
        <f t="shared" si="7"/>
        <v>0</v>
      </c>
      <c r="L66" s="10">
        <f t="shared" si="7"/>
        <v>0.48299999999999998</v>
      </c>
      <c r="M66" s="10">
        <f t="shared" si="7"/>
        <v>0</v>
      </c>
      <c r="N66" s="10">
        <f t="shared" si="7"/>
        <v>0.46400000000000002</v>
      </c>
      <c r="O66" s="10">
        <f t="shared" si="7"/>
        <v>0.42799999999999999</v>
      </c>
      <c r="P66" s="10">
        <f t="shared" si="7"/>
        <v>0.43099999999999999</v>
      </c>
      <c r="Q66" s="10">
        <f t="shared" si="7"/>
        <v>0</v>
      </c>
      <c r="R66" s="10">
        <f t="shared" si="7"/>
        <v>0.438</v>
      </c>
      <c r="S66" s="10">
        <f t="shared" si="7"/>
        <v>0.46</v>
      </c>
      <c r="T66" s="10">
        <f t="shared" si="7"/>
        <v>0.441</v>
      </c>
      <c r="U66" s="10">
        <f t="shared" si="7"/>
        <v>0.46700000000000003</v>
      </c>
      <c r="V66" s="10">
        <f t="shared" si="7"/>
        <v>0.442</v>
      </c>
      <c r="W66" s="10">
        <f t="shared" si="7"/>
        <v>0.44800000000000001</v>
      </c>
      <c r="X66" s="10">
        <f t="shared" si="7"/>
        <v>0</v>
      </c>
      <c r="Y66" s="10">
        <f t="shared" si="7"/>
        <v>0.441</v>
      </c>
      <c r="Z66" s="10">
        <f t="shared" si="7"/>
        <v>0</v>
      </c>
      <c r="AA66" s="10">
        <f t="shared" si="7"/>
        <v>0.45</v>
      </c>
      <c r="AB66" s="10">
        <f t="shared" si="7"/>
        <v>0.48499999999999999</v>
      </c>
      <c r="AC66" s="10">
        <f t="shared" si="7"/>
        <v>0.42199999999999999</v>
      </c>
      <c r="AD66" s="10">
        <f t="shared" si="7"/>
        <v>0.432</v>
      </c>
      <c r="AE66" s="10">
        <f t="shared" si="7"/>
        <v>0.47299999999999998</v>
      </c>
      <c r="AF66" s="10">
        <f t="shared" si="7"/>
        <v>0</v>
      </c>
    </row>
    <row r="67" spans="1:32">
      <c r="A67" s="10" t="s">
        <v>146</v>
      </c>
      <c r="B67" s="61" t="s">
        <v>280</v>
      </c>
      <c r="C67" s="10">
        <f t="shared" ref="C67:R82" si="8">C37</f>
        <v>0.42699999999999999</v>
      </c>
      <c r="D67" s="10">
        <f t="shared" si="8"/>
        <v>0.44600000000000001</v>
      </c>
      <c r="E67" s="10">
        <f t="shared" si="8"/>
        <v>0</v>
      </c>
      <c r="F67" s="10">
        <f t="shared" si="8"/>
        <v>0</v>
      </c>
      <c r="G67" s="10">
        <f t="shared" si="8"/>
        <v>0.435</v>
      </c>
      <c r="H67" s="10">
        <f t="shared" si="8"/>
        <v>0.44600000000000001</v>
      </c>
      <c r="I67" s="10">
        <f t="shared" si="8"/>
        <v>0.43099999999999999</v>
      </c>
      <c r="J67" s="10">
        <f t="shared" si="8"/>
        <v>0.443</v>
      </c>
      <c r="K67" s="10">
        <f t="shared" si="8"/>
        <v>0</v>
      </c>
      <c r="L67" s="10">
        <f t="shared" si="8"/>
        <v>0.47</v>
      </c>
      <c r="M67" s="10">
        <f t="shared" si="8"/>
        <v>0</v>
      </c>
      <c r="N67" s="10">
        <f t="shared" si="8"/>
        <v>0</v>
      </c>
      <c r="O67" s="10">
        <f t="shared" si="8"/>
        <v>0.45900000000000002</v>
      </c>
      <c r="P67" s="10">
        <f t="shared" si="8"/>
        <v>0.46200000000000002</v>
      </c>
      <c r="Q67" s="10">
        <f t="shared" si="8"/>
        <v>0.45300000000000001</v>
      </c>
      <c r="R67" s="10">
        <f t="shared" si="8"/>
        <v>0.45800000000000002</v>
      </c>
      <c r="S67" s="10">
        <f t="shared" si="7"/>
        <v>0</v>
      </c>
      <c r="T67" s="10">
        <f t="shared" si="7"/>
        <v>0.42</v>
      </c>
      <c r="U67" s="10">
        <f t="shared" si="7"/>
        <v>0</v>
      </c>
      <c r="V67" s="10">
        <f t="shared" si="7"/>
        <v>0</v>
      </c>
      <c r="W67" s="10">
        <f t="shared" si="7"/>
        <v>0.42199999999999999</v>
      </c>
      <c r="X67" s="10">
        <f t="shared" si="7"/>
        <v>0.48199999999999998</v>
      </c>
      <c r="Y67" s="10">
        <f t="shared" si="7"/>
        <v>0.45800000000000002</v>
      </c>
      <c r="Z67" s="10">
        <f t="shared" si="7"/>
        <v>0</v>
      </c>
      <c r="AA67" s="10">
        <f t="shared" si="7"/>
        <v>0</v>
      </c>
      <c r="AB67" s="10">
        <f t="shared" si="7"/>
        <v>0.47799999999999998</v>
      </c>
      <c r="AC67" s="10">
        <f t="shared" si="7"/>
        <v>0.45200000000000001</v>
      </c>
      <c r="AD67" s="10">
        <f t="shared" si="7"/>
        <v>0.46</v>
      </c>
      <c r="AE67" s="10">
        <f t="shared" si="7"/>
        <v>0.441</v>
      </c>
      <c r="AF67" s="10">
        <f t="shared" si="7"/>
        <v>0</v>
      </c>
    </row>
    <row r="68" spans="1:32">
      <c r="A68" s="10" t="s">
        <v>146</v>
      </c>
      <c r="B68" s="61" t="s">
        <v>281</v>
      </c>
      <c r="C68" s="10">
        <f t="shared" si="8"/>
        <v>0</v>
      </c>
      <c r="D68" s="10">
        <f t="shared" si="7"/>
        <v>0.45700000000000002</v>
      </c>
      <c r="E68" s="10">
        <f t="shared" si="7"/>
        <v>0</v>
      </c>
      <c r="F68" s="10">
        <f t="shared" si="7"/>
        <v>0</v>
      </c>
      <c r="G68" s="10">
        <f t="shared" si="7"/>
        <v>0.47299999999999998</v>
      </c>
      <c r="H68" s="10">
        <f t="shared" si="7"/>
        <v>0.46</v>
      </c>
      <c r="I68" s="10">
        <f t="shared" si="7"/>
        <v>0.47499999999999998</v>
      </c>
      <c r="J68" s="10">
        <f t="shared" si="7"/>
        <v>0</v>
      </c>
      <c r="K68" s="10">
        <f t="shared" si="7"/>
        <v>0</v>
      </c>
      <c r="L68" s="10">
        <f t="shared" si="7"/>
        <v>0</v>
      </c>
      <c r="M68" s="10">
        <f t="shared" si="7"/>
        <v>0</v>
      </c>
      <c r="N68" s="10">
        <f t="shared" si="7"/>
        <v>0.433</v>
      </c>
      <c r="O68" s="10">
        <f t="shared" si="7"/>
        <v>0.44600000000000001</v>
      </c>
      <c r="P68" s="10">
        <f t="shared" si="7"/>
        <v>0.442</v>
      </c>
      <c r="Q68" s="10">
        <f t="shared" si="7"/>
        <v>0</v>
      </c>
      <c r="R68" s="10">
        <f t="shared" si="7"/>
        <v>0.45900000000000002</v>
      </c>
      <c r="S68" s="10">
        <f t="shared" si="7"/>
        <v>0</v>
      </c>
      <c r="T68" s="10">
        <f t="shared" si="7"/>
        <v>0</v>
      </c>
      <c r="U68" s="10">
        <f t="shared" si="7"/>
        <v>0</v>
      </c>
      <c r="V68" s="10">
        <f t="shared" si="7"/>
        <v>0.435</v>
      </c>
      <c r="W68" s="10">
        <f t="shared" si="7"/>
        <v>0</v>
      </c>
      <c r="X68" s="10">
        <f t="shared" si="7"/>
        <v>0</v>
      </c>
      <c r="Y68" s="10">
        <f t="shared" si="7"/>
        <v>0.46100000000000002</v>
      </c>
      <c r="Z68" s="10">
        <f t="shared" si="7"/>
        <v>0</v>
      </c>
      <c r="AA68" s="10">
        <f t="shared" si="7"/>
        <v>0.42899999999999999</v>
      </c>
      <c r="AB68" s="10">
        <f t="shared" si="7"/>
        <v>0</v>
      </c>
      <c r="AC68" s="10">
        <f t="shared" si="7"/>
        <v>0.45200000000000001</v>
      </c>
      <c r="AD68" s="10">
        <f t="shared" si="7"/>
        <v>0.44800000000000001</v>
      </c>
      <c r="AE68" s="10">
        <f t="shared" si="7"/>
        <v>0</v>
      </c>
      <c r="AF68" s="10">
        <f t="shared" si="7"/>
        <v>0.432</v>
      </c>
    </row>
    <row r="69" spans="1:32">
      <c r="A69" s="10" t="s">
        <v>146</v>
      </c>
      <c r="B69" s="61" t="s">
        <v>282</v>
      </c>
      <c r="C69" s="10">
        <f t="shared" si="8"/>
        <v>0.42899999999999999</v>
      </c>
      <c r="D69" s="10">
        <f t="shared" si="7"/>
        <v>0.433</v>
      </c>
      <c r="E69" s="10">
        <f t="shared" si="7"/>
        <v>0.435</v>
      </c>
      <c r="F69" s="10">
        <f t="shared" si="7"/>
        <v>0.47299999999999998</v>
      </c>
      <c r="G69" s="10">
        <f t="shared" si="7"/>
        <v>0</v>
      </c>
      <c r="H69" s="10">
        <f t="shared" si="7"/>
        <v>0.44</v>
      </c>
      <c r="I69" s="10">
        <f t="shared" si="7"/>
        <v>0.435</v>
      </c>
      <c r="J69" s="10">
        <f t="shared" si="7"/>
        <v>0.45700000000000002</v>
      </c>
      <c r="K69" s="10">
        <f t="shared" si="7"/>
        <v>0</v>
      </c>
      <c r="L69" s="10">
        <f t="shared" si="7"/>
        <v>0.46500000000000002</v>
      </c>
      <c r="M69" s="10">
        <f t="shared" si="7"/>
        <v>0</v>
      </c>
      <c r="N69" s="10">
        <f t="shared" si="7"/>
        <v>0</v>
      </c>
      <c r="O69" s="10">
        <f t="shared" si="7"/>
        <v>0.442</v>
      </c>
      <c r="P69" s="10">
        <f t="shared" si="7"/>
        <v>0.45</v>
      </c>
      <c r="Q69" s="10">
        <f t="shared" si="7"/>
        <v>0</v>
      </c>
      <c r="R69" s="10">
        <f t="shared" si="7"/>
        <v>0.437</v>
      </c>
      <c r="S69" s="10">
        <f t="shared" si="7"/>
        <v>0</v>
      </c>
      <c r="T69" s="10">
        <f t="shared" si="7"/>
        <v>0.43</v>
      </c>
      <c r="U69" s="10">
        <f t="shared" si="7"/>
        <v>0</v>
      </c>
      <c r="V69" s="10">
        <f t="shared" si="7"/>
        <v>0.45500000000000002</v>
      </c>
      <c r="W69" s="10">
        <f t="shared" si="7"/>
        <v>0.441</v>
      </c>
      <c r="X69" s="10">
        <f t="shared" si="7"/>
        <v>0</v>
      </c>
      <c r="Y69" s="10">
        <f t="shared" si="7"/>
        <v>0.45600000000000002</v>
      </c>
      <c r="Z69" s="10">
        <f t="shared" si="7"/>
        <v>0</v>
      </c>
      <c r="AA69" s="10">
        <f t="shared" si="7"/>
        <v>0.46800000000000003</v>
      </c>
      <c r="AB69" s="10">
        <f t="shared" si="7"/>
        <v>0.49199999999999999</v>
      </c>
      <c r="AC69" s="10">
        <f t="shared" si="7"/>
        <v>0.436</v>
      </c>
      <c r="AD69" s="10">
        <f t="shared" si="7"/>
        <v>0.45100000000000001</v>
      </c>
      <c r="AE69" s="10">
        <f t="shared" si="7"/>
        <v>0.46200000000000002</v>
      </c>
      <c r="AF69" s="10">
        <f t="shared" si="7"/>
        <v>0</v>
      </c>
    </row>
    <row r="70" spans="1:32">
      <c r="A70" s="10" t="s">
        <v>146</v>
      </c>
      <c r="B70" s="61" t="s">
        <v>283</v>
      </c>
      <c r="C70" s="10">
        <f t="shared" si="8"/>
        <v>0.48199999999999998</v>
      </c>
      <c r="D70" s="10">
        <f t="shared" si="7"/>
        <v>0.42499999999999999</v>
      </c>
      <c r="E70" s="10">
        <f t="shared" si="7"/>
        <v>0.44600000000000001</v>
      </c>
      <c r="F70" s="10">
        <f t="shared" si="7"/>
        <v>0.46</v>
      </c>
      <c r="G70" s="10">
        <f t="shared" si="7"/>
        <v>0.44</v>
      </c>
      <c r="H70" s="10">
        <f t="shared" si="7"/>
        <v>0</v>
      </c>
      <c r="I70" s="10">
        <f t="shared" si="7"/>
        <v>0.43</v>
      </c>
      <c r="J70" s="10">
        <f t="shared" si="7"/>
        <v>0.44700000000000001</v>
      </c>
      <c r="K70" s="10">
        <f t="shared" si="7"/>
        <v>0.46400000000000002</v>
      </c>
      <c r="L70" s="10">
        <f t="shared" si="7"/>
        <v>0</v>
      </c>
      <c r="M70" s="10">
        <f t="shared" si="7"/>
        <v>0</v>
      </c>
      <c r="N70" s="10">
        <f t="shared" si="7"/>
        <v>0.47</v>
      </c>
      <c r="O70" s="10">
        <f t="shared" si="7"/>
        <v>0.436</v>
      </c>
      <c r="P70" s="10">
        <f t="shared" si="7"/>
        <v>0.432</v>
      </c>
      <c r="Q70" s="10">
        <f t="shared" si="7"/>
        <v>0</v>
      </c>
      <c r="R70" s="10">
        <f t="shared" si="7"/>
        <v>0.44800000000000001</v>
      </c>
      <c r="S70" s="10">
        <f t="shared" si="7"/>
        <v>0.45</v>
      </c>
      <c r="T70" s="10">
        <f t="shared" si="7"/>
        <v>0.442</v>
      </c>
      <c r="U70" s="10">
        <f t="shared" si="7"/>
        <v>0.45700000000000002</v>
      </c>
      <c r="V70" s="10">
        <f t="shared" si="7"/>
        <v>0.44900000000000001</v>
      </c>
      <c r="W70" s="10">
        <f t="shared" si="7"/>
        <v>0.44500000000000001</v>
      </c>
      <c r="X70" s="10">
        <f t="shared" si="7"/>
        <v>0.48299999999999998</v>
      </c>
      <c r="Y70" s="10">
        <f t="shared" si="7"/>
        <v>0.43099999999999999</v>
      </c>
      <c r="Z70" s="10">
        <f t="shared" si="7"/>
        <v>0</v>
      </c>
      <c r="AA70" s="10">
        <f t="shared" si="7"/>
        <v>0.44900000000000001</v>
      </c>
      <c r="AB70" s="10">
        <f t="shared" si="7"/>
        <v>0.47499999999999998</v>
      </c>
      <c r="AC70" s="10">
        <f t="shared" si="7"/>
        <v>0.43099999999999999</v>
      </c>
      <c r="AD70" s="10">
        <f t="shared" si="7"/>
        <v>0.42799999999999999</v>
      </c>
      <c r="AE70" s="10">
        <f t="shared" si="7"/>
        <v>0.47</v>
      </c>
      <c r="AF70" s="10">
        <f t="shared" si="7"/>
        <v>0</v>
      </c>
    </row>
    <row r="71" spans="1:32">
      <c r="A71" s="10" t="s">
        <v>146</v>
      </c>
      <c r="B71" s="61" t="s">
        <v>284</v>
      </c>
      <c r="C71" s="10">
        <f t="shared" si="8"/>
        <v>0.435</v>
      </c>
      <c r="D71" s="10">
        <f t="shared" si="7"/>
        <v>0.434</v>
      </c>
      <c r="E71" s="10">
        <f t="shared" si="7"/>
        <v>0.43099999999999999</v>
      </c>
      <c r="F71" s="10">
        <f t="shared" si="7"/>
        <v>0.47499999999999998</v>
      </c>
      <c r="G71" s="10">
        <f t="shared" si="7"/>
        <v>0.435</v>
      </c>
      <c r="H71" s="10">
        <f t="shared" si="7"/>
        <v>0.43</v>
      </c>
      <c r="I71" s="10">
        <f t="shared" si="7"/>
        <v>0</v>
      </c>
      <c r="J71" s="10">
        <f t="shared" si="7"/>
        <v>0.437</v>
      </c>
      <c r="K71" s="10">
        <f t="shared" si="7"/>
        <v>0.46800000000000003</v>
      </c>
      <c r="L71" s="10">
        <f t="shared" si="7"/>
        <v>0.48199999999999998</v>
      </c>
      <c r="M71" s="10">
        <f t="shared" si="7"/>
        <v>0.48699999999999999</v>
      </c>
      <c r="N71" s="10">
        <f t="shared" si="7"/>
        <v>0.48399999999999999</v>
      </c>
      <c r="O71" s="10">
        <f t="shared" si="7"/>
        <v>0.44800000000000001</v>
      </c>
      <c r="P71" s="10">
        <f t="shared" si="7"/>
        <v>0.44700000000000001</v>
      </c>
      <c r="Q71" s="10">
        <f t="shared" si="7"/>
        <v>0.46800000000000003</v>
      </c>
      <c r="R71" s="10">
        <f t="shared" si="7"/>
        <v>0.45300000000000001</v>
      </c>
      <c r="S71" s="10">
        <f t="shared" si="7"/>
        <v>0.45700000000000002</v>
      </c>
      <c r="T71" s="10">
        <f t="shared" si="7"/>
        <v>0.42899999999999999</v>
      </c>
      <c r="U71" s="10">
        <f t="shared" si="7"/>
        <v>0.46200000000000002</v>
      </c>
      <c r="V71" s="10">
        <f t="shared" si="7"/>
        <v>0.46200000000000002</v>
      </c>
      <c r="W71" s="10">
        <f t="shared" si="7"/>
        <v>0.42899999999999999</v>
      </c>
      <c r="X71" s="10">
        <f t="shared" si="7"/>
        <v>0.47699999999999998</v>
      </c>
      <c r="Y71" s="10">
        <f t="shared" si="7"/>
        <v>0.441</v>
      </c>
      <c r="Z71" s="10">
        <f t="shared" si="7"/>
        <v>0</v>
      </c>
      <c r="AA71" s="10">
        <f t="shared" si="7"/>
        <v>0.46500000000000002</v>
      </c>
      <c r="AB71" s="10">
        <f t="shared" si="7"/>
        <v>0.47099999999999997</v>
      </c>
      <c r="AC71" s="10">
        <f t="shared" si="7"/>
        <v>0.441</v>
      </c>
      <c r="AD71" s="10">
        <f t="shared" si="7"/>
        <v>0.44400000000000001</v>
      </c>
      <c r="AE71" s="10">
        <f t="shared" si="7"/>
        <v>0.45400000000000001</v>
      </c>
      <c r="AF71" s="10">
        <f t="shared" si="7"/>
        <v>0</v>
      </c>
    </row>
    <row r="72" spans="1:32">
      <c r="A72" s="10" t="s">
        <v>146</v>
      </c>
      <c r="B72" s="61" t="s">
        <v>285</v>
      </c>
      <c r="C72" s="10">
        <f t="shared" si="8"/>
        <v>0.48899999999999999</v>
      </c>
      <c r="D72" s="10">
        <f t="shared" si="7"/>
        <v>0.45500000000000002</v>
      </c>
      <c r="E72" s="10">
        <f t="shared" si="7"/>
        <v>0.443</v>
      </c>
      <c r="F72" s="10">
        <f t="shared" si="7"/>
        <v>0</v>
      </c>
      <c r="G72" s="10">
        <f t="shared" si="7"/>
        <v>0.45700000000000002</v>
      </c>
      <c r="H72" s="10">
        <f t="shared" si="7"/>
        <v>0.44700000000000001</v>
      </c>
      <c r="I72" s="10">
        <f t="shared" si="7"/>
        <v>0.437</v>
      </c>
      <c r="J72" s="10">
        <f t="shared" si="7"/>
        <v>0</v>
      </c>
      <c r="K72" s="10">
        <f t="shared" si="7"/>
        <v>0.45500000000000002</v>
      </c>
      <c r="L72" s="10">
        <f t="shared" si="7"/>
        <v>0</v>
      </c>
      <c r="M72" s="10">
        <f t="shared" si="7"/>
        <v>0.46800000000000003</v>
      </c>
      <c r="N72" s="10">
        <f t="shared" si="7"/>
        <v>0</v>
      </c>
      <c r="O72" s="10">
        <f t="shared" si="7"/>
        <v>0.46800000000000003</v>
      </c>
      <c r="P72" s="10">
        <f t="shared" si="7"/>
        <v>0.46300000000000002</v>
      </c>
      <c r="Q72" s="10">
        <f t="shared" si="7"/>
        <v>0.46500000000000002</v>
      </c>
      <c r="R72" s="10">
        <f t="shared" si="7"/>
        <v>0.47599999999999998</v>
      </c>
      <c r="S72" s="10">
        <f t="shared" si="7"/>
        <v>0.45100000000000001</v>
      </c>
      <c r="T72" s="10">
        <f t="shared" si="7"/>
        <v>0.44500000000000001</v>
      </c>
      <c r="U72" s="10">
        <f t="shared" si="7"/>
        <v>0.45300000000000001</v>
      </c>
      <c r="V72" s="10">
        <f t="shared" si="7"/>
        <v>0</v>
      </c>
      <c r="W72" s="10">
        <f t="shared" si="7"/>
        <v>0.435</v>
      </c>
      <c r="X72" s="10">
        <f t="shared" si="7"/>
        <v>0.44400000000000001</v>
      </c>
      <c r="Y72" s="10">
        <f t="shared" si="7"/>
        <v>0.44500000000000001</v>
      </c>
      <c r="Z72" s="10">
        <f t="shared" si="7"/>
        <v>0</v>
      </c>
      <c r="AA72" s="10">
        <f t="shared" si="7"/>
        <v>0.47799999999999998</v>
      </c>
      <c r="AB72" s="10">
        <f t="shared" si="7"/>
        <v>0.43099999999999999</v>
      </c>
      <c r="AC72" s="10">
        <f t="shared" si="7"/>
        <v>0.46200000000000002</v>
      </c>
      <c r="AD72" s="10">
        <f t="shared" si="7"/>
        <v>0.45700000000000002</v>
      </c>
      <c r="AE72" s="10">
        <f t="shared" si="7"/>
        <v>0.45</v>
      </c>
      <c r="AF72" s="10">
        <f t="shared" si="7"/>
        <v>0</v>
      </c>
    </row>
    <row r="73" spans="1:32">
      <c r="A73" s="10" t="s">
        <v>146</v>
      </c>
      <c r="B73" s="61" t="s">
        <v>308</v>
      </c>
      <c r="C73" s="10">
        <f t="shared" si="8"/>
        <v>0</v>
      </c>
      <c r="D73" s="10">
        <f t="shared" si="7"/>
        <v>0</v>
      </c>
      <c r="E73" s="10">
        <f t="shared" si="7"/>
        <v>0</v>
      </c>
      <c r="F73" s="10">
        <f t="shared" si="7"/>
        <v>0</v>
      </c>
      <c r="G73" s="10">
        <f t="shared" si="7"/>
        <v>0</v>
      </c>
      <c r="H73" s="10">
        <f t="shared" si="7"/>
        <v>0.46400000000000002</v>
      </c>
      <c r="I73" s="10">
        <f t="shared" si="7"/>
        <v>0.46800000000000003</v>
      </c>
      <c r="J73" s="10">
        <f t="shared" si="7"/>
        <v>0.45500000000000002</v>
      </c>
      <c r="K73" s="10">
        <f t="shared" si="7"/>
        <v>0</v>
      </c>
      <c r="L73" s="10">
        <f t="shared" si="7"/>
        <v>0</v>
      </c>
      <c r="M73" s="10">
        <f t="shared" si="7"/>
        <v>0.441</v>
      </c>
      <c r="N73" s="10">
        <f t="shared" si="7"/>
        <v>0</v>
      </c>
      <c r="O73" s="10">
        <f t="shared" si="7"/>
        <v>0</v>
      </c>
      <c r="P73" s="10">
        <f t="shared" si="7"/>
        <v>0</v>
      </c>
      <c r="Q73" s="10">
        <f t="shared" si="7"/>
        <v>0</v>
      </c>
      <c r="R73" s="10">
        <f t="shared" si="7"/>
        <v>0</v>
      </c>
      <c r="S73" s="10">
        <f t="shared" si="7"/>
        <v>0.43</v>
      </c>
      <c r="T73" s="10">
        <f t="shared" si="7"/>
        <v>0</v>
      </c>
      <c r="U73" s="10">
        <f t="shared" si="7"/>
        <v>0.42299999999999999</v>
      </c>
      <c r="V73" s="10">
        <f t="shared" si="7"/>
        <v>0</v>
      </c>
      <c r="W73" s="10">
        <f t="shared" si="7"/>
        <v>0</v>
      </c>
      <c r="X73" s="10">
        <f t="shared" si="7"/>
        <v>0.45100000000000001</v>
      </c>
      <c r="Y73" s="10">
        <f t="shared" si="7"/>
        <v>0.44900000000000001</v>
      </c>
      <c r="Z73" s="10">
        <f t="shared" si="7"/>
        <v>0</v>
      </c>
      <c r="AA73" s="10">
        <f t="shared" si="7"/>
        <v>0</v>
      </c>
      <c r="AB73" s="10">
        <f t="shared" si="7"/>
        <v>0.442</v>
      </c>
      <c r="AC73" s="10">
        <f t="shared" si="7"/>
        <v>0</v>
      </c>
      <c r="AD73" s="10">
        <f t="shared" si="7"/>
        <v>0.46300000000000002</v>
      </c>
      <c r="AE73" s="10">
        <f t="shared" si="7"/>
        <v>0</v>
      </c>
      <c r="AF73" s="10">
        <f t="shared" si="7"/>
        <v>0</v>
      </c>
    </row>
    <row r="74" spans="1:32">
      <c r="A74" s="10" t="s">
        <v>146</v>
      </c>
      <c r="B74" s="61" t="s">
        <v>286</v>
      </c>
      <c r="C74" s="10">
        <f t="shared" si="8"/>
        <v>0.42399999999999999</v>
      </c>
      <c r="D74" s="10">
        <f t="shared" si="7"/>
        <v>0.48299999999999998</v>
      </c>
      <c r="E74" s="10">
        <f t="shared" si="7"/>
        <v>0.47</v>
      </c>
      <c r="F74" s="10">
        <f t="shared" si="7"/>
        <v>0</v>
      </c>
      <c r="G74" s="10">
        <f t="shared" si="7"/>
        <v>0.46500000000000002</v>
      </c>
      <c r="H74" s="10">
        <f t="shared" si="7"/>
        <v>0</v>
      </c>
      <c r="I74" s="10">
        <f t="shared" si="7"/>
        <v>0.48199999999999998</v>
      </c>
      <c r="J74" s="10">
        <f t="shared" si="7"/>
        <v>0</v>
      </c>
      <c r="K74" s="10">
        <f t="shared" si="7"/>
        <v>0</v>
      </c>
      <c r="L74" s="10">
        <f t="shared" si="7"/>
        <v>0</v>
      </c>
      <c r="M74" s="10">
        <f t="shared" si="7"/>
        <v>0</v>
      </c>
      <c r="N74" s="10">
        <f t="shared" si="7"/>
        <v>0</v>
      </c>
      <c r="O74" s="10">
        <f t="shared" si="7"/>
        <v>0.48599999999999999</v>
      </c>
      <c r="P74" s="10">
        <f t="shared" si="7"/>
        <v>0</v>
      </c>
      <c r="Q74" s="10">
        <f t="shared" si="7"/>
        <v>0.47599999999999998</v>
      </c>
      <c r="R74" s="10">
        <f t="shared" si="7"/>
        <v>0.47</v>
      </c>
      <c r="S74" s="10">
        <f t="shared" si="7"/>
        <v>0</v>
      </c>
      <c r="T74" s="10">
        <f t="shared" si="7"/>
        <v>0.46899999999999997</v>
      </c>
      <c r="U74" s="10">
        <f t="shared" si="7"/>
        <v>0</v>
      </c>
      <c r="V74" s="10">
        <f t="shared" si="7"/>
        <v>0</v>
      </c>
      <c r="W74" s="10">
        <f t="shared" si="7"/>
        <v>0.47699999999999998</v>
      </c>
      <c r="X74" s="10">
        <f t="shared" si="7"/>
        <v>0</v>
      </c>
      <c r="Y74" s="10">
        <f t="shared" si="7"/>
        <v>0</v>
      </c>
      <c r="Z74" s="10">
        <f t="shared" si="7"/>
        <v>0.432</v>
      </c>
      <c r="AA74" s="10">
        <f t="shared" si="7"/>
        <v>0</v>
      </c>
      <c r="AB74" s="10">
        <f t="shared" si="7"/>
        <v>0</v>
      </c>
      <c r="AC74" s="10">
        <f t="shared" si="7"/>
        <v>0.48199999999999998</v>
      </c>
      <c r="AD74" s="10">
        <f t="shared" si="7"/>
        <v>0</v>
      </c>
      <c r="AE74" s="10">
        <f t="shared" si="7"/>
        <v>0.47899999999999998</v>
      </c>
      <c r="AF74" s="10">
        <f t="shared" si="7"/>
        <v>0</v>
      </c>
    </row>
    <row r="75" spans="1:32">
      <c r="A75" s="10" t="s">
        <v>146</v>
      </c>
      <c r="B75" s="61" t="s">
        <v>287</v>
      </c>
      <c r="C75" s="10">
        <f t="shared" si="8"/>
        <v>0</v>
      </c>
      <c r="D75" s="10">
        <f t="shared" si="7"/>
        <v>0</v>
      </c>
      <c r="E75" s="10">
        <f t="shared" si="7"/>
        <v>0</v>
      </c>
      <c r="F75" s="10">
        <f t="shared" si="7"/>
        <v>0</v>
      </c>
      <c r="G75" s="10">
        <f t="shared" si="7"/>
        <v>0</v>
      </c>
      <c r="H75" s="10">
        <f t="shared" si="7"/>
        <v>0</v>
      </c>
      <c r="I75" s="10">
        <f t="shared" si="7"/>
        <v>0.48699999999999999</v>
      </c>
      <c r="J75" s="10">
        <f t="shared" si="7"/>
        <v>0.46800000000000003</v>
      </c>
      <c r="K75" s="10">
        <f t="shared" si="7"/>
        <v>0.441</v>
      </c>
      <c r="L75" s="10">
        <f t="shared" si="7"/>
        <v>0</v>
      </c>
      <c r="M75" s="10">
        <f t="shared" ref="D75:AF84" si="9">M45</f>
        <v>0</v>
      </c>
      <c r="N75" s="10">
        <f t="shared" si="9"/>
        <v>0</v>
      </c>
      <c r="O75" s="10">
        <f t="shared" si="9"/>
        <v>0</v>
      </c>
      <c r="P75" s="10">
        <f t="shared" si="9"/>
        <v>0</v>
      </c>
      <c r="Q75" s="10">
        <f t="shared" si="9"/>
        <v>0</v>
      </c>
      <c r="R75" s="10">
        <f t="shared" si="9"/>
        <v>0</v>
      </c>
      <c r="S75" s="10">
        <f t="shared" si="9"/>
        <v>0.45700000000000002</v>
      </c>
      <c r="T75" s="10">
        <f t="shared" si="9"/>
        <v>0</v>
      </c>
      <c r="U75" s="10">
        <f t="shared" si="9"/>
        <v>0.45</v>
      </c>
      <c r="V75" s="10">
        <f t="shared" si="9"/>
        <v>0</v>
      </c>
      <c r="W75" s="10">
        <f t="shared" si="9"/>
        <v>0</v>
      </c>
      <c r="X75" s="10">
        <f t="shared" si="9"/>
        <v>0.45600000000000002</v>
      </c>
      <c r="Y75" s="10">
        <f t="shared" si="9"/>
        <v>0.47399999999999998</v>
      </c>
      <c r="Z75" s="10">
        <f t="shared" si="9"/>
        <v>0</v>
      </c>
      <c r="AA75" s="10">
        <f t="shared" si="9"/>
        <v>0</v>
      </c>
      <c r="AB75" s="10">
        <f t="shared" si="9"/>
        <v>0.435</v>
      </c>
      <c r="AC75" s="10">
        <f t="shared" si="9"/>
        <v>0</v>
      </c>
      <c r="AD75" s="10">
        <f t="shared" si="9"/>
        <v>0</v>
      </c>
      <c r="AE75" s="10">
        <f t="shared" si="9"/>
        <v>0</v>
      </c>
      <c r="AF75" s="10">
        <f t="shared" si="9"/>
        <v>0</v>
      </c>
    </row>
    <row r="76" spans="1:32">
      <c r="A76" s="10" t="s">
        <v>146</v>
      </c>
      <c r="B76" s="61" t="s">
        <v>288</v>
      </c>
      <c r="C76" s="10">
        <f t="shared" si="8"/>
        <v>0</v>
      </c>
      <c r="D76" s="10">
        <f t="shared" si="9"/>
        <v>0.47499999999999998</v>
      </c>
      <c r="E76" s="10">
        <f t="shared" si="9"/>
        <v>0.42699999999999999</v>
      </c>
      <c r="F76" s="10">
        <f t="shared" si="9"/>
        <v>0</v>
      </c>
      <c r="G76" s="10">
        <f t="shared" si="9"/>
        <v>0.42899999999999999</v>
      </c>
      <c r="H76" s="10">
        <f t="shared" si="9"/>
        <v>0.48199999999999998</v>
      </c>
      <c r="I76" s="10">
        <f t="shared" si="9"/>
        <v>0.435</v>
      </c>
      <c r="J76" s="10">
        <f t="shared" si="9"/>
        <v>0.48899999999999999</v>
      </c>
      <c r="K76" s="10">
        <f t="shared" si="9"/>
        <v>0</v>
      </c>
      <c r="L76" s="10">
        <f t="shared" si="9"/>
        <v>0.42399999999999999</v>
      </c>
      <c r="M76" s="10">
        <f t="shared" si="9"/>
        <v>0</v>
      </c>
      <c r="N76" s="10">
        <f t="shared" si="9"/>
        <v>0.50600000000000001</v>
      </c>
      <c r="O76" s="10">
        <f t="shared" si="9"/>
        <v>0.48</v>
      </c>
      <c r="P76" s="10">
        <f t="shared" si="9"/>
        <v>0.49099999999999999</v>
      </c>
      <c r="Q76" s="10">
        <f t="shared" si="9"/>
        <v>0.46800000000000003</v>
      </c>
      <c r="R76" s="10">
        <f t="shared" si="9"/>
        <v>0.45600000000000002</v>
      </c>
      <c r="S76" s="10">
        <f t="shared" si="9"/>
        <v>0</v>
      </c>
      <c r="T76" s="10">
        <f t="shared" si="9"/>
        <v>0.46</v>
      </c>
      <c r="U76" s="10">
        <f t="shared" si="9"/>
        <v>0</v>
      </c>
      <c r="V76" s="10">
        <f t="shared" si="9"/>
        <v>0.49</v>
      </c>
      <c r="W76" s="10">
        <f t="shared" si="9"/>
        <v>0.46800000000000003</v>
      </c>
      <c r="X76" s="10">
        <f t="shared" si="9"/>
        <v>0.52700000000000002</v>
      </c>
      <c r="Y76" s="10">
        <f t="shared" si="9"/>
        <v>0.498</v>
      </c>
      <c r="Z76" s="10">
        <f t="shared" si="9"/>
        <v>0.438</v>
      </c>
      <c r="AA76" s="10">
        <f t="shared" si="9"/>
        <v>0.50800000000000001</v>
      </c>
      <c r="AB76" s="10">
        <f t="shared" si="9"/>
        <v>0.52300000000000002</v>
      </c>
      <c r="AC76" s="10">
        <f t="shared" si="9"/>
        <v>0.47599999999999998</v>
      </c>
      <c r="AD76" s="10">
        <f t="shared" si="9"/>
        <v>0.49299999999999999</v>
      </c>
      <c r="AE76" s="10">
        <f t="shared" si="9"/>
        <v>0.439</v>
      </c>
      <c r="AF76" s="10">
        <f t="shared" si="9"/>
        <v>0</v>
      </c>
    </row>
    <row r="77" spans="1:32">
      <c r="A77" s="10" t="s">
        <v>146</v>
      </c>
      <c r="B77" s="61" t="s">
        <v>289</v>
      </c>
      <c r="C77" s="10">
        <f t="shared" si="8"/>
        <v>0.50600000000000001</v>
      </c>
      <c r="D77" s="10">
        <f t="shared" si="9"/>
        <v>0.46400000000000002</v>
      </c>
      <c r="E77" s="10">
        <f t="shared" si="9"/>
        <v>0</v>
      </c>
      <c r="F77" s="10">
        <f t="shared" si="9"/>
        <v>0.433</v>
      </c>
      <c r="G77" s="10">
        <f t="shared" si="9"/>
        <v>0</v>
      </c>
      <c r="H77" s="10">
        <f t="shared" si="9"/>
        <v>0.47</v>
      </c>
      <c r="I77" s="10">
        <f t="shared" si="9"/>
        <v>0.48399999999999999</v>
      </c>
      <c r="J77" s="10">
        <f t="shared" si="9"/>
        <v>0</v>
      </c>
      <c r="K77" s="10">
        <f t="shared" si="9"/>
        <v>0</v>
      </c>
      <c r="L77" s="10">
        <f t="shared" si="9"/>
        <v>0</v>
      </c>
      <c r="M77" s="10">
        <f t="shared" si="9"/>
        <v>0</v>
      </c>
      <c r="N77" s="10">
        <f t="shared" si="9"/>
        <v>0</v>
      </c>
      <c r="O77" s="10">
        <f t="shared" si="9"/>
        <v>0.45</v>
      </c>
      <c r="P77" s="10">
        <f t="shared" si="9"/>
        <v>0.45400000000000001</v>
      </c>
      <c r="Q77" s="10">
        <f t="shared" si="9"/>
        <v>0</v>
      </c>
      <c r="R77" s="10">
        <f t="shared" si="9"/>
        <v>0.45600000000000002</v>
      </c>
      <c r="S77" s="10">
        <f t="shared" si="9"/>
        <v>0</v>
      </c>
      <c r="T77" s="10">
        <f t="shared" si="9"/>
        <v>0</v>
      </c>
      <c r="U77" s="10">
        <f t="shared" si="9"/>
        <v>0</v>
      </c>
      <c r="V77" s="10">
        <f t="shared" si="9"/>
        <v>0.436</v>
      </c>
      <c r="W77" s="10">
        <f t="shared" si="9"/>
        <v>0</v>
      </c>
      <c r="X77" s="10">
        <f t="shared" si="9"/>
        <v>0</v>
      </c>
      <c r="Y77" s="10">
        <f t="shared" si="9"/>
        <v>0.47599999999999998</v>
      </c>
      <c r="Z77" s="10">
        <f t="shared" si="9"/>
        <v>0</v>
      </c>
      <c r="AA77" s="10">
        <f t="shared" si="9"/>
        <v>0.44700000000000001</v>
      </c>
      <c r="AB77" s="10">
        <f t="shared" si="9"/>
        <v>0</v>
      </c>
      <c r="AC77" s="10">
        <f t="shared" si="9"/>
        <v>0.45700000000000002</v>
      </c>
      <c r="AD77" s="10">
        <f t="shared" si="9"/>
        <v>0.46100000000000002</v>
      </c>
      <c r="AE77" s="10">
        <f t="shared" si="9"/>
        <v>0</v>
      </c>
      <c r="AF77" s="10">
        <f t="shared" si="9"/>
        <v>0.45100000000000001</v>
      </c>
    </row>
    <row r="78" spans="1:32">
      <c r="A78" s="10" t="s">
        <v>146</v>
      </c>
      <c r="B78" s="61" t="s">
        <v>290</v>
      </c>
      <c r="C78" s="10">
        <f t="shared" si="8"/>
        <v>0.48</v>
      </c>
      <c r="D78" s="10">
        <f t="shared" si="9"/>
        <v>0.42799999999999999</v>
      </c>
      <c r="E78" s="10">
        <f t="shared" si="9"/>
        <v>0.45900000000000002</v>
      </c>
      <c r="F78" s="10">
        <f t="shared" si="9"/>
        <v>0.44600000000000001</v>
      </c>
      <c r="G78" s="10">
        <f t="shared" si="9"/>
        <v>0.442</v>
      </c>
      <c r="H78" s="10">
        <f t="shared" si="9"/>
        <v>0.436</v>
      </c>
      <c r="I78" s="10">
        <f t="shared" si="9"/>
        <v>0.44800000000000001</v>
      </c>
      <c r="J78" s="10">
        <f t="shared" si="9"/>
        <v>0.46800000000000003</v>
      </c>
      <c r="K78" s="10">
        <f t="shared" si="9"/>
        <v>0</v>
      </c>
      <c r="L78" s="10">
        <f t="shared" si="9"/>
        <v>0.48599999999999999</v>
      </c>
      <c r="M78" s="10">
        <f t="shared" si="9"/>
        <v>0</v>
      </c>
      <c r="N78" s="10">
        <f t="shared" si="9"/>
        <v>0.45</v>
      </c>
      <c r="O78" s="10">
        <f t="shared" si="9"/>
        <v>0</v>
      </c>
      <c r="P78" s="10">
        <f t="shared" si="9"/>
        <v>0.42799999999999999</v>
      </c>
      <c r="Q78" s="10">
        <f t="shared" si="9"/>
        <v>0</v>
      </c>
      <c r="R78" s="10">
        <f t="shared" si="9"/>
        <v>0.432</v>
      </c>
      <c r="S78" s="10">
        <f t="shared" si="9"/>
        <v>0.46700000000000003</v>
      </c>
      <c r="T78" s="10">
        <f t="shared" si="9"/>
        <v>0.45300000000000001</v>
      </c>
      <c r="U78" s="10">
        <f t="shared" si="9"/>
        <v>0</v>
      </c>
      <c r="V78" s="10">
        <f t="shared" si="9"/>
        <v>0.42899999999999999</v>
      </c>
      <c r="W78" s="10">
        <f t="shared" si="9"/>
        <v>0.46100000000000002</v>
      </c>
      <c r="X78" s="10">
        <f t="shared" si="9"/>
        <v>0</v>
      </c>
      <c r="Y78" s="10">
        <f t="shared" si="9"/>
        <v>0.44800000000000001</v>
      </c>
      <c r="Z78" s="10">
        <f t="shared" si="9"/>
        <v>0</v>
      </c>
      <c r="AA78" s="10">
        <f t="shared" si="9"/>
        <v>0.443</v>
      </c>
      <c r="AB78" s="10">
        <f t="shared" si="9"/>
        <v>0.496</v>
      </c>
      <c r="AC78" s="10">
        <f t="shared" si="9"/>
        <v>0.42199999999999999</v>
      </c>
      <c r="AD78" s="10">
        <f t="shared" si="9"/>
        <v>0.434</v>
      </c>
      <c r="AE78" s="10">
        <f t="shared" si="9"/>
        <v>0</v>
      </c>
      <c r="AF78" s="10">
        <f t="shared" si="9"/>
        <v>0</v>
      </c>
    </row>
    <row r="79" spans="1:32">
      <c r="A79" s="10" t="s">
        <v>146</v>
      </c>
      <c r="B79" s="61" t="s">
        <v>291</v>
      </c>
      <c r="C79" s="10">
        <f t="shared" si="8"/>
        <v>0.49099999999999999</v>
      </c>
      <c r="D79" s="10">
        <f t="shared" si="9"/>
        <v>0.43099999999999999</v>
      </c>
      <c r="E79" s="10">
        <f t="shared" si="9"/>
        <v>0.46200000000000002</v>
      </c>
      <c r="F79" s="10">
        <f t="shared" si="9"/>
        <v>0.442</v>
      </c>
      <c r="G79" s="10">
        <f t="shared" si="9"/>
        <v>0.45</v>
      </c>
      <c r="H79" s="10">
        <f t="shared" si="9"/>
        <v>0.432</v>
      </c>
      <c r="I79" s="10">
        <f t="shared" si="9"/>
        <v>0.44700000000000001</v>
      </c>
      <c r="J79" s="10">
        <f t="shared" si="9"/>
        <v>0.46300000000000002</v>
      </c>
      <c r="K79" s="10">
        <f t="shared" si="9"/>
        <v>0</v>
      </c>
      <c r="L79" s="10">
        <f t="shared" si="9"/>
        <v>0</v>
      </c>
      <c r="M79" s="10">
        <f t="shared" si="9"/>
        <v>0</v>
      </c>
      <c r="N79" s="10">
        <f t="shared" si="9"/>
        <v>0.45400000000000001</v>
      </c>
      <c r="O79" s="10">
        <f t="shared" si="9"/>
        <v>0.42799999999999999</v>
      </c>
      <c r="P79" s="10">
        <f t="shared" si="9"/>
        <v>0</v>
      </c>
      <c r="Q79" s="10">
        <f t="shared" si="9"/>
        <v>0</v>
      </c>
      <c r="R79" s="10">
        <f t="shared" si="9"/>
        <v>0.44600000000000001</v>
      </c>
      <c r="S79" s="10">
        <f t="shared" si="9"/>
        <v>0.45400000000000001</v>
      </c>
      <c r="T79" s="10">
        <f t="shared" si="9"/>
        <v>0.45700000000000002</v>
      </c>
      <c r="U79" s="10">
        <f t="shared" si="9"/>
        <v>0.46200000000000002</v>
      </c>
      <c r="V79" s="10">
        <f t="shared" si="9"/>
        <v>0.435</v>
      </c>
      <c r="W79" s="10">
        <f t="shared" si="9"/>
        <v>0.46200000000000002</v>
      </c>
      <c r="X79" s="10">
        <f t="shared" si="9"/>
        <v>0</v>
      </c>
      <c r="Y79" s="10">
        <f t="shared" si="9"/>
        <v>0.437</v>
      </c>
      <c r="Z79" s="10">
        <f t="shared" si="9"/>
        <v>0</v>
      </c>
      <c r="AA79" s="10">
        <f t="shared" si="9"/>
        <v>0.433</v>
      </c>
      <c r="AB79" s="10">
        <f t="shared" si="9"/>
        <v>0.48699999999999999</v>
      </c>
      <c r="AC79" s="10">
        <f t="shared" si="9"/>
        <v>0.43</v>
      </c>
      <c r="AD79" s="10">
        <f t="shared" si="9"/>
        <v>0.42199999999999999</v>
      </c>
      <c r="AE79" s="10">
        <f t="shared" si="9"/>
        <v>0</v>
      </c>
      <c r="AF79" s="10">
        <f t="shared" si="9"/>
        <v>0</v>
      </c>
    </row>
    <row r="80" spans="1:32">
      <c r="A80" s="10" t="s">
        <v>146</v>
      </c>
      <c r="B80" s="61" t="s">
        <v>292</v>
      </c>
      <c r="C80" s="10">
        <f t="shared" si="8"/>
        <v>0.46800000000000003</v>
      </c>
      <c r="D80" s="10">
        <f t="shared" si="9"/>
        <v>0</v>
      </c>
      <c r="E80" s="10">
        <f t="shared" si="9"/>
        <v>0.45300000000000001</v>
      </c>
      <c r="F80" s="10">
        <f t="shared" si="9"/>
        <v>0</v>
      </c>
      <c r="G80" s="10">
        <f t="shared" si="9"/>
        <v>0</v>
      </c>
      <c r="H80" s="10">
        <f t="shared" si="9"/>
        <v>0</v>
      </c>
      <c r="I80" s="10">
        <f t="shared" si="9"/>
        <v>0.46800000000000003</v>
      </c>
      <c r="J80" s="10">
        <f t="shared" si="9"/>
        <v>0.46500000000000002</v>
      </c>
      <c r="K80" s="10">
        <f t="shared" si="9"/>
        <v>0</v>
      </c>
      <c r="L80" s="10">
        <f t="shared" si="9"/>
        <v>0.47599999999999998</v>
      </c>
      <c r="M80" s="10">
        <f t="shared" si="9"/>
        <v>0</v>
      </c>
      <c r="N80" s="10">
        <f t="shared" si="9"/>
        <v>0</v>
      </c>
      <c r="O80" s="10">
        <f t="shared" si="9"/>
        <v>0</v>
      </c>
      <c r="P80" s="10">
        <f t="shared" si="9"/>
        <v>0</v>
      </c>
      <c r="Q80" s="10">
        <f t="shared" si="9"/>
        <v>0</v>
      </c>
      <c r="R80" s="10">
        <f t="shared" si="9"/>
        <v>0</v>
      </c>
      <c r="S80" s="10">
        <f t="shared" si="9"/>
        <v>0</v>
      </c>
      <c r="T80" s="10">
        <f t="shared" si="9"/>
        <v>0.45800000000000002</v>
      </c>
      <c r="U80" s="10">
        <f t="shared" si="9"/>
        <v>0</v>
      </c>
      <c r="V80" s="10">
        <f t="shared" si="9"/>
        <v>0</v>
      </c>
      <c r="W80" s="10">
        <f t="shared" si="9"/>
        <v>0.45300000000000001</v>
      </c>
      <c r="X80" s="10">
        <f t="shared" si="9"/>
        <v>0.48799999999999999</v>
      </c>
      <c r="Y80" s="10">
        <f t="shared" si="9"/>
        <v>0</v>
      </c>
      <c r="Z80" s="10">
        <f t="shared" si="9"/>
        <v>0</v>
      </c>
      <c r="AA80" s="10">
        <f t="shared" si="9"/>
        <v>0</v>
      </c>
      <c r="AB80" s="10">
        <f t="shared" si="9"/>
        <v>0</v>
      </c>
      <c r="AC80" s="10">
        <f t="shared" si="9"/>
        <v>0</v>
      </c>
      <c r="AD80" s="10">
        <f t="shared" si="9"/>
        <v>0</v>
      </c>
      <c r="AE80" s="10">
        <f t="shared" si="9"/>
        <v>0.43</v>
      </c>
      <c r="AF80" s="10">
        <f t="shared" si="9"/>
        <v>0</v>
      </c>
    </row>
    <row r="81" spans="1:32">
      <c r="A81" s="10" t="s">
        <v>146</v>
      </c>
      <c r="B81" s="61" t="s">
        <v>293</v>
      </c>
      <c r="C81" s="10">
        <f t="shared" si="8"/>
        <v>0.45600000000000002</v>
      </c>
      <c r="D81" s="10">
        <f t="shared" si="9"/>
        <v>0.438</v>
      </c>
      <c r="E81" s="10">
        <f t="shared" si="9"/>
        <v>0.45800000000000002</v>
      </c>
      <c r="F81" s="10">
        <f t="shared" si="9"/>
        <v>0.45900000000000002</v>
      </c>
      <c r="G81" s="10">
        <f t="shared" si="9"/>
        <v>0.437</v>
      </c>
      <c r="H81" s="10">
        <f t="shared" si="9"/>
        <v>0.44800000000000001</v>
      </c>
      <c r="I81" s="10">
        <f t="shared" si="9"/>
        <v>0.45300000000000001</v>
      </c>
      <c r="J81" s="10">
        <f t="shared" si="9"/>
        <v>0.47599999999999998</v>
      </c>
      <c r="K81" s="10">
        <f t="shared" si="9"/>
        <v>0</v>
      </c>
      <c r="L81" s="10">
        <f t="shared" si="9"/>
        <v>0.47</v>
      </c>
      <c r="M81" s="10">
        <f t="shared" si="9"/>
        <v>0</v>
      </c>
      <c r="N81" s="10">
        <f t="shared" si="9"/>
        <v>0.45600000000000002</v>
      </c>
      <c r="O81" s="10">
        <f t="shared" si="9"/>
        <v>0.432</v>
      </c>
      <c r="P81" s="10">
        <f t="shared" si="9"/>
        <v>0.44600000000000001</v>
      </c>
      <c r="Q81" s="10">
        <f t="shared" si="9"/>
        <v>0</v>
      </c>
      <c r="R81" s="10">
        <f t="shared" si="9"/>
        <v>0</v>
      </c>
      <c r="S81" s="10">
        <f t="shared" si="9"/>
        <v>0</v>
      </c>
      <c r="T81" s="10">
        <f t="shared" si="9"/>
        <v>0.45200000000000001</v>
      </c>
      <c r="U81" s="10">
        <f t="shared" si="9"/>
        <v>0</v>
      </c>
      <c r="V81" s="10">
        <f t="shared" si="9"/>
        <v>0.439</v>
      </c>
      <c r="W81" s="10">
        <f t="shared" si="9"/>
        <v>0.46300000000000002</v>
      </c>
      <c r="X81" s="10">
        <f t="shared" si="9"/>
        <v>0</v>
      </c>
      <c r="Y81" s="10">
        <f t="shared" si="9"/>
        <v>0.46300000000000002</v>
      </c>
      <c r="Z81" s="10">
        <f t="shared" si="9"/>
        <v>0</v>
      </c>
      <c r="AA81" s="10">
        <f t="shared" si="9"/>
        <v>0.45900000000000002</v>
      </c>
      <c r="AB81" s="10">
        <f t="shared" si="9"/>
        <v>0.50800000000000001</v>
      </c>
      <c r="AC81" s="10">
        <f t="shared" si="9"/>
        <v>0.432</v>
      </c>
      <c r="AD81" s="10">
        <f t="shared" si="9"/>
        <v>0.45100000000000001</v>
      </c>
      <c r="AE81" s="10">
        <f t="shared" si="9"/>
        <v>0.48399999999999999</v>
      </c>
      <c r="AF81" s="10">
        <f t="shared" si="9"/>
        <v>0</v>
      </c>
    </row>
    <row r="82" spans="1:32">
      <c r="A82" s="10" t="s">
        <v>146</v>
      </c>
      <c r="B82" s="61" t="s">
        <v>309</v>
      </c>
      <c r="C82" s="10">
        <f t="shared" si="8"/>
        <v>0</v>
      </c>
      <c r="D82" s="10">
        <f t="shared" si="9"/>
        <v>0.46</v>
      </c>
      <c r="E82" s="10">
        <f t="shared" si="9"/>
        <v>0</v>
      </c>
      <c r="F82" s="10">
        <f t="shared" si="9"/>
        <v>0</v>
      </c>
      <c r="G82" s="10">
        <f t="shared" si="9"/>
        <v>0</v>
      </c>
      <c r="H82" s="10">
        <f t="shared" si="9"/>
        <v>0.45</v>
      </c>
      <c r="I82" s="10">
        <f t="shared" si="9"/>
        <v>0.45700000000000002</v>
      </c>
      <c r="J82" s="10">
        <f t="shared" si="9"/>
        <v>0.45100000000000001</v>
      </c>
      <c r="K82" s="10">
        <f t="shared" si="9"/>
        <v>0.43</v>
      </c>
      <c r="L82" s="10">
        <f t="shared" si="9"/>
        <v>0</v>
      </c>
      <c r="M82" s="10">
        <f t="shared" si="9"/>
        <v>0.45700000000000002</v>
      </c>
      <c r="N82" s="10">
        <f t="shared" si="9"/>
        <v>0</v>
      </c>
      <c r="O82" s="10">
        <f t="shared" si="9"/>
        <v>0.46700000000000003</v>
      </c>
      <c r="P82" s="10">
        <f t="shared" si="9"/>
        <v>0.45400000000000001</v>
      </c>
      <c r="Q82" s="10">
        <f t="shared" si="9"/>
        <v>0</v>
      </c>
      <c r="R82" s="10">
        <f t="shared" si="9"/>
        <v>0</v>
      </c>
      <c r="S82" s="10">
        <f t="shared" si="9"/>
        <v>0</v>
      </c>
      <c r="T82" s="10">
        <f t="shared" si="9"/>
        <v>0</v>
      </c>
      <c r="U82" s="10">
        <f t="shared" si="9"/>
        <v>0.42199999999999999</v>
      </c>
      <c r="V82" s="10">
        <f t="shared" si="9"/>
        <v>0</v>
      </c>
      <c r="W82" s="10">
        <f t="shared" si="9"/>
        <v>0.46600000000000003</v>
      </c>
      <c r="X82" s="10">
        <f t="shared" si="9"/>
        <v>0.46200000000000002</v>
      </c>
      <c r="Y82" s="10">
        <f t="shared" si="9"/>
        <v>0.434</v>
      </c>
      <c r="Z82" s="10">
        <f t="shared" si="9"/>
        <v>0</v>
      </c>
      <c r="AA82" s="10">
        <f t="shared" si="9"/>
        <v>0.45800000000000002</v>
      </c>
      <c r="AB82" s="10">
        <f t="shared" si="9"/>
        <v>0.45300000000000001</v>
      </c>
      <c r="AC82" s="10">
        <f t="shared" si="9"/>
        <v>0.46500000000000002</v>
      </c>
      <c r="AD82" s="10">
        <f t="shared" si="9"/>
        <v>0.44800000000000001</v>
      </c>
      <c r="AE82" s="10">
        <f t="shared" si="9"/>
        <v>0</v>
      </c>
      <c r="AF82" s="10">
        <f t="shared" si="9"/>
        <v>0</v>
      </c>
    </row>
    <row r="83" spans="1:32">
      <c r="A83" s="10" t="s">
        <v>146</v>
      </c>
      <c r="B83" s="61" t="s">
        <v>294</v>
      </c>
      <c r="C83" s="10">
        <f t="shared" ref="C83:C94" si="10">C53</f>
        <v>0.46</v>
      </c>
      <c r="D83" s="10">
        <f t="shared" si="9"/>
        <v>0.441</v>
      </c>
      <c r="E83" s="10">
        <f t="shared" si="9"/>
        <v>0.42</v>
      </c>
      <c r="F83" s="10">
        <f t="shared" si="9"/>
        <v>0</v>
      </c>
      <c r="G83" s="10">
        <f t="shared" si="9"/>
        <v>0.43</v>
      </c>
      <c r="H83" s="10">
        <f t="shared" si="9"/>
        <v>0.442</v>
      </c>
      <c r="I83" s="10">
        <f t="shared" si="9"/>
        <v>0.42899999999999999</v>
      </c>
      <c r="J83" s="10">
        <f t="shared" si="9"/>
        <v>0.44500000000000001</v>
      </c>
      <c r="K83" s="10">
        <f t="shared" si="9"/>
        <v>0</v>
      </c>
      <c r="L83" s="10">
        <f t="shared" si="9"/>
        <v>0.46899999999999997</v>
      </c>
      <c r="M83" s="10">
        <f t="shared" si="9"/>
        <v>0</v>
      </c>
      <c r="N83" s="10">
        <f t="shared" si="9"/>
        <v>0</v>
      </c>
      <c r="O83" s="10">
        <f t="shared" si="9"/>
        <v>0.45300000000000001</v>
      </c>
      <c r="P83" s="10">
        <f t="shared" si="9"/>
        <v>0.45700000000000002</v>
      </c>
      <c r="Q83" s="10">
        <f t="shared" si="9"/>
        <v>0.45800000000000002</v>
      </c>
      <c r="R83" s="10">
        <f t="shared" si="9"/>
        <v>0.45200000000000001</v>
      </c>
      <c r="S83" s="10">
        <f t="shared" si="9"/>
        <v>0</v>
      </c>
      <c r="T83" s="10">
        <f t="shared" si="9"/>
        <v>0</v>
      </c>
      <c r="U83" s="10">
        <f t="shared" si="9"/>
        <v>0</v>
      </c>
      <c r="V83" s="10">
        <f t="shared" si="9"/>
        <v>0</v>
      </c>
      <c r="W83" s="10">
        <f t="shared" si="9"/>
        <v>0.42599999999999999</v>
      </c>
      <c r="X83" s="10">
        <f t="shared" si="9"/>
        <v>0.48499999999999999</v>
      </c>
      <c r="Y83" s="10">
        <f t="shared" si="9"/>
        <v>0.45500000000000002</v>
      </c>
      <c r="Z83" s="10">
        <f t="shared" si="9"/>
        <v>0</v>
      </c>
      <c r="AA83" s="10">
        <f t="shared" si="9"/>
        <v>0</v>
      </c>
      <c r="AB83" s="10">
        <f t="shared" si="9"/>
        <v>0.48</v>
      </c>
      <c r="AC83" s="10">
        <f t="shared" si="9"/>
        <v>0.44600000000000001</v>
      </c>
      <c r="AD83" s="10">
        <f t="shared" si="9"/>
        <v>0.45500000000000002</v>
      </c>
      <c r="AE83" s="10">
        <f t="shared" si="9"/>
        <v>0.44700000000000001</v>
      </c>
      <c r="AF83" s="10">
        <f t="shared" si="9"/>
        <v>0</v>
      </c>
    </row>
    <row r="84" spans="1:32">
      <c r="A84" s="10" t="s">
        <v>146</v>
      </c>
      <c r="B84" s="61" t="s">
        <v>310</v>
      </c>
      <c r="C84" s="10">
        <f t="shared" si="10"/>
        <v>0</v>
      </c>
      <c r="D84" s="10">
        <f t="shared" si="9"/>
        <v>0.46700000000000003</v>
      </c>
      <c r="E84" s="10">
        <f t="shared" si="9"/>
        <v>0</v>
      </c>
      <c r="F84" s="10">
        <f t="shared" si="9"/>
        <v>0</v>
      </c>
      <c r="G84" s="10">
        <f t="shared" ref="D84:AF92" si="11">G54</f>
        <v>0</v>
      </c>
      <c r="H84" s="10">
        <f t="shared" si="11"/>
        <v>0.45700000000000002</v>
      </c>
      <c r="I84" s="10">
        <f t="shared" si="11"/>
        <v>0.46200000000000002</v>
      </c>
      <c r="J84" s="10">
        <f t="shared" si="11"/>
        <v>0.45300000000000001</v>
      </c>
      <c r="K84" s="10">
        <f t="shared" si="11"/>
        <v>0.42299999999999999</v>
      </c>
      <c r="L84" s="10">
        <f t="shared" si="11"/>
        <v>0</v>
      </c>
      <c r="M84" s="10">
        <f t="shared" si="11"/>
        <v>0.45</v>
      </c>
      <c r="N84" s="10">
        <f t="shared" si="11"/>
        <v>0</v>
      </c>
      <c r="O84" s="10">
        <f t="shared" si="11"/>
        <v>0</v>
      </c>
      <c r="P84" s="10">
        <f t="shared" si="11"/>
        <v>0.46200000000000002</v>
      </c>
      <c r="Q84" s="10">
        <f t="shared" si="11"/>
        <v>0</v>
      </c>
      <c r="R84" s="10">
        <f t="shared" si="11"/>
        <v>0</v>
      </c>
      <c r="S84" s="10">
        <f t="shared" si="11"/>
        <v>0.42199999999999999</v>
      </c>
      <c r="T84" s="10">
        <f t="shared" si="11"/>
        <v>0</v>
      </c>
      <c r="U84" s="10">
        <f t="shared" si="11"/>
        <v>0</v>
      </c>
      <c r="V84" s="10">
        <f t="shared" si="11"/>
        <v>0</v>
      </c>
      <c r="W84" s="10">
        <f t="shared" si="11"/>
        <v>0.47</v>
      </c>
      <c r="X84" s="10">
        <f t="shared" si="11"/>
        <v>0.45700000000000002</v>
      </c>
      <c r="Y84" s="10">
        <f t="shared" si="11"/>
        <v>0.441</v>
      </c>
      <c r="Z84" s="10">
        <f t="shared" si="11"/>
        <v>0</v>
      </c>
      <c r="AA84" s="10">
        <f t="shared" si="11"/>
        <v>0.46500000000000002</v>
      </c>
      <c r="AB84" s="10">
        <f t="shared" si="11"/>
        <v>0.44800000000000001</v>
      </c>
      <c r="AC84" s="10">
        <f t="shared" si="11"/>
        <v>0</v>
      </c>
      <c r="AD84" s="10">
        <f t="shared" si="11"/>
        <v>0.45500000000000002</v>
      </c>
      <c r="AE84" s="10">
        <f t="shared" si="11"/>
        <v>0</v>
      </c>
      <c r="AF84" s="10">
        <f t="shared" si="11"/>
        <v>0</v>
      </c>
    </row>
    <row r="85" spans="1:32">
      <c r="A85" s="10" t="s">
        <v>146</v>
      </c>
      <c r="B85" s="61" t="s">
        <v>297</v>
      </c>
      <c r="C85" s="10">
        <f t="shared" si="10"/>
        <v>0.46800000000000003</v>
      </c>
      <c r="D85" s="10">
        <f t="shared" si="11"/>
        <v>0.44800000000000001</v>
      </c>
      <c r="E85" s="10">
        <f t="shared" si="11"/>
        <v>0.42199999999999999</v>
      </c>
      <c r="F85" s="10">
        <f t="shared" si="11"/>
        <v>0</v>
      </c>
      <c r="G85" s="10">
        <f t="shared" si="11"/>
        <v>0.441</v>
      </c>
      <c r="H85" s="10">
        <f t="shared" si="11"/>
        <v>0.44500000000000001</v>
      </c>
      <c r="I85" s="10">
        <f t="shared" si="11"/>
        <v>0.42899999999999999</v>
      </c>
      <c r="J85" s="10">
        <f t="shared" si="11"/>
        <v>0.435</v>
      </c>
      <c r="K85" s="10">
        <f t="shared" si="11"/>
        <v>0</v>
      </c>
      <c r="L85" s="10">
        <f t="shared" si="11"/>
        <v>0.47699999999999998</v>
      </c>
      <c r="M85" s="10">
        <f t="shared" si="11"/>
        <v>0</v>
      </c>
      <c r="N85" s="10">
        <f t="shared" si="11"/>
        <v>0</v>
      </c>
      <c r="O85" s="10">
        <f t="shared" si="11"/>
        <v>0.46100000000000002</v>
      </c>
      <c r="P85" s="10">
        <f t="shared" si="11"/>
        <v>0.46200000000000002</v>
      </c>
      <c r="Q85" s="10">
        <f t="shared" si="11"/>
        <v>0.45300000000000001</v>
      </c>
      <c r="R85" s="10">
        <f t="shared" si="11"/>
        <v>0.46300000000000002</v>
      </c>
      <c r="S85" s="10">
        <f t="shared" si="11"/>
        <v>0.46600000000000003</v>
      </c>
      <c r="T85" s="10">
        <f t="shared" si="11"/>
        <v>0.42599999999999999</v>
      </c>
      <c r="U85" s="10">
        <f t="shared" si="11"/>
        <v>0.47</v>
      </c>
      <c r="V85" s="10">
        <f t="shared" si="11"/>
        <v>0</v>
      </c>
      <c r="W85" s="10">
        <f t="shared" si="11"/>
        <v>0</v>
      </c>
      <c r="X85" s="10">
        <f t="shared" si="11"/>
        <v>0.47399999999999998</v>
      </c>
      <c r="Y85" s="10">
        <f t="shared" si="11"/>
        <v>0.45400000000000001</v>
      </c>
      <c r="Z85" s="10">
        <f t="shared" si="11"/>
        <v>0</v>
      </c>
      <c r="AA85" s="10">
        <f t="shared" si="11"/>
        <v>0</v>
      </c>
      <c r="AB85" s="10">
        <f t="shared" si="11"/>
        <v>0.47</v>
      </c>
      <c r="AC85" s="10">
        <f t="shared" si="11"/>
        <v>0.45400000000000001</v>
      </c>
      <c r="AD85" s="10">
        <f t="shared" si="11"/>
        <v>0.45900000000000002</v>
      </c>
      <c r="AE85" s="10">
        <f t="shared" si="11"/>
        <v>0.44</v>
      </c>
      <c r="AF85" s="10">
        <f t="shared" si="11"/>
        <v>0</v>
      </c>
    </row>
    <row r="86" spans="1:32">
      <c r="A86" s="10" t="s">
        <v>146</v>
      </c>
      <c r="B86" s="61" t="s">
        <v>298</v>
      </c>
      <c r="C86" s="10">
        <f t="shared" si="10"/>
        <v>0.52700000000000002</v>
      </c>
      <c r="D86" s="10">
        <f t="shared" si="11"/>
        <v>0</v>
      </c>
      <c r="E86" s="10">
        <f t="shared" si="11"/>
        <v>0.48199999999999998</v>
      </c>
      <c r="F86" s="10">
        <f t="shared" si="11"/>
        <v>0</v>
      </c>
      <c r="G86" s="10">
        <f t="shared" si="11"/>
        <v>0</v>
      </c>
      <c r="H86" s="10">
        <f t="shared" si="11"/>
        <v>0.48299999999999998</v>
      </c>
      <c r="I86" s="10">
        <f t="shared" si="11"/>
        <v>0.47699999999999998</v>
      </c>
      <c r="J86" s="10">
        <f t="shared" si="11"/>
        <v>0.44400000000000001</v>
      </c>
      <c r="K86" s="10">
        <f t="shared" si="11"/>
        <v>0.45100000000000001</v>
      </c>
      <c r="L86" s="10">
        <f t="shared" si="11"/>
        <v>0</v>
      </c>
      <c r="M86" s="10">
        <f t="shared" si="11"/>
        <v>0.45600000000000002</v>
      </c>
      <c r="N86" s="10">
        <f t="shared" si="11"/>
        <v>0</v>
      </c>
      <c r="O86" s="10">
        <f t="shared" si="11"/>
        <v>0</v>
      </c>
      <c r="P86" s="10">
        <f t="shared" si="11"/>
        <v>0</v>
      </c>
      <c r="Q86" s="10">
        <f t="shared" si="11"/>
        <v>0.48799999999999999</v>
      </c>
      <c r="R86" s="10">
        <f t="shared" si="11"/>
        <v>0</v>
      </c>
      <c r="S86" s="10">
        <f t="shared" si="11"/>
        <v>0.46200000000000002</v>
      </c>
      <c r="T86" s="10">
        <f t="shared" si="11"/>
        <v>0.48499999999999999</v>
      </c>
      <c r="U86" s="10">
        <f t="shared" si="11"/>
        <v>0.45700000000000002</v>
      </c>
      <c r="V86" s="10">
        <f t="shared" si="11"/>
        <v>0</v>
      </c>
      <c r="W86" s="10">
        <f t="shared" si="11"/>
        <v>0.47399999999999998</v>
      </c>
      <c r="X86" s="10">
        <f t="shared" si="11"/>
        <v>0</v>
      </c>
      <c r="Y86" s="10">
        <f t="shared" si="11"/>
        <v>0.47299999999999998</v>
      </c>
      <c r="Z86" s="10">
        <f t="shared" si="11"/>
        <v>0</v>
      </c>
      <c r="AA86" s="10">
        <f t="shared" si="11"/>
        <v>0</v>
      </c>
      <c r="AB86" s="10">
        <f t="shared" si="11"/>
        <v>0.42399999999999999</v>
      </c>
      <c r="AC86" s="10">
        <f t="shared" si="11"/>
        <v>0</v>
      </c>
      <c r="AD86" s="10">
        <f t="shared" si="11"/>
        <v>0</v>
      </c>
      <c r="AE86" s="10">
        <f t="shared" si="11"/>
        <v>0.47599999999999998</v>
      </c>
      <c r="AF86" s="10">
        <f t="shared" si="11"/>
        <v>0</v>
      </c>
    </row>
    <row r="87" spans="1:32">
      <c r="A87" s="10" t="s">
        <v>146</v>
      </c>
      <c r="B87" s="61" t="s">
        <v>357</v>
      </c>
      <c r="C87" s="10">
        <f t="shared" si="10"/>
        <v>0.49</v>
      </c>
      <c r="D87" s="10">
        <f t="shared" si="11"/>
        <v>0.442</v>
      </c>
      <c r="E87" s="10">
        <f t="shared" si="11"/>
        <v>0</v>
      </c>
      <c r="F87" s="10">
        <f t="shared" si="11"/>
        <v>0.435</v>
      </c>
      <c r="G87" s="10">
        <f t="shared" si="11"/>
        <v>0.45500000000000002</v>
      </c>
      <c r="H87" s="10">
        <f t="shared" si="11"/>
        <v>0.44900000000000001</v>
      </c>
      <c r="I87" s="10">
        <f t="shared" si="11"/>
        <v>0.46200000000000002</v>
      </c>
      <c r="J87" s="10">
        <f t="shared" si="11"/>
        <v>0</v>
      </c>
      <c r="K87" s="10">
        <f t="shared" si="11"/>
        <v>0</v>
      </c>
      <c r="L87" s="10">
        <f t="shared" si="11"/>
        <v>0</v>
      </c>
      <c r="M87" s="10">
        <f t="shared" si="11"/>
        <v>0</v>
      </c>
      <c r="N87" s="10">
        <f t="shared" si="11"/>
        <v>0.436</v>
      </c>
      <c r="O87" s="10">
        <f t="shared" si="11"/>
        <v>0.42899999999999999</v>
      </c>
      <c r="P87" s="10">
        <f t="shared" si="11"/>
        <v>0.435</v>
      </c>
      <c r="Q87" s="10">
        <f t="shared" si="11"/>
        <v>0</v>
      </c>
      <c r="R87" s="10">
        <f t="shared" si="11"/>
        <v>0.439</v>
      </c>
      <c r="S87" s="10">
        <f t="shared" si="11"/>
        <v>0</v>
      </c>
      <c r="T87" s="10">
        <f t="shared" si="11"/>
        <v>0</v>
      </c>
      <c r="U87" s="10">
        <f t="shared" si="11"/>
        <v>0</v>
      </c>
      <c r="V87" s="10">
        <f t="shared" si="11"/>
        <v>0</v>
      </c>
      <c r="W87" s="10">
        <f t="shared" si="11"/>
        <v>0</v>
      </c>
      <c r="X87" s="10">
        <f t="shared" si="11"/>
        <v>0</v>
      </c>
      <c r="Y87" s="10">
        <f t="shared" si="11"/>
        <v>0.45800000000000002</v>
      </c>
      <c r="Z87" s="10">
        <f t="shared" si="11"/>
        <v>0</v>
      </c>
      <c r="AA87" s="10">
        <f t="shared" si="11"/>
        <v>0.438</v>
      </c>
      <c r="AB87" s="10">
        <f t="shared" si="11"/>
        <v>0</v>
      </c>
      <c r="AC87" s="10">
        <f t="shared" si="11"/>
        <v>0.436</v>
      </c>
      <c r="AD87" s="10">
        <f t="shared" si="11"/>
        <v>0.442</v>
      </c>
      <c r="AE87" s="10">
        <f t="shared" si="11"/>
        <v>0</v>
      </c>
      <c r="AF87" s="10">
        <f t="shared" si="11"/>
        <v>0</v>
      </c>
    </row>
    <row r="88" spans="1:32">
      <c r="A88" s="10" t="s">
        <v>146</v>
      </c>
      <c r="B88" s="61" t="s">
        <v>299</v>
      </c>
      <c r="C88" s="10">
        <f t="shared" si="10"/>
        <v>0.498</v>
      </c>
      <c r="D88" s="10">
        <f t="shared" si="11"/>
        <v>0.441</v>
      </c>
      <c r="E88" s="10">
        <f t="shared" si="11"/>
        <v>0.45800000000000002</v>
      </c>
      <c r="F88" s="10">
        <f t="shared" si="11"/>
        <v>0.46100000000000002</v>
      </c>
      <c r="G88" s="10">
        <f t="shared" si="11"/>
        <v>0.45600000000000002</v>
      </c>
      <c r="H88" s="10">
        <f t="shared" si="11"/>
        <v>0.43099999999999999</v>
      </c>
      <c r="I88" s="10">
        <f t="shared" si="11"/>
        <v>0.441</v>
      </c>
      <c r="J88" s="10">
        <f t="shared" si="11"/>
        <v>0.44500000000000001</v>
      </c>
      <c r="K88" s="10">
        <f t="shared" si="11"/>
        <v>0.44900000000000001</v>
      </c>
      <c r="L88" s="10">
        <f t="shared" si="11"/>
        <v>0</v>
      </c>
      <c r="M88" s="10">
        <f t="shared" si="11"/>
        <v>0.47399999999999998</v>
      </c>
      <c r="N88" s="10">
        <f t="shared" si="11"/>
        <v>0.47599999999999998</v>
      </c>
      <c r="O88" s="10">
        <f t="shared" si="11"/>
        <v>0.44800000000000001</v>
      </c>
      <c r="P88" s="10">
        <f t="shared" si="11"/>
        <v>0.437</v>
      </c>
      <c r="Q88" s="10">
        <f t="shared" si="11"/>
        <v>0</v>
      </c>
      <c r="R88" s="10">
        <f t="shared" si="11"/>
        <v>0.46300000000000002</v>
      </c>
      <c r="S88" s="10">
        <f t="shared" si="11"/>
        <v>0.434</v>
      </c>
      <c r="T88" s="10">
        <f t="shared" si="11"/>
        <v>0.45500000000000002</v>
      </c>
      <c r="U88" s="10">
        <f t="shared" si="11"/>
        <v>0.441</v>
      </c>
      <c r="V88" s="10">
        <f t="shared" si="11"/>
        <v>0.45800000000000002</v>
      </c>
      <c r="W88" s="10">
        <f t="shared" si="11"/>
        <v>0.45400000000000001</v>
      </c>
      <c r="X88" s="10">
        <f t="shared" si="11"/>
        <v>0.47299999999999998</v>
      </c>
      <c r="Y88" s="10">
        <f t="shared" si="11"/>
        <v>0</v>
      </c>
      <c r="Z88" s="10">
        <f t="shared" si="11"/>
        <v>0</v>
      </c>
      <c r="AA88" s="10">
        <f t="shared" si="11"/>
        <v>0.44800000000000001</v>
      </c>
      <c r="AB88" s="10">
        <f t="shared" si="11"/>
        <v>0.46400000000000002</v>
      </c>
      <c r="AC88" s="10">
        <f t="shared" si="11"/>
        <v>0.44500000000000001</v>
      </c>
      <c r="AD88" s="10">
        <f t="shared" si="11"/>
        <v>0.43</v>
      </c>
      <c r="AE88" s="10">
        <f t="shared" si="11"/>
        <v>0.47699999999999998</v>
      </c>
      <c r="AF88" s="10">
        <f t="shared" si="11"/>
        <v>0</v>
      </c>
    </row>
    <row r="89" spans="1:32">
      <c r="A89" s="10" t="s">
        <v>146</v>
      </c>
      <c r="B89" s="61" t="s">
        <v>300</v>
      </c>
      <c r="C89" s="10">
        <f t="shared" si="10"/>
        <v>0.438</v>
      </c>
      <c r="D89" s="10">
        <f t="shared" si="11"/>
        <v>0</v>
      </c>
      <c r="E89" s="10">
        <f t="shared" si="11"/>
        <v>0</v>
      </c>
      <c r="F89" s="10">
        <f t="shared" si="11"/>
        <v>0</v>
      </c>
      <c r="G89" s="10">
        <f t="shared" si="11"/>
        <v>0</v>
      </c>
      <c r="H89" s="10">
        <f t="shared" si="11"/>
        <v>0</v>
      </c>
      <c r="I89" s="10">
        <f t="shared" si="11"/>
        <v>0</v>
      </c>
      <c r="J89" s="10">
        <f t="shared" si="11"/>
        <v>0</v>
      </c>
      <c r="K89" s="10">
        <f t="shared" si="11"/>
        <v>0</v>
      </c>
      <c r="L89" s="10">
        <f t="shared" si="11"/>
        <v>0.432</v>
      </c>
      <c r="M89" s="10">
        <f t="shared" si="11"/>
        <v>0</v>
      </c>
      <c r="N89" s="10">
        <f t="shared" si="11"/>
        <v>0</v>
      </c>
      <c r="O89" s="10">
        <f t="shared" si="11"/>
        <v>0</v>
      </c>
      <c r="P89" s="10">
        <f t="shared" si="11"/>
        <v>0</v>
      </c>
      <c r="Q89" s="10">
        <f t="shared" si="11"/>
        <v>0</v>
      </c>
      <c r="R89" s="10">
        <f t="shared" si="11"/>
        <v>0</v>
      </c>
      <c r="S89" s="10">
        <f t="shared" si="11"/>
        <v>0</v>
      </c>
      <c r="T89" s="10">
        <f t="shared" si="11"/>
        <v>0</v>
      </c>
      <c r="U89" s="10">
        <f t="shared" si="11"/>
        <v>0</v>
      </c>
      <c r="V89" s="10">
        <f t="shared" si="11"/>
        <v>0</v>
      </c>
      <c r="W89" s="10">
        <f t="shared" si="11"/>
        <v>0</v>
      </c>
      <c r="X89" s="10">
        <f t="shared" si="11"/>
        <v>0</v>
      </c>
      <c r="Y89" s="10">
        <f t="shared" si="11"/>
        <v>0</v>
      </c>
      <c r="Z89" s="10">
        <f t="shared" si="11"/>
        <v>0</v>
      </c>
      <c r="AA89" s="10">
        <f t="shared" si="11"/>
        <v>0</v>
      </c>
      <c r="AB89" s="10">
        <f t="shared" si="11"/>
        <v>0</v>
      </c>
      <c r="AC89" s="10">
        <f t="shared" si="11"/>
        <v>0</v>
      </c>
      <c r="AD89" s="10">
        <f t="shared" si="11"/>
        <v>0</v>
      </c>
      <c r="AE89" s="10">
        <f t="shared" si="11"/>
        <v>0.48399999999999999</v>
      </c>
      <c r="AF89" s="10">
        <f t="shared" si="11"/>
        <v>0</v>
      </c>
    </row>
    <row r="90" spans="1:32">
      <c r="A90" s="10" t="s">
        <v>146</v>
      </c>
      <c r="B90" s="61" t="s">
        <v>301</v>
      </c>
      <c r="C90" s="10">
        <f t="shared" si="10"/>
        <v>0.50800000000000001</v>
      </c>
      <c r="D90" s="10">
        <f t="shared" si="11"/>
        <v>0.45</v>
      </c>
      <c r="E90" s="10">
        <f t="shared" si="11"/>
        <v>0</v>
      </c>
      <c r="F90" s="10">
        <f t="shared" si="11"/>
        <v>0.42899999999999999</v>
      </c>
      <c r="G90" s="10">
        <f t="shared" si="11"/>
        <v>0.46800000000000003</v>
      </c>
      <c r="H90" s="10">
        <f t="shared" si="11"/>
        <v>0.44900000000000001</v>
      </c>
      <c r="I90" s="10">
        <f t="shared" si="11"/>
        <v>0.46500000000000002</v>
      </c>
      <c r="J90" s="10">
        <f t="shared" si="11"/>
        <v>0.47799999999999998</v>
      </c>
      <c r="K90" s="10">
        <f t="shared" si="11"/>
        <v>0</v>
      </c>
      <c r="L90" s="10">
        <f t="shared" si="11"/>
        <v>0</v>
      </c>
      <c r="M90" s="10">
        <f t="shared" si="11"/>
        <v>0</v>
      </c>
      <c r="N90" s="10">
        <f t="shared" si="11"/>
        <v>0.44700000000000001</v>
      </c>
      <c r="O90" s="10">
        <f t="shared" si="11"/>
        <v>0.443</v>
      </c>
      <c r="P90" s="10">
        <f t="shared" si="11"/>
        <v>0.433</v>
      </c>
      <c r="Q90" s="10">
        <f t="shared" si="11"/>
        <v>0</v>
      </c>
      <c r="R90" s="10">
        <f t="shared" si="11"/>
        <v>0.45900000000000002</v>
      </c>
      <c r="S90" s="10">
        <f t="shared" si="11"/>
        <v>0.45800000000000002</v>
      </c>
      <c r="T90" s="10">
        <f t="shared" si="11"/>
        <v>0</v>
      </c>
      <c r="U90" s="10">
        <f t="shared" si="11"/>
        <v>0.46500000000000002</v>
      </c>
      <c r="V90" s="10">
        <f t="shared" si="11"/>
        <v>0.438</v>
      </c>
      <c r="W90" s="10">
        <f t="shared" si="11"/>
        <v>0</v>
      </c>
      <c r="X90" s="10">
        <f t="shared" si="11"/>
        <v>0</v>
      </c>
      <c r="Y90" s="10">
        <f t="shared" si="11"/>
        <v>0.44800000000000001</v>
      </c>
      <c r="Z90" s="10">
        <f t="shared" si="11"/>
        <v>0</v>
      </c>
      <c r="AA90" s="10">
        <f t="shared" si="11"/>
        <v>0</v>
      </c>
      <c r="AB90" s="10">
        <f t="shared" si="11"/>
        <v>0</v>
      </c>
      <c r="AC90" s="10">
        <f t="shared" si="11"/>
        <v>0.44700000000000001</v>
      </c>
      <c r="AD90" s="10">
        <f t="shared" si="11"/>
        <v>0.436</v>
      </c>
      <c r="AE90" s="10">
        <f t="shared" si="11"/>
        <v>0</v>
      </c>
      <c r="AF90" s="10">
        <f t="shared" si="11"/>
        <v>0.45200000000000001</v>
      </c>
    </row>
    <row r="91" spans="1:32">
      <c r="A91" s="10" t="s">
        <v>146</v>
      </c>
      <c r="B91" s="61" t="s">
        <v>303</v>
      </c>
      <c r="C91" s="10">
        <f t="shared" si="10"/>
        <v>0.52300000000000002</v>
      </c>
      <c r="D91" s="10">
        <f t="shared" si="11"/>
        <v>0.48499999999999999</v>
      </c>
      <c r="E91" s="10">
        <f t="shared" si="11"/>
        <v>0.47799999999999998</v>
      </c>
      <c r="F91" s="10">
        <f t="shared" si="11"/>
        <v>0</v>
      </c>
      <c r="G91" s="10">
        <f t="shared" si="11"/>
        <v>0.49199999999999999</v>
      </c>
      <c r="H91" s="10">
        <f t="shared" si="11"/>
        <v>0.47499999999999998</v>
      </c>
      <c r="I91" s="10">
        <f t="shared" si="11"/>
        <v>0.47099999999999997</v>
      </c>
      <c r="J91" s="10">
        <f t="shared" si="11"/>
        <v>0.43099999999999999</v>
      </c>
      <c r="K91" s="10">
        <f t="shared" si="11"/>
        <v>0.442</v>
      </c>
      <c r="L91" s="10">
        <f t="shared" si="11"/>
        <v>0</v>
      </c>
      <c r="M91" s="10">
        <f t="shared" si="11"/>
        <v>0.435</v>
      </c>
      <c r="N91" s="10">
        <f t="shared" si="11"/>
        <v>0</v>
      </c>
      <c r="O91" s="10">
        <f t="shared" si="11"/>
        <v>0.496</v>
      </c>
      <c r="P91" s="10">
        <f t="shared" si="11"/>
        <v>0.48699999999999999</v>
      </c>
      <c r="Q91" s="10">
        <f t="shared" si="11"/>
        <v>0</v>
      </c>
      <c r="R91" s="10">
        <f t="shared" si="11"/>
        <v>0.50800000000000001</v>
      </c>
      <c r="S91" s="10">
        <f t="shared" si="11"/>
        <v>0.45300000000000001</v>
      </c>
      <c r="T91" s="10">
        <f t="shared" si="11"/>
        <v>0.48</v>
      </c>
      <c r="U91" s="10">
        <f t="shared" si="11"/>
        <v>0.44800000000000001</v>
      </c>
      <c r="V91" s="10">
        <f t="shared" si="11"/>
        <v>0</v>
      </c>
      <c r="W91" s="10">
        <f t="shared" si="11"/>
        <v>0.47</v>
      </c>
      <c r="X91" s="10">
        <f t="shared" si="11"/>
        <v>0.42399999999999999</v>
      </c>
      <c r="Y91" s="10">
        <f t="shared" si="11"/>
        <v>0.46400000000000002</v>
      </c>
      <c r="Z91" s="10">
        <f t="shared" si="11"/>
        <v>0</v>
      </c>
      <c r="AA91" s="10">
        <f t="shared" si="11"/>
        <v>0</v>
      </c>
      <c r="AB91" s="10">
        <f t="shared" si="11"/>
        <v>0</v>
      </c>
      <c r="AC91" s="10">
        <f t="shared" si="11"/>
        <v>0.49199999999999999</v>
      </c>
      <c r="AD91" s="10">
        <f t="shared" si="11"/>
        <v>0.48</v>
      </c>
      <c r="AE91" s="10">
        <f t="shared" si="11"/>
        <v>0.47599999999999998</v>
      </c>
      <c r="AF91" s="10">
        <f t="shared" si="11"/>
        <v>0</v>
      </c>
    </row>
    <row r="92" spans="1:32">
      <c r="A92" s="10" t="s">
        <v>146</v>
      </c>
      <c r="B92" s="61" t="s">
        <v>304</v>
      </c>
      <c r="C92" s="10">
        <f t="shared" si="10"/>
        <v>0.47599999999999998</v>
      </c>
      <c r="D92" s="10">
        <f t="shared" si="11"/>
        <v>0.42199999999999999</v>
      </c>
      <c r="E92" s="10">
        <f t="shared" si="11"/>
        <v>0.45200000000000001</v>
      </c>
      <c r="F92" s="10">
        <f t="shared" si="11"/>
        <v>0.45200000000000001</v>
      </c>
      <c r="G92" s="10">
        <f t="shared" si="11"/>
        <v>0.436</v>
      </c>
      <c r="H92" s="10">
        <f t="shared" si="11"/>
        <v>0.43099999999999999</v>
      </c>
      <c r="I92" s="10">
        <f t="shared" si="11"/>
        <v>0.441</v>
      </c>
      <c r="J92" s="10">
        <f t="shared" si="11"/>
        <v>0.46200000000000002</v>
      </c>
      <c r="K92" s="10">
        <f t="shared" si="11"/>
        <v>0</v>
      </c>
      <c r="L92" s="10">
        <f t="shared" si="11"/>
        <v>0.48199999999999998</v>
      </c>
      <c r="M92" s="10">
        <f t="shared" si="11"/>
        <v>0</v>
      </c>
      <c r="N92" s="10">
        <f t="shared" si="11"/>
        <v>0.45700000000000002</v>
      </c>
      <c r="O92" s="10">
        <f t="shared" si="11"/>
        <v>0.42199999999999999</v>
      </c>
      <c r="P92" s="10">
        <f t="shared" si="11"/>
        <v>0.43</v>
      </c>
      <c r="Q92" s="10">
        <f t="shared" si="11"/>
        <v>0</v>
      </c>
      <c r="R92" s="10">
        <f t="shared" si="11"/>
        <v>0.432</v>
      </c>
      <c r="S92" s="10">
        <f t="shared" si="11"/>
        <v>0.46500000000000002</v>
      </c>
      <c r="T92" s="10">
        <f t="shared" si="11"/>
        <v>0.44600000000000001</v>
      </c>
      <c r="U92" s="10">
        <f t="shared" si="11"/>
        <v>0</v>
      </c>
      <c r="V92" s="10">
        <f t="shared" si="11"/>
        <v>0.436</v>
      </c>
      <c r="W92" s="10">
        <f t="shared" si="11"/>
        <v>0.45400000000000001</v>
      </c>
      <c r="X92" s="10">
        <f t="shared" si="11"/>
        <v>0</v>
      </c>
      <c r="Y92" s="10">
        <f t="shared" si="11"/>
        <v>0.44500000000000001</v>
      </c>
      <c r="Z92" s="10">
        <f t="shared" si="11"/>
        <v>0</v>
      </c>
      <c r="AA92" s="10">
        <f t="shared" si="11"/>
        <v>0.44700000000000001</v>
      </c>
      <c r="AB92" s="10">
        <f t="shared" si="11"/>
        <v>0.49199999999999999</v>
      </c>
      <c r="AC92" s="10">
        <f t="shared" si="11"/>
        <v>0</v>
      </c>
      <c r="AD92" s="10">
        <f t="shared" ref="D92:AF95" si="12">AD62</f>
        <v>0.433</v>
      </c>
      <c r="AE92" s="10">
        <f t="shared" si="12"/>
        <v>0</v>
      </c>
      <c r="AF92" s="10">
        <f t="shared" si="12"/>
        <v>0</v>
      </c>
    </row>
    <row r="93" spans="1:32">
      <c r="A93" s="10" t="s">
        <v>146</v>
      </c>
      <c r="B93" s="61" t="s">
        <v>305</v>
      </c>
      <c r="C93" s="10">
        <f t="shared" si="10"/>
        <v>0.49299999999999999</v>
      </c>
      <c r="D93" s="10">
        <f t="shared" si="12"/>
        <v>0.432</v>
      </c>
      <c r="E93" s="10">
        <f t="shared" si="12"/>
        <v>0.46</v>
      </c>
      <c r="F93" s="10">
        <f t="shared" si="12"/>
        <v>0.44800000000000001</v>
      </c>
      <c r="G93" s="10">
        <f t="shared" si="12"/>
        <v>0.45100000000000001</v>
      </c>
      <c r="H93" s="10">
        <f t="shared" si="12"/>
        <v>0.42799999999999999</v>
      </c>
      <c r="I93" s="10">
        <f t="shared" si="12"/>
        <v>0.44400000000000001</v>
      </c>
      <c r="J93" s="10">
        <f t="shared" si="12"/>
        <v>0.45700000000000002</v>
      </c>
      <c r="K93" s="10">
        <f t="shared" si="12"/>
        <v>0.46300000000000002</v>
      </c>
      <c r="L93" s="10">
        <f t="shared" si="12"/>
        <v>0</v>
      </c>
      <c r="M93" s="10">
        <f t="shared" si="12"/>
        <v>0</v>
      </c>
      <c r="N93" s="10">
        <f t="shared" si="12"/>
        <v>0.46100000000000002</v>
      </c>
      <c r="O93" s="10">
        <f t="shared" si="12"/>
        <v>0.434</v>
      </c>
      <c r="P93" s="10">
        <f t="shared" si="12"/>
        <v>0.42199999999999999</v>
      </c>
      <c r="Q93" s="10">
        <f t="shared" si="12"/>
        <v>0</v>
      </c>
      <c r="R93" s="10">
        <f t="shared" si="12"/>
        <v>0.45100000000000001</v>
      </c>
      <c r="S93" s="10">
        <f t="shared" si="12"/>
        <v>0.44800000000000001</v>
      </c>
      <c r="T93" s="10">
        <f t="shared" si="12"/>
        <v>0.45500000000000002</v>
      </c>
      <c r="U93" s="10">
        <f t="shared" si="12"/>
        <v>0.45500000000000002</v>
      </c>
      <c r="V93" s="10">
        <f t="shared" si="12"/>
        <v>0.442</v>
      </c>
      <c r="W93" s="10">
        <f t="shared" si="12"/>
        <v>0.45900000000000002</v>
      </c>
      <c r="X93" s="10">
        <f t="shared" si="12"/>
        <v>0</v>
      </c>
      <c r="Y93" s="10">
        <f t="shared" si="12"/>
        <v>0.43</v>
      </c>
      <c r="Z93" s="10">
        <f t="shared" si="12"/>
        <v>0</v>
      </c>
      <c r="AA93" s="10">
        <f t="shared" si="12"/>
        <v>0.436</v>
      </c>
      <c r="AB93" s="10">
        <f t="shared" si="12"/>
        <v>0.48</v>
      </c>
      <c r="AC93" s="10">
        <f t="shared" si="12"/>
        <v>0.433</v>
      </c>
      <c r="AD93" s="10">
        <f t="shared" si="12"/>
        <v>0</v>
      </c>
      <c r="AE93" s="10">
        <f t="shared" si="12"/>
        <v>0</v>
      </c>
      <c r="AF93" s="10">
        <f t="shared" si="12"/>
        <v>0</v>
      </c>
    </row>
    <row r="94" spans="1:32">
      <c r="A94" s="10" t="s">
        <v>146</v>
      </c>
      <c r="B94" s="10" t="s">
        <v>356</v>
      </c>
      <c r="C94" s="10">
        <f t="shared" si="10"/>
        <v>0</v>
      </c>
      <c r="D94" s="10">
        <f t="shared" si="12"/>
        <v>0</v>
      </c>
      <c r="E94" s="10">
        <f t="shared" si="12"/>
        <v>0</v>
      </c>
      <c r="F94" s="10">
        <f t="shared" si="12"/>
        <v>0.432</v>
      </c>
      <c r="G94" s="10">
        <f t="shared" si="12"/>
        <v>0</v>
      </c>
      <c r="H94" s="10">
        <f t="shared" si="12"/>
        <v>0</v>
      </c>
      <c r="I94" s="10">
        <f t="shared" si="12"/>
        <v>0</v>
      </c>
      <c r="J94" s="10">
        <f t="shared" si="12"/>
        <v>0</v>
      </c>
      <c r="K94" s="10">
        <f t="shared" si="12"/>
        <v>0</v>
      </c>
      <c r="L94" s="10">
        <f t="shared" si="12"/>
        <v>0</v>
      </c>
      <c r="M94" s="10">
        <f t="shared" si="12"/>
        <v>0</v>
      </c>
      <c r="N94" s="10">
        <f t="shared" si="12"/>
        <v>0.45100000000000001</v>
      </c>
      <c r="O94" s="10">
        <f t="shared" si="12"/>
        <v>0</v>
      </c>
      <c r="P94" s="10">
        <f t="shared" si="12"/>
        <v>0</v>
      </c>
      <c r="Q94" s="10">
        <f t="shared" si="12"/>
        <v>0</v>
      </c>
      <c r="R94" s="10">
        <f t="shared" si="12"/>
        <v>0</v>
      </c>
      <c r="S94" s="10">
        <f t="shared" si="12"/>
        <v>0</v>
      </c>
      <c r="T94" s="10">
        <f t="shared" si="12"/>
        <v>0</v>
      </c>
      <c r="U94" s="10">
        <f t="shared" si="12"/>
        <v>0</v>
      </c>
      <c r="V94" s="10">
        <f t="shared" si="12"/>
        <v>0</v>
      </c>
      <c r="W94" s="10">
        <f t="shared" si="12"/>
        <v>0</v>
      </c>
      <c r="X94" s="10">
        <f t="shared" si="12"/>
        <v>0</v>
      </c>
      <c r="Y94" s="10">
        <f t="shared" si="12"/>
        <v>0</v>
      </c>
      <c r="Z94" s="10">
        <f t="shared" si="12"/>
        <v>0</v>
      </c>
      <c r="AA94" s="10">
        <f t="shared" si="12"/>
        <v>0.45200000000000001</v>
      </c>
      <c r="AB94" s="10">
        <f t="shared" si="12"/>
        <v>0</v>
      </c>
      <c r="AC94" s="10">
        <f t="shared" si="12"/>
        <v>0</v>
      </c>
      <c r="AD94" s="10">
        <f t="shared" si="12"/>
        <v>0</v>
      </c>
      <c r="AE94" s="10">
        <f t="shared" si="12"/>
        <v>0</v>
      </c>
      <c r="AF94" s="10">
        <f t="shared" si="12"/>
        <v>0</v>
      </c>
    </row>
    <row r="95" spans="1:32">
      <c r="A95" s="10" t="s">
        <v>146</v>
      </c>
      <c r="B95" s="61" t="s">
        <v>307</v>
      </c>
      <c r="C95" s="10">
        <f>C65</f>
        <v>0.439</v>
      </c>
      <c r="D95" s="10">
        <f t="shared" si="12"/>
        <v>0.47299999999999998</v>
      </c>
      <c r="E95" s="10">
        <f t="shared" si="12"/>
        <v>0.441</v>
      </c>
      <c r="F95" s="10">
        <f t="shared" si="12"/>
        <v>0</v>
      </c>
      <c r="G95" s="10">
        <f t="shared" si="12"/>
        <v>0.46200000000000002</v>
      </c>
      <c r="H95" s="10">
        <f t="shared" si="12"/>
        <v>0.47</v>
      </c>
      <c r="I95" s="10">
        <f t="shared" si="12"/>
        <v>0.45400000000000001</v>
      </c>
      <c r="J95" s="10">
        <f t="shared" si="12"/>
        <v>0.45</v>
      </c>
      <c r="K95" s="10">
        <f t="shared" si="12"/>
        <v>0</v>
      </c>
      <c r="L95" s="10">
        <f t="shared" si="12"/>
        <v>0.47899999999999998</v>
      </c>
      <c r="M95" s="10">
        <f t="shared" si="12"/>
        <v>0</v>
      </c>
      <c r="N95" s="10">
        <f t="shared" si="12"/>
        <v>0</v>
      </c>
      <c r="O95" s="10">
        <f t="shared" si="12"/>
        <v>0</v>
      </c>
      <c r="P95" s="10">
        <f t="shared" si="12"/>
        <v>0</v>
      </c>
      <c r="Q95" s="10">
        <f t="shared" si="12"/>
        <v>0.43</v>
      </c>
      <c r="R95" s="10">
        <f t="shared" si="12"/>
        <v>0.48399999999999999</v>
      </c>
      <c r="S95" s="10">
        <f t="shared" si="12"/>
        <v>0</v>
      </c>
      <c r="T95" s="10">
        <f t="shared" si="12"/>
        <v>0.44700000000000001</v>
      </c>
      <c r="U95" s="10">
        <f t="shared" si="12"/>
        <v>0</v>
      </c>
      <c r="V95" s="10">
        <f t="shared" si="12"/>
        <v>0</v>
      </c>
      <c r="W95" s="10">
        <f t="shared" si="12"/>
        <v>0.44</v>
      </c>
      <c r="X95" s="10">
        <f t="shared" si="12"/>
        <v>0.47599999999999998</v>
      </c>
      <c r="Y95" s="10">
        <f t="shared" si="12"/>
        <v>0.47699999999999998</v>
      </c>
      <c r="Z95" s="10">
        <f t="shared" si="12"/>
        <v>0.48399999999999999</v>
      </c>
      <c r="AA95" s="10">
        <f t="shared" si="12"/>
        <v>0</v>
      </c>
      <c r="AB95" s="10">
        <f t="shared" si="12"/>
        <v>0.47599999999999998</v>
      </c>
      <c r="AC95" s="10">
        <f t="shared" si="12"/>
        <v>0</v>
      </c>
      <c r="AD95" s="10">
        <f t="shared" si="12"/>
        <v>0</v>
      </c>
      <c r="AE95" s="10">
        <f t="shared" si="12"/>
        <v>0</v>
      </c>
      <c r="AF95" s="10">
        <f t="shared" si="12"/>
        <v>0</v>
      </c>
    </row>
    <row r="96" spans="1:32">
      <c r="A96" s="10" t="s">
        <v>143</v>
      </c>
      <c r="B96" s="61" t="s">
        <v>278</v>
      </c>
      <c r="C96" s="10">
        <f>ROUND((EXP(7.032824+1*0.622482)*((C6/1.852)^ 0.40303))/(1.15*0.0059)/1000000,3)</f>
        <v>4.58</v>
      </c>
      <c r="D96" s="10">
        <f t="shared" ref="D96:AF105" si="13">ROUND((EXP(7.032824+1*0.622482)*((D6/1.852)^ 0.40303))/(1.15*0.0059)/1000000,3)</f>
        <v>0</v>
      </c>
      <c r="E96" s="10">
        <f t="shared" si="13"/>
        <v>3.5369999999999999</v>
      </c>
      <c r="F96" s="10">
        <f t="shared" si="13"/>
        <v>3.9649999999999999</v>
      </c>
      <c r="G96" s="10">
        <f t="shared" si="13"/>
        <v>2.8639999999999999</v>
      </c>
      <c r="H96" s="10">
        <f t="shared" si="13"/>
        <v>2.2650000000000001</v>
      </c>
      <c r="I96" s="10">
        <f t="shared" si="13"/>
        <v>2.9159999999999999</v>
      </c>
      <c r="J96" s="10">
        <f t="shared" si="13"/>
        <v>3.8860000000000001</v>
      </c>
      <c r="K96" s="10">
        <f t="shared" si="13"/>
        <v>0</v>
      </c>
      <c r="L96" s="10">
        <f t="shared" si="13"/>
        <v>4.7969999999999997</v>
      </c>
      <c r="M96" s="10">
        <f t="shared" si="13"/>
        <v>0</v>
      </c>
      <c r="N96" s="10">
        <f t="shared" si="13"/>
        <v>4.2119999999999997</v>
      </c>
      <c r="O96" s="10">
        <f t="shared" si="13"/>
        <v>2.52</v>
      </c>
      <c r="P96" s="10">
        <f t="shared" si="13"/>
        <v>2.718</v>
      </c>
      <c r="Q96" s="10">
        <f t="shared" si="13"/>
        <v>0</v>
      </c>
      <c r="R96" s="10">
        <f t="shared" si="13"/>
        <v>3.105</v>
      </c>
      <c r="S96" s="10">
        <f t="shared" si="13"/>
        <v>4.0759999999999996</v>
      </c>
      <c r="T96" s="10">
        <f t="shared" si="13"/>
        <v>3.2829999999999999</v>
      </c>
      <c r="U96" s="10">
        <f t="shared" si="13"/>
        <v>4.319</v>
      </c>
      <c r="V96" s="10">
        <f t="shared" si="13"/>
        <v>3.3380000000000001</v>
      </c>
      <c r="W96" s="10">
        <f t="shared" si="13"/>
        <v>3.5990000000000002</v>
      </c>
      <c r="X96" s="10">
        <f t="shared" si="13"/>
        <v>0</v>
      </c>
      <c r="Y96" s="10">
        <f t="shared" si="13"/>
        <v>3.2629999999999999</v>
      </c>
      <c r="Z96" s="10">
        <f t="shared" si="13"/>
        <v>0</v>
      </c>
      <c r="AA96" s="10">
        <f t="shared" si="13"/>
        <v>3.6819999999999999</v>
      </c>
      <c r="AB96" s="10">
        <f t="shared" si="13"/>
        <v>4.8650000000000002</v>
      </c>
      <c r="AC96" s="10">
        <f t="shared" si="13"/>
        <v>1.93</v>
      </c>
      <c r="AD96" s="10">
        <f t="shared" si="13"/>
        <v>2.7610000000000001</v>
      </c>
      <c r="AE96" s="10">
        <f t="shared" si="13"/>
        <v>4.4989999999999997</v>
      </c>
      <c r="AF96" s="10">
        <f t="shared" si="13"/>
        <v>0</v>
      </c>
    </row>
    <row r="97" spans="1:32">
      <c r="A97" s="10" t="s">
        <v>143</v>
      </c>
      <c r="B97" s="61" t="s">
        <v>280</v>
      </c>
      <c r="C97" s="10">
        <f t="shared" ref="C97:R112" si="14">ROUND((EXP(7.032824+1*0.622482)*((C7/1.852)^ 0.40303))/(1.15*0.0059)/1000000,3)</f>
        <v>2.419</v>
      </c>
      <c r="D97" s="10">
        <f t="shared" si="14"/>
        <v>3.5369999999999999</v>
      </c>
      <c r="E97" s="10">
        <f t="shared" si="14"/>
        <v>0</v>
      </c>
      <c r="F97" s="10">
        <f t="shared" si="14"/>
        <v>0</v>
      </c>
      <c r="G97" s="10">
        <f t="shared" si="14"/>
        <v>2.9750000000000001</v>
      </c>
      <c r="H97" s="10">
        <f t="shared" si="14"/>
        <v>3.5329999999999999</v>
      </c>
      <c r="I97" s="10">
        <f t="shared" si="14"/>
        <v>2.734</v>
      </c>
      <c r="J97" s="10">
        <f t="shared" si="14"/>
        <v>3.3879999999999999</v>
      </c>
      <c r="K97" s="10">
        <f t="shared" si="14"/>
        <v>0</v>
      </c>
      <c r="L97" s="10">
        <f t="shared" si="14"/>
        <v>4.4020000000000001</v>
      </c>
      <c r="M97" s="10">
        <f t="shared" si="14"/>
        <v>0</v>
      </c>
      <c r="N97" s="10">
        <f t="shared" si="14"/>
        <v>0</v>
      </c>
      <c r="O97" s="10">
        <f t="shared" si="14"/>
        <v>4.0460000000000003</v>
      </c>
      <c r="P97" s="10">
        <f t="shared" si="14"/>
        <v>4.1509999999999998</v>
      </c>
      <c r="Q97" s="10">
        <f t="shared" si="14"/>
        <v>3.806</v>
      </c>
      <c r="R97" s="10">
        <f t="shared" si="14"/>
        <v>3.992</v>
      </c>
      <c r="S97" s="10">
        <f t="shared" si="13"/>
        <v>0</v>
      </c>
      <c r="T97" s="10">
        <f t="shared" si="13"/>
        <v>1.7809999999999999</v>
      </c>
      <c r="U97" s="10">
        <f t="shared" si="13"/>
        <v>0</v>
      </c>
      <c r="V97" s="10">
        <f t="shared" si="13"/>
        <v>0</v>
      </c>
      <c r="W97" s="10">
        <f t="shared" si="13"/>
        <v>2.0209999999999999</v>
      </c>
      <c r="X97" s="10">
        <f t="shared" si="13"/>
        <v>4.7919999999999998</v>
      </c>
      <c r="Y97" s="10">
        <f t="shared" si="13"/>
        <v>3.988</v>
      </c>
      <c r="Z97" s="10">
        <f t="shared" si="13"/>
        <v>0</v>
      </c>
      <c r="AA97" s="10">
        <f t="shared" si="13"/>
        <v>0</v>
      </c>
      <c r="AB97" s="10">
        <f t="shared" si="13"/>
        <v>4.6710000000000003</v>
      </c>
      <c r="AC97" s="10">
        <f t="shared" si="13"/>
        <v>3.7730000000000001</v>
      </c>
      <c r="AD97" s="10">
        <f t="shared" si="13"/>
        <v>4.0679999999999996</v>
      </c>
      <c r="AE97" s="10">
        <f t="shared" si="13"/>
        <v>3.294</v>
      </c>
      <c r="AF97" s="10">
        <f t="shared" si="13"/>
        <v>0</v>
      </c>
    </row>
    <row r="98" spans="1:32">
      <c r="A98" s="10" t="s">
        <v>143</v>
      </c>
      <c r="B98" s="61" t="s">
        <v>281</v>
      </c>
      <c r="C98" s="10">
        <f t="shared" si="14"/>
        <v>0</v>
      </c>
      <c r="D98" s="10">
        <f t="shared" si="13"/>
        <v>3.9649999999999999</v>
      </c>
      <c r="E98" s="10">
        <f t="shared" si="13"/>
        <v>0</v>
      </c>
      <c r="F98" s="10">
        <f t="shared" si="13"/>
        <v>0</v>
      </c>
      <c r="G98" s="10">
        <f t="shared" si="13"/>
        <v>4.5199999999999996</v>
      </c>
      <c r="H98" s="10">
        <f t="shared" si="13"/>
        <v>4.0640000000000001</v>
      </c>
      <c r="I98" s="10">
        <f t="shared" si="13"/>
        <v>4.5739999999999998</v>
      </c>
      <c r="J98" s="10">
        <f t="shared" si="13"/>
        <v>0</v>
      </c>
      <c r="K98" s="10">
        <f t="shared" si="13"/>
        <v>0</v>
      </c>
      <c r="L98" s="10">
        <f t="shared" si="13"/>
        <v>0</v>
      </c>
      <c r="M98" s="10">
        <f t="shared" si="13"/>
        <v>0</v>
      </c>
      <c r="N98" s="10">
        <f t="shared" si="13"/>
        <v>2.8580000000000001</v>
      </c>
      <c r="O98" s="10">
        <f t="shared" si="13"/>
        <v>3.5049999999999999</v>
      </c>
      <c r="P98" s="10">
        <f t="shared" si="13"/>
        <v>3.3460000000000001</v>
      </c>
      <c r="Q98" s="10">
        <f t="shared" si="13"/>
        <v>0</v>
      </c>
      <c r="R98" s="10">
        <f t="shared" si="13"/>
        <v>4.0460000000000003</v>
      </c>
      <c r="S98" s="10">
        <f t="shared" si="13"/>
        <v>0</v>
      </c>
      <c r="T98" s="10">
        <f t="shared" si="13"/>
        <v>0</v>
      </c>
      <c r="U98" s="10">
        <f t="shared" si="13"/>
        <v>0</v>
      </c>
      <c r="V98" s="10">
        <f t="shared" si="13"/>
        <v>2.9460000000000002</v>
      </c>
      <c r="W98" s="10">
        <f t="shared" si="13"/>
        <v>0</v>
      </c>
      <c r="X98" s="10">
        <f t="shared" si="13"/>
        <v>0</v>
      </c>
      <c r="Y98" s="10">
        <f t="shared" si="13"/>
        <v>4.1269999999999998</v>
      </c>
      <c r="Z98" s="10">
        <f t="shared" si="13"/>
        <v>0</v>
      </c>
      <c r="AA98" s="10">
        <f t="shared" si="13"/>
        <v>2.5529999999999999</v>
      </c>
      <c r="AB98" s="10">
        <f t="shared" si="13"/>
        <v>0</v>
      </c>
      <c r="AC98" s="10">
        <f t="shared" si="13"/>
        <v>3.78</v>
      </c>
      <c r="AD98" s="10">
        <f t="shared" si="13"/>
        <v>3.5880000000000001</v>
      </c>
      <c r="AE98" s="10">
        <f t="shared" si="13"/>
        <v>0</v>
      </c>
      <c r="AF98" s="10">
        <f t="shared" si="13"/>
        <v>2.7909999999999999</v>
      </c>
    </row>
    <row r="99" spans="1:32">
      <c r="A99" s="10" t="s">
        <v>143</v>
      </c>
      <c r="B99" s="61" t="s">
        <v>282</v>
      </c>
      <c r="C99" s="10">
        <f t="shared" si="14"/>
        <v>2.5739999999999998</v>
      </c>
      <c r="D99" s="10">
        <f t="shared" si="13"/>
        <v>2.8639999999999999</v>
      </c>
      <c r="E99" s="10">
        <f t="shared" si="13"/>
        <v>2.9750000000000001</v>
      </c>
      <c r="F99" s="10">
        <f t="shared" si="13"/>
        <v>4.5199999999999996</v>
      </c>
      <c r="G99" s="10">
        <f t="shared" si="13"/>
        <v>0</v>
      </c>
      <c r="H99" s="10">
        <f t="shared" si="13"/>
        <v>3.2410000000000001</v>
      </c>
      <c r="I99" s="10">
        <f t="shared" si="13"/>
        <v>2.9830000000000001</v>
      </c>
      <c r="J99" s="10">
        <f t="shared" si="13"/>
        <v>3.972</v>
      </c>
      <c r="K99" s="10">
        <f t="shared" si="13"/>
        <v>0</v>
      </c>
      <c r="L99" s="10">
        <f t="shared" si="13"/>
        <v>4.2350000000000003</v>
      </c>
      <c r="M99" s="10">
        <f t="shared" si="13"/>
        <v>0</v>
      </c>
      <c r="N99" s="10">
        <f t="shared" si="13"/>
        <v>0</v>
      </c>
      <c r="O99" s="10">
        <f t="shared" si="13"/>
        <v>3.3290000000000002</v>
      </c>
      <c r="P99" s="10">
        <f t="shared" si="13"/>
        <v>3.6819999999999999</v>
      </c>
      <c r="Q99" s="10">
        <f t="shared" si="13"/>
        <v>0</v>
      </c>
      <c r="R99" s="10">
        <f t="shared" si="13"/>
        <v>3.0649999999999999</v>
      </c>
      <c r="S99" s="10">
        <f t="shared" si="13"/>
        <v>0</v>
      </c>
      <c r="T99" s="10">
        <f t="shared" si="13"/>
        <v>2.6240000000000001</v>
      </c>
      <c r="U99" s="10">
        <f t="shared" si="13"/>
        <v>0</v>
      </c>
      <c r="V99" s="10">
        <f t="shared" si="13"/>
        <v>3.895</v>
      </c>
      <c r="W99" s="10">
        <f t="shared" si="13"/>
        <v>3.278</v>
      </c>
      <c r="X99" s="10">
        <f t="shared" si="13"/>
        <v>0</v>
      </c>
      <c r="Y99" s="10">
        <f t="shared" si="13"/>
        <v>3.9319999999999999</v>
      </c>
      <c r="Z99" s="10">
        <f t="shared" si="13"/>
        <v>0</v>
      </c>
      <c r="AA99" s="10">
        <f t="shared" si="13"/>
        <v>4.3570000000000002</v>
      </c>
      <c r="AB99" s="10">
        <f t="shared" si="13"/>
        <v>5.0430000000000001</v>
      </c>
      <c r="AC99" s="10">
        <f t="shared" si="13"/>
        <v>3</v>
      </c>
      <c r="AD99" s="10">
        <f t="shared" si="13"/>
        <v>3.714</v>
      </c>
      <c r="AE99" s="10">
        <f t="shared" si="13"/>
        <v>4.1349999999999998</v>
      </c>
      <c r="AF99" s="10">
        <f t="shared" si="13"/>
        <v>0</v>
      </c>
    </row>
    <row r="100" spans="1:32">
      <c r="A100" s="10" t="s">
        <v>143</v>
      </c>
      <c r="B100" s="61" t="s">
        <v>283</v>
      </c>
      <c r="C100" s="10">
        <f t="shared" si="14"/>
        <v>4.7850000000000001</v>
      </c>
      <c r="D100" s="10">
        <f t="shared" si="13"/>
        <v>2.2650000000000001</v>
      </c>
      <c r="E100" s="10">
        <f t="shared" si="13"/>
        <v>3.5329999999999999</v>
      </c>
      <c r="F100" s="10">
        <f t="shared" si="13"/>
        <v>4.0640000000000001</v>
      </c>
      <c r="G100" s="10">
        <f t="shared" si="13"/>
        <v>3.2410000000000001</v>
      </c>
      <c r="H100" s="10">
        <f t="shared" si="13"/>
        <v>0</v>
      </c>
      <c r="I100" s="10">
        <f t="shared" si="13"/>
        <v>2.6680000000000001</v>
      </c>
      <c r="J100" s="10">
        <f t="shared" si="13"/>
        <v>3.5510000000000002</v>
      </c>
      <c r="K100" s="10">
        <f t="shared" si="13"/>
        <v>4.2210000000000001</v>
      </c>
      <c r="L100" s="10">
        <f t="shared" si="13"/>
        <v>0</v>
      </c>
      <c r="M100" s="10">
        <f t="shared" si="13"/>
        <v>0</v>
      </c>
      <c r="N100" s="10">
        <f t="shared" si="13"/>
        <v>4.4139999999999997</v>
      </c>
      <c r="O100" s="10">
        <f t="shared" si="13"/>
        <v>3.0390000000000001</v>
      </c>
      <c r="P100" s="10">
        <f t="shared" si="13"/>
        <v>2.7589999999999999</v>
      </c>
      <c r="Q100" s="10">
        <f t="shared" si="13"/>
        <v>0</v>
      </c>
      <c r="R100" s="10">
        <f t="shared" si="13"/>
        <v>3.6139999999999999</v>
      </c>
      <c r="S100" s="10">
        <f t="shared" si="13"/>
        <v>3.6819999999999999</v>
      </c>
      <c r="T100" s="10">
        <f t="shared" si="13"/>
        <v>3.3340000000000001</v>
      </c>
      <c r="U100" s="10">
        <f t="shared" si="13"/>
        <v>3.9550000000000001</v>
      </c>
      <c r="V100" s="10">
        <f t="shared" si="13"/>
        <v>3.6440000000000001</v>
      </c>
      <c r="W100" s="10">
        <f t="shared" si="13"/>
        <v>3.4780000000000002</v>
      </c>
      <c r="X100" s="10">
        <f t="shared" si="13"/>
        <v>4.7990000000000004</v>
      </c>
      <c r="Y100" s="10">
        <f t="shared" si="13"/>
        <v>2.6890000000000001</v>
      </c>
      <c r="Z100" s="10">
        <f t="shared" si="13"/>
        <v>0</v>
      </c>
      <c r="AA100" s="10">
        <f t="shared" si="13"/>
        <v>3.6669999999999998</v>
      </c>
      <c r="AB100" s="10">
        <f t="shared" si="13"/>
        <v>4.57</v>
      </c>
      <c r="AC100" s="10">
        <f t="shared" si="13"/>
        <v>2.7280000000000002</v>
      </c>
      <c r="AD100" s="10">
        <f t="shared" si="13"/>
        <v>2.4940000000000002</v>
      </c>
      <c r="AE100" s="10">
        <f t="shared" si="13"/>
        <v>4.423</v>
      </c>
      <c r="AF100" s="10">
        <f t="shared" si="13"/>
        <v>0</v>
      </c>
    </row>
    <row r="101" spans="1:32">
      <c r="A101" s="10" t="s">
        <v>143</v>
      </c>
      <c r="B101" s="61" t="s">
        <v>284</v>
      </c>
      <c r="C101" s="10">
        <f t="shared" si="14"/>
        <v>2.972</v>
      </c>
      <c r="D101" s="10">
        <f t="shared" si="13"/>
        <v>2.9159999999999999</v>
      </c>
      <c r="E101" s="10">
        <f t="shared" si="13"/>
        <v>2.734</v>
      </c>
      <c r="F101" s="10">
        <f t="shared" si="13"/>
        <v>4.5739999999999998</v>
      </c>
      <c r="G101" s="10">
        <f t="shared" si="13"/>
        <v>2.9830000000000001</v>
      </c>
      <c r="H101" s="10">
        <f t="shared" si="13"/>
        <v>2.6680000000000001</v>
      </c>
      <c r="I101" s="10">
        <f t="shared" si="13"/>
        <v>0</v>
      </c>
      <c r="J101" s="10">
        <f t="shared" si="13"/>
        <v>3.0659999999999998</v>
      </c>
      <c r="K101" s="10">
        <f t="shared" si="13"/>
        <v>4.3419999999999996</v>
      </c>
      <c r="L101" s="10">
        <f t="shared" si="13"/>
        <v>4.7789999999999999</v>
      </c>
      <c r="M101" s="10">
        <f t="shared" si="13"/>
        <v>4.9240000000000004</v>
      </c>
      <c r="N101" s="10">
        <f t="shared" si="13"/>
        <v>4.8230000000000004</v>
      </c>
      <c r="O101" s="10">
        <f t="shared" si="13"/>
        <v>3.6080000000000001</v>
      </c>
      <c r="P101" s="10">
        <f t="shared" si="13"/>
        <v>3.5739999999999998</v>
      </c>
      <c r="Q101" s="10">
        <f t="shared" si="13"/>
        <v>4.3490000000000002</v>
      </c>
      <c r="R101" s="10">
        <f t="shared" si="13"/>
        <v>3.823</v>
      </c>
      <c r="S101" s="10">
        <f t="shared" si="13"/>
        <v>3.9540000000000002</v>
      </c>
      <c r="T101" s="10">
        <f t="shared" si="13"/>
        <v>2.5419999999999998</v>
      </c>
      <c r="U101" s="10">
        <f t="shared" si="13"/>
        <v>4.149</v>
      </c>
      <c r="V101" s="10">
        <f t="shared" si="13"/>
        <v>4.1470000000000002</v>
      </c>
      <c r="W101" s="10">
        <f t="shared" si="13"/>
        <v>2.5920000000000001</v>
      </c>
      <c r="X101" s="10">
        <f t="shared" si="13"/>
        <v>4.6319999999999997</v>
      </c>
      <c r="Y101" s="10">
        <f t="shared" si="13"/>
        <v>3.27</v>
      </c>
      <c r="Z101" s="10">
        <f t="shared" si="13"/>
        <v>0</v>
      </c>
      <c r="AA101" s="10">
        <f t="shared" si="13"/>
        <v>4.2640000000000002</v>
      </c>
      <c r="AB101" s="10">
        <f t="shared" si="13"/>
        <v>4.4400000000000004</v>
      </c>
      <c r="AC101" s="10">
        <f t="shared" si="13"/>
        <v>3.29</v>
      </c>
      <c r="AD101" s="10">
        <f t="shared" si="13"/>
        <v>3.4140000000000001</v>
      </c>
      <c r="AE101" s="10">
        <f t="shared" si="13"/>
        <v>3.8650000000000002</v>
      </c>
      <c r="AF101" s="10">
        <f t="shared" si="13"/>
        <v>0</v>
      </c>
    </row>
    <row r="102" spans="1:32">
      <c r="A102" s="10" t="s">
        <v>143</v>
      </c>
      <c r="B102" s="61" t="s">
        <v>285</v>
      </c>
      <c r="C102" s="10">
        <f t="shared" si="14"/>
        <v>4.968</v>
      </c>
      <c r="D102" s="10">
        <f t="shared" si="13"/>
        <v>3.8860000000000001</v>
      </c>
      <c r="E102" s="10">
        <f t="shared" si="13"/>
        <v>3.3879999999999999</v>
      </c>
      <c r="F102" s="10">
        <f t="shared" si="13"/>
        <v>0</v>
      </c>
      <c r="G102" s="10">
        <f t="shared" si="13"/>
        <v>3.972</v>
      </c>
      <c r="H102" s="10">
        <f t="shared" si="13"/>
        <v>3.5510000000000002</v>
      </c>
      <c r="I102" s="10">
        <f t="shared" si="13"/>
        <v>3.0659999999999998</v>
      </c>
      <c r="J102" s="10">
        <f t="shared" si="13"/>
        <v>0</v>
      </c>
      <c r="K102" s="10">
        <f t="shared" si="13"/>
        <v>3.895</v>
      </c>
      <c r="L102" s="10">
        <f t="shared" si="13"/>
        <v>0</v>
      </c>
      <c r="M102" s="10">
        <f t="shared" si="13"/>
        <v>4.3650000000000002</v>
      </c>
      <c r="N102" s="10">
        <f t="shared" si="13"/>
        <v>0</v>
      </c>
      <c r="O102" s="10">
        <f t="shared" si="13"/>
        <v>4.3600000000000003</v>
      </c>
      <c r="P102" s="10">
        <f t="shared" si="13"/>
        <v>4.1890000000000001</v>
      </c>
      <c r="Q102" s="10">
        <f t="shared" si="13"/>
        <v>4.2480000000000002</v>
      </c>
      <c r="R102" s="10">
        <f t="shared" si="13"/>
        <v>4.593</v>
      </c>
      <c r="S102" s="10">
        <f t="shared" si="13"/>
        <v>3.72</v>
      </c>
      <c r="T102" s="10">
        <f t="shared" si="13"/>
        <v>3.476</v>
      </c>
      <c r="U102" s="10">
        <f t="shared" si="13"/>
        <v>3.802</v>
      </c>
      <c r="V102" s="10">
        <f t="shared" si="13"/>
        <v>0</v>
      </c>
      <c r="W102" s="10">
        <f t="shared" si="13"/>
        <v>2.9809999999999999</v>
      </c>
      <c r="X102" s="10">
        <f t="shared" si="13"/>
        <v>3.403</v>
      </c>
      <c r="Y102" s="10">
        <f t="shared" si="13"/>
        <v>3.4910000000000001</v>
      </c>
      <c r="Z102" s="10">
        <f t="shared" si="13"/>
        <v>0</v>
      </c>
      <c r="AA102" s="10">
        <f t="shared" si="13"/>
        <v>4.6680000000000001</v>
      </c>
      <c r="AB102" s="10">
        <f t="shared" si="13"/>
        <v>2.7160000000000002</v>
      </c>
      <c r="AC102" s="10">
        <f t="shared" si="13"/>
        <v>4.149</v>
      </c>
      <c r="AD102" s="10">
        <f t="shared" si="13"/>
        <v>3.9769999999999999</v>
      </c>
      <c r="AE102" s="10">
        <f t="shared" si="13"/>
        <v>3.68</v>
      </c>
      <c r="AF102" s="10">
        <f t="shared" si="13"/>
        <v>0</v>
      </c>
    </row>
    <row r="103" spans="1:32">
      <c r="A103" s="10" t="s">
        <v>143</v>
      </c>
      <c r="B103" s="61" t="s">
        <v>308</v>
      </c>
      <c r="C103" s="10">
        <f t="shared" si="14"/>
        <v>0</v>
      </c>
      <c r="D103" s="10">
        <f t="shared" si="13"/>
        <v>0</v>
      </c>
      <c r="E103" s="10">
        <f t="shared" si="13"/>
        <v>0</v>
      </c>
      <c r="F103" s="10">
        <f t="shared" si="13"/>
        <v>0</v>
      </c>
      <c r="G103" s="10">
        <f t="shared" si="13"/>
        <v>0</v>
      </c>
      <c r="H103" s="10">
        <f t="shared" si="13"/>
        <v>4.2210000000000001</v>
      </c>
      <c r="I103" s="10">
        <f t="shared" si="13"/>
        <v>4.3419999999999996</v>
      </c>
      <c r="J103" s="10">
        <f t="shared" si="13"/>
        <v>3.895</v>
      </c>
      <c r="K103" s="10">
        <f t="shared" si="13"/>
        <v>0</v>
      </c>
      <c r="L103" s="10">
        <f t="shared" si="13"/>
        <v>0</v>
      </c>
      <c r="M103" s="10">
        <f t="shared" si="13"/>
        <v>3.2989999999999999</v>
      </c>
      <c r="N103" s="10">
        <f t="shared" si="13"/>
        <v>0</v>
      </c>
      <c r="O103" s="10">
        <f t="shared" si="13"/>
        <v>0</v>
      </c>
      <c r="P103" s="10">
        <f t="shared" si="13"/>
        <v>0</v>
      </c>
      <c r="Q103" s="10">
        <f t="shared" si="13"/>
        <v>0</v>
      </c>
      <c r="R103" s="10">
        <f t="shared" si="13"/>
        <v>0</v>
      </c>
      <c r="S103" s="10">
        <f t="shared" si="13"/>
        <v>2.673</v>
      </c>
      <c r="T103" s="10">
        <f t="shared" si="13"/>
        <v>0</v>
      </c>
      <c r="U103" s="10">
        <f t="shared" si="13"/>
        <v>2.077</v>
      </c>
      <c r="V103" s="10">
        <f t="shared" si="13"/>
        <v>0</v>
      </c>
      <c r="W103" s="10">
        <f t="shared" si="13"/>
        <v>0</v>
      </c>
      <c r="X103" s="10">
        <f t="shared" si="13"/>
        <v>3.7410000000000001</v>
      </c>
      <c r="Y103" s="10">
        <f t="shared" si="13"/>
        <v>3.637</v>
      </c>
      <c r="Z103" s="10">
        <f t="shared" si="13"/>
        <v>0</v>
      </c>
      <c r="AA103" s="10">
        <f t="shared" si="13"/>
        <v>0</v>
      </c>
      <c r="AB103" s="10">
        <f t="shared" si="13"/>
        <v>3.327</v>
      </c>
      <c r="AC103" s="10">
        <f t="shared" si="13"/>
        <v>0</v>
      </c>
      <c r="AD103" s="10">
        <f t="shared" si="13"/>
        <v>4.1970000000000001</v>
      </c>
      <c r="AE103" s="10">
        <f t="shared" si="13"/>
        <v>0</v>
      </c>
      <c r="AF103" s="10">
        <f t="shared" si="13"/>
        <v>0</v>
      </c>
    </row>
    <row r="104" spans="1:32">
      <c r="A104" s="10" t="s">
        <v>143</v>
      </c>
      <c r="B104" s="61" t="s">
        <v>286</v>
      </c>
      <c r="C104" s="10">
        <f t="shared" si="14"/>
        <v>2.1720000000000002</v>
      </c>
      <c r="D104" s="10">
        <f t="shared" si="13"/>
        <v>4.7969999999999997</v>
      </c>
      <c r="E104" s="10">
        <f t="shared" si="13"/>
        <v>4.4020000000000001</v>
      </c>
      <c r="F104" s="10">
        <f t="shared" si="13"/>
        <v>0</v>
      </c>
      <c r="G104" s="10">
        <f t="shared" si="13"/>
        <v>4.2350000000000003</v>
      </c>
      <c r="H104" s="10">
        <f t="shared" si="13"/>
        <v>0</v>
      </c>
      <c r="I104" s="10">
        <f t="shared" si="13"/>
        <v>4.7789999999999999</v>
      </c>
      <c r="J104" s="10">
        <f t="shared" si="13"/>
        <v>0</v>
      </c>
      <c r="K104" s="10">
        <f t="shared" si="13"/>
        <v>0</v>
      </c>
      <c r="L104" s="10">
        <f t="shared" si="13"/>
        <v>0</v>
      </c>
      <c r="M104" s="10">
        <f t="shared" si="13"/>
        <v>0</v>
      </c>
      <c r="N104" s="10">
        <f t="shared" si="13"/>
        <v>0</v>
      </c>
      <c r="O104" s="10">
        <f t="shared" si="13"/>
        <v>4.8940000000000001</v>
      </c>
      <c r="P104" s="10">
        <f t="shared" si="13"/>
        <v>0</v>
      </c>
      <c r="Q104" s="10">
        <f t="shared" si="13"/>
        <v>4.601</v>
      </c>
      <c r="R104" s="10">
        <f t="shared" si="13"/>
        <v>4.423</v>
      </c>
      <c r="S104" s="10">
        <f t="shared" si="13"/>
        <v>0</v>
      </c>
      <c r="T104" s="10">
        <f t="shared" si="13"/>
        <v>4.3780000000000001</v>
      </c>
      <c r="U104" s="10">
        <f t="shared" si="13"/>
        <v>0</v>
      </c>
      <c r="V104" s="10">
        <f t="shared" si="13"/>
        <v>0</v>
      </c>
      <c r="W104" s="10">
        <f t="shared" si="13"/>
        <v>4.6429999999999998</v>
      </c>
      <c r="X104" s="10">
        <f t="shared" si="13"/>
        <v>0</v>
      </c>
      <c r="Y104" s="10">
        <f t="shared" si="13"/>
        <v>0</v>
      </c>
      <c r="Z104" s="10">
        <f t="shared" si="13"/>
        <v>2.774</v>
      </c>
      <c r="AA104" s="10">
        <f t="shared" si="13"/>
        <v>0</v>
      </c>
      <c r="AB104" s="10">
        <f t="shared" si="13"/>
        <v>0</v>
      </c>
      <c r="AC104" s="10">
        <f t="shared" si="13"/>
        <v>4.7880000000000003</v>
      </c>
      <c r="AD104" s="10">
        <f t="shared" si="13"/>
        <v>0</v>
      </c>
      <c r="AE104" s="10">
        <f t="shared" si="13"/>
        <v>4.6879999999999997</v>
      </c>
      <c r="AF104" s="10">
        <f t="shared" si="13"/>
        <v>0</v>
      </c>
    </row>
    <row r="105" spans="1:32">
      <c r="A105" s="10" t="s">
        <v>143</v>
      </c>
      <c r="B105" s="61" t="s">
        <v>287</v>
      </c>
      <c r="C105" s="10">
        <f t="shared" si="14"/>
        <v>0</v>
      </c>
      <c r="D105" s="10">
        <f t="shared" si="13"/>
        <v>0</v>
      </c>
      <c r="E105" s="10">
        <f t="shared" si="13"/>
        <v>0</v>
      </c>
      <c r="F105" s="10">
        <f t="shared" si="13"/>
        <v>0</v>
      </c>
      <c r="G105" s="10">
        <f t="shared" si="13"/>
        <v>0</v>
      </c>
      <c r="H105" s="10">
        <f t="shared" si="13"/>
        <v>0</v>
      </c>
      <c r="I105" s="10">
        <f t="shared" si="13"/>
        <v>4.9240000000000004</v>
      </c>
      <c r="J105" s="10">
        <f t="shared" si="13"/>
        <v>4.3650000000000002</v>
      </c>
      <c r="K105" s="10">
        <f t="shared" si="13"/>
        <v>3.2989999999999999</v>
      </c>
      <c r="L105" s="10">
        <f t="shared" si="13"/>
        <v>0</v>
      </c>
      <c r="M105" s="10">
        <f t="shared" ref="D105:AF114" si="15">ROUND((EXP(7.032824+1*0.622482)*((M15/1.852)^ 0.40303))/(1.15*0.0059)/1000000,3)</f>
        <v>0</v>
      </c>
      <c r="N105" s="10">
        <f t="shared" si="15"/>
        <v>0</v>
      </c>
      <c r="O105" s="10">
        <f t="shared" si="15"/>
        <v>0</v>
      </c>
      <c r="P105" s="10">
        <f t="shared" si="15"/>
        <v>0</v>
      </c>
      <c r="Q105" s="10">
        <f t="shared" si="15"/>
        <v>0</v>
      </c>
      <c r="R105" s="10">
        <f t="shared" si="15"/>
        <v>0</v>
      </c>
      <c r="S105" s="10">
        <f t="shared" si="15"/>
        <v>3.9710000000000001</v>
      </c>
      <c r="T105" s="10">
        <f t="shared" si="15"/>
        <v>0</v>
      </c>
      <c r="U105" s="10">
        <f t="shared" si="15"/>
        <v>3.6840000000000002</v>
      </c>
      <c r="V105" s="10">
        <f t="shared" si="15"/>
        <v>0</v>
      </c>
      <c r="W105" s="10">
        <f t="shared" si="15"/>
        <v>0</v>
      </c>
      <c r="X105" s="10">
        <f t="shared" si="15"/>
        <v>3.9289999999999998</v>
      </c>
      <c r="Y105" s="10">
        <f t="shared" si="15"/>
        <v>4.54</v>
      </c>
      <c r="Z105" s="10">
        <f t="shared" si="15"/>
        <v>0</v>
      </c>
      <c r="AA105" s="10">
        <f t="shared" si="15"/>
        <v>0</v>
      </c>
      <c r="AB105" s="10">
        <f t="shared" si="15"/>
        <v>2.9860000000000002</v>
      </c>
      <c r="AC105" s="10">
        <f t="shared" si="15"/>
        <v>0</v>
      </c>
      <c r="AD105" s="10">
        <f t="shared" si="15"/>
        <v>0</v>
      </c>
      <c r="AE105" s="10">
        <f t="shared" si="15"/>
        <v>0</v>
      </c>
      <c r="AF105" s="10">
        <f t="shared" si="15"/>
        <v>0</v>
      </c>
    </row>
    <row r="106" spans="1:32">
      <c r="A106" s="10" t="s">
        <v>143</v>
      </c>
      <c r="B106" s="61" t="s">
        <v>288</v>
      </c>
      <c r="C106" s="10">
        <f t="shared" si="14"/>
        <v>0</v>
      </c>
      <c r="D106" s="10">
        <f t="shared" si="15"/>
        <v>4.58</v>
      </c>
      <c r="E106" s="10">
        <f t="shared" si="15"/>
        <v>2.419</v>
      </c>
      <c r="F106" s="10">
        <f t="shared" si="15"/>
        <v>0</v>
      </c>
      <c r="G106" s="10">
        <f t="shared" si="15"/>
        <v>2.5739999999999998</v>
      </c>
      <c r="H106" s="10">
        <f t="shared" si="15"/>
        <v>4.7850000000000001</v>
      </c>
      <c r="I106" s="10">
        <f t="shared" si="15"/>
        <v>2.972</v>
      </c>
      <c r="J106" s="10">
        <f t="shared" si="15"/>
        <v>4.968</v>
      </c>
      <c r="K106" s="10">
        <f t="shared" si="15"/>
        <v>0</v>
      </c>
      <c r="L106" s="10">
        <f t="shared" si="15"/>
        <v>2.1720000000000002</v>
      </c>
      <c r="M106" s="10">
        <f t="shared" si="15"/>
        <v>0</v>
      </c>
      <c r="N106" s="10">
        <f t="shared" si="15"/>
        <v>5.4</v>
      </c>
      <c r="O106" s="10">
        <f t="shared" si="15"/>
        <v>4.7220000000000004</v>
      </c>
      <c r="P106" s="10">
        <f t="shared" si="15"/>
        <v>5.0220000000000002</v>
      </c>
      <c r="Q106" s="10">
        <f t="shared" si="15"/>
        <v>4.3470000000000004</v>
      </c>
      <c r="R106" s="10">
        <f t="shared" si="15"/>
        <v>3.9289999999999998</v>
      </c>
      <c r="S106" s="10">
        <f t="shared" si="15"/>
        <v>0</v>
      </c>
      <c r="T106" s="10">
        <f t="shared" si="15"/>
        <v>4.0640000000000001</v>
      </c>
      <c r="U106" s="10">
        <f t="shared" si="15"/>
        <v>0</v>
      </c>
      <c r="V106" s="10">
        <f t="shared" si="15"/>
        <v>4.99</v>
      </c>
      <c r="W106" s="10">
        <f t="shared" si="15"/>
        <v>4.3479999999999999</v>
      </c>
      <c r="X106" s="10">
        <f t="shared" si="15"/>
        <v>5.8659999999999997</v>
      </c>
      <c r="Y106" s="10">
        <f t="shared" si="15"/>
        <v>5.1959999999999997</v>
      </c>
      <c r="Z106" s="10">
        <f t="shared" si="15"/>
        <v>3.1120000000000001</v>
      </c>
      <c r="AA106" s="10">
        <f t="shared" si="15"/>
        <v>5.4509999999999996</v>
      </c>
      <c r="AB106" s="10">
        <f t="shared" si="15"/>
        <v>5.7960000000000003</v>
      </c>
      <c r="AC106" s="10">
        <f t="shared" si="15"/>
        <v>4.5919999999999996</v>
      </c>
      <c r="AD106" s="10">
        <f t="shared" si="15"/>
        <v>5.0670000000000002</v>
      </c>
      <c r="AE106" s="10">
        <f t="shared" si="15"/>
        <v>3.198</v>
      </c>
      <c r="AF106" s="10">
        <f t="shared" si="15"/>
        <v>0</v>
      </c>
    </row>
    <row r="107" spans="1:32">
      <c r="A107" s="10" t="s">
        <v>143</v>
      </c>
      <c r="B107" s="61" t="s">
        <v>289</v>
      </c>
      <c r="C107" s="10">
        <f t="shared" si="14"/>
        <v>5.4</v>
      </c>
      <c r="D107" s="10">
        <f t="shared" si="15"/>
        <v>4.2119999999999997</v>
      </c>
      <c r="E107" s="10">
        <f t="shared" si="15"/>
        <v>0</v>
      </c>
      <c r="F107" s="10">
        <f t="shared" si="15"/>
        <v>2.8580000000000001</v>
      </c>
      <c r="G107" s="10">
        <f t="shared" si="15"/>
        <v>0</v>
      </c>
      <c r="H107" s="10">
        <f t="shared" si="15"/>
        <v>4.4139999999999997</v>
      </c>
      <c r="I107" s="10">
        <f t="shared" si="15"/>
        <v>4.8230000000000004</v>
      </c>
      <c r="J107" s="10">
        <f t="shared" si="15"/>
        <v>0</v>
      </c>
      <c r="K107" s="10">
        <f t="shared" si="15"/>
        <v>0</v>
      </c>
      <c r="L107" s="10">
        <f t="shared" si="15"/>
        <v>0</v>
      </c>
      <c r="M107" s="10">
        <f t="shared" si="15"/>
        <v>0</v>
      </c>
      <c r="N107" s="10">
        <f t="shared" si="15"/>
        <v>0</v>
      </c>
      <c r="O107" s="10">
        <f t="shared" si="15"/>
        <v>3.698</v>
      </c>
      <c r="P107" s="10">
        <f t="shared" si="15"/>
        <v>3.8450000000000002</v>
      </c>
      <c r="Q107" s="10">
        <f t="shared" si="15"/>
        <v>0</v>
      </c>
      <c r="R107" s="10">
        <f t="shared" si="15"/>
        <v>3.9409999999999998</v>
      </c>
      <c r="S107" s="10">
        <f t="shared" si="15"/>
        <v>0</v>
      </c>
      <c r="T107" s="10">
        <f t="shared" si="15"/>
        <v>0</v>
      </c>
      <c r="U107" s="10">
        <f t="shared" si="15"/>
        <v>0</v>
      </c>
      <c r="V107" s="10">
        <f t="shared" si="15"/>
        <v>3.0219999999999998</v>
      </c>
      <c r="W107" s="10">
        <f t="shared" si="15"/>
        <v>0</v>
      </c>
      <c r="X107" s="10">
        <f t="shared" si="15"/>
        <v>0</v>
      </c>
      <c r="Y107" s="10">
        <f t="shared" si="15"/>
        <v>4.6020000000000003</v>
      </c>
      <c r="Z107" s="10">
        <f t="shared" si="15"/>
        <v>0</v>
      </c>
      <c r="AA107" s="10">
        <f t="shared" si="15"/>
        <v>3.5409999999999999</v>
      </c>
      <c r="AB107" s="10">
        <f t="shared" si="15"/>
        <v>0</v>
      </c>
      <c r="AC107" s="10">
        <f t="shared" si="15"/>
        <v>3.9790000000000001</v>
      </c>
      <c r="AD107" s="10">
        <f t="shared" si="15"/>
        <v>4.0979999999999999</v>
      </c>
      <c r="AE107" s="10">
        <f t="shared" si="15"/>
        <v>0</v>
      </c>
      <c r="AF107" s="10">
        <f t="shared" si="15"/>
        <v>3.7120000000000002</v>
      </c>
    </row>
    <row r="108" spans="1:32">
      <c r="A108" s="10" t="s">
        <v>143</v>
      </c>
      <c r="B108" s="61" t="s">
        <v>290</v>
      </c>
      <c r="C108" s="10">
        <f t="shared" si="14"/>
        <v>4.7220000000000004</v>
      </c>
      <c r="D108" s="10">
        <f t="shared" si="15"/>
        <v>2.52</v>
      </c>
      <c r="E108" s="10">
        <f t="shared" si="15"/>
        <v>4.0460000000000003</v>
      </c>
      <c r="F108" s="10">
        <f t="shared" si="15"/>
        <v>3.5049999999999999</v>
      </c>
      <c r="G108" s="10">
        <f t="shared" si="15"/>
        <v>3.3290000000000002</v>
      </c>
      <c r="H108" s="10">
        <f t="shared" si="15"/>
        <v>3.0390000000000001</v>
      </c>
      <c r="I108" s="10">
        <f t="shared" si="15"/>
        <v>3.6080000000000001</v>
      </c>
      <c r="J108" s="10">
        <f t="shared" si="15"/>
        <v>4.3600000000000003</v>
      </c>
      <c r="K108" s="10">
        <f t="shared" si="15"/>
        <v>0</v>
      </c>
      <c r="L108" s="10">
        <f t="shared" si="15"/>
        <v>4.8940000000000001</v>
      </c>
      <c r="M108" s="10">
        <f t="shared" si="15"/>
        <v>0</v>
      </c>
      <c r="N108" s="10">
        <f t="shared" si="15"/>
        <v>3.698</v>
      </c>
      <c r="O108" s="10">
        <f t="shared" si="15"/>
        <v>0</v>
      </c>
      <c r="P108" s="10">
        <f t="shared" si="15"/>
        <v>2.5179999999999998</v>
      </c>
      <c r="Q108" s="10">
        <f t="shared" si="15"/>
        <v>0</v>
      </c>
      <c r="R108" s="10">
        <f t="shared" si="15"/>
        <v>2.7909999999999999</v>
      </c>
      <c r="S108" s="10">
        <f t="shared" si="15"/>
        <v>4.3170000000000002</v>
      </c>
      <c r="T108" s="10">
        <f t="shared" si="15"/>
        <v>3.83</v>
      </c>
      <c r="U108" s="10">
        <f t="shared" si="15"/>
        <v>0</v>
      </c>
      <c r="V108" s="10">
        <f t="shared" si="15"/>
        <v>2.5409999999999999</v>
      </c>
      <c r="W108" s="10">
        <f t="shared" si="15"/>
        <v>4.1269999999999998</v>
      </c>
      <c r="X108" s="10">
        <f t="shared" si="15"/>
        <v>0</v>
      </c>
      <c r="Y108" s="10">
        <f t="shared" si="15"/>
        <v>3.6240000000000001</v>
      </c>
      <c r="Z108" s="10">
        <f t="shared" si="15"/>
        <v>0</v>
      </c>
      <c r="AA108" s="10">
        <f t="shared" si="15"/>
        <v>3.3580000000000001</v>
      </c>
      <c r="AB108" s="10">
        <f t="shared" si="15"/>
        <v>5.1689999999999996</v>
      </c>
      <c r="AC108" s="10">
        <f t="shared" si="15"/>
        <v>1.9330000000000001</v>
      </c>
      <c r="AD108" s="10">
        <f t="shared" si="15"/>
        <v>2.9</v>
      </c>
      <c r="AE108" s="10">
        <f t="shared" si="15"/>
        <v>0</v>
      </c>
      <c r="AF108" s="10">
        <f t="shared" si="15"/>
        <v>0</v>
      </c>
    </row>
    <row r="109" spans="1:32">
      <c r="A109" s="10" t="s">
        <v>143</v>
      </c>
      <c r="B109" s="61" t="s">
        <v>291</v>
      </c>
      <c r="C109" s="10">
        <f t="shared" si="14"/>
        <v>5.0220000000000002</v>
      </c>
      <c r="D109" s="10">
        <f t="shared" si="15"/>
        <v>2.718</v>
      </c>
      <c r="E109" s="10">
        <f t="shared" si="15"/>
        <v>4.1509999999999998</v>
      </c>
      <c r="F109" s="10">
        <f t="shared" si="15"/>
        <v>3.3460000000000001</v>
      </c>
      <c r="G109" s="10">
        <f t="shared" si="15"/>
        <v>3.6819999999999999</v>
      </c>
      <c r="H109" s="10">
        <f t="shared" si="15"/>
        <v>2.7589999999999999</v>
      </c>
      <c r="I109" s="10">
        <f t="shared" si="15"/>
        <v>3.5739999999999998</v>
      </c>
      <c r="J109" s="10">
        <f t="shared" si="15"/>
        <v>4.1890000000000001</v>
      </c>
      <c r="K109" s="10">
        <f t="shared" si="15"/>
        <v>0</v>
      </c>
      <c r="L109" s="10">
        <f t="shared" si="15"/>
        <v>0</v>
      </c>
      <c r="M109" s="10">
        <f t="shared" si="15"/>
        <v>0</v>
      </c>
      <c r="N109" s="10">
        <f t="shared" si="15"/>
        <v>3.8450000000000002</v>
      </c>
      <c r="O109" s="10">
        <f t="shared" si="15"/>
        <v>2.5179999999999998</v>
      </c>
      <c r="P109" s="10">
        <f t="shared" si="15"/>
        <v>0</v>
      </c>
      <c r="Q109" s="10">
        <f t="shared" si="15"/>
        <v>0</v>
      </c>
      <c r="R109" s="10">
        <f t="shared" si="15"/>
        <v>3.5089999999999999</v>
      </c>
      <c r="S109" s="10">
        <f t="shared" si="15"/>
        <v>3.867</v>
      </c>
      <c r="T109" s="10">
        <f t="shared" si="15"/>
        <v>3.9689999999999999</v>
      </c>
      <c r="U109" s="10">
        <f t="shared" si="15"/>
        <v>4.1449999999999996</v>
      </c>
      <c r="V109" s="10">
        <f t="shared" si="15"/>
        <v>2.9390000000000001</v>
      </c>
      <c r="W109" s="10">
        <f t="shared" si="15"/>
        <v>4.149</v>
      </c>
      <c r="X109" s="10">
        <f t="shared" si="15"/>
        <v>0</v>
      </c>
      <c r="Y109" s="10">
        <f t="shared" si="15"/>
        <v>3.0920000000000001</v>
      </c>
      <c r="Z109" s="10">
        <f t="shared" si="15"/>
        <v>0</v>
      </c>
      <c r="AA109" s="10">
        <f t="shared" si="15"/>
        <v>2.8540000000000001</v>
      </c>
      <c r="AB109" s="10">
        <f t="shared" si="15"/>
        <v>4.9189999999999996</v>
      </c>
      <c r="AC109" s="10">
        <f t="shared" si="15"/>
        <v>2.6320000000000001</v>
      </c>
      <c r="AD109" s="10">
        <f t="shared" si="15"/>
        <v>1.931</v>
      </c>
      <c r="AE109" s="10">
        <f t="shared" si="15"/>
        <v>0</v>
      </c>
      <c r="AF109" s="10">
        <f t="shared" si="15"/>
        <v>0</v>
      </c>
    </row>
    <row r="110" spans="1:32">
      <c r="A110" s="10" t="s">
        <v>143</v>
      </c>
      <c r="B110" s="61" t="s">
        <v>292</v>
      </c>
      <c r="C110" s="10">
        <f t="shared" si="14"/>
        <v>4.3470000000000004</v>
      </c>
      <c r="D110" s="10">
        <f t="shared" si="15"/>
        <v>0</v>
      </c>
      <c r="E110" s="10">
        <f t="shared" si="15"/>
        <v>3.806</v>
      </c>
      <c r="F110" s="10">
        <f t="shared" si="15"/>
        <v>0</v>
      </c>
      <c r="G110" s="10">
        <f t="shared" si="15"/>
        <v>0</v>
      </c>
      <c r="H110" s="10">
        <f t="shared" si="15"/>
        <v>0</v>
      </c>
      <c r="I110" s="10">
        <f t="shared" si="15"/>
        <v>4.3490000000000002</v>
      </c>
      <c r="J110" s="10">
        <f t="shared" si="15"/>
        <v>4.2480000000000002</v>
      </c>
      <c r="K110" s="10">
        <f t="shared" si="15"/>
        <v>0</v>
      </c>
      <c r="L110" s="10">
        <f t="shared" si="15"/>
        <v>4.601</v>
      </c>
      <c r="M110" s="10">
        <f t="shared" si="15"/>
        <v>0</v>
      </c>
      <c r="N110" s="10">
        <f t="shared" si="15"/>
        <v>0</v>
      </c>
      <c r="O110" s="10">
        <f t="shared" si="15"/>
        <v>0</v>
      </c>
      <c r="P110" s="10">
        <f t="shared" si="15"/>
        <v>0</v>
      </c>
      <c r="Q110" s="10">
        <f t="shared" si="15"/>
        <v>0</v>
      </c>
      <c r="R110" s="10">
        <f t="shared" si="15"/>
        <v>0</v>
      </c>
      <c r="S110" s="10">
        <f t="shared" si="15"/>
        <v>0</v>
      </c>
      <c r="T110" s="10">
        <f t="shared" si="15"/>
        <v>4.0179999999999998</v>
      </c>
      <c r="U110" s="10">
        <f t="shared" si="15"/>
        <v>0</v>
      </c>
      <c r="V110" s="10">
        <f t="shared" si="15"/>
        <v>0</v>
      </c>
      <c r="W110" s="10">
        <f t="shared" si="15"/>
        <v>3.82</v>
      </c>
      <c r="X110" s="10">
        <f t="shared" si="15"/>
        <v>4.9580000000000002</v>
      </c>
      <c r="Y110" s="10">
        <f t="shared" si="15"/>
        <v>0</v>
      </c>
      <c r="Z110" s="10">
        <f t="shared" si="15"/>
        <v>0</v>
      </c>
      <c r="AA110" s="10">
        <f t="shared" si="15"/>
        <v>0</v>
      </c>
      <c r="AB110" s="10">
        <f t="shared" si="15"/>
        <v>0</v>
      </c>
      <c r="AC110" s="10">
        <f t="shared" si="15"/>
        <v>0</v>
      </c>
      <c r="AD110" s="10">
        <f t="shared" si="15"/>
        <v>0</v>
      </c>
      <c r="AE110" s="10">
        <f t="shared" si="15"/>
        <v>2.6139999999999999</v>
      </c>
      <c r="AF110" s="10">
        <f t="shared" si="15"/>
        <v>0</v>
      </c>
    </row>
    <row r="111" spans="1:32">
      <c r="A111" s="10" t="s">
        <v>143</v>
      </c>
      <c r="B111" s="61" t="s">
        <v>293</v>
      </c>
      <c r="C111" s="10">
        <f t="shared" si="14"/>
        <v>3.9289999999999998</v>
      </c>
      <c r="D111" s="10">
        <f t="shared" si="15"/>
        <v>3.105</v>
      </c>
      <c r="E111" s="10">
        <f t="shared" si="15"/>
        <v>3.992</v>
      </c>
      <c r="F111" s="10">
        <f t="shared" si="15"/>
        <v>4.0460000000000003</v>
      </c>
      <c r="G111" s="10">
        <f t="shared" si="15"/>
        <v>3.0649999999999999</v>
      </c>
      <c r="H111" s="10">
        <f t="shared" si="15"/>
        <v>3.6139999999999999</v>
      </c>
      <c r="I111" s="10">
        <f t="shared" si="15"/>
        <v>3.823</v>
      </c>
      <c r="J111" s="10">
        <f t="shared" si="15"/>
        <v>4.593</v>
      </c>
      <c r="K111" s="10">
        <f t="shared" si="15"/>
        <v>0</v>
      </c>
      <c r="L111" s="10">
        <f t="shared" si="15"/>
        <v>4.423</v>
      </c>
      <c r="M111" s="10">
        <f t="shared" si="15"/>
        <v>0</v>
      </c>
      <c r="N111" s="10">
        <f t="shared" si="15"/>
        <v>3.9409999999999998</v>
      </c>
      <c r="O111" s="10">
        <f t="shared" si="15"/>
        <v>2.7909999999999999</v>
      </c>
      <c r="P111" s="10">
        <f t="shared" si="15"/>
        <v>3.5089999999999999</v>
      </c>
      <c r="Q111" s="10">
        <f t="shared" si="15"/>
        <v>0</v>
      </c>
      <c r="R111" s="10">
        <f t="shared" si="15"/>
        <v>0</v>
      </c>
      <c r="S111" s="10">
        <f t="shared" si="15"/>
        <v>0</v>
      </c>
      <c r="T111" s="10">
        <f t="shared" si="15"/>
        <v>3.7709999999999999</v>
      </c>
      <c r="U111" s="10">
        <f t="shared" si="15"/>
        <v>0</v>
      </c>
      <c r="V111" s="10">
        <f t="shared" si="15"/>
        <v>3.169</v>
      </c>
      <c r="W111" s="10">
        <f t="shared" si="15"/>
        <v>4.173</v>
      </c>
      <c r="X111" s="10">
        <f t="shared" si="15"/>
        <v>0</v>
      </c>
      <c r="Y111" s="10">
        <f t="shared" si="15"/>
        <v>4.1929999999999996</v>
      </c>
      <c r="Z111" s="10">
        <f t="shared" si="15"/>
        <v>0</v>
      </c>
      <c r="AA111" s="10">
        <f t="shared" si="15"/>
        <v>4.0570000000000004</v>
      </c>
      <c r="AB111" s="10">
        <f t="shared" si="15"/>
        <v>5.444</v>
      </c>
      <c r="AC111" s="10">
        <f t="shared" si="15"/>
        <v>2.7959999999999998</v>
      </c>
      <c r="AD111" s="10">
        <f t="shared" si="15"/>
        <v>3.722</v>
      </c>
      <c r="AE111" s="10">
        <f t="shared" si="15"/>
        <v>4.8360000000000003</v>
      </c>
      <c r="AF111" s="10">
        <f t="shared" si="15"/>
        <v>0</v>
      </c>
    </row>
    <row r="112" spans="1:32">
      <c r="A112" s="10" t="s">
        <v>143</v>
      </c>
      <c r="B112" s="61" t="s">
        <v>309</v>
      </c>
      <c r="C112" s="10">
        <f t="shared" si="14"/>
        <v>0</v>
      </c>
      <c r="D112" s="10">
        <f t="shared" si="15"/>
        <v>4.0759999999999996</v>
      </c>
      <c r="E112" s="10">
        <f t="shared" si="15"/>
        <v>0</v>
      </c>
      <c r="F112" s="10">
        <f t="shared" si="15"/>
        <v>0</v>
      </c>
      <c r="G112" s="10">
        <f t="shared" si="15"/>
        <v>0</v>
      </c>
      <c r="H112" s="10">
        <f t="shared" si="15"/>
        <v>3.6819999999999999</v>
      </c>
      <c r="I112" s="10">
        <f t="shared" si="15"/>
        <v>3.9540000000000002</v>
      </c>
      <c r="J112" s="10">
        <f t="shared" si="15"/>
        <v>3.72</v>
      </c>
      <c r="K112" s="10">
        <f t="shared" si="15"/>
        <v>2.673</v>
      </c>
      <c r="L112" s="10">
        <f t="shared" si="15"/>
        <v>0</v>
      </c>
      <c r="M112" s="10">
        <f t="shared" si="15"/>
        <v>3.9710000000000001</v>
      </c>
      <c r="N112" s="10">
        <f t="shared" si="15"/>
        <v>0</v>
      </c>
      <c r="O112" s="10">
        <f t="shared" si="15"/>
        <v>4.3170000000000002</v>
      </c>
      <c r="P112" s="10">
        <f t="shared" si="15"/>
        <v>3.867</v>
      </c>
      <c r="Q112" s="10">
        <f t="shared" si="15"/>
        <v>0</v>
      </c>
      <c r="R112" s="10">
        <f t="shared" si="15"/>
        <v>0</v>
      </c>
      <c r="S112" s="10">
        <f t="shared" si="15"/>
        <v>0</v>
      </c>
      <c r="T112" s="10">
        <f t="shared" si="15"/>
        <v>0</v>
      </c>
      <c r="U112" s="10">
        <f t="shared" si="15"/>
        <v>1.9710000000000001</v>
      </c>
      <c r="V112" s="10">
        <f t="shared" si="15"/>
        <v>0</v>
      </c>
      <c r="W112" s="10">
        <f t="shared" si="15"/>
        <v>4.2990000000000004</v>
      </c>
      <c r="X112" s="10">
        <f t="shared" si="15"/>
        <v>4.1619999999999999</v>
      </c>
      <c r="Y112" s="10">
        <f t="shared" si="15"/>
        <v>2.8849999999999998</v>
      </c>
      <c r="Z112" s="10">
        <f t="shared" si="15"/>
        <v>0</v>
      </c>
      <c r="AA112" s="10">
        <f t="shared" si="15"/>
        <v>4.0220000000000002</v>
      </c>
      <c r="AB112" s="10">
        <f t="shared" si="15"/>
        <v>3.8050000000000002</v>
      </c>
      <c r="AC112" s="10">
        <f t="shared" si="15"/>
        <v>4.2389999999999999</v>
      </c>
      <c r="AD112" s="10">
        <f t="shared" si="15"/>
        <v>3.5859999999999999</v>
      </c>
      <c r="AE112" s="10">
        <f t="shared" si="15"/>
        <v>0</v>
      </c>
      <c r="AF112" s="10">
        <f t="shared" si="15"/>
        <v>0</v>
      </c>
    </row>
    <row r="113" spans="1:32">
      <c r="A113" s="10" t="s">
        <v>143</v>
      </c>
      <c r="B113" s="61" t="s">
        <v>294</v>
      </c>
      <c r="C113" s="10">
        <f t="shared" ref="C113:C125" si="16">ROUND((EXP(7.032824+1*0.622482)*((C23/1.852)^ 0.40303))/(1.15*0.0059)/1000000,3)</f>
        <v>4.0640000000000001</v>
      </c>
      <c r="D113" s="10">
        <f t="shared" si="15"/>
        <v>3.2829999999999999</v>
      </c>
      <c r="E113" s="10">
        <f t="shared" si="15"/>
        <v>1.7809999999999999</v>
      </c>
      <c r="F113" s="10">
        <f t="shared" si="15"/>
        <v>0</v>
      </c>
      <c r="G113" s="10">
        <f t="shared" si="15"/>
        <v>2.6240000000000001</v>
      </c>
      <c r="H113" s="10">
        <f t="shared" si="15"/>
        <v>3.3340000000000001</v>
      </c>
      <c r="I113" s="10">
        <f t="shared" si="15"/>
        <v>2.5419999999999998</v>
      </c>
      <c r="J113" s="10">
        <f t="shared" si="15"/>
        <v>3.476</v>
      </c>
      <c r="K113" s="10">
        <f t="shared" si="15"/>
        <v>0</v>
      </c>
      <c r="L113" s="10">
        <f t="shared" si="15"/>
        <v>4.3780000000000001</v>
      </c>
      <c r="M113" s="10">
        <f t="shared" si="15"/>
        <v>0</v>
      </c>
      <c r="N113" s="10">
        <f t="shared" si="15"/>
        <v>0</v>
      </c>
      <c r="O113" s="10">
        <f t="shared" si="15"/>
        <v>3.83</v>
      </c>
      <c r="P113" s="10">
        <f t="shared" si="15"/>
        <v>3.9689999999999999</v>
      </c>
      <c r="Q113" s="10">
        <f t="shared" si="15"/>
        <v>4.0179999999999998</v>
      </c>
      <c r="R113" s="10">
        <f t="shared" si="15"/>
        <v>3.7709999999999999</v>
      </c>
      <c r="S113" s="10">
        <f t="shared" si="15"/>
        <v>0</v>
      </c>
      <c r="T113" s="10">
        <f t="shared" si="15"/>
        <v>0</v>
      </c>
      <c r="U113" s="10">
        <f t="shared" si="15"/>
        <v>0</v>
      </c>
      <c r="V113" s="10">
        <f t="shared" si="15"/>
        <v>0</v>
      </c>
      <c r="W113" s="10">
        <f t="shared" si="15"/>
        <v>2.351</v>
      </c>
      <c r="X113" s="10">
        <f t="shared" si="15"/>
        <v>4.87</v>
      </c>
      <c r="Y113" s="10">
        <f t="shared" si="15"/>
        <v>3.8809999999999998</v>
      </c>
      <c r="Z113" s="10">
        <f t="shared" si="15"/>
        <v>0</v>
      </c>
      <c r="AA113" s="10">
        <f t="shared" si="15"/>
        <v>0</v>
      </c>
      <c r="AB113" s="10">
        <f t="shared" si="15"/>
        <v>4.7320000000000002</v>
      </c>
      <c r="AC113" s="10">
        <f t="shared" si="15"/>
        <v>3.532</v>
      </c>
      <c r="AD113" s="10">
        <f t="shared" si="15"/>
        <v>3.899</v>
      </c>
      <c r="AE113" s="10">
        <f t="shared" si="15"/>
        <v>3.5659999999999998</v>
      </c>
      <c r="AF113" s="10">
        <f t="shared" si="15"/>
        <v>0</v>
      </c>
    </row>
    <row r="114" spans="1:32">
      <c r="A114" s="10" t="s">
        <v>143</v>
      </c>
      <c r="B114" s="61" t="s">
        <v>310</v>
      </c>
      <c r="C114" s="10">
        <f t="shared" si="16"/>
        <v>0</v>
      </c>
      <c r="D114" s="10">
        <f t="shared" si="15"/>
        <v>4.319</v>
      </c>
      <c r="E114" s="10">
        <f t="shared" si="15"/>
        <v>0</v>
      </c>
      <c r="F114" s="10">
        <f t="shared" si="15"/>
        <v>0</v>
      </c>
      <c r="G114" s="10">
        <f t="shared" ref="D114:AF122" si="17">ROUND((EXP(7.032824+1*0.622482)*((G24/1.852)^ 0.40303))/(1.15*0.0059)/1000000,3)</f>
        <v>0</v>
      </c>
      <c r="H114" s="10">
        <f t="shared" si="17"/>
        <v>3.9550000000000001</v>
      </c>
      <c r="I114" s="10">
        <f t="shared" si="17"/>
        <v>4.149</v>
      </c>
      <c r="J114" s="10">
        <f t="shared" si="17"/>
        <v>3.802</v>
      </c>
      <c r="K114" s="10">
        <f t="shared" si="17"/>
        <v>2.077</v>
      </c>
      <c r="L114" s="10">
        <f t="shared" si="17"/>
        <v>0</v>
      </c>
      <c r="M114" s="10">
        <f t="shared" si="17"/>
        <v>3.6840000000000002</v>
      </c>
      <c r="N114" s="10">
        <f t="shared" si="17"/>
        <v>0</v>
      </c>
      <c r="O114" s="10">
        <f t="shared" si="17"/>
        <v>0</v>
      </c>
      <c r="P114" s="10">
        <f t="shared" si="17"/>
        <v>4.1449999999999996</v>
      </c>
      <c r="Q114" s="10">
        <f t="shared" si="17"/>
        <v>0</v>
      </c>
      <c r="R114" s="10">
        <f t="shared" si="17"/>
        <v>0</v>
      </c>
      <c r="S114" s="10">
        <f t="shared" si="17"/>
        <v>1.9710000000000001</v>
      </c>
      <c r="T114" s="10">
        <f t="shared" si="17"/>
        <v>0</v>
      </c>
      <c r="U114" s="10">
        <f t="shared" si="17"/>
        <v>0</v>
      </c>
      <c r="V114" s="10">
        <f t="shared" si="17"/>
        <v>0</v>
      </c>
      <c r="W114" s="10">
        <f t="shared" si="17"/>
        <v>4.4279999999999999</v>
      </c>
      <c r="X114" s="10">
        <f t="shared" si="17"/>
        <v>3.9790000000000001</v>
      </c>
      <c r="Y114" s="10">
        <f t="shared" si="17"/>
        <v>3.2749999999999999</v>
      </c>
      <c r="Z114" s="10">
        <f t="shared" si="17"/>
        <v>0</v>
      </c>
      <c r="AA114" s="10">
        <f t="shared" si="17"/>
        <v>4.2649999999999997</v>
      </c>
      <c r="AB114" s="10">
        <f t="shared" si="17"/>
        <v>3.5950000000000002</v>
      </c>
      <c r="AC114" s="10">
        <f t="shared" si="17"/>
        <v>0</v>
      </c>
      <c r="AD114" s="10">
        <f t="shared" si="17"/>
        <v>3.8929999999999998</v>
      </c>
      <c r="AE114" s="10">
        <f t="shared" si="17"/>
        <v>0</v>
      </c>
      <c r="AF114" s="10">
        <f t="shared" si="17"/>
        <v>0</v>
      </c>
    </row>
    <row r="115" spans="1:32">
      <c r="A115" s="10" t="s">
        <v>143</v>
      </c>
      <c r="B115" s="61" t="s">
        <v>297</v>
      </c>
      <c r="C115" s="10">
        <f t="shared" si="16"/>
        <v>4.3479999999999999</v>
      </c>
      <c r="D115" s="10">
        <f t="shared" si="17"/>
        <v>3.5990000000000002</v>
      </c>
      <c r="E115" s="10">
        <f t="shared" si="17"/>
        <v>2.0209999999999999</v>
      </c>
      <c r="F115" s="10">
        <f t="shared" si="17"/>
        <v>0</v>
      </c>
      <c r="G115" s="10">
        <f t="shared" si="17"/>
        <v>3.278</v>
      </c>
      <c r="H115" s="10">
        <f t="shared" si="17"/>
        <v>3.4780000000000002</v>
      </c>
      <c r="I115" s="10">
        <f t="shared" si="17"/>
        <v>2.5920000000000001</v>
      </c>
      <c r="J115" s="10">
        <f t="shared" si="17"/>
        <v>2.9809999999999999</v>
      </c>
      <c r="K115" s="10">
        <f t="shared" si="17"/>
        <v>0</v>
      </c>
      <c r="L115" s="10">
        <f t="shared" si="17"/>
        <v>4.6429999999999998</v>
      </c>
      <c r="M115" s="10">
        <f t="shared" si="17"/>
        <v>0</v>
      </c>
      <c r="N115" s="10">
        <f t="shared" si="17"/>
        <v>0</v>
      </c>
      <c r="O115" s="10">
        <f t="shared" si="17"/>
        <v>4.1269999999999998</v>
      </c>
      <c r="P115" s="10">
        <f t="shared" si="17"/>
        <v>4.149</v>
      </c>
      <c r="Q115" s="10">
        <f t="shared" si="17"/>
        <v>3.82</v>
      </c>
      <c r="R115" s="10">
        <f t="shared" si="17"/>
        <v>4.173</v>
      </c>
      <c r="S115" s="10">
        <f t="shared" si="17"/>
        <v>4.2990000000000004</v>
      </c>
      <c r="T115" s="10">
        <f t="shared" si="17"/>
        <v>2.351</v>
      </c>
      <c r="U115" s="10">
        <f t="shared" si="17"/>
        <v>4.4279999999999999</v>
      </c>
      <c r="V115" s="10">
        <f t="shared" si="17"/>
        <v>0</v>
      </c>
      <c r="W115" s="10">
        <f t="shared" si="17"/>
        <v>0</v>
      </c>
      <c r="X115" s="10">
        <f t="shared" si="17"/>
        <v>4.5570000000000004</v>
      </c>
      <c r="Y115" s="10">
        <f t="shared" si="17"/>
        <v>3.8380000000000001</v>
      </c>
      <c r="Z115" s="10">
        <f t="shared" si="17"/>
        <v>0</v>
      </c>
      <c r="AA115" s="10">
        <f t="shared" si="17"/>
        <v>0</v>
      </c>
      <c r="AB115" s="10">
        <f t="shared" si="17"/>
        <v>4.4260000000000002</v>
      </c>
      <c r="AC115" s="10">
        <f t="shared" si="17"/>
        <v>3.8620000000000001</v>
      </c>
      <c r="AD115" s="10">
        <f t="shared" si="17"/>
        <v>4.024</v>
      </c>
      <c r="AE115" s="10">
        <f t="shared" si="17"/>
        <v>3.2069999999999999</v>
      </c>
      <c r="AF115" s="10">
        <f t="shared" si="17"/>
        <v>0</v>
      </c>
    </row>
    <row r="116" spans="1:32">
      <c r="A116" s="10" t="s">
        <v>143</v>
      </c>
      <c r="B116" s="61" t="s">
        <v>298</v>
      </c>
      <c r="C116" s="10">
        <f t="shared" si="16"/>
        <v>5.8659999999999997</v>
      </c>
      <c r="D116" s="10">
        <f t="shared" si="17"/>
        <v>0</v>
      </c>
      <c r="E116" s="10">
        <f t="shared" si="17"/>
        <v>4.7919999999999998</v>
      </c>
      <c r="F116" s="10">
        <f t="shared" si="17"/>
        <v>0</v>
      </c>
      <c r="G116" s="10">
        <f t="shared" si="17"/>
        <v>0</v>
      </c>
      <c r="H116" s="10">
        <f t="shared" si="17"/>
        <v>4.7990000000000004</v>
      </c>
      <c r="I116" s="10">
        <f t="shared" si="17"/>
        <v>4.6319999999999997</v>
      </c>
      <c r="J116" s="10">
        <f t="shared" si="17"/>
        <v>3.403</v>
      </c>
      <c r="K116" s="10">
        <f t="shared" si="17"/>
        <v>3.7410000000000001</v>
      </c>
      <c r="L116" s="10">
        <f t="shared" si="17"/>
        <v>0</v>
      </c>
      <c r="M116" s="10">
        <f t="shared" si="17"/>
        <v>3.9289999999999998</v>
      </c>
      <c r="N116" s="10">
        <f t="shared" si="17"/>
        <v>0</v>
      </c>
      <c r="O116" s="10">
        <f t="shared" si="17"/>
        <v>0</v>
      </c>
      <c r="P116" s="10">
        <f t="shared" si="17"/>
        <v>0</v>
      </c>
      <c r="Q116" s="10">
        <f t="shared" si="17"/>
        <v>4.9580000000000002</v>
      </c>
      <c r="R116" s="10">
        <f t="shared" si="17"/>
        <v>0</v>
      </c>
      <c r="S116" s="10">
        <f t="shared" si="17"/>
        <v>4.1619999999999999</v>
      </c>
      <c r="T116" s="10">
        <f t="shared" si="17"/>
        <v>4.87</v>
      </c>
      <c r="U116" s="10">
        <f t="shared" si="17"/>
        <v>3.9790000000000001</v>
      </c>
      <c r="V116" s="10">
        <f t="shared" si="17"/>
        <v>0</v>
      </c>
      <c r="W116" s="10">
        <f t="shared" si="17"/>
        <v>4.5570000000000004</v>
      </c>
      <c r="X116" s="10">
        <f t="shared" si="17"/>
        <v>0</v>
      </c>
      <c r="Y116" s="10">
        <f t="shared" si="17"/>
        <v>4.5110000000000001</v>
      </c>
      <c r="Z116" s="10">
        <f t="shared" si="17"/>
        <v>0</v>
      </c>
      <c r="AA116" s="10">
        <f t="shared" si="17"/>
        <v>0</v>
      </c>
      <c r="AB116" s="10">
        <f t="shared" si="17"/>
        <v>2.1739999999999999</v>
      </c>
      <c r="AC116" s="10">
        <f t="shared" si="17"/>
        <v>0</v>
      </c>
      <c r="AD116" s="10">
        <f t="shared" si="17"/>
        <v>0</v>
      </c>
      <c r="AE116" s="10">
        <f t="shared" si="17"/>
        <v>4.617</v>
      </c>
      <c r="AF116" s="10">
        <f t="shared" si="17"/>
        <v>0</v>
      </c>
    </row>
    <row r="117" spans="1:32">
      <c r="A117" s="10" t="s">
        <v>143</v>
      </c>
      <c r="B117" s="61" t="s">
        <v>357</v>
      </c>
      <c r="C117" s="10">
        <f t="shared" si="16"/>
        <v>4.99</v>
      </c>
      <c r="D117" s="10">
        <f t="shared" si="17"/>
        <v>3.3380000000000001</v>
      </c>
      <c r="E117" s="10">
        <f t="shared" si="17"/>
        <v>0</v>
      </c>
      <c r="F117" s="10">
        <f t="shared" si="17"/>
        <v>2.9460000000000002</v>
      </c>
      <c r="G117" s="10">
        <f t="shared" si="17"/>
        <v>3.895</v>
      </c>
      <c r="H117" s="10">
        <f t="shared" si="17"/>
        <v>3.6440000000000001</v>
      </c>
      <c r="I117" s="10">
        <f t="shared" si="17"/>
        <v>4.1470000000000002</v>
      </c>
      <c r="J117" s="10">
        <f t="shared" si="17"/>
        <v>0</v>
      </c>
      <c r="K117" s="10">
        <f t="shared" si="17"/>
        <v>0</v>
      </c>
      <c r="L117" s="10">
        <f t="shared" si="17"/>
        <v>0</v>
      </c>
      <c r="M117" s="10">
        <f t="shared" si="17"/>
        <v>0</v>
      </c>
      <c r="N117" s="10">
        <f t="shared" si="17"/>
        <v>3.0219999999999998</v>
      </c>
      <c r="O117" s="10">
        <f t="shared" si="17"/>
        <v>2.5409999999999999</v>
      </c>
      <c r="P117" s="10">
        <f t="shared" si="17"/>
        <v>2.9390000000000001</v>
      </c>
      <c r="Q117" s="10">
        <f t="shared" si="17"/>
        <v>0</v>
      </c>
      <c r="R117" s="10">
        <f t="shared" si="17"/>
        <v>3.169</v>
      </c>
      <c r="S117" s="10">
        <f t="shared" si="17"/>
        <v>0</v>
      </c>
      <c r="T117" s="10">
        <f t="shared" si="17"/>
        <v>0</v>
      </c>
      <c r="U117" s="10">
        <f t="shared" si="17"/>
        <v>0</v>
      </c>
      <c r="V117" s="10">
        <f t="shared" si="17"/>
        <v>0</v>
      </c>
      <c r="W117" s="10">
        <f t="shared" si="17"/>
        <v>0</v>
      </c>
      <c r="X117" s="10">
        <f t="shared" si="17"/>
        <v>0</v>
      </c>
      <c r="Y117" s="10">
        <f t="shared" si="17"/>
        <v>3.9889999999999999</v>
      </c>
      <c r="Z117" s="10">
        <f t="shared" si="17"/>
        <v>0</v>
      </c>
      <c r="AA117" s="10">
        <f t="shared" si="17"/>
        <v>3.1309999999999998</v>
      </c>
      <c r="AB117" s="10">
        <f t="shared" si="17"/>
        <v>0</v>
      </c>
      <c r="AC117" s="10">
        <f t="shared" si="17"/>
        <v>2.9980000000000002</v>
      </c>
      <c r="AD117" s="10">
        <f t="shared" si="17"/>
        <v>3.32</v>
      </c>
      <c r="AE117" s="10">
        <f t="shared" si="17"/>
        <v>0</v>
      </c>
      <c r="AF117" s="10">
        <f t="shared" si="17"/>
        <v>0</v>
      </c>
    </row>
    <row r="118" spans="1:32">
      <c r="A118" s="10" t="s">
        <v>143</v>
      </c>
      <c r="B118" s="61" t="s">
        <v>299</v>
      </c>
      <c r="C118" s="10">
        <f t="shared" si="16"/>
        <v>5.1959999999999997</v>
      </c>
      <c r="D118" s="10">
        <f t="shared" si="17"/>
        <v>3.2629999999999999</v>
      </c>
      <c r="E118" s="10">
        <f t="shared" si="17"/>
        <v>3.988</v>
      </c>
      <c r="F118" s="10">
        <f t="shared" si="17"/>
        <v>4.1269999999999998</v>
      </c>
      <c r="G118" s="10">
        <f t="shared" si="17"/>
        <v>3.9319999999999999</v>
      </c>
      <c r="H118" s="10">
        <f t="shared" si="17"/>
        <v>2.6890000000000001</v>
      </c>
      <c r="I118" s="10">
        <f t="shared" si="17"/>
        <v>3.27</v>
      </c>
      <c r="J118" s="10">
        <f t="shared" si="17"/>
        <v>3.4910000000000001</v>
      </c>
      <c r="K118" s="10">
        <f t="shared" si="17"/>
        <v>3.637</v>
      </c>
      <c r="L118" s="10">
        <f t="shared" si="17"/>
        <v>0</v>
      </c>
      <c r="M118" s="10">
        <f t="shared" si="17"/>
        <v>4.54</v>
      </c>
      <c r="N118" s="10">
        <f t="shared" si="17"/>
        <v>4.6020000000000003</v>
      </c>
      <c r="O118" s="10">
        <f t="shared" si="17"/>
        <v>3.6240000000000001</v>
      </c>
      <c r="P118" s="10">
        <f t="shared" si="17"/>
        <v>3.0920000000000001</v>
      </c>
      <c r="Q118" s="10">
        <f t="shared" si="17"/>
        <v>0</v>
      </c>
      <c r="R118" s="10">
        <f t="shared" si="17"/>
        <v>4.1929999999999996</v>
      </c>
      <c r="S118" s="10">
        <f t="shared" si="17"/>
        <v>2.8849999999999998</v>
      </c>
      <c r="T118" s="10">
        <f t="shared" si="17"/>
        <v>3.8809999999999998</v>
      </c>
      <c r="U118" s="10">
        <f t="shared" si="17"/>
        <v>3.2749999999999999</v>
      </c>
      <c r="V118" s="10">
        <f t="shared" si="17"/>
        <v>3.9889999999999999</v>
      </c>
      <c r="W118" s="10">
        <f t="shared" si="17"/>
        <v>3.8380000000000001</v>
      </c>
      <c r="X118" s="10">
        <f t="shared" si="17"/>
        <v>4.5110000000000001</v>
      </c>
      <c r="Y118" s="10">
        <f t="shared" si="17"/>
        <v>0</v>
      </c>
      <c r="Z118" s="10">
        <f t="shared" si="17"/>
        <v>0</v>
      </c>
      <c r="AA118" s="10">
        <f t="shared" si="17"/>
        <v>3.6080000000000001</v>
      </c>
      <c r="AB118" s="10">
        <f t="shared" si="17"/>
        <v>4.2240000000000002</v>
      </c>
      <c r="AC118" s="10">
        <f t="shared" si="17"/>
        <v>3.4929999999999999</v>
      </c>
      <c r="AD118" s="10">
        <f t="shared" si="17"/>
        <v>2.661</v>
      </c>
      <c r="AE118" s="10">
        <f t="shared" si="17"/>
        <v>4.63</v>
      </c>
      <c r="AF118" s="10">
        <f t="shared" si="17"/>
        <v>0</v>
      </c>
    </row>
    <row r="119" spans="1:32">
      <c r="A119" s="10" t="s">
        <v>143</v>
      </c>
      <c r="B119" s="61" t="s">
        <v>300</v>
      </c>
      <c r="C119" s="10">
        <f t="shared" si="16"/>
        <v>3.1120000000000001</v>
      </c>
      <c r="D119" s="10">
        <f t="shared" si="17"/>
        <v>0</v>
      </c>
      <c r="E119" s="10">
        <f t="shared" si="17"/>
        <v>0</v>
      </c>
      <c r="F119" s="10">
        <f t="shared" si="17"/>
        <v>0</v>
      </c>
      <c r="G119" s="10">
        <f t="shared" si="17"/>
        <v>0</v>
      </c>
      <c r="H119" s="10">
        <f t="shared" si="17"/>
        <v>0</v>
      </c>
      <c r="I119" s="10">
        <f t="shared" si="17"/>
        <v>0</v>
      </c>
      <c r="J119" s="10">
        <f t="shared" si="17"/>
        <v>0</v>
      </c>
      <c r="K119" s="10">
        <f t="shared" si="17"/>
        <v>0</v>
      </c>
      <c r="L119" s="10">
        <f t="shared" si="17"/>
        <v>2.774</v>
      </c>
      <c r="M119" s="10">
        <f t="shared" si="17"/>
        <v>0</v>
      </c>
      <c r="N119" s="10">
        <f t="shared" si="17"/>
        <v>0</v>
      </c>
      <c r="O119" s="10">
        <f t="shared" si="17"/>
        <v>0</v>
      </c>
      <c r="P119" s="10">
        <f t="shared" si="17"/>
        <v>0</v>
      </c>
      <c r="Q119" s="10">
        <f t="shared" si="17"/>
        <v>0</v>
      </c>
      <c r="R119" s="10">
        <f t="shared" si="17"/>
        <v>0</v>
      </c>
      <c r="S119" s="10">
        <f t="shared" si="17"/>
        <v>0</v>
      </c>
      <c r="T119" s="10">
        <f t="shared" si="17"/>
        <v>0</v>
      </c>
      <c r="U119" s="10">
        <f t="shared" si="17"/>
        <v>0</v>
      </c>
      <c r="V119" s="10">
        <f t="shared" si="17"/>
        <v>0</v>
      </c>
      <c r="W119" s="10">
        <f t="shared" si="17"/>
        <v>0</v>
      </c>
      <c r="X119" s="10">
        <f t="shared" si="17"/>
        <v>0</v>
      </c>
      <c r="Y119" s="10">
        <f t="shared" si="17"/>
        <v>0</v>
      </c>
      <c r="Z119" s="10">
        <f t="shared" si="17"/>
        <v>0</v>
      </c>
      <c r="AA119" s="10">
        <f t="shared" si="17"/>
        <v>0</v>
      </c>
      <c r="AB119" s="10">
        <f t="shared" si="17"/>
        <v>0</v>
      </c>
      <c r="AC119" s="10">
        <f t="shared" si="17"/>
        <v>0</v>
      </c>
      <c r="AD119" s="10">
        <f t="shared" si="17"/>
        <v>0</v>
      </c>
      <c r="AE119" s="10">
        <f t="shared" si="17"/>
        <v>4.835</v>
      </c>
      <c r="AF119" s="10">
        <f t="shared" si="17"/>
        <v>0</v>
      </c>
    </row>
    <row r="120" spans="1:32">
      <c r="A120" s="10" t="s">
        <v>143</v>
      </c>
      <c r="B120" s="61" t="s">
        <v>301</v>
      </c>
      <c r="C120" s="10">
        <f t="shared" si="16"/>
        <v>5.4509999999999996</v>
      </c>
      <c r="D120" s="10">
        <f t="shared" si="17"/>
        <v>3.6819999999999999</v>
      </c>
      <c r="E120" s="10">
        <f t="shared" si="17"/>
        <v>0</v>
      </c>
      <c r="F120" s="10">
        <f t="shared" si="17"/>
        <v>2.5529999999999999</v>
      </c>
      <c r="G120" s="10">
        <f t="shared" si="17"/>
        <v>4.3570000000000002</v>
      </c>
      <c r="H120" s="10">
        <f t="shared" si="17"/>
        <v>3.6669999999999998</v>
      </c>
      <c r="I120" s="10">
        <f t="shared" si="17"/>
        <v>4.2640000000000002</v>
      </c>
      <c r="J120" s="10">
        <f t="shared" si="17"/>
        <v>4.6680000000000001</v>
      </c>
      <c r="K120" s="10">
        <f t="shared" si="17"/>
        <v>0</v>
      </c>
      <c r="L120" s="10">
        <f t="shared" si="17"/>
        <v>0</v>
      </c>
      <c r="M120" s="10">
        <f t="shared" si="17"/>
        <v>0</v>
      </c>
      <c r="N120" s="10">
        <f t="shared" si="17"/>
        <v>3.5409999999999999</v>
      </c>
      <c r="O120" s="10">
        <f t="shared" si="17"/>
        <v>3.3580000000000001</v>
      </c>
      <c r="P120" s="10">
        <f t="shared" si="17"/>
        <v>2.8540000000000001</v>
      </c>
      <c r="Q120" s="10">
        <f t="shared" si="17"/>
        <v>0</v>
      </c>
      <c r="R120" s="10">
        <f t="shared" si="17"/>
        <v>4.0570000000000004</v>
      </c>
      <c r="S120" s="10">
        <f t="shared" si="17"/>
        <v>4.0220000000000002</v>
      </c>
      <c r="T120" s="10">
        <f t="shared" si="17"/>
        <v>0</v>
      </c>
      <c r="U120" s="10">
        <f t="shared" si="17"/>
        <v>4.2649999999999997</v>
      </c>
      <c r="V120" s="10">
        <f t="shared" si="17"/>
        <v>3.1309999999999998</v>
      </c>
      <c r="W120" s="10">
        <f t="shared" si="17"/>
        <v>0</v>
      </c>
      <c r="X120" s="10">
        <f t="shared" si="17"/>
        <v>0</v>
      </c>
      <c r="Y120" s="10">
        <f t="shared" si="17"/>
        <v>3.6080000000000001</v>
      </c>
      <c r="Z120" s="10">
        <f t="shared" si="17"/>
        <v>0</v>
      </c>
      <c r="AA120" s="10">
        <f t="shared" si="17"/>
        <v>0</v>
      </c>
      <c r="AB120" s="10">
        <f t="shared" si="17"/>
        <v>0</v>
      </c>
      <c r="AC120" s="10">
        <f t="shared" si="17"/>
        <v>3.569</v>
      </c>
      <c r="AD120" s="10">
        <f t="shared" si="17"/>
        <v>3.028</v>
      </c>
      <c r="AE120" s="10">
        <f t="shared" si="17"/>
        <v>0</v>
      </c>
      <c r="AF120" s="10">
        <f t="shared" si="17"/>
        <v>3.7639999999999998</v>
      </c>
    </row>
    <row r="121" spans="1:32">
      <c r="A121" s="10" t="s">
        <v>143</v>
      </c>
      <c r="B121" s="61" t="s">
        <v>303</v>
      </c>
      <c r="C121" s="10">
        <f t="shared" si="16"/>
        <v>5.7960000000000003</v>
      </c>
      <c r="D121" s="10">
        <f t="shared" si="17"/>
        <v>4.8650000000000002</v>
      </c>
      <c r="E121" s="10">
        <f t="shared" si="17"/>
        <v>4.6710000000000003</v>
      </c>
      <c r="F121" s="10">
        <f t="shared" si="17"/>
        <v>0</v>
      </c>
      <c r="G121" s="10">
        <f t="shared" si="17"/>
        <v>5.0430000000000001</v>
      </c>
      <c r="H121" s="10">
        <f t="shared" si="17"/>
        <v>4.57</v>
      </c>
      <c r="I121" s="10">
        <f t="shared" si="17"/>
        <v>4.4400000000000004</v>
      </c>
      <c r="J121" s="10">
        <f t="shared" si="17"/>
        <v>2.7160000000000002</v>
      </c>
      <c r="K121" s="10">
        <f t="shared" si="17"/>
        <v>3.327</v>
      </c>
      <c r="L121" s="10">
        <f t="shared" si="17"/>
        <v>0</v>
      </c>
      <c r="M121" s="10">
        <f t="shared" si="17"/>
        <v>2.9860000000000002</v>
      </c>
      <c r="N121" s="10">
        <f t="shared" si="17"/>
        <v>0</v>
      </c>
      <c r="O121" s="10">
        <f t="shared" si="17"/>
        <v>5.1689999999999996</v>
      </c>
      <c r="P121" s="10">
        <f t="shared" si="17"/>
        <v>4.9189999999999996</v>
      </c>
      <c r="Q121" s="10">
        <f t="shared" si="17"/>
        <v>0</v>
      </c>
      <c r="R121" s="10">
        <f t="shared" si="17"/>
        <v>5.444</v>
      </c>
      <c r="S121" s="10">
        <f t="shared" si="17"/>
        <v>3.8050000000000002</v>
      </c>
      <c r="T121" s="10">
        <f t="shared" si="17"/>
        <v>4.7320000000000002</v>
      </c>
      <c r="U121" s="10">
        <f t="shared" si="17"/>
        <v>3.5950000000000002</v>
      </c>
      <c r="V121" s="10">
        <f t="shared" si="17"/>
        <v>0</v>
      </c>
      <c r="W121" s="10">
        <f t="shared" si="17"/>
        <v>4.4260000000000002</v>
      </c>
      <c r="X121" s="10">
        <f t="shared" si="17"/>
        <v>2.1739999999999999</v>
      </c>
      <c r="Y121" s="10">
        <f t="shared" si="17"/>
        <v>4.2240000000000002</v>
      </c>
      <c r="Z121" s="10">
        <f t="shared" si="17"/>
        <v>0</v>
      </c>
      <c r="AA121" s="10">
        <f t="shared" si="17"/>
        <v>0</v>
      </c>
      <c r="AB121" s="10">
        <f t="shared" si="17"/>
        <v>0</v>
      </c>
      <c r="AC121" s="10">
        <f t="shared" si="17"/>
        <v>5.0439999999999996</v>
      </c>
      <c r="AD121" s="10">
        <f t="shared" si="17"/>
        <v>4.7190000000000003</v>
      </c>
      <c r="AE121" s="10">
        <f t="shared" si="17"/>
        <v>4.609</v>
      </c>
      <c r="AF121" s="10">
        <f t="shared" si="17"/>
        <v>0</v>
      </c>
    </row>
    <row r="122" spans="1:32">
      <c r="A122" s="10" t="s">
        <v>143</v>
      </c>
      <c r="B122" s="61" t="s">
        <v>304</v>
      </c>
      <c r="C122" s="10">
        <f t="shared" si="16"/>
        <v>4.5919999999999996</v>
      </c>
      <c r="D122" s="10">
        <f t="shared" si="17"/>
        <v>1.93</v>
      </c>
      <c r="E122" s="10">
        <f t="shared" si="17"/>
        <v>3.7730000000000001</v>
      </c>
      <c r="F122" s="10">
        <f t="shared" si="17"/>
        <v>3.78</v>
      </c>
      <c r="G122" s="10">
        <f t="shared" si="17"/>
        <v>3</v>
      </c>
      <c r="H122" s="10">
        <f t="shared" si="17"/>
        <v>2.7280000000000002</v>
      </c>
      <c r="I122" s="10">
        <f t="shared" si="17"/>
        <v>3.29</v>
      </c>
      <c r="J122" s="10">
        <f t="shared" si="17"/>
        <v>4.149</v>
      </c>
      <c r="K122" s="10">
        <f t="shared" si="17"/>
        <v>0</v>
      </c>
      <c r="L122" s="10">
        <f t="shared" si="17"/>
        <v>4.7880000000000003</v>
      </c>
      <c r="M122" s="10">
        <f t="shared" si="17"/>
        <v>0</v>
      </c>
      <c r="N122" s="10">
        <f t="shared" si="17"/>
        <v>3.9790000000000001</v>
      </c>
      <c r="O122" s="10">
        <f t="shared" si="17"/>
        <v>1.9330000000000001</v>
      </c>
      <c r="P122" s="10">
        <f t="shared" si="17"/>
        <v>2.6320000000000001</v>
      </c>
      <c r="Q122" s="10">
        <f t="shared" si="17"/>
        <v>0</v>
      </c>
      <c r="R122" s="10">
        <f t="shared" si="17"/>
        <v>2.7959999999999998</v>
      </c>
      <c r="S122" s="10">
        <f t="shared" si="17"/>
        <v>4.2389999999999999</v>
      </c>
      <c r="T122" s="10">
        <f t="shared" si="17"/>
        <v>3.532</v>
      </c>
      <c r="U122" s="10">
        <f t="shared" si="17"/>
        <v>0</v>
      </c>
      <c r="V122" s="10">
        <f t="shared" si="17"/>
        <v>2.9980000000000002</v>
      </c>
      <c r="W122" s="10">
        <f t="shared" si="17"/>
        <v>3.8620000000000001</v>
      </c>
      <c r="X122" s="10">
        <f t="shared" si="17"/>
        <v>0</v>
      </c>
      <c r="Y122" s="10">
        <f t="shared" si="17"/>
        <v>3.4929999999999999</v>
      </c>
      <c r="Z122" s="10">
        <f t="shared" si="17"/>
        <v>0</v>
      </c>
      <c r="AA122" s="10">
        <f t="shared" si="17"/>
        <v>3.569</v>
      </c>
      <c r="AB122" s="10">
        <f t="shared" si="17"/>
        <v>5.0439999999999996</v>
      </c>
      <c r="AC122" s="10">
        <f t="shared" si="17"/>
        <v>0</v>
      </c>
      <c r="AD122" s="10">
        <f t="shared" ref="D122:AF125" si="18">ROUND((EXP(7.032824+1*0.622482)*((AD32/1.852)^ 0.40303))/(1.15*0.0059)/1000000,3)</f>
        <v>2.86</v>
      </c>
      <c r="AE122" s="10">
        <f t="shared" si="18"/>
        <v>0</v>
      </c>
      <c r="AF122" s="10">
        <f t="shared" si="18"/>
        <v>0</v>
      </c>
    </row>
    <row r="123" spans="1:32">
      <c r="A123" s="10" t="s">
        <v>143</v>
      </c>
      <c r="B123" s="61" t="s">
        <v>305</v>
      </c>
      <c r="C123" s="10">
        <f t="shared" si="16"/>
        <v>5.0670000000000002</v>
      </c>
      <c r="D123" s="10">
        <f t="shared" si="18"/>
        <v>2.7610000000000001</v>
      </c>
      <c r="E123" s="10">
        <f t="shared" si="18"/>
        <v>4.0679999999999996</v>
      </c>
      <c r="F123" s="10">
        <f t="shared" si="18"/>
        <v>3.5880000000000001</v>
      </c>
      <c r="G123" s="10">
        <f t="shared" si="18"/>
        <v>3.714</v>
      </c>
      <c r="H123" s="10">
        <f t="shared" si="18"/>
        <v>2.4940000000000002</v>
      </c>
      <c r="I123" s="10">
        <f t="shared" si="18"/>
        <v>3.4140000000000001</v>
      </c>
      <c r="J123" s="10">
        <f t="shared" si="18"/>
        <v>3.9769999999999999</v>
      </c>
      <c r="K123" s="10">
        <f t="shared" si="18"/>
        <v>4.1970000000000001</v>
      </c>
      <c r="L123" s="10">
        <f t="shared" si="18"/>
        <v>0</v>
      </c>
      <c r="M123" s="10">
        <f t="shared" si="18"/>
        <v>0</v>
      </c>
      <c r="N123" s="10">
        <f t="shared" si="18"/>
        <v>4.0979999999999999</v>
      </c>
      <c r="O123" s="10">
        <f t="shared" si="18"/>
        <v>2.9</v>
      </c>
      <c r="P123" s="10">
        <f t="shared" si="18"/>
        <v>1.931</v>
      </c>
      <c r="Q123" s="10">
        <f t="shared" si="18"/>
        <v>0</v>
      </c>
      <c r="R123" s="10">
        <f t="shared" si="18"/>
        <v>3.722</v>
      </c>
      <c r="S123" s="10">
        <f t="shared" si="18"/>
        <v>3.5859999999999999</v>
      </c>
      <c r="T123" s="10">
        <f t="shared" si="18"/>
        <v>3.899</v>
      </c>
      <c r="U123" s="10">
        <f t="shared" si="18"/>
        <v>3.8929999999999998</v>
      </c>
      <c r="V123" s="10">
        <f t="shared" si="18"/>
        <v>3.32</v>
      </c>
      <c r="W123" s="10">
        <f t="shared" si="18"/>
        <v>4.024</v>
      </c>
      <c r="X123" s="10">
        <f t="shared" si="18"/>
        <v>0</v>
      </c>
      <c r="Y123" s="10">
        <f t="shared" si="18"/>
        <v>2.661</v>
      </c>
      <c r="Z123" s="10">
        <f t="shared" si="18"/>
        <v>0</v>
      </c>
      <c r="AA123" s="10">
        <f t="shared" si="18"/>
        <v>3.028</v>
      </c>
      <c r="AB123" s="10">
        <f t="shared" si="18"/>
        <v>4.7190000000000003</v>
      </c>
      <c r="AC123" s="10">
        <f t="shared" si="18"/>
        <v>2.86</v>
      </c>
      <c r="AD123" s="10">
        <f t="shared" si="18"/>
        <v>0</v>
      </c>
      <c r="AE123" s="10">
        <f t="shared" si="18"/>
        <v>0</v>
      </c>
      <c r="AF123" s="10">
        <f t="shared" si="18"/>
        <v>0</v>
      </c>
    </row>
    <row r="124" spans="1:32">
      <c r="A124" s="10" t="s">
        <v>143</v>
      </c>
      <c r="B124" s="10" t="s">
        <v>356</v>
      </c>
      <c r="C124" s="10">
        <f t="shared" si="16"/>
        <v>0</v>
      </c>
      <c r="D124" s="10">
        <f t="shared" si="18"/>
        <v>0</v>
      </c>
      <c r="E124" s="10">
        <f t="shared" si="18"/>
        <v>0</v>
      </c>
      <c r="F124" s="10">
        <f t="shared" si="18"/>
        <v>2.7909999999999999</v>
      </c>
      <c r="G124" s="10">
        <f t="shared" si="18"/>
        <v>0</v>
      </c>
      <c r="H124" s="10">
        <f t="shared" si="18"/>
        <v>0</v>
      </c>
      <c r="I124" s="10">
        <f t="shared" si="18"/>
        <v>0</v>
      </c>
      <c r="J124" s="10">
        <f t="shared" si="18"/>
        <v>0</v>
      </c>
      <c r="K124" s="10">
        <f t="shared" si="18"/>
        <v>0</v>
      </c>
      <c r="L124" s="10">
        <f t="shared" si="18"/>
        <v>0</v>
      </c>
      <c r="M124" s="10">
        <f t="shared" si="18"/>
        <v>0</v>
      </c>
      <c r="N124" s="10">
        <f t="shared" si="18"/>
        <v>3.7120000000000002</v>
      </c>
      <c r="O124" s="10">
        <f t="shared" si="18"/>
        <v>0</v>
      </c>
      <c r="P124" s="10">
        <f t="shared" si="18"/>
        <v>0</v>
      </c>
      <c r="Q124" s="10">
        <f t="shared" si="18"/>
        <v>0</v>
      </c>
      <c r="R124" s="10">
        <f t="shared" si="18"/>
        <v>0</v>
      </c>
      <c r="S124" s="10">
        <f t="shared" si="18"/>
        <v>0</v>
      </c>
      <c r="T124" s="10">
        <f t="shared" si="18"/>
        <v>0</v>
      </c>
      <c r="U124" s="10">
        <f t="shared" si="18"/>
        <v>0</v>
      </c>
      <c r="V124" s="10">
        <f t="shared" si="18"/>
        <v>0</v>
      </c>
      <c r="W124" s="10">
        <f t="shared" si="18"/>
        <v>0</v>
      </c>
      <c r="X124" s="10">
        <f t="shared" si="18"/>
        <v>0</v>
      </c>
      <c r="Y124" s="10">
        <f t="shared" si="18"/>
        <v>0</v>
      </c>
      <c r="Z124" s="10">
        <f t="shared" si="18"/>
        <v>0</v>
      </c>
      <c r="AA124" s="10">
        <f t="shared" si="18"/>
        <v>3.7639999999999998</v>
      </c>
      <c r="AB124" s="10">
        <f t="shared" si="18"/>
        <v>0</v>
      </c>
      <c r="AC124" s="10">
        <f t="shared" si="18"/>
        <v>0</v>
      </c>
      <c r="AD124" s="10">
        <f t="shared" si="18"/>
        <v>0</v>
      </c>
      <c r="AE124" s="10">
        <f t="shared" si="18"/>
        <v>0</v>
      </c>
      <c r="AF124" s="10">
        <f t="shared" si="18"/>
        <v>0</v>
      </c>
    </row>
    <row r="125" spans="1:32">
      <c r="A125" s="10" t="s">
        <v>143</v>
      </c>
      <c r="B125" s="61" t="s">
        <v>307</v>
      </c>
      <c r="C125" s="10">
        <f t="shared" si="16"/>
        <v>3.198</v>
      </c>
      <c r="D125" s="10">
        <f t="shared" si="18"/>
        <v>4.4989999999999997</v>
      </c>
      <c r="E125" s="10">
        <f t="shared" si="18"/>
        <v>3.294</v>
      </c>
      <c r="F125" s="10">
        <f t="shared" si="18"/>
        <v>0</v>
      </c>
      <c r="G125" s="10">
        <f t="shared" si="18"/>
        <v>4.1349999999999998</v>
      </c>
      <c r="H125" s="10">
        <f t="shared" si="18"/>
        <v>4.423</v>
      </c>
      <c r="I125" s="10">
        <f t="shared" si="18"/>
        <v>3.8650000000000002</v>
      </c>
      <c r="J125" s="10">
        <f t="shared" si="18"/>
        <v>3.68</v>
      </c>
      <c r="K125" s="10">
        <f t="shared" si="18"/>
        <v>0</v>
      </c>
      <c r="L125" s="10">
        <f t="shared" si="18"/>
        <v>4.6879999999999997</v>
      </c>
      <c r="M125" s="10">
        <f t="shared" si="18"/>
        <v>0</v>
      </c>
      <c r="N125" s="10">
        <f t="shared" si="18"/>
        <v>0</v>
      </c>
      <c r="O125" s="10">
        <f t="shared" si="18"/>
        <v>0</v>
      </c>
      <c r="P125" s="10">
        <f t="shared" si="18"/>
        <v>0</v>
      </c>
      <c r="Q125" s="10">
        <f t="shared" si="18"/>
        <v>2.6139999999999999</v>
      </c>
      <c r="R125" s="10">
        <f t="shared" si="18"/>
        <v>4.8360000000000003</v>
      </c>
      <c r="S125" s="10">
        <f t="shared" si="18"/>
        <v>0</v>
      </c>
      <c r="T125" s="10">
        <f t="shared" si="18"/>
        <v>3.5659999999999998</v>
      </c>
      <c r="U125" s="10">
        <f t="shared" si="18"/>
        <v>0</v>
      </c>
      <c r="V125" s="10">
        <f t="shared" si="18"/>
        <v>0</v>
      </c>
      <c r="W125" s="10">
        <f t="shared" si="18"/>
        <v>3.2069999999999999</v>
      </c>
      <c r="X125" s="10">
        <f t="shared" si="18"/>
        <v>4.617</v>
      </c>
      <c r="Y125" s="10">
        <f t="shared" si="18"/>
        <v>4.63</v>
      </c>
      <c r="Z125" s="10">
        <f t="shared" si="18"/>
        <v>4.835</v>
      </c>
      <c r="AA125" s="10">
        <f t="shared" si="18"/>
        <v>0</v>
      </c>
      <c r="AB125" s="10">
        <f t="shared" si="18"/>
        <v>4.609</v>
      </c>
      <c r="AC125" s="10">
        <f t="shared" si="18"/>
        <v>0</v>
      </c>
      <c r="AD125" s="10">
        <f t="shared" si="18"/>
        <v>0</v>
      </c>
      <c r="AE125" s="10">
        <f t="shared" si="18"/>
        <v>0</v>
      </c>
      <c r="AF125" s="10">
        <f t="shared" si="18"/>
        <v>0</v>
      </c>
    </row>
    <row r="126" spans="1:32">
      <c r="A126" s="10" t="s">
        <v>145</v>
      </c>
      <c r="B126" s="61" t="s">
        <v>278</v>
      </c>
      <c r="C126" s="10">
        <f>C96</f>
        <v>4.58</v>
      </c>
      <c r="D126" s="10">
        <f t="shared" ref="D126:AF135" si="19">D96</f>
        <v>0</v>
      </c>
      <c r="E126" s="10">
        <f t="shared" si="19"/>
        <v>3.5369999999999999</v>
      </c>
      <c r="F126" s="10">
        <f t="shared" si="19"/>
        <v>3.9649999999999999</v>
      </c>
      <c r="G126" s="10">
        <f t="shared" si="19"/>
        <v>2.8639999999999999</v>
      </c>
      <c r="H126" s="10">
        <f t="shared" si="19"/>
        <v>2.2650000000000001</v>
      </c>
      <c r="I126" s="10">
        <f t="shared" si="19"/>
        <v>2.9159999999999999</v>
      </c>
      <c r="J126" s="10">
        <f t="shared" si="19"/>
        <v>3.8860000000000001</v>
      </c>
      <c r="K126" s="10">
        <f t="shared" si="19"/>
        <v>0</v>
      </c>
      <c r="L126" s="10">
        <f t="shared" si="19"/>
        <v>4.7969999999999997</v>
      </c>
      <c r="M126" s="10">
        <f t="shared" si="19"/>
        <v>0</v>
      </c>
      <c r="N126" s="10">
        <f t="shared" si="19"/>
        <v>4.2119999999999997</v>
      </c>
      <c r="O126" s="10">
        <f t="shared" si="19"/>
        <v>2.52</v>
      </c>
      <c r="P126" s="10">
        <f t="shared" si="19"/>
        <v>2.718</v>
      </c>
      <c r="Q126" s="10">
        <f t="shared" si="19"/>
        <v>0</v>
      </c>
      <c r="R126" s="10">
        <f t="shared" si="19"/>
        <v>3.105</v>
      </c>
      <c r="S126" s="10">
        <f t="shared" si="19"/>
        <v>4.0759999999999996</v>
      </c>
      <c r="T126" s="10">
        <f t="shared" si="19"/>
        <v>3.2829999999999999</v>
      </c>
      <c r="U126" s="10">
        <f t="shared" si="19"/>
        <v>4.319</v>
      </c>
      <c r="V126" s="10">
        <f t="shared" si="19"/>
        <v>3.3380000000000001</v>
      </c>
      <c r="W126" s="10">
        <f t="shared" si="19"/>
        <v>3.5990000000000002</v>
      </c>
      <c r="X126" s="10">
        <f t="shared" si="19"/>
        <v>0</v>
      </c>
      <c r="Y126" s="10">
        <f t="shared" si="19"/>
        <v>3.2629999999999999</v>
      </c>
      <c r="Z126" s="10">
        <f t="shared" si="19"/>
        <v>0</v>
      </c>
      <c r="AA126" s="10">
        <f t="shared" si="19"/>
        <v>3.6819999999999999</v>
      </c>
      <c r="AB126" s="10">
        <f t="shared" si="19"/>
        <v>4.8650000000000002</v>
      </c>
      <c r="AC126" s="10">
        <f t="shared" si="19"/>
        <v>1.93</v>
      </c>
      <c r="AD126" s="10">
        <f t="shared" si="19"/>
        <v>2.7610000000000001</v>
      </c>
      <c r="AE126" s="10">
        <f t="shared" si="19"/>
        <v>4.4989999999999997</v>
      </c>
      <c r="AF126" s="10">
        <f t="shared" si="19"/>
        <v>0</v>
      </c>
    </row>
    <row r="127" spans="1:32">
      <c r="A127" s="10" t="s">
        <v>145</v>
      </c>
      <c r="B127" s="61" t="s">
        <v>280</v>
      </c>
      <c r="C127" s="10">
        <f t="shared" ref="C127:R142" si="20">C97</f>
        <v>2.419</v>
      </c>
      <c r="D127" s="10">
        <f t="shared" si="20"/>
        <v>3.5369999999999999</v>
      </c>
      <c r="E127" s="10">
        <f t="shared" si="20"/>
        <v>0</v>
      </c>
      <c r="F127" s="10">
        <f t="shared" si="20"/>
        <v>0</v>
      </c>
      <c r="G127" s="10">
        <f t="shared" si="20"/>
        <v>2.9750000000000001</v>
      </c>
      <c r="H127" s="10">
        <f t="shared" si="20"/>
        <v>3.5329999999999999</v>
      </c>
      <c r="I127" s="10">
        <f t="shared" si="20"/>
        <v>2.734</v>
      </c>
      <c r="J127" s="10">
        <f t="shared" si="20"/>
        <v>3.3879999999999999</v>
      </c>
      <c r="K127" s="10">
        <f t="shared" si="20"/>
        <v>0</v>
      </c>
      <c r="L127" s="10">
        <f t="shared" si="20"/>
        <v>4.4020000000000001</v>
      </c>
      <c r="M127" s="10">
        <f t="shared" si="20"/>
        <v>0</v>
      </c>
      <c r="N127" s="10">
        <f t="shared" si="20"/>
        <v>0</v>
      </c>
      <c r="O127" s="10">
        <f t="shared" si="20"/>
        <v>4.0460000000000003</v>
      </c>
      <c r="P127" s="10">
        <f t="shared" si="20"/>
        <v>4.1509999999999998</v>
      </c>
      <c r="Q127" s="10">
        <f t="shared" si="20"/>
        <v>3.806</v>
      </c>
      <c r="R127" s="10">
        <f t="shared" si="20"/>
        <v>3.992</v>
      </c>
      <c r="S127" s="10">
        <f t="shared" si="19"/>
        <v>0</v>
      </c>
      <c r="T127" s="10">
        <f t="shared" si="19"/>
        <v>1.7809999999999999</v>
      </c>
      <c r="U127" s="10">
        <f t="shared" si="19"/>
        <v>0</v>
      </c>
      <c r="V127" s="10">
        <f t="shared" si="19"/>
        <v>0</v>
      </c>
      <c r="W127" s="10">
        <f t="shared" si="19"/>
        <v>2.0209999999999999</v>
      </c>
      <c r="X127" s="10">
        <f t="shared" si="19"/>
        <v>4.7919999999999998</v>
      </c>
      <c r="Y127" s="10">
        <f t="shared" si="19"/>
        <v>3.988</v>
      </c>
      <c r="Z127" s="10">
        <f t="shared" si="19"/>
        <v>0</v>
      </c>
      <c r="AA127" s="10">
        <f t="shared" si="19"/>
        <v>0</v>
      </c>
      <c r="AB127" s="10">
        <f t="shared" si="19"/>
        <v>4.6710000000000003</v>
      </c>
      <c r="AC127" s="10">
        <f t="shared" si="19"/>
        <v>3.7730000000000001</v>
      </c>
      <c r="AD127" s="10">
        <f t="shared" si="19"/>
        <v>4.0679999999999996</v>
      </c>
      <c r="AE127" s="10">
        <f t="shared" si="19"/>
        <v>3.294</v>
      </c>
      <c r="AF127" s="10">
        <f t="shared" si="19"/>
        <v>0</v>
      </c>
    </row>
    <row r="128" spans="1:32">
      <c r="A128" s="10" t="s">
        <v>145</v>
      </c>
      <c r="B128" s="61" t="s">
        <v>281</v>
      </c>
      <c r="C128" s="10">
        <f t="shared" si="20"/>
        <v>0</v>
      </c>
      <c r="D128" s="10">
        <f t="shared" si="19"/>
        <v>3.9649999999999999</v>
      </c>
      <c r="E128" s="10">
        <f t="shared" si="19"/>
        <v>0</v>
      </c>
      <c r="F128" s="10">
        <f t="shared" si="19"/>
        <v>0</v>
      </c>
      <c r="G128" s="10">
        <f t="shared" si="19"/>
        <v>4.5199999999999996</v>
      </c>
      <c r="H128" s="10">
        <f t="shared" si="19"/>
        <v>4.0640000000000001</v>
      </c>
      <c r="I128" s="10">
        <f t="shared" si="19"/>
        <v>4.5739999999999998</v>
      </c>
      <c r="J128" s="10">
        <f t="shared" si="19"/>
        <v>0</v>
      </c>
      <c r="K128" s="10">
        <f t="shared" si="19"/>
        <v>0</v>
      </c>
      <c r="L128" s="10">
        <f t="shared" si="19"/>
        <v>0</v>
      </c>
      <c r="M128" s="10">
        <f t="shared" si="19"/>
        <v>0</v>
      </c>
      <c r="N128" s="10">
        <f t="shared" si="19"/>
        <v>2.8580000000000001</v>
      </c>
      <c r="O128" s="10">
        <f t="shared" si="19"/>
        <v>3.5049999999999999</v>
      </c>
      <c r="P128" s="10">
        <f t="shared" si="19"/>
        <v>3.3460000000000001</v>
      </c>
      <c r="Q128" s="10">
        <f t="shared" si="19"/>
        <v>0</v>
      </c>
      <c r="R128" s="10">
        <f t="shared" si="19"/>
        <v>4.0460000000000003</v>
      </c>
      <c r="S128" s="10">
        <f t="shared" si="19"/>
        <v>0</v>
      </c>
      <c r="T128" s="10">
        <f t="shared" si="19"/>
        <v>0</v>
      </c>
      <c r="U128" s="10">
        <f t="shared" si="19"/>
        <v>0</v>
      </c>
      <c r="V128" s="10">
        <f t="shared" si="19"/>
        <v>2.9460000000000002</v>
      </c>
      <c r="W128" s="10">
        <f t="shared" si="19"/>
        <v>0</v>
      </c>
      <c r="X128" s="10">
        <f t="shared" si="19"/>
        <v>0</v>
      </c>
      <c r="Y128" s="10">
        <f t="shared" si="19"/>
        <v>4.1269999999999998</v>
      </c>
      <c r="Z128" s="10">
        <f t="shared" si="19"/>
        <v>0</v>
      </c>
      <c r="AA128" s="10">
        <f t="shared" si="19"/>
        <v>2.5529999999999999</v>
      </c>
      <c r="AB128" s="10">
        <f t="shared" si="19"/>
        <v>0</v>
      </c>
      <c r="AC128" s="10">
        <f t="shared" si="19"/>
        <v>3.78</v>
      </c>
      <c r="AD128" s="10">
        <f t="shared" si="19"/>
        <v>3.5880000000000001</v>
      </c>
      <c r="AE128" s="10">
        <f t="shared" si="19"/>
        <v>0</v>
      </c>
      <c r="AF128" s="10">
        <f t="shared" si="19"/>
        <v>2.7909999999999999</v>
      </c>
    </row>
    <row r="129" spans="1:32">
      <c r="A129" s="10" t="s">
        <v>145</v>
      </c>
      <c r="B129" s="61" t="s">
        <v>282</v>
      </c>
      <c r="C129" s="10">
        <f t="shared" si="20"/>
        <v>2.5739999999999998</v>
      </c>
      <c r="D129" s="10">
        <f t="shared" si="19"/>
        <v>2.8639999999999999</v>
      </c>
      <c r="E129" s="10">
        <f t="shared" si="19"/>
        <v>2.9750000000000001</v>
      </c>
      <c r="F129" s="10">
        <f t="shared" si="19"/>
        <v>4.5199999999999996</v>
      </c>
      <c r="G129" s="10">
        <f t="shared" si="19"/>
        <v>0</v>
      </c>
      <c r="H129" s="10">
        <f t="shared" si="19"/>
        <v>3.2410000000000001</v>
      </c>
      <c r="I129" s="10">
        <f t="shared" si="19"/>
        <v>2.9830000000000001</v>
      </c>
      <c r="J129" s="10">
        <f t="shared" si="19"/>
        <v>3.972</v>
      </c>
      <c r="K129" s="10">
        <f t="shared" si="19"/>
        <v>0</v>
      </c>
      <c r="L129" s="10">
        <f t="shared" si="19"/>
        <v>4.2350000000000003</v>
      </c>
      <c r="M129" s="10">
        <f t="shared" si="19"/>
        <v>0</v>
      </c>
      <c r="N129" s="10">
        <f t="shared" si="19"/>
        <v>0</v>
      </c>
      <c r="O129" s="10">
        <f t="shared" si="19"/>
        <v>3.3290000000000002</v>
      </c>
      <c r="P129" s="10">
        <f t="shared" si="19"/>
        <v>3.6819999999999999</v>
      </c>
      <c r="Q129" s="10">
        <f t="shared" si="19"/>
        <v>0</v>
      </c>
      <c r="R129" s="10">
        <f t="shared" si="19"/>
        <v>3.0649999999999999</v>
      </c>
      <c r="S129" s="10">
        <f t="shared" si="19"/>
        <v>0</v>
      </c>
      <c r="T129" s="10">
        <f t="shared" si="19"/>
        <v>2.6240000000000001</v>
      </c>
      <c r="U129" s="10">
        <f t="shared" si="19"/>
        <v>0</v>
      </c>
      <c r="V129" s="10">
        <f t="shared" si="19"/>
        <v>3.895</v>
      </c>
      <c r="W129" s="10">
        <f t="shared" si="19"/>
        <v>3.278</v>
      </c>
      <c r="X129" s="10">
        <f t="shared" si="19"/>
        <v>0</v>
      </c>
      <c r="Y129" s="10">
        <f t="shared" si="19"/>
        <v>3.9319999999999999</v>
      </c>
      <c r="Z129" s="10">
        <f t="shared" si="19"/>
        <v>0</v>
      </c>
      <c r="AA129" s="10">
        <f t="shared" si="19"/>
        <v>4.3570000000000002</v>
      </c>
      <c r="AB129" s="10">
        <f t="shared" si="19"/>
        <v>5.0430000000000001</v>
      </c>
      <c r="AC129" s="10">
        <f t="shared" si="19"/>
        <v>3</v>
      </c>
      <c r="AD129" s="10">
        <f t="shared" si="19"/>
        <v>3.714</v>
      </c>
      <c r="AE129" s="10">
        <f t="shared" si="19"/>
        <v>4.1349999999999998</v>
      </c>
      <c r="AF129" s="10">
        <f t="shared" si="19"/>
        <v>0</v>
      </c>
    </row>
    <row r="130" spans="1:32">
      <c r="A130" s="10" t="s">
        <v>145</v>
      </c>
      <c r="B130" s="61" t="s">
        <v>283</v>
      </c>
      <c r="C130" s="10">
        <f t="shared" si="20"/>
        <v>4.7850000000000001</v>
      </c>
      <c r="D130" s="10">
        <f t="shared" si="19"/>
        <v>2.2650000000000001</v>
      </c>
      <c r="E130" s="10">
        <f t="shared" si="19"/>
        <v>3.5329999999999999</v>
      </c>
      <c r="F130" s="10">
        <f t="shared" si="19"/>
        <v>4.0640000000000001</v>
      </c>
      <c r="G130" s="10">
        <f t="shared" si="19"/>
        <v>3.2410000000000001</v>
      </c>
      <c r="H130" s="10">
        <f t="shared" si="19"/>
        <v>0</v>
      </c>
      <c r="I130" s="10">
        <f t="shared" si="19"/>
        <v>2.6680000000000001</v>
      </c>
      <c r="J130" s="10">
        <f t="shared" si="19"/>
        <v>3.5510000000000002</v>
      </c>
      <c r="K130" s="10">
        <f t="shared" si="19"/>
        <v>4.2210000000000001</v>
      </c>
      <c r="L130" s="10">
        <f t="shared" si="19"/>
        <v>0</v>
      </c>
      <c r="M130" s="10">
        <f t="shared" si="19"/>
        <v>0</v>
      </c>
      <c r="N130" s="10">
        <f t="shared" si="19"/>
        <v>4.4139999999999997</v>
      </c>
      <c r="O130" s="10">
        <f t="shared" si="19"/>
        <v>3.0390000000000001</v>
      </c>
      <c r="P130" s="10">
        <f t="shared" si="19"/>
        <v>2.7589999999999999</v>
      </c>
      <c r="Q130" s="10">
        <f t="shared" si="19"/>
        <v>0</v>
      </c>
      <c r="R130" s="10">
        <f t="shared" si="19"/>
        <v>3.6139999999999999</v>
      </c>
      <c r="S130" s="10">
        <f t="shared" si="19"/>
        <v>3.6819999999999999</v>
      </c>
      <c r="T130" s="10">
        <f t="shared" si="19"/>
        <v>3.3340000000000001</v>
      </c>
      <c r="U130" s="10">
        <f t="shared" si="19"/>
        <v>3.9550000000000001</v>
      </c>
      <c r="V130" s="10">
        <f t="shared" si="19"/>
        <v>3.6440000000000001</v>
      </c>
      <c r="W130" s="10">
        <f t="shared" si="19"/>
        <v>3.4780000000000002</v>
      </c>
      <c r="X130" s="10">
        <f t="shared" si="19"/>
        <v>4.7990000000000004</v>
      </c>
      <c r="Y130" s="10">
        <f t="shared" si="19"/>
        <v>2.6890000000000001</v>
      </c>
      <c r="Z130" s="10">
        <f t="shared" si="19"/>
        <v>0</v>
      </c>
      <c r="AA130" s="10">
        <f t="shared" si="19"/>
        <v>3.6669999999999998</v>
      </c>
      <c r="AB130" s="10">
        <f t="shared" si="19"/>
        <v>4.57</v>
      </c>
      <c r="AC130" s="10">
        <f t="shared" si="19"/>
        <v>2.7280000000000002</v>
      </c>
      <c r="AD130" s="10">
        <f t="shared" si="19"/>
        <v>2.4940000000000002</v>
      </c>
      <c r="AE130" s="10">
        <f t="shared" si="19"/>
        <v>4.423</v>
      </c>
      <c r="AF130" s="10">
        <f t="shared" si="19"/>
        <v>0</v>
      </c>
    </row>
    <row r="131" spans="1:32">
      <c r="A131" s="10" t="s">
        <v>145</v>
      </c>
      <c r="B131" s="61" t="s">
        <v>284</v>
      </c>
      <c r="C131" s="10">
        <f t="shared" si="20"/>
        <v>2.972</v>
      </c>
      <c r="D131" s="10">
        <f t="shared" si="19"/>
        <v>2.9159999999999999</v>
      </c>
      <c r="E131" s="10">
        <f t="shared" si="19"/>
        <v>2.734</v>
      </c>
      <c r="F131" s="10">
        <f t="shared" si="19"/>
        <v>4.5739999999999998</v>
      </c>
      <c r="G131" s="10">
        <f t="shared" si="19"/>
        <v>2.9830000000000001</v>
      </c>
      <c r="H131" s="10">
        <f t="shared" si="19"/>
        <v>2.6680000000000001</v>
      </c>
      <c r="I131" s="10">
        <f t="shared" si="19"/>
        <v>0</v>
      </c>
      <c r="J131" s="10">
        <f t="shared" si="19"/>
        <v>3.0659999999999998</v>
      </c>
      <c r="K131" s="10">
        <f t="shared" si="19"/>
        <v>4.3419999999999996</v>
      </c>
      <c r="L131" s="10">
        <f t="shared" si="19"/>
        <v>4.7789999999999999</v>
      </c>
      <c r="M131" s="10">
        <f t="shared" si="19"/>
        <v>4.9240000000000004</v>
      </c>
      <c r="N131" s="10">
        <f t="shared" si="19"/>
        <v>4.8230000000000004</v>
      </c>
      <c r="O131" s="10">
        <f t="shared" si="19"/>
        <v>3.6080000000000001</v>
      </c>
      <c r="P131" s="10">
        <f t="shared" si="19"/>
        <v>3.5739999999999998</v>
      </c>
      <c r="Q131" s="10">
        <f t="shared" si="19"/>
        <v>4.3490000000000002</v>
      </c>
      <c r="R131" s="10">
        <f t="shared" si="19"/>
        <v>3.823</v>
      </c>
      <c r="S131" s="10">
        <f t="shared" si="19"/>
        <v>3.9540000000000002</v>
      </c>
      <c r="T131" s="10">
        <f t="shared" si="19"/>
        <v>2.5419999999999998</v>
      </c>
      <c r="U131" s="10">
        <f t="shared" si="19"/>
        <v>4.149</v>
      </c>
      <c r="V131" s="10">
        <f t="shared" si="19"/>
        <v>4.1470000000000002</v>
      </c>
      <c r="W131" s="10">
        <f t="shared" si="19"/>
        <v>2.5920000000000001</v>
      </c>
      <c r="X131" s="10">
        <f t="shared" si="19"/>
        <v>4.6319999999999997</v>
      </c>
      <c r="Y131" s="10">
        <f t="shared" si="19"/>
        <v>3.27</v>
      </c>
      <c r="Z131" s="10">
        <f t="shared" si="19"/>
        <v>0</v>
      </c>
      <c r="AA131" s="10">
        <f t="shared" si="19"/>
        <v>4.2640000000000002</v>
      </c>
      <c r="AB131" s="10">
        <f t="shared" si="19"/>
        <v>4.4400000000000004</v>
      </c>
      <c r="AC131" s="10">
        <f t="shared" si="19"/>
        <v>3.29</v>
      </c>
      <c r="AD131" s="10">
        <f t="shared" si="19"/>
        <v>3.4140000000000001</v>
      </c>
      <c r="AE131" s="10">
        <f t="shared" si="19"/>
        <v>3.8650000000000002</v>
      </c>
      <c r="AF131" s="10">
        <f t="shared" si="19"/>
        <v>0</v>
      </c>
    </row>
    <row r="132" spans="1:32">
      <c r="A132" s="10" t="s">
        <v>145</v>
      </c>
      <c r="B132" s="61" t="s">
        <v>285</v>
      </c>
      <c r="C132" s="10">
        <f t="shared" si="20"/>
        <v>4.968</v>
      </c>
      <c r="D132" s="10">
        <f t="shared" si="19"/>
        <v>3.8860000000000001</v>
      </c>
      <c r="E132" s="10">
        <f t="shared" si="19"/>
        <v>3.3879999999999999</v>
      </c>
      <c r="F132" s="10">
        <f t="shared" si="19"/>
        <v>0</v>
      </c>
      <c r="G132" s="10">
        <f t="shared" si="19"/>
        <v>3.972</v>
      </c>
      <c r="H132" s="10">
        <f t="shared" si="19"/>
        <v>3.5510000000000002</v>
      </c>
      <c r="I132" s="10">
        <f t="shared" si="19"/>
        <v>3.0659999999999998</v>
      </c>
      <c r="J132" s="10">
        <f t="shared" si="19"/>
        <v>0</v>
      </c>
      <c r="K132" s="10">
        <f t="shared" si="19"/>
        <v>3.895</v>
      </c>
      <c r="L132" s="10">
        <f t="shared" si="19"/>
        <v>0</v>
      </c>
      <c r="M132" s="10">
        <f t="shared" si="19"/>
        <v>4.3650000000000002</v>
      </c>
      <c r="N132" s="10">
        <f t="shared" si="19"/>
        <v>0</v>
      </c>
      <c r="O132" s="10">
        <f t="shared" si="19"/>
        <v>4.3600000000000003</v>
      </c>
      <c r="P132" s="10">
        <f t="shared" si="19"/>
        <v>4.1890000000000001</v>
      </c>
      <c r="Q132" s="10">
        <f t="shared" si="19"/>
        <v>4.2480000000000002</v>
      </c>
      <c r="R132" s="10">
        <f t="shared" si="19"/>
        <v>4.593</v>
      </c>
      <c r="S132" s="10">
        <f t="shared" si="19"/>
        <v>3.72</v>
      </c>
      <c r="T132" s="10">
        <f t="shared" si="19"/>
        <v>3.476</v>
      </c>
      <c r="U132" s="10">
        <f t="shared" si="19"/>
        <v>3.802</v>
      </c>
      <c r="V132" s="10">
        <f t="shared" si="19"/>
        <v>0</v>
      </c>
      <c r="W132" s="10">
        <f t="shared" si="19"/>
        <v>2.9809999999999999</v>
      </c>
      <c r="X132" s="10">
        <f t="shared" si="19"/>
        <v>3.403</v>
      </c>
      <c r="Y132" s="10">
        <f t="shared" si="19"/>
        <v>3.4910000000000001</v>
      </c>
      <c r="Z132" s="10">
        <f t="shared" si="19"/>
        <v>0</v>
      </c>
      <c r="AA132" s="10">
        <f t="shared" si="19"/>
        <v>4.6680000000000001</v>
      </c>
      <c r="AB132" s="10">
        <f t="shared" si="19"/>
        <v>2.7160000000000002</v>
      </c>
      <c r="AC132" s="10">
        <f t="shared" si="19"/>
        <v>4.149</v>
      </c>
      <c r="AD132" s="10">
        <f t="shared" si="19"/>
        <v>3.9769999999999999</v>
      </c>
      <c r="AE132" s="10">
        <f t="shared" si="19"/>
        <v>3.68</v>
      </c>
      <c r="AF132" s="10">
        <f t="shared" si="19"/>
        <v>0</v>
      </c>
    </row>
    <row r="133" spans="1:32">
      <c r="A133" s="10" t="s">
        <v>145</v>
      </c>
      <c r="B133" s="61" t="s">
        <v>308</v>
      </c>
      <c r="C133" s="10">
        <f t="shared" si="20"/>
        <v>0</v>
      </c>
      <c r="D133" s="10">
        <f t="shared" si="19"/>
        <v>0</v>
      </c>
      <c r="E133" s="10">
        <f t="shared" si="19"/>
        <v>0</v>
      </c>
      <c r="F133" s="10">
        <f t="shared" si="19"/>
        <v>0</v>
      </c>
      <c r="G133" s="10">
        <f t="shared" si="19"/>
        <v>0</v>
      </c>
      <c r="H133" s="10">
        <f t="shared" si="19"/>
        <v>4.2210000000000001</v>
      </c>
      <c r="I133" s="10">
        <f t="shared" si="19"/>
        <v>4.3419999999999996</v>
      </c>
      <c r="J133" s="10">
        <f t="shared" si="19"/>
        <v>3.895</v>
      </c>
      <c r="K133" s="10">
        <f t="shared" si="19"/>
        <v>0</v>
      </c>
      <c r="L133" s="10">
        <f t="shared" si="19"/>
        <v>0</v>
      </c>
      <c r="M133" s="10">
        <f t="shared" si="19"/>
        <v>3.2989999999999999</v>
      </c>
      <c r="N133" s="10">
        <f t="shared" si="19"/>
        <v>0</v>
      </c>
      <c r="O133" s="10">
        <f t="shared" si="19"/>
        <v>0</v>
      </c>
      <c r="P133" s="10">
        <f t="shared" si="19"/>
        <v>0</v>
      </c>
      <c r="Q133" s="10">
        <f t="shared" si="19"/>
        <v>0</v>
      </c>
      <c r="R133" s="10">
        <f t="shared" si="19"/>
        <v>0</v>
      </c>
      <c r="S133" s="10">
        <f t="shared" si="19"/>
        <v>2.673</v>
      </c>
      <c r="T133" s="10">
        <f t="shared" si="19"/>
        <v>0</v>
      </c>
      <c r="U133" s="10">
        <f t="shared" si="19"/>
        <v>2.077</v>
      </c>
      <c r="V133" s="10">
        <f t="shared" si="19"/>
        <v>0</v>
      </c>
      <c r="W133" s="10">
        <f t="shared" si="19"/>
        <v>0</v>
      </c>
      <c r="X133" s="10">
        <f t="shared" si="19"/>
        <v>3.7410000000000001</v>
      </c>
      <c r="Y133" s="10">
        <f t="shared" si="19"/>
        <v>3.637</v>
      </c>
      <c r="Z133" s="10">
        <f t="shared" si="19"/>
        <v>0</v>
      </c>
      <c r="AA133" s="10">
        <f t="shared" si="19"/>
        <v>0</v>
      </c>
      <c r="AB133" s="10">
        <f t="shared" si="19"/>
        <v>3.327</v>
      </c>
      <c r="AC133" s="10">
        <f t="shared" si="19"/>
        <v>0</v>
      </c>
      <c r="AD133" s="10">
        <f t="shared" si="19"/>
        <v>4.1970000000000001</v>
      </c>
      <c r="AE133" s="10">
        <f t="shared" si="19"/>
        <v>0</v>
      </c>
      <c r="AF133" s="10">
        <f t="shared" si="19"/>
        <v>0</v>
      </c>
    </row>
    <row r="134" spans="1:32">
      <c r="A134" s="10" t="s">
        <v>145</v>
      </c>
      <c r="B134" s="61" t="s">
        <v>286</v>
      </c>
      <c r="C134" s="10">
        <f t="shared" si="20"/>
        <v>2.1720000000000002</v>
      </c>
      <c r="D134" s="10">
        <f t="shared" si="19"/>
        <v>4.7969999999999997</v>
      </c>
      <c r="E134" s="10">
        <f t="shared" si="19"/>
        <v>4.4020000000000001</v>
      </c>
      <c r="F134" s="10">
        <f t="shared" si="19"/>
        <v>0</v>
      </c>
      <c r="G134" s="10">
        <f t="shared" si="19"/>
        <v>4.2350000000000003</v>
      </c>
      <c r="H134" s="10">
        <f t="shared" si="19"/>
        <v>0</v>
      </c>
      <c r="I134" s="10">
        <f t="shared" si="19"/>
        <v>4.7789999999999999</v>
      </c>
      <c r="J134" s="10">
        <f t="shared" si="19"/>
        <v>0</v>
      </c>
      <c r="K134" s="10">
        <f t="shared" si="19"/>
        <v>0</v>
      </c>
      <c r="L134" s="10">
        <f t="shared" si="19"/>
        <v>0</v>
      </c>
      <c r="M134" s="10">
        <f t="shared" si="19"/>
        <v>0</v>
      </c>
      <c r="N134" s="10">
        <f t="shared" si="19"/>
        <v>0</v>
      </c>
      <c r="O134" s="10">
        <f t="shared" si="19"/>
        <v>4.8940000000000001</v>
      </c>
      <c r="P134" s="10">
        <f t="shared" si="19"/>
        <v>0</v>
      </c>
      <c r="Q134" s="10">
        <f t="shared" si="19"/>
        <v>4.601</v>
      </c>
      <c r="R134" s="10">
        <f t="shared" si="19"/>
        <v>4.423</v>
      </c>
      <c r="S134" s="10">
        <f t="shared" si="19"/>
        <v>0</v>
      </c>
      <c r="T134" s="10">
        <f t="shared" si="19"/>
        <v>4.3780000000000001</v>
      </c>
      <c r="U134" s="10">
        <f t="shared" si="19"/>
        <v>0</v>
      </c>
      <c r="V134" s="10">
        <f t="shared" si="19"/>
        <v>0</v>
      </c>
      <c r="W134" s="10">
        <f t="shared" si="19"/>
        <v>4.6429999999999998</v>
      </c>
      <c r="X134" s="10">
        <f t="shared" si="19"/>
        <v>0</v>
      </c>
      <c r="Y134" s="10">
        <f t="shared" si="19"/>
        <v>0</v>
      </c>
      <c r="Z134" s="10">
        <f t="shared" si="19"/>
        <v>2.774</v>
      </c>
      <c r="AA134" s="10">
        <f t="shared" si="19"/>
        <v>0</v>
      </c>
      <c r="AB134" s="10">
        <f t="shared" si="19"/>
        <v>0</v>
      </c>
      <c r="AC134" s="10">
        <f t="shared" si="19"/>
        <v>4.7880000000000003</v>
      </c>
      <c r="AD134" s="10">
        <f t="shared" si="19"/>
        <v>0</v>
      </c>
      <c r="AE134" s="10">
        <f t="shared" si="19"/>
        <v>4.6879999999999997</v>
      </c>
      <c r="AF134" s="10">
        <f t="shared" si="19"/>
        <v>0</v>
      </c>
    </row>
    <row r="135" spans="1:32">
      <c r="A135" s="10" t="s">
        <v>145</v>
      </c>
      <c r="B135" s="61" t="s">
        <v>287</v>
      </c>
      <c r="C135" s="10">
        <f t="shared" si="20"/>
        <v>0</v>
      </c>
      <c r="D135" s="10">
        <f t="shared" si="19"/>
        <v>0</v>
      </c>
      <c r="E135" s="10">
        <f t="shared" si="19"/>
        <v>0</v>
      </c>
      <c r="F135" s="10">
        <f t="shared" si="19"/>
        <v>0</v>
      </c>
      <c r="G135" s="10">
        <f t="shared" si="19"/>
        <v>0</v>
      </c>
      <c r="H135" s="10">
        <f t="shared" si="19"/>
        <v>0</v>
      </c>
      <c r="I135" s="10">
        <f t="shared" si="19"/>
        <v>4.9240000000000004</v>
      </c>
      <c r="J135" s="10">
        <f t="shared" si="19"/>
        <v>4.3650000000000002</v>
      </c>
      <c r="K135" s="10">
        <f t="shared" si="19"/>
        <v>3.2989999999999999</v>
      </c>
      <c r="L135" s="10">
        <f t="shared" si="19"/>
        <v>0</v>
      </c>
      <c r="M135" s="10">
        <f t="shared" ref="D135:AF144" si="21">M105</f>
        <v>0</v>
      </c>
      <c r="N135" s="10">
        <f t="shared" si="21"/>
        <v>0</v>
      </c>
      <c r="O135" s="10">
        <f t="shared" si="21"/>
        <v>0</v>
      </c>
      <c r="P135" s="10">
        <f t="shared" si="21"/>
        <v>0</v>
      </c>
      <c r="Q135" s="10">
        <f t="shared" si="21"/>
        <v>0</v>
      </c>
      <c r="R135" s="10">
        <f t="shared" si="21"/>
        <v>0</v>
      </c>
      <c r="S135" s="10">
        <f t="shared" si="21"/>
        <v>3.9710000000000001</v>
      </c>
      <c r="T135" s="10">
        <f t="shared" si="21"/>
        <v>0</v>
      </c>
      <c r="U135" s="10">
        <f t="shared" si="21"/>
        <v>3.6840000000000002</v>
      </c>
      <c r="V135" s="10">
        <f t="shared" si="21"/>
        <v>0</v>
      </c>
      <c r="W135" s="10">
        <f t="shared" si="21"/>
        <v>0</v>
      </c>
      <c r="X135" s="10">
        <f t="shared" si="21"/>
        <v>3.9289999999999998</v>
      </c>
      <c r="Y135" s="10">
        <f t="shared" si="21"/>
        <v>4.54</v>
      </c>
      <c r="Z135" s="10">
        <f t="shared" si="21"/>
        <v>0</v>
      </c>
      <c r="AA135" s="10">
        <f t="shared" si="21"/>
        <v>0</v>
      </c>
      <c r="AB135" s="10">
        <f t="shared" si="21"/>
        <v>2.9860000000000002</v>
      </c>
      <c r="AC135" s="10">
        <f t="shared" si="21"/>
        <v>0</v>
      </c>
      <c r="AD135" s="10">
        <f t="shared" si="21"/>
        <v>0</v>
      </c>
      <c r="AE135" s="10">
        <f t="shared" si="21"/>
        <v>0</v>
      </c>
      <c r="AF135" s="10">
        <f t="shared" si="21"/>
        <v>0</v>
      </c>
    </row>
    <row r="136" spans="1:32">
      <c r="A136" s="10" t="s">
        <v>145</v>
      </c>
      <c r="B136" s="61" t="s">
        <v>288</v>
      </c>
      <c r="C136" s="10">
        <f t="shared" si="20"/>
        <v>0</v>
      </c>
      <c r="D136" s="10">
        <f t="shared" si="21"/>
        <v>4.58</v>
      </c>
      <c r="E136" s="10">
        <f t="shared" si="21"/>
        <v>2.419</v>
      </c>
      <c r="F136" s="10">
        <f t="shared" si="21"/>
        <v>0</v>
      </c>
      <c r="G136" s="10">
        <f t="shared" si="21"/>
        <v>2.5739999999999998</v>
      </c>
      <c r="H136" s="10">
        <f t="shared" si="21"/>
        <v>4.7850000000000001</v>
      </c>
      <c r="I136" s="10">
        <f t="shared" si="21"/>
        <v>2.972</v>
      </c>
      <c r="J136" s="10">
        <f t="shared" si="21"/>
        <v>4.968</v>
      </c>
      <c r="K136" s="10">
        <f t="shared" si="21"/>
        <v>0</v>
      </c>
      <c r="L136" s="10">
        <f t="shared" si="21"/>
        <v>2.1720000000000002</v>
      </c>
      <c r="M136" s="10">
        <f t="shared" si="21"/>
        <v>0</v>
      </c>
      <c r="N136" s="10">
        <f t="shared" si="21"/>
        <v>5.4</v>
      </c>
      <c r="O136" s="10">
        <f t="shared" si="21"/>
        <v>4.7220000000000004</v>
      </c>
      <c r="P136" s="10">
        <f t="shared" si="21"/>
        <v>5.0220000000000002</v>
      </c>
      <c r="Q136" s="10">
        <f t="shared" si="21"/>
        <v>4.3470000000000004</v>
      </c>
      <c r="R136" s="10">
        <f t="shared" si="21"/>
        <v>3.9289999999999998</v>
      </c>
      <c r="S136" s="10">
        <f t="shared" si="21"/>
        <v>0</v>
      </c>
      <c r="T136" s="10">
        <f t="shared" si="21"/>
        <v>4.0640000000000001</v>
      </c>
      <c r="U136" s="10">
        <f t="shared" si="21"/>
        <v>0</v>
      </c>
      <c r="V136" s="10">
        <f t="shared" si="21"/>
        <v>4.99</v>
      </c>
      <c r="W136" s="10">
        <f t="shared" si="21"/>
        <v>4.3479999999999999</v>
      </c>
      <c r="X136" s="10">
        <f t="shared" si="21"/>
        <v>5.8659999999999997</v>
      </c>
      <c r="Y136" s="10">
        <f t="shared" si="21"/>
        <v>5.1959999999999997</v>
      </c>
      <c r="Z136" s="10">
        <f t="shared" si="21"/>
        <v>3.1120000000000001</v>
      </c>
      <c r="AA136" s="10">
        <f t="shared" si="21"/>
        <v>5.4509999999999996</v>
      </c>
      <c r="AB136" s="10">
        <f t="shared" si="21"/>
        <v>5.7960000000000003</v>
      </c>
      <c r="AC136" s="10">
        <f t="shared" si="21"/>
        <v>4.5919999999999996</v>
      </c>
      <c r="AD136" s="10">
        <f t="shared" si="21"/>
        <v>5.0670000000000002</v>
      </c>
      <c r="AE136" s="10">
        <f t="shared" si="21"/>
        <v>3.198</v>
      </c>
      <c r="AF136" s="10">
        <f t="shared" si="21"/>
        <v>0</v>
      </c>
    </row>
    <row r="137" spans="1:32">
      <c r="A137" s="10" t="s">
        <v>145</v>
      </c>
      <c r="B137" s="61" t="s">
        <v>289</v>
      </c>
      <c r="C137" s="10">
        <f t="shared" si="20"/>
        <v>5.4</v>
      </c>
      <c r="D137" s="10">
        <f t="shared" si="21"/>
        <v>4.2119999999999997</v>
      </c>
      <c r="E137" s="10">
        <f t="shared" si="21"/>
        <v>0</v>
      </c>
      <c r="F137" s="10">
        <f t="shared" si="21"/>
        <v>2.8580000000000001</v>
      </c>
      <c r="G137" s="10">
        <f t="shared" si="21"/>
        <v>0</v>
      </c>
      <c r="H137" s="10">
        <f t="shared" si="21"/>
        <v>4.4139999999999997</v>
      </c>
      <c r="I137" s="10">
        <f t="shared" si="21"/>
        <v>4.8230000000000004</v>
      </c>
      <c r="J137" s="10">
        <f t="shared" si="21"/>
        <v>0</v>
      </c>
      <c r="K137" s="10">
        <f t="shared" si="21"/>
        <v>0</v>
      </c>
      <c r="L137" s="10">
        <f t="shared" si="21"/>
        <v>0</v>
      </c>
      <c r="M137" s="10">
        <f t="shared" si="21"/>
        <v>0</v>
      </c>
      <c r="N137" s="10">
        <f t="shared" si="21"/>
        <v>0</v>
      </c>
      <c r="O137" s="10">
        <f t="shared" si="21"/>
        <v>3.698</v>
      </c>
      <c r="P137" s="10">
        <f t="shared" si="21"/>
        <v>3.8450000000000002</v>
      </c>
      <c r="Q137" s="10">
        <f t="shared" si="21"/>
        <v>0</v>
      </c>
      <c r="R137" s="10">
        <f t="shared" si="21"/>
        <v>3.9409999999999998</v>
      </c>
      <c r="S137" s="10">
        <f t="shared" si="21"/>
        <v>0</v>
      </c>
      <c r="T137" s="10">
        <f t="shared" si="21"/>
        <v>0</v>
      </c>
      <c r="U137" s="10">
        <f t="shared" si="21"/>
        <v>0</v>
      </c>
      <c r="V137" s="10">
        <f t="shared" si="21"/>
        <v>3.0219999999999998</v>
      </c>
      <c r="W137" s="10">
        <f t="shared" si="21"/>
        <v>0</v>
      </c>
      <c r="X137" s="10">
        <f t="shared" si="21"/>
        <v>0</v>
      </c>
      <c r="Y137" s="10">
        <f t="shared" si="21"/>
        <v>4.6020000000000003</v>
      </c>
      <c r="Z137" s="10">
        <f t="shared" si="21"/>
        <v>0</v>
      </c>
      <c r="AA137" s="10">
        <f t="shared" si="21"/>
        <v>3.5409999999999999</v>
      </c>
      <c r="AB137" s="10">
        <f t="shared" si="21"/>
        <v>0</v>
      </c>
      <c r="AC137" s="10">
        <f t="shared" si="21"/>
        <v>3.9790000000000001</v>
      </c>
      <c r="AD137" s="10">
        <f t="shared" si="21"/>
        <v>4.0979999999999999</v>
      </c>
      <c r="AE137" s="10">
        <f t="shared" si="21"/>
        <v>0</v>
      </c>
      <c r="AF137" s="10">
        <f t="shared" si="21"/>
        <v>3.7120000000000002</v>
      </c>
    </row>
    <row r="138" spans="1:32">
      <c r="A138" s="10" t="s">
        <v>145</v>
      </c>
      <c r="B138" s="61" t="s">
        <v>290</v>
      </c>
      <c r="C138" s="10">
        <f t="shared" si="20"/>
        <v>4.7220000000000004</v>
      </c>
      <c r="D138" s="10">
        <f t="shared" si="21"/>
        <v>2.52</v>
      </c>
      <c r="E138" s="10">
        <f t="shared" si="21"/>
        <v>4.0460000000000003</v>
      </c>
      <c r="F138" s="10">
        <f t="shared" si="21"/>
        <v>3.5049999999999999</v>
      </c>
      <c r="G138" s="10">
        <f t="shared" si="21"/>
        <v>3.3290000000000002</v>
      </c>
      <c r="H138" s="10">
        <f t="shared" si="21"/>
        <v>3.0390000000000001</v>
      </c>
      <c r="I138" s="10">
        <f t="shared" si="21"/>
        <v>3.6080000000000001</v>
      </c>
      <c r="J138" s="10">
        <f t="shared" si="21"/>
        <v>4.3600000000000003</v>
      </c>
      <c r="K138" s="10">
        <f t="shared" si="21"/>
        <v>0</v>
      </c>
      <c r="L138" s="10">
        <f t="shared" si="21"/>
        <v>4.8940000000000001</v>
      </c>
      <c r="M138" s="10">
        <f t="shared" si="21"/>
        <v>0</v>
      </c>
      <c r="N138" s="10">
        <f t="shared" si="21"/>
        <v>3.698</v>
      </c>
      <c r="O138" s="10">
        <f t="shared" si="21"/>
        <v>0</v>
      </c>
      <c r="P138" s="10">
        <f t="shared" si="21"/>
        <v>2.5179999999999998</v>
      </c>
      <c r="Q138" s="10">
        <f t="shared" si="21"/>
        <v>0</v>
      </c>
      <c r="R138" s="10">
        <f t="shared" si="21"/>
        <v>2.7909999999999999</v>
      </c>
      <c r="S138" s="10">
        <f t="shared" si="21"/>
        <v>4.3170000000000002</v>
      </c>
      <c r="T138" s="10">
        <f t="shared" si="21"/>
        <v>3.83</v>
      </c>
      <c r="U138" s="10">
        <f t="shared" si="21"/>
        <v>0</v>
      </c>
      <c r="V138" s="10">
        <f t="shared" si="21"/>
        <v>2.5409999999999999</v>
      </c>
      <c r="W138" s="10">
        <f t="shared" si="21"/>
        <v>4.1269999999999998</v>
      </c>
      <c r="X138" s="10">
        <f t="shared" si="21"/>
        <v>0</v>
      </c>
      <c r="Y138" s="10">
        <f t="shared" si="21"/>
        <v>3.6240000000000001</v>
      </c>
      <c r="Z138" s="10">
        <f t="shared" si="21"/>
        <v>0</v>
      </c>
      <c r="AA138" s="10">
        <f t="shared" si="21"/>
        <v>3.3580000000000001</v>
      </c>
      <c r="AB138" s="10">
        <f t="shared" si="21"/>
        <v>5.1689999999999996</v>
      </c>
      <c r="AC138" s="10">
        <f t="shared" si="21"/>
        <v>1.9330000000000001</v>
      </c>
      <c r="AD138" s="10">
        <f t="shared" si="21"/>
        <v>2.9</v>
      </c>
      <c r="AE138" s="10">
        <f t="shared" si="21"/>
        <v>0</v>
      </c>
      <c r="AF138" s="10">
        <f t="shared" si="21"/>
        <v>0</v>
      </c>
    </row>
    <row r="139" spans="1:32">
      <c r="A139" s="10" t="s">
        <v>145</v>
      </c>
      <c r="B139" s="61" t="s">
        <v>291</v>
      </c>
      <c r="C139" s="10">
        <f t="shared" si="20"/>
        <v>5.0220000000000002</v>
      </c>
      <c r="D139" s="10">
        <f t="shared" si="21"/>
        <v>2.718</v>
      </c>
      <c r="E139" s="10">
        <f t="shared" si="21"/>
        <v>4.1509999999999998</v>
      </c>
      <c r="F139" s="10">
        <f t="shared" si="21"/>
        <v>3.3460000000000001</v>
      </c>
      <c r="G139" s="10">
        <f t="shared" si="21"/>
        <v>3.6819999999999999</v>
      </c>
      <c r="H139" s="10">
        <f t="shared" si="21"/>
        <v>2.7589999999999999</v>
      </c>
      <c r="I139" s="10">
        <f t="shared" si="21"/>
        <v>3.5739999999999998</v>
      </c>
      <c r="J139" s="10">
        <f t="shared" si="21"/>
        <v>4.1890000000000001</v>
      </c>
      <c r="K139" s="10">
        <f t="shared" si="21"/>
        <v>0</v>
      </c>
      <c r="L139" s="10">
        <f t="shared" si="21"/>
        <v>0</v>
      </c>
      <c r="M139" s="10">
        <f t="shared" si="21"/>
        <v>0</v>
      </c>
      <c r="N139" s="10">
        <f t="shared" si="21"/>
        <v>3.8450000000000002</v>
      </c>
      <c r="O139" s="10">
        <f t="shared" si="21"/>
        <v>2.5179999999999998</v>
      </c>
      <c r="P139" s="10">
        <f t="shared" si="21"/>
        <v>0</v>
      </c>
      <c r="Q139" s="10">
        <f t="shared" si="21"/>
        <v>0</v>
      </c>
      <c r="R139" s="10">
        <f t="shared" si="21"/>
        <v>3.5089999999999999</v>
      </c>
      <c r="S139" s="10">
        <f t="shared" si="21"/>
        <v>3.867</v>
      </c>
      <c r="T139" s="10">
        <f t="shared" si="21"/>
        <v>3.9689999999999999</v>
      </c>
      <c r="U139" s="10">
        <f t="shared" si="21"/>
        <v>4.1449999999999996</v>
      </c>
      <c r="V139" s="10">
        <f t="shared" si="21"/>
        <v>2.9390000000000001</v>
      </c>
      <c r="W139" s="10">
        <f t="shared" si="21"/>
        <v>4.149</v>
      </c>
      <c r="X139" s="10">
        <f t="shared" si="21"/>
        <v>0</v>
      </c>
      <c r="Y139" s="10">
        <f t="shared" si="21"/>
        <v>3.0920000000000001</v>
      </c>
      <c r="Z139" s="10">
        <f t="shared" si="21"/>
        <v>0</v>
      </c>
      <c r="AA139" s="10">
        <f t="shared" si="21"/>
        <v>2.8540000000000001</v>
      </c>
      <c r="AB139" s="10">
        <f t="shared" si="21"/>
        <v>4.9189999999999996</v>
      </c>
      <c r="AC139" s="10">
        <f t="shared" si="21"/>
        <v>2.6320000000000001</v>
      </c>
      <c r="AD139" s="10">
        <f t="shared" si="21"/>
        <v>1.931</v>
      </c>
      <c r="AE139" s="10">
        <f t="shared" si="21"/>
        <v>0</v>
      </c>
      <c r="AF139" s="10">
        <f t="shared" si="21"/>
        <v>0</v>
      </c>
    </row>
    <row r="140" spans="1:32">
      <c r="A140" s="10" t="s">
        <v>145</v>
      </c>
      <c r="B140" s="61" t="s">
        <v>292</v>
      </c>
      <c r="C140" s="10">
        <f t="shared" si="20"/>
        <v>4.3470000000000004</v>
      </c>
      <c r="D140" s="10">
        <f t="shared" si="21"/>
        <v>0</v>
      </c>
      <c r="E140" s="10">
        <f t="shared" si="21"/>
        <v>3.806</v>
      </c>
      <c r="F140" s="10">
        <f t="shared" si="21"/>
        <v>0</v>
      </c>
      <c r="G140" s="10">
        <f t="shared" si="21"/>
        <v>0</v>
      </c>
      <c r="H140" s="10">
        <f t="shared" si="21"/>
        <v>0</v>
      </c>
      <c r="I140" s="10">
        <f t="shared" si="21"/>
        <v>4.3490000000000002</v>
      </c>
      <c r="J140" s="10">
        <f t="shared" si="21"/>
        <v>4.2480000000000002</v>
      </c>
      <c r="K140" s="10">
        <f t="shared" si="21"/>
        <v>0</v>
      </c>
      <c r="L140" s="10">
        <f t="shared" si="21"/>
        <v>4.601</v>
      </c>
      <c r="M140" s="10">
        <f t="shared" si="21"/>
        <v>0</v>
      </c>
      <c r="N140" s="10">
        <f t="shared" si="21"/>
        <v>0</v>
      </c>
      <c r="O140" s="10">
        <f t="shared" si="21"/>
        <v>0</v>
      </c>
      <c r="P140" s="10">
        <f t="shared" si="21"/>
        <v>0</v>
      </c>
      <c r="Q140" s="10">
        <f t="shared" si="21"/>
        <v>0</v>
      </c>
      <c r="R140" s="10">
        <f t="shared" si="21"/>
        <v>0</v>
      </c>
      <c r="S140" s="10">
        <f t="shared" si="21"/>
        <v>0</v>
      </c>
      <c r="T140" s="10">
        <f t="shared" si="21"/>
        <v>4.0179999999999998</v>
      </c>
      <c r="U140" s="10">
        <f t="shared" si="21"/>
        <v>0</v>
      </c>
      <c r="V140" s="10">
        <f t="shared" si="21"/>
        <v>0</v>
      </c>
      <c r="W140" s="10">
        <f t="shared" si="21"/>
        <v>3.82</v>
      </c>
      <c r="X140" s="10">
        <f t="shared" si="21"/>
        <v>4.9580000000000002</v>
      </c>
      <c r="Y140" s="10">
        <f t="shared" si="21"/>
        <v>0</v>
      </c>
      <c r="Z140" s="10">
        <f t="shared" si="21"/>
        <v>0</v>
      </c>
      <c r="AA140" s="10">
        <f t="shared" si="21"/>
        <v>0</v>
      </c>
      <c r="AB140" s="10">
        <f t="shared" si="21"/>
        <v>0</v>
      </c>
      <c r="AC140" s="10">
        <f t="shared" si="21"/>
        <v>0</v>
      </c>
      <c r="AD140" s="10">
        <f t="shared" si="21"/>
        <v>0</v>
      </c>
      <c r="AE140" s="10">
        <f t="shared" si="21"/>
        <v>2.6139999999999999</v>
      </c>
      <c r="AF140" s="10">
        <f t="shared" si="21"/>
        <v>0</v>
      </c>
    </row>
    <row r="141" spans="1:32">
      <c r="A141" s="10" t="s">
        <v>145</v>
      </c>
      <c r="B141" s="61" t="s">
        <v>293</v>
      </c>
      <c r="C141" s="10">
        <f t="shared" si="20"/>
        <v>3.9289999999999998</v>
      </c>
      <c r="D141" s="10">
        <f t="shared" si="21"/>
        <v>3.105</v>
      </c>
      <c r="E141" s="10">
        <f t="shared" si="21"/>
        <v>3.992</v>
      </c>
      <c r="F141" s="10">
        <f t="shared" si="21"/>
        <v>4.0460000000000003</v>
      </c>
      <c r="G141" s="10">
        <f t="shared" si="21"/>
        <v>3.0649999999999999</v>
      </c>
      <c r="H141" s="10">
        <f t="shared" si="21"/>
        <v>3.6139999999999999</v>
      </c>
      <c r="I141" s="10">
        <f t="shared" si="21"/>
        <v>3.823</v>
      </c>
      <c r="J141" s="10">
        <f t="shared" si="21"/>
        <v>4.593</v>
      </c>
      <c r="K141" s="10">
        <f t="shared" si="21"/>
        <v>0</v>
      </c>
      <c r="L141" s="10">
        <f t="shared" si="21"/>
        <v>4.423</v>
      </c>
      <c r="M141" s="10">
        <f t="shared" si="21"/>
        <v>0</v>
      </c>
      <c r="N141" s="10">
        <f t="shared" si="21"/>
        <v>3.9409999999999998</v>
      </c>
      <c r="O141" s="10">
        <f t="shared" si="21"/>
        <v>2.7909999999999999</v>
      </c>
      <c r="P141" s="10">
        <f t="shared" si="21"/>
        <v>3.5089999999999999</v>
      </c>
      <c r="Q141" s="10">
        <f t="shared" si="21"/>
        <v>0</v>
      </c>
      <c r="R141" s="10">
        <f t="shared" si="21"/>
        <v>0</v>
      </c>
      <c r="S141" s="10">
        <f t="shared" si="21"/>
        <v>0</v>
      </c>
      <c r="T141" s="10">
        <f t="shared" si="21"/>
        <v>3.7709999999999999</v>
      </c>
      <c r="U141" s="10">
        <f t="shared" si="21"/>
        <v>0</v>
      </c>
      <c r="V141" s="10">
        <f t="shared" si="21"/>
        <v>3.169</v>
      </c>
      <c r="W141" s="10">
        <f t="shared" si="21"/>
        <v>4.173</v>
      </c>
      <c r="X141" s="10">
        <f t="shared" si="21"/>
        <v>0</v>
      </c>
      <c r="Y141" s="10">
        <f t="shared" si="21"/>
        <v>4.1929999999999996</v>
      </c>
      <c r="Z141" s="10">
        <f t="shared" si="21"/>
        <v>0</v>
      </c>
      <c r="AA141" s="10">
        <f t="shared" si="21"/>
        <v>4.0570000000000004</v>
      </c>
      <c r="AB141" s="10">
        <f t="shared" si="21"/>
        <v>5.444</v>
      </c>
      <c r="AC141" s="10">
        <f t="shared" si="21"/>
        <v>2.7959999999999998</v>
      </c>
      <c r="AD141" s="10">
        <f t="shared" si="21"/>
        <v>3.722</v>
      </c>
      <c r="AE141" s="10">
        <f t="shared" si="21"/>
        <v>4.8360000000000003</v>
      </c>
      <c r="AF141" s="10">
        <f t="shared" si="21"/>
        <v>0</v>
      </c>
    </row>
    <row r="142" spans="1:32">
      <c r="A142" s="10" t="s">
        <v>145</v>
      </c>
      <c r="B142" s="61" t="s">
        <v>309</v>
      </c>
      <c r="C142" s="10">
        <f t="shared" si="20"/>
        <v>0</v>
      </c>
      <c r="D142" s="10">
        <f t="shared" si="21"/>
        <v>4.0759999999999996</v>
      </c>
      <c r="E142" s="10">
        <f t="shared" si="21"/>
        <v>0</v>
      </c>
      <c r="F142" s="10">
        <f t="shared" si="21"/>
        <v>0</v>
      </c>
      <c r="G142" s="10">
        <f t="shared" si="21"/>
        <v>0</v>
      </c>
      <c r="H142" s="10">
        <f t="shared" si="21"/>
        <v>3.6819999999999999</v>
      </c>
      <c r="I142" s="10">
        <f t="shared" si="21"/>
        <v>3.9540000000000002</v>
      </c>
      <c r="J142" s="10">
        <f t="shared" si="21"/>
        <v>3.72</v>
      </c>
      <c r="K142" s="10">
        <f t="shared" si="21"/>
        <v>2.673</v>
      </c>
      <c r="L142" s="10">
        <f t="shared" si="21"/>
        <v>0</v>
      </c>
      <c r="M142" s="10">
        <f t="shared" si="21"/>
        <v>3.9710000000000001</v>
      </c>
      <c r="N142" s="10">
        <f t="shared" si="21"/>
        <v>0</v>
      </c>
      <c r="O142" s="10">
        <f t="shared" si="21"/>
        <v>4.3170000000000002</v>
      </c>
      <c r="P142" s="10">
        <f t="shared" si="21"/>
        <v>3.867</v>
      </c>
      <c r="Q142" s="10">
        <f t="shared" si="21"/>
        <v>0</v>
      </c>
      <c r="R142" s="10">
        <f t="shared" si="21"/>
        <v>0</v>
      </c>
      <c r="S142" s="10">
        <f t="shared" si="21"/>
        <v>0</v>
      </c>
      <c r="T142" s="10">
        <f t="shared" si="21"/>
        <v>0</v>
      </c>
      <c r="U142" s="10">
        <f t="shared" si="21"/>
        <v>1.9710000000000001</v>
      </c>
      <c r="V142" s="10">
        <f t="shared" si="21"/>
        <v>0</v>
      </c>
      <c r="W142" s="10">
        <f t="shared" si="21"/>
        <v>4.2990000000000004</v>
      </c>
      <c r="X142" s="10">
        <f t="shared" si="21"/>
        <v>4.1619999999999999</v>
      </c>
      <c r="Y142" s="10">
        <f t="shared" si="21"/>
        <v>2.8849999999999998</v>
      </c>
      <c r="Z142" s="10">
        <f t="shared" si="21"/>
        <v>0</v>
      </c>
      <c r="AA142" s="10">
        <f t="shared" si="21"/>
        <v>4.0220000000000002</v>
      </c>
      <c r="AB142" s="10">
        <f t="shared" si="21"/>
        <v>3.8050000000000002</v>
      </c>
      <c r="AC142" s="10">
        <f t="shared" si="21"/>
        <v>4.2389999999999999</v>
      </c>
      <c r="AD142" s="10">
        <f t="shared" si="21"/>
        <v>3.5859999999999999</v>
      </c>
      <c r="AE142" s="10">
        <f t="shared" si="21"/>
        <v>0</v>
      </c>
      <c r="AF142" s="10">
        <f t="shared" si="21"/>
        <v>0</v>
      </c>
    </row>
    <row r="143" spans="1:32">
      <c r="A143" s="10" t="s">
        <v>145</v>
      </c>
      <c r="B143" s="61" t="s">
        <v>294</v>
      </c>
      <c r="C143" s="10">
        <f t="shared" ref="C143:C155" si="22">C113</f>
        <v>4.0640000000000001</v>
      </c>
      <c r="D143" s="10">
        <f t="shared" si="21"/>
        <v>3.2829999999999999</v>
      </c>
      <c r="E143" s="10">
        <f t="shared" si="21"/>
        <v>1.7809999999999999</v>
      </c>
      <c r="F143" s="10">
        <f t="shared" si="21"/>
        <v>0</v>
      </c>
      <c r="G143" s="10">
        <f t="shared" si="21"/>
        <v>2.6240000000000001</v>
      </c>
      <c r="H143" s="10">
        <f t="shared" si="21"/>
        <v>3.3340000000000001</v>
      </c>
      <c r="I143" s="10">
        <f t="shared" si="21"/>
        <v>2.5419999999999998</v>
      </c>
      <c r="J143" s="10">
        <f t="shared" si="21"/>
        <v>3.476</v>
      </c>
      <c r="K143" s="10">
        <f t="shared" si="21"/>
        <v>0</v>
      </c>
      <c r="L143" s="10">
        <f t="shared" si="21"/>
        <v>4.3780000000000001</v>
      </c>
      <c r="M143" s="10">
        <f t="shared" si="21"/>
        <v>0</v>
      </c>
      <c r="N143" s="10">
        <f t="shared" si="21"/>
        <v>0</v>
      </c>
      <c r="O143" s="10">
        <f t="shared" si="21"/>
        <v>3.83</v>
      </c>
      <c r="P143" s="10">
        <f t="shared" si="21"/>
        <v>3.9689999999999999</v>
      </c>
      <c r="Q143" s="10">
        <f t="shared" si="21"/>
        <v>4.0179999999999998</v>
      </c>
      <c r="R143" s="10">
        <f t="shared" si="21"/>
        <v>3.7709999999999999</v>
      </c>
      <c r="S143" s="10">
        <f t="shared" si="21"/>
        <v>0</v>
      </c>
      <c r="T143" s="10">
        <f t="shared" si="21"/>
        <v>0</v>
      </c>
      <c r="U143" s="10">
        <f t="shared" si="21"/>
        <v>0</v>
      </c>
      <c r="V143" s="10">
        <f t="shared" si="21"/>
        <v>0</v>
      </c>
      <c r="W143" s="10">
        <f t="shared" si="21"/>
        <v>2.351</v>
      </c>
      <c r="X143" s="10">
        <f t="shared" si="21"/>
        <v>4.87</v>
      </c>
      <c r="Y143" s="10">
        <f t="shared" si="21"/>
        <v>3.8809999999999998</v>
      </c>
      <c r="Z143" s="10">
        <f t="shared" si="21"/>
        <v>0</v>
      </c>
      <c r="AA143" s="10">
        <f t="shared" si="21"/>
        <v>0</v>
      </c>
      <c r="AB143" s="10">
        <f t="shared" si="21"/>
        <v>4.7320000000000002</v>
      </c>
      <c r="AC143" s="10">
        <f t="shared" si="21"/>
        <v>3.532</v>
      </c>
      <c r="AD143" s="10">
        <f t="shared" si="21"/>
        <v>3.899</v>
      </c>
      <c r="AE143" s="10">
        <f t="shared" si="21"/>
        <v>3.5659999999999998</v>
      </c>
      <c r="AF143" s="10">
        <f t="shared" si="21"/>
        <v>0</v>
      </c>
    </row>
    <row r="144" spans="1:32">
      <c r="A144" s="10" t="s">
        <v>145</v>
      </c>
      <c r="B144" s="61" t="s">
        <v>310</v>
      </c>
      <c r="C144" s="10">
        <f t="shared" si="22"/>
        <v>0</v>
      </c>
      <c r="D144" s="10">
        <f t="shared" si="21"/>
        <v>4.319</v>
      </c>
      <c r="E144" s="10">
        <f t="shared" si="21"/>
        <v>0</v>
      </c>
      <c r="F144" s="10">
        <f t="shared" si="21"/>
        <v>0</v>
      </c>
      <c r="G144" s="10">
        <f t="shared" ref="D144:AF152" si="23">G114</f>
        <v>0</v>
      </c>
      <c r="H144" s="10">
        <f t="shared" si="23"/>
        <v>3.9550000000000001</v>
      </c>
      <c r="I144" s="10">
        <f t="shared" si="23"/>
        <v>4.149</v>
      </c>
      <c r="J144" s="10">
        <f t="shared" si="23"/>
        <v>3.802</v>
      </c>
      <c r="K144" s="10">
        <f t="shared" si="23"/>
        <v>2.077</v>
      </c>
      <c r="L144" s="10">
        <f t="shared" si="23"/>
        <v>0</v>
      </c>
      <c r="M144" s="10">
        <f t="shared" si="23"/>
        <v>3.6840000000000002</v>
      </c>
      <c r="N144" s="10">
        <f t="shared" si="23"/>
        <v>0</v>
      </c>
      <c r="O144" s="10">
        <f t="shared" si="23"/>
        <v>0</v>
      </c>
      <c r="P144" s="10">
        <f t="shared" si="23"/>
        <v>4.1449999999999996</v>
      </c>
      <c r="Q144" s="10">
        <f t="shared" si="23"/>
        <v>0</v>
      </c>
      <c r="R144" s="10">
        <f t="shared" si="23"/>
        <v>0</v>
      </c>
      <c r="S144" s="10">
        <f t="shared" si="23"/>
        <v>1.9710000000000001</v>
      </c>
      <c r="T144" s="10">
        <f t="shared" si="23"/>
        <v>0</v>
      </c>
      <c r="U144" s="10">
        <f t="shared" si="23"/>
        <v>0</v>
      </c>
      <c r="V144" s="10">
        <f t="shared" si="23"/>
        <v>0</v>
      </c>
      <c r="W144" s="10">
        <f t="shared" si="23"/>
        <v>4.4279999999999999</v>
      </c>
      <c r="X144" s="10">
        <f t="shared" si="23"/>
        <v>3.9790000000000001</v>
      </c>
      <c r="Y144" s="10">
        <f t="shared" si="23"/>
        <v>3.2749999999999999</v>
      </c>
      <c r="Z144" s="10">
        <f t="shared" si="23"/>
        <v>0</v>
      </c>
      <c r="AA144" s="10">
        <f t="shared" si="23"/>
        <v>4.2649999999999997</v>
      </c>
      <c r="AB144" s="10">
        <f t="shared" si="23"/>
        <v>3.5950000000000002</v>
      </c>
      <c r="AC144" s="10">
        <f t="shared" si="23"/>
        <v>0</v>
      </c>
      <c r="AD144" s="10">
        <f t="shared" si="23"/>
        <v>3.8929999999999998</v>
      </c>
      <c r="AE144" s="10">
        <f t="shared" si="23"/>
        <v>0</v>
      </c>
      <c r="AF144" s="10">
        <f t="shared" si="23"/>
        <v>0</v>
      </c>
    </row>
    <row r="145" spans="1:32">
      <c r="A145" s="10" t="s">
        <v>145</v>
      </c>
      <c r="B145" s="61" t="s">
        <v>297</v>
      </c>
      <c r="C145" s="10">
        <f t="shared" si="22"/>
        <v>4.3479999999999999</v>
      </c>
      <c r="D145" s="10">
        <f t="shared" si="23"/>
        <v>3.5990000000000002</v>
      </c>
      <c r="E145" s="10">
        <f t="shared" si="23"/>
        <v>2.0209999999999999</v>
      </c>
      <c r="F145" s="10">
        <f t="shared" si="23"/>
        <v>0</v>
      </c>
      <c r="G145" s="10">
        <f t="shared" si="23"/>
        <v>3.278</v>
      </c>
      <c r="H145" s="10">
        <f t="shared" si="23"/>
        <v>3.4780000000000002</v>
      </c>
      <c r="I145" s="10">
        <f t="shared" si="23"/>
        <v>2.5920000000000001</v>
      </c>
      <c r="J145" s="10">
        <f t="shared" si="23"/>
        <v>2.9809999999999999</v>
      </c>
      <c r="K145" s="10">
        <f t="shared" si="23"/>
        <v>0</v>
      </c>
      <c r="L145" s="10">
        <f t="shared" si="23"/>
        <v>4.6429999999999998</v>
      </c>
      <c r="M145" s="10">
        <f t="shared" si="23"/>
        <v>0</v>
      </c>
      <c r="N145" s="10">
        <f t="shared" si="23"/>
        <v>0</v>
      </c>
      <c r="O145" s="10">
        <f t="shared" si="23"/>
        <v>4.1269999999999998</v>
      </c>
      <c r="P145" s="10">
        <f t="shared" si="23"/>
        <v>4.149</v>
      </c>
      <c r="Q145" s="10">
        <f t="shared" si="23"/>
        <v>3.82</v>
      </c>
      <c r="R145" s="10">
        <f t="shared" si="23"/>
        <v>4.173</v>
      </c>
      <c r="S145" s="10">
        <f t="shared" si="23"/>
        <v>4.2990000000000004</v>
      </c>
      <c r="T145" s="10">
        <f t="shared" si="23"/>
        <v>2.351</v>
      </c>
      <c r="U145" s="10">
        <f t="shared" si="23"/>
        <v>4.4279999999999999</v>
      </c>
      <c r="V145" s="10">
        <f t="shared" si="23"/>
        <v>0</v>
      </c>
      <c r="W145" s="10">
        <f t="shared" si="23"/>
        <v>0</v>
      </c>
      <c r="X145" s="10">
        <f t="shared" si="23"/>
        <v>4.5570000000000004</v>
      </c>
      <c r="Y145" s="10">
        <f t="shared" si="23"/>
        <v>3.8380000000000001</v>
      </c>
      <c r="Z145" s="10">
        <f t="shared" si="23"/>
        <v>0</v>
      </c>
      <c r="AA145" s="10">
        <f t="shared" si="23"/>
        <v>0</v>
      </c>
      <c r="AB145" s="10">
        <f t="shared" si="23"/>
        <v>4.4260000000000002</v>
      </c>
      <c r="AC145" s="10">
        <f t="shared" si="23"/>
        <v>3.8620000000000001</v>
      </c>
      <c r="AD145" s="10">
        <f t="shared" si="23"/>
        <v>4.024</v>
      </c>
      <c r="AE145" s="10">
        <f t="shared" si="23"/>
        <v>3.2069999999999999</v>
      </c>
      <c r="AF145" s="10">
        <f t="shared" si="23"/>
        <v>0</v>
      </c>
    </row>
    <row r="146" spans="1:32">
      <c r="A146" s="10" t="s">
        <v>145</v>
      </c>
      <c r="B146" s="61" t="s">
        <v>298</v>
      </c>
      <c r="C146" s="10">
        <f t="shared" si="22"/>
        <v>5.8659999999999997</v>
      </c>
      <c r="D146" s="10">
        <f t="shared" si="23"/>
        <v>0</v>
      </c>
      <c r="E146" s="10">
        <f t="shared" si="23"/>
        <v>4.7919999999999998</v>
      </c>
      <c r="F146" s="10">
        <f t="shared" si="23"/>
        <v>0</v>
      </c>
      <c r="G146" s="10">
        <f t="shared" si="23"/>
        <v>0</v>
      </c>
      <c r="H146" s="10">
        <f t="shared" si="23"/>
        <v>4.7990000000000004</v>
      </c>
      <c r="I146" s="10">
        <f t="shared" si="23"/>
        <v>4.6319999999999997</v>
      </c>
      <c r="J146" s="10">
        <f t="shared" si="23"/>
        <v>3.403</v>
      </c>
      <c r="K146" s="10">
        <f t="shared" si="23"/>
        <v>3.7410000000000001</v>
      </c>
      <c r="L146" s="10">
        <f t="shared" si="23"/>
        <v>0</v>
      </c>
      <c r="M146" s="10">
        <f t="shared" si="23"/>
        <v>3.9289999999999998</v>
      </c>
      <c r="N146" s="10">
        <f t="shared" si="23"/>
        <v>0</v>
      </c>
      <c r="O146" s="10">
        <f t="shared" si="23"/>
        <v>0</v>
      </c>
      <c r="P146" s="10">
        <f t="shared" si="23"/>
        <v>0</v>
      </c>
      <c r="Q146" s="10">
        <f t="shared" si="23"/>
        <v>4.9580000000000002</v>
      </c>
      <c r="R146" s="10">
        <f t="shared" si="23"/>
        <v>0</v>
      </c>
      <c r="S146" s="10">
        <f t="shared" si="23"/>
        <v>4.1619999999999999</v>
      </c>
      <c r="T146" s="10">
        <f t="shared" si="23"/>
        <v>4.87</v>
      </c>
      <c r="U146" s="10">
        <f t="shared" si="23"/>
        <v>3.9790000000000001</v>
      </c>
      <c r="V146" s="10">
        <f t="shared" si="23"/>
        <v>0</v>
      </c>
      <c r="W146" s="10">
        <f t="shared" si="23"/>
        <v>4.5570000000000004</v>
      </c>
      <c r="X146" s="10">
        <f t="shared" si="23"/>
        <v>0</v>
      </c>
      <c r="Y146" s="10">
        <f t="shared" si="23"/>
        <v>4.5110000000000001</v>
      </c>
      <c r="Z146" s="10">
        <f t="shared" si="23"/>
        <v>0</v>
      </c>
      <c r="AA146" s="10">
        <f t="shared" si="23"/>
        <v>0</v>
      </c>
      <c r="AB146" s="10">
        <f t="shared" si="23"/>
        <v>2.1739999999999999</v>
      </c>
      <c r="AC146" s="10">
        <f t="shared" si="23"/>
        <v>0</v>
      </c>
      <c r="AD146" s="10">
        <f t="shared" si="23"/>
        <v>0</v>
      </c>
      <c r="AE146" s="10">
        <f t="shared" si="23"/>
        <v>4.617</v>
      </c>
      <c r="AF146" s="10">
        <f t="shared" si="23"/>
        <v>0</v>
      </c>
    </row>
    <row r="147" spans="1:32">
      <c r="A147" s="10" t="s">
        <v>145</v>
      </c>
      <c r="B147" s="61" t="s">
        <v>357</v>
      </c>
      <c r="C147" s="10">
        <f t="shared" si="22"/>
        <v>4.99</v>
      </c>
      <c r="D147" s="10">
        <f t="shared" si="23"/>
        <v>3.3380000000000001</v>
      </c>
      <c r="E147" s="10">
        <f t="shared" si="23"/>
        <v>0</v>
      </c>
      <c r="F147" s="10">
        <f t="shared" si="23"/>
        <v>2.9460000000000002</v>
      </c>
      <c r="G147" s="10">
        <f t="shared" si="23"/>
        <v>3.895</v>
      </c>
      <c r="H147" s="10">
        <f t="shared" si="23"/>
        <v>3.6440000000000001</v>
      </c>
      <c r="I147" s="10">
        <f t="shared" si="23"/>
        <v>4.1470000000000002</v>
      </c>
      <c r="J147" s="10">
        <f t="shared" si="23"/>
        <v>0</v>
      </c>
      <c r="K147" s="10">
        <f t="shared" si="23"/>
        <v>0</v>
      </c>
      <c r="L147" s="10">
        <f t="shared" si="23"/>
        <v>0</v>
      </c>
      <c r="M147" s="10">
        <f t="shared" si="23"/>
        <v>0</v>
      </c>
      <c r="N147" s="10">
        <f t="shared" si="23"/>
        <v>3.0219999999999998</v>
      </c>
      <c r="O147" s="10">
        <f t="shared" si="23"/>
        <v>2.5409999999999999</v>
      </c>
      <c r="P147" s="10">
        <f t="shared" si="23"/>
        <v>2.9390000000000001</v>
      </c>
      <c r="Q147" s="10">
        <f t="shared" si="23"/>
        <v>0</v>
      </c>
      <c r="R147" s="10">
        <f t="shared" si="23"/>
        <v>3.169</v>
      </c>
      <c r="S147" s="10">
        <f t="shared" si="23"/>
        <v>0</v>
      </c>
      <c r="T147" s="10">
        <f t="shared" si="23"/>
        <v>0</v>
      </c>
      <c r="U147" s="10">
        <f t="shared" si="23"/>
        <v>0</v>
      </c>
      <c r="V147" s="10">
        <f t="shared" si="23"/>
        <v>0</v>
      </c>
      <c r="W147" s="10">
        <f t="shared" si="23"/>
        <v>0</v>
      </c>
      <c r="X147" s="10">
        <f t="shared" si="23"/>
        <v>0</v>
      </c>
      <c r="Y147" s="10">
        <f t="shared" si="23"/>
        <v>3.9889999999999999</v>
      </c>
      <c r="Z147" s="10">
        <f t="shared" si="23"/>
        <v>0</v>
      </c>
      <c r="AA147" s="10">
        <f t="shared" si="23"/>
        <v>3.1309999999999998</v>
      </c>
      <c r="AB147" s="10">
        <f t="shared" si="23"/>
        <v>0</v>
      </c>
      <c r="AC147" s="10">
        <f t="shared" si="23"/>
        <v>2.9980000000000002</v>
      </c>
      <c r="AD147" s="10">
        <f t="shared" si="23"/>
        <v>3.32</v>
      </c>
      <c r="AE147" s="10">
        <f t="shared" si="23"/>
        <v>0</v>
      </c>
      <c r="AF147" s="10">
        <f t="shared" si="23"/>
        <v>0</v>
      </c>
    </row>
    <row r="148" spans="1:32">
      <c r="A148" s="10" t="s">
        <v>145</v>
      </c>
      <c r="B148" s="61" t="s">
        <v>299</v>
      </c>
      <c r="C148" s="10">
        <f t="shared" si="22"/>
        <v>5.1959999999999997</v>
      </c>
      <c r="D148" s="10">
        <f t="shared" si="23"/>
        <v>3.2629999999999999</v>
      </c>
      <c r="E148" s="10">
        <f t="shared" si="23"/>
        <v>3.988</v>
      </c>
      <c r="F148" s="10">
        <f t="shared" si="23"/>
        <v>4.1269999999999998</v>
      </c>
      <c r="G148" s="10">
        <f t="shared" si="23"/>
        <v>3.9319999999999999</v>
      </c>
      <c r="H148" s="10">
        <f t="shared" si="23"/>
        <v>2.6890000000000001</v>
      </c>
      <c r="I148" s="10">
        <f t="shared" si="23"/>
        <v>3.27</v>
      </c>
      <c r="J148" s="10">
        <f t="shared" si="23"/>
        <v>3.4910000000000001</v>
      </c>
      <c r="K148" s="10">
        <f t="shared" si="23"/>
        <v>3.637</v>
      </c>
      <c r="L148" s="10">
        <f t="shared" si="23"/>
        <v>0</v>
      </c>
      <c r="M148" s="10">
        <f t="shared" si="23"/>
        <v>4.54</v>
      </c>
      <c r="N148" s="10">
        <f t="shared" si="23"/>
        <v>4.6020000000000003</v>
      </c>
      <c r="O148" s="10">
        <f t="shared" si="23"/>
        <v>3.6240000000000001</v>
      </c>
      <c r="P148" s="10">
        <f t="shared" si="23"/>
        <v>3.0920000000000001</v>
      </c>
      <c r="Q148" s="10">
        <f t="shared" si="23"/>
        <v>0</v>
      </c>
      <c r="R148" s="10">
        <f t="shared" si="23"/>
        <v>4.1929999999999996</v>
      </c>
      <c r="S148" s="10">
        <f t="shared" si="23"/>
        <v>2.8849999999999998</v>
      </c>
      <c r="T148" s="10">
        <f t="shared" si="23"/>
        <v>3.8809999999999998</v>
      </c>
      <c r="U148" s="10">
        <f t="shared" si="23"/>
        <v>3.2749999999999999</v>
      </c>
      <c r="V148" s="10">
        <f t="shared" si="23"/>
        <v>3.9889999999999999</v>
      </c>
      <c r="W148" s="10">
        <f t="shared" si="23"/>
        <v>3.8380000000000001</v>
      </c>
      <c r="X148" s="10">
        <f t="shared" si="23"/>
        <v>4.5110000000000001</v>
      </c>
      <c r="Y148" s="10">
        <f t="shared" si="23"/>
        <v>0</v>
      </c>
      <c r="Z148" s="10">
        <f t="shared" si="23"/>
        <v>0</v>
      </c>
      <c r="AA148" s="10">
        <f t="shared" si="23"/>
        <v>3.6080000000000001</v>
      </c>
      <c r="AB148" s="10">
        <f t="shared" si="23"/>
        <v>4.2240000000000002</v>
      </c>
      <c r="AC148" s="10">
        <f t="shared" si="23"/>
        <v>3.4929999999999999</v>
      </c>
      <c r="AD148" s="10">
        <f t="shared" si="23"/>
        <v>2.661</v>
      </c>
      <c r="AE148" s="10">
        <f t="shared" si="23"/>
        <v>4.63</v>
      </c>
      <c r="AF148" s="10">
        <f t="shared" si="23"/>
        <v>0</v>
      </c>
    </row>
    <row r="149" spans="1:32">
      <c r="A149" s="10" t="s">
        <v>145</v>
      </c>
      <c r="B149" s="61" t="s">
        <v>300</v>
      </c>
      <c r="C149" s="10">
        <f t="shared" si="22"/>
        <v>3.1120000000000001</v>
      </c>
      <c r="D149" s="10">
        <f t="shared" si="23"/>
        <v>0</v>
      </c>
      <c r="E149" s="10">
        <f t="shared" si="23"/>
        <v>0</v>
      </c>
      <c r="F149" s="10">
        <f t="shared" si="23"/>
        <v>0</v>
      </c>
      <c r="G149" s="10">
        <f t="shared" si="23"/>
        <v>0</v>
      </c>
      <c r="H149" s="10">
        <f t="shared" si="23"/>
        <v>0</v>
      </c>
      <c r="I149" s="10">
        <f t="shared" si="23"/>
        <v>0</v>
      </c>
      <c r="J149" s="10">
        <f t="shared" si="23"/>
        <v>0</v>
      </c>
      <c r="K149" s="10">
        <f t="shared" si="23"/>
        <v>0</v>
      </c>
      <c r="L149" s="10">
        <f t="shared" si="23"/>
        <v>2.774</v>
      </c>
      <c r="M149" s="10">
        <f t="shared" si="23"/>
        <v>0</v>
      </c>
      <c r="N149" s="10">
        <f t="shared" si="23"/>
        <v>0</v>
      </c>
      <c r="O149" s="10">
        <f t="shared" si="23"/>
        <v>0</v>
      </c>
      <c r="P149" s="10">
        <f t="shared" si="23"/>
        <v>0</v>
      </c>
      <c r="Q149" s="10">
        <f t="shared" si="23"/>
        <v>0</v>
      </c>
      <c r="R149" s="10">
        <f t="shared" si="23"/>
        <v>0</v>
      </c>
      <c r="S149" s="10">
        <f t="shared" si="23"/>
        <v>0</v>
      </c>
      <c r="T149" s="10">
        <f t="shared" si="23"/>
        <v>0</v>
      </c>
      <c r="U149" s="10">
        <f t="shared" si="23"/>
        <v>0</v>
      </c>
      <c r="V149" s="10">
        <f t="shared" si="23"/>
        <v>0</v>
      </c>
      <c r="W149" s="10">
        <f t="shared" si="23"/>
        <v>0</v>
      </c>
      <c r="X149" s="10">
        <f t="shared" si="23"/>
        <v>0</v>
      </c>
      <c r="Y149" s="10">
        <f t="shared" si="23"/>
        <v>0</v>
      </c>
      <c r="Z149" s="10">
        <f t="shared" si="23"/>
        <v>0</v>
      </c>
      <c r="AA149" s="10">
        <f t="shared" si="23"/>
        <v>0</v>
      </c>
      <c r="AB149" s="10">
        <f t="shared" si="23"/>
        <v>0</v>
      </c>
      <c r="AC149" s="10">
        <f t="shared" si="23"/>
        <v>0</v>
      </c>
      <c r="AD149" s="10">
        <f t="shared" si="23"/>
        <v>0</v>
      </c>
      <c r="AE149" s="10">
        <f t="shared" si="23"/>
        <v>4.835</v>
      </c>
      <c r="AF149" s="10">
        <f t="shared" si="23"/>
        <v>0</v>
      </c>
    </row>
    <row r="150" spans="1:32">
      <c r="A150" s="10" t="s">
        <v>145</v>
      </c>
      <c r="B150" s="61" t="s">
        <v>301</v>
      </c>
      <c r="C150" s="10">
        <f t="shared" si="22"/>
        <v>5.4509999999999996</v>
      </c>
      <c r="D150" s="10">
        <f t="shared" si="23"/>
        <v>3.6819999999999999</v>
      </c>
      <c r="E150" s="10">
        <f t="shared" si="23"/>
        <v>0</v>
      </c>
      <c r="F150" s="10">
        <f t="shared" si="23"/>
        <v>2.5529999999999999</v>
      </c>
      <c r="G150" s="10">
        <f t="shared" si="23"/>
        <v>4.3570000000000002</v>
      </c>
      <c r="H150" s="10">
        <f t="shared" si="23"/>
        <v>3.6669999999999998</v>
      </c>
      <c r="I150" s="10">
        <f t="shared" si="23"/>
        <v>4.2640000000000002</v>
      </c>
      <c r="J150" s="10">
        <f t="shared" si="23"/>
        <v>4.6680000000000001</v>
      </c>
      <c r="K150" s="10">
        <f t="shared" si="23"/>
        <v>0</v>
      </c>
      <c r="L150" s="10">
        <f t="shared" si="23"/>
        <v>0</v>
      </c>
      <c r="M150" s="10">
        <f t="shared" si="23"/>
        <v>0</v>
      </c>
      <c r="N150" s="10">
        <f t="shared" si="23"/>
        <v>3.5409999999999999</v>
      </c>
      <c r="O150" s="10">
        <f t="shared" si="23"/>
        <v>3.3580000000000001</v>
      </c>
      <c r="P150" s="10">
        <f t="shared" si="23"/>
        <v>2.8540000000000001</v>
      </c>
      <c r="Q150" s="10">
        <f t="shared" si="23"/>
        <v>0</v>
      </c>
      <c r="R150" s="10">
        <f t="shared" si="23"/>
        <v>4.0570000000000004</v>
      </c>
      <c r="S150" s="10">
        <f t="shared" si="23"/>
        <v>4.0220000000000002</v>
      </c>
      <c r="T150" s="10">
        <f t="shared" si="23"/>
        <v>0</v>
      </c>
      <c r="U150" s="10">
        <f t="shared" si="23"/>
        <v>4.2649999999999997</v>
      </c>
      <c r="V150" s="10">
        <f t="shared" si="23"/>
        <v>3.1309999999999998</v>
      </c>
      <c r="W150" s="10">
        <f t="shared" si="23"/>
        <v>0</v>
      </c>
      <c r="X150" s="10">
        <f t="shared" si="23"/>
        <v>0</v>
      </c>
      <c r="Y150" s="10">
        <f t="shared" si="23"/>
        <v>3.6080000000000001</v>
      </c>
      <c r="Z150" s="10">
        <f t="shared" si="23"/>
        <v>0</v>
      </c>
      <c r="AA150" s="10">
        <f t="shared" si="23"/>
        <v>0</v>
      </c>
      <c r="AB150" s="10">
        <f t="shared" si="23"/>
        <v>0</v>
      </c>
      <c r="AC150" s="10">
        <f t="shared" si="23"/>
        <v>3.569</v>
      </c>
      <c r="AD150" s="10">
        <f t="shared" si="23"/>
        <v>3.028</v>
      </c>
      <c r="AE150" s="10">
        <f t="shared" si="23"/>
        <v>0</v>
      </c>
      <c r="AF150" s="10">
        <f t="shared" si="23"/>
        <v>3.7639999999999998</v>
      </c>
    </row>
    <row r="151" spans="1:32">
      <c r="A151" s="10" t="s">
        <v>145</v>
      </c>
      <c r="B151" s="61" t="s">
        <v>303</v>
      </c>
      <c r="C151" s="10">
        <f t="shared" si="22"/>
        <v>5.7960000000000003</v>
      </c>
      <c r="D151" s="10">
        <f t="shared" si="23"/>
        <v>4.8650000000000002</v>
      </c>
      <c r="E151" s="10">
        <f t="shared" si="23"/>
        <v>4.6710000000000003</v>
      </c>
      <c r="F151" s="10">
        <f t="shared" si="23"/>
        <v>0</v>
      </c>
      <c r="G151" s="10">
        <f t="shared" si="23"/>
        <v>5.0430000000000001</v>
      </c>
      <c r="H151" s="10">
        <f t="shared" si="23"/>
        <v>4.57</v>
      </c>
      <c r="I151" s="10">
        <f t="shared" si="23"/>
        <v>4.4400000000000004</v>
      </c>
      <c r="J151" s="10">
        <f t="shared" si="23"/>
        <v>2.7160000000000002</v>
      </c>
      <c r="K151" s="10">
        <f t="shared" si="23"/>
        <v>3.327</v>
      </c>
      <c r="L151" s="10">
        <f t="shared" si="23"/>
        <v>0</v>
      </c>
      <c r="M151" s="10">
        <f t="shared" si="23"/>
        <v>2.9860000000000002</v>
      </c>
      <c r="N151" s="10">
        <f t="shared" si="23"/>
        <v>0</v>
      </c>
      <c r="O151" s="10">
        <f t="shared" si="23"/>
        <v>5.1689999999999996</v>
      </c>
      <c r="P151" s="10">
        <f t="shared" si="23"/>
        <v>4.9189999999999996</v>
      </c>
      <c r="Q151" s="10">
        <f t="shared" si="23"/>
        <v>0</v>
      </c>
      <c r="R151" s="10">
        <f t="shared" si="23"/>
        <v>5.444</v>
      </c>
      <c r="S151" s="10">
        <f t="shared" si="23"/>
        <v>3.8050000000000002</v>
      </c>
      <c r="T151" s="10">
        <f t="shared" si="23"/>
        <v>4.7320000000000002</v>
      </c>
      <c r="U151" s="10">
        <f t="shared" si="23"/>
        <v>3.5950000000000002</v>
      </c>
      <c r="V151" s="10">
        <f t="shared" si="23"/>
        <v>0</v>
      </c>
      <c r="W151" s="10">
        <f t="shared" si="23"/>
        <v>4.4260000000000002</v>
      </c>
      <c r="X151" s="10">
        <f t="shared" si="23"/>
        <v>2.1739999999999999</v>
      </c>
      <c r="Y151" s="10">
        <f t="shared" si="23"/>
        <v>4.2240000000000002</v>
      </c>
      <c r="Z151" s="10">
        <f t="shared" si="23"/>
        <v>0</v>
      </c>
      <c r="AA151" s="10">
        <f t="shared" si="23"/>
        <v>0</v>
      </c>
      <c r="AB151" s="10">
        <f t="shared" si="23"/>
        <v>0</v>
      </c>
      <c r="AC151" s="10">
        <f t="shared" si="23"/>
        <v>5.0439999999999996</v>
      </c>
      <c r="AD151" s="10">
        <f t="shared" si="23"/>
        <v>4.7190000000000003</v>
      </c>
      <c r="AE151" s="10">
        <f t="shared" si="23"/>
        <v>4.609</v>
      </c>
      <c r="AF151" s="10">
        <f t="shared" si="23"/>
        <v>0</v>
      </c>
    </row>
    <row r="152" spans="1:32">
      <c r="A152" s="10" t="s">
        <v>145</v>
      </c>
      <c r="B152" s="61" t="s">
        <v>304</v>
      </c>
      <c r="C152" s="10">
        <f t="shared" si="22"/>
        <v>4.5919999999999996</v>
      </c>
      <c r="D152" s="10">
        <f t="shared" si="23"/>
        <v>1.93</v>
      </c>
      <c r="E152" s="10">
        <f t="shared" si="23"/>
        <v>3.7730000000000001</v>
      </c>
      <c r="F152" s="10">
        <f t="shared" si="23"/>
        <v>3.78</v>
      </c>
      <c r="G152" s="10">
        <f t="shared" si="23"/>
        <v>3</v>
      </c>
      <c r="H152" s="10">
        <f t="shared" si="23"/>
        <v>2.7280000000000002</v>
      </c>
      <c r="I152" s="10">
        <f t="shared" si="23"/>
        <v>3.29</v>
      </c>
      <c r="J152" s="10">
        <f t="shared" si="23"/>
        <v>4.149</v>
      </c>
      <c r="K152" s="10">
        <f t="shared" si="23"/>
        <v>0</v>
      </c>
      <c r="L152" s="10">
        <f t="shared" si="23"/>
        <v>4.7880000000000003</v>
      </c>
      <c r="M152" s="10">
        <f t="shared" si="23"/>
        <v>0</v>
      </c>
      <c r="N152" s="10">
        <f t="shared" si="23"/>
        <v>3.9790000000000001</v>
      </c>
      <c r="O152" s="10">
        <f t="shared" si="23"/>
        <v>1.9330000000000001</v>
      </c>
      <c r="P152" s="10">
        <f t="shared" si="23"/>
        <v>2.6320000000000001</v>
      </c>
      <c r="Q152" s="10">
        <f t="shared" si="23"/>
        <v>0</v>
      </c>
      <c r="R152" s="10">
        <f t="shared" si="23"/>
        <v>2.7959999999999998</v>
      </c>
      <c r="S152" s="10">
        <f t="shared" si="23"/>
        <v>4.2389999999999999</v>
      </c>
      <c r="T152" s="10">
        <f t="shared" si="23"/>
        <v>3.532</v>
      </c>
      <c r="U152" s="10">
        <f t="shared" si="23"/>
        <v>0</v>
      </c>
      <c r="V152" s="10">
        <f t="shared" si="23"/>
        <v>2.9980000000000002</v>
      </c>
      <c r="W152" s="10">
        <f t="shared" si="23"/>
        <v>3.8620000000000001</v>
      </c>
      <c r="X152" s="10">
        <f t="shared" si="23"/>
        <v>0</v>
      </c>
      <c r="Y152" s="10">
        <f t="shared" si="23"/>
        <v>3.4929999999999999</v>
      </c>
      <c r="Z152" s="10">
        <f t="shared" si="23"/>
        <v>0</v>
      </c>
      <c r="AA152" s="10">
        <f t="shared" si="23"/>
        <v>3.569</v>
      </c>
      <c r="AB152" s="10">
        <f t="shared" si="23"/>
        <v>5.0439999999999996</v>
      </c>
      <c r="AC152" s="10">
        <f t="shared" si="23"/>
        <v>0</v>
      </c>
      <c r="AD152" s="10">
        <f t="shared" ref="D152:AF155" si="24">AD122</f>
        <v>2.86</v>
      </c>
      <c r="AE152" s="10">
        <f t="shared" si="24"/>
        <v>0</v>
      </c>
      <c r="AF152" s="10">
        <f t="shared" si="24"/>
        <v>0</v>
      </c>
    </row>
    <row r="153" spans="1:32">
      <c r="A153" s="10" t="s">
        <v>145</v>
      </c>
      <c r="B153" s="61" t="s">
        <v>305</v>
      </c>
      <c r="C153" s="10">
        <f t="shared" si="22"/>
        <v>5.0670000000000002</v>
      </c>
      <c r="D153" s="10">
        <f t="shared" si="24"/>
        <v>2.7610000000000001</v>
      </c>
      <c r="E153" s="10">
        <f t="shared" si="24"/>
        <v>4.0679999999999996</v>
      </c>
      <c r="F153" s="10">
        <f t="shared" si="24"/>
        <v>3.5880000000000001</v>
      </c>
      <c r="G153" s="10">
        <f t="shared" si="24"/>
        <v>3.714</v>
      </c>
      <c r="H153" s="10">
        <f t="shared" si="24"/>
        <v>2.4940000000000002</v>
      </c>
      <c r="I153" s="10">
        <f t="shared" si="24"/>
        <v>3.4140000000000001</v>
      </c>
      <c r="J153" s="10">
        <f t="shared" si="24"/>
        <v>3.9769999999999999</v>
      </c>
      <c r="K153" s="10">
        <f t="shared" si="24"/>
        <v>4.1970000000000001</v>
      </c>
      <c r="L153" s="10">
        <f t="shared" si="24"/>
        <v>0</v>
      </c>
      <c r="M153" s="10">
        <f t="shared" si="24"/>
        <v>0</v>
      </c>
      <c r="N153" s="10">
        <f t="shared" si="24"/>
        <v>4.0979999999999999</v>
      </c>
      <c r="O153" s="10">
        <f t="shared" si="24"/>
        <v>2.9</v>
      </c>
      <c r="P153" s="10">
        <f t="shared" si="24"/>
        <v>1.931</v>
      </c>
      <c r="Q153" s="10">
        <f t="shared" si="24"/>
        <v>0</v>
      </c>
      <c r="R153" s="10">
        <f t="shared" si="24"/>
        <v>3.722</v>
      </c>
      <c r="S153" s="10">
        <f t="shared" si="24"/>
        <v>3.5859999999999999</v>
      </c>
      <c r="T153" s="10">
        <f t="shared" si="24"/>
        <v>3.899</v>
      </c>
      <c r="U153" s="10">
        <f t="shared" si="24"/>
        <v>3.8929999999999998</v>
      </c>
      <c r="V153" s="10">
        <f t="shared" si="24"/>
        <v>3.32</v>
      </c>
      <c r="W153" s="10">
        <f t="shared" si="24"/>
        <v>4.024</v>
      </c>
      <c r="X153" s="10">
        <f t="shared" si="24"/>
        <v>0</v>
      </c>
      <c r="Y153" s="10">
        <f t="shared" si="24"/>
        <v>2.661</v>
      </c>
      <c r="Z153" s="10">
        <f t="shared" si="24"/>
        <v>0</v>
      </c>
      <c r="AA153" s="10">
        <f t="shared" si="24"/>
        <v>3.028</v>
      </c>
      <c r="AB153" s="10">
        <f t="shared" si="24"/>
        <v>4.7190000000000003</v>
      </c>
      <c r="AC153" s="10">
        <f t="shared" si="24"/>
        <v>2.86</v>
      </c>
      <c r="AD153" s="10">
        <f t="shared" si="24"/>
        <v>0</v>
      </c>
      <c r="AE153" s="10">
        <f t="shared" si="24"/>
        <v>0</v>
      </c>
      <c r="AF153" s="10">
        <f t="shared" si="24"/>
        <v>0</v>
      </c>
    </row>
    <row r="154" spans="1:32">
      <c r="A154" s="10" t="s">
        <v>145</v>
      </c>
      <c r="B154" s="10" t="s">
        <v>356</v>
      </c>
      <c r="C154" s="10">
        <f t="shared" si="22"/>
        <v>0</v>
      </c>
      <c r="D154" s="10">
        <f t="shared" si="24"/>
        <v>0</v>
      </c>
      <c r="E154" s="10">
        <f t="shared" si="24"/>
        <v>0</v>
      </c>
      <c r="F154" s="10">
        <f t="shared" si="24"/>
        <v>2.7909999999999999</v>
      </c>
      <c r="G154" s="10">
        <f t="shared" si="24"/>
        <v>0</v>
      </c>
      <c r="H154" s="10">
        <f t="shared" si="24"/>
        <v>0</v>
      </c>
      <c r="I154" s="10">
        <f t="shared" si="24"/>
        <v>0</v>
      </c>
      <c r="J154" s="10">
        <f t="shared" si="24"/>
        <v>0</v>
      </c>
      <c r="K154" s="10">
        <f t="shared" si="24"/>
        <v>0</v>
      </c>
      <c r="L154" s="10">
        <f t="shared" si="24"/>
        <v>0</v>
      </c>
      <c r="M154" s="10">
        <f t="shared" si="24"/>
        <v>0</v>
      </c>
      <c r="N154" s="10">
        <f t="shared" si="24"/>
        <v>3.7120000000000002</v>
      </c>
      <c r="O154" s="10">
        <f t="shared" si="24"/>
        <v>0</v>
      </c>
      <c r="P154" s="10">
        <f t="shared" si="24"/>
        <v>0</v>
      </c>
      <c r="Q154" s="10">
        <f t="shared" si="24"/>
        <v>0</v>
      </c>
      <c r="R154" s="10">
        <f t="shared" si="24"/>
        <v>0</v>
      </c>
      <c r="S154" s="10">
        <f t="shared" si="24"/>
        <v>0</v>
      </c>
      <c r="T154" s="10">
        <f t="shared" si="24"/>
        <v>0</v>
      </c>
      <c r="U154" s="10">
        <f t="shared" si="24"/>
        <v>0</v>
      </c>
      <c r="V154" s="10">
        <f t="shared" si="24"/>
        <v>0</v>
      </c>
      <c r="W154" s="10">
        <f t="shared" si="24"/>
        <v>0</v>
      </c>
      <c r="X154" s="10">
        <f t="shared" si="24"/>
        <v>0</v>
      </c>
      <c r="Y154" s="10">
        <f t="shared" si="24"/>
        <v>0</v>
      </c>
      <c r="Z154" s="10">
        <f t="shared" si="24"/>
        <v>0</v>
      </c>
      <c r="AA154" s="10">
        <f t="shared" si="24"/>
        <v>3.7639999999999998</v>
      </c>
      <c r="AB154" s="10">
        <f t="shared" si="24"/>
        <v>0</v>
      </c>
      <c r="AC154" s="10">
        <f t="shared" si="24"/>
        <v>0</v>
      </c>
      <c r="AD154" s="10">
        <f t="shared" si="24"/>
        <v>0</v>
      </c>
      <c r="AE154" s="10">
        <f t="shared" si="24"/>
        <v>0</v>
      </c>
      <c r="AF154" s="10">
        <f t="shared" si="24"/>
        <v>0</v>
      </c>
    </row>
    <row r="155" spans="1:32">
      <c r="A155" s="10" t="s">
        <v>145</v>
      </c>
      <c r="B155" s="61" t="s">
        <v>307</v>
      </c>
      <c r="C155" s="10">
        <f t="shared" si="22"/>
        <v>3.198</v>
      </c>
      <c r="D155" s="10">
        <f t="shared" si="24"/>
        <v>4.4989999999999997</v>
      </c>
      <c r="E155" s="10">
        <f t="shared" si="24"/>
        <v>3.294</v>
      </c>
      <c r="F155" s="10">
        <f t="shared" si="24"/>
        <v>0</v>
      </c>
      <c r="G155" s="10">
        <f t="shared" si="24"/>
        <v>4.1349999999999998</v>
      </c>
      <c r="H155" s="10">
        <f t="shared" si="24"/>
        <v>4.423</v>
      </c>
      <c r="I155" s="10">
        <f t="shared" si="24"/>
        <v>3.8650000000000002</v>
      </c>
      <c r="J155" s="10">
        <f t="shared" si="24"/>
        <v>3.68</v>
      </c>
      <c r="K155" s="10">
        <f t="shared" si="24"/>
        <v>0</v>
      </c>
      <c r="L155" s="10">
        <f t="shared" si="24"/>
        <v>4.6879999999999997</v>
      </c>
      <c r="M155" s="10">
        <f t="shared" si="24"/>
        <v>0</v>
      </c>
      <c r="N155" s="10">
        <f t="shared" si="24"/>
        <v>0</v>
      </c>
      <c r="O155" s="10">
        <f t="shared" si="24"/>
        <v>0</v>
      </c>
      <c r="P155" s="10">
        <f t="shared" si="24"/>
        <v>0</v>
      </c>
      <c r="Q155" s="10">
        <f t="shared" si="24"/>
        <v>2.6139999999999999</v>
      </c>
      <c r="R155" s="10">
        <f t="shared" si="24"/>
        <v>4.8360000000000003</v>
      </c>
      <c r="S155" s="10">
        <f t="shared" si="24"/>
        <v>0</v>
      </c>
      <c r="T155" s="10">
        <f t="shared" si="24"/>
        <v>3.5659999999999998</v>
      </c>
      <c r="U155" s="10">
        <f t="shared" si="24"/>
        <v>0</v>
      </c>
      <c r="V155" s="10">
        <f t="shared" si="24"/>
        <v>0</v>
      </c>
      <c r="W155" s="10">
        <f t="shared" si="24"/>
        <v>3.2069999999999999</v>
      </c>
      <c r="X155" s="10">
        <f t="shared" si="24"/>
        <v>4.617</v>
      </c>
      <c r="Y155" s="10">
        <f t="shared" si="24"/>
        <v>4.63</v>
      </c>
      <c r="Z155" s="10">
        <f t="shared" si="24"/>
        <v>4.835</v>
      </c>
      <c r="AA155" s="10">
        <f t="shared" si="24"/>
        <v>0</v>
      </c>
      <c r="AB155" s="10">
        <f t="shared" si="24"/>
        <v>4.609</v>
      </c>
      <c r="AC155" s="10">
        <f t="shared" si="24"/>
        <v>0</v>
      </c>
      <c r="AD155" s="10">
        <f t="shared" si="24"/>
        <v>0</v>
      </c>
      <c r="AE155" s="10">
        <f t="shared" si="24"/>
        <v>0</v>
      </c>
      <c r="AF155" s="10">
        <f t="shared" si="24"/>
        <v>0</v>
      </c>
    </row>
    <row r="156" spans="1:32">
      <c r="A156" s="10" t="s">
        <v>24</v>
      </c>
      <c r="B156" s="61" t="s">
        <v>278</v>
      </c>
      <c r="C156" s="10">
        <f>IF(C6&gt;0,0.01,0)</f>
        <v>0.01</v>
      </c>
      <c r="D156" s="10">
        <f t="shared" ref="D156:AF165" si="25">IF(D6&gt;0,0.01,0)</f>
        <v>0</v>
      </c>
      <c r="E156" s="10">
        <f t="shared" si="25"/>
        <v>0.01</v>
      </c>
      <c r="F156" s="10">
        <f t="shared" si="25"/>
        <v>0.01</v>
      </c>
      <c r="G156" s="10">
        <f t="shared" si="25"/>
        <v>0.01</v>
      </c>
      <c r="H156" s="10">
        <f t="shared" si="25"/>
        <v>0.01</v>
      </c>
      <c r="I156" s="10">
        <f t="shared" si="25"/>
        <v>0.01</v>
      </c>
      <c r="J156" s="10">
        <f t="shared" si="25"/>
        <v>0.01</v>
      </c>
      <c r="K156" s="10">
        <f t="shared" si="25"/>
        <v>0</v>
      </c>
      <c r="L156" s="10">
        <f t="shared" si="25"/>
        <v>0.01</v>
      </c>
      <c r="M156" s="10">
        <f t="shared" si="25"/>
        <v>0</v>
      </c>
      <c r="N156" s="10">
        <f t="shared" si="25"/>
        <v>0.01</v>
      </c>
      <c r="O156" s="10">
        <f t="shared" si="25"/>
        <v>0.01</v>
      </c>
      <c r="P156" s="10">
        <f t="shared" si="25"/>
        <v>0.01</v>
      </c>
      <c r="Q156" s="10">
        <f t="shared" si="25"/>
        <v>0</v>
      </c>
      <c r="R156" s="10">
        <f t="shared" si="25"/>
        <v>0.01</v>
      </c>
      <c r="S156" s="10">
        <f t="shared" si="25"/>
        <v>0.01</v>
      </c>
      <c r="T156" s="10">
        <f t="shared" si="25"/>
        <v>0.01</v>
      </c>
      <c r="U156" s="10">
        <f t="shared" si="25"/>
        <v>0.01</v>
      </c>
      <c r="V156" s="10">
        <f t="shared" si="25"/>
        <v>0.01</v>
      </c>
      <c r="W156" s="10">
        <f t="shared" si="25"/>
        <v>0.01</v>
      </c>
      <c r="X156" s="10">
        <f t="shared" si="25"/>
        <v>0</v>
      </c>
      <c r="Y156" s="10">
        <f t="shared" si="25"/>
        <v>0.01</v>
      </c>
      <c r="Z156" s="10">
        <f t="shared" si="25"/>
        <v>0</v>
      </c>
      <c r="AA156" s="10">
        <f t="shared" si="25"/>
        <v>0.01</v>
      </c>
      <c r="AB156" s="10">
        <f t="shared" si="25"/>
        <v>0.01</v>
      </c>
      <c r="AC156" s="10">
        <f t="shared" si="25"/>
        <v>0.01</v>
      </c>
      <c r="AD156" s="10">
        <f t="shared" si="25"/>
        <v>0.01</v>
      </c>
      <c r="AE156" s="10">
        <f t="shared" si="25"/>
        <v>0.01</v>
      </c>
      <c r="AF156" s="10">
        <f t="shared" si="25"/>
        <v>0</v>
      </c>
    </row>
    <row r="157" spans="1:32">
      <c r="A157" s="10" t="s">
        <v>24</v>
      </c>
      <c r="B157" s="61" t="s">
        <v>280</v>
      </c>
      <c r="C157" s="10">
        <f t="shared" ref="C157:R172" si="26">IF(C7&gt;0,0.01,0)</f>
        <v>0.01</v>
      </c>
      <c r="D157" s="10">
        <f t="shared" si="26"/>
        <v>0.01</v>
      </c>
      <c r="E157" s="10">
        <f t="shared" si="26"/>
        <v>0</v>
      </c>
      <c r="F157" s="10">
        <f t="shared" si="26"/>
        <v>0</v>
      </c>
      <c r="G157" s="10">
        <f t="shared" si="26"/>
        <v>0.01</v>
      </c>
      <c r="H157" s="10">
        <f t="shared" si="26"/>
        <v>0.01</v>
      </c>
      <c r="I157" s="10">
        <f t="shared" si="26"/>
        <v>0.01</v>
      </c>
      <c r="J157" s="10">
        <f t="shared" si="26"/>
        <v>0.01</v>
      </c>
      <c r="K157" s="10">
        <f t="shared" si="26"/>
        <v>0</v>
      </c>
      <c r="L157" s="10">
        <f t="shared" si="26"/>
        <v>0.01</v>
      </c>
      <c r="M157" s="10">
        <f t="shared" si="26"/>
        <v>0</v>
      </c>
      <c r="N157" s="10">
        <f t="shared" si="26"/>
        <v>0</v>
      </c>
      <c r="O157" s="10">
        <f t="shared" si="26"/>
        <v>0.01</v>
      </c>
      <c r="P157" s="10">
        <f t="shared" si="26"/>
        <v>0.01</v>
      </c>
      <c r="Q157" s="10">
        <f t="shared" si="26"/>
        <v>0.01</v>
      </c>
      <c r="R157" s="10">
        <f t="shared" si="26"/>
        <v>0.01</v>
      </c>
      <c r="S157" s="10">
        <f t="shared" si="25"/>
        <v>0</v>
      </c>
      <c r="T157" s="10">
        <f t="shared" si="25"/>
        <v>0.01</v>
      </c>
      <c r="U157" s="10">
        <f t="shared" si="25"/>
        <v>0</v>
      </c>
      <c r="V157" s="10">
        <f t="shared" si="25"/>
        <v>0</v>
      </c>
      <c r="W157" s="10">
        <f t="shared" si="25"/>
        <v>0.01</v>
      </c>
      <c r="X157" s="10">
        <f t="shared" si="25"/>
        <v>0.01</v>
      </c>
      <c r="Y157" s="10">
        <f t="shared" si="25"/>
        <v>0.01</v>
      </c>
      <c r="Z157" s="10">
        <f t="shared" si="25"/>
        <v>0</v>
      </c>
      <c r="AA157" s="10">
        <f t="shared" si="25"/>
        <v>0</v>
      </c>
      <c r="AB157" s="10">
        <f t="shared" si="25"/>
        <v>0.01</v>
      </c>
      <c r="AC157" s="10">
        <f t="shared" si="25"/>
        <v>0.01</v>
      </c>
      <c r="AD157" s="10">
        <f t="shared" si="25"/>
        <v>0.01</v>
      </c>
      <c r="AE157" s="10">
        <f t="shared" si="25"/>
        <v>0.01</v>
      </c>
      <c r="AF157" s="10">
        <f t="shared" si="25"/>
        <v>0</v>
      </c>
    </row>
    <row r="158" spans="1:32">
      <c r="A158" s="10" t="s">
        <v>24</v>
      </c>
      <c r="B158" s="61" t="s">
        <v>281</v>
      </c>
      <c r="C158" s="10">
        <f t="shared" si="26"/>
        <v>0</v>
      </c>
      <c r="D158" s="10">
        <f t="shared" si="25"/>
        <v>0.01</v>
      </c>
      <c r="E158" s="10">
        <f t="shared" si="25"/>
        <v>0</v>
      </c>
      <c r="F158" s="10">
        <f t="shared" si="25"/>
        <v>0</v>
      </c>
      <c r="G158" s="10">
        <f t="shared" si="25"/>
        <v>0.01</v>
      </c>
      <c r="H158" s="10">
        <f t="shared" si="25"/>
        <v>0.01</v>
      </c>
      <c r="I158" s="10">
        <f t="shared" si="25"/>
        <v>0.01</v>
      </c>
      <c r="J158" s="10">
        <f t="shared" si="25"/>
        <v>0</v>
      </c>
      <c r="K158" s="10">
        <f t="shared" si="25"/>
        <v>0</v>
      </c>
      <c r="L158" s="10">
        <f t="shared" si="25"/>
        <v>0</v>
      </c>
      <c r="M158" s="10">
        <f t="shared" si="25"/>
        <v>0</v>
      </c>
      <c r="N158" s="10">
        <f t="shared" si="25"/>
        <v>0.01</v>
      </c>
      <c r="O158" s="10">
        <f t="shared" si="25"/>
        <v>0.01</v>
      </c>
      <c r="P158" s="10">
        <f t="shared" si="25"/>
        <v>0.01</v>
      </c>
      <c r="Q158" s="10">
        <f t="shared" si="25"/>
        <v>0</v>
      </c>
      <c r="R158" s="10">
        <f t="shared" si="25"/>
        <v>0.01</v>
      </c>
      <c r="S158" s="10">
        <f t="shared" si="25"/>
        <v>0</v>
      </c>
      <c r="T158" s="10">
        <f t="shared" si="25"/>
        <v>0</v>
      </c>
      <c r="U158" s="10">
        <f t="shared" si="25"/>
        <v>0</v>
      </c>
      <c r="V158" s="10">
        <f t="shared" si="25"/>
        <v>0.01</v>
      </c>
      <c r="W158" s="10">
        <f t="shared" si="25"/>
        <v>0</v>
      </c>
      <c r="X158" s="10">
        <f t="shared" si="25"/>
        <v>0</v>
      </c>
      <c r="Y158" s="10">
        <f t="shared" si="25"/>
        <v>0.01</v>
      </c>
      <c r="Z158" s="10">
        <f t="shared" si="25"/>
        <v>0</v>
      </c>
      <c r="AA158" s="10">
        <f t="shared" si="25"/>
        <v>0.01</v>
      </c>
      <c r="AB158" s="10">
        <f t="shared" si="25"/>
        <v>0</v>
      </c>
      <c r="AC158" s="10">
        <f t="shared" si="25"/>
        <v>0.01</v>
      </c>
      <c r="AD158" s="10">
        <f t="shared" si="25"/>
        <v>0.01</v>
      </c>
      <c r="AE158" s="10">
        <f t="shared" si="25"/>
        <v>0</v>
      </c>
      <c r="AF158" s="10">
        <f t="shared" si="25"/>
        <v>0.01</v>
      </c>
    </row>
    <row r="159" spans="1:32">
      <c r="A159" s="10" t="s">
        <v>24</v>
      </c>
      <c r="B159" s="61" t="s">
        <v>282</v>
      </c>
      <c r="C159" s="10">
        <f t="shared" si="26"/>
        <v>0.01</v>
      </c>
      <c r="D159" s="10">
        <f t="shared" si="25"/>
        <v>0.01</v>
      </c>
      <c r="E159" s="10">
        <f t="shared" si="25"/>
        <v>0.01</v>
      </c>
      <c r="F159" s="10">
        <f t="shared" si="25"/>
        <v>0.01</v>
      </c>
      <c r="G159" s="10">
        <f t="shared" si="25"/>
        <v>0</v>
      </c>
      <c r="H159" s="10">
        <f t="shared" si="25"/>
        <v>0.01</v>
      </c>
      <c r="I159" s="10">
        <f t="shared" si="25"/>
        <v>0.01</v>
      </c>
      <c r="J159" s="10">
        <f t="shared" si="25"/>
        <v>0.01</v>
      </c>
      <c r="K159" s="10">
        <f t="shared" si="25"/>
        <v>0</v>
      </c>
      <c r="L159" s="10">
        <f t="shared" si="25"/>
        <v>0.01</v>
      </c>
      <c r="M159" s="10">
        <f t="shared" si="25"/>
        <v>0</v>
      </c>
      <c r="N159" s="10">
        <f t="shared" si="25"/>
        <v>0</v>
      </c>
      <c r="O159" s="10">
        <f t="shared" si="25"/>
        <v>0.01</v>
      </c>
      <c r="P159" s="10">
        <f t="shared" si="25"/>
        <v>0.01</v>
      </c>
      <c r="Q159" s="10">
        <f t="shared" si="25"/>
        <v>0</v>
      </c>
      <c r="R159" s="10">
        <f t="shared" si="25"/>
        <v>0.01</v>
      </c>
      <c r="S159" s="10">
        <f t="shared" si="25"/>
        <v>0</v>
      </c>
      <c r="T159" s="10">
        <f t="shared" si="25"/>
        <v>0.01</v>
      </c>
      <c r="U159" s="10">
        <f t="shared" si="25"/>
        <v>0</v>
      </c>
      <c r="V159" s="10">
        <f t="shared" si="25"/>
        <v>0.01</v>
      </c>
      <c r="W159" s="10">
        <f t="shared" si="25"/>
        <v>0.01</v>
      </c>
      <c r="X159" s="10">
        <f t="shared" si="25"/>
        <v>0</v>
      </c>
      <c r="Y159" s="10">
        <f t="shared" si="25"/>
        <v>0.01</v>
      </c>
      <c r="Z159" s="10">
        <f t="shared" si="25"/>
        <v>0</v>
      </c>
      <c r="AA159" s="10">
        <f t="shared" si="25"/>
        <v>0.01</v>
      </c>
      <c r="AB159" s="10">
        <f t="shared" si="25"/>
        <v>0.01</v>
      </c>
      <c r="AC159" s="10">
        <f t="shared" si="25"/>
        <v>0.01</v>
      </c>
      <c r="AD159" s="10">
        <f t="shared" si="25"/>
        <v>0.01</v>
      </c>
      <c r="AE159" s="10">
        <f t="shared" si="25"/>
        <v>0.01</v>
      </c>
      <c r="AF159" s="10">
        <f t="shared" si="25"/>
        <v>0</v>
      </c>
    </row>
    <row r="160" spans="1:32">
      <c r="A160" s="10" t="s">
        <v>24</v>
      </c>
      <c r="B160" s="61" t="s">
        <v>283</v>
      </c>
      <c r="C160" s="10">
        <f t="shared" si="26"/>
        <v>0.01</v>
      </c>
      <c r="D160" s="10">
        <f t="shared" si="25"/>
        <v>0.01</v>
      </c>
      <c r="E160" s="10">
        <f t="shared" si="25"/>
        <v>0.01</v>
      </c>
      <c r="F160" s="10">
        <f t="shared" si="25"/>
        <v>0.01</v>
      </c>
      <c r="G160" s="10">
        <f t="shared" si="25"/>
        <v>0.01</v>
      </c>
      <c r="H160" s="10">
        <f t="shared" si="25"/>
        <v>0</v>
      </c>
      <c r="I160" s="10">
        <f t="shared" si="25"/>
        <v>0.01</v>
      </c>
      <c r="J160" s="10">
        <f t="shared" si="25"/>
        <v>0.01</v>
      </c>
      <c r="K160" s="10">
        <f t="shared" si="25"/>
        <v>0.01</v>
      </c>
      <c r="L160" s="10">
        <f t="shared" si="25"/>
        <v>0</v>
      </c>
      <c r="M160" s="10">
        <f t="shared" si="25"/>
        <v>0</v>
      </c>
      <c r="N160" s="10">
        <f t="shared" si="25"/>
        <v>0.01</v>
      </c>
      <c r="O160" s="10">
        <f t="shared" si="25"/>
        <v>0.01</v>
      </c>
      <c r="P160" s="10">
        <f t="shared" si="25"/>
        <v>0.01</v>
      </c>
      <c r="Q160" s="10">
        <f t="shared" si="25"/>
        <v>0</v>
      </c>
      <c r="R160" s="10">
        <f t="shared" si="25"/>
        <v>0.01</v>
      </c>
      <c r="S160" s="10">
        <f t="shared" si="25"/>
        <v>0.01</v>
      </c>
      <c r="T160" s="10">
        <f t="shared" si="25"/>
        <v>0.01</v>
      </c>
      <c r="U160" s="10">
        <f t="shared" si="25"/>
        <v>0.01</v>
      </c>
      <c r="V160" s="10">
        <f t="shared" si="25"/>
        <v>0.01</v>
      </c>
      <c r="W160" s="10">
        <f t="shared" si="25"/>
        <v>0.01</v>
      </c>
      <c r="X160" s="10">
        <f t="shared" si="25"/>
        <v>0.01</v>
      </c>
      <c r="Y160" s="10">
        <f t="shared" si="25"/>
        <v>0.01</v>
      </c>
      <c r="Z160" s="10">
        <f t="shared" si="25"/>
        <v>0</v>
      </c>
      <c r="AA160" s="10">
        <f t="shared" si="25"/>
        <v>0.01</v>
      </c>
      <c r="AB160" s="10">
        <f t="shared" si="25"/>
        <v>0.01</v>
      </c>
      <c r="AC160" s="10">
        <f t="shared" si="25"/>
        <v>0.01</v>
      </c>
      <c r="AD160" s="10">
        <f t="shared" si="25"/>
        <v>0.01</v>
      </c>
      <c r="AE160" s="10">
        <f t="shared" si="25"/>
        <v>0.01</v>
      </c>
      <c r="AF160" s="10">
        <f t="shared" si="25"/>
        <v>0</v>
      </c>
    </row>
    <row r="161" spans="1:32">
      <c r="A161" s="10" t="s">
        <v>24</v>
      </c>
      <c r="B161" s="61" t="s">
        <v>284</v>
      </c>
      <c r="C161" s="10">
        <f t="shared" si="26"/>
        <v>0.01</v>
      </c>
      <c r="D161" s="10">
        <f t="shared" si="25"/>
        <v>0.01</v>
      </c>
      <c r="E161" s="10">
        <f t="shared" si="25"/>
        <v>0.01</v>
      </c>
      <c r="F161" s="10">
        <f t="shared" si="25"/>
        <v>0.01</v>
      </c>
      <c r="G161" s="10">
        <f t="shared" si="25"/>
        <v>0.01</v>
      </c>
      <c r="H161" s="10">
        <f t="shared" si="25"/>
        <v>0.01</v>
      </c>
      <c r="I161" s="10">
        <f t="shared" si="25"/>
        <v>0</v>
      </c>
      <c r="J161" s="10">
        <f t="shared" si="25"/>
        <v>0.01</v>
      </c>
      <c r="K161" s="10">
        <f t="shared" si="25"/>
        <v>0.01</v>
      </c>
      <c r="L161" s="10">
        <f t="shared" si="25"/>
        <v>0.01</v>
      </c>
      <c r="M161" s="10">
        <f t="shared" si="25"/>
        <v>0.01</v>
      </c>
      <c r="N161" s="10">
        <f t="shared" si="25"/>
        <v>0.01</v>
      </c>
      <c r="O161" s="10">
        <f t="shared" si="25"/>
        <v>0.01</v>
      </c>
      <c r="P161" s="10">
        <f t="shared" si="25"/>
        <v>0.01</v>
      </c>
      <c r="Q161" s="10">
        <f t="shared" si="25"/>
        <v>0.01</v>
      </c>
      <c r="R161" s="10">
        <f t="shared" si="25"/>
        <v>0.01</v>
      </c>
      <c r="S161" s="10">
        <f t="shared" si="25"/>
        <v>0.01</v>
      </c>
      <c r="T161" s="10">
        <f t="shared" si="25"/>
        <v>0.01</v>
      </c>
      <c r="U161" s="10">
        <f t="shared" si="25"/>
        <v>0.01</v>
      </c>
      <c r="V161" s="10">
        <f t="shared" si="25"/>
        <v>0.01</v>
      </c>
      <c r="W161" s="10">
        <f t="shared" si="25"/>
        <v>0.01</v>
      </c>
      <c r="X161" s="10">
        <f t="shared" si="25"/>
        <v>0.01</v>
      </c>
      <c r="Y161" s="10">
        <f t="shared" si="25"/>
        <v>0.01</v>
      </c>
      <c r="Z161" s="10">
        <f t="shared" si="25"/>
        <v>0</v>
      </c>
      <c r="AA161" s="10">
        <f t="shared" si="25"/>
        <v>0.01</v>
      </c>
      <c r="AB161" s="10">
        <f t="shared" si="25"/>
        <v>0.01</v>
      </c>
      <c r="AC161" s="10">
        <f t="shared" si="25"/>
        <v>0.01</v>
      </c>
      <c r="AD161" s="10">
        <f t="shared" si="25"/>
        <v>0.01</v>
      </c>
      <c r="AE161" s="10">
        <f t="shared" si="25"/>
        <v>0.01</v>
      </c>
      <c r="AF161" s="10">
        <f t="shared" si="25"/>
        <v>0</v>
      </c>
    </row>
    <row r="162" spans="1:32">
      <c r="A162" s="10" t="s">
        <v>24</v>
      </c>
      <c r="B162" s="61" t="s">
        <v>285</v>
      </c>
      <c r="C162" s="10">
        <f t="shared" si="26"/>
        <v>0.01</v>
      </c>
      <c r="D162" s="10">
        <f t="shared" si="25"/>
        <v>0.01</v>
      </c>
      <c r="E162" s="10">
        <f t="shared" si="25"/>
        <v>0.01</v>
      </c>
      <c r="F162" s="10">
        <f t="shared" si="25"/>
        <v>0</v>
      </c>
      <c r="G162" s="10">
        <f t="shared" si="25"/>
        <v>0.01</v>
      </c>
      <c r="H162" s="10">
        <f t="shared" si="25"/>
        <v>0.01</v>
      </c>
      <c r="I162" s="10">
        <f t="shared" si="25"/>
        <v>0.01</v>
      </c>
      <c r="J162" s="10">
        <f t="shared" si="25"/>
        <v>0</v>
      </c>
      <c r="K162" s="10">
        <f t="shared" si="25"/>
        <v>0.01</v>
      </c>
      <c r="L162" s="10">
        <f t="shared" si="25"/>
        <v>0</v>
      </c>
      <c r="M162" s="10">
        <f t="shared" si="25"/>
        <v>0.01</v>
      </c>
      <c r="N162" s="10">
        <f t="shared" si="25"/>
        <v>0</v>
      </c>
      <c r="O162" s="10">
        <f t="shared" si="25"/>
        <v>0.01</v>
      </c>
      <c r="P162" s="10">
        <f t="shared" si="25"/>
        <v>0.01</v>
      </c>
      <c r="Q162" s="10">
        <f t="shared" si="25"/>
        <v>0.01</v>
      </c>
      <c r="R162" s="10">
        <f t="shared" si="25"/>
        <v>0.01</v>
      </c>
      <c r="S162" s="10">
        <f t="shared" si="25"/>
        <v>0.01</v>
      </c>
      <c r="T162" s="10">
        <f t="shared" si="25"/>
        <v>0.01</v>
      </c>
      <c r="U162" s="10">
        <f t="shared" si="25"/>
        <v>0.01</v>
      </c>
      <c r="V162" s="10">
        <f t="shared" si="25"/>
        <v>0</v>
      </c>
      <c r="W162" s="10">
        <f t="shared" si="25"/>
        <v>0.01</v>
      </c>
      <c r="X162" s="10">
        <f t="shared" si="25"/>
        <v>0.01</v>
      </c>
      <c r="Y162" s="10">
        <f t="shared" si="25"/>
        <v>0.01</v>
      </c>
      <c r="Z162" s="10">
        <f t="shared" si="25"/>
        <v>0</v>
      </c>
      <c r="AA162" s="10">
        <f t="shared" si="25"/>
        <v>0.01</v>
      </c>
      <c r="AB162" s="10">
        <f t="shared" si="25"/>
        <v>0.01</v>
      </c>
      <c r="AC162" s="10">
        <f t="shared" si="25"/>
        <v>0.01</v>
      </c>
      <c r="AD162" s="10">
        <f t="shared" si="25"/>
        <v>0.01</v>
      </c>
      <c r="AE162" s="10">
        <f t="shared" si="25"/>
        <v>0.01</v>
      </c>
      <c r="AF162" s="10">
        <f t="shared" si="25"/>
        <v>0</v>
      </c>
    </row>
    <row r="163" spans="1:32">
      <c r="A163" s="10" t="s">
        <v>24</v>
      </c>
      <c r="B163" s="61" t="s">
        <v>308</v>
      </c>
      <c r="C163" s="10">
        <f t="shared" si="26"/>
        <v>0</v>
      </c>
      <c r="D163" s="10">
        <f t="shared" si="25"/>
        <v>0</v>
      </c>
      <c r="E163" s="10">
        <f t="shared" si="25"/>
        <v>0</v>
      </c>
      <c r="F163" s="10">
        <f t="shared" si="25"/>
        <v>0</v>
      </c>
      <c r="G163" s="10">
        <f t="shared" si="25"/>
        <v>0</v>
      </c>
      <c r="H163" s="10">
        <f t="shared" si="25"/>
        <v>0.01</v>
      </c>
      <c r="I163" s="10">
        <f t="shared" si="25"/>
        <v>0.01</v>
      </c>
      <c r="J163" s="10">
        <f t="shared" si="25"/>
        <v>0.01</v>
      </c>
      <c r="K163" s="10">
        <f t="shared" si="25"/>
        <v>0</v>
      </c>
      <c r="L163" s="10">
        <f t="shared" si="25"/>
        <v>0</v>
      </c>
      <c r="M163" s="10">
        <f t="shared" si="25"/>
        <v>0.01</v>
      </c>
      <c r="N163" s="10">
        <f t="shared" si="25"/>
        <v>0</v>
      </c>
      <c r="O163" s="10">
        <f t="shared" si="25"/>
        <v>0</v>
      </c>
      <c r="P163" s="10">
        <f t="shared" si="25"/>
        <v>0</v>
      </c>
      <c r="Q163" s="10">
        <f t="shared" si="25"/>
        <v>0</v>
      </c>
      <c r="R163" s="10">
        <f t="shared" si="25"/>
        <v>0</v>
      </c>
      <c r="S163" s="10">
        <f t="shared" si="25"/>
        <v>0.01</v>
      </c>
      <c r="T163" s="10">
        <f t="shared" si="25"/>
        <v>0</v>
      </c>
      <c r="U163" s="10">
        <f t="shared" si="25"/>
        <v>0.01</v>
      </c>
      <c r="V163" s="10">
        <f t="shared" si="25"/>
        <v>0</v>
      </c>
      <c r="W163" s="10">
        <f t="shared" si="25"/>
        <v>0</v>
      </c>
      <c r="X163" s="10">
        <f t="shared" si="25"/>
        <v>0.01</v>
      </c>
      <c r="Y163" s="10">
        <f t="shared" si="25"/>
        <v>0.01</v>
      </c>
      <c r="Z163" s="10">
        <f t="shared" si="25"/>
        <v>0</v>
      </c>
      <c r="AA163" s="10">
        <f t="shared" si="25"/>
        <v>0</v>
      </c>
      <c r="AB163" s="10">
        <f t="shared" si="25"/>
        <v>0.01</v>
      </c>
      <c r="AC163" s="10">
        <f t="shared" si="25"/>
        <v>0</v>
      </c>
      <c r="AD163" s="10">
        <f t="shared" si="25"/>
        <v>0.01</v>
      </c>
      <c r="AE163" s="10">
        <f t="shared" si="25"/>
        <v>0</v>
      </c>
      <c r="AF163" s="10">
        <f t="shared" si="25"/>
        <v>0</v>
      </c>
    </row>
    <row r="164" spans="1:32">
      <c r="A164" s="10" t="s">
        <v>24</v>
      </c>
      <c r="B164" s="61" t="s">
        <v>286</v>
      </c>
      <c r="C164" s="10">
        <f t="shared" si="26"/>
        <v>0.01</v>
      </c>
      <c r="D164" s="10">
        <f t="shared" si="25"/>
        <v>0.01</v>
      </c>
      <c r="E164" s="10">
        <f t="shared" si="25"/>
        <v>0.01</v>
      </c>
      <c r="F164" s="10">
        <f t="shared" si="25"/>
        <v>0</v>
      </c>
      <c r="G164" s="10">
        <f t="shared" si="25"/>
        <v>0.01</v>
      </c>
      <c r="H164" s="10">
        <f t="shared" si="25"/>
        <v>0</v>
      </c>
      <c r="I164" s="10">
        <f t="shared" si="25"/>
        <v>0.01</v>
      </c>
      <c r="J164" s="10">
        <f t="shared" si="25"/>
        <v>0</v>
      </c>
      <c r="K164" s="10">
        <f t="shared" si="25"/>
        <v>0</v>
      </c>
      <c r="L164" s="10">
        <f t="shared" si="25"/>
        <v>0</v>
      </c>
      <c r="M164" s="10">
        <f t="shared" si="25"/>
        <v>0</v>
      </c>
      <c r="N164" s="10">
        <f t="shared" si="25"/>
        <v>0</v>
      </c>
      <c r="O164" s="10">
        <f t="shared" si="25"/>
        <v>0.01</v>
      </c>
      <c r="P164" s="10">
        <f t="shared" si="25"/>
        <v>0</v>
      </c>
      <c r="Q164" s="10">
        <f t="shared" si="25"/>
        <v>0.01</v>
      </c>
      <c r="R164" s="10">
        <f t="shared" si="25"/>
        <v>0.01</v>
      </c>
      <c r="S164" s="10">
        <f t="shared" si="25"/>
        <v>0</v>
      </c>
      <c r="T164" s="10">
        <f t="shared" si="25"/>
        <v>0.01</v>
      </c>
      <c r="U164" s="10">
        <f t="shared" si="25"/>
        <v>0</v>
      </c>
      <c r="V164" s="10">
        <f t="shared" si="25"/>
        <v>0</v>
      </c>
      <c r="W164" s="10">
        <f t="shared" si="25"/>
        <v>0.01</v>
      </c>
      <c r="X164" s="10">
        <f t="shared" si="25"/>
        <v>0</v>
      </c>
      <c r="Y164" s="10">
        <f t="shared" si="25"/>
        <v>0</v>
      </c>
      <c r="Z164" s="10">
        <f t="shared" si="25"/>
        <v>0.01</v>
      </c>
      <c r="AA164" s="10">
        <f t="shared" si="25"/>
        <v>0</v>
      </c>
      <c r="AB164" s="10">
        <f t="shared" si="25"/>
        <v>0</v>
      </c>
      <c r="AC164" s="10">
        <f t="shared" si="25"/>
        <v>0.01</v>
      </c>
      <c r="AD164" s="10">
        <f t="shared" si="25"/>
        <v>0</v>
      </c>
      <c r="AE164" s="10">
        <f t="shared" si="25"/>
        <v>0.01</v>
      </c>
      <c r="AF164" s="10">
        <f t="shared" si="25"/>
        <v>0</v>
      </c>
    </row>
    <row r="165" spans="1:32">
      <c r="A165" s="10" t="s">
        <v>24</v>
      </c>
      <c r="B165" s="61" t="s">
        <v>287</v>
      </c>
      <c r="C165" s="10">
        <f t="shared" si="26"/>
        <v>0</v>
      </c>
      <c r="D165" s="10">
        <f t="shared" si="25"/>
        <v>0</v>
      </c>
      <c r="E165" s="10">
        <f t="shared" si="25"/>
        <v>0</v>
      </c>
      <c r="F165" s="10">
        <f t="shared" si="25"/>
        <v>0</v>
      </c>
      <c r="G165" s="10">
        <f t="shared" si="25"/>
        <v>0</v>
      </c>
      <c r="H165" s="10">
        <f t="shared" si="25"/>
        <v>0</v>
      </c>
      <c r="I165" s="10">
        <f t="shared" si="25"/>
        <v>0.01</v>
      </c>
      <c r="J165" s="10">
        <f t="shared" si="25"/>
        <v>0.01</v>
      </c>
      <c r="K165" s="10">
        <f t="shared" si="25"/>
        <v>0.01</v>
      </c>
      <c r="L165" s="10">
        <f t="shared" si="25"/>
        <v>0</v>
      </c>
      <c r="M165" s="10">
        <f t="shared" ref="D165:AF174" si="27">IF(M15&gt;0,0.01,0)</f>
        <v>0</v>
      </c>
      <c r="N165" s="10">
        <f t="shared" si="27"/>
        <v>0</v>
      </c>
      <c r="O165" s="10">
        <f t="shared" si="27"/>
        <v>0</v>
      </c>
      <c r="P165" s="10">
        <f t="shared" si="27"/>
        <v>0</v>
      </c>
      <c r="Q165" s="10">
        <f t="shared" si="27"/>
        <v>0</v>
      </c>
      <c r="R165" s="10">
        <f t="shared" si="27"/>
        <v>0</v>
      </c>
      <c r="S165" s="10">
        <f t="shared" si="27"/>
        <v>0.01</v>
      </c>
      <c r="T165" s="10">
        <f t="shared" si="27"/>
        <v>0</v>
      </c>
      <c r="U165" s="10">
        <f t="shared" si="27"/>
        <v>0.01</v>
      </c>
      <c r="V165" s="10">
        <f t="shared" si="27"/>
        <v>0</v>
      </c>
      <c r="W165" s="10">
        <f t="shared" si="27"/>
        <v>0</v>
      </c>
      <c r="X165" s="10">
        <f t="shared" si="27"/>
        <v>0.01</v>
      </c>
      <c r="Y165" s="10">
        <f t="shared" si="27"/>
        <v>0.01</v>
      </c>
      <c r="Z165" s="10">
        <f t="shared" si="27"/>
        <v>0</v>
      </c>
      <c r="AA165" s="10">
        <f t="shared" si="27"/>
        <v>0</v>
      </c>
      <c r="AB165" s="10">
        <f t="shared" si="27"/>
        <v>0.01</v>
      </c>
      <c r="AC165" s="10">
        <f t="shared" si="27"/>
        <v>0</v>
      </c>
      <c r="AD165" s="10">
        <f t="shared" si="27"/>
        <v>0</v>
      </c>
      <c r="AE165" s="10">
        <f t="shared" si="27"/>
        <v>0</v>
      </c>
      <c r="AF165" s="10">
        <f t="shared" si="27"/>
        <v>0</v>
      </c>
    </row>
    <row r="166" spans="1:32">
      <c r="A166" s="10" t="s">
        <v>24</v>
      </c>
      <c r="B166" s="61" t="s">
        <v>288</v>
      </c>
      <c r="C166" s="10">
        <f t="shared" si="26"/>
        <v>0</v>
      </c>
      <c r="D166" s="10">
        <f t="shared" si="27"/>
        <v>0.01</v>
      </c>
      <c r="E166" s="10">
        <f t="shared" si="27"/>
        <v>0.01</v>
      </c>
      <c r="F166" s="10">
        <f t="shared" si="27"/>
        <v>0</v>
      </c>
      <c r="G166" s="10">
        <f t="shared" si="27"/>
        <v>0.01</v>
      </c>
      <c r="H166" s="10">
        <f t="shared" si="27"/>
        <v>0.01</v>
      </c>
      <c r="I166" s="10">
        <f t="shared" si="27"/>
        <v>0.01</v>
      </c>
      <c r="J166" s="10">
        <f t="shared" si="27"/>
        <v>0.01</v>
      </c>
      <c r="K166" s="10">
        <f t="shared" si="27"/>
        <v>0</v>
      </c>
      <c r="L166" s="10">
        <f t="shared" si="27"/>
        <v>0.01</v>
      </c>
      <c r="M166" s="10">
        <f t="shared" si="27"/>
        <v>0</v>
      </c>
      <c r="N166" s="10">
        <f t="shared" si="27"/>
        <v>0.01</v>
      </c>
      <c r="O166" s="10">
        <f t="shared" si="27"/>
        <v>0.01</v>
      </c>
      <c r="P166" s="10">
        <f t="shared" si="27"/>
        <v>0.01</v>
      </c>
      <c r="Q166" s="10">
        <f t="shared" si="27"/>
        <v>0.01</v>
      </c>
      <c r="R166" s="10">
        <f t="shared" si="27"/>
        <v>0.01</v>
      </c>
      <c r="S166" s="10">
        <f t="shared" si="27"/>
        <v>0</v>
      </c>
      <c r="T166" s="10">
        <f t="shared" si="27"/>
        <v>0.01</v>
      </c>
      <c r="U166" s="10">
        <f t="shared" si="27"/>
        <v>0</v>
      </c>
      <c r="V166" s="10">
        <f t="shared" si="27"/>
        <v>0.01</v>
      </c>
      <c r="W166" s="10">
        <f t="shared" si="27"/>
        <v>0.01</v>
      </c>
      <c r="X166" s="10">
        <f t="shared" si="27"/>
        <v>0.01</v>
      </c>
      <c r="Y166" s="10">
        <f t="shared" si="27"/>
        <v>0.01</v>
      </c>
      <c r="Z166" s="10">
        <f t="shared" si="27"/>
        <v>0.01</v>
      </c>
      <c r="AA166" s="10">
        <f t="shared" si="27"/>
        <v>0.01</v>
      </c>
      <c r="AB166" s="10">
        <f t="shared" si="27"/>
        <v>0.01</v>
      </c>
      <c r="AC166" s="10">
        <f t="shared" si="27"/>
        <v>0.01</v>
      </c>
      <c r="AD166" s="10">
        <f t="shared" si="27"/>
        <v>0.01</v>
      </c>
      <c r="AE166" s="10">
        <f t="shared" si="27"/>
        <v>0.01</v>
      </c>
      <c r="AF166" s="10">
        <f t="shared" si="27"/>
        <v>0</v>
      </c>
    </row>
    <row r="167" spans="1:32">
      <c r="A167" s="10" t="s">
        <v>24</v>
      </c>
      <c r="B167" s="61" t="s">
        <v>289</v>
      </c>
      <c r="C167" s="10">
        <f t="shared" si="26"/>
        <v>0.01</v>
      </c>
      <c r="D167" s="10">
        <f t="shared" si="27"/>
        <v>0.01</v>
      </c>
      <c r="E167" s="10">
        <f t="shared" si="27"/>
        <v>0</v>
      </c>
      <c r="F167" s="10">
        <f t="shared" si="27"/>
        <v>0.01</v>
      </c>
      <c r="G167" s="10">
        <f t="shared" si="27"/>
        <v>0</v>
      </c>
      <c r="H167" s="10">
        <f t="shared" si="27"/>
        <v>0.01</v>
      </c>
      <c r="I167" s="10">
        <f t="shared" si="27"/>
        <v>0.01</v>
      </c>
      <c r="J167" s="10">
        <f t="shared" si="27"/>
        <v>0</v>
      </c>
      <c r="K167" s="10">
        <f t="shared" si="27"/>
        <v>0</v>
      </c>
      <c r="L167" s="10">
        <f t="shared" si="27"/>
        <v>0</v>
      </c>
      <c r="M167" s="10">
        <f t="shared" si="27"/>
        <v>0</v>
      </c>
      <c r="N167" s="10">
        <f t="shared" si="27"/>
        <v>0</v>
      </c>
      <c r="O167" s="10">
        <f t="shared" si="27"/>
        <v>0.01</v>
      </c>
      <c r="P167" s="10">
        <f t="shared" si="27"/>
        <v>0.01</v>
      </c>
      <c r="Q167" s="10">
        <f t="shared" si="27"/>
        <v>0</v>
      </c>
      <c r="R167" s="10">
        <f t="shared" si="27"/>
        <v>0.01</v>
      </c>
      <c r="S167" s="10">
        <f t="shared" si="27"/>
        <v>0</v>
      </c>
      <c r="T167" s="10">
        <f t="shared" si="27"/>
        <v>0</v>
      </c>
      <c r="U167" s="10">
        <f t="shared" si="27"/>
        <v>0</v>
      </c>
      <c r="V167" s="10">
        <f t="shared" si="27"/>
        <v>0.01</v>
      </c>
      <c r="W167" s="10">
        <f t="shared" si="27"/>
        <v>0</v>
      </c>
      <c r="X167" s="10">
        <f t="shared" si="27"/>
        <v>0</v>
      </c>
      <c r="Y167" s="10">
        <f t="shared" si="27"/>
        <v>0.01</v>
      </c>
      <c r="Z167" s="10">
        <f t="shared" si="27"/>
        <v>0</v>
      </c>
      <c r="AA167" s="10">
        <f t="shared" si="27"/>
        <v>0.01</v>
      </c>
      <c r="AB167" s="10">
        <f t="shared" si="27"/>
        <v>0</v>
      </c>
      <c r="AC167" s="10">
        <f t="shared" si="27"/>
        <v>0.01</v>
      </c>
      <c r="AD167" s="10">
        <f t="shared" si="27"/>
        <v>0.01</v>
      </c>
      <c r="AE167" s="10">
        <f t="shared" si="27"/>
        <v>0</v>
      </c>
      <c r="AF167" s="10">
        <f t="shared" si="27"/>
        <v>0.01</v>
      </c>
    </row>
    <row r="168" spans="1:32">
      <c r="A168" s="10" t="s">
        <v>24</v>
      </c>
      <c r="B168" s="61" t="s">
        <v>290</v>
      </c>
      <c r="C168" s="10">
        <f t="shared" si="26"/>
        <v>0.01</v>
      </c>
      <c r="D168" s="10">
        <f t="shared" si="27"/>
        <v>0.01</v>
      </c>
      <c r="E168" s="10">
        <f t="shared" si="27"/>
        <v>0.01</v>
      </c>
      <c r="F168" s="10">
        <f t="shared" si="27"/>
        <v>0.01</v>
      </c>
      <c r="G168" s="10">
        <f t="shared" si="27"/>
        <v>0.01</v>
      </c>
      <c r="H168" s="10">
        <f t="shared" si="27"/>
        <v>0.01</v>
      </c>
      <c r="I168" s="10">
        <f t="shared" si="27"/>
        <v>0.01</v>
      </c>
      <c r="J168" s="10">
        <f t="shared" si="27"/>
        <v>0.01</v>
      </c>
      <c r="K168" s="10">
        <f t="shared" si="27"/>
        <v>0</v>
      </c>
      <c r="L168" s="10">
        <f t="shared" si="27"/>
        <v>0.01</v>
      </c>
      <c r="M168" s="10">
        <f t="shared" si="27"/>
        <v>0</v>
      </c>
      <c r="N168" s="10">
        <f t="shared" si="27"/>
        <v>0.01</v>
      </c>
      <c r="O168" s="10">
        <f t="shared" si="27"/>
        <v>0</v>
      </c>
      <c r="P168" s="10">
        <f t="shared" si="27"/>
        <v>0.01</v>
      </c>
      <c r="Q168" s="10">
        <f t="shared" si="27"/>
        <v>0</v>
      </c>
      <c r="R168" s="10">
        <f t="shared" si="27"/>
        <v>0.01</v>
      </c>
      <c r="S168" s="10">
        <f t="shared" si="27"/>
        <v>0.01</v>
      </c>
      <c r="T168" s="10">
        <f t="shared" si="27"/>
        <v>0.01</v>
      </c>
      <c r="U168" s="10">
        <f t="shared" si="27"/>
        <v>0</v>
      </c>
      <c r="V168" s="10">
        <f t="shared" si="27"/>
        <v>0.01</v>
      </c>
      <c r="W168" s="10">
        <f t="shared" si="27"/>
        <v>0.01</v>
      </c>
      <c r="X168" s="10">
        <f t="shared" si="27"/>
        <v>0</v>
      </c>
      <c r="Y168" s="10">
        <f t="shared" si="27"/>
        <v>0.01</v>
      </c>
      <c r="Z168" s="10">
        <f t="shared" si="27"/>
        <v>0</v>
      </c>
      <c r="AA168" s="10">
        <f t="shared" si="27"/>
        <v>0.01</v>
      </c>
      <c r="AB168" s="10">
        <f t="shared" si="27"/>
        <v>0.01</v>
      </c>
      <c r="AC168" s="10">
        <f t="shared" si="27"/>
        <v>0.01</v>
      </c>
      <c r="AD168" s="10">
        <f t="shared" si="27"/>
        <v>0.01</v>
      </c>
      <c r="AE168" s="10">
        <f t="shared" si="27"/>
        <v>0</v>
      </c>
      <c r="AF168" s="10">
        <f t="shared" si="27"/>
        <v>0</v>
      </c>
    </row>
    <row r="169" spans="1:32">
      <c r="A169" s="10" t="s">
        <v>24</v>
      </c>
      <c r="B169" s="61" t="s">
        <v>291</v>
      </c>
      <c r="C169" s="10">
        <f t="shared" si="26"/>
        <v>0.01</v>
      </c>
      <c r="D169" s="10">
        <f t="shared" si="27"/>
        <v>0.01</v>
      </c>
      <c r="E169" s="10">
        <f t="shared" si="27"/>
        <v>0.01</v>
      </c>
      <c r="F169" s="10">
        <f t="shared" si="27"/>
        <v>0.01</v>
      </c>
      <c r="G169" s="10">
        <f t="shared" si="27"/>
        <v>0.01</v>
      </c>
      <c r="H169" s="10">
        <f t="shared" si="27"/>
        <v>0.01</v>
      </c>
      <c r="I169" s="10">
        <f t="shared" si="27"/>
        <v>0.01</v>
      </c>
      <c r="J169" s="10">
        <f t="shared" si="27"/>
        <v>0.01</v>
      </c>
      <c r="K169" s="10">
        <f t="shared" si="27"/>
        <v>0</v>
      </c>
      <c r="L169" s="10">
        <f t="shared" si="27"/>
        <v>0</v>
      </c>
      <c r="M169" s="10">
        <f t="shared" si="27"/>
        <v>0</v>
      </c>
      <c r="N169" s="10">
        <f t="shared" si="27"/>
        <v>0.01</v>
      </c>
      <c r="O169" s="10">
        <f t="shared" si="27"/>
        <v>0.01</v>
      </c>
      <c r="P169" s="10">
        <f t="shared" si="27"/>
        <v>0</v>
      </c>
      <c r="Q169" s="10">
        <f t="shared" si="27"/>
        <v>0</v>
      </c>
      <c r="R169" s="10">
        <f t="shared" si="27"/>
        <v>0.01</v>
      </c>
      <c r="S169" s="10">
        <f t="shared" si="27"/>
        <v>0.01</v>
      </c>
      <c r="T169" s="10">
        <f t="shared" si="27"/>
        <v>0.01</v>
      </c>
      <c r="U169" s="10">
        <f t="shared" si="27"/>
        <v>0.01</v>
      </c>
      <c r="V169" s="10">
        <f t="shared" si="27"/>
        <v>0.01</v>
      </c>
      <c r="W169" s="10">
        <f t="shared" si="27"/>
        <v>0.01</v>
      </c>
      <c r="X169" s="10">
        <f t="shared" si="27"/>
        <v>0</v>
      </c>
      <c r="Y169" s="10">
        <f t="shared" si="27"/>
        <v>0.01</v>
      </c>
      <c r="Z169" s="10">
        <f t="shared" si="27"/>
        <v>0</v>
      </c>
      <c r="AA169" s="10">
        <f t="shared" si="27"/>
        <v>0.01</v>
      </c>
      <c r="AB169" s="10">
        <f t="shared" si="27"/>
        <v>0.01</v>
      </c>
      <c r="AC169" s="10">
        <f t="shared" si="27"/>
        <v>0.01</v>
      </c>
      <c r="AD169" s="10">
        <f t="shared" si="27"/>
        <v>0.01</v>
      </c>
      <c r="AE169" s="10">
        <f t="shared" si="27"/>
        <v>0</v>
      </c>
      <c r="AF169" s="10">
        <f t="shared" si="27"/>
        <v>0</v>
      </c>
    </row>
    <row r="170" spans="1:32">
      <c r="A170" s="10" t="s">
        <v>24</v>
      </c>
      <c r="B170" s="61" t="s">
        <v>292</v>
      </c>
      <c r="C170" s="10">
        <f t="shared" si="26"/>
        <v>0.01</v>
      </c>
      <c r="D170" s="10">
        <f t="shared" si="27"/>
        <v>0</v>
      </c>
      <c r="E170" s="10">
        <f t="shared" si="27"/>
        <v>0.01</v>
      </c>
      <c r="F170" s="10">
        <f t="shared" si="27"/>
        <v>0</v>
      </c>
      <c r="G170" s="10">
        <f t="shared" si="27"/>
        <v>0</v>
      </c>
      <c r="H170" s="10">
        <f t="shared" si="27"/>
        <v>0</v>
      </c>
      <c r="I170" s="10">
        <f t="shared" si="27"/>
        <v>0.01</v>
      </c>
      <c r="J170" s="10">
        <f t="shared" si="27"/>
        <v>0.01</v>
      </c>
      <c r="K170" s="10">
        <f t="shared" si="27"/>
        <v>0</v>
      </c>
      <c r="L170" s="10">
        <f t="shared" si="27"/>
        <v>0.01</v>
      </c>
      <c r="M170" s="10">
        <f t="shared" si="27"/>
        <v>0</v>
      </c>
      <c r="N170" s="10">
        <f t="shared" si="27"/>
        <v>0</v>
      </c>
      <c r="O170" s="10">
        <f t="shared" si="27"/>
        <v>0</v>
      </c>
      <c r="P170" s="10">
        <f t="shared" si="27"/>
        <v>0</v>
      </c>
      <c r="Q170" s="10">
        <f t="shared" si="27"/>
        <v>0</v>
      </c>
      <c r="R170" s="10">
        <f t="shared" si="27"/>
        <v>0</v>
      </c>
      <c r="S170" s="10">
        <f t="shared" si="27"/>
        <v>0</v>
      </c>
      <c r="T170" s="10">
        <f t="shared" si="27"/>
        <v>0.01</v>
      </c>
      <c r="U170" s="10">
        <f t="shared" si="27"/>
        <v>0</v>
      </c>
      <c r="V170" s="10">
        <f t="shared" si="27"/>
        <v>0</v>
      </c>
      <c r="W170" s="10">
        <f t="shared" si="27"/>
        <v>0.01</v>
      </c>
      <c r="X170" s="10">
        <f t="shared" si="27"/>
        <v>0.01</v>
      </c>
      <c r="Y170" s="10">
        <f t="shared" si="27"/>
        <v>0</v>
      </c>
      <c r="Z170" s="10">
        <f t="shared" si="27"/>
        <v>0</v>
      </c>
      <c r="AA170" s="10">
        <f t="shared" si="27"/>
        <v>0</v>
      </c>
      <c r="AB170" s="10">
        <f t="shared" si="27"/>
        <v>0</v>
      </c>
      <c r="AC170" s="10">
        <f t="shared" si="27"/>
        <v>0</v>
      </c>
      <c r="AD170" s="10">
        <f t="shared" si="27"/>
        <v>0</v>
      </c>
      <c r="AE170" s="10">
        <f t="shared" si="27"/>
        <v>0.01</v>
      </c>
      <c r="AF170" s="10">
        <f t="shared" si="27"/>
        <v>0</v>
      </c>
    </row>
    <row r="171" spans="1:32">
      <c r="A171" s="10" t="s">
        <v>24</v>
      </c>
      <c r="B171" s="61" t="s">
        <v>293</v>
      </c>
      <c r="C171" s="10">
        <f t="shared" si="26"/>
        <v>0.01</v>
      </c>
      <c r="D171" s="10">
        <f t="shared" si="27"/>
        <v>0.01</v>
      </c>
      <c r="E171" s="10">
        <f t="shared" si="27"/>
        <v>0.01</v>
      </c>
      <c r="F171" s="10">
        <f t="shared" si="27"/>
        <v>0.01</v>
      </c>
      <c r="G171" s="10">
        <f t="shared" si="27"/>
        <v>0.01</v>
      </c>
      <c r="H171" s="10">
        <f t="shared" si="27"/>
        <v>0.01</v>
      </c>
      <c r="I171" s="10">
        <f t="shared" si="27"/>
        <v>0.01</v>
      </c>
      <c r="J171" s="10">
        <f t="shared" si="27"/>
        <v>0.01</v>
      </c>
      <c r="K171" s="10">
        <f t="shared" si="27"/>
        <v>0</v>
      </c>
      <c r="L171" s="10">
        <f t="shared" si="27"/>
        <v>0.01</v>
      </c>
      <c r="M171" s="10">
        <f t="shared" si="27"/>
        <v>0</v>
      </c>
      <c r="N171" s="10">
        <f t="shared" si="27"/>
        <v>0.01</v>
      </c>
      <c r="O171" s="10">
        <f t="shared" si="27"/>
        <v>0.01</v>
      </c>
      <c r="P171" s="10">
        <f t="shared" si="27"/>
        <v>0.01</v>
      </c>
      <c r="Q171" s="10">
        <f t="shared" si="27"/>
        <v>0</v>
      </c>
      <c r="R171" s="10">
        <f t="shared" si="27"/>
        <v>0</v>
      </c>
      <c r="S171" s="10">
        <f t="shared" si="27"/>
        <v>0</v>
      </c>
      <c r="T171" s="10">
        <f t="shared" si="27"/>
        <v>0.01</v>
      </c>
      <c r="U171" s="10">
        <f t="shared" si="27"/>
        <v>0</v>
      </c>
      <c r="V171" s="10">
        <f t="shared" si="27"/>
        <v>0.01</v>
      </c>
      <c r="W171" s="10">
        <f t="shared" si="27"/>
        <v>0.01</v>
      </c>
      <c r="X171" s="10">
        <f t="shared" si="27"/>
        <v>0</v>
      </c>
      <c r="Y171" s="10">
        <f t="shared" si="27"/>
        <v>0.01</v>
      </c>
      <c r="Z171" s="10">
        <f t="shared" si="27"/>
        <v>0</v>
      </c>
      <c r="AA171" s="10">
        <f t="shared" si="27"/>
        <v>0.01</v>
      </c>
      <c r="AB171" s="10">
        <f t="shared" si="27"/>
        <v>0.01</v>
      </c>
      <c r="AC171" s="10">
        <f t="shared" si="27"/>
        <v>0.01</v>
      </c>
      <c r="AD171" s="10">
        <f t="shared" si="27"/>
        <v>0.01</v>
      </c>
      <c r="AE171" s="10">
        <f t="shared" si="27"/>
        <v>0.01</v>
      </c>
      <c r="AF171" s="10">
        <f t="shared" si="27"/>
        <v>0</v>
      </c>
    </row>
    <row r="172" spans="1:32">
      <c r="A172" s="10" t="s">
        <v>24</v>
      </c>
      <c r="B172" s="61" t="s">
        <v>309</v>
      </c>
      <c r="C172" s="10">
        <f t="shared" si="26"/>
        <v>0</v>
      </c>
      <c r="D172" s="10">
        <f t="shared" si="27"/>
        <v>0.01</v>
      </c>
      <c r="E172" s="10">
        <f t="shared" si="27"/>
        <v>0</v>
      </c>
      <c r="F172" s="10">
        <f t="shared" si="27"/>
        <v>0</v>
      </c>
      <c r="G172" s="10">
        <f t="shared" si="27"/>
        <v>0</v>
      </c>
      <c r="H172" s="10">
        <f t="shared" si="27"/>
        <v>0.01</v>
      </c>
      <c r="I172" s="10">
        <f t="shared" si="27"/>
        <v>0.01</v>
      </c>
      <c r="J172" s="10">
        <f t="shared" si="27"/>
        <v>0.01</v>
      </c>
      <c r="K172" s="10">
        <f t="shared" si="27"/>
        <v>0.01</v>
      </c>
      <c r="L172" s="10">
        <f t="shared" si="27"/>
        <v>0</v>
      </c>
      <c r="M172" s="10">
        <f t="shared" si="27"/>
        <v>0.01</v>
      </c>
      <c r="N172" s="10">
        <f t="shared" si="27"/>
        <v>0</v>
      </c>
      <c r="O172" s="10">
        <f t="shared" si="27"/>
        <v>0.01</v>
      </c>
      <c r="P172" s="10">
        <f t="shared" si="27"/>
        <v>0.01</v>
      </c>
      <c r="Q172" s="10">
        <f t="shared" si="27"/>
        <v>0</v>
      </c>
      <c r="R172" s="10">
        <f t="shared" si="27"/>
        <v>0</v>
      </c>
      <c r="S172" s="10">
        <f t="shared" si="27"/>
        <v>0</v>
      </c>
      <c r="T172" s="10">
        <f t="shared" si="27"/>
        <v>0</v>
      </c>
      <c r="U172" s="10">
        <f t="shared" si="27"/>
        <v>0.01</v>
      </c>
      <c r="V172" s="10">
        <f t="shared" si="27"/>
        <v>0</v>
      </c>
      <c r="W172" s="10">
        <f t="shared" si="27"/>
        <v>0.01</v>
      </c>
      <c r="X172" s="10">
        <f t="shared" si="27"/>
        <v>0.01</v>
      </c>
      <c r="Y172" s="10">
        <f t="shared" si="27"/>
        <v>0.01</v>
      </c>
      <c r="Z172" s="10">
        <f t="shared" si="27"/>
        <v>0</v>
      </c>
      <c r="AA172" s="10">
        <f t="shared" si="27"/>
        <v>0.01</v>
      </c>
      <c r="AB172" s="10">
        <f t="shared" si="27"/>
        <v>0.01</v>
      </c>
      <c r="AC172" s="10">
        <f t="shared" si="27"/>
        <v>0.01</v>
      </c>
      <c r="AD172" s="10">
        <f t="shared" si="27"/>
        <v>0.01</v>
      </c>
      <c r="AE172" s="10">
        <f t="shared" si="27"/>
        <v>0</v>
      </c>
      <c r="AF172" s="10">
        <f t="shared" si="27"/>
        <v>0</v>
      </c>
    </row>
    <row r="173" spans="1:32">
      <c r="A173" s="10" t="s">
        <v>24</v>
      </c>
      <c r="B173" s="61" t="s">
        <v>294</v>
      </c>
      <c r="C173" s="10">
        <f t="shared" ref="C173:C185" si="28">IF(C23&gt;0,0.01,0)</f>
        <v>0.01</v>
      </c>
      <c r="D173" s="10">
        <f t="shared" si="27"/>
        <v>0.01</v>
      </c>
      <c r="E173" s="10">
        <f t="shared" si="27"/>
        <v>0.01</v>
      </c>
      <c r="F173" s="10">
        <f t="shared" si="27"/>
        <v>0</v>
      </c>
      <c r="G173" s="10">
        <f t="shared" si="27"/>
        <v>0.01</v>
      </c>
      <c r="H173" s="10">
        <f t="shared" si="27"/>
        <v>0.01</v>
      </c>
      <c r="I173" s="10">
        <f t="shared" si="27"/>
        <v>0.01</v>
      </c>
      <c r="J173" s="10">
        <f t="shared" si="27"/>
        <v>0.01</v>
      </c>
      <c r="K173" s="10">
        <f t="shared" si="27"/>
        <v>0</v>
      </c>
      <c r="L173" s="10">
        <f t="shared" si="27"/>
        <v>0.01</v>
      </c>
      <c r="M173" s="10">
        <f t="shared" si="27"/>
        <v>0</v>
      </c>
      <c r="N173" s="10">
        <f t="shared" si="27"/>
        <v>0</v>
      </c>
      <c r="O173" s="10">
        <f t="shared" si="27"/>
        <v>0.01</v>
      </c>
      <c r="P173" s="10">
        <f t="shared" si="27"/>
        <v>0.01</v>
      </c>
      <c r="Q173" s="10">
        <f t="shared" si="27"/>
        <v>0.01</v>
      </c>
      <c r="R173" s="10">
        <f t="shared" si="27"/>
        <v>0.01</v>
      </c>
      <c r="S173" s="10">
        <f t="shared" si="27"/>
        <v>0</v>
      </c>
      <c r="T173" s="10">
        <f t="shared" si="27"/>
        <v>0</v>
      </c>
      <c r="U173" s="10">
        <f t="shared" si="27"/>
        <v>0</v>
      </c>
      <c r="V173" s="10">
        <f t="shared" si="27"/>
        <v>0</v>
      </c>
      <c r="W173" s="10">
        <f t="shared" si="27"/>
        <v>0.01</v>
      </c>
      <c r="X173" s="10">
        <f t="shared" si="27"/>
        <v>0.01</v>
      </c>
      <c r="Y173" s="10">
        <f t="shared" si="27"/>
        <v>0.01</v>
      </c>
      <c r="Z173" s="10">
        <f t="shared" si="27"/>
        <v>0</v>
      </c>
      <c r="AA173" s="10">
        <f t="shared" si="27"/>
        <v>0</v>
      </c>
      <c r="AB173" s="10">
        <f t="shared" si="27"/>
        <v>0.01</v>
      </c>
      <c r="AC173" s="10">
        <f t="shared" si="27"/>
        <v>0.01</v>
      </c>
      <c r="AD173" s="10">
        <f t="shared" si="27"/>
        <v>0.01</v>
      </c>
      <c r="AE173" s="10">
        <f t="shared" si="27"/>
        <v>0.01</v>
      </c>
      <c r="AF173" s="10">
        <f t="shared" si="27"/>
        <v>0</v>
      </c>
    </row>
    <row r="174" spans="1:32">
      <c r="A174" s="10" t="s">
        <v>24</v>
      </c>
      <c r="B174" s="61" t="s">
        <v>310</v>
      </c>
      <c r="C174" s="10">
        <f t="shared" si="28"/>
        <v>0</v>
      </c>
      <c r="D174" s="10">
        <f t="shared" si="27"/>
        <v>0.01</v>
      </c>
      <c r="E174" s="10">
        <f t="shared" si="27"/>
        <v>0</v>
      </c>
      <c r="F174" s="10">
        <f t="shared" si="27"/>
        <v>0</v>
      </c>
      <c r="G174" s="10">
        <f t="shared" ref="D174:AF182" si="29">IF(G24&gt;0,0.01,0)</f>
        <v>0</v>
      </c>
      <c r="H174" s="10">
        <f t="shared" si="29"/>
        <v>0.01</v>
      </c>
      <c r="I174" s="10">
        <f t="shared" si="29"/>
        <v>0.01</v>
      </c>
      <c r="J174" s="10">
        <f t="shared" si="29"/>
        <v>0.01</v>
      </c>
      <c r="K174" s="10">
        <f t="shared" si="29"/>
        <v>0.01</v>
      </c>
      <c r="L174" s="10">
        <f t="shared" si="29"/>
        <v>0</v>
      </c>
      <c r="M174" s="10">
        <f t="shared" si="29"/>
        <v>0.01</v>
      </c>
      <c r="N174" s="10">
        <f t="shared" si="29"/>
        <v>0</v>
      </c>
      <c r="O174" s="10">
        <f t="shared" si="29"/>
        <v>0</v>
      </c>
      <c r="P174" s="10">
        <f t="shared" si="29"/>
        <v>0.01</v>
      </c>
      <c r="Q174" s="10">
        <f t="shared" si="29"/>
        <v>0</v>
      </c>
      <c r="R174" s="10">
        <f t="shared" si="29"/>
        <v>0</v>
      </c>
      <c r="S174" s="10">
        <f t="shared" si="29"/>
        <v>0.01</v>
      </c>
      <c r="T174" s="10">
        <f t="shared" si="29"/>
        <v>0</v>
      </c>
      <c r="U174" s="10">
        <f t="shared" si="29"/>
        <v>0</v>
      </c>
      <c r="V174" s="10">
        <f t="shared" si="29"/>
        <v>0</v>
      </c>
      <c r="W174" s="10">
        <f t="shared" si="29"/>
        <v>0.01</v>
      </c>
      <c r="X174" s="10">
        <f t="shared" si="29"/>
        <v>0.01</v>
      </c>
      <c r="Y174" s="10">
        <f t="shared" si="29"/>
        <v>0.01</v>
      </c>
      <c r="Z174" s="10">
        <f t="shared" si="29"/>
        <v>0</v>
      </c>
      <c r="AA174" s="10">
        <f t="shared" si="29"/>
        <v>0.01</v>
      </c>
      <c r="AB174" s="10">
        <f t="shared" si="29"/>
        <v>0.01</v>
      </c>
      <c r="AC174" s="10">
        <f t="shared" si="29"/>
        <v>0</v>
      </c>
      <c r="AD174" s="10">
        <f t="shared" si="29"/>
        <v>0.01</v>
      </c>
      <c r="AE174" s="10">
        <f t="shared" si="29"/>
        <v>0</v>
      </c>
      <c r="AF174" s="10">
        <f t="shared" si="29"/>
        <v>0</v>
      </c>
    </row>
    <row r="175" spans="1:32">
      <c r="A175" s="10" t="s">
        <v>24</v>
      </c>
      <c r="B175" s="61" t="s">
        <v>297</v>
      </c>
      <c r="C175" s="10">
        <f t="shared" si="28"/>
        <v>0.01</v>
      </c>
      <c r="D175" s="10">
        <f t="shared" si="29"/>
        <v>0.01</v>
      </c>
      <c r="E175" s="10">
        <f t="shared" si="29"/>
        <v>0.01</v>
      </c>
      <c r="F175" s="10">
        <f t="shared" si="29"/>
        <v>0</v>
      </c>
      <c r="G175" s="10">
        <f t="shared" si="29"/>
        <v>0.01</v>
      </c>
      <c r="H175" s="10">
        <f t="shared" si="29"/>
        <v>0.01</v>
      </c>
      <c r="I175" s="10">
        <f t="shared" si="29"/>
        <v>0.01</v>
      </c>
      <c r="J175" s="10">
        <f t="shared" si="29"/>
        <v>0.01</v>
      </c>
      <c r="K175" s="10">
        <f t="shared" si="29"/>
        <v>0</v>
      </c>
      <c r="L175" s="10">
        <f t="shared" si="29"/>
        <v>0.01</v>
      </c>
      <c r="M175" s="10">
        <f t="shared" si="29"/>
        <v>0</v>
      </c>
      <c r="N175" s="10">
        <f t="shared" si="29"/>
        <v>0</v>
      </c>
      <c r="O175" s="10">
        <f t="shared" si="29"/>
        <v>0.01</v>
      </c>
      <c r="P175" s="10">
        <f t="shared" si="29"/>
        <v>0.01</v>
      </c>
      <c r="Q175" s="10">
        <f t="shared" si="29"/>
        <v>0.01</v>
      </c>
      <c r="R175" s="10">
        <f t="shared" si="29"/>
        <v>0.01</v>
      </c>
      <c r="S175" s="10">
        <f t="shared" si="29"/>
        <v>0.01</v>
      </c>
      <c r="T175" s="10">
        <f t="shared" si="29"/>
        <v>0.01</v>
      </c>
      <c r="U175" s="10">
        <f t="shared" si="29"/>
        <v>0.01</v>
      </c>
      <c r="V175" s="10">
        <f t="shared" si="29"/>
        <v>0</v>
      </c>
      <c r="W175" s="10">
        <f t="shared" si="29"/>
        <v>0</v>
      </c>
      <c r="X175" s="10">
        <f t="shared" si="29"/>
        <v>0.01</v>
      </c>
      <c r="Y175" s="10">
        <f t="shared" si="29"/>
        <v>0.01</v>
      </c>
      <c r="Z175" s="10">
        <f t="shared" si="29"/>
        <v>0</v>
      </c>
      <c r="AA175" s="10">
        <f t="shared" si="29"/>
        <v>0</v>
      </c>
      <c r="AB175" s="10">
        <f t="shared" si="29"/>
        <v>0.01</v>
      </c>
      <c r="AC175" s="10">
        <f t="shared" si="29"/>
        <v>0.01</v>
      </c>
      <c r="AD175" s="10">
        <f t="shared" si="29"/>
        <v>0.01</v>
      </c>
      <c r="AE175" s="10">
        <f t="shared" si="29"/>
        <v>0.01</v>
      </c>
      <c r="AF175" s="10">
        <f t="shared" si="29"/>
        <v>0</v>
      </c>
    </row>
    <row r="176" spans="1:32">
      <c r="A176" s="10" t="s">
        <v>24</v>
      </c>
      <c r="B176" s="61" t="s">
        <v>298</v>
      </c>
      <c r="C176" s="10">
        <f t="shared" si="28"/>
        <v>0.01</v>
      </c>
      <c r="D176" s="10">
        <f t="shared" si="29"/>
        <v>0</v>
      </c>
      <c r="E176" s="10">
        <f t="shared" si="29"/>
        <v>0.01</v>
      </c>
      <c r="F176" s="10">
        <f t="shared" si="29"/>
        <v>0</v>
      </c>
      <c r="G176" s="10">
        <f t="shared" si="29"/>
        <v>0</v>
      </c>
      <c r="H176" s="10">
        <f t="shared" si="29"/>
        <v>0.01</v>
      </c>
      <c r="I176" s="10">
        <f t="shared" si="29"/>
        <v>0.01</v>
      </c>
      <c r="J176" s="10">
        <f t="shared" si="29"/>
        <v>0.01</v>
      </c>
      <c r="K176" s="10">
        <f t="shared" si="29"/>
        <v>0.01</v>
      </c>
      <c r="L176" s="10">
        <f t="shared" si="29"/>
        <v>0</v>
      </c>
      <c r="M176" s="10">
        <f t="shared" si="29"/>
        <v>0.01</v>
      </c>
      <c r="N176" s="10">
        <f t="shared" si="29"/>
        <v>0</v>
      </c>
      <c r="O176" s="10">
        <f t="shared" si="29"/>
        <v>0</v>
      </c>
      <c r="P176" s="10">
        <f t="shared" si="29"/>
        <v>0</v>
      </c>
      <c r="Q176" s="10">
        <f t="shared" si="29"/>
        <v>0.01</v>
      </c>
      <c r="R176" s="10">
        <f t="shared" si="29"/>
        <v>0</v>
      </c>
      <c r="S176" s="10">
        <f t="shared" si="29"/>
        <v>0.01</v>
      </c>
      <c r="T176" s="10">
        <f t="shared" si="29"/>
        <v>0.01</v>
      </c>
      <c r="U176" s="10">
        <f t="shared" si="29"/>
        <v>0.01</v>
      </c>
      <c r="V176" s="10">
        <f t="shared" si="29"/>
        <v>0</v>
      </c>
      <c r="W176" s="10">
        <f t="shared" si="29"/>
        <v>0.01</v>
      </c>
      <c r="X176" s="10">
        <f t="shared" si="29"/>
        <v>0</v>
      </c>
      <c r="Y176" s="10">
        <f t="shared" si="29"/>
        <v>0.01</v>
      </c>
      <c r="Z176" s="10">
        <f t="shared" si="29"/>
        <v>0</v>
      </c>
      <c r="AA176" s="10">
        <f t="shared" si="29"/>
        <v>0</v>
      </c>
      <c r="AB176" s="10">
        <f t="shared" si="29"/>
        <v>0.01</v>
      </c>
      <c r="AC176" s="10">
        <f t="shared" si="29"/>
        <v>0</v>
      </c>
      <c r="AD176" s="10">
        <f t="shared" si="29"/>
        <v>0</v>
      </c>
      <c r="AE176" s="10">
        <f t="shared" si="29"/>
        <v>0.01</v>
      </c>
      <c r="AF176" s="10">
        <f t="shared" si="29"/>
        <v>0</v>
      </c>
    </row>
    <row r="177" spans="1:32">
      <c r="A177" s="10" t="s">
        <v>24</v>
      </c>
      <c r="B177" s="61" t="s">
        <v>357</v>
      </c>
      <c r="C177" s="10">
        <f t="shared" si="28"/>
        <v>0.01</v>
      </c>
      <c r="D177" s="10">
        <f t="shared" si="29"/>
        <v>0.01</v>
      </c>
      <c r="E177" s="10">
        <f t="shared" si="29"/>
        <v>0</v>
      </c>
      <c r="F177" s="10">
        <f t="shared" si="29"/>
        <v>0.01</v>
      </c>
      <c r="G177" s="10">
        <f t="shared" si="29"/>
        <v>0.01</v>
      </c>
      <c r="H177" s="10">
        <f t="shared" si="29"/>
        <v>0.01</v>
      </c>
      <c r="I177" s="10">
        <f t="shared" si="29"/>
        <v>0.01</v>
      </c>
      <c r="J177" s="10">
        <f t="shared" si="29"/>
        <v>0</v>
      </c>
      <c r="K177" s="10">
        <f t="shared" si="29"/>
        <v>0</v>
      </c>
      <c r="L177" s="10">
        <f t="shared" si="29"/>
        <v>0</v>
      </c>
      <c r="M177" s="10">
        <f t="shared" si="29"/>
        <v>0</v>
      </c>
      <c r="N177" s="10">
        <f t="shared" si="29"/>
        <v>0.01</v>
      </c>
      <c r="O177" s="10">
        <f t="shared" si="29"/>
        <v>0.01</v>
      </c>
      <c r="P177" s="10">
        <f t="shared" si="29"/>
        <v>0.01</v>
      </c>
      <c r="Q177" s="10">
        <f t="shared" si="29"/>
        <v>0</v>
      </c>
      <c r="R177" s="10">
        <f t="shared" si="29"/>
        <v>0.01</v>
      </c>
      <c r="S177" s="10">
        <f t="shared" si="29"/>
        <v>0</v>
      </c>
      <c r="T177" s="10">
        <f t="shared" si="29"/>
        <v>0</v>
      </c>
      <c r="U177" s="10">
        <f t="shared" si="29"/>
        <v>0</v>
      </c>
      <c r="V177" s="10">
        <f t="shared" si="29"/>
        <v>0</v>
      </c>
      <c r="W177" s="10">
        <f t="shared" si="29"/>
        <v>0</v>
      </c>
      <c r="X177" s="10">
        <f t="shared" si="29"/>
        <v>0</v>
      </c>
      <c r="Y177" s="10">
        <f t="shared" si="29"/>
        <v>0.01</v>
      </c>
      <c r="Z177" s="10">
        <f t="shared" si="29"/>
        <v>0</v>
      </c>
      <c r="AA177" s="10">
        <f t="shared" si="29"/>
        <v>0.01</v>
      </c>
      <c r="AB177" s="10">
        <f t="shared" si="29"/>
        <v>0</v>
      </c>
      <c r="AC177" s="10">
        <f t="shared" si="29"/>
        <v>0.01</v>
      </c>
      <c r="AD177" s="10">
        <f t="shared" si="29"/>
        <v>0.01</v>
      </c>
      <c r="AE177" s="10">
        <f t="shared" si="29"/>
        <v>0</v>
      </c>
      <c r="AF177" s="10">
        <f t="shared" si="29"/>
        <v>0</v>
      </c>
    </row>
    <row r="178" spans="1:32">
      <c r="A178" s="10" t="s">
        <v>24</v>
      </c>
      <c r="B178" s="61" t="s">
        <v>299</v>
      </c>
      <c r="C178" s="10">
        <f t="shared" si="28"/>
        <v>0.01</v>
      </c>
      <c r="D178" s="10">
        <f t="shared" si="29"/>
        <v>0.01</v>
      </c>
      <c r="E178" s="10">
        <f t="shared" si="29"/>
        <v>0.01</v>
      </c>
      <c r="F178" s="10">
        <f t="shared" si="29"/>
        <v>0.01</v>
      </c>
      <c r="G178" s="10">
        <f t="shared" si="29"/>
        <v>0.01</v>
      </c>
      <c r="H178" s="10">
        <f t="shared" si="29"/>
        <v>0.01</v>
      </c>
      <c r="I178" s="10">
        <f t="shared" si="29"/>
        <v>0.01</v>
      </c>
      <c r="J178" s="10">
        <f t="shared" si="29"/>
        <v>0.01</v>
      </c>
      <c r="K178" s="10">
        <f t="shared" si="29"/>
        <v>0.01</v>
      </c>
      <c r="L178" s="10">
        <f t="shared" si="29"/>
        <v>0</v>
      </c>
      <c r="M178" s="10">
        <f t="shared" si="29"/>
        <v>0.01</v>
      </c>
      <c r="N178" s="10">
        <f t="shared" si="29"/>
        <v>0.01</v>
      </c>
      <c r="O178" s="10">
        <f t="shared" si="29"/>
        <v>0.01</v>
      </c>
      <c r="P178" s="10">
        <f t="shared" si="29"/>
        <v>0.01</v>
      </c>
      <c r="Q178" s="10">
        <f t="shared" si="29"/>
        <v>0</v>
      </c>
      <c r="R178" s="10">
        <f t="shared" si="29"/>
        <v>0.01</v>
      </c>
      <c r="S178" s="10">
        <f t="shared" si="29"/>
        <v>0.01</v>
      </c>
      <c r="T178" s="10">
        <f t="shared" si="29"/>
        <v>0.01</v>
      </c>
      <c r="U178" s="10">
        <f t="shared" si="29"/>
        <v>0.01</v>
      </c>
      <c r="V178" s="10">
        <f t="shared" si="29"/>
        <v>0.01</v>
      </c>
      <c r="W178" s="10">
        <f t="shared" si="29"/>
        <v>0.01</v>
      </c>
      <c r="X178" s="10">
        <f t="shared" si="29"/>
        <v>0.01</v>
      </c>
      <c r="Y178" s="10">
        <f t="shared" si="29"/>
        <v>0</v>
      </c>
      <c r="Z178" s="10">
        <f t="shared" si="29"/>
        <v>0</v>
      </c>
      <c r="AA178" s="10">
        <f t="shared" si="29"/>
        <v>0.01</v>
      </c>
      <c r="AB178" s="10">
        <f t="shared" si="29"/>
        <v>0.01</v>
      </c>
      <c r="AC178" s="10">
        <f t="shared" si="29"/>
        <v>0.01</v>
      </c>
      <c r="AD178" s="10">
        <f t="shared" si="29"/>
        <v>0.01</v>
      </c>
      <c r="AE178" s="10">
        <f t="shared" si="29"/>
        <v>0.01</v>
      </c>
      <c r="AF178" s="10">
        <f t="shared" si="29"/>
        <v>0</v>
      </c>
    </row>
    <row r="179" spans="1:32">
      <c r="A179" s="10" t="s">
        <v>24</v>
      </c>
      <c r="B179" s="61" t="s">
        <v>300</v>
      </c>
      <c r="C179" s="10">
        <f t="shared" si="28"/>
        <v>0.01</v>
      </c>
      <c r="D179" s="10">
        <f t="shared" si="29"/>
        <v>0</v>
      </c>
      <c r="E179" s="10">
        <f t="shared" si="29"/>
        <v>0</v>
      </c>
      <c r="F179" s="10">
        <f t="shared" si="29"/>
        <v>0</v>
      </c>
      <c r="G179" s="10">
        <f t="shared" si="29"/>
        <v>0</v>
      </c>
      <c r="H179" s="10">
        <f t="shared" si="29"/>
        <v>0</v>
      </c>
      <c r="I179" s="10">
        <f t="shared" si="29"/>
        <v>0</v>
      </c>
      <c r="J179" s="10">
        <f t="shared" si="29"/>
        <v>0</v>
      </c>
      <c r="K179" s="10">
        <f t="shared" si="29"/>
        <v>0</v>
      </c>
      <c r="L179" s="10">
        <f t="shared" si="29"/>
        <v>0.01</v>
      </c>
      <c r="M179" s="10">
        <f t="shared" si="29"/>
        <v>0</v>
      </c>
      <c r="N179" s="10">
        <f t="shared" si="29"/>
        <v>0</v>
      </c>
      <c r="O179" s="10">
        <f t="shared" si="29"/>
        <v>0</v>
      </c>
      <c r="P179" s="10">
        <f t="shared" si="29"/>
        <v>0</v>
      </c>
      <c r="Q179" s="10">
        <f t="shared" si="29"/>
        <v>0</v>
      </c>
      <c r="R179" s="10">
        <f t="shared" si="29"/>
        <v>0</v>
      </c>
      <c r="S179" s="10">
        <f t="shared" si="29"/>
        <v>0</v>
      </c>
      <c r="T179" s="10">
        <f t="shared" si="29"/>
        <v>0</v>
      </c>
      <c r="U179" s="10">
        <f t="shared" si="29"/>
        <v>0</v>
      </c>
      <c r="V179" s="10">
        <f t="shared" si="29"/>
        <v>0</v>
      </c>
      <c r="W179" s="10">
        <f t="shared" si="29"/>
        <v>0</v>
      </c>
      <c r="X179" s="10">
        <f t="shared" si="29"/>
        <v>0</v>
      </c>
      <c r="Y179" s="10">
        <f t="shared" si="29"/>
        <v>0</v>
      </c>
      <c r="Z179" s="10">
        <f t="shared" si="29"/>
        <v>0</v>
      </c>
      <c r="AA179" s="10">
        <f t="shared" si="29"/>
        <v>0</v>
      </c>
      <c r="AB179" s="10">
        <f t="shared" si="29"/>
        <v>0</v>
      </c>
      <c r="AC179" s="10">
        <f t="shared" si="29"/>
        <v>0</v>
      </c>
      <c r="AD179" s="10">
        <f t="shared" si="29"/>
        <v>0</v>
      </c>
      <c r="AE179" s="10">
        <f t="shared" si="29"/>
        <v>0.01</v>
      </c>
      <c r="AF179" s="10">
        <f t="shared" si="29"/>
        <v>0</v>
      </c>
    </row>
    <row r="180" spans="1:32">
      <c r="A180" s="10" t="s">
        <v>24</v>
      </c>
      <c r="B180" s="61" t="s">
        <v>301</v>
      </c>
      <c r="C180" s="10">
        <f t="shared" si="28"/>
        <v>0.01</v>
      </c>
      <c r="D180" s="10">
        <f t="shared" si="29"/>
        <v>0.01</v>
      </c>
      <c r="E180" s="10">
        <f t="shared" si="29"/>
        <v>0</v>
      </c>
      <c r="F180" s="10">
        <f t="shared" si="29"/>
        <v>0.01</v>
      </c>
      <c r="G180" s="10">
        <f t="shared" si="29"/>
        <v>0.01</v>
      </c>
      <c r="H180" s="10">
        <f t="shared" si="29"/>
        <v>0.01</v>
      </c>
      <c r="I180" s="10">
        <f t="shared" si="29"/>
        <v>0.01</v>
      </c>
      <c r="J180" s="10">
        <f t="shared" si="29"/>
        <v>0.01</v>
      </c>
      <c r="K180" s="10">
        <f t="shared" si="29"/>
        <v>0</v>
      </c>
      <c r="L180" s="10">
        <f t="shared" si="29"/>
        <v>0</v>
      </c>
      <c r="M180" s="10">
        <f t="shared" si="29"/>
        <v>0</v>
      </c>
      <c r="N180" s="10">
        <f t="shared" si="29"/>
        <v>0.01</v>
      </c>
      <c r="O180" s="10">
        <f t="shared" si="29"/>
        <v>0.01</v>
      </c>
      <c r="P180" s="10">
        <f t="shared" si="29"/>
        <v>0.01</v>
      </c>
      <c r="Q180" s="10">
        <f t="shared" si="29"/>
        <v>0</v>
      </c>
      <c r="R180" s="10">
        <f t="shared" si="29"/>
        <v>0.01</v>
      </c>
      <c r="S180" s="10">
        <f t="shared" si="29"/>
        <v>0.01</v>
      </c>
      <c r="T180" s="10">
        <f t="shared" si="29"/>
        <v>0</v>
      </c>
      <c r="U180" s="10">
        <f t="shared" si="29"/>
        <v>0.01</v>
      </c>
      <c r="V180" s="10">
        <f t="shared" si="29"/>
        <v>0.01</v>
      </c>
      <c r="W180" s="10">
        <f t="shared" si="29"/>
        <v>0</v>
      </c>
      <c r="X180" s="10">
        <f t="shared" si="29"/>
        <v>0</v>
      </c>
      <c r="Y180" s="10">
        <f t="shared" si="29"/>
        <v>0.01</v>
      </c>
      <c r="Z180" s="10">
        <f t="shared" si="29"/>
        <v>0</v>
      </c>
      <c r="AA180" s="10">
        <f t="shared" si="29"/>
        <v>0</v>
      </c>
      <c r="AB180" s="10">
        <f t="shared" si="29"/>
        <v>0</v>
      </c>
      <c r="AC180" s="10">
        <f t="shared" si="29"/>
        <v>0.01</v>
      </c>
      <c r="AD180" s="10">
        <f t="shared" si="29"/>
        <v>0.01</v>
      </c>
      <c r="AE180" s="10">
        <f t="shared" si="29"/>
        <v>0</v>
      </c>
      <c r="AF180" s="10">
        <f t="shared" si="29"/>
        <v>0.01</v>
      </c>
    </row>
    <row r="181" spans="1:32">
      <c r="A181" s="10" t="s">
        <v>24</v>
      </c>
      <c r="B181" s="61" t="s">
        <v>303</v>
      </c>
      <c r="C181" s="10">
        <f t="shared" si="28"/>
        <v>0.01</v>
      </c>
      <c r="D181" s="10">
        <f t="shared" si="29"/>
        <v>0.01</v>
      </c>
      <c r="E181" s="10">
        <f t="shared" si="29"/>
        <v>0.01</v>
      </c>
      <c r="F181" s="10">
        <f t="shared" si="29"/>
        <v>0</v>
      </c>
      <c r="G181" s="10">
        <f t="shared" si="29"/>
        <v>0.01</v>
      </c>
      <c r="H181" s="10">
        <f t="shared" si="29"/>
        <v>0.01</v>
      </c>
      <c r="I181" s="10">
        <f t="shared" si="29"/>
        <v>0.01</v>
      </c>
      <c r="J181" s="10">
        <f t="shared" si="29"/>
        <v>0.01</v>
      </c>
      <c r="K181" s="10">
        <f t="shared" si="29"/>
        <v>0.01</v>
      </c>
      <c r="L181" s="10">
        <f t="shared" si="29"/>
        <v>0</v>
      </c>
      <c r="M181" s="10">
        <f t="shared" si="29"/>
        <v>0.01</v>
      </c>
      <c r="N181" s="10">
        <f t="shared" si="29"/>
        <v>0</v>
      </c>
      <c r="O181" s="10">
        <f t="shared" si="29"/>
        <v>0.01</v>
      </c>
      <c r="P181" s="10">
        <f t="shared" si="29"/>
        <v>0.01</v>
      </c>
      <c r="Q181" s="10">
        <f t="shared" si="29"/>
        <v>0</v>
      </c>
      <c r="R181" s="10">
        <f t="shared" si="29"/>
        <v>0.01</v>
      </c>
      <c r="S181" s="10">
        <f t="shared" si="29"/>
        <v>0.01</v>
      </c>
      <c r="T181" s="10">
        <f t="shared" si="29"/>
        <v>0.01</v>
      </c>
      <c r="U181" s="10">
        <f t="shared" si="29"/>
        <v>0.01</v>
      </c>
      <c r="V181" s="10">
        <f t="shared" si="29"/>
        <v>0</v>
      </c>
      <c r="W181" s="10">
        <f t="shared" si="29"/>
        <v>0.01</v>
      </c>
      <c r="X181" s="10">
        <f t="shared" si="29"/>
        <v>0.01</v>
      </c>
      <c r="Y181" s="10">
        <f t="shared" si="29"/>
        <v>0.01</v>
      </c>
      <c r="Z181" s="10">
        <f t="shared" si="29"/>
        <v>0</v>
      </c>
      <c r="AA181" s="10">
        <f t="shared" si="29"/>
        <v>0</v>
      </c>
      <c r="AB181" s="10">
        <f t="shared" si="29"/>
        <v>0</v>
      </c>
      <c r="AC181" s="10">
        <f t="shared" si="29"/>
        <v>0.01</v>
      </c>
      <c r="AD181" s="10">
        <f t="shared" si="29"/>
        <v>0.01</v>
      </c>
      <c r="AE181" s="10">
        <f t="shared" si="29"/>
        <v>0.01</v>
      </c>
      <c r="AF181" s="10">
        <f t="shared" si="29"/>
        <v>0</v>
      </c>
    </row>
    <row r="182" spans="1:32">
      <c r="A182" s="10" t="s">
        <v>24</v>
      </c>
      <c r="B182" s="61" t="s">
        <v>304</v>
      </c>
      <c r="C182" s="10">
        <f t="shared" si="28"/>
        <v>0.01</v>
      </c>
      <c r="D182" s="10">
        <f t="shared" si="29"/>
        <v>0.01</v>
      </c>
      <c r="E182" s="10">
        <f t="shared" si="29"/>
        <v>0.01</v>
      </c>
      <c r="F182" s="10">
        <f t="shared" si="29"/>
        <v>0.01</v>
      </c>
      <c r="G182" s="10">
        <f t="shared" si="29"/>
        <v>0.01</v>
      </c>
      <c r="H182" s="10">
        <f t="shared" si="29"/>
        <v>0.01</v>
      </c>
      <c r="I182" s="10">
        <f t="shared" si="29"/>
        <v>0.01</v>
      </c>
      <c r="J182" s="10">
        <f t="shared" si="29"/>
        <v>0.01</v>
      </c>
      <c r="K182" s="10">
        <f t="shared" si="29"/>
        <v>0</v>
      </c>
      <c r="L182" s="10">
        <f t="shared" si="29"/>
        <v>0.01</v>
      </c>
      <c r="M182" s="10">
        <f t="shared" si="29"/>
        <v>0</v>
      </c>
      <c r="N182" s="10">
        <f t="shared" si="29"/>
        <v>0.01</v>
      </c>
      <c r="O182" s="10">
        <f t="shared" si="29"/>
        <v>0.01</v>
      </c>
      <c r="P182" s="10">
        <f t="shared" si="29"/>
        <v>0.01</v>
      </c>
      <c r="Q182" s="10">
        <f t="shared" si="29"/>
        <v>0</v>
      </c>
      <c r="R182" s="10">
        <f t="shared" si="29"/>
        <v>0.01</v>
      </c>
      <c r="S182" s="10">
        <f t="shared" si="29"/>
        <v>0.01</v>
      </c>
      <c r="T182" s="10">
        <f t="shared" si="29"/>
        <v>0.01</v>
      </c>
      <c r="U182" s="10">
        <f t="shared" si="29"/>
        <v>0</v>
      </c>
      <c r="V182" s="10">
        <f t="shared" si="29"/>
        <v>0.01</v>
      </c>
      <c r="W182" s="10">
        <f t="shared" si="29"/>
        <v>0.01</v>
      </c>
      <c r="X182" s="10">
        <f t="shared" si="29"/>
        <v>0</v>
      </c>
      <c r="Y182" s="10">
        <f t="shared" si="29"/>
        <v>0.01</v>
      </c>
      <c r="Z182" s="10">
        <f t="shared" si="29"/>
        <v>0</v>
      </c>
      <c r="AA182" s="10">
        <f t="shared" si="29"/>
        <v>0.01</v>
      </c>
      <c r="AB182" s="10">
        <f t="shared" si="29"/>
        <v>0.01</v>
      </c>
      <c r="AC182" s="10">
        <f t="shared" si="29"/>
        <v>0</v>
      </c>
      <c r="AD182" s="10">
        <f t="shared" ref="D182:AF185" si="30">IF(AD32&gt;0,0.01,0)</f>
        <v>0.01</v>
      </c>
      <c r="AE182" s="10">
        <f t="shared" si="30"/>
        <v>0</v>
      </c>
      <c r="AF182" s="10">
        <f t="shared" si="30"/>
        <v>0</v>
      </c>
    </row>
    <row r="183" spans="1:32">
      <c r="A183" s="10" t="s">
        <v>24</v>
      </c>
      <c r="B183" s="61" t="s">
        <v>305</v>
      </c>
      <c r="C183" s="10">
        <f t="shared" si="28"/>
        <v>0.01</v>
      </c>
      <c r="D183" s="10">
        <f t="shared" si="30"/>
        <v>0.01</v>
      </c>
      <c r="E183" s="10">
        <f t="shared" si="30"/>
        <v>0.01</v>
      </c>
      <c r="F183" s="10">
        <f t="shared" si="30"/>
        <v>0.01</v>
      </c>
      <c r="G183" s="10">
        <f t="shared" si="30"/>
        <v>0.01</v>
      </c>
      <c r="H183" s="10">
        <f t="shared" si="30"/>
        <v>0.01</v>
      </c>
      <c r="I183" s="10">
        <f t="shared" si="30"/>
        <v>0.01</v>
      </c>
      <c r="J183" s="10">
        <f t="shared" si="30"/>
        <v>0.01</v>
      </c>
      <c r="K183" s="10">
        <f t="shared" si="30"/>
        <v>0.01</v>
      </c>
      <c r="L183" s="10">
        <f t="shared" si="30"/>
        <v>0</v>
      </c>
      <c r="M183" s="10">
        <f t="shared" si="30"/>
        <v>0</v>
      </c>
      <c r="N183" s="10">
        <f t="shared" si="30"/>
        <v>0.01</v>
      </c>
      <c r="O183" s="10">
        <f t="shared" si="30"/>
        <v>0.01</v>
      </c>
      <c r="P183" s="10">
        <f t="shared" si="30"/>
        <v>0.01</v>
      </c>
      <c r="Q183" s="10">
        <f t="shared" si="30"/>
        <v>0</v>
      </c>
      <c r="R183" s="10">
        <f t="shared" si="30"/>
        <v>0.01</v>
      </c>
      <c r="S183" s="10">
        <f t="shared" si="30"/>
        <v>0.01</v>
      </c>
      <c r="T183" s="10">
        <f t="shared" si="30"/>
        <v>0.01</v>
      </c>
      <c r="U183" s="10">
        <f t="shared" si="30"/>
        <v>0.01</v>
      </c>
      <c r="V183" s="10">
        <f t="shared" si="30"/>
        <v>0.01</v>
      </c>
      <c r="W183" s="10">
        <f t="shared" si="30"/>
        <v>0.01</v>
      </c>
      <c r="X183" s="10">
        <f t="shared" si="30"/>
        <v>0</v>
      </c>
      <c r="Y183" s="10">
        <f t="shared" si="30"/>
        <v>0.01</v>
      </c>
      <c r="Z183" s="10">
        <f t="shared" si="30"/>
        <v>0</v>
      </c>
      <c r="AA183" s="10">
        <f t="shared" si="30"/>
        <v>0.01</v>
      </c>
      <c r="AB183" s="10">
        <f t="shared" si="30"/>
        <v>0.01</v>
      </c>
      <c r="AC183" s="10">
        <f t="shared" si="30"/>
        <v>0.01</v>
      </c>
      <c r="AD183" s="10">
        <f t="shared" si="30"/>
        <v>0</v>
      </c>
      <c r="AE183" s="10">
        <f t="shared" si="30"/>
        <v>0</v>
      </c>
      <c r="AF183" s="10">
        <f t="shared" si="30"/>
        <v>0</v>
      </c>
    </row>
    <row r="184" spans="1:32">
      <c r="A184" s="10" t="s">
        <v>24</v>
      </c>
      <c r="B184" s="10" t="s">
        <v>356</v>
      </c>
      <c r="C184" s="10">
        <f t="shared" si="28"/>
        <v>0</v>
      </c>
      <c r="D184" s="10">
        <f t="shared" si="30"/>
        <v>0</v>
      </c>
      <c r="E184" s="10">
        <f t="shared" si="30"/>
        <v>0</v>
      </c>
      <c r="F184" s="10">
        <f t="shared" si="30"/>
        <v>0.01</v>
      </c>
      <c r="G184" s="10">
        <f t="shared" si="30"/>
        <v>0</v>
      </c>
      <c r="H184" s="10">
        <f t="shared" si="30"/>
        <v>0</v>
      </c>
      <c r="I184" s="10">
        <f t="shared" si="30"/>
        <v>0</v>
      </c>
      <c r="J184" s="10">
        <f t="shared" si="30"/>
        <v>0</v>
      </c>
      <c r="K184" s="10">
        <f t="shared" si="30"/>
        <v>0</v>
      </c>
      <c r="L184" s="10">
        <f t="shared" si="30"/>
        <v>0</v>
      </c>
      <c r="M184" s="10">
        <f t="shared" si="30"/>
        <v>0</v>
      </c>
      <c r="N184" s="10">
        <f t="shared" si="30"/>
        <v>0.01</v>
      </c>
      <c r="O184" s="10">
        <f t="shared" si="30"/>
        <v>0</v>
      </c>
      <c r="P184" s="10">
        <f t="shared" si="30"/>
        <v>0</v>
      </c>
      <c r="Q184" s="10">
        <f t="shared" si="30"/>
        <v>0</v>
      </c>
      <c r="R184" s="10">
        <f t="shared" si="30"/>
        <v>0</v>
      </c>
      <c r="S184" s="10">
        <f t="shared" si="30"/>
        <v>0</v>
      </c>
      <c r="T184" s="10">
        <f t="shared" si="30"/>
        <v>0</v>
      </c>
      <c r="U184" s="10">
        <f t="shared" si="30"/>
        <v>0</v>
      </c>
      <c r="V184" s="10">
        <f t="shared" si="30"/>
        <v>0</v>
      </c>
      <c r="W184" s="10">
        <f t="shared" si="30"/>
        <v>0</v>
      </c>
      <c r="X184" s="10">
        <f t="shared" si="30"/>
        <v>0</v>
      </c>
      <c r="Y184" s="10">
        <f t="shared" si="30"/>
        <v>0</v>
      </c>
      <c r="Z184" s="10">
        <f t="shared" si="30"/>
        <v>0</v>
      </c>
      <c r="AA184" s="10">
        <f t="shared" si="30"/>
        <v>0.01</v>
      </c>
      <c r="AB184" s="10">
        <f t="shared" si="30"/>
        <v>0</v>
      </c>
      <c r="AC184" s="10">
        <f t="shared" si="30"/>
        <v>0</v>
      </c>
      <c r="AD184" s="10">
        <f t="shared" si="30"/>
        <v>0</v>
      </c>
      <c r="AE184" s="10">
        <f t="shared" si="30"/>
        <v>0</v>
      </c>
      <c r="AF184" s="10">
        <f t="shared" si="30"/>
        <v>0</v>
      </c>
    </row>
    <row r="185" spans="1:32">
      <c r="A185" s="10" t="s">
        <v>24</v>
      </c>
      <c r="B185" s="61" t="s">
        <v>307</v>
      </c>
      <c r="C185" s="10">
        <f t="shared" si="28"/>
        <v>0.01</v>
      </c>
      <c r="D185" s="10">
        <f t="shared" si="30"/>
        <v>0.01</v>
      </c>
      <c r="E185" s="10">
        <f t="shared" si="30"/>
        <v>0.01</v>
      </c>
      <c r="F185" s="10">
        <f t="shared" si="30"/>
        <v>0</v>
      </c>
      <c r="G185" s="10">
        <f t="shared" si="30"/>
        <v>0.01</v>
      </c>
      <c r="H185" s="10">
        <f t="shared" si="30"/>
        <v>0.01</v>
      </c>
      <c r="I185" s="10">
        <f t="shared" si="30"/>
        <v>0.01</v>
      </c>
      <c r="J185" s="10">
        <f t="shared" si="30"/>
        <v>0.01</v>
      </c>
      <c r="K185" s="10">
        <f t="shared" si="30"/>
        <v>0</v>
      </c>
      <c r="L185" s="10">
        <f t="shared" si="30"/>
        <v>0.01</v>
      </c>
      <c r="M185" s="10">
        <f t="shared" si="30"/>
        <v>0</v>
      </c>
      <c r="N185" s="10">
        <f t="shared" si="30"/>
        <v>0</v>
      </c>
      <c r="O185" s="10">
        <f t="shared" si="30"/>
        <v>0</v>
      </c>
      <c r="P185" s="10">
        <f t="shared" si="30"/>
        <v>0</v>
      </c>
      <c r="Q185" s="10">
        <f t="shared" si="30"/>
        <v>0.01</v>
      </c>
      <c r="R185" s="10">
        <f t="shared" si="30"/>
        <v>0.01</v>
      </c>
      <c r="S185" s="10">
        <f t="shared" si="30"/>
        <v>0</v>
      </c>
      <c r="T185" s="10">
        <f t="shared" si="30"/>
        <v>0.01</v>
      </c>
      <c r="U185" s="10">
        <f t="shared" si="30"/>
        <v>0</v>
      </c>
      <c r="V185" s="10">
        <f t="shared" si="30"/>
        <v>0</v>
      </c>
      <c r="W185" s="10">
        <f t="shared" si="30"/>
        <v>0.01</v>
      </c>
      <c r="X185" s="10">
        <f t="shared" si="30"/>
        <v>0.01</v>
      </c>
      <c r="Y185" s="10">
        <f t="shared" si="30"/>
        <v>0.01</v>
      </c>
      <c r="Z185" s="10">
        <f t="shared" si="30"/>
        <v>0.01</v>
      </c>
      <c r="AA185" s="10">
        <f t="shared" si="30"/>
        <v>0</v>
      </c>
      <c r="AB185" s="10">
        <f t="shared" si="30"/>
        <v>0.01</v>
      </c>
      <c r="AC185" s="10">
        <f t="shared" si="30"/>
        <v>0</v>
      </c>
      <c r="AD185" s="10">
        <f t="shared" si="30"/>
        <v>0</v>
      </c>
      <c r="AE185" s="10">
        <f t="shared" si="30"/>
        <v>0</v>
      </c>
      <c r="AF185" s="10">
        <f t="shared" si="30"/>
        <v>0</v>
      </c>
    </row>
    <row r="186" spans="1:32">
      <c r="A186" s="10" t="s">
        <v>343</v>
      </c>
      <c r="B186" s="61" t="s">
        <v>278</v>
      </c>
      <c r="C186" s="10">
        <f>ROUND((EXP(7.032824+1*0.622482)*((C6/1.852)^ 0.40303))/(1.15*0.0059)/1000000,3)</f>
        <v>4.58</v>
      </c>
      <c r="D186" s="10">
        <f t="shared" ref="D186:AF195" si="31">ROUND((EXP(7.032824+1*0.622482)*((D6/1.852)^ 0.40303))/(1.15*0.0059)/1000000,3)</f>
        <v>0</v>
      </c>
      <c r="E186" s="10">
        <f t="shared" si="31"/>
        <v>3.5369999999999999</v>
      </c>
      <c r="F186" s="10">
        <f t="shared" si="31"/>
        <v>3.9649999999999999</v>
      </c>
      <c r="G186" s="10">
        <f t="shared" si="31"/>
        <v>2.8639999999999999</v>
      </c>
      <c r="H186" s="10">
        <f t="shared" si="31"/>
        <v>2.2650000000000001</v>
      </c>
      <c r="I186" s="10">
        <f t="shared" si="31"/>
        <v>2.9159999999999999</v>
      </c>
      <c r="J186" s="10">
        <f t="shared" si="31"/>
        <v>3.8860000000000001</v>
      </c>
      <c r="K186" s="10">
        <f t="shared" si="31"/>
        <v>0</v>
      </c>
      <c r="L186" s="10">
        <f t="shared" si="31"/>
        <v>4.7969999999999997</v>
      </c>
      <c r="M186" s="10">
        <f t="shared" si="31"/>
        <v>0</v>
      </c>
      <c r="N186" s="10">
        <f t="shared" si="31"/>
        <v>4.2119999999999997</v>
      </c>
      <c r="O186" s="10">
        <f t="shared" si="31"/>
        <v>2.52</v>
      </c>
      <c r="P186" s="10">
        <f t="shared" si="31"/>
        <v>2.718</v>
      </c>
      <c r="Q186" s="10">
        <f t="shared" si="31"/>
        <v>0</v>
      </c>
      <c r="R186" s="10">
        <f t="shared" si="31"/>
        <v>3.105</v>
      </c>
      <c r="S186" s="10">
        <f t="shared" si="31"/>
        <v>4.0759999999999996</v>
      </c>
      <c r="T186" s="10">
        <f t="shared" si="31"/>
        <v>3.2829999999999999</v>
      </c>
      <c r="U186" s="10">
        <f t="shared" si="31"/>
        <v>4.319</v>
      </c>
      <c r="V186" s="10">
        <f t="shared" si="31"/>
        <v>3.3380000000000001</v>
      </c>
      <c r="W186" s="10">
        <f t="shared" si="31"/>
        <v>3.5990000000000002</v>
      </c>
      <c r="X186" s="10">
        <f t="shared" si="31"/>
        <v>0</v>
      </c>
      <c r="Y186" s="10">
        <f t="shared" si="31"/>
        <v>3.2629999999999999</v>
      </c>
      <c r="Z186" s="10">
        <f t="shared" si="31"/>
        <v>0</v>
      </c>
      <c r="AA186" s="10">
        <f t="shared" si="31"/>
        <v>3.6819999999999999</v>
      </c>
      <c r="AB186" s="10">
        <f t="shared" si="31"/>
        <v>4.8650000000000002</v>
      </c>
      <c r="AC186" s="10">
        <f t="shared" si="31"/>
        <v>1.93</v>
      </c>
      <c r="AD186" s="10">
        <f t="shared" si="31"/>
        <v>2.7610000000000001</v>
      </c>
      <c r="AE186" s="10">
        <f t="shared" si="31"/>
        <v>4.4989999999999997</v>
      </c>
      <c r="AF186" s="10">
        <f t="shared" si="31"/>
        <v>0</v>
      </c>
    </row>
    <row r="187" spans="1:32">
      <c r="A187" s="10" t="s">
        <v>343</v>
      </c>
      <c r="B187" s="61" t="s">
        <v>280</v>
      </c>
      <c r="C187" s="10">
        <f t="shared" ref="C187:R202" si="32">ROUND((EXP(7.032824+1*0.622482)*((C7/1.852)^ 0.40303))/(1.15*0.0059)/1000000,3)</f>
        <v>2.419</v>
      </c>
      <c r="D187" s="10">
        <f t="shared" si="32"/>
        <v>3.5369999999999999</v>
      </c>
      <c r="E187" s="10">
        <f t="shared" si="32"/>
        <v>0</v>
      </c>
      <c r="F187" s="10">
        <f t="shared" si="32"/>
        <v>0</v>
      </c>
      <c r="G187" s="10">
        <f t="shared" si="32"/>
        <v>2.9750000000000001</v>
      </c>
      <c r="H187" s="10">
        <f t="shared" si="32"/>
        <v>3.5329999999999999</v>
      </c>
      <c r="I187" s="10">
        <f t="shared" si="32"/>
        <v>2.734</v>
      </c>
      <c r="J187" s="10">
        <f t="shared" si="32"/>
        <v>3.3879999999999999</v>
      </c>
      <c r="K187" s="10">
        <f t="shared" si="32"/>
        <v>0</v>
      </c>
      <c r="L187" s="10">
        <f t="shared" si="32"/>
        <v>4.4020000000000001</v>
      </c>
      <c r="M187" s="10">
        <f t="shared" si="32"/>
        <v>0</v>
      </c>
      <c r="N187" s="10">
        <f t="shared" si="32"/>
        <v>0</v>
      </c>
      <c r="O187" s="10">
        <f t="shared" si="32"/>
        <v>4.0460000000000003</v>
      </c>
      <c r="P187" s="10">
        <f t="shared" si="32"/>
        <v>4.1509999999999998</v>
      </c>
      <c r="Q187" s="10">
        <f t="shared" si="32"/>
        <v>3.806</v>
      </c>
      <c r="R187" s="10">
        <f t="shared" si="32"/>
        <v>3.992</v>
      </c>
      <c r="S187" s="10">
        <f t="shared" si="31"/>
        <v>0</v>
      </c>
      <c r="T187" s="10">
        <f t="shared" si="31"/>
        <v>1.7809999999999999</v>
      </c>
      <c r="U187" s="10">
        <f t="shared" si="31"/>
        <v>0</v>
      </c>
      <c r="V187" s="10">
        <f t="shared" si="31"/>
        <v>0</v>
      </c>
      <c r="W187" s="10">
        <f t="shared" si="31"/>
        <v>2.0209999999999999</v>
      </c>
      <c r="X187" s="10">
        <f t="shared" si="31"/>
        <v>4.7919999999999998</v>
      </c>
      <c r="Y187" s="10">
        <f t="shared" si="31"/>
        <v>3.988</v>
      </c>
      <c r="Z187" s="10">
        <f t="shared" si="31"/>
        <v>0</v>
      </c>
      <c r="AA187" s="10">
        <f t="shared" si="31"/>
        <v>0</v>
      </c>
      <c r="AB187" s="10">
        <f t="shared" si="31"/>
        <v>4.6710000000000003</v>
      </c>
      <c r="AC187" s="10">
        <f t="shared" si="31"/>
        <v>3.7730000000000001</v>
      </c>
      <c r="AD187" s="10">
        <f t="shared" si="31"/>
        <v>4.0679999999999996</v>
      </c>
      <c r="AE187" s="10">
        <f t="shared" si="31"/>
        <v>3.294</v>
      </c>
      <c r="AF187" s="10">
        <f t="shared" si="31"/>
        <v>0</v>
      </c>
    </row>
    <row r="188" spans="1:32">
      <c r="A188" s="10" t="s">
        <v>343</v>
      </c>
      <c r="B188" s="61" t="s">
        <v>281</v>
      </c>
      <c r="C188" s="10">
        <f t="shared" si="32"/>
        <v>0</v>
      </c>
      <c r="D188" s="10">
        <f t="shared" si="31"/>
        <v>3.9649999999999999</v>
      </c>
      <c r="E188" s="10">
        <f t="shared" si="31"/>
        <v>0</v>
      </c>
      <c r="F188" s="10">
        <f t="shared" si="31"/>
        <v>0</v>
      </c>
      <c r="G188" s="10">
        <f t="shared" si="31"/>
        <v>4.5199999999999996</v>
      </c>
      <c r="H188" s="10">
        <f t="shared" si="31"/>
        <v>4.0640000000000001</v>
      </c>
      <c r="I188" s="10">
        <f t="shared" si="31"/>
        <v>4.5739999999999998</v>
      </c>
      <c r="J188" s="10">
        <f t="shared" si="31"/>
        <v>0</v>
      </c>
      <c r="K188" s="10">
        <f t="shared" si="31"/>
        <v>0</v>
      </c>
      <c r="L188" s="10">
        <f t="shared" si="31"/>
        <v>0</v>
      </c>
      <c r="M188" s="10">
        <f t="shared" si="31"/>
        <v>0</v>
      </c>
      <c r="N188" s="10">
        <f t="shared" si="31"/>
        <v>2.8580000000000001</v>
      </c>
      <c r="O188" s="10">
        <f t="shared" si="31"/>
        <v>3.5049999999999999</v>
      </c>
      <c r="P188" s="10">
        <f t="shared" si="31"/>
        <v>3.3460000000000001</v>
      </c>
      <c r="Q188" s="10">
        <f t="shared" si="31"/>
        <v>0</v>
      </c>
      <c r="R188" s="10">
        <f t="shared" si="31"/>
        <v>4.0460000000000003</v>
      </c>
      <c r="S188" s="10">
        <f t="shared" si="31"/>
        <v>0</v>
      </c>
      <c r="T188" s="10">
        <f t="shared" si="31"/>
        <v>0</v>
      </c>
      <c r="U188" s="10">
        <f t="shared" si="31"/>
        <v>0</v>
      </c>
      <c r="V188" s="10">
        <f t="shared" si="31"/>
        <v>2.9460000000000002</v>
      </c>
      <c r="W188" s="10">
        <f t="shared" si="31"/>
        <v>0</v>
      </c>
      <c r="X188" s="10">
        <f t="shared" si="31"/>
        <v>0</v>
      </c>
      <c r="Y188" s="10">
        <f t="shared" si="31"/>
        <v>4.1269999999999998</v>
      </c>
      <c r="Z188" s="10">
        <f t="shared" si="31"/>
        <v>0</v>
      </c>
      <c r="AA188" s="10">
        <f t="shared" si="31"/>
        <v>2.5529999999999999</v>
      </c>
      <c r="AB188" s="10">
        <f t="shared" si="31"/>
        <v>0</v>
      </c>
      <c r="AC188" s="10">
        <f t="shared" si="31"/>
        <v>3.78</v>
      </c>
      <c r="AD188" s="10">
        <f t="shared" si="31"/>
        <v>3.5880000000000001</v>
      </c>
      <c r="AE188" s="10">
        <f t="shared" si="31"/>
        <v>0</v>
      </c>
      <c r="AF188" s="10">
        <f t="shared" si="31"/>
        <v>2.7909999999999999</v>
      </c>
    </row>
    <row r="189" spans="1:32">
      <c r="A189" s="10" t="s">
        <v>343</v>
      </c>
      <c r="B189" s="61" t="s">
        <v>282</v>
      </c>
      <c r="C189" s="10">
        <f t="shared" si="32"/>
        <v>2.5739999999999998</v>
      </c>
      <c r="D189" s="10">
        <f t="shared" si="31"/>
        <v>2.8639999999999999</v>
      </c>
      <c r="E189" s="10">
        <f t="shared" si="31"/>
        <v>2.9750000000000001</v>
      </c>
      <c r="F189" s="10">
        <f t="shared" si="31"/>
        <v>4.5199999999999996</v>
      </c>
      <c r="G189" s="10">
        <f t="shared" si="31"/>
        <v>0</v>
      </c>
      <c r="H189" s="10">
        <f t="shared" si="31"/>
        <v>3.2410000000000001</v>
      </c>
      <c r="I189" s="10">
        <f t="shared" si="31"/>
        <v>2.9830000000000001</v>
      </c>
      <c r="J189" s="10">
        <f t="shared" si="31"/>
        <v>3.972</v>
      </c>
      <c r="K189" s="10">
        <f t="shared" si="31"/>
        <v>0</v>
      </c>
      <c r="L189" s="10">
        <f t="shared" si="31"/>
        <v>4.2350000000000003</v>
      </c>
      <c r="M189" s="10">
        <f t="shared" si="31"/>
        <v>0</v>
      </c>
      <c r="N189" s="10">
        <f t="shared" si="31"/>
        <v>0</v>
      </c>
      <c r="O189" s="10">
        <f t="shared" si="31"/>
        <v>3.3290000000000002</v>
      </c>
      <c r="P189" s="10">
        <f t="shared" si="31"/>
        <v>3.6819999999999999</v>
      </c>
      <c r="Q189" s="10">
        <f t="shared" si="31"/>
        <v>0</v>
      </c>
      <c r="R189" s="10">
        <f t="shared" si="31"/>
        <v>3.0649999999999999</v>
      </c>
      <c r="S189" s="10">
        <f t="shared" si="31"/>
        <v>0</v>
      </c>
      <c r="T189" s="10">
        <f t="shared" si="31"/>
        <v>2.6240000000000001</v>
      </c>
      <c r="U189" s="10">
        <f t="shared" si="31"/>
        <v>0</v>
      </c>
      <c r="V189" s="10">
        <f t="shared" si="31"/>
        <v>3.895</v>
      </c>
      <c r="W189" s="10">
        <f t="shared" si="31"/>
        <v>3.278</v>
      </c>
      <c r="X189" s="10">
        <f t="shared" si="31"/>
        <v>0</v>
      </c>
      <c r="Y189" s="10">
        <f t="shared" si="31"/>
        <v>3.9319999999999999</v>
      </c>
      <c r="Z189" s="10">
        <f t="shared" si="31"/>
        <v>0</v>
      </c>
      <c r="AA189" s="10">
        <f t="shared" si="31"/>
        <v>4.3570000000000002</v>
      </c>
      <c r="AB189" s="10">
        <f t="shared" si="31"/>
        <v>5.0430000000000001</v>
      </c>
      <c r="AC189" s="10">
        <f t="shared" si="31"/>
        <v>3</v>
      </c>
      <c r="AD189" s="10">
        <f t="shared" si="31"/>
        <v>3.714</v>
      </c>
      <c r="AE189" s="10">
        <f t="shared" si="31"/>
        <v>4.1349999999999998</v>
      </c>
      <c r="AF189" s="10">
        <f t="shared" si="31"/>
        <v>0</v>
      </c>
    </row>
    <row r="190" spans="1:32">
      <c r="A190" s="10" t="s">
        <v>343</v>
      </c>
      <c r="B190" s="61" t="s">
        <v>283</v>
      </c>
      <c r="C190" s="10">
        <f t="shared" si="32"/>
        <v>4.7850000000000001</v>
      </c>
      <c r="D190" s="10">
        <f t="shared" si="31"/>
        <v>2.2650000000000001</v>
      </c>
      <c r="E190" s="10">
        <f t="shared" si="31"/>
        <v>3.5329999999999999</v>
      </c>
      <c r="F190" s="10">
        <f t="shared" si="31"/>
        <v>4.0640000000000001</v>
      </c>
      <c r="G190" s="10">
        <f t="shared" si="31"/>
        <v>3.2410000000000001</v>
      </c>
      <c r="H190" s="10">
        <f t="shared" si="31"/>
        <v>0</v>
      </c>
      <c r="I190" s="10">
        <f t="shared" si="31"/>
        <v>2.6680000000000001</v>
      </c>
      <c r="J190" s="10">
        <f t="shared" si="31"/>
        <v>3.5510000000000002</v>
      </c>
      <c r="K190" s="10">
        <f t="shared" si="31"/>
        <v>4.2210000000000001</v>
      </c>
      <c r="L190" s="10">
        <f t="shared" si="31"/>
        <v>0</v>
      </c>
      <c r="M190" s="10">
        <f t="shared" si="31"/>
        <v>0</v>
      </c>
      <c r="N190" s="10">
        <f t="shared" si="31"/>
        <v>4.4139999999999997</v>
      </c>
      <c r="O190" s="10">
        <f t="shared" si="31"/>
        <v>3.0390000000000001</v>
      </c>
      <c r="P190" s="10">
        <f t="shared" si="31"/>
        <v>2.7589999999999999</v>
      </c>
      <c r="Q190" s="10">
        <f t="shared" si="31"/>
        <v>0</v>
      </c>
      <c r="R190" s="10">
        <f t="shared" si="31"/>
        <v>3.6139999999999999</v>
      </c>
      <c r="S190" s="10">
        <f t="shared" si="31"/>
        <v>3.6819999999999999</v>
      </c>
      <c r="T190" s="10">
        <f t="shared" si="31"/>
        <v>3.3340000000000001</v>
      </c>
      <c r="U190" s="10">
        <f t="shared" si="31"/>
        <v>3.9550000000000001</v>
      </c>
      <c r="V190" s="10">
        <f t="shared" si="31"/>
        <v>3.6440000000000001</v>
      </c>
      <c r="W190" s="10">
        <f t="shared" si="31"/>
        <v>3.4780000000000002</v>
      </c>
      <c r="X190" s="10">
        <f t="shared" si="31"/>
        <v>4.7990000000000004</v>
      </c>
      <c r="Y190" s="10">
        <f t="shared" si="31"/>
        <v>2.6890000000000001</v>
      </c>
      <c r="Z190" s="10">
        <f t="shared" si="31"/>
        <v>0</v>
      </c>
      <c r="AA190" s="10">
        <f t="shared" si="31"/>
        <v>3.6669999999999998</v>
      </c>
      <c r="AB190" s="10">
        <f t="shared" si="31"/>
        <v>4.57</v>
      </c>
      <c r="AC190" s="10">
        <f t="shared" si="31"/>
        <v>2.7280000000000002</v>
      </c>
      <c r="AD190" s="10">
        <f t="shared" si="31"/>
        <v>2.4940000000000002</v>
      </c>
      <c r="AE190" s="10">
        <f t="shared" si="31"/>
        <v>4.423</v>
      </c>
      <c r="AF190" s="10">
        <f t="shared" si="31"/>
        <v>0</v>
      </c>
    </row>
    <row r="191" spans="1:32">
      <c r="A191" s="10" t="s">
        <v>343</v>
      </c>
      <c r="B191" s="61" t="s">
        <v>284</v>
      </c>
      <c r="C191" s="10">
        <f t="shared" si="32"/>
        <v>2.972</v>
      </c>
      <c r="D191" s="10">
        <f t="shared" si="31"/>
        <v>2.9159999999999999</v>
      </c>
      <c r="E191" s="10">
        <f t="shared" si="31"/>
        <v>2.734</v>
      </c>
      <c r="F191" s="10">
        <f t="shared" si="31"/>
        <v>4.5739999999999998</v>
      </c>
      <c r="G191" s="10">
        <f t="shared" si="31"/>
        <v>2.9830000000000001</v>
      </c>
      <c r="H191" s="10">
        <f t="shared" si="31"/>
        <v>2.6680000000000001</v>
      </c>
      <c r="I191" s="10">
        <f t="shared" si="31"/>
        <v>0</v>
      </c>
      <c r="J191" s="10">
        <f t="shared" si="31"/>
        <v>3.0659999999999998</v>
      </c>
      <c r="K191" s="10">
        <f t="shared" si="31"/>
        <v>4.3419999999999996</v>
      </c>
      <c r="L191" s="10">
        <f t="shared" si="31"/>
        <v>4.7789999999999999</v>
      </c>
      <c r="M191" s="10">
        <f t="shared" si="31"/>
        <v>4.9240000000000004</v>
      </c>
      <c r="N191" s="10">
        <f t="shared" si="31"/>
        <v>4.8230000000000004</v>
      </c>
      <c r="O191" s="10">
        <f t="shared" si="31"/>
        <v>3.6080000000000001</v>
      </c>
      <c r="P191" s="10">
        <f t="shared" si="31"/>
        <v>3.5739999999999998</v>
      </c>
      <c r="Q191" s="10">
        <f t="shared" si="31"/>
        <v>4.3490000000000002</v>
      </c>
      <c r="R191" s="10">
        <f t="shared" si="31"/>
        <v>3.823</v>
      </c>
      <c r="S191" s="10">
        <f t="shared" si="31"/>
        <v>3.9540000000000002</v>
      </c>
      <c r="T191" s="10">
        <f t="shared" si="31"/>
        <v>2.5419999999999998</v>
      </c>
      <c r="U191" s="10">
        <f t="shared" si="31"/>
        <v>4.149</v>
      </c>
      <c r="V191" s="10">
        <f t="shared" si="31"/>
        <v>4.1470000000000002</v>
      </c>
      <c r="W191" s="10">
        <f t="shared" si="31"/>
        <v>2.5920000000000001</v>
      </c>
      <c r="X191" s="10">
        <f t="shared" si="31"/>
        <v>4.6319999999999997</v>
      </c>
      <c r="Y191" s="10">
        <f t="shared" si="31"/>
        <v>3.27</v>
      </c>
      <c r="Z191" s="10">
        <f t="shared" si="31"/>
        <v>0</v>
      </c>
      <c r="AA191" s="10">
        <f t="shared" si="31"/>
        <v>4.2640000000000002</v>
      </c>
      <c r="AB191" s="10">
        <f t="shared" si="31"/>
        <v>4.4400000000000004</v>
      </c>
      <c r="AC191" s="10">
        <f t="shared" si="31"/>
        <v>3.29</v>
      </c>
      <c r="AD191" s="10">
        <f t="shared" si="31"/>
        <v>3.4140000000000001</v>
      </c>
      <c r="AE191" s="10">
        <f t="shared" si="31"/>
        <v>3.8650000000000002</v>
      </c>
      <c r="AF191" s="10">
        <f t="shared" si="31"/>
        <v>0</v>
      </c>
    </row>
    <row r="192" spans="1:32">
      <c r="A192" s="10" t="s">
        <v>343</v>
      </c>
      <c r="B192" s="61" t="s">
        <v>285</v>
      </c>
      <c r="C192" s="10">
        <f t="shared" si="32"/>
        <v>4.968</v>
      </c>
      <c r="D192" s="10">
        <f t="shared" si="31"/>
        <v>3.8860000000000001</v>
      </c>
      <c r="E192" s="10">
        <f t="shared" si="31"/>
        <v>3.3879999999999999</v>
      </c>
      <c r="F192" s="10">
        <f t="shared" si="31"/>
        <v>0</v>
      </c>
      <c r="G192" s="10">
        <f t="shared" si="31"/>
        <v>3.972</v>
      </c>
      <c r="H192" s="10">
        <f t="shared" si="31"/>
        <v>3.5510000000000002</v>
      </c>
      <c r="I192" s="10">
        <f t="shared" si="31"/>
        <v>3.0659999999999998</v>
      </c>
      <c r="J192" s="10">
        <f t="shared" si="31"/>
        <v>0</v>
      </c>
      <c r="K192" s="10">
        <f t="shared" si="31"/>
        <v>3.895</v>
      </c>
      <c r="L192" s="10">
        <f t="shared" si="31"/>
        <v>0</v>
      </c>
      <c r="M192" s="10">
        <f t="shared" si="31"/>
        <v>4.3650000000000002</v>
      </c>
      <c r="N192" s="10">
        <f t="shared" si="31"/>
        <v>0</v>
      </c>
      <c r="O192" s="10">
        <f t="shared" si="31"/>
        <v>4.3600000000000003</v>
      </c>
      <c r="P192" s="10">
        <f t="shared" si="31"/>
        <v>4.1890000000000001</v>
      </c>
      <c r="Q192" s="10">
        <f t="shared" si="31"/>
        <v>4.2480000000000002</v>
      </c>
      <c r="R192" s="10">
        <f t="shared" si="31"/>
        <v>4.593</v>
      </c>
      <c r="S192" s="10">
        <f t="shared" si="31"/>
        <v>3.72</v>
      </c>
      <c r="T192" s="10">
        <f t="shared" si="31"/>
        <v>3.476</v>
      </c>
      <c r="U192" s="10">
        <f t="shared" si="31"/>
        <v>3.802</v>
      </c>
      <c r="V192" s="10">
        <f t="shared" si="31"/>
        <v>0</v>
      </c>
      <c r="W192" s="10">
        <f t="shared" si="31"/>
        <v>2.9809999999999999</v>
      </c>
      <c r="X192" s="10">
        <f t="shared" si="31"/>
        <v>3.403</v>
      </c>
      <c r="Y192" s="10">
        <f t="shared" si="31"/>
        <v>3.4910000000000001</v>
      </c>
      <c r="Z192" s="10">
        <f t="shared" si="31"/>
        <v>0</v>
      </c>
      <c r="AA192" s="10">
        <f t="shared" si="31"/>
        <v>4.6680000000000001</v>
      </c>
      <c r="AB192" s="10">
        <f t="shared" si="31"/>
        <v>2.7160000000000002</v>
      </c>
      <c r="AC192" s="10">
        <f t="shared" si="31"/>
        <v>4.149</v>
      </c>
      <c r="AD192" s="10">
        <f t="shared" si="31"/>
        <v>3.9769999999999999</v>
      </c>
      <c r="AE192" s="10">
        <f t="shared" si="31"/>
        <v>3.68</v>
      </c>
      <c r="AF192" s="10">
        <f t="shared" si="31"/>
        <v>0</v>
      </c>
    </row>
    <row r="193" spans="1:32">
      <c r="A193" s="10" t="s">
        <v>343</v>
      </c>
      <c r="B193" s="61" t="s">
        <v>308</v>
      </c>
      <c r="C193" s="10">
        <f t="shared" si="32"/>
        <v>0</v>
      </c>
      <c r="D193" s="10">
        <f t="shared" si="31"/>
        <v>0</v>
      </c>
      <c r="E193" s="10">
        <f t="shared" si="31"/>
        <v>0</v>
      </c>
      <c r="F193" s="10">
        <f t="shared" si="31"/>
        <v>0</v>
      </c>
      <c r="G193" s="10">
        <f t="shared" si="31"/>
        <v>0</v>
      </c>
      <c r="H193" s="10">
        <f t="shared" si="31"/>
        <v>4.2210000000000001</v>
      </c>
      <c r="I193" s="10">
        <f t="shared" si="31"/>
        <v>4.3419999999999996</v>
      </c>
      <c r="J193" s="10">
        <f t="shared" si="31"/>
        <v>3.895</v>
      </c>
      <c r="K193" s="10">
        <f t="shared" si="31"/>
        <v>0</v>
      </c>
      <c r="L193" s="10">
        <f t="shared" si="31"/>
        <v>0</v>
      </c>
      <c r="M193" s="10">
        <f t="shared" si="31"/>
        <v>3.2989999999999999</v>
      </c>
      <c r="N193" s="10">
        <f t="shared" si="31"/>
        <v>0</v>
      </c>
      <c r="O193" s="10">
        <f t="shared" si="31"/>
        <v>0</v>
      </c>
      <c r="P193" s="10">
        <f t="shared" si="31"/>
        <v>0</v>
      </c>
      <c r="Q193" s="10">
        <f t="shared" si="31"/>
        <v>0</v>
      </c>
      <c r="R193" s="10">
        <f t="shared" si="31"/>
        <v>0</v>
      </c>
      <c r="S193" s="10">
        <f t="shared" si="31"/>
        <v>2.673</v>
      </c>
      <c r="T193" s="10">
        <f t="shared" si="31"/>
        <v>0</v>
      </c>
      <c r="U193" s="10">
        <f t="shared" si="31"/>
        <v>2.077</v>
      </c>
      <c r="V193" s="10">
        <f t="shared" si="31"/>
        <v>0</v>
      </c>
      <c r="W193" s="10">
        <f t="shared" si="31"/>
        <v>0</v>
      </c>
      <c r="X193" s="10">
        <f t="shared" si="31"/>
        <v>3.7410000000000001</v>
      </c>
      <c r="Y193" s="10">
        <f t="shared" si="31"/>
        <v>3.637</v>
      </c>
      <c r="Z193" s="10">
        <f t="shared" si="31"/>
        <v>0</v>
      </c>
      <c r="AA193" s="10">
        <f t="shared" si="31"/>
        <v>0</v>
      </c>
      <c r="AB193" s="10">
        <f t="shared" si="31"/>
        <v>3.327</v>
      </c>
      <c r="AC193" s="10">
        <f t="shared" si="31"/>
        <v>0</v>
      </c>
      <c r="AD193" s="10">
        <f t="shared" si="31"/>
        <v>4.1970000000000001</v>
      </c>
      <c r="AE193" s="10">
        <f t="shared" si="31"/>
        <v>0</v>
      </c>
      <c r="AF193" s="10">
        <f t="shared" si="31"/>
        <v>0</v>
      </c>
    </row>
    <row r="194" spans="1:32">
      <c r="A194" s="10" t="s">
        <v>343</v>
      </c>
      <c r="B194" s="61" t="s">
        <v>286</v>
      </c>
      <c r="C194" s="10">
        <f t="shared" si="32"/>
        <v>2.1720000000000002</v>
      </c>
      <c r="D194" s="10">
        <f t="shared" si="31"/>
        <v>4.7969999999999997</v>
      </c>
      <c r="E194" s="10">
        <f t="shared" si="31"/>
        <v>4.4020000000000001</v>
      </c>
      <c r="F194" s="10">
        <f t="shared" si="31"/>
        <v>0</v>
      </c>
      <c r="G194" s="10">
        <f t="shared" si="31"/>
        <v>4.2350000000000003</v>
      </c>
      <c r="H194" s="10">
        <f t="shared" si="31"/>
        <v>0</v>
      </c>
      <c r="I194" s="10">
        <f t="shared" si="31"/>
        <v>4.7789999999999999</v>
      </c>
      <c r="J194" s="10">
        <f t="shared" si="31"/>
        <v>0</v>
      </c>
      <c r="K194" s="10">
        <f t="shared" si="31"/>
        <v>0</v>
      </c>
      <c r="L194" s="10">
        <f t="shared" si="31"/>
        <v>0</v>
      </c>
      <c r="M194" s="10">
        <f t="shared" si="31"/>
        <v>0</v>
      </c>
      <c r="N194" s="10">
        <f t="shared" si="31"/>
        <v>0</v>
      </c>
      <c r="O194" s="10">
        <f t="shared" si="31"/>
        <v>4.8940000000000001</v>
      </c>
      <c r="P194" s="10">
        <f t="shared" si="31"/>
        <v>0</v>
      </c>
      <c r="Q194" s="10">
        <f t="shared" si="31"/>
        <v>4.601</v>
      </c>
      <c r="R194" s="10">
        <f t="shared" si="31"/>
        <v>4.423</v>
      </c>
      <c r="S194" s="10">
        <f t="shared" si="31"/>
        <v>0</v>
      </c>
      <c r="T194" s="10">
        <f t="shared" si="31"/>
        <v>4.3780000000000001</v>
      </c>
      <c r="U194" s="10">
        <f t="shared" si="31"/>
        <v>0</v>
      </c>
      <c r="V194" s="10">
        <f t="shared" si="31"/>
        <v>0</v>
      </c>
      <c r="W194" s="10">
        <f t="shared" si="31"/>
        <v>4.6429999999999998</v>
      </c>
      <c r="X194" s="10">
        <f t="shared" si="31"/>
        <v>0</v>
      </c>
      <c r="Y194" s="10">
        <f t="shared" si="31"/>
        <v>0</v>
      </c>
      <c r="Z194" s="10">
        <f t="shared" si="31"/>
        <v>2.774</v>
      </c>
      <c r="AA194" s="10">
        <f t="shared" si="31"/>
        <v>0</v>
      </c>
      <c r="AB194" s="10">
        <f t="shared" si="31"/>
        <v>0</v>
      </c>
      <c r="AC194" s="10">
        <f t="shared" si="31"/>
        <v>4.7880000000000003</v>
      </c>
      <c r="AD194" s="10">
        <f t="shared" si="31"/>
        <v>0</v>
      </c>
      <c r="AE194" s="10">
        <f t="shared" si="31"/>
        <v>4.6879999999999997</v>
      </c>
      <c r="AF194" s="10">
        <f t="shared" si="31"/>
        <v>0</v>
      </c>
    </row>
    <row r="195" spans="1:32">
      <c r="A195" s="10" t="s">
        <v>343</v>
      </c>
      <c r="B195" s="61" t="s">
        <v>287</v>
      </c>
      <c r="C195" s="10">
        <f t="shared" si="32"/>
        <v>0</v>
      </c>
      <c r="D195" s="10">
        <f t="shared" si="31"/>
        <v>0</v>
      </c>
      <c r="E195" s="10">
        <f t="shared" si="31"/>
        <v>0</v>
      </c>
      <c r="F195" s="10">
        <f t="shared" si="31"/>
        <v>0</v>
      </c>
      <c r="G195" s="10">
        <f t="shared" si="31"/>
        <v>0</v>
      </c>
      <c r="H195" s="10">
        <f t="shared" si="31"/>
        <v>0</v>
      </c>
      <c r="I195" s="10">
        <f t="shared" si="31"/>
        <v>4.9240000000000004</v>
      </c>
      <c r="J195" s="10">
        <f t="shared" si="31"/>
        <v>4.3650000000000002</v>
      </c>
      <c r="K195" s="10">
        <f t="shared" si="31"/>
        <v>3.2989999999999999</v>
      </c>
      <c r="L195" s="10">
        <f t="shared" si="31"/>
        <v>0</v>
      </c>
      <c r="M195" s="10">
        <f t="shared" ref="D195:AF204" si="33">ROUND((EXP(7.032824+1*0.622482)*((M15/1.852)^ 0.40303))/(1.15*0.0059)/1000000,3)</f>
        <v>0</v>
      </c>
      <c r="N195" s="10">
        <f t="shared" si="33"/>
        <v>0</v>
      </c>
      <c r="O195" s="10">
        <f t="shared" si="33"/>
        <v>0</v>
      </c>
      <c r="P195" s="10">
        <f t="shared" si="33"/>
        <v>0</v>
      </c>
      <c r="Q195" s="10">
        <f t="shared" si="33"/>
        <v>0</v>
      </c>
      <c r="R195" s="10">
        <f t="shared" si="33"/>
        <v>0</v>
      </c>
      <c r="S195" s="10">
        <f t="shared" si="33"/>
        <v>3.9710000000000001</v>
      </c>
      <c r="T195" s="10">
        <f t="shared" si="33"/>
        <v>0</v>
      </c>
      <c r="U195" s="10">
        <f t="shared" si="33"/>
        <v>3.6840000000000002</v>
      </c>
      <c r="V195" s="10">
        <f t="shared" si="33"/>
        <v>0</v>
      </c>
      <c r="W195" s="10">
        <f t="shared" si="33"/>
        <v>0</v>
      </c>
      <c r="X195" s="10">
        <f t="shared" si="33"/>
        <v>3.9289999999999998</v>
      </c>
      <c r="Y195" s="10">
        <f t="shared" si="33"/>
        <v>4.54</v>
      </c>
      <c r="Z195" s="10">
        <f t="shared" si="33"/>
        <v>0</v>
      </c>
      <c r="AA195" s="10">
        <f t="shared" si="33"/>
        <v>0</v>
      </c>
      <c r="AB195" s="10">
        <f t="shared" si="33"/>
        <v>2.9860000000000002</v>
      </c>
      <c r="AC195" s="10">
        <f t="shared" si="33"/>
        <v>0</v>
      </c>
      <c r="AD195" s="10">
        <f t="shared" si="33"/>
        <v>0</v>
      </c>
      <c r="AE195" s="10">
        <f t="shared" si="33"/>
        <v>0</v>
      </c>
      <c r="AF195" s="10">
        <f t="shared" si="33"/>
        <v>0</v>
      </c>
    </row>
    <row r="196" spans="1:32">
      <c r="A196" s="10" t="s">
        <v>343</v>
      </c>
      <c r="B196" s="61" t="s">
        <v>288</v>
      </c>
      <c r="C196" s="10">
        <f t="shared" si="32"/>
        <v>0</v>
      </c>
      <c r="D196" s="10">
        <f t="shared" si="33"/>
        <v>4.58</v>
      </c>
      <c r="E196" s="10">
        <f t="shared" si="33"/>
        <v>2.419</v>
      </c>
      <c r="F196" s="10">
        <f t="shared" si="33"/>
        <v>0</v>
      </c>
      <c r="G196" s="10">
        <f t="shared" si="33"/>
        <v>2.5739999999999998</v>
      </c>
      <c r="H196" s="10">
        <f t="shared" si="33"/>
        <v>4.7850000000000001</v>
      </c>
      <c r="I196" s="10">
        <f t="shared" si="33"/>
        <v>2.972</v>
      </c>
      <c r="J196" s="10">
        <f t="shared" si="33"/>
        <v>4.968</v>
      </c>
      <c r="K196" s="10">
        <f t="shared" si="33"/>
        <v>0</v>
      </c>
      <c r="L196" s="10">
        <f t="shared" si="33"/>
        <v>2.1720000000000002</v>
      </c>
      <c r="M196" s="10">
        <f t="shared" si="33"/>
        <v>0</v>
      </c>
      <c r="N196" s="10">
        <f t="shared" si="33"/>
        <v>5.4</v>
      </c>
      <c r="O196" s="10">
        <f t="shared" si="33"/>
        <v>4.7220000000000004</v>
      </c>
      <c r="P196" s="10">
        <f t="shared" si="33"/>
        <v>5.0220000000000002</v>
      </c>
      <c r="Q196" s="10">
        <f t="shared" si="33"/>
        <v>4.3470000000000004</v>
      </c>
      <c r="R196" s="10">
        <f t="shared" si="33"/>
        <v>3.9289999999999998</v>
      </c>
      <c r="S196" s="10">
        <f t="shared" si="33"/>
        <v>0</v>
      </c>
      <c r="T196" s="10">
        <f t="shared" si="33"/>
        <v>4.0640000000000001</v>
      </c>
      <c r="U196" s="10">
        <f t="shared" si="33"/>
        <v>0</v>
      </c>
      <c r="V196" s="10">
        <f t="shared" si="33"/>
        <v>4.99</v>
      </c>
      <c r="W196" s="10">
        <f t="shared" si="33"/>
        <v>4.3479999999999999</v>
      </c>
      <c r="X196" s="10">
        <f t="shared" si="33"/>
        <v>5.8659999999999997</v>
      </c>
      <c r="Y196" s="10">
        <f t="shared" si="33"/>
        <v>5.1959999999999997</v>
      </c>
      <c r="Z196" s="10">
        <f t="shared" si="33"/>
        <v>3.1120000000000001</v>
      </c>
      <c r="AA196" s="10">
        <f t="shared" si="33"/>
        <v>5.4509999999999996</v>
      </c>
      <c r="AB196" s="10">
        <f t="shared" si="33"/>
        <v>5.7960000000000003</v>
      </c>
      <c r="AC196" s="10">
        <f t="shared" si="33"/>
        <v>4.5919999999999996</v>
      </c>
      <c r="AD196" s="10">
        <f t="shared" si="33"/>
        <v>5.0670000000000002</v>
      </c>
      <c r="AE196" s="10">
        <f t="shared" si="33"/>
        <v>3.198</v>
      </c>
      <c r="AF196" s="10">
        <f t="shared" si="33"/>
        <v>0</v>
      </c>
    </row>
    <row r="197" spans="1:32">
      <c r="A197" s="10" t="s">
        <v>343</v>
      </c>
      <c r="B197" s="61" t="s">
        <v>289</v>
      </c>
      <c r="C197" s="10">
        <f t="shared" si="32"/>
        <v>5.4</v>
      </c>
      <c r="D197" s="10">
        <f t="shared" si="33"/>
        <v>4.2119999999999997</v>
      </c>
      <c r="E197" s="10">
        <f t="shared" si="33"/>
        <v>0</v>
      </c>
      <c r="F197" s="10">
        <f t="shared" si="33"/>
        <v>2.8580000000000001</v>
      </c>
      <c r="G197" s="10">
        <f t="shared" si="33"/>
        <v>0</v>
      </c>
      <c r="H197" s="10">
        <f t="shared" si="33"/>
        <v>4.4139999999999997</v>
      </c>
      <c r="I197" s="10">
        <f t="shared" si="33"/>
        <v>4.8230000000000004</v>
      </c>
      <c r="J197" s="10">
        <f t="shared" si="33"/>
        <v>0</v>
      </c>
      <c r="K197" s="10">
        <f t="shared" si="33"/>
        <v>0</v>
      </c>
      <c r="L197" s="10">
        <f t="shared" si="33"/>
        <v>0</v>
      </c>
      <c r="M197" s="10">
        <f t="shared" si="33"/>
        <v>0</v>
      </c>
      <c r="N197" s="10">
        <f t="shared" si="33"/>
        <v>0</v>
      </c>
      <c r="O197" s="10">
        <f t="shared" si="33"/>
        <v>3.698</v>
      </c>
      <c r="P197" s="10">
        <f t="shared" si="33"/>
        <v>3.8450000000000002</v>
      </c>
      <c r="Q197" s="10">
        <f t="shared" si="33"/>
        <v>0</v>
      </c>
      <c r="R197" s="10">
        <f t="shared" si="33"/>
        <v>3.9409999999999998</v>
      </c>
      <c r="S197" s="10">
        <f t="shared" si="33"/>
        <v>0</v>
      </c>
      <c r="T197" s="10">
        <f t="shared" si="33"/>
        <v>0</v>
      </c>
      <c r="U197" s="10">
        <f t="shared" si="33"/>
        <v>0</v>
      </c>
      <c r="V197" s="10">
        <f t="shared" si="33"/>
        <v>3.0219999999999998</v>
      </c>
      <c r="W197" s="10">
        <f t="shared" si="33"/>
        <v>0</v>
      </c>
      <c r="X197" s="10">
        <f t="shared" si="33"/>
        <v>0</v>
      </c>
      <c r="Y197" s="10">
        <f t="shared" si="33"/>
        <v>4.6020000000000003</v>
      </c>
      <c r="Z197" s="10">
        <f t="shared" si="33"/>
        <v>0</v>
      </c>
      <c r="AA197" s="10">
        <f t="shared" si="33"/>
        <v>3.5409999999999999</v>
      </c>
      <c r="AB197" s="10">
        <f t="shared" si="33"/>
        <v>0</v>
      </c>
      <c r="AC197" s="10">
        <f t="shared" si="33"/>
        <v>3.9790000000000001</v>
      </c>
      <c r="AD197" s="10">
        <f t="shared" si="33"/>
        <v>4.0979999999999999</v>
      </c>
      <c r="AE197" s="10">
        <f t="shared" si="33"/>
        <v>0</v>
      </c>
      <c r="AF197" s="10">
        <f t="shared" si="33"/>
        <v>3.7120000000000002</v>
      </c>
    </row>
    <row r="198" spans="1:32">
      <c r="A198" s="10" t="s">
        <v>343</v>
      </c>
      <c r="B198" s="61" t="s">
        <v>290</v>
      </c>
      <c r="C198" s="10">
        <f t="shared" si="32"/>
        <v>4.7220000000000004</v>
      </c>
      <c r="D198" s="10">
        <f t="shared" si="33"/>
        <v>2.52</v>
      </c>
      <c r="E198" s="10">
        <f t="shared" si="33"/>
        <v>4.0460000000000003</v>
      </c>
      <c r="F198" s="10">
        <f t="shared" si="33"/>
        <v>3.5049999999999999</v>
      </c>
      <c r="G198" s="10">
        <f t="shared" si="33"/>
        <v>3.3290000000000002</v>
      </c>
      <c r="H198" s="10">
        <f t="shared" si="33"/>
        <v>3.0390000000000001</v>
      </c>
      <c r="I198" s="10">
        <f t="shared" si="33"/>
        <v>3.6080000000000001</v>
      </c>
      <c r="J198" s="10">
        <f t="shared" si="33"/>
        <v>4.3600000000000003</v>
      </c>
      <c r="K198" s="10">
        <f t="shared" si="33"/>
        <v>0</v>
      </c>
      <c r="L198" s="10">
        <f t="shared" si="33"/>
        <v>4.8940000000000001</v>
      </c>
      <c r="M198" s="10">
        <f t="shared" si="33"/>
        <v>0</v>
      </c>
      <c r="N198" s="10">
        <f t="shared" si="33"/>
        <v>3.698</v>
      </c>
      <c r="O198" s="10">
        <f t="shared" si="33"/>
        <v>0</v>
      </c>
      <c r="P198" s="10">
        <f t="shared" si="33"/>
        <v>2.5179999999999998</v>
      </c>
      <c r="Q198" s="10">
        <f t="shared" si="33"/>
        <v>0</v>
      </c>
      <c r="R198" s="10">
        <f t="shared" si="33"/>
        <v>2.7909999999999999</v>
      </c>
      <c r="S198" s="10">
        <f t="shared" si="33"/>
        <v>4.3170000000000002</v>
      </c>
      <c r="T198" s="10">
        <f t="shared" si="33"/>
        <v>3.83</v>
      </c>
      <c r="U198" s="10">
        <f t="shared" si="33"/>
        <v>0</v>
      </c>
      <c r="V198" s="10">
        <f t="shared" si="33"/>
        <v>2.5409999999999999</v>
      </c>
      <c r="W198" s="10">
        <f t="shared" si="33"/>
        <v>4.1269999999999998</v>
      </c>
      <c r="X198" s="10">
        <f t="shared" si="33"/>
        <v>0</v>
      </c>
      <c r="Y198" s="10">
        <f t="shared" si="33"/>
        <v>3.6240000000000001</v>
      </c>
      <c r="Z198" s="10">
        <f t="shared" si="33"/>
        <v>0</v>
      </c>
      <c r="AA198" s="10">
        <f t="shared" si="33"/>
        <v>3.3580000000000001</v>
      </c>
      <c r="AB198" s="10">
        <f t="shared" si="33"/>
        <v>5.1689999999999996</v>
      </c>
      <c r="AC198" s="10">
        <f t="shared" si="33"/>
        <v>1.9330000000000001</v>
      </c>
      <c r="AD198" s="10">
        <f t="shared" si="33"/>
        <v>2.9</v>
      </c>
      <c r="AE198" s="10">
        <f t="shared" si="33"/>
        <v>0</v>
      </c>
      <c r="AF198" s="10">
        <f t="shared" si="33"/>
        <v>0</v>
      </c>
    </row>
    <row r="199" spans="1:32">
      <c r="A199" s="10" t="s">
        <v>343</v>
      </c>
      <c r="B199" s="61" t="s">
        <v>291</v>
      </c>
      <c r="C199" s="10">
        <f t="shared" si="32"/>
        <v>5.0220000000000002</v>
      </c>
      <c r="D199" s="10">
        <f t="shared" si="33"/>
        <v>2.718</v>
      </c>
      <c r="E199" s="10">
        <f t="shared" si="33"/>
        <v>4.1509999999999998</v>
      </c>
      <c r="F199" s="10">
        <f t="shared" si="33"/>
        <v>3.3460000000000001</v>
      </c>
      <c r="G199" s="10">
        <f t="shared" si="33"/>
        <v>3.6819999999999999</v>
      </c>
      <c r="H199" s="10">
        <f t="shared" si="33"/>
        <v>2.7589999999999999</v>
      </c>
      <c r="I199" s="10">
        <f t="shared" si="33"/>
        <v>3.5739999999999998</v>
      </c>
      <c r="J199" s="10">
        <f t="shared" si="33"/>
        <v>4.1890000000000001</v>
      </c>
      <c r="K199" s="10">
        <f t="shared" si="33"/>
        <v>0</v>
      </c>
      <c r="L199" s="10">
        <f t="shared" si="33"/>
        <v>0</v>
      </c>
      <c r="M199" s="10">
        <f t="shared" si="33"/>
        <v>0</v>
      </c>
      <c r="N199" s="10">
        <f t="shared" si="33"/>
        <v>3.8450000000000002</v>
      </c>
      <c r="O199" s="10">
        <f t="shared" si="33"/>
        <v>2.5179999999999998</v>
      </c>
      <c r="P199" s="10">
        <f t="shared" si="33"/>
        <v>0</v>
      </c>
      <c r="Q199" s="10">
        <f t="shared" si="33"/>
        <v>0</v>
      </c>
      <c r="R199" s="10">
        <f t="shared" si="33"/>
        <v>3.5089999999999999</v>
      </c>
      <c r="S199" s="10">
        <f t="shared" si="33"/>
        <v>3.867</v>
      </c>
      <c r="T199" s="10">
        <f t="shared" si="33"/>
        <v>3.9689999999999999</v>
      </c>
      <c r="U199" s="10">
        <f t="shared" si="33"/>
        <v>4.1449999999999996</v>
      </c>
      <c r="V199" s="10">
        <f t="shared" si="33"/>
        <v>2.9390000000000001</v>
      </c>
      <c r="W199" s="10">
        <f t="shared" si="33"/>
        <v>4.149</v>
      </c>
      <c r="X199" s="10">
        <f t="shared" si="33"/>
        <v>0</v>
      </c>
      <c r="Y199" s="10">
        <f t="shared" si="33"/>
        <v>3.0920000000000001</v>
      </c>
      <c r="Z199" s="10">
        <f t="shared" si="33"/>
        <v>0</v>
      </c>
      <c r="AA199" s="10">
        <f t="shared" si="33"/>
        <v>2.8540000000000001</v>
      </c>
      <c r="AB199" s="10">
        <f t="shared" si="33"/>
        <v>4.9189999999999996</v>
      </c>
      <c r="AC199" s="10">
        <f t="shared" si="33"/>
        <v>2.6320000000000001</v>
      </c>
      <c r="AD199" s="10">
        <f t="shared" si="33"/>
        <v>1.931</v>
      </c>
      <c r="AE199" s="10">
        <f t="shared" si="33"/>
        <v>0</v>
      </c>
      <c r="AF199" s="10">
        <f t="shared" si="33"/>
        <v>0</v>
      </c>
    </row>
    <row r="200" spans="1:32">
      <c r="A200" s="10" t="s">
        <v>343</v>
      </c>
      <c r="B200" s="61" t="s">
        <v>292</v>
      </c>
      <c r="C200" s="10">
        <f t="shared" si="32"/>
        <v>4.3470000000000004</v>
      </c>
      <c r="D200" s="10">
        <f t="shared" si="33"/>
        <v>0</v>
      </c>
      <c r="E200" s="10">
        <f t="shared" si="33"/>
        <v>3.806</v>
      </c>
      <c r="F200" s="10">
        <f t="shared" si="33"/>
        <v>0</v>
      </c>
      <c r="G200" s="10">
        <f t="shared" si="33"/>
        <v>0</v>
      </c>
      <c r="H200" s="10">
        <f t="shared" si="33"/>
        <v>0</v>
      </c>
      <c r="I200" s="10">
        <f t="shared" si="33"/>
        <v>4.3490000000000002</v>
      </c>
      <c r="J200" s="10">
        <f t="shared" si="33"/>
        <v>4.2480000000000002</v>
      </c>
      <c r="K200" s="10">
        <f t="shared" si="33"/>
        <v>0</v>
      </c>
      <c r="L200" s="10">
        <f t="shared" si="33"/>
        <v>4.601</v>
      </c>
      <c r="M200" s="10">
        <f t="shared" si="33"/>
        <v>0</v>
      </c>
      <c r="N200" s="10">
        <f t="shared" si="33"/>
        <v>0</v>
      </c>
      <c r="O200" s="10">
        <f t="shared" si="33"/>
        <v>0</v>
      </c>
      <c r="P200" s="10">
        <f t="shared" si="33"/>
        <v>0</v>
      </c>
      <c r="Q200" s="10">
        <f t="shared" si="33"/>
        <v>0</v>
      </c>
      <c r="R200" s="10">
        <f t="shared" si="33"/>
        <v>0</v>
      </c>
      <c r="S200" s="10">
        <f t="shared" si="33"/>
        <v>0</v>
      </c>
      <c r="T200" s="10">
        <f t="shared" si="33"/>
        <v>4.0179999999999998</v>
      </c>
      <c r="U200" s="10">
        <f t="shared" si="33"/>
        <v>0</v>
      </c>
      <c r="V200" s="10">
        <f t="shared" si="33"/>
        <v>0</v>
      </c>
      <c r="W200" s="10">
        <f t="shared" si="33"/>
        <v>3.82</v>
      </c>
      <c r="X200" s="10">
        <f t="shared" si="33"/>
        <v>4.9580000000000002</v>
      </c>
      <c r="Y200" s="10">
        <f t="shared" si="33"/>
        <v>0</v>
      </c>
      <c r="Z200" s="10">
        <f t="shared" si="33"/>
        <v>0</v>
      </c>
      <c r="AA200" s="10">
        <f t="shared" si="33"/>
        <v>0</v>
      </c>
      <c r="AB200" s="10">
        <f t="shared" si="33"/>
        <v>0</v>
      </c>
      <c r="AC200" s="10">
        <f t="shared" si="33"/>
        <v>0</v>
      </c>
      <c r="AD200" s="10">
        <f t="shared" si="33"/>
        <v>0</v>
      </c>
      <c r="AE200" s="10">
        <f t="shared" si="33"/>
        <v>2.6139999999999999</v>
      </c>
      <c r="AF200" s="10">
        <f t="shared" si="33"/>
        <v>0</v>
      </c>
    </row>
    <row r="201" spans="1:32">
      <c r="A201" s="10" t="s">
        <v>343</v>
      </c>
      <c r="B201" s="61" t="s">
        <v>293</v>
      </c>
      <c r="C201" s="10">
        <f t="shared" si="32"/>
        <v>3.9289999999999998</v>
      </c>
      <c r="D201" s="10">
        <f t="shared" si="33"/>
        <v>3.105</v>
      </c>
      <c r="E201" s="10">
        <f t="shared" si="33"/>
        <v>3.992</v>
      </c>
      <c r="F201" s="10">
        <f t="shared" si="33"/>
        <v>4.0460000000000003</v>
      </c>
      <c r="G201" s="10">
        <f t="shared" si="33"/>
        <v>3.0649999999999999</v>
      </c>
      <c r="H201" s="10">
        <f t="shared" si="33"/>
        <v>3.6139999999999999</v>
      </c>
      <c r="I201" s="10">
        <f t="shared" si="33"/>
        <v>3.823</v>
      </c>
      <c r="J201" s="10">
        <f t="shared" si="33"/>
        <v>4.593</v>
      </c>
      <c r="K201" s="10">
        <f t="shared" si="33"/>
        <v>0</v>
      </c>
      <c r="L201" s="10">
        <f t="shared" si="33"/>
        <v>4.423</v>
      </c>
      <c r="M201" s="10">
        <f t="shared" si="33"/>
        <v>0</v>
      </c>
      <c r="N201" s="10">
        <f t="shared" si="33"/>
        <v>3.9409999999999998</v>
      </c>
      <c r="O201" s="10">
        <f t="shared" si="33"/>
        <v>2.7909999999999999</v>
      </c>
      <c r="P201" s="10">
        <f t="shared" si="33"/>
        <v>3.5089999999999999</v>
      </c>
      <c r="Q201" s="10">
        <f t="shared" si="33"/>
        <v>0</v>
      </c>
      <c r="R201" s="10">
        <f t="shared" si="33"/>
        <v>0</v>
      </c>
      <c r="S201" s="10">
        <f t="shared" si="33"/>
        <v>0</v>
      </c>
      <c r="T201" s="10">
        <f t="shared" si="33"/>
        <v>3.7709999999999999</v>
      </c>
      <c r="U201" s="10">
        <f t="shared" si="33"/>
        <v>0</v>
      </c>
      <c r="V201" s="10">
        <f t="shared" si="33"/>
        <v>3.169</v>
      </c>
      <c r="W201" s="10">
        <f t="shared" si="33"/>
        <v>4.173</v>
      </c>
      <c r="X201" s="10">
        <f t="shared" si="33"/>
        <v>0</v>
      </c>
      <c r="Y201" s="10">
        <f t="shared" si="33"/>
        <v>4.1929999999999996</v>
      </c>
      <c r="Z201" s="10">
        <f t="shared" si="33"/>
        <v>0</v>
      </c>
      <c r="AA201" s="10">
        <f t="shared" si="33"/>
        <v>4.0570000000000004</v>
      </c>
      <c r="AB201" s="10">
        <f t="shared" si="33"/>
        <v>5.444</v>
      </c>
      <c r="AC201" s="10">
        <f t="shared" si="33"/>
        <v>2.7959999999999998</v>
      </c>
      <c r="AD201" s="10">
        <f t="shared" si="33"/>
        <v>3.722</v>
      </c>
      <c r="AE201" s="10">
        <f t="shared" si="33"/>
        <v>4.8360000000000003</v>
      </c>
      <c r="AF201" s="10">
        <f t="shared" si="33"/>
        <v>0</v>
      </c>
    </row>
    <row r="202" spans="1:32">
      <c r="A202" s="10" t="s">
        <v>343</v>
      </c>
      <c r="B202" s="61" t="s">
        <v>309</v>
      </c>
      <c r="C202" s="10">
        <f t="shared" si="32"/>
        <v>0</v>
      </c>
      <c r="D202" s="10">
        <f t="shared" si="33"/>
        <v>4.0759999999999996</v>
      </c>
      <c r="E202" s="10">
        <f t="shared" si="33"/>
        <v>0</v>
      </c>
      <c r="F202" s="10">
        <f t="shared" si="33"/>
        <v>0</v>
      </c>
      <c r="G202" s="10">
        <f t="shared" si="33"/>
        <v>0</v>
      </c>
      <c r="H202" s="10">
        <f t="shared" si="33"/>
        <v>3.6819999999999999</v>
      </c>
      <c r="I202" s="10">
        <f t="shared" si="33"/>
        <v>3.9540000000000002</v>
      </c>
      <c r="J202" s="10">
        <f t="shared" si="33"/>
        <v>3.72</v>
      </c>
      <c r="K202" s="10">
        <f t="shared" si="33"/>
        <v>2.673</v>
      </c>
      <c r="L202" s="10">
        <f t="shared" si="33"/>
        <v>0</v>
      </c>
      <c r="M202" s="10">
        <f t="shared" si="33"/>
        <v>3.9710000000000001</v>
      </c>
      <c r="N202" s="10">
        <f t="shared" si="33"/>
        <v>0</v>
      </c>
      <c r="O202" s="10">
        <f t="shared" si="33"/>
        <v>4.3170000000000002</v>
      </c>
      <c r="P202" s="10">
        <f t="shared" si="33"/>
        <v>3.867</v>
      </c>
      <c r="Q202" s="10">
        <f t="shared" si="33"/>
        <v>0</v>
      </c>
      <c r="R202" s="10">
        <f t="shared" si="33"/>
        <v>0</v>
      </c>
      <c r="S202" s="10">
        <f t="shared" si="33"/>
        <v>0</v>
      </c>
      <c r="T202" s="10">
        <f t="shared" si="33"/>
        <v>0</v>
      </c>
      <c r="U202" s="10">
        <f t="shared" si="33"/>
        <v>1.9710000000000001</v>
      </c>
      <c r="V202" s="10">
        <f t="shared" si="33"/>
        <v>0</v>
      </c>
      <c r="W202" s="10">
        <f t="shared" si="33"/>
        <v>4.2990000000000004</v>
      </c>
      <c r="X202" s="10">
        <f t="shared" si="33"/>
        <v>4.1619999999999999</v>
      </c>
      <c r="Y202" s="10">
        <f t="shared" si="33"/>
        <v>2.8849999999999998</v>
      </c>
      <c r="Z202" s="10">
        <f t="shared" si="33"/>
        <v>0</v>
      </c>
      <c r="AA202" s="10">
        <f t="shared" si="33"/>
        <v>4.0220000000000002</v>
      </c>
      <c r="AB202" s="10">
        <f t="shared" si="33"/>
        <v>3.8050000000000002</v>
      </c>
      <c r="AC202" s="10">
        <f t="shared" si="33"/>
        <v>4.2389999999999999</v>
      </c>
      <c r="AD202" s="10">
        <f t="shared" si="33"/>
        <v>3.5859999999999999</v>
      </c>
      <c r="AE202" s="10">
        <f t="shared" si="33"/>
        <v>0</v>
      </c>
      <c r="AF202" s="10">
        <f t="shared" si="33"/>
        <v>0</v>
      </c>
    </row>
    <row r="203" spans="1:32">
      <c r="A203" s="10" t="s">
        <v>343</v>
      </c>
      <c r="B203" s="61" t="s">
        <v>294</v>
      </c>
      <c r="C203" s="10">
        <f t="shared" ref="C203:C215" si="34">ROUND((EXP(7.032824+1*0.622482)*((C23/1.852)^ 0.40303))/(1.15*0.0059)/1000000,3)</f>
        <v>4.0640000000000001</v>
      </c>
      <c r="D203" s="10">
        <f t="shared" si="33"/>
        <v>3.2829999999999999</v>
      </c>
      <c r="E203" s="10">
        <f t="shared" si="33"/>
        <v>1.7809999999999999</v>
      </c>
      <c r="F203" s="10">
        <f t="shared" si="33"/>
        <v>0</v>
      </c>
      <c r="G203" s="10">
        <f t="shared" si="33"/>
        <v>2.6240000000000001</v>
      </c>
      <c r="H203" s="10">
        <f t="shared" si="33"/>
        <v>3.3340000000000001</v>
      </c>
      <c r="I203" s="10">
        <f t="shared" si="33"/>
        <v>2.5419999999999998</v>
      </c>
      <c r="J203" s="10">
        <f t="shared" si="33"/>
        <v>3.476</v>
      </c>
      <c r="K203" s="10">
        <f t="shared" si="33"/>
        <v>0</v>
      </c>
      <c r="L203" s="10">
        <f t="shared" si="33"/>
        <v>4.3780000000000001</v>
      </c>
      <c r="M203" s="10">
        <f t="shared" si="33"/>
        <v>0</v>
      </c>
      <c r="N203" s="10">
        <f t="shared" si="33"/>
        <v>0</v>
      </c>
      <c r="O203" s="10">
        <f t="shared" si="33"/>
        <v>3.83</v>
      </c>
      <c r="P203" s="10">
        <f t="shared" si="33"/>
        <v>3.9689999999999999</v>
      </c>
      <c r="Q203" s="10">
        <f t="shared" si="33"/>
        <v>4.0179999999999998</v>
      </c>
      <c r="R203" s="10">
        <f t="shared" si="33"/>
        <v>3.7709999999999999</v>
      </c>
      <c r="S203" s="10">
        <f t="shared" si="33"/>
        <v>0</v>
      </c>
      <c r="T203" s="10">
        <f t="shared" si="33"/>
        <v>0</v>
      </c>
      <c r="U203" s="10">
        <f t="shared" si="33"/>
        <v>0</v>
      </c>
      <c r="V203" s="10">
        <f t="shared" si="33"/>
        <v>0</v>
      </c>
      <c r="W203" s="10">
        <f t="shared" si="33"/>
        <v>2.351</v>
      </c>
      <c r="X203" s="10">
        <f t="shared" si="33"/>
        <v>4.87</v>
      </c>
      <c r="Y203" s="10">
        <f t="shared" si="33"/>
        <v>3.8809999999999998</v>
      </c>
      <c r="Z203" s="10">
        <f t="shared" si="33"/>
        <v>0</v>
      </c>
      <c r="AA203" s="10">
        <f t="shared" si="33"/>
        <v>0</v>
      </c>
      <c r="AB203" s="10">
        <f t="shared" si="33"/>
        <v>4.7320000000000002</v>
      </c>
      <c r="AC203" s="10">
        <f t="shared" si="33"/>
        <v>3.532</v>
      </c>
      <c r="AD203" s="10">
        <f t="shared" si="33"/>
        <v>3.899</v>
      </c>
      <c r="AE203" s="10">
        <f t="shared" si="33"/>
        <v>3.5659999999999998</v>
      </c>
      <c r="AF203" s="10">
        <f t="shared" si="33"/>
        <v>0</v>
      </c>
    </row>
    <row r="204" spans="1:32">
      <c r="A204" s="10" t="s">
        <v>343</v>
      </c>
      <c r="B204" s="61" t="s">
        <v>310</v>
      </c>
      <c r="C204" s="10">
        <f t="shared" si="34"/>
        <v>0</v>
      </c>
      <c r="D204" s="10">
        <f t="shared" si="33"/>
        <v>4.319</v>
      </c>
      <c r="E204" s="10">
        <f t="shared" si="33"/>
        <v>0</v>
      </c>
      <c r="F204" s="10">
        <f t="shared" si="33"/>
        <v>0</v>
      </c>
      <c r="G204" s="10">
        <f t="shared" ref="D204:AF212" si="35">ROUND((EXP(7.032824+1*0.622482)*((G24/1.852)^ 0.40303))/(1.15*0.0059)/1000000,3)</f>
        <v>0</v>
      </c>
      <c r="H204" s="10">
        <f t="shared" si="35"/>
        <v>3.9550000000000001</v>
      </c>
      <c r="I204" s="10">
        <f t="shared" si="35"/>
        <v>4.149</v>
      </c>
      <c r="J204" s="10">
        <f t="shared" si="35"/>
        <v>3.802</v>
      </c>
      <c r="K204" s="10">
        <f t="shared" si="35"/>
        <v>2.077</v>
      </c>
      <c r="L204" s="10">
        <f t="shared" si="35"/>
        <v>0</v>
      </c>
      <c r="M204" s="10">
        <f t="shared" si="35"/>
        <v>3.6840000000000002</v>
      </c>
      <c r="N204" s="10">
        <f t="shared" si="35"/>
        <v>0</v>
      </c>
      <c r="O204" s="10">
        <f t="shared" si="35"/>
        <v>0</v>
      </c>
      <c r="P204" s="10">
        <f t="shared" si="35"/>
        <v>4.1449999999999996</v>
      </c>
      <c r="Q204" s="10">
        <f t="shared" si="35"/>
        <v>0</v>
      </c>
      <c r="R204" s="10">
        <f t="shared" si="35"/>
        <v>0</v>
      </c>
      <c r="S204" s="10">
        <f t="shared" si="35"/>
        <v>1.9710000000000001</v>
      </c>
      <c r="T204" s="10">
        <f t="shared" si="35"/>
        <v>0</v>
      </c>
      <c r="U204" s="10">
        <f t="shared" si="35"/>
        <v>0</v>
      </c>
      <c r="V204" s="10">
        <f t="shared" si="35"/>
        <v>0</v>
      </c>
      <c r="W204" s="10">
        <f t="shared" si="35"/>
        <v>4.4279999999999999</v>
      </c>
      <c r="X204" s="10">
        <f t="shared" si="35"/>
        <v>3.9790000000000001</v>
      </c>
      <c r="Y204" s="10">
        <f t="shared" si="35"/>
        <v>3.2749999999999999</v>
      </c>
      <c r="Z204" s="10">
        <f t="shared" si="35"/>
        <v>0</v>
      </c>
      <c r="AA204" s="10">
        <f t="shared" si="35"/>
        <v>4.2649999999999997</v>
      </c>
      <c r="AB204" s="10">
        <f t="shared" si="35"/>
        <v>3.5950000000000002</v>
      </c>
      <c r="AC204" s="10">
        <f t="shared" si="35"/>
        <v>0</v>
      </c>
      <c r="AD204" s="10">
        <f t="shared" si="35"/>
        <v>3.8929999999999998</v>
      </c>
      <c r="AE204" s="10">
        <f t="shared" si="35"/>
        <v>0</v>
      </c>
      <c r="AF204" s="10">
        <f t="shared" si="35"/>
        <v>0</v>
      </c>
    </row>
    <row r="205" spans="1:32">
      <c r="A205" s="10" t="s">
        <v>343</v>
      </c>
      <c r="B205" s="61" t="s">
        <v>297</v>
      </c>
      <c r="C205" s="10">
        <f t="shared" si="34"/>
        <v>4.3479999999999999</v>
      </c>
      <c r="D205" s="10">
        <f t="shared" si="35"/>
        <v>3.5990000000000002</v>
      </c>
      <c r="E205" s="10">
        <f t="shared" si="35"/>
        <v>2.0209999999999999</v>
      </c>
      <c r="F205" s="10">
        <f t="shared" si="35"/>
        <v>0</v>
      </c>
      <c r="G205" s="10">
        <f t="shared" si="35"/>
        <v>3.278</v>
      </c>
      <c r="H205" s="10">
        <f t="shared" si="35"/>
        <v>3.4780000000000002</v>
      </c>
      <c r="I205" s="10">
        <f t="shared" si="35"/>
        <v>2.5920000000000001</v>
      </c>
      <c r="J205" s="10">
        <f t="shared" si="35"/>
        <v>2.9809999999999999</v>
      </c>
      <c r="K205" s="10">
        <f t="shared" si="35"/>
        <v>0</v>
      </c>
      <c r="L205" s="10">
        <f t="shared" si="35"/>
        <v>4.6429999999999998</v>
      </c>
      <c r="M205" s="10">
        <f t="shared" si="35"/>
        <v>0</v>
      </c>
      <c r="N205" s="10">
        <f t="shared" si="35"/>
        <v>0</v>
      </c>
      <c r="O205" s="10">
        <f t="shared" si="35"/>
        <v>4.1269999999999998</v>
      </c>
      <c r="P205" s="10">
        <f t="shared" si="35"/>
        <v>4.149</v>
      </c>
      <c r="Q205" s="10">
        <f t="shared" si="35"/>
        <v>3.82</v>
      </c>
      <c r="R205" s="10">
        <f t="shared" si="35"/>
        <v>4.173</v>
      </c>
      <c r="S205" s="10">
        <f t="shared" si="35"/>
        <v>4.2990000000000004</v>
      </c>
      <c r="T205" s="10">
        <f t="shared" si="35"/>
        <v>2.351</v>
      </c>
      <c r="U205" s="10">
        <f t="shared" si="35"/>
        <v>4.4279999999999999</v>
      </c>
      <c r="V205" s="10">
        <f t="shared" si="35"/>
        <v>0</v>
      </c>
      <c r="W205" s="10">
        <f t="shared" si="35"/>
        <v>0</v>
      </c>
      <c r="X205" s="10">
        <f t="shared" si="35"/>
        <v>4.5570000000000004</v>
      </c>
      <c r="Y205" s="10">
        <f t="shared" si="35"/>
        <v>3.8380000000000001</v>
      </c>
      <c r="Z205" s="10">
        <f t="shared" si="35"/>
        <v>0</v>
      </c>
      <c r="AA205" s="10">
        <f t="shared" si="35"/>
        <v>0</v>
      </c>
      <c r="AB205" s="10">
        <f t="shared" si="35"/>
        <v>4.4260000000000002</v>
      </c>
      <c r="AC205" s="10">
        <f t="shared" si="35"/>
        <v>3.8620000000000001</v>
      </c>
      <c r="AD205" s="10">
        <f t="shared" si="35"/>
        <v>4.024</v>
      </c>
      <c r="AE205" s="10">
        <f t="shared" si="35"/>
        <v>3.2069999999999999</v>
      </c>
      <c r="AF205" s="10">
        <f t="shared" si="35"/>
        <v>0</v>
      </c>
    </row>
    <row r="206" spans="1:32">
      <c r="A206" s="10" t="s">
        <v>343</v>
      </c>
      <c r="B206" s="61" t="s">
        <v>298</v>
      </c>
      <c r="C206" s="10">
        <f t="shared" si="34"/>
        <v>5.8659999999999997</v>
      </c>
      <c r="D206" s="10">
        <f t="shared" si="35"/>
        <v>0</v>
      </c>
      <c r="E206" s="10">
        <f t="shared" si="35"/>
        <v>4.7919999999999998</v>
      </c>
      <c r="F206" s="10">
        <f t="shared" si="35"/>
        <v>0</v>
      </c>
      <c r="G206" s="10">
        <f t="shared" si="35"/>
        <v>0</v>
      </c>
      <c r="H206" s="10">
        <f t="shared" si="35"/>
        <v>4.7990000000000004</v>
      </c>
      <c r="I206" s="10">
        <f t="shared" si="35"/>
        <v>4.6319999999999997</v>
      </c>
      <c r="J206" s="10">
        <f t="shared" si="35"/>
        <v>3.403</v>
      </c>
      <c r="K206" s="10">
        <f t="shared" si="35"/>
        <v>3.7410000000000001</v>
      </c>
      <c r="L206" s="10">
        <f t="shared" si="35"/>
        <v>0</v>
      </c>
      <c r="M206" s="10">
        <f t="shared" si="35"/>
        <v>3.9289999999999998</v>
      </c>
      <c r="N206" s="10">
        <f t="shared" si="35"/>
        <v>0</v>
      </c>
      <c r="O206" s="10">
        <f t="shared" si="35"/>
        <v>0</v>
      </c>
      <c r="P206" s="10">
        <f t="shared" si="35"/>
        <v>0</v>
      </c>
      <c r="Q206" s="10">
        <f t="shared" si="35"/>
        <v>4.9580000000000002</v>
      </c>
      <c r="R206" s="10">
        <f t="shared" si="35"/>
        <v>0</v>
      </c>
      <c r="S206" s="10">
        <f t="shared" si="35"/>
        <v>4.1619999999999999</v>
      </c>
      <c r="T206" s="10">
        <f t="shared" si="35"/>
        <v>4.87</v>
      </c>
      <c r="U206" s="10">
        <f t="shared" si="35"/>
        <v>3.9790000000000001</v>
      </c>
      <c r="V206" s="10">
        <f t="shared" si="35"/>
        <v>0</v>
      </c>
      <c r="W206" s="10">
        <f t="shared" si="35"/>
        <v>4.5570000000000004</v>
      </c>
      <c r="X206" s="10">
        <f t="shared" si="35"/>
        <v>0</v>
      </c>
      <c r="Y206" s="10">
        <f t="shared" si="35"/>
        <v>4.5110000000000001</v>
      </c>
      <c r="Z206" s="10">
        <f t="shared" si="35"/>
        <v>0</v>
      </c>
      <c r="AA206" s="10">
        <f t="shared" si="35"/>
        <v>0</v>
      </c>
      <c r="AB206" s="10">
        <f t="shared" si="35"/>
        <v>2.1739999999999999</v>
      </c>
      <c r="AC206" s="10">
        <f t="shared" si="35"/>
        <v>0</v>
      </c>
      <c r="AD206" s="10">
        <f t="shared" si="35"/>
        <v>0</v>
      </c>
      <c r="AE206" s="10">
        <f t="shared" si="35"/>
        <v>4.617</v>
      </c>
      <c r="AF206" s="10">
        <f t="shared" si="35"/>
        <v>0</v>
      </c>
    </row>
    <row r="207" spans="1:32">
      <c r="A207" s="10" t="s">
        <v>343</v>
      </c>
      <c r="B207" s="61" t="s">
        <v>357</v>
      </c>
      <c r="C207" s="10">
        <f t="shared" si="34"/>
        <v>4.99</v>
      </c>
      <c r="D207" s="10">
        <f t="shared" si="35"/>
        <v>3.3380000000000001</v>
      </c>
      <c r="E207" s="10">
        <f t="shared" si="35"/>
        <v>0</v>
      </c>
      <c r="F207" s="10">
        <f t="shared" si="35"/>
        <v>2.9460000000000002</v>
      </c>
      <c r="G207" s="10">
        <f t="shared" si="35"/>
        <v>3.895</v>
      </c>
      <c r="H207" s="10">
        <f t="shared" si="35"/>
        <v>3.6440000000000001</v>
      </c>
      <c r="I207" s="10">
        <f t="shared" si="35"/>
        <v>4.1470000000000002</v>
      </c>
      <c r="J207" s="10">
        <f t="shared" si="35"/>
        <v>0</v>
      </c>
      <c r="K207" s="10">
        <f t="shared" si="35"/>
        <v>0</v>
      </c>
      <c r="L207" s="10">
        <f t="shared" si="35"/>
        <v>0</v>
      </c>
      <c r="M207" s="10">
        <f t="shared" si="35"/>
        <v>0</v>
      </c>
      <c r="N207" s="10">
        <f t="shared" si="35"/>
        <v>3.0219999999999998</v>
      </c>
      <c r="O207" s="10">
        <f t="shared" si="35"/>
        <v>2.5409999999999999</v>
      </c>
      <c r="P207" s="10">
        <f t="shared" si="35"/>
        <v>2.9390000000000001</v>
      </c>
      <c r="Q207" s="10">
        <f t="shared" si="35"/>
        <v>0</v>
      </c>
      <c r="R207" s="10">
        <f t="shared" si="35"/>
        <v>3.169</v>
      </c>
      <c r="S207" s="10">
        <f t="shared" si="35"/>
        <v>0</v>
      </c>
      <c r="T207" s="10">
        <f t="shared" si="35"/>
        <v>0</v>
      </c>
      <c r="U207" s="10">
        <f t="shared" si="35"/>
        <v>0</v>
      </c>
      <c r="V207" s="10">
        <f t="shared" si="35"/>
        <v>0</v>
      </c>
      <c r="W207" s="10">
        <f t="shared" si="35"/>
        <v>0</v>
      </c>
      <c r="X207" s="10">
        <f t="shared" si="35"/>
        <v>0</v>
      </c>
      <c r="Y207" s="10">
        <f t="shared" si="35"/>
        <v>3.9889999999999999</v>
      </c>
      <c r="Z207" s="10">
        <f t="shared" si="35"/>
        <v>0</v>
      </c>
      <c r="AA207" s="10">
        <f t="shared" si="35"/>
        <v>3.1309999999999998</v>
      </c>
      <c r="AB207" s="10">
        <f t="shared" si="35"/>
        <v>0</v>
      </c>
      <c r="AC207" s="10">
        <f t="shared" si="35"/>
        <v>2.9980000000000002</v>
      </c>
      <c r="AD207" s="10">
        <f t="shared" si="35"/>
        <v>3.32</v>
      </c>
      <c r="AE207" s="10">
        <f t="shared" si="35"/>
        <v>0</v>
      </c>
      <c r="AF207" s="10">
        <f t="shared" si="35"/>
        <v>0</v>
      </c>
    </row>
    <row r="208" spans="1:32">
      <c r="A208" s="10" t="s">
        <v>343</v>
      </c>
      <c r="B208" s="61" t="s">
        <v>299</v>
      </c>
      <c r="C208" s="10">
        <f t="shared" si="34"/>
        <v>5.1959999999999997</v>
      </c>
      <c r="D208" s="10">
        <f t="shared" si="35"/>
        <v>3.2629999999999999</v>
      </c>
      <c r="E208" s="10">
        <f t="shared" si="35"/>
        <v>3.988</v>
      </c>
      <c r="F208" s="10">
        <f t="shared" si="35"/>
        <v>4.1269999999999998</v>
      </c>
      <c r="G208" s="10">
        <f t="shared" si="35"/>
        <v>3.9319999999999999</v>
      </c>
      <c r="H208" s="10">
        <f t="shared" si="35"/>
        <v>2.6890000000000001</v>
      </c>
      <c r="I208" s="10">
        <f t="shared" si="35"/>
        <v>3.27</v>
      </c>
      <c r="J208" s="10">
        <f t="shared" si="35"/>
        <v>3.4910000000000001</v>
      </c>
      <c r="K208" s="10">
        <f t="shared" si="35"/>
        <v>3.637</v>
      </c>
      <c r="L208" s="10">
        <f t="shared" si="35"/>
        <v>0</v>
      </c>
      <c r="M208" s="10">
        <f t="shared" si="35"/>
        <v>4.54</v>
      </c>
      <c r="N208" s="10">
        <f t="shared" si="35"/>
        <v>4.6020000000000003</v>
      </c>
      <c r="O208" s="10">
        <f t="shared" si="35"/>
        <v>3.6240000000000001</v>
      </c>
      <c r="P208" s="10">
        <f t="shared" si="35"/>
        <v>3.0920000000000001</v>
      </c>
      <c r="Q208" s="10">
        <f t="shared" si="35"/>
        <v>0</v>
      </c>
      <c r="R208" s="10">
        <f t="shared" si="35"/>
        <v>4.1929999999999996</v>
      </c>
      <c r="S208" s="10">
        <f t="shared" si="35"/>
        <v>2.8849999999999998</v>
      </c>
      <c r="T208" s="10">
        <f t="shared" si="35"/>
        <v>3.8809999999999998</v>
      </c>
      <c r="U208" s="10">
        <f t="shared" si="35"/>
        <v>3.2749999999999999</v>
      </c>
      <c r="V208" s="10">
        <f t="shared" si="35"/>
        <v>3.9889999999999999</v>
      </c>
      <c r="W208" s="10">
        <f t="shared" si="35"/>
        <v>3.8380000000000001</v>
      </c>
      <c r="X208" s="10">
        <f t="shared" si="35"/>
        <v>4.5110000000000001</v>
      </c>
      <c r="Y208" s="10">
        <f t="shared" si="35"/>
        <v>0</v>
      </c>
      <c r="Z208" s="10">
        <f t="shared" si="35"/>
        <v>0</v>
      </c>
      <c r="AA208" s="10">
        <f t="shared" si="35"/>
        <v>3.6080000000000001</v>
      </c>
      <c r="AB208" s="10">
        <f t="shared" si="35"/>
        <v>4.2240000000000002</v>
      </c>
      <c r="AC208" s="10">
        <f t="shared" si="35"/>
        <v>3.4929999999999999</v>
      </c>
      <c r="AD208" s="10">
        <f t="shared" si="35"/>
        <v>2.661</v>
      </c>
      <c r="AE208" s="10">
        <f t="shared" si="35"/>
        <v>4.63</v>
      </c>
      <c r="AF208" s="10">
        <f t="shared" si="35"/>
        <v>0</v>
      </c>
    </row>
    <row r="209" spans="1:32">
      <c r="A209" s="10" t="s">
        <v>343</v>
      </c>
      <c r="B209" s="61" t="s">
        <v>300</v>
      </c>
      <c r="C209" s="10">
        <f t="shared" si="34"/>
        <v>3.1120000000000001</v>
      </c>
      <c r="D209" s="10">
        <f t="shared" si="35"/>
        <v>0</v>
      </c>
      <c r="E209" s="10">
        <f t="shared" si="35"/>
        <v>0</v>
      </c>
      <c r="F209" s="10">
        <f t="shared" si="35"/>
        <v>0</v>
      </c>
      <c r="G209" s="10">
        <f t="shared" si="35"/>
        <v>0</v>
      </c>
      <c r="H209" s="10">
        <f t="shared" si="35"/>
        <v>0</v>
      </c>
      <c r="I209" s="10">
        <f t="shared" si="35"/>
        <v>0</v>
      </c>
      <c r="J209" s="10">
        <f t="shared" si="35"/>
        <v>0</v>
      </c>
      <c r="K209" s="10">
        <f t="shared" si="35"/>
        <v>0</v>
      </c>
      <c r="L209" s="10">
        <f t="shared" si="35"/>
        <v>2.774</v>
      </c>
      <c r="M209" s="10">
        <f t="shared" si="35"/>
        <v>0</v>
      </c>
      <c r="N209" s="10">
        <f t="shared" si="35"/>
        <v>0</v>
      </c>
      <c r="O209" s="10">
        <f t="shared" si="35"/>
        <v>0</v>
      </c>
      <c r="P209" s="10">
        <f t="shared" si="35"/>
        <v>0</v>
      </c>
      <c r="Q209" s="10">
        <f t="shared" si="35"/>
        <v>0</v>
      </c>
      <c r="R209" s="10">
        <f t="shared" si="35"/>
        <v>0</v>
      </c>
      <c r="S209" s="10">
        <f t="shared" si="35"/>
        <v>0</v>
      </c>
      <c r="T209" s="10">
        <f t="shared" si="35"/>
        <v>0</v>
      </c>
      <c r="U209" s="10">
        <f t="shared" si="35"/>
        <v>0</v>
      </c>
      <c r="V209" s="10">
        <f t="shared" si="35"/>
        <v>0</v>
      </c>
      <c r="W209" s="10">
        <f t="shared" si="35"/>
        <v>0</v>
      </c>
      <c r="X209" s="10">
        <f t="shared" si="35"/>
        <v>0</v>
      </c>
      <c r="Y209" s="10">
        <f t="shared" si="35"/>
        <v>0</v>
      </c>
      <c r="Z209" s="10">
        <f t="shared" si="35"/>
        <v>0</v>
      </c>
      <c r="AA209" s="10">
        <f t="shared" si="35"/>
        <v>0</v>
      </c>
      <c r="AB209" s="10">
        <f t="shared" si="35"/>
        <v>0</v>
      </c>
      <c r="AC209" s="10">
        <f t="shared" si="35"/>
        <v>0</v>
      </c>
      <c r="AD209" s="10">
        <f t="shared" si="35"/>
        <v>0</v>
      </c>
      <c r="AE209" s="10">
        <f t="shared" si="35"/>
        <v>4.835</v>
      </c>
      <c r="AF209" s="10">
        <f t="shared" si="35"/>
        <v>0</v>
      </c>
    </row>
    <row r="210" spans="1:32">
      <c r="A210" s="10" t="s">
        <v>343</v>
      </c>
      <c r="B210" s="61" t="s">
        <v>301</v>
      </c>
      <c r="C210" s="10">
        <f t="shared" si="34"/>
        <v>5.4509999999999996</v>
      </c>
      <c r="D210" s="10">
        <f t="shared" si="35"/>
        <v>3.6819999999999999</v>
      </c>
      <c r="E210" s="10">
        <f t="shared" si="35"/>
        <v>0</v>
      </c>
      <c r="F210" s="10">
        <f t="shared" si="35"/>
        <v>2.5529999999999999</v>
      </c>
      <c r="G210" s="10">
        <f t="shared" si="35"/>
        <v>4.3570000000000002</v>
      </c>
      <c r="H210" s="10">
        <f t="shared" si="35"/>
        <v>3.6669999999999998</v>
      </c>
      <c r="I210" s="10">
        <f t="shared" si="35"/>
        <v>4.2640000000000002</v>
      </c>
      <c r="J210" s="10">
        <f t="shared" si="35"/>
        <v>4.6680000000000001</v>
      </c>
      <c r="K210" s="10">
        <f t="shared" si="35"/>
        <v>0</v>
      </c>
      <c r="L210" s="10">
        <f t="shared" si="35"/>
        <v>0</v>
      </c>
      <c r="M210" s="10">
        <f t="shared" si="35"/>
        <v>0</v>
      </c>
      <c r="N210" s="10">
        <f t="shared" si="35"/>
        <v>3.5409999999999999</v>
      </c>
      <c r="O210" s="10">
        <f t="shared" si="35"/>
        <v>3.3580000000000001</v>
      </c>
      <c r="P210" s="10">
        <f t="shared" si="35"/>
        <v>2.8540000000000001</v>
      </c>
      <c r="Q210" s="10">
        <f t="shared" si="35"/>
        <v>0</v>
      </c>
      <c r="R210" s="10">
        <f t="shared" si="35"/>
        <v>4.0570000000000004</v>
      </c>
      <c r="S210" s="10">
        <f t="shared" si="35"/>
        <v>4.0220000000000002</v>
      </c>
      <c r="T210" s="10">
        <f t="shared" si="35"/>
        <v>0</v>
      </c>
      <c r="U210" s="10">
        <f t="shared" si="35"/>
        <v>4.2649999999999997</v>
      </c>
      <c r="V210" s="10">
        <f t="shared" si="35"/>
        <v>3.1309999999999998</v>
      </c>
      <c r="W210" s="10">
        <f t="shared" si="35"/>
        <v>0</v>
      </c>
      <c r="X210" s="10">
        <f t="shared" si="35"/>
        <v>0</v>
      </c>
      <c r="Y210" s="10">
        <f t="shared" si="35"/>
        <v>3.6080000000000001</v>
      </c>
      <c r="Z210" s="10">
        <f t="shared" si="35"/>
        <v>0</v>
      </c>
      <c r="AA210" s="10">
        <f t="shared" si="35"/>
        <v>0</v>
      </c>
      <c r="AB210" s="10">
        <f t="shared" si="35"/>
        <v>0</v>
      </c>
      <c r="AC210" s="10">
        <f t="shared" si="35"/>
        <v>3.569</v>
      </c>
      <c r="AD210" s="10">
        <f t="shared" si="35"/>
        <v>3.028</v>
      </c>
      <c r="AE210" s="10">
        <f t="shared" si="35"/>
        <v>0</v>
      </c>
      <c r="AF210" s="10">
        <f t="shared" si="35"/>
        <v>3.7639999999999998</v>
      </c>
    </row>
    <row r="211" spans="1:32">
      <c r="A211" s="10" t="s">
        <v>343</v>
      </c>
      <c r="B211" s="61" t="s">
        <v>303</v>
      </c>
      <c r="C211" s="10">
        <f t="shared" si="34"/>
        <v>5.7960000000000003</v>
      </c>
      <c r="D211" s="10">
        <f t="shared" si="35"/>
        <v>4.8650000000000002</v>
      </c>
      <c r="E211" s="10">
        <f t="shared" si="35"/>
        <v>4.6710000000000003</v>
      </c>
      <c r="F211" s="10">
        <f t="shared" si="35"/>
        <v>0</v>
      </c>
      <c r="G211" s="10">
        <f t="shared" si="35"/>
        <v>5.0430000000000001</v>
      </c>
      <c r="H211" s="10">
        <f t="shared" si="35"/>
        <v>4.57</v>
      </c>
      <c r="I211" s="10">
        <f t="shared" si="35"/>
        <v>4.4400000000000004</v>
      </c>
      <c r="J211" s="10">
        <f t="shared" si="35"/>
        <v>2.7160000000000002</v>
      </c>
      <c r="K211" s="10">
        <f t="shared" si="35"/>
        <v>3.327</v>
      </c>
      <c r="L211" s="10">
        <f t="shared" si="35"/>
        <v>0</v>
      </c>
      <c r="M211" s="10">
        <f t="shared" si="35"/>
        <v>2.9860000000000002</v>
      </c>
      <c r="N211" s="10">
        <f t="shared" si="35"/>
        <v>0</v>
      </c>
      <c r="O211" s="10">
        <f t="shared" si="35"/>
        <v>5.1689999999999996</v>
      </c>
      <c r="P211" s="10">
        <f t="shared" si="35"/>
        <v>4.9189999999999996</v>
      </c>
      <c r="Q211" s="10">
        <f t="shared" si="35"/>
        <v>0</v>
      </c>
      <c r="R211" s="10">
        <f t="shared" si="35"/>
        <v>5.444</v>
      </c>
      <c r="S211" s="10">
        <f t="shared" si="35"/>
        <v>3.8050000000000002</v>
      </c>
      <c r="T211" s="10">
        <f t="shared" si="35"/>
        <v>4.7320000000000002</v>
      </c>
      <c r="U211" s="10">
        <f t="shared" si="35"/>
        <v>3.5950000000000002</v>
      </c>
      <c r="V211" s="10">
        <f t="shared" si="35"/>
        <v>0</v>
      </c>
      <c r="W211" s="10">
        <f t="shared" si="35"/>
        <v>4.4260000000000002</v>
      </c>
      <c r="X211" s="10">
        <f t="shared" si="35"/>
        <v>2.1739999999999999</v>
      </c>
      <c r="Y211" s="10">
        <f t="shared" si="35"/>
        <v>4.2240000000000002</v>
      </c>
      <c r="Z211" s="10">
        <f t="shared" si="35"/>
        <v>0</v>
      </c>
      <c r="AA211" s="10">
        <f t="shared" si="35"/>
        <v>0</v>
      </c>
      <c r="AB211" s="10">
        <f t="shared" si="35"/>
        <v>0</v>
      </c>
      <c r="AC211" s="10">
        <f t="shared" si="35"/>
        <v>5.0439999999999996</v>
      </c>
      <c r="AD211" s="10">
        <f t="shared" si="35"/>
        <v>4.7190000000000003</v>
      </c>
      <c r="AE211" s="10">
        <f t="shared" si="35"/>
        <v>4.609</v>
      </c>
      <c r="AF211" s="10">
        <f t="shared" si="35"/>
        <v>0</v>
      </c>
    </row>
    <row r="212" spans="1:32">
      <c r="A212" s="10" t="s">
        <v>343</v>
      </c>
      <c r="B212" s="61" t="s">
        <v>304</v>
      </c>
      <c r="C212" s="10">
        <f t="shared" si="34"/>
        <v>4.5919999999999996</v>
      </c>
      <c r="D212" s="10">
        <f t="shared" si="35"/>
        <v>1.93</v>
      </c>
      <c r="E212" s="10">
        <f t="shared" si="35"/>
        <v>3.7730000000000001</v>
      </c>
      <c r="F212" s="10">
        <f t="shared" si="35"/>
        <v>3.78</v>
      </c>
      <c r="G212" s="10">
        <f t="shared" si="35"/>
        <v>3</v>
      </c>
      <c r="H212" s="10">
        <f t="shared" si="35"/>
        <v>2.7280000000000002</v>
      </c>
      <c r="I212" s="10">
        <f t="shared" si="35"/>
        <v>3.29</v>
      </c>
      <c r="J212" s="10">
        <f t="shared" si="35"/>
        <v>4.149</v>
      </c>
      <c r="K212" s="10">
        <f t="shared" si="35"/>
        <v>0</v>
      </c>
      <c r="L212" s="10">
        <f t="shared" si="35"/>
        <v>4.7880000000000003</v>
      </c>
      <c r="M212" s="10">
        <f t="shared" si="35"/>
        <v>0</v>
      </c>
      <c r="N212" s="10">
        <f t="shared" si="35"/>
        <v>3.9790000000000001</v>
      </c>
      <c r="O212" s="10">
        <f t="shared" si="35"/>
        <v>1.9330000000000001</v>
      </c>
      <c r="P212" s="10">
        <f t="shared" si="35"/>
        <v>2.6320000000000001</v>
      </c>
      <c r="Q212" s="10">
        <f t="shared" si="35"/>
        <v>0</v>
      </c>
      <c r="R212" s="10">
        <f t="shared" si="35"/>
        <v>2.7959999999999998</v>
      </c>
      <c r="S212" s="10">
        <f t="shared" si="35"/>
        <v>4.2389999999999999</v>
      </c>
      <c r="T212" s="10">
        <f t="shared" si="35"/>
        <v>3.532</v>
      </c>
      <c r="U212" s="10">
        <f t="shared" si="35"/>
        <v>0</v>
      </c>
      <c r="V212" s="10">
        <f t="shared" si="35"/>
        <v>2.9980000000000002</v>
      </c>
      <c r="W212" s="10">
        <f t="shared" si="35"/>
        <v>3.8620000000000001</v>
      </c>
      <c r="X212" s="10">
        <f t="shared" si="35"/>
        <v>0</v>
      </c>
      <c r="Y212" s="10">
        <f t="shared" si="35"/>
        <v>3.4929999999999999</v>
      </c>
      <c r="Z212" s="10">
        <f t="shared" si="35"/>
        <v>0</v>
      </c>
      <c r="AA212" s="10">
        <f t="shared" si="35"/>
        <v>3.569</v>
      </c>
      <c r="AB212" s="10">
        <f t="shared" si="35"/>
        <v>5.0439999999999996</v>
      </c>
      <c r="AC212" s="10">
        <f t="shared" si="35"/>
        <v>0</v>
      </c>
      <c r="AD212" s="10">
        <f t="shared" ref="D212:AF215" si="36">ROUND((EXP(7.032824+1*0.622482)*((AD32/1.852)^ 0.40303))/(1.15*0.0059)/1000000,3)</f>
        <v>2.86</v>
      </c>
      <c r="AE212" s="10">
        <f t="shared" si="36"/>
        <v>0</v>
      </c>
      <c r="AF212" s="10">
        <f t="shared" si="36"/>
        <v>0</v>
      </c>
    </row>
    <row r="213" spans="1:32">
      <c r="A213" s="10" t="s">
        <v>343</v>
      </c>
      <c r="B213" s="61" t="s">
        <v>305</v>
      </c>
      <c r="C213" s="10">
        <f t="shared" si="34"/>
        <v>5.0670000000000002</v>
      </c>
      <c r="D213" s="10">
        <f t="shared" si="36"/>
        <v>2.7610000000000001</v>
      </c>
      <c r="E213" s="10">
        <f t="shared" si="36"/>
        <v>4.0679999999999996</v>
      </c>
      <c r="F213" s="10">
        <f t="shared" si="36"/>
        <v>3.5880000000000001</v>
      </c>
      <c r="G213" s="10">
        <f t="shared" si="36"/>
        <v>3.714</v>
      </c>
      <c r="H213" s="10">
        <f t="shared" si="36"/>
        <v>2.4940000000000002</v>
      </c>
      <c r="I213" s="10">
        <f t="shared" si="36"/>
        <v>3.4140000000000001</v>
      </c>
      <c r="J213" s="10">
        <f t="shared" si="36"/>
        <v>3.9769999999999999</v>
      </c>
      <c r="K213" s="10">
        <f t="shared" si="36"/>
        <v>4.1970000000000001</v>
      </c>
      <c r="L213" s="10">
        <f t="shared" si="36"/>
        <v>0</v>
      </c>
      <c r="M213" s="10">
        <f t="shared" si="36"/>
        <v>0</v>
      </c>
      <c r="N213" s="10">
        <f t="shared" si="36"/>
        <v>4.0979999999999999</v>
      </c>
      <c r="O213" s="10">
        <f t="shared" si="36"/>
        <v>2.9</v>
      </c>
      <c r="P213" s="10">
        <f t="shared" si="36"/>
        <v>1.931</v>
      </c>
      <c r="Q213" s="10">
        <f t="shared" si="36"/>
        <v>0</v>
      </c>
      <c r="R213" s="10">
        <f t="shared" si="36"/>
        <v>3.722</v>
      </c>
      <c r="S213" s="10">
        <f t="shared" si="36"/>
        <v>3.5859999999999999</v>
      </c>
      <c r="T213" s="10">
        <f t="shared" si="36"/>
        <v>3.899</v>
      </c>
      <c r="U213" s="10">
        <f t="shared" si="36"/>
        <v>3.8929999999999998</v>
      </c>
      <c r="V213" s="10">
        <f t="shared" si="36"/>
        <v>3.32</v>
      </c>
      <c r="W213" s="10">
        <f t="shared" si="36"/>
        <v>4.024</v>
      </c>
      <c r="X213" s="10">
        <f t="shared" si="36"/>
        <v>0</v>
      </c>
      <c r="Y213" s="10">
        <f t="shared" si="36"/>
        <v>2.661</v>
      </c>
      <c r="Z213" s="10">
        <f t="shared" si="36"/>
        <v>0</v>
      </c>
      <c r="AA213" s="10">
        <f t="shared" si="36"/>
        <v>3.028</v>
      </c>
      <c r="AB213" s="10">
        <f t="shared" si="36"/>
        <v>4.7190000000000003</v>
      </c>
      <c r="AC213" s="10">
        <f t="shared" si="36"/>
        <v>2.86</v>
      </c>
      <c r="AD213" s="10">
        <f t="shared" si="36"/>
        <v>0</v>
      </c>
      <c r="AE213" s="10">
        <f t="shared" si="36"/>
        <v>0</v>
      </c>
      <c r="AF213" s="10">
        <f t="shared" si="36"/>
        <v>0</v>
      </c>
    </row>
    <row r="214" spans="1:32">
      <c r="A214" s="10" t="s">
        <v>343</v>
      </c>
      <c r="B214" s="10" t="s">
        <v>356</v>
      </c>
      <c r="C214" s="10">
        <f t="shared" si="34"/>
        <v>0</v>
      </c>
      <c r="D214" s="10">
        <f t="shared" si="36"/>
        <v>0</v>
      </c>
      <c r="E214" s="10">
        <f t="shared" si="36"/>
        <v>0</v>
      </c>
      <c r="F214" s="10">
        <f t="shared" si="36"/>
        <v>2.7909999999999999</v>
      </c>
      <c r="G214" s="10">
        <f t="shared" si="36"/>
        <v>0</v>
      </c>
      <c r="H214" s="10">
        <f t="shared" si="36"/>
        <v>0</v>
      </c>
      <c r="I214" s="10">
        <f t="shared" si="36"/>
        <v>0</v>
      </c>
      <c r="J214" s="10">
        <f t="shared" si="36"/>
        <v>0</v>
      </c>
      <c r="K214" s="10">
        <f t="shared" si="36"/>
        <v>0</v>
      </c>
      <c r="L214" s="10">
        <f t="shared" si="36"/>
        <v>0</v>
      </c>
      <c r="M214" s="10">
        <f t="shared" si="36"/>
        <v>0</v>
      </c>
      <c r="N214" s="10">
        <f t="shared" si="36"/>
        <v>3.7120000000000002</v>
      </c>
      <c r="O214" s="10">
        <f t="shared" si="36"/>
        <v>0</v>
      </c>
      <c r="P214" s="10">
        <f t="shared" si="36"/>
        <v>0</v>
      </c>
      <c r="Q214" s="10">
        <f t="shared" si="36"/>
        <v>0</v>
      </c>
      <c r="R214" s="10">
        <f t="shared" si="36"/>
        <v>0</v>
      </c>
      <c r="S214" s="10">
        <f t="shared" si="36"/>
        <v>0</v>
      </c>
      <c r="T214" s="10">
        <f t="shared" si="36"/>
        <v>0</v>
      </c>
      <c r="U214" s="10">
        <f t="shared" si="36"/>
        <v>0</v>
      </c>
      <c r="V214" s="10">
        <f t="shared" si="36"/>
        <v>0</v>
      </c>
      <c r="W214" s="10">
        <f t="shared" si="36"/>
        <v>0</v>
      </c>
      <c r="X214" s="10">
        <f t="shared" si="36"/>
        <v>0</v>
      </c>
      <c r="Y214" s="10">
        <f t="shared" si="36"/>
        <v>0</v>
      </c>
      <c r="Z214" s="10">
        <f t="shared" si="36"/>
        <v>0</v>
      </c>
      <c r="AA214" s="10">
        <f t="shared" si="36"/>
        <v>3.7639999999999998</v>
      </c>
      <c r="AB214" s="10">
        <f t="shared" si="36"/>
        <v>0</v>
      </c>
      <c r="AC214" s="10">
        <f t="shared" si="36"/>
        <v>0</v>
      </c>
      <c r="AD214" s="10">
        <f t="shared" si="36"/>
        <v>0</v>
      </c>
      <c r="AE214" s="10">
        <f t="shared" si="36"/>
        <v>0</v>
      </c>
      <c r="AF214" s="10">
        <f t="shared" si="36"/>
        <v>0</v>
      </c>
    </row>
    <row r="215" spans="1:32">
      <c r="A215" s="10" t="s">
        <v>343</v>
      </c>
      <c r="B215" s="61" t="s">
        <v>307</v>
      </c>
      <c r="C215" s="10">
        <f t="shared" si="34"/>
        <v>3.198</v>
      </c>
      <c r="D215" s="10">
        <f t="shared" si="36"/>
        <v>4.4989999999999997</v>
      </c>
      <c r="E215" s="10">
        <f t="shared" si="36"/>
        <v>3.294</v>
      </c>
      <c r="F215" s="10">
        <f t="shared" si="36"/>
        <v>0</v>
      </c>
      <c r="G215" s="10">
        <f t="shared" si="36"/>
        <v>4.1349999999999998</v>
      </c>
      <c r="H215" s="10">
        <f t="shared" si="36"/>
        <v>4.423</v>
      </c>
      <c r="I215" s="10">
        <f t="shared" si="36"/>
        <v>3.8650000000000002</v>
      </c>
      <c r="J215" s="10">
        <f t="shared" si="36"/>
        <v>3.68</v>
      </c>
      <c r="K215" s="10">
        <f t="shared" si="36"/>
        <v>0</v>
      </c>
      <c r="L215" s="10">
        <f t="shared" si="36"/>
        <v>4.6879999999999997</v>
      </c>
      <c r="M215" s="10">
        <f t="shared" si="36"/>
        <v>0</v>
      </c>
      <c r="N215" s="10">
        <f t="shared" si="36"/>
        <v>0</v>
      </c>
      <c r="O215" s="10">
        <f t="shared" si="36"/>
        <v>0</v>
      </c>
      <c r="P215" s="10">
        <f t="shared" si="36"/>
        <v>0</v>
      </c>
      <c r="Q215" s="10">
        <f t="shared" si="36"/>
        <v>2.6139999999999999</v>
      </c>
      <c r="R215" s="10">
        <f t="shared" si="36"/>
        <v>4.8360000000000003</v>
      </c>
      <c r="S215" s="10">
        <f t="shared" si="36"/>
        <v>0</v>
      </c>
      <c r="T215" s="10">
        <f t="shared" si="36"/>
        <v>3.5659999999999998</v>
      </c>
      <c r="U215" s="10">
        <f t="shared" si="36"/>
        <v>0</v>
      </c>
      <c r="V215" s="10">
        <f t="shared" si="36"/>
        <v>0</v>
      </c>
      <c r="W215" s="10">
        <f t="shared" si="36"/>
        <v>3.2069999999999999</v>
      </c>
      <c r="X215" s="10">
        <f t="shared" si="36"/>
        <v>4.617</v>
      </c>
      <c r="Y215" s="10">
        <f t="shared" si="36"/>
        <v>4.63</v>
      </c>
      <c r="Z215" s="10">
        <f t="shared" si="36"/>
        <v>4.835</v>
      </c>
      <c r="AA215" s="10">
        <f t="shared" si="36"/>
        <v>0</v>
      </c>
      <c r="AB215" s="10">
        <f t="shared" si="36"/>
        <v>4.609</v>
      </c>
      <c r="AC215" s="10">
        <f t="shared" si="36"/>
        <v>0</v>
      </c>
      <c r="AD215" s="10">
        <f t="shared" si="36"/>
        <v>0</v>
      </c>
      <c r="AE215" s="10">
        <f t="shared" si="36"/>
        <v>0</v>
      </c>
      <c r="AF215" s="10">
        <f t="shared" si="36"/>
        <v>0</v>
      </c>
    </row>
    <row r="216" spans="1:32">
      <c r="A216" s="10" t="s">
        <v>344</v>
      </c>
      <c r="B216" s="61" t="s">
        <v>278</v>
      </c>
      <c r="C216" s="10">
        <f>ROUND((EXP(7.032824+1*0.622482)*((C6/1.852)^ 0.40303))/(1.15*0.0059)/1000000,3)</f>
        <v>4.58</v>
      </c>
      <c r="D216" s="10">
        <f t="shared" ref="D216:AF225" si="37">ROUND((EXP(7.032824+1*0.622482)*((D6/1.852)^ 0.40303))/(1.15*0.0059)/1000000,3)</f>
        <v>0</v>
      </c>
      <c r="E216" s="10">
        <f t="shared" si="37"/>
        <v>3.5369999999999999</v>
      </c>
      <c r="F216" s="10">
        <f t="shared" si="37"/>
        <v>3.9649999999999999</v>
      </c>
      <c r="G216" s="10">
        <f t="shared" si="37"/>
        <v>2.8639999999999999</v>
      </c>
      <c r="H216" s="10">
        <f t="shared" si="37"/>
        <v>2.2650000000000001</v>
      </c>
      <c r="I216" s="10">
        <f t="shared" si="37"/>
        <v>2.9159999999999999</v>
      </c>
      <c r="J216" s="10">
        <f t="shared" si="37"/>
        <v>3.8860000000000001</v>
      </c>
      <c r="K216" s="10">
        <f t="shared" si="37"/>
        <v>0</v>
      </c>
      <c r="L216" s="10">
        <f t="shared" si="37"/>
        <v>4.7969999999999997</v>
      </c>
      <c r="M216" s="10">
        <f t="shared" si="37"/>
        <v>0</v>
      </c>
      <c r="N216" s="10">
        <f t="shared" si="37"/>
        <v>4.2119999999999997</v>
      </c>
      <c r="O216" s="10">
        <f t="shared" si="37"/>
        <v>2.52</v>
      </c>
      <c r="P216" s="10">
        <f t="shared" si="37"/>
        <v>2.718</v>
      </c>
      <c r="Q216" s="10">
        <f t="shared" si="37"/>
        <v>0</v>
      </c>
      <c r="R216" s="10">
        <f t="shared" si="37"/>
        <v>3.105</v>
      </c>
      <c r="S216" s="10">
        <f t="shared" si="37"/>
        <v>4.0759999999999996</v>
      </c>
      <c r="T216" s="10">
        <f t="shared" si="37"/>
        <v>3.2829999999999999</v>
      </c>
      <c r="U216" s="10">
        <f t="shared" si="37"/>
        <v>4.319</v>
      </c>
      <c r="V216" s="10">
        <f t="shared" si="37"/>
        <v>3.3380000000000001</v>
      </c>
      <c r="W216" s="10">
        <f t="shared" si="37"/>
        <v>3.5990000000000002</v>
      </c>
      <c r="X216" s="10">
        <f t="shared" si="37"/>
        <v>0</v>
      </c>
      <c r="Y216" s="10">
        <f t="shared" si="37"/>
        <v>3.2629999999999999</v>
      </c>
      <c r="Z216" s="10">
        <f t="shared" si="37"/>
        <v>0</v>
      </c>
      <c r="AA216" s="10">
        <f t="shared" si="37"/>
        <v>3.6819999999999999</v>
      </c>
      <c r="AB216" s="10">
        <f t="shared" si="37"/>
        <v>4.8650000000000002</v>
      </c>
      <c r="AC216" s="10">
        <f t="shared" si="37"/>
        <v>1.93</v>
      </c>
      <c r="AD216" s="10">
        <f t="shared" si="37"/>
        <v>2.7610000000000001</v>
      </c>
      <c r="AE216" s="10">
        <f t="shared" si="37"/>
        <v>4.4989999999999997</v>
      </c>
      <c r="AF216" s="10">
        <f t="shared" si="37"/>
        <v>0</v>
      </c>
    </row>
    <row r="217" spans="1:32">
      <c r="A217" s="10" t="s">
        <v>344</v>
      </c>
      <c r="B217" s="61" t="s">
        <v>280</v>
      </c>
      <c r="C217" s="10">
        <f t="shared" ref="C217:R232" si="38">ROUND((EXP(7.032824+1*0.622482)*((C7/1.852)^ 0.40303))/(1.15*0.0059)/1000000,3)</f>
        <v>2.419</v>
      </c>
      <c r="D217" s="10">
        <f t="shared" si="38"/>
        <v>3.5369999999999999</v>
      </c>
      <c r="E217" s="10">
        <f t="shared" si="38"/>
        <v>0</v>
      </c>
      <c r="F217" s="10">
        <f t="shared" si="38"/>
        <v>0</v>
      </c>
      <c r="G217" s="10">
        <f t="shared" si="38"/>
        <v>2.9750000000000001</v>
      </c>
      <c r="H217" s="10">
        <f t="shared" si="38"/>
        <v>3.5329999999999999</v>
      </c>
      <c r="I217" s="10">
        <f t="shared" si="38"/>
        <v>2.734</v>
      </c>
      <c r="J217" s="10">
        <f t="shared" si="38"/>
        <v>3.3879999999999999</v>
      </c>
      <c r="K217" s="10">
        <f t="shared" si="38"/>
        <v>0</v>
      </c>
      <c r="L217" s="10">
        <f t="shared" si="38"/>
        <v>4.4020000000000001</v>
      </c>
      <c r="M217" s="10">
        <f t="shared" si="38"/>
        <v>0</v>
      </c>
      <c r="N217" s="10">
        <f t="shared" si="38"/>
        <v>0</v>
      </c>
      <c r="O217" s="10">
        <f t="shared" si="38"/>
        <v>4.0460000000000003</v>
      </c>
      <c r="P217" s="10">
        <f t="shared" si="38"/>
        <v>4.1509999999999998</v>
      </c>
      <c r="Q217" s="10">
        <f t="shared" si="38"/>
        <v>3.806</v>
      </c>
      <c r="R217" s="10">
        <f t="shared" si="38"/>
        <v>3.992</v>
      </c>
      <c r="S217" s="10">
        <f t="shared" si="37"/>
        <v>0</v>
      </c>
      <c r="T217" s="10">
        <f t="shared" si="37"/>
        <v>1.7809999999999999</v>
      </c>
      <c r="U217" s="10">
        <f t="shared" si="37"/>
        <v>0</v>
      </c>
      <c r="V217" s="10">
        <f t="shared" si="37"/>
        <v>0</v>
      </c>
      <c r="W217" s="10">
        <f t="shared" si="37"/>
        <v>2.0209999999999999</v>
      </c>
      <c r="X217" s="10">
        <f t="shared" si="37"/>
        <v>4.7919999999999998</v>
      </c>
      <c r="Y217" s="10">
        <f t="shared" si="37"/>
        <v>3.988</v>
      </c>
      <c r="Z217" s="10">
        <f t="shared" si="37"/>
        <v>0</v>
      </c>
      <c r="AA217" s="10">
        <f t="shared" si="37"/>
        <v>0</v>
      </c>
      <c r="AB217" s="10">
        <f t="shared" si="37"/>
        <v>4.6710000000000003</v>
      </c>
      <c r="AC217" s="10">
        <f t="shared" si="37"/>
        <v>3.7730000000000001</v>
      </c>
      <c r="AD217" s="10">
        <f t="shared" si="37"/>
        <v>4.0679999999999996</v>
      </c>
      <c r="AE217" s="10">
        <f t="shared" si="37"/>
        <v>3.294</v>
      </c>
      <c r="AF217" s="10">
        <f t="shared" si="37"/>
        <v>0</v>
      </c>
    </row>
    <row r="218" spans="1:32">
      <c r="A218" s="10" t="s">
        <v>344</v>
      </c>
      <c r="B218" s="61" t="s">
        <v>281</v>
      </c>
      <c r="C218" s="10">
        <f t="shared" si="38"/>
        <v>0</v>
      </c>
      <c r="D218" s="10">
        <f t="shared" si="37"/>
        <v>3.9649999999999999</v>
      </c>
      <c r="E218" s="10">
        <f t="shared" si="37"/>
        <v>0</v>
      </c>
      <c r="F218" s="10">
        <f t="shared" si="37"/>
        <v>0</v>
      </c>
      <c r="G218" s="10">
        <f t="shared" si="37"/>
        <v>4.5199999999999996</v>
      </c>
      <c r="H218" s="10">
        <f t="shared" si="37"/>
        <v>4.0640000000000001</v>
      </c>
      <c r="I218" s="10">
        <f t="shared" si="37"/>
        <v>4.5739999999999998</v>
      </c>
      <c r="J218" s="10">
        <f t="shared" si="37"/>
        <v>0</v>
      </c>
      <c r="K218" s="10">
        <f t="shared" si="37"/>
        <v>0</v>
      </c>
      <c r="L218" s="10">
        <f t="shared" si="37"/>
        <v>0</v>
      </c>
      <c r="M218" s="10">
        <f t="shared" si="37"/>
        <v>0</v>
      </c>
      <c r="N218" s="10">
        <f t="shared" si="37"/>
        <v>2.8580000000000001</v>
      </c>
      <c r="O218" s="10">
        <f t="shared" si="37"/>
        <v>3.5049999999999999</v>
      </c>
      <c r="P218" s="10">
        <f t="shared" si="37"/>
        <v>3.3460000000000001</v>
      </c>
      <c r="Q218" s="10">
        <f t="shared" si="37"/>
        <v>0</v>
      </c>
      <c r="R218" s="10">
        <f t="shared" si="37"/>
        <v>4.0460000000000003</v>
      </c>
      <c r="S218" s="10">
        <f t="shared" si="37"/>
        <v>0</v>
      </c>
      <c r="T218" s="10">
        <f t="shared" si="37"/>
        <v>0</v>
      </c>
      <c r="U218" s="10">
        <f t="shared" si="37"/>
        <v>0</v>
      </c>
      <c r="V218" s="10">
        <f t="shared" si="37"/>
        <v>2.9460000000000002</v>
      </c>
      <c r="W218" s="10">
        <f t="shared" si="37"/>
        <v>0</v>
      </c>
      <c r="X218" s="10">
        <f t="shared" si="37"/>
        <v>0</v>
      </c>
      <c r="Y218" s="10">
        <f t="shared" si="37"/>
        <v>4.1269999999999998</v>
      </c>
      <c r="Z218" s="10">
        <f t="shared" si="37"/>
        <v>0</v>
      </c>
      <c r="AA218" s="10">
        <f t="shared" si="37"/>
        <v>2.5529999999999999</v>
      </c>
      <c r="AB218" s="10">
        <f t="shared" si="37"/>
        <v>0</v>
      </c>
      <c r="AC218" s="10">
        <f t="shared" si="37"/>
        <v>3.78</v>
      </c>
      <c r="AD218" s="10">
        <f t="shared" si="37"/>
        <v>3.5880000000000001</v>
      </c>
      <c r="AE218" s="10">
        <f t="shared" si="37"/>
        <v>0</v>
      </c>
      <c r="AF218" s="10">
        <f t="shared" si="37"/>
        <v>2.7909999999999999</v>
      </c>
    </row>
    <row r="219" spans="1:32">
      <c r="A219" s="10" t="s">
        <v>344</v>
      </c>
      <c r="B219" s="61" t="s">
        <v>282</v>
      </c>
      <c r="C219" s="10">
        <f t="shared" si="38"/>
        <v>2.5739999999999998</v>
      </c>
      <c r="D219" s="10">
        <f t="shared" si="37"/>
        <v>2.8639999999999999</v>
      </c>
      <c r="E219" s="10">
        <f t="shared" si="37"/>
        <v>2.9750000000000001</v>
      </c>
      <c r="F219" s="10">
        <f t="shared" si="37"/>
        <v>4.5199999999999996</v>
      </c>
      <c r="G219" s="10">
        <f t="shared" si="37"/>
        <v>0</v>
      </c>
      <c r="H219" s="10">
        <f t="shared" si="37"/>
        <v>3.2410000000000001</v>
      </c>
      <c r="I219" s="10">
        <f t="shared" si="37"/>
        <v>2.9830000000000001</v>
      </c>
      <c r="J219" s="10">
        <f t="shared" si="37"/>
        <v>3.972</v>
      </c>
      <c r="K219" s="10">
        <f t="shared" si="37"/>
        <v>0</v>
      </c>
      <c r="L219" s="10">
        <f t="shared" si="37"/>
        <v>4.2350000000000003</v>
      </c>
      <c r="M219" s="10">
        <f t="shared" si="37"/>
        <v>0</v>
      </c>
      <c r="N219" s="10">
        <f t="shared" si="37"/>
        <v>0</v>
      </c>
      <c r="O219" s="10">
        <f t="shared" si="37"/>
        <v>3.3290000000000002</v>
      </c>
      <c r="P219" s="10">
        <f t="shared" si="37"/>
        <v>3.6819999999999999</v>
      </c>
      <c r="Q219" s="10">
        <f t="shared" si="37"/>
        <v>0</v>
      </c>
      <c r="R219" s="10">
        <f t="shared" si="37"/>
        <v>3.0649999999999999</v>
      </c>
      <c r="S219" s="10">
        <f t="shared" si="37"/>
        <v>0</v>
      </c>
      <c r="T219" s="10">
        <f t="shared" si="37"/>
        <v>2.6240000000000001</v>
      </c>
      <c r="U219" s="10">
        <f t="shared" si="37"/>
        <v>0</v>
      </c>
      <c r="V219" s="10">
        <f t="shared" si="37"/>
        <v>3.895</v>
      </c>
      <c r="W219" s="10">
        <f t="shared" si="37"/>
        <v>3.278</v>
      </c>
      <c r="X219" s="10">
        <f t="shared" si="37"/>
        <v>0</v>
      </c>
      <c r="Y219" s="10">
        <f t="shared" si="37"/>
        <v>3.9319999999999999</v>
      </c>
      <c r="Z219" s="10">
        <f t="shared" si="37"/>
        <v>0</v>
      </c>
      <c r="AA219" s="10">
        <f t="shared" si="37"/>
        <v>4.3570000000000002</v>
      </c>
      <c r="AB219" s="10">
        <f t="shared" si="37"/>
        <v>5.0430000000000001</v>
      </c>
      <c r="AC219" s="10">
        <f t="shared" si="37"/>
        <v>3</v>
      </c>
      <c r="AD219" s="10">
        <f t="shared" si="37"/>
        <v>3.714</v>
      </c>
      <c r="AE219" s="10">
        <f t="shared" si="37"/>
        <v>4.1349999999999998</v>
      </c>
      <c r="AF219" s="10">
        <f t="shared" si="37"/>
        <v>0</v>
      </c>
    </row>
    <row r="220" spans="1:32">
      <c r="A220" s="10" t="s">
        <v>344</v>
      </c>
      <c r="B220" s="61" t="s">
        <v>283</v>
      </c>
      <c r="C220" s="10">
        <f t="shared" si="38"/>
        <v>4.7850000000000001</v>
      </c>
      <c r="D220" s="10">
        <f t="shared" si="37"/>
        <v>2.2650000000000001</v>
      </c>
      <c r="E220" s="10">
        <f t="shared" si="37"/>
        <v>3.5329999999999999</v>
      </c>
      <c r="F220" s="10">
        <f t="shared" si="37"/>
        <v>4.0640000000000001</v>
      </c>
      <c r="G220" s="10">
        <f t="shared" si="37"/>
        <v>3.2410000000000001</v>
      </c>
      <c r="H220" s="10">
        <f t="shared" si="37"/>
        <v>0</v>
      </c>
      <c r="I220" s="10">
        <f t="shared" si="37"/>
        <v>2.6680000000000001</v>
      </c>
      <c r="J220" s="10">
        <f t="shared" si="37"/>
        <v>3.5510000000000002</v>
      </c>
      <c r="K220" s="10">
        <f t="shared" si="37"/>
        <v>4.2210000000000001</v>
      </c>
      <c r="L220" s="10">
        <f t="shared" si="37"/>
        <v>0</v>
      </c>
      <c r="M220" s="10">
        <f t="shared" si="37"/>
        <v>0</v>
      </c>
      <c r="N220" s="10">
        <f t="shared" si="37"/>
        <v>4.4139999999999997</v>
      </c>
      <c r="O220" s="10">
        <f t="shared" si="37"/>
        <v>3.0390000000000001</v>
      </c>
      <c r="P220" s="10">
        <f t="shared" si="37"/>
        <v>2.7589999999999999</v>
      </c>
      <c r="Q220" s="10">
        <f t="shared" si="37"/>
        <v>0</v>
      </c>
      <c r="R220" s="10">
        <f t="shared" si="37"/>
        <v>3.6139999999999999</v>
      </c>
      <c r="S220" s="10">
        <f t="shared" si="37"/>
        <v>3.6819999999999999</v>
      </c>
      <c r="T220" s="10">
        <f t="shared" si="37"/>
        <v>3.3340000000000001</v>
      </c>
      <c r="U220" s="10">
        <f t="shared" si="37"/>
        <v>3.9550000000000001</v>
      </c>
      <c r="V220" s="10">
        <f t="shared" si="37"/>
        <v>3.6440000000000001</v>
      </c>
      <c r="W220" s="10">
        <f t="shared" si="37"/>
        <v>3.4780000000000002</v>
      </c>
      <c r="X220" s="10">
        <f t="shared" si="37"/>
        <v>4.7990000000000004</v>
      </c>
      <c r="Y220" s="10">
        <f t="shared" si="37"/>
        <v>2.6890000000000001</v>
      </c>
      <c r="Z220" s="10">
        <f t="shared" si="37"/>
        <v>0</v>
      </c>
      <c r="AA220" s="10">
        <f t="shared" si="37"/>
        <v>3.6669999999999998</v>
      </c>
      <c r="AB220" s="10">
        <f t="shared" si="37"/>
        <v>4.57</v>
      </c>
      <c r="AC220" s="10">
        <f t="shared" si="37"/>
        <v>2.7280000000000002</v>
      </c>
      <c r="AD220" s="10">
        <f t="shared" si="37"/>
        <v>2.4940000000000002</v>
      </c>
      <c r="AE220" s="10">
        <f t="shared" si="37"/>
        <v>4.423</v>
      </c>
      <c r="AF220" s="10">
        <f t="shared" si="37"/>
        <v>0</v>
      </c>
    </row>
    <row r="221" spans="1:32">
      <c r="A221" s="10" t="s">
        <v>344</v>
      </c>
      <c r="B221" s="61" t="s">
        <v>284</v>
      </c>
      <c r="C221" s="10">
        <f t="shared" si="38"/>
        <v>2.972</v>
      </c>
      <c r="D221" s="10">
        <f t="shared" si="37"/>
        <v>2.9159999999999999</v>
      </c>
      <c r="E221" s="10">
        <f t="shared" si="37"/>
        <v>2.734</v>
      </c>
      <c r="F221" s="10">
        <f t="shared" si="37"/>
        <v>4.5739999999999998</v>
      </c>
      <c r="G221" s="10">
        <f t="shared" si="37"/>
        <v>2.9830000000000001</v>
      </c>
      <c r="H221" s="10">
        <f t="shared" si="37"/>
        <v>2.6680000000000001</v>
      </c>
      <c r="I221" s="10">
        <f t="shared" si="37"/>
        <v>0</v>
      </c>
      <c r="J221" s="10">
        <f t="shared" si="37"/>
        <v>3.0659999999999998</v>
      </c>
      <c r="K221" s="10">
        <f t="shared" si="37"/>
        <v>4.3419999999999996</v>
      </c>
      <c r="L221" s="10">
        <f t="shared" si="37"/>
        <v>4.7789999999999999</v>
      </c>
      <c r="M221" s="10">
        <f t="shared" si="37"/>
        <v>4.9240000000000004</v>
      </c>
      <c r="N221" s="10">
        <f t="shared" si="37"/>
        <v>4.8230000000000004</v>
      </c>
      <c r="O221" s="10">
        <f t="shared" si="37"/>
        <v>3.6080000000000001</v>
      </c>
      <c r="P221" s="10">
        <f t="shared" si="37"/>
        <v>3.5739999999999998</v>
      </c>
      <c r="Q221" s="10">
        <f t="shared" si="37"/>
        <v>4.3490000000000002</v>
      </c>
      <c r="R221" s="10">
        <f t="shared" si="37"/>
        <v>3.823</v>
      </c>
      <c r="S221" s="10">
        <f t="shared" si="37"/>
        <v>3.9540000000000002</v>
      </c>
      <c r="T221" s="10">
        <f t="shared" si="37"/>
        <v>2.5419999999999998</v>
      </c>
      <c r="U221" s="10">
        <f t="shared" si="37"/>
        <v>4.149</v>
      </c>
      <c r="V221" s="10">
        <f t="shared" si="37"/>
        <v>4.1470000000000002</v>
      </c>
      <c r="W221" s="10">
        <f t="shared" si="37"/>
        <v>2.5920000000000001</v>
      </c>
      <c r="X221" s="10">
        <f t="shared" si="37"/>
        <v>4.6319999999999997</v>
      </c>
      <c r="Y221" s="10">
        <f t="shared" si="37"/>
        <v>3.27</v>
      </c>
      <c r="Z221" s="10">
        <f t="shared" si="37"/>
        <v>0</v>
      </c>
      <c r="AA221" s="10">
        <f t="shared" si="37"/>
        <v>4.2640000000000002</v>
      </c>
      <c r="AB221" s="10">
        <f t="shared" si="37"/>
        <v>4.4400000000000004</v>
      </c>
      <c r="AC221" s="10">
        <f t="shared" si="37"/>
        <v>3.29</v>
      </c>
      <c r="AD221" s="10">
        <f t="shared" si="37"/>
        <v>3.4140000000000001</v>
      </c>
      <c r="AE221" s="10">
        <f t="shared" si="37"/>
        <v>3.8650000000000002</v>
      </c>
      <c r="AF221" s="10">
        <f t="shared" si="37"/>
        <v>0</v>
      </c>
    </row>
    <row r="222" spans="1:32">
      <c r="A222" s="10" t="s">
        <v>344</v>
      </c>
      <c r="B222" s="61" t="s">
        <v>285</v>
      </c>
      <c r="C222" s="10">
        <f t="shared" si="38"/>
        <v>4.968</v>
      </c>
      <c r="D222" s="10">
        <f t="shared" si="37"/>
        <v>3.8860000000000001</v>
      </c>
      <c r="E222" s="10">
        <f t="shared" si="37"/>
        <v>3.3879999999999999</v>
      </c>
      <c r="F222" s="10">
        <f t="shared" si="37"/>
        <v>0</v>
      </c>
      <c r="G222" s="10">
        <f t="shared" si="37"/>
        <v>3.972</v>
      </c>
      <c r="H222" s="10">
        <f t="shared" si="37"/>
        <v>3.5510000000000002</v>
      </c>
      <c r="I222" s="10">
        <f t="shared" si="37"/>
        <v>3.0659999999999998</v>
      </c>
      <c r="J222" s="10">
        <f t="shared" si="37"/>
        <v>0</v>
      </c>
      <c r="K222" s="10">
        <f t="shared" si="37"/>
        <v>3.895</v>
      </c>
      <c r="L222" s="10">
        <f t="shared" si="37"/>
        <v>0</v>
      </c>
      <c r="M222" s="10">
        <f t="shared" si="37"/>
        <v>4.3650000000000002</v>
      </c>
      <c r="N222" s="10">
        <f t="shared" si="37"/>
        <v>0</v>
      </c>
      <c r="O222" s="10">
        <f t="shared" si="37"/>
        <v>4.3600000000000003</v>
      </c>
      <c r="P222" s="10">
        <f t="shared" si="37"/>
        <v>4.1890000000000001</v>
      </c>
      <c r="Q222" s="10">
        <f t="shared" si="37"/>
        <v>4.2480000000000002</v>
      </c>
      <c r="R222" s="10">
        <f t="shared" si="37"/>
        <v>4.593</v>
      </c>
      <c r="S222" s="10">
        <f t="shared" si="37"/>
        <v>3.72</v>
      </c>
      <c r="T222" s="10">
        <f t="shared" si="37"/>
        <v>3.476</v>
      </c>
      <c r="U222" s="10">
        <f t="shared" si="37"/>
        <v>3.802</v>
      </c>
      <c r="V222" s="10">
        <f t="shared" si="37"/>
        <v>0</v>
      </c>
      <c r="W222" s="10">
        <f t="shared" si="37"/>
        <v>2.9809999999999999</v>
      </c>
      <c r="X222" s="10">
        <f t="shared" si="37"/>
        <v>3.403</v>
      </c>
      <c r="Y222" s="10">
        <f t="shared" si="37"/>
        <v>3.4910000000000001</v>
      </c>
      <c r="Z222" s="10">
        <f t="shared" si="37"/>
        <v>0</v>
      </c>
      <c r="AA222" s="10">
        <f t="shared" si="37"/>
        <v>4.6680000000000001</v>
      </c>
      <c r="AB222" s="10">
        <f t="shared" si="37"/>
        <v>2.7160000000000002</v>
      </c>
      <c r="AC222" s="10">
        <f t="shared" si="37"/>
        <v>4.149</v>
      </c>
      <c r="AD222" s="10">
        <f t="shared" si="37"/>
        <v>3.9769999999999999</v>
      </c>
      <c r="AE222" s="10">
        <f t="shared" si="37"/>
        <v>3.68</v>
      </c>
      <c r="AF222" s="10">
        <f t="shared" si="37"/>
        <v>0</v>
      </c>
    </row>
    <row r="223" spans="1:32">
      <c r="A223" s="10" t="s">
        <v>344</v>
      </c>
      <c r="B223" s="61" t="s">
        <v>308</v>
      </c>
      <c r="C223" s="10">
        <f t="shared" si="38"/>
        <v>0</v>
      </c>
      <c r="D223" s="10">
        <f t="shared" si="37"/>
        <v>0</v>
      </c>
      <c r="E223" s="10">
        <f t="shared" si="37"/>
        <v>0</v>
      </c>
      <c r="F223" s="10">
        <f t="shared" si="37"/>
        <v>0</v>
      </c>
      <c r="G223" s="10">
        <f t="shared" si="37"/>
        <v>0</v>
      </c>
      <c r="H223" s="10">
        <f t="shared" si="37"/>
        <v>4.2210000000000001</v>
      </c>
      <c r="I223" s="10">
        <f t="shared" si="37"/>
        <v>4.3419999999999996</v>
      </c>
      <c r="J223" s="10">
        <f t="shared" si="37"/>
        <v>3.895</v>
      </c>
      <c r="K223" s="10">
        <f t="shared" si="37"/>
        <v>0</v>
      </c>
      <c r="L223" s="10">
        <f t="shared" si="37"/>
        <v>0</v>
      </c>
      <c r="M223" s="10">
        <f t="shared" si="37"/>
        <v>3.2989999999999999</v>
      </c>
      <c r="N223" s="10">
        <f t="shared" si="37"/>
        <v>0</v>
      </c>
      <c r="O223" s="10">
        <f t="shared" si="37"/>
        <v>0</v>
      </c>
      <c r="P223" s="10">
        <f t="shared" si="37"/>
        <v>0</v>
      </c>
      <c r="Q223" s="10">
        <f t="shared" si="37"/>
        <v>0</v>
      </c>
      <c r="R223" s="10">
        <f t="shared" si="37"/>
        <v>0</v>
      </c>
      <c r="S223" s="10">
        <f t="shared" si="37"/>
        <v>2.673</v>
      </c>
      <c r="T223" s="10">
        <f t="shared" si="37"/>
        <v>0</v>
      </c>
      <c r="U223" s="10">
        <f t="shared" si="37"/>
        <v>2.077</v>
      </c>
      <c r="V223" s="10">
        <f t="shared" si="37"/>
        <v>0</v>
      </c>
      <c r="W223" s="10">
        <f t="shared" si="37"/>
        <v>0</v>
      </c>
      <c r="X223" s="10">
        <f t="shared" si="37"/>
        <v>3.7410000000000001</v>
      </c>
      <c r="Y223" s="10">
        <f t="shared" si="37"/>
        <v>3.637</v>
      </c>
      <c r="Z223" s="10">
        <f t="shared" si="37"/>
        <v>0</v>
      </c>
      <c r="AA223" s="10">
        <f t="shared" si="37"/>
        <v>0</v>
      </c>
      <c r="AB223" s="10">
        <f t="shared" si="37"/>
        <v>3.327</v>
      </c>
      <c r="AC223" s="10">
        <f t="shared" si="37"/>
        <v>0</v>
      </c>
      <c r="AD223" s="10">
        <f t="shared" si="37"/>
        <v>4.1970000000000001</v>
      </c>
      <c r="AE223" s="10">
        <f t="shared" si="37"/>
        <v>0</v>
      </c>
      <c r="AF223" s="10">
        <f t="shared" si="37"/>
        <v>0</v>
      </c>
    </row>
    <row r="224" spans="1:32">
      <c r="A224" s="10" t="s">
        <v>344</v>
      </c>
      <c r="B224" s="61" t="s">
        <v>286</v>
      </c>
      <c r="C224" s="10">
        <f t="shared" si="38"/>
        <v>2.1720000000000002</v>
      </c>
      <c r="D224" s="10">
        <f t="shared" si="37"/>
        <v>4.7969999999999997</v>
      </c>
      <c r="E224" s="10">
        <f t="shared" si="37"/>
        <v>4.4020000000000001</v>
      </c>
      <c r="F224" s="10">
        <f t="shared" si="37"/>
        <v>0</v>
      </c>
      <c r="G224" s="10">
        <f t="shared" si="37"/>
        <v>4.2350000000000003</v>
      </c>
      <c r="H224" s="10">
        <f t="shared" si="37"/>
        <v>0</v>
      </c>
      <c r="I224" s="10">
        <f t="shared" si="37"/>
        <v>4.7789999999999999</v>
      </c>
      <c r="J224" s="10">
        <f t="shared" si="37"/>
        <v>0</v>
      </c>
      <c r="K224" s="10">
        <f t="shared" si="37"/>
        <v>0</v>
      </c>
      <c r="L224" s="10">
        <f t="shared" si="37"/>
        <v>0</v>
      </c>
      <c r="M224" s="10">
        <f t="shared" si="37"/>
        <v>0</v>
      </c>
      <c r="N224" s="10">
        <f t="shared" si="37"/>
        <v>0</v>
      </c>
      <c r="O224" s="10">
        <f t="shared" si="37"/>
        <v>4.8940000000000001</v>
      </c>
      <c r="P224" s="10">
        <f t="shared" si="37"/>
        <v>0</v>
      </c>
      <c r="Q224" s="10">
        <f t="shared" si="37"/>
        <v>4.601</v>
      </c>
      <c r="R224" s="10">
        <f t="shared" si="37"/>
        <v>4.423</v>
      </c>
      <c r="S224" s="10">
        <f t="shared" si="37"/>
        <v>0</v>
      </c>
      <c r="T224" s="10">
        <f t="shared" si="37"/>
        <v>4.3780000000000001</v>
      </c>
      <c r="U224" s="10">
        <f t="shared" si="37"/>
        <v>0</v>
      </c>
      <c r="V224" s="10">
        <f t="shared" si="37"/>
        <v>0</v>
      </c>
      <c r="W224" s="10">
        <f t="shared" si="37"/>
        <v>4.6429999999999998</v>
      </c>
      <c r="X224" s="10">
        <f t="shared" si="37"/>
        <v>0</v>
      </c>
      <c r="Y224" s="10">
        <f t="shared" si="37"/>
        <v>0</v>
      </c>
      <c r="Z224" s="10">
        <f t="shared" si="37"/>
        <v>2.774</v>
      </c>
      <c r="AA224" s="10">
        <f t="shared" si="37"/>
        <v>0</v>
      </c>
      <c r="AB224" s="10">
        <f t="shared" si="37"/>
        <v>0</v>
      </c>
      <c r="AC224" s="10">
        <f t="shared" si="37"/>
        <v>4.7880000000000003</v>
      </c>
      <c r="AD224" s="10">
        <f t="shared" si="37"/>
        <v>0</v>
      </c>
      <c r="AE224" s="10">
        <f t="shared" si="37"/>
        <v>4.6879999999999997</v>
      </c>
      <c r="AF224" s="10">
        <f t="shared" si="37"/>
        <v>0</v>
      </c>
    </row>
    <row r="225" spans="1:32">
      <c r="A225" s="10" t="s">
        <v>344</v>
      </c>
      <c r="B225" s="61" t="s">
        <v>287</v>
      </c>
      <c r="C225" s="10">
        <f t="shared" si="38"/>
        <v>0</v>
      </c>
      <c r="D225" s="10">
        <f t="shared" si="37"/>
        <v>0</v>
      </c>
      <c r="E225" s="10">
        <f t="shared" si="37"/>
        <v>0</v>
      </c>
      <c r="F225" s="10">
        <f t="shared" si="37"/>
        <v>0</v>
      </c>
      <c r="G225" s="10">
        <f t="shared" si="37"/>
        <v>0</v>
      </c>
      <c r="H225" s="10">
        <f t="shared" si="37"/>
        <v>0</v>
      </c>
      <c r="I225" s="10">
        <f t="shared" si="37"/>
        <v>4.9240000000000004</v>
      </c>
      <c r="J225" s="10">
        <f t="shared" si="37"/>
        <v>4.3650000000000002</v>
      </c>
      <c r="K225" s="10">
        <f t="shared" si="37"/>
        <v>3.2989999999999999</v>
      </c>
      <c r="L225" s="10">
        <f t="shared" si="37"/>
        <v>0</v>
      </c>
      <c r="M225" s="10">
        <f t="shared" ref="D225:AF234" si="39">ROUND((EXP(7.032824+1*0.622482)*((M15/1.852)^ 0.40303))/(1.15*0.0059)/1000000,3)</f>
        <v>0</v>
      </c>
      <c r="N225" s="10">
        <f t="shared" si="39"/>
        <v>0</v>
      </c>
      <c r="O225" s="10">
        <f t="shared" si="39"/>
        <v>0</v>
      </c>
      <c r="P225" s="10">
        <f t="shared" si="39"/>
        <v>0</v>
      </c>
      <c r="Q225" s="10">
        <f t="shared" si="39"/>
        <v>0</v>
      </c>
      <c r="R225" s="10">
        <f t="shared" si="39"/>
        <v>0</v>
      </c>
      <c r="S225" s="10">
        <f t="shared" si="39"/>
        <v>3.9710000000000001</v>
      </c>
      <c r="T225" s="10">
        <f t="shared" si="39"/>
        <v>0</v>
      </c>
      <c r="U225" s="10">
        <f t="shared" si="39"/>
        <v>3.6840000000000002</v>
      </c>
      <c r="V225" s="10">
        <f t="shared" si="39"/>
        <v>0</v>
      </c>
      <c r="W225" s="10">
        <f t="shared" si="39"/>
        <v>0</v>
      </c>
      <c r="X225" s="10">
        <f t="shared" si="39"/>
        <v>3.9289999999999998</v>
      </c>
      <c r="Y225" s="10">
        <f t="shared" si="39"/>
        <v>4.54</v>
      </c>
      <c r="Z225" s="10">
        <f t="shared" si="39"/>
        <v>0</v>
      </c>
      <c r="AA225" s="10">
        <f t="shared" si="39"/>
        <v>0</v>
      </c>
      <c r="AB225" s="10">
        <f t="shared" si="39"/>
        <v>2.9860000000000002</v>
      </c>
      <c r="AC225" s="10">
        <f t="shared" si="39"/>
        <v>0</v>
      </c>
      <c r="AD225" s="10">
        <f t="shared" si="39"/>
        <v>0</v>
      </c>
      <c r="AE225" s="10">
        <f t="shared" si="39"/>
        <v>0</v>
      </c>
      <c r="AF225" s="10">
        <f t="shared" si="39"/>
        <v>0</v>
      </c>
    </row>
    <row r="226" spans="1:32">
      <c r="A226" s="10" t="s">
        <v>344</v>
      </c>
      <c r="B226" s="61" t="s">
        <v>288</v>
      </c>
      <c r="C226" s="10">
        <f t="shared" si="38"/>
        <v>0</v>
      </c>
      <c r="D226" s="10">
        <f t="shared" si="39"/>
        <v>4.58</v>
      </c>
      <c r="E226" s="10">
        <f t="shared" si="39"/>
        <v>2.419</v>
      </c>
      <c r="F226" s="10">
        <f t="shared" si="39"/>
        <v>0</v>
      </c>
      <c r="G226" s="10">
        <f t="shared" si="39"/>
        <v>2.5739999999999998</v>
      </c>
      <c r="H226" s="10">
        <f t="shared" si="39"/>
        <v>4.7850000000000001</v>
      </c>
      <c r="I226" s="10">
        <f t="shared" si="39"/>
        <v>2.972</v>
      </c>
      <c r="J226" s="10">
        <f t="shared" si="39"/>
        <v>4.968</v>
      </c>
      <c r="K226" s="10">
        <f t="shared" si="39"/>
        <v>0</v>
      </c>
      <c r="L226" s="10">
        <f t="shared" si="39"/>
        <v>2.1720000000000002</v>
      </c>
      <c r="M226" s="10">
        <f t="shared" si="39"/>
        <v>0</v>
      </c>
      <c r="N226" s="10">
        <f t="shared" si="39"/>
        <v>5.4</v>
      </c>
      <c r="O226" s="10">
        <f t="shared" si="39"/>
        <v>4.7220000000000004</v>
      </c>
      <c r="P226" s="10">
        <f t="shared" si="39"/>
        <v>5.0220000000000002</v>
      </c>
      <c r="Q226" s="10">
        <f t="shared" si="39"/>
        <v>4.3470000000000004</v>
      </c>
      <c r="R226" s="10">
        <f t="shared" si="39"/>
        <v>3.9289999999999998</v>
      </c>
      <c r="S226" s="10">
        <f t="shared" si="39"/>
        <v>0</v>
      </c>
      <c r="T226" s="10">
        <f t="shared" si="39"/>
        <v>4.0640000000000001</v>
      </c>
      <c r="U226" s="10">
        <f t="shared" si="39"/>
        <v>0</v>
      </c>
      <c r="V226" s="10">
        <f t="shared" si="39"/>
        <v>4.99</v>
      </c>
      <c r="W226" s="10">
        <f t="shared" si="39"/>
        <v>4.3479999999999999</v>
      </c>
      <c r="X226" s="10">
        <f t="shared" si="39"/>
        <v>5.8659999999999997</v>
      </c>
      <c r="Y226" s="10">
        <f t="shared" si="39"/>
        <v>5.1959999999999997</v>
      </c>
      <c r="Z226" s="10">
        <f t="shared" si="39"/>
        <v>3.1120000000000001</v>
      </c>
      <c r="AA226" s="10">
        <f t="shared" si="39"/>
        <v>5.4509999999999996</v>
      </c>
      <c r="AB226" s="10">
        <f t="shared" si="39"/>
        <v>5.7960000000000003</v>
      </c>
      <c r="AC226" s="10">
        <f t="shared" si="39"/>
        <v>4.5919999999999996</v>
      </c>
      <c r="AD226" s="10">
        <f t="shared" si="39"/>
        <v>5.0670000000000002</v>
      </c>
      <c r="AE226" s="10">
        <f t="shared" si="39"/>
        <v>3.198</v>
      </c>
      <c r="AF226" s="10">
        <f t="shared" si="39"/>
        <v>0</v>
      </c>
    </row>
    <row r="227" spans="1:32">
      <c r="A227" s="10" t="s">
        <v>344</v>
      </c>
      <c r="B227" s="61" t="s">
        <v>289</v>
      </c>
      <c r="C227" s="10">
        <f t="shared" si="38"/>
        <v>5.4</v>
      </c>
      <c r="D227" s="10">
        <f t="shared" si="39"/>
        <v>4.2119999999999997</v>
      </c>
      <c r="E227" s="10">
        <f t="shared" si="39"/>
        <v>0</v>
      </c>
      <c r="F227" s="10">
        <f t="shared" si="39"/>
        <v>2.8580000000000001</v>
      </c>
      <c r="G227" s="10">
        <f t="shared" si="39"/>
        <v>0</v>
      </c>
      <c r="H227" s="10">
        <f t="shared" si="39"/>
        <v>4.4139999999999997</v>
      </c>
      <c r="I227" s="10">
        <f t="shared" si="39"/>
        <v>4.8230000000000004</v>
      </c>
      <c r="J227" s="10">
        <f t="shared" si="39"/>
        <v>0</v>
      </c>
      <c r="K227" s="10">
        <f t="shared" si="39"/>
        <v>0</v>
      </c>
      <c r="L227" s="10">
        <f t="shared" si="39"/>
        <v>0</v>
      </c>
      <c r="M227" s="10">
        <f t="shared" si="39"/>
        <v>0</v>
      </c>
      <c r="N227" s="10">
        <f t="shared" si="39"/>
        <v>0</v>
      </c>
      <c r="O227" s="10">
        <f t="shared" si="39"/>
        <v>3.698</v>
      </c>
      <c r="P227" s="10">
        <f t="shared" si="39"/>
        <v>3.8450000000000002</v>
      </c>
      <c r="Q227" s="10">
        <f t="shared" si="39"/>
        <v>0</v>
      </c>
      <c r="R227" s="10">
        <f t="shared" si="39"/>
        <v>3.9409999999999998</v>
      </c>
      <c r="S227" s="10">
        <f t="shared" si="39"/>
        <v>0</v>
      </c>
      <c r="T227" s="10">
        <f t="shared" si="39"/>
        <v>0</v>
      </c>
      <c r="U227" s="10">
        <f t="shared" si="39"/>
        <v>0</v>
      </c>
      <c r="V227" s="10">
        <f t="shared" si="39"/>
        <v>3.0219999999999998</v>
      </c>
      <c r="W227" s="10">
        <f t="shared" si="39"/>
        <v>0</v>
      </c>
      <c r="X227" s="10">
        <f t="shared" si="39"/>
        <v>0</v>
      </c>
      <c r="Y227" s="10">
        <f t="shared" si="39"/>
        <v>4.6020000000000003</v>
      </c>
      <c r="Z227" s="10">
        <f t="shared" si="39"/>
        <v>0</v>
      </c>
      <c r="AA227" s="10">
        <f t="shared" si="39"/>
        <v>3.5409999999999999</v>
      </c>
      <c r="AB227" s="10">
        <f t="shared" si="39"/>
        <v>0</v>
      </c>
      <c r="AC227" s="10">
        <f t="shared" si="39"/>
        <v>3.9790000000000001</v>
      </c>
      <c r="AD227" s="10">
        <f t="shared" si="39"/>
        <v>4.0979999999999999</v>
      </c>
      <c r="AE227" s="10">
        <f t="shared" si="39"/>
        <v>0</v>
      </c>
      <c r="AF227" s="10">
        <f t="shared" si="39"/>
        <v>3.7120000000000002</v>
      </c>
    </row>
    <row r="228" spans="1:32">
      <c r="A228" s="10" t="s">
        <v>344</v>
      </c>
      <c r="B228" s="61" t="s">
        <v>290</v>
      </c>
      <c r="C228" s="10">
        <f t="shared" si="38"/>
        <v>4.7220000000000004</v>
      </c>
      <c r="D228" s="10">
        <f t="shared" si="39"/>
        <v>2.52</v>
      </c>
      <c r="E228" s="10">
        <f t="shared" si="39"/>
        <v>4.0460000000000003</v>
      </c>
      <c r="F228" s="10">
        <f t="shared" si="39"/>
        <v>3.5049999999999999</v>
      </c>
      <c r="G228" s="10">
        <f t="shared" si="39"/>
        <v>3.3290000000000002</v>
      </c>
      <c r="H228" s="10">
        <f t="shared" si="39"/>
        <v>3.0390000000000001</v>
      </c>
      <c r="I228" s="10">
        <f t="shared" si="39"/>
        <v>3.6080000000000001</v>
      </c>
      <c r="J228" s="10">
        <f t="shared" si="39"/>
        <v>4.3600000000000003</v>
      </c>
      <c r="K228" s="10">
        <f t="shared" si="39"/>
        <v>0</v>
      </c>
      <c r="L228" s="10">
        <f t="shared" si="39"/>
        <v>4.8940000000000001</v>
      </c>
      <c r="M228" s="10">
        <f t="shared" si="39"/>
        <v>0</v>
      </c>
      <c r="N228" s="10">
        <f t="shared" si="39"/>
        <v>3.698</v>
      </c>
      <c r="O228" s="10">
        <f t="shared" si="39"/>
        <v>0</v>
      </c>
      <c r="P228" s="10">
        <f t="shared" si="39"/>
        <v>2.5179999999999998</v>
      </c>
      <c r="Q228" s="10">
        <f t="shared" si="39"/>
        <v>0</v>
      </c>
      <c r="R228" s="10">
        <f t="shared" si="39"/>
        <v>2.7909999999999999</v>
      </c>
      <c r="S228" s="10">
        <f t="shared" si="39"/>
        <v>4.3170000000000002</v>
      </c>
      <c r="T228" s="10">
        <f t="shared" si="39"/>
        <v>3.83</v>
      </c>
      <c r="U228" s="10">
        <f t="shared" si="39"/>
        <v>0</v>
      </c>
      <c r="V228" s="10">
        <f t="shared" si="39"/>
        <v>2.5409999999999999</v>
      </c>
      <c r="W228" s="10">
        <f t="shared" si="39"/>
        <v>4.1269999999999998</v>
      </c>
      <c r="X228" s="10">
        <f t="shared" si="39"/>
        <v>0</v>
      </c>
      <c r="Y228" s="10">
        <f t="shared" si="39"/>
        <v>3.6240000000000001</v>
      </c>
      <c r="Z228" s="10">
        <f t="shared" si="39"/>
        <v>0</v>
      </c>
      <c r="AA228" s="10">
        <f t="shared" si="39"/>
        <v>3.3580000000000001</v>
      </c>
      <c r="AB228" s="10">
        <f t="shared" si="39"/>
        <v>5.1689999999999996</v>
      </c>
      <c r="AC228" s="10">
        <f t="shared" si="39"/>
        <v>1.9330000000000001</v>
      </c>
      <c r="AD228" s="10">
        <f t="shared" si="39"/>
        <v>2.9</v>
      </c>
      <c r="AE228" s="10">
        <f t="shared" si="39"/>
        <v>0</v>
      </c>
      <c r="AF228" s="10">
        <f t="shared" si="39"/>
        <v>0</v>
      </c>
    </row>
    <row r="229" spans="1:32">
      <c r="A229" s="10" t="s">
        <v>344</v>
      </c>
      <c r="B229" s="61" t="s">
        <v>291</v>
      </c>
      <c r="C229" s="10">
        <f t="shared" si="38"/>
        <v>5.0220000000000002</v>
      </c>
      <c r="D229" s="10">
        <f t="shared" si="39"/>
        <v>2.718</v>
      </c>
      <c r="E229" s="10">
        <f t="shared" si="39"/>
        <v>4.1509999999999998</v>
      </c>
      <c r="F229" s="10">
        <f t="shared" si="39"/>
        <v>3.3460000000000001</v>
      </c>
      <c r="G229" s="10">
        <f t="shared" si="39"/>
        <v>3.6819999999999999</v>
      </c>
      <c r="H229" s="10">
        <f t="shared" si="39"/>
        <v>2.7589999999999999</v>
      </c>
      <c r="I229" s="10">
        <f t="shared" si="39"/>
        <v>3.5739999999999998</v>
      </c>
      <c r="J229" s="10">
        <f t="shared" si="39"/>
        <v>4.1890000000000001</v>
      </c>
      <c r="K229" s="10">
        <f t="shared" si="39"/>
        <v>0</v>
      </c>
      <c r="L229" s="10">
        <f t="shared" si="39"/>
        <v>0</v>
      </c>
      <c r="M229" s="10">
        <f t="shared" si="39"/>
        <v>0</v>
      </c>
      <c r="N229" s="10">
        <f t="shared" si="39"/>
        <v>3.8450000000000002</v>
      </c>
      <c r="O229" s="10">
        <f t="shared" si="39"/>
        <v>2.5179999999999998</v>
      </c>
      <c r="P229" s="10">
        <f t="shared" si="39"/>
        <v>0</v>
      </c>
      <c r="Q229" s="10">
        <f t="shared" si="39"/>
        <v>0</v>
      </c>
      <c r="R229" s="10">
        <f t="shared" si="39"/>
        <v>3.5089999999999999</v>
      </c>
      <c r="S229" s="10">
        <f t="shared" si="39"/>
        <v>3.867</v>
      </c>
      <c r="T229" s="10">
        <f t="shared" si="39"/>
        <v>3.9689999999999999</v>
      </c>
      <c r="U229" s="10">
        <f t="shared" si="39"/>
        <v>4.1449999999999996</v>
      </c>
      <c r="V229" s="10">
        <f t="shared" si="39"/>
        <v>2.9390000000000001</v>
      </c>
      <c r="W229" s="10">
        <f t="shared" si="39"/>
        <v>4.149</v>
      </c>
      <c r="X229" s="10">
        <f t="shared" si="39"/>
        <v>0</v>
      </c>
      <c r="Y229" s="10">
        <f t="shared" si="39"/>
        <v>3.0920000000000001</v>
      </c>
      <c r="Z229" s="10">
        <f t="shared" si="39"/>
        <v>0</v>
      </c>
      <c r="AA229" s="10">
        <f t="shared" si="39"/>
        <v>2.8540000000000001</v>
      </c>
      <c r="AB229" s="10">
        <f t="shared" si="39"/>
        <v>4.9189999999999996</v>
      </c>
      <c r="AC229" s="10">
        <f t="shared" si="39"/>
        <v>2.6320000000000001</v>
      </c>
      <c r="AD229" s="10">
        <f t="shared" si="39"/>
        <v>1.931</v>
      </c>
      <c r="AE229" s="10">
        <f t="shared" si="39"/>
        <v>0</v>
      </c>
      <c r="AF229" s="10">
        <f t="shared" si="39"/>
        <v>0</v>
      </c>
    </row>
    <row r="230" spans="1:32">
      <c r="A230" s="10" t="s">
        <v>344</v>
      </c>
      <c r="B230" s="61" t="s">
        <v>292</v>
      </c>
      <c r="C230" s="10">
        <f t="shared" si="38"/>
        <v>4.3470000000000004</v>
      </c>
      <c r="D230" s="10">
        <f t="shared" si="39"/>
        <v>0</v>
      </c>
      <c r="E230" s="10">
        <f t="shared" si="39"/>
        <v>3.806</v>
      </c>
      <c r="F230" s="10">
        <f t="shared" si="39"/>
        <v>0</v>
      </c>
      <c r="G230" s="10">
        <f t="shared" si="39"/>
        <v>0</v>
      </c>
      <c r="H230" s="10">
        <f t="shared" si="39"/>
        <v>0</v>
      </c>
      <c r="I230" s="10">
        <f t="shared" si="39"/>
        <v>4.3490000000000002</v>
      </c>
      <c r="J230" s="10">
        <f t="shared" si="39"/>
        <v>4.2480000000000002</v>
      </c>
      <c r="K230" s="10">
        <f t="shared" si="39"/>
        <v>0</v>
      </c>
      <c r="L230" s="10">
        <f t="shared" si="39"/>
        <v>4.601</v>
      </c>
      <c r="M230" s="10">
        <f t="shared" si="39"/>
        <v>0</v>
      </c>
      <c r="N230" s="10">
        <f t="shared" si="39"/>
        <v>0</v>
      </c>
      <c r="O230" s="10">
        <f t="shared" si="39"/>
        <v>0</v>
      </c>
      <c r="P230" s="10">
        <f t="shared" si="39"/>
        <v>0</v>
      </c>
      <c r="Q230" s="10">
        <f t="shared" si="39"/>
        <v>0</v>
      </c>
      <c r="R230" s="10">
        <f t="shared" si="39"/>
        <v>0</v>
      </c>
      <c r="S230" s="10">
        <f t="shared" si="39"/>
        <v>0</v>
      </c>
      <c r="T230" s="10">
        <f t="shared" si="39"/>
        <v>4.0179999999999998</v>
      </c>
      <c r="U230" s="10">
        <f t="shared" si="39"/>
        <v>0</v>
      </c>
      <c r="V230" s="10">
        <f t="shared" si="39"/>
        <v>0</v>
      </c>
      <c r="W230" s="10">
        <f t="shared" si="39"/>
        <v>3.82</v>
      </c>
      <c r="X230" s="10">
        <f t="shared" si="39"/>
        <v>4.9580000000000002</v>
      </c>
      <c r="Y230" s="10">
        <f t="shared" si="39"/>
        <v>0</v>
      </c>
      <c r="Z230" s="10">
        <f t="shared" si="39"/>
        <v>0</v>
      </c>
      <c r="AA230" s="10">
        <f t="shared" si="39"/>
        <v>0</v>
      </c>
      <c r="AB230" s="10">
        <f t="shared" si="39"/>
        <v>0</v>
      </c>
      <c r="AC230" s="10">
        <f t="shared" si="39"/>
        <v>0</v>
      </c>
      <c r="AD230" s="10">
        <f t="shared" si="39"/>
        <v>0</v>
      </c>
      <c r="AE230" s="10">
        <f t="shared" si="39"/>
        <v>2.6139999999999999</v>
      </c>
      <c r="AF230" s="10">
        <f t="shared" si="39"/>
        <v>0</v>
      </c>
    </row>
    <row r="231" spans="1:32">
      <c r="A231" s="10" t="s">
        <v>344</v>
      </c>
      <c r="B231" s="61" t="s">
        <v>293</v>
      </c>
      <c r="C231" s="10">
        <f t="shared" si="38"/>
        <v>3.9289999999999998</v>
      </c>
      <c r="D231" s="10">
        <f t="shared" si="39"/>
        <v>3.105</v>
      </c>
      <c r="E231" s="10">
        <f t="shared" si="39"/>
        <v>3.992</v>
      </c>
      <c r="F231" s="10">
        <f t="shared" si="39"/>
        <v>4.0460000000000003</v>
      </c>
      <c r="G231" s="10">
        <f t="shared" si="39"/>
        <v>3.0649999999999999</v>
      </c>
      <c r="H231" s="10">
        <f t="shared" si="39"/>
        <v>3.6139999999999999</v>
      </c>
      <c r="I231" s="10">
        <f t="shared" si="39"/>
        <v>3.823</v>
      </c>
      <c r="J231" s="10">
        <f t="shared" si="39"/>
        <v>4.593</v>
      </c>
      <c r="K231" s="10">
        <f t="shared" si="39"/>
        <v>0</v>
      </c>
      <c r="L231" s="10">
        <f t="shared" si="39"/>
        <v>4.423</v>
      </c>
      <c r="M231" s="10">
        <f t="shared" si="39"/>
        <v>0</v>
      </c>
      <c r="N231" s="10">
        <f t="shared" si="39"/>
        <v>3.9409999999999998</v>
      </c>
      <c r="O231" s="10">
        <f t="shared" si="39"/>
        <v>2.7909999999999999</v>
      </c>
      <c r="P231" s="10">
        <f t="shared" si="39"/>
        <v>3.5089999999999999</v>
      </c>
      <c r="Q231" s="10">
        <f t="shared" si="39"/>
        <v>0</v>
      </c>
      <c r="R231" s="10">
        <f t="shared" si="39"/>
        <v>0</v>
      </c>
      <c r="S231" s="10">
        <f t="shared" si="39"/>
        <v>0</v>
      </c>
      <c r="T231" s="10">
        <f t="shared" si="39"/>
        <v>3.7709999999999999</v>
      </c>
      <c r="U231" s="10">
        <f t="shared" si="39"/>
        <v>0</v>
      </c>
      <c r="V231" s="10">
        <f t="shared" si="39"/>
        <v>3.169</v>
      </c>
      <c r="W231" s="10">
        <f t="shared" si="39"/>
        <v>4.173</v>
      </c>
      <c r="X231" s="10">
        <f t="shared" si="39"/>
        <v>0</v>
      </c>
      <c r="Y231" s="10">
        <f t="shared" si="39"/>
        <v>4.1929999999999996</v>
      </c>
      <c r="Z231" s="10">
        <f t="shared" si="39"/>
        <v>0</v>
      </c>
      <c r="AA231" s="10">
        <f t="shared" si="39"/>
        <v>4.0570000000000004</v>
      </c>
      <c r="AB231" s="10">
        <f t="shared" si="39"/>
        <v>5.444</v>
      </c>
      <c r="AC231" s="10">
        <f t="shared" si="39"/>
        <v>2.7959999999999998</v>
      </c>
      <c r="AD231" s="10">
        <f t="shared" si="39"/>
        <v>3.722</v>
      </c>
      <c r="AE231" s="10">
        <f t="shared" si="39"/>
        <v>4.8360000000000003</v>
      </c>
      <c r="AF231" s="10">
        <f t="shared" si="39"/>
        <v>0</v>
      </c>
    </row>
    <row r="232" spans="1:32">
      <c r="A232" s="10" t="s">
        <v>344</v>
      </c>
      <c r="B232" s="61" t="s">
        <v>309</v>
      </c>
      <c r="C232" s="10">
        <f t="shared" si="38"/>
        <v>0</v>
      </c>
      <c r="D232" s="10">
        <f t="shared" si="39"/>
        <v>4.0759999999999996</v>
      </c>
      <c r="E232" s="10">
        <f t="shared" si="39"/>
        <v>0</v>
      </c>
      <c r="F232" s="10">
        <f t="shared" si="39"/>
        <v>0</v>
      </c>
      <c r="G232" s="10">
        <f t="shared" si="39"/>
        <v>0</v>
      </c>
      <c r="H232" s="10">
        <f t="shared" si="39"/>
        <v>3.6819999999999999</v>
      </c>
      <c r="I232" s="10">
        <f t="shared" si="39"/>
        <v>3.9540000000000002</v>
      </c>
      <c r="J232" s="10">
        <f t="shared" si="39"/>
        <v>3.72</v>
      </c>
      <c r="K232" s="10">
        <f t="shared" si="39"/>
        <v>2.673</v>
      </c>
      <c r="L232" s="10">
        <f t="shared" si="39"/>
        <v>0</v>
      </c>
      <c r="M232" s="10">
        <f t="shared" si="39"/>
        <v>3.9710000000000001</v>
      </c>
      <c r="N232" s="10">
        <f t="shared" si="39"/>
        <v>0</v>
      </c>
      <c r="O232" s="10">
        <f t="shared" si="39"/>
        <v>4.3170000000000002</v>
      </c>
      <c r="P232" s="10">
        <f t="shared" si="39"/>
        <v>3.867</v>
      </c>
      <c r="Q232" s="10">
        <f t="shared" si="39"/>
        <v>0</v>
      </c>
      <c r="R232" s="10">
        <f t="shared" si="39"/>
        <v>0</v>
      </c>
      <c r="S232" s="10">
        <f t="shared" si="39"/>
        <v>0</v>
      </c>
      <c r="T232" s="10">
        <f t="shared" si="39"/>
        <v>0</v>
      </c>
      <c r="U232" s="10">
        <f t="shared" si="39"/>
        <v>1.9710000000000001</v>
      </c>
      <c r="V232" s="10">
        <f t="shared" si="39"/>
        <v>0</v>
      </c>
      <c r="W232" s="10">
        <f t="shared" si="39"/>
        <v>4.2990000000000004</v>
      </c>
      <c r="X232" s="10">
        <f t="shared" si="39"/>
        <v>4.1619999999999999</v>
      </c>
      <c r="Y232" s="10">
        <f t="shared" si="39"/>
        <v>2.8849999999999998</v>
      </c>
      <c r="Z232" s="10">
        <f t="shared" si="39"/>
        <v>0</v>
      </c>
      <c r="AA232" s="10">
        <f t="shared" si="39"/>
        <v>4.0220000000000002</v>
      </c>
      <c r="AB232" s="10">
        <f t="shared" si="39"/>
        <v>3.8050000000000002</v>
      </c>
      <c r="AC232" s="10">
        <f t="shared" si="39"/>
        <v>4.2389999999999999</v>
      </c>
      <c r="AD232" s="10">
        <f t="shared" si="39"/>
        <v>3.5859999999999999</v>
      </c>
      <c r="AE232" s="10">
        <f t="shared" si="39"/>
        <v>0</v>
      </c>
      <c r="AF232" s="10">
        <f t="shared" si="39"/>
        <v>0</v>
      </c>
    </row>
    <row r="233" spans="1:32">
      <c r="A233" s="10" t="s">
        <v>344</v>
      </c>
      <c r="B233" s="61" t="s">
        <v>294</v>
      </c>
      <c r="C233" s="10">
        <f t="shared" ref="C233:C245" si="40">ROUND((EXP(7.032824+1*0.622482)*((C23/1.852)^ 0.40303))/(1.15*0.0059)/1000000,3)</f>
        <v>4.0640000000000001</v>
      </c>
      <c r="D233" s="10">
        <f t="shared" si="39"/>
        <v>3.2829999999999999</v>
      </c>
      <c r="E233" s="10">
        <f t="shared" si="39"/>
        <v>1.7809999999999999</v>
      </c>
      <c r="F233" s="10">
        <f t="shared" si="39"/>
        <v>0</v>
      </c>
      <c r="G233" s="10">
        <f t="shared" si="39"/>
        <v>2.6240000000000001</v>
      </c>
      <c r="H233" s="10">
        <f t="shared" si="39"/>
        <v>3.3340000000000001</v>
      </c>
      <c r="I233" s="10">
        <f t="shared" si="39"/>
        <v>2.5419999999999998</v>
      </c>
      <c r="J233" s="10">
        <f t="shared" si="39"/>
        <v>3.476</v>
      </c>
      <c r="K233" s="10">
        <f t="shared" si="39"/>
        <v>0</v>
      </c>
      <c r="L233" s="10">
        <f t="shared" si="39"/>
        <v>4.3780000000000001</v>
      </c>
      <c r="M233" s="10">
        <f t="shared" si="39"/>
        <v>0</v>
      </c>
      <c r="N233" s="10">
        <f t="shared" si="39"/>
        <v>0</v>
      </c>
      <c r="O233" s="10">
        <f t="shared" si="39"/>
        <v>3.83</v>
      </c>
      <c r="P233" s="10">
        <f t="shared" si="39"/>
        <v>3.9689999999999999</v>
      </c>
      <c r="Q233" s="10">
        <f t="shared" si="39"/>
        <v>4.0179999999999998</v>
      </c>
      <c r="R233" s="10">
        <f t="shared" si="39"/>
        <v>3.7709999999999999</v>
      </c>
      <c r="S233" s="10">
        <f t="shared" si="39"/>
        <v>0</v>
      </c>
      <c r="T233" s="10">
        <f t="shared" si="39"/>
        <v>0</v>
      </c>
      <c r="U233" s="10">
        <f t="shared" si="39"/>
        <v>0</v>
      </c>
      <c r="V233" s="10">
        <f t="shared" si="39"/>
        <v>0</v>
      </c>
      <c r="W233" s="10">
        <f t="shared" si="39"/>
        <v>2.351</v>
      </c>
      <c r="X233" s="10">
        <f t="shared" si="39"/>
        <v>4.87</v>
      </c>
      <c r="Y233" s="10">
        <f t="shared" si="39"/>
        <v>3.8809999999999998</v>
      </c>
      <c r="Z233" s="10">
        <f t="shared" si="39"/>
        <v>0</v>
      </c>
      <c r="AA233" s="10">
        <f t="shared" si="39"/>
        <v>0</v>
      </c>
      <c r="AB233" s="10">
        <f t="shared" si="39"/>
        <v>4.7320000000000002</v>
      </c>
      <c r="AC233" s="10">
        <f t="shared" si="39"/>
        <v>3.532</v>
      </c>
      <c r="AD233" s="10">
        <f t="shared" si="39"/>
        <v>3.899</v>
      </c>
      <c r="AE233" s="10">
        <f t="shared" si="39"/>
        <v>3.5659999999999998</v>
      </c>
      <c r="AF233" s="10">
        <f t="shared" si="39"/>
        <v>0</v>
      </c>
    </row>
    <row r="234" spans="1:32">
      <c r="A234" s="10" t="s">
        <v>344</v>
      </c>
      <c r="B234" s="61" t="s">
        <v>310</v>
      </c>
      <c r="C234" s="10">
        <f t="shared" si="40"/>
        <v>0</v>
      </c>
      <c r="D234" s="10">
        <f t="shared" si="39"/>
        <v>4.319</v>
      </c>
      <c r="E234" s="10">
        <f t="shared" si="39"/>
        <v>0</v>
      </c>
      <c r="F234" s="10">
        <f t="shared" si="39"/>
        <v>0</v>
      </c>
      <c r="G234" s="10">
        <f t="shared" ref="D234:AF242" si="41">ROUND((EXP(7.032824+1*0.622482)*((G24/1.852)^ 0.40303))/(1.15*0.0059)/1000000,3)</f>
        <v>0</v>
      </c>
      <c r="H234" s="10">
        <f t="shared" si="41"/>
        <v>3.9550000000000001</v>
      </c>
      <c r="I234" s="10">
        <f t="shared" si="41"/>
        <v>4.149</v>
      </c>
      <c r="J234" s="10">
        <f t="shared" si="41"/>
        <v>3.802</v>
      </c>
      <c r="K234" s="10">
        <f t="shared" si="41"/>
        <v>2.077</v>
      </c>
      <c r="L234" s="10">
        <f t="shared" si="41"/>
        <v>0</v>
      </c>
      <c r="M234" s="10">
        <f t="shared" si="41"/>
        <v>3.6840000000000002</v>
      </c>
      <c r="N234" s="10">
        <f t="shared" si="41"/>
        <v>0</v>
      </c>
      <c r="O234" s="10">
        <f t="shared" si="41"/>
        <v>0</v>
      </c>
      <c r="P234" s="10">
        <f t="shared" si="41"/>
        <v>4.1449999999999996</v>
      </c>
      <c r="Q234" s="10">
        <f t="shared" si="41"/>
        <v>0</v>
      </c>
      <c r="R234" s="10">
        <f t="shared" si="41"/>
        <v>0</v>
      </c>
      <c r="S234" s="10">
        <f t="shared" si="41"/>
        <v>1.9710000000000001</v>
      </c>
      <c r="T234" s="10">
        <f t="shared" si="41"/>
        <v>0</v>
      </c>
      <c r="U234" s="10">
        <f t="shared" si="41"/>
        <v>0</v>
      </c>
      <c r="V234" s="10">
        <f t="shared" si="41"/>
        <v>0</v>
      </c>
      <c r="W234" s="10">
        <f t="shared" si="41"/>
        <v>4.4279999999999999</v>
      </c>
      <c r="X234" s="10">
        <f t="shared" si="41"/>
        <v>3.9790000000000001</v>
      </c>
      <c r="Y234" s="10">
        <f t="shared" si="41"/>
        <v>3.2749999999999999</v>
      </c>
      <c r="Z234" s="10">
        <f t="shared" si="41"/>
        <v>0</v>
      </c>
      <c r="AA234" s="10">
        <f t="shared" si="41"/>
        <v>4.2649999999999997</v>
      </c>
      <c r="AB234" s="10">
        <f t="shared" si="41"/>
        <v>3.5950000000000002</v>
      </c>
      <c r="AC234" s="10">
        <f t="shared" si="41"/>
        <v>0</v>
      </c>
      <c r="AD234" s="10">
        <f t="shared" si="41"/>
        <v>3.8929999999999998</v>
      </c>
      <c r="AE234" s="10">
        <f t="shared" si="41"/>
        <v>0</v>
      </c>
      <c r="AF234" s="10">
        <f t="shared" si="41"/>
        <v>0</v>
      </c>
    </row>
    <row r="235" spans="1:32">
      <c r="A235" s="10" t="s">
        <v>344</v>
      </c>
      <c r="B235" s="61" t="s">
        <v>297</v>
      </c>
      <c r="C235" s="10">
        <f t="shared" si="40"/>
        <v>4.3479999999999999</v>
      </c>
      <c r="D235" s="10">
        <f t="shared" si="41"/>
        <v>3.5990000000000002</v>
      </c>
      <c r="E235" s="10">
        <f t="shared" si="41"/>
        <v>2.0209999999999999</v>
      </c>
      <c r="F235" s="10">
        <f t="shared" si="41"/>
        <v>0</v>
      </c>
      <c r="G235" s="10">
        <f t="shared" si="41"/>
        <v>3.278</v>
      </c>
      <c r="H235" s="10">
        <f t="shared" si="41"/>
        <v>3.4780000000000002</v>
      </c>
      <c r="I235" s="10">
        <f t="shared" si="41"/>
        <v>2.5920000000000001</v>
      </c>
      <c r="J235" s="10">
        <f t="shared" si="41"/>
        <v>2.9809999999999999</v>
      </c>
      <c r="K235" s="10">
        <f t="shared" si="41"/>
        <v>0</v>
      </c>
      <c r="L235" s="10">
        <f t="shared" si="41"/>
        <v>4.6429999999999998</v>
      </c>
      <c r="M235" s="10">
        <f t="shared" si="41"/>
        <v>0</v>
      </c>
      <c r="N235" s="10">
        <f t="shared" si="41"/>
        <v>0</v>
      </c>
      <c r="O235" s="10">
        <f t="shared" si="41"/>
        <v>4.1269999999999998</v>
      </c>
      <c r="P235" s="10">
        <f t="shared" si="41"/>
        <v>4.149</v>
      </c>
      <c r="Q235" s="10">
        <f t="shared" si="41"/>
        <v>3.82</v>
      </c>
      <c r="R235" s="10">
        <f t="shared" si="41"/>
        <v>4.173</v>
      </c>
      <c r="S235" s="10">
        <f t="shared" si="41"/>
        <v>4.2990000000000004</v>
      </c>
      <c r="T235" s="10">
        <f t="shared" si="41"/>
        <v>2.351</v>
      </c>
      <c r="U235" s="10">
        <f t="shared" si="41"/>
        <v>4.4279999999999999</v>
      </c>
      <c r="V235" s="10">
        <f t="shared" si="41"/>
        <v>0</v>
      </c>
      <c r="W235" s="10">
        <f t="shared" si="41"/>
        <v>0</v>
      </c>
      <c r="X235" s="10">
        <f t="shared" si="41"/>
        <v>4.5570000000000004</v>
      </c>
      <c r="Y235" s="10">
        <f t="shared" si="41"/>
        <v>3.8380000000000001</v>
      </c>
      <c r="Z235" s="10">
        <f t="shared" si="41"/>
        <v>0</v>
      </c>
      <c r="AA235" s="10">
        <f t="shared" si="41"/>
        <v>0</v>
      </c>
      <c r="AB235" s="10">
        <f t="shared" si="41"/>
        <v>4.4260000000000002</v>
      </c>
      <c r="AC235" s="10">
        <f t="shared" si="41"/>
        <v>3.8620000000000001</v>
      </c>
      <c r="AD235" s="10">
        <f t="shared" si="41"/>
        <v>4.024</v>
      </c>
      <c r="AE235" s="10">
        <f t="shared" si="41"/>
        <v>3.2069999999999999</v>
      </c>
      <c r="AF235" s="10">
        <f t="shared" si="41"/>
        <v>0</v>
      </c>
    </row>
    <row r="236" spans="1:32">
      <c r="A236" s="10" t="s">
        <v>344</v>
      </c>
      <c r="B236" s="61" t="s">
        <v>298</v>
      </c>
      <c r="C236" s="10">
        <f t="shared" si="40"/>
        <v>5.8659999999999997</v>
      </c>
      <c r="D236" s="10">
        <f t="shared" si="41"/>
        <v>0</v>
      </c>
      <c r="E236" s="10">
        <f t="shared" si="41"/>
        <v>4.7919999999999998</v>
      </c>
      <c r="F236" s="10">
        <f t="shared" si="41"/>
        <v>0</v>
      </c>
      <c r="G236" s="10">
        <f t="shared" si="41"/>
        <v>0</v>
      </c>
      <c r="H236" s="10">
        <f t="shared" si="41"/>
        <v>4.7990000000000004</v>
      </c>
      <c r="I236" s="10">
        <f t="shared" si="41"/>
        <v>4.6319999999999997</v>
      </c>
      <c r="J236" s="10">
        <f t="shared" si="41"/>
        <v>3.403</v>
      </c>
      <c r="K236" s="10">
        <f t="shared" si="41"/>
        <v>3.7410000000000001</v>
      </c>
      <c r="L236" s="10">
        <f t="shared" si="41"/>
        <v>0</v>
      </c>
      <c r="M236" s="10">
        <f t="shared" si="41"/>
        <v>3.9289999999999998</v>
      </c>
      <c r="N236" s="10">
        <f t="shared" si="41"/>
        <v>0</v>
      </c>
      <c r="O236" s="10">
        <f t="shared" si="41"/>
        <v>0</v>
      </c>
      <c r="P236" s="10">
        <f t="shared" si="41"/>
        <v>0</v>
      </c>
      <c r="Q236" s="10">
        <f t="shared" si="41"/>
        <v>4.9580000000000002</v>
      </c>
      <c r="R236" s="10">
        <f t="shared" si="41"/>
        <v>0</v>
      </c>
      <c r="S236" s="10">
        <f t="shared" si="41"/>
        <v>4.1619999999999999</v>
      </c>
      <c r="T236" s="10">
        <f t="shared" si="41"/>
        <v>4.87</v>
      </c>
      <c r="U236" s="10">
        <f t="shared" si="41"/>
        <v>3.9790000000000001</v>
      </c>
      <c r="V236" s="10">
        <f t="shared" si="41"/>
        <v>0</v>
      </c>
      <c r="W236" s="10">
        <f t="shared" si="41"/>
        <v>4.5570000000000004</v>
      </c>
      <c r="X236" s="10">
        <f t="shared" si="41"/>
        <v>0</v>
      </c>
      <c r="Y236" s="10">
        <f t="shared" si="41"/>
        <v>4.5110000000000001</v>
      </c>
      <c r="Z236" s="10">
        <f t="shared" si="41"/>
        <v>0</v>
      </c>
      <c r="AA236" s="10">
        <f t="shared" si="41"/>
        <v>0</v>
      </c>
      <c r="AB236" s="10">
        <f t="shared" si="41"/>
        <v>2.1739999999999999</v>
      </c>
      <c r="AC236" s="10">
        <f t="shared" si="41"/>
        <v>0</v>
      </c>
      <c r="AD236" s="10">
        <f t="shared" si="41"/>
        <v>0</v>
      </c>
      <c r="AE236" s="10">
        <f t="shared" si="41"/>
        <v>4.617</v>
      </c>
      <c r="AF236" s="10">
        <f t="shared" si="41"/>
        <v>0</v>
      </c>
    </row>
    <row r="237" spans="1:32">
      <c r="A237" s="10" t="s">
        <v>344</v>
      </c>
      <c r="B237" s="61" t="s">
        <v>357</v>
      </c>
      <c r="C237" s="10">
        <f t="shared" si="40"/>
        <v>4.99</v>
      </c>
      <c r="D237" s="10">
        <f t="shared" si="41"/>
        <v>3.3380000000000001</v>
      </c>
      <c r="E237" s="10">
        <f t="shared" si="41"/>
        <v>0</v>
      </c>
      <c r="F237" s="10">
        <f t="shared" si="41"/>
        <v>2.9460000000000002</v>
      </c>
      <c r="G237" s="10">
        <f t="shared" si="41"/>
        <v>3.895</v>
      </c>
      <c r="H237" s="10">
        <f t="shared" si="41"/>
        <v>3.6440000000000001</v>
      </c>
      <c r="I237" s="10">
        <f t="shared" si="41"/>
        <v>4.1470000000000002</v>
      </c>
      <c r="J237" s="10">
        <f t="shared" si="41"/>
        <v>0</v>
      </c>
      <c r="K237" s="10">
        <f t="shared" si="41"/>
        <v>0</v>
      </c>
      <c r="L237" s="10">
        <f t="shared" si="41"/>
        <v>0</v>
      </c>
      <c r="M237" s="10">
        <f t="shared" si="41"/>
        <v>0</v>
      </c>
      <c r="N237" s="10">
        <f t="shared" si="41"/>
        <v>3.0219999999999998</v>
      </c>
      <c r="O237" s="10">
        <f t="shared" si="41"/>
        <v>2.5409999999999999</v>
      </c>
      <c r="P237" s="10">
        <f t="shared" si="41"/>
        <v>2.9390000000000001</v>
      </c>
      <c r="Q237" s="10">
        <f t="shared" si="41"/>
        <v>0</v>
      </c>
      <c r="R237" s="10">
        <f t="shared" si="41"/>
        <v>3.169</v>
      </c>
      <c r="S237" s="10">
        <f t="shared" si="41"/>
        <v>0</v>
      </c>
      <c r="T237" s="10">
        <f t="shared" si="41"/>
        <v>0</v>
      </c>
      <c r="U237" s="10">
        <f t="shared" si="41"/>
        <v>0</v>
      </c>
      <c r="V237" s="10">
        <f t="shared" si="41"/>
        <v>0</v>
      </c>
      <c r="W237" s="10">
        <f t="shared" si="41"/>
        <v>0</v>
      </c>
      <c r="X237" s="10">
        <f t="shared" si="41"/>
        <v>0</v>
      </c>
      <c r="Y237" s="10">
        <f t="shared" si="41"/>
        <v>3.9889999999999999</v>
      </c>
      <c r="Z237" s="10">
        <f t="shared" si="41"/>
        <v>0</v>
      </c>
      <c r="AA237" s="10">
        <f t="shared" si="41"/>
        <v>3.1309999999999998</v>
      </c>
      <c r="AB237" s="10">
        <f t="shared" si="41"/>
        <v>0</v>
      </c>
      <c r="AC237" s="10">
        <f t="shared" si="41"/>
        <v>2.9980000000000002</v>
      </c>
      <c r="AD237" s="10">
        <f t="shared" si="41"/>
        <v>3.32</v>
      </c>
      <c r="AE237" s="10">
        <f t="shared" si="41"/>
        <v>0</v>
      </c>
      <c r="AF237" s="10">
        <f t="shared" si="41"/>
        <v>0</v>
      </c>
    </row>
    <row r="238" spans="1:32">
      <c r="A238" s="10" t="s">
        <v>344</v>
      </c>
      <c r="B238" s="61" t="s">
        <v>299</v>
      </c>
      <c r="C238" s="10">
        <f t="shared" si="40"/>
        <v>5.1959999999999997</v>
      </c>
      <c r="D238" s="10">
        <f t="shared" si="41"/>
        <v>3.2629999999999999</v>
      </c>
      <c r="E238" s="10">
        <f t="shared" si="41"/>
        <v>3.988</v>
      </c>
      <c r="F238" s="10">
        <f t="shared" si="41"/>
        <v>4.1269999999999998</v>
      </c>
      <c r="G238" s="10">
        <f t="shared" si="41"/>
        <v>3.9319999999999999</v>
      </c>
      <c r="H238" s="10">
        <f t="shared" si="41"/>
        <v>2.6890000000000001</v>
      </c>
      <c r="I238" s="10">
        <f t="shared" si="41"/>
        <v>3.27</v>
      </c>
      <c r="J238" s="10">
        <f t="shared" si="41"/>
        <v>3.4910000000000001</v>
      </c>
      <c r="K238" s="10">
        <f t="shared" si="41"/>
        <v>3.637</v>
      </c>
      <c r="L238" s="10">
        <f t="shared" si="41"/>
        <v>0</v>
      </c>
      <c r="M238" s="10">
        <f t="shared" si="41"/>
        <v>4.54</v>
      </c>
      <c r="N238" s="10">
        <f t="shared" si="41"/>
        <v>4.6020000000000003</v>
      </c>
      <c r="O238" s="10">
        <f t="shared" si="41"/>
        <v>3.6240000000000001</v>
      </c>
      <c r="P238" s="10">
        <f t="shared" si="41"/>
        <v>3.0920000000000001</v>
      </c>
      <c r="Q238" s="10">
        <f t="shared" si="41"/>
        <v>0</v>
      </c>
      <c r="R238" s="10">
        <f t="shared" si="41"/>
        <v>4.1929999999999996</v>
      </c>
      <c r="S238" s="10">
        <f t="shared" si="41"/>
        <v>2.8849999999999998</v>
      </c>
      <c r="T238" s="10">
        <f t="shared" si="41"/>
        <v>3.8809999999999998</v>
      </c>
      <c r="U238" s="10">
        <f t="shared" si="41"/>
        <v>3.2749999999999999</v>
      </c>
      <c r="V238" s="10">
        <f t="shared" si="41"/>
        <v>3.9889999999999999</v>
      </c>
      <c r="W238" s="10">
        <f t="shared" si="41"/>
        <v>3.8380000000000001</v>
      </c>
      <c r="X238" s="10">
        <f t="shared" si="41"/>
        <v>4.5110000000000001</v>
      </c>
      <c r="Y238" s="10">
        <f t="shared" si="41"/>
        <v>0</v>
      </c>
      <c r="Z238" s="10">
        <f t="shared" si="41"/>
        <v>0</v>
      </c>
      <c r="AA238" s="10">
        <f t="shared" si="41"/>
        <v>3.6080000000000001</v>
      </c>
      <c r="AB238" s="10">
        <f t="shared" si="41"/>
        <v>4.2240000000000002</v>
      </c>
      <c r="AC238" s="10">
        <f t="shared" si="41"/>
        <v>3.4929999999999999</v>
      </c>
      <c r="AD238" s="10">
        <f t="shared" si="41"/>
        <v>2.661</v>
      </c>
      <c r="AE238" s="10">
        <f t="shared" si="41"/>
        <v>4.63</v>
      </c>
      <c r="AF238" s="10">
        <f t="shared" si="41"/>
        <v>0</v>
      </c>
    </row>
    <row r="239" spans="1:32">
      <c r="A239" s="10" t="s">
        <v>344</v>
      </c>
      <c r="B239" s="61" t="s">
        <v>300</v>
      </c>
      <c r="C239" s="10">
        <f t="shared" si="40"/>
        <v>3.1120000000000001</v>
      </c>
      <c r="D239" s="10">
        <f t="shared" si="41"/>
        <v>0</v>
      </c>
      <c r="E239" s="10">
        <f t="shared" si="41"/>
        <v>0</v>
      </c>
      <c r="F239" s="10">
        <f t="shared" si="41"/>
        <v>0</v>
      </c>
      <c r="G239" s="10">
        <f t="shared" si="41"/>
        <v>0</v>
      </c>
      <c r="H239" s="10">
        <f t="shared" si="41"/>
        <v>0</v>
      </c>
      <c r="I239" s="10">
        <f t="shared" si="41"/>
        <v>0</v>
      </c>
      <c r="J239" s="10">
        <f t="shared" si="41"/>
        <v>0</v>
      </c>
      <c r="K239" s="10">
        <f t="shared" si="41"/>
        <v>0</v>
      </c>
      <c r="L239" s="10">
        <f t="shared" si="41"/>
        <v>2.774</v>
      </c>
      <c r="M239" s="10">
        <f t="shared" si="41"/>
        <v>0</v>
      </c>
      <c r="N239" s="10">
        <f t="shared" si="41"/>
        <v>0</v>
      </c>
      <c r="O239" s="10">
        <f t="shared" si="41"/>
        <v>0</v>
      </c>
      <c r="P239" s="10">
        <f t="shared" si="41"/>
        <v>0</v>
      </c>
      <c r="Q239" s="10">
        <f t="shared" si="41"/>
        <v>0</v>
      </c>
      <c r="R239" s="10">
        <f t="shared" si="41"/>
        <v>0</v>
      </c>
      <c r="S239" s="10">
        <f t="shared" si="41"/>
        <v>0</v>
      </c>
      <c r="T239" s="10">
        <f t="shared" si="41"/>
        <v>0</v>
      </c>
      <c r="U239" s="10">
        <f t="shared" si="41"/>
        <v>0</v>
      </c>
      <c r="V239" s="10">
        <f t="shared" si="41"/>
        <v>0</v>
      </c>
      <c r="W239" s="10">
        <f t="shared" si="41"/>
        <v>0</v>
      </c>
      <c r="X239" s="10">
        <f t="shared" si="41"/>
        <v>0</v>
      </c>
      <c r="Y239" s="10">
        <f t="shared" si="41"/>
        <v>0</v>
      </c>
      <c r="Z239" s="10">
        <f t="shared" si="41"/>
        <v>0</v>
      </c>
      <c r="AA239" s="10">
        <f t="shared" si="41"/>
        <v>0</v>
      </c>
      <c r="AB239" s="10">
        <f t="shared" si="41"/>
        <v>0</v>
      </c>
      <c r="AC239" s="10">
        <f t="shared" si="41"/>
        <v>0</v>
      </c>
      <c r="AD239" s="10">
        <f t="shared" si="41"/>
        <v>0</v>
      </c>
      <c r="AE239" s="10">
        <f t="shared" si="41"/>
        <v>4.835</v>
      </c>
      <c r="AF239" s="10">
        <f t="shared" si="41"/>
        <v>0</v>
      </c>
    </row>
    <row r="240" spans="1:32">
      <c r="A240" s="10" t="s">
        <v>344</v>
      </c>
      <c r="B240" s="61" t="s">
        <v>301</v>
      </c>
      <c r="C240" s="10">
        <f t="shared" si="40"/>
        <v>5.4509999999999996</v>
      </c>
      <c r="D240" s="10">
        <f t="shared" si="41"/>
        <v>3.6819999999999999</v>
      </c>
      <c r="E240" s="10">
        <f t="shared" si="41"/>
        <v>0</v>
      </c>
      <c r="F240" s="10">
        <f t="shared" si="41"/>
        <v>2.5529999999999999</v>
      </c>
      <c r="G240" s="10">
        <f t="shared" si="41"/>
        <v>4.3570000000000002</v>
      </c>
      <c r="H240" s="10">
        <f t="shared" si="41"/>
        <v>3.6669999999999998</v>
      </c>
      <c r="I240" s="10">
        <f t="shared" si="41"/>
        <v>4.2640000000000002</v>
      </c>
      <c r="J240" s="10">
        <f t="shared" si="41"/>
        <v>4.6680000000000001</v>
      </c>
      <c r="K240" s="10">
        <f t="shared" si="41"/>
        <v>0</v>
      </c>
      <c r="L240" s="10">
        <f t="shared" si="41"/>
        <v>0</v>
      </c>
      <c r="M240" s="10">
        <f t="shared" si="41"/>
        <v>0</v>
      </c>
      <c r="N240" s="10">
        <f t="shared" si="41"/>
        <v>3.5409999999999999</v>
      </c>
      <c r="O240" s="10">
        <f t="shared" si="41"/>
        <v>3.3580000000000001</v>
      </c>
      <c r="P240" s="10">
        <f t="shared" si="41"/>
        <v>2.8540000000000001</v>
      </c>
      <c r="Q240" s="10">
        <f t="shared" si="41"/>
        <v>0</v>
      </c>
      <c r="R240" s="10">
        <f t="shared" si="41"/>
        <v>4.0570000000000004</v>
      </c>
      <c r="S240" s="10">
        <f t="shared" si="41"/>
        <v>4.0220000000000002</v>
      </c>
      <c r="T240" s="10">
        <f t="shared" si="41"/>
        <v>0</v>
      </c>
      <c r="U240" s="10">
        <f t="shared" si="41"/>
        <v>4.2649999999999997</v>
      </c>
      <c r="V240" s="10">
        <f t="shared" si="41"/>
        <v>3.1309999999999998</v>
      </c>
      <c r="W240" s="10">
        <f t="shared" si="41"/>
        <v>0</v>
      </c>
      <c r="X240" s="10">
        <f t="shared" si="41"/>
        <v>0</v>
      </c>
      <c r="Y240" s="10">
        <f t="shared" si="41"/>
        <v>3.6080000000000001</v>
      </c>
      <c r="Z240" s="10">
        <f t="shared" si="41"/>
        <v>0</v>
      </c>
      <c r="AA240" s="10">
        <f t="shared" si="41"/>
        <v>0</v>
      </c>
      <c r="AB240" s="10">
        <f t="shared" si="41"/>
        <v>0</v>
      </c>
      <c r="AC240" s="10">
        <f t="shared" si="41"/>
        <v>3.569</v>
      </c>
      <c r="AD240" s="10">
        <f t="shared" si="41"/>
        <v>3.028</v>
      </c>
      <c r="AE240" s="10">
        <f t="shared" si="41"/>
        <v>0</v>
      </c>
      <c r="AF240" s="10">
        <f t="shared" si="41"/>
        <v>3.7639999999999998</v>
      </c>
    </row>
    <row r="241" spans="1:32">
      <c r="A241" s="10" t="s">
        <v>344</v>
      </c>
      <c r="B241" s="61" t="s">
        <v>303</v>
      </c>
      <c r="C241" s="10">
        <f t="shared" si="40"/>
        <v>5.7960000000000003</v>
      </c>
      <c r="D241" s="10">
        <f t="shared" si="41"/>
        <v>4.8650000000000002</v>
      </c>
      <c r="E241" s="10">
        <f t="shared" si="41"/>
        <v>4.6710000000000003</v>
      </c>
      <c r="F241" s="10">
        <f t="shared" si="41"/>
        <v>0</v>
      </c>
      <c r="G241" s="10">
        <f t="shared" si="41"/>
        <v>5.0430000000000001</v>
      </c>
      <c r="H241" s="10">
        <f t="shared" si="41"/>
        <v>4.57</v>
      </c>
      <c r="I241" s="10">
        <f t="shared" si="41"/>
        <v>4.4400000000000004</v>
      </c>
      <c r="J241" s="10">
        <f t="shared" si="41"/>
        <v>2.7160000000000002</v>
      </c>
      <c r="K241" s="10">
        <f t="shared" si="41"/>
        <v>3.327</v>
      </c>
      <c r="L241" s="10">
        <f t="shared" si="41"/>
        <v>0</v>
      </c>
      <c r="M241" s="10">
        <f t="shared" si="41"/>
        <v>2.9860000000000002</v>
      </c>
      <c r="N241" s="10">
        <f t="shared" si="41"/>
        <v>0</v>
      </c>
      <c r="O241" s="10">
        <f t="shared" si="41"/>
        <v>5.1689999999999996</v>
      </c>
      <c r="P241" s="10">
        <f t="shared" si="41"/>
        <v>4.9189999999999996</v>
      </c>
      <c r="Q241" s="10">
        <f t="shared" si="41"/>
        <v>0</v>
      </c>
      <c r="R241" s="10">
        <f t="shared" si="41"/>
        <v>5.444</v>
      </c>
      <c r="S241" s="10">
        <f t="shared" si="41"/>
        <v>3.8050000000000002</v>
      </c>
      <c r="T241" s="10">
        <f t="shared" si="41"/>
        <v>4.7320000000000002</v>
      </c>
      <c r="U241" s="10">
        <f t="shared" si="41"/>
        <v>3.5950000000000002</v>
      </c>
      <c r="V241" s="10">
        <f t="shared" si="41"/>
        <v>0</v>
      </c>
      <c r="W241" s="10">
        <f t="shared" si="41"/>
        <v>4.4260000000000002</v>
      </c>
      <c r="X241" s="10">
        <f t="shared" si="41"/>
        <v>2.1739999999999999</v>
      </c>
      <c r="Y241" s="10">
        <f t="shared" si="41"/>
        <v>4.2240000000000002</v>
      </c>
      <c r="Z241" s="10">
        <f t="shared" si="41"/>
        <v>0</v>
      </c>
      <c r="AA241" s="10">
        <f t="shared" si="41"/>
        <v>0</v>
      </c>
      <c r="AB241" s="10">
        <f t="shared" si="41"/>
        <v>0</v>
      </c>
      <c r="AC241" s="10">
        <f t="shared" si="41"/>
        <v>5.0439999999999996</v>
      </c>
      <c r="AD241" s="10">
        <f t="shared" si="41"/>
        <v>4.7190000000000003</v>
      </c>
      <c r="AE241" s="10">
        <f t="shared" si="41"/>
        <v>4.609</v>
      </c>
      <c r="AF241" s="10">
        <f t="shared" si="41"/>
        <v>0</v>
      </c>
    </row>
    <row r="242" spans="1:32">
      <c r="A242" s="10" t="s">
        <v>344</v>
      </c>
      <c r="B242" s="61" t="s">
        <v>304</v>
      </c>
      <c r="C242" s="10">
        <f t="shared" si="40"/>
        <v>4.5919999999999996</v>
      </c>
      <c r="D242" s="10">
        <f t="shared" si="41"/>
        <v>1.93</v>
      </c>
      <c r="E242" s="10">
        <f t="shared" si="41"/>
        <v>3.7730000000000001</v>
      </c>
      <c r="F242" s="10">
        <f t="shared" si="41"/>
        <v>3.78</v>
      </c>
      <c r="G242" s="10">
        <f t="shared" si="41"/>
        <v>3</v>
      </c>
      <c r="H242" s="10">
        <f t="shared" si="41"/>
        <v>2.7280000000000002</v>
      </c>
      <c r="I242" s="10">
        <f t="shared" si="41"/>
        <v>3.29</v>
      </c>
      <c r="J242" s="10">
        <f t="shared" si="41"/>
        <v>4.149</v>
      </c>
      <c r="K242" s="10">
        <f t="shared" si="41"/>
        <v>0</v>
      </c>
      <c r="L242" s="10">
        <f t="shared" si="41"/>
        <v>4.7880000000000003</v>
      </c>
      <c r="M242" s="10">
        <f t="shared" si="41"/>
        <v>0</v>
      </c>
      <c r="N242" s="10">
        <f t="shared" si="41"/>
        <v>3.9790000000000001</v>
      </c>
      <c r="O242" s="10">
        <f t="shared" si="41"/>
        <v>1.9330000000000001</v>
      </c>
      <c r="P242" s="10">
        <f t="shared" si="41"/>
        <v>2.6320000000000001</v>
      </c>
      <c r="Q242" s="10">
        <f t="shared" si="41"/>
        <v>0</v>
      </c>
      <c r="R242" s="10">
        <f t="shared" si="41"/>
        <v>2.7959999999999998</v>
      </c>
      <c r="S242" s="10">
        <f t="shared" si="41"/>
        <v>4.2389999999999999</v>
      </c>
      <c r="T242" s="10">
        <f t="shared" si="41"/>
        <v>3.532</v>
      </c>
      <c r="U242" s="10">
        <f t="shared" si="41"/>
        <v>0</v>
      </c>
      <c r="V242" s="10">
        <f t="shared" si="41"/>
        <v>2.9980000000000002</v>
      </c>
      <c r="W242" s="10">
        <f t="shared" si="41"/>
        <v>3.8620000000000001</v>
      </c>
      <c r="X242" s="10">
        <f t="shared" si="41"/>
        <v>0</v>
      </c>
      <c r="Y242" s="10">
        <f t="shared" si="41"/>
        <v>3.4929999999999999</v>
      </c>
      <c r="Z242" s="10">
        <f t="shared" si="41"/>
        <v>0</v>
      </c>
      <c r="AA242" s="10">
        <f t="shared" si="41"/>
        <v>3.569</v>
      </c>
      <c r="AB242" s="10">
        <f t="shared" si="41"/>
        <v>5.0439999999999996</v>
      </c>
      <c r="AC242" s="10">
        <f t="shared" si="41"/>
        <v>0</v>
      </c>
      <c r="AD242" s="10">
        <f t="shared" ref="D242:AF245" si="42">ROUND((EXP(7.032824+1*0.622482)*((AD32/1.852)^ 0.40303))/(1.15*0.0059)/1000000,3)</f>
        <v>2.86</v>
      </c>
      <c r="AE242" s="10">
        <f t="shared" si="42"/>
        <v>0</v>
      </c>
      <c r="AF242" s="10">
        <f t="shared" si="42"/>
        <v>0</v>
      </c>
    </row>
    <row r="243" spans="1:32">
      <c r="A243" s="10" t="s">
        <v>344</v>
      </c>
      <c r="B243" s="61" t="s">
        <v>305</v>
      </c>
      <c r="C243" s="10">
        <f t="shared" si="40"/>
        <v>5.0670000000000002</v>
      </c>
      <c r="D243" s="10">
        <f t="shared" si="42"/>
        <v>2.7610000000000001</v>
      </c>
      <c r="E243" s="10">
        <f t="shared" si="42"/>
        <v>4.0679999999999996</v>
      </c>
      <c r="F243" s="10">
        <f t="shared" si="42"/>
        <v>3.5880000000000001</v>
      </c>
      <c r="G243" s="10">
        <f t="shared" si="42"/>
        <v>3.714</v>
      </c>
      <c r="H243" s="10">
        <f t="shared" si="42"/>
        <v>2.4940000000000002</v>
      </c>
      <c r="I243" s="10">
        <f t="shared" si="42"/>
        <v>3.4140000000000001</v>
      </c>
      <c r="J243" s="10">
        <f t="shared" si="42"/>
        <v>3.9769999999999999</v>
      </c>
      <c r="K243" s="10">
        <f t="shared" si="42"/>
        <v>4.1970000000000001</v>
      </c>
      <c r="L243" s="10">
        <f t="shared" si="42"/>
        <v>0</v>
      </c>
      <c r="M243" s="10">
        <f t="shared" si="42"/>
        <v>0</v>
      </c>
      <c r="N243" s="10">
        <f t="shared" si="42"/>
        <v>4.0979999999999999</v>
      </c>
      <c r="O243" s="10">
        <f t="shared" si="42"/>
        <v>2.9</v>
      </c>
      <c r="P243" s="10">
        <f t="shared" si="42"/>
        <v>1.931</v>
      </c>
      <c r="Q243" s="10">
        <f t="shared" si="42"/>
        <v>0</v>
      </c>
      <c r="R243" s="10">
        <f t="shared" si="42"/>
        <v>3.722</v>
      </c>
      <c r="S243" s="10">
        <f t="shared" si="42"/>
        <v>3.5859999999999999</v>
      </c>
      <c r="T243" s="10">
        <f t="shared" si="42"/>
        <v>3.899</v>
      </c>
      <c r="U243" s="10">
        <f t="shared" si="42"/>
        <v>3.8929999999999998</v>
      </c>
      <c r="V243" s="10">
        <f t="shared" si="42"/>
        <v>3.32</v>
      </c>
      <c r="W243" s="10">
        <f t="shared" si="42"/>
        <v>4.024</v>
      </c>
      <c r="X243" s="10">
        <f t="shared" si="42"/>
        <v>0</v>
      </c>
      <c r="Y243" s="10">
        <f t="shared" si="42"/>
        <v>2.661</v>
      </c>
      <c r="Z243" s="10">
        <f t="shared" si="42"/>
        <v>0</v>
      </c>
      <c r="AA243" s="10">
        <f t="shared" si="42"/>
        <v>3.028</v>
      </c>
      <c r="AB243" s="10">
        <f t="shared" si="42"/>
        <v>4.7190000000000003</v>
      </c>
      <c r="AC243" s="10">
        <f t="shared" si="42"/>
        <v>2.86</v>
      </c>
      <c r="AD243" s="10">
        <f t="shared" si="42"/>
        <v>0</v>
      </c>
      <c r="AE243" s="10">
        <f t="shared" si="42"/>
        <v>0</v>
      </c>
      <c r="AF243" s="10">
        <f t="shared" si="42"/>
        <v>0</v>
      </c>
    </row>
    <row r="244" spans="1:32">
      <c r="A244" s="10" t="s">
        <v>344</v>
      </c>
      <c r="B244" s="10" t="s">
        <v>356</v>
      </c>
      <c r="C244" s="10">
        <f t="shared" si="40"/>
        <v>0</v>
      </c>
      <c r="D244" s="10">
        <f t="shared" si="42"/>
        <v>0</v>
      </c>
      <c r="E244" s="10">
        <f t="shared" si="42"/>
        <v>0</v>
      </c>
      <c r="F244" s="10">
        <f t="shared" si="42"/>
        <v>2.7909999999999999</v>
      </c>
      <c r="G244" s="10">
        <f t="shared" si="42"/>
        <v>0</v>
      </c>
      <c r="H244" s="10">
        <f t="shared" si="42"/>
        <v>0</v>
      </c>
      <c r="I244" s="10">
        <f t="shared" si="42"/>
        <v>0</v>
      </c>
      <c r="J244" s="10">
        <f t="shared" si="42"/>
        <v>0</v>
      </c>
      <c r="K244" s="10">
        <f t="shared" si="42"/>
        <v>0</v>
      </c>
      <c r="L244" s="10">
        <f t="shared" si="42"/>
        <v>0</v>
      </c>
      <c r="M244" s="10">
        <f t="shared" si="42"/>
        <v>0</v>
      </c>
      <c r="N244" s="10">
        <f t="shared" si="42"/>
        <v>3.7120000000000002</v>
      </c>
      <c r="O244" s="10">
        <f t="shared" si="42"/>
        <v>0</v>
      </c>
      <c r="P244" s="10">
        <f t="shared" si="42"/>
        <v>0</v>
      </c>
      <c r="Q244" s="10">
        <f t="shared" si="42"/>
        <v>0</v>
      </c>
      <c r="R244" s="10">
        <f t="shared" si="42"/>
        <v>0</v>
      </c>
      <c r="S244" s="10">
        <f t="shared" si="42"/>
        <v>0</v>
      </c>
      <c r="T244" s="10">
        <f t="shared" si="42"/>
        <v>0</v>
      </c>
      <c r="U244" s="10">
        <f t="shared" si="42"/>
        <v>0</v>
      </c>
      <c r="V244" s="10">
        <f t="shared" si="42"/>
        <v>0</v>
      </c>
      <c r="W244" s="10">
        <f t="shared" si="42"/>
        <v>0</v>
      </c>
      <c r="X244" s="10">
        <f t="shared" si="42"/>
        <v>0</v>
      </c>
      <c r="Y244" s="10">
        <f t="shared" si="42"/>
        <v>0</v>
      </c>
      <c r="Z244" s="10">
        <f t="shared" si="42"/>
        <v>0</v>
      </c>
      <c r="AA244" s="10">
        <f t="shared" si="42"/>
        <v>3.7639999999999998</v>
      </c>
      <c r="AB244" s="10">
        <f t="shared" si="42"/>
        <v>0</v>
      </c>
      <c r="AC244" s="10">
        <f t="shared" si="42"/>
        <v>0</v>
      </c>
      <c r="AD244" s="10">
        <f t="shared" si="42"/>
        <v>0</v>
      </c>
      <c r="AE244" s="10">
        <f t="shared" si="42"/>
        <v>0</v>
      </c>
      <c r="AF244" s="10">
        <f t="shared" si="42"/>
        <v>0</v>
      </c>
    </row>
    <row r="245" spans="1:32">
      <c r="A245" s="10" t="s">
        <v>344</v>
      </c>
      <c r="B245" s="61" t="s">
        <v>307</v>
      </c>
      <c r="C245" s="10">
        <f t="shared" si="40"/>
        <v>3.198</v>
      </c>
      <c r="D245" s="10">
        <f t="shared" si="42"/>
        <v>4.4989999999999997</v>
      </c>
      <c r="E245" s="10">
        <f t="shared" si="42"/>
        <v>3.294</v>
      </c>
      <c r="F245" s="10">
        <f t="shared" si="42"/>
        <v>0</v>
      </c>
      <c r="G245" s="10">
        <f t="shared" si="42"/>
        <v>4.1349999999999998</v>
      </c>
      <c r="H245" s="10">
        <f t="shared" si="42"/>
        <v>4.423</v>
      </c>
      <c r="I245" s="10">
        <f t="shared" si="42"/>
        <v>3.8650000000000002</v>
      </c>
      <c r="J245" s="10">
        <f t="shared" si="42"/>
        <v>3.68</v>
      </c>
      <c r="K245" s="10">
        <f t="shared" si="42"/>
        <v>0</v>
      </c>
      <c r="L245" s="10">
        <f t="shared" si="42"/>
        <v>4.6879999999999997</v>
      </c>
      <c r="M245" s="10">
        <f t="shared" si="42"/>
        <v>0</v>
      </c>
      <c r="N245" s="10">
        <f t="shared" si="42"/>
        <v>0</v>
      </c>
      <c r="O245" s="10">
        <f t="shared" si="42"/>
        <v>0</v>
      </c>
      <c r="P245" s="10">
        <f t="shared" si="42"/>
        <v>0</v>
      </c>
      <c r="Q245" s="10">
        <f t="shared" si="42"/>
        <v>2.6139999999999999</v>
      </c>
      <c r="R245" s="10">
        <f t="shared" si="42"/>
        <v>4.8360000000000003</v>
      </c>
      <c r="S245" s="10">
        <f t="shared" si="42"/>
        <v>0</v>
      </c>
      <c r="T245" s="10">
        <f t="shared" si="42"/>
        <v>3.5659999999999998</v>
      </c>
      <c r="U245" s="10">
        <f t="shared" si="42"/>
        <v>0</v>
      </c>
      <c r="V245" s="10">
        <f t="shared" si="42"/>
        <v>0</v>
      </c>
      <c r="W245" s="10">
        <f t="shared" si="42"/>
        <v>3.2069999999999999</v>
      </c>
      <c r="X245" s="10">
        <f t="shared" si="42"/>
        <v>4.617</v>
      </c>
      <c r="Y245" s="10">
        <f t="shared" si="42"/>
        <v>4.63</v>
      </c>
      <c r="Z245" s="10">
        <f t="shared" si="42"/>
        <v>4.835</v>
      </c>
      <c r="AA245" s="10">
        <f t="shared" si="42"/>
        <v>0</v>
      </c>
      <c r="AB245" s="10">
        <f t="shared" si="42"/>
        <v>4.609</v>
      </c>
      <c r="AC245" s="10">
        <f t="shared" si="42"/>
        <v>0</v>
      </c>
      <c r="AD245" s="10">
        <f t="shared" si="42"/>
        <v>0</v>
      </c>
      <c r="AE245" s="10">
        <f t="shared" si="42"/>
        <v>0</v>
      </c>
      <c r="AF245" s="10">
        <f t="shared" si="42"/>
        <v>0</v>
      </c>
    </row>
    <row r="246" spans="1:32">
      <c r="A246" s="10" t="s">
        <v>341</v>
      </c>
      <c r="B246" s="61" t="s">
        <v>278</v>
      </c>
      <c r="C246" s="10">
        <f>ROUND((EXP(7.032824+1*0.622482)*((C6/1.852)^ 0.40303))/(1.15*0.0059)/1000000,3)</f>
        <v>4.58</v>
      </c>
      <c r="D246" s="10">
        <f t="shared" ref="D246:AF255" si="43">ROUND((EXP(7.032824+1*0.622482)*((D6/1.852)^ 0.40303))/(1.15*0.0059)/1000000,3)</f>
        <v>0</v>
      </c>
      <c r="E246" s="10">
        <f t="shared" si="43"/>
        <v>3.5369999999999999</v>
      </c>
      <c r="F246" s="10">
        <f t="shared" si="43"/>
        <v>3.9649999999999999</v>
      </c>
      <c r="G246" s="10">
        <f t="shared" si="43"/>
        <v>2.8639999999999999</v>
      </c>
      <c r="H246" s="10">
        <f t="shared" si="43"/>
        <v>2.2650000000000001</v>
      </c>
      <c r="I246" s="10">
        <f t="shared" si="43"/>
        <v>2.9159999999999999</v>
      </c>
      <c r="J246" s="10">
        <f t="shared" si="43"/>
        <v>3.8860000000000001</v>
      </c>
      <c r="K246" s="10">
        <f t="shared" si="43"/>
        <v>0</v>
      </c>
      <c r="L246" s="10">
        <f t="shared" si="43"/>
        <v>4.7969999999999997</v>
      </c>
      <c r="M246" s="10">
        <f t="shared" si="43"/>
        <v>0</v>
      </c>
      <c r="N246" s="10">
        <f t="shared" si="43"/>
        <v>4.2119999999999997</v>
      </c>
      <c r="O246" s="10">
        <f t="shared" si="43"/>
        <v>2.52</v>
      </c>
      <c r="P246" s="10">
        <f t="shared" si="43"/>
        <v>2.718</v>
      </c>
      <c r="Q246" s="10">
        <f t="shared" si="43"/>
        <v>0</v>
      </c>
      <c r="R246" s="10">
        <f t="shared" si="43"/>
        <v>3.105</v>
      </c>
      <c r="S246" s="10">
        <f t="shared" si="43"/>
        <v>4.0759999999999996</v>
      </c>
      <c r="T246" s="10">
        <f t="shared" si="43"/>
        <v>3.2829999999999999</v>
      </c>
      <c r="U246" s="10">
        <f t="shared" si="43"/>
        <v>4.319</v>
      </c>
      <c r="V246" s="10">
        <f t="shared" si="43"/>
        <v>3.3380000000000001</v>
      </c>
      <c r="W246" s="10">
        <f t="shared" si="43"/>
        <v>3.5990000000000002</v>
      </c>
      <c r="X246" s="10">
        <f t="shared" si="43"/>
        <v>0</v>
      </c>
      <c r="Y246" s="10">
        <f t="shared" si="43"/>
        <v>3.2629999999999999</v>
      </c>
      <c r="Z246" s="10">
        <f t="shared" si="43"/>
        <v>0</v>
      </c>
      <c r="AA246" s="10">
        <f t="shared" si="43"/>
        <v>3.6819999999999999</v>
      </c>
      <c r="AB246" s="10">
        <f t="shared" si="43"/>
        <v>4.8650000000000002</v>
      </c>
      <c r="AC246" s="10">
        <f t="shared" si="43"/>
        <v>1.93</v>
      </c>
      <c r="AD246" s="10">
        <f t="shared" si="43"/>
        <v>2.7610000000000001</v>
      </c>
      <c r="AE246" s="10">
        <f t="shared" si="43"/>
        <v>4.4989999999999997</v>
      </c>
      <c r="AF246" s="10">
        <f t="shared" si="43"/>
        <v>0</v>
      </c>
    </row>
    <row r="247" spans="1:32">
      <c r="A247" s="10" t="s">
        <v>341</v>
      </c>
      <c r="B247" s="61" t="s">
        <v>280</v>
      </c>
      <c r="C247" s="10">
        <f t="shared" ref="C247:R262" si="44">ROUND((EXP(7.032824+1*0.622482)*((C7/1.852)^ 0.40303))/(1.15*0.0059)/1000000,3)</f>
        <v>2.419</v>
      </c>
      <c r="D247" s="10">
        <f t="shared" si="44"/>
        <v>3.5369999999999999</v>
      </c>
      <c r="E247" s="10">
        <f t="shared" si="44"/>
        <v>0</v>
      </c>
      <c r="F247" s="10">
        <f t="shared" si="44"/>
        <v>0</v>
      </c>
      <c r="G247" s="10">
        <f t="shared" si="44"/>
        <v>2.9750000000000001</v>
      </c>
      <c r="H247" s="10">
        <f t="shared" si="44"/>
        <v>3.5329999999999999</v>
      </c>
      <c r="I247" s="10">
        <f t="shared" si="44"/>
        <v>2.734</v>
      </c>
      <c r="J247" s="10">
        <f t="shared" si="44"/>
        <v>3.3879999999999999</v>
      </c>
      <c r="K247" s="10">
        <f t="shared" si="44"/>
        <v>0</v>
      </c>
      <c r="L247" s="10">
        <f t="shared" si="44"/>
        <v>4.4020000000000001</v>
      </c>
      <c r="M247" s="10">
        <f t="shared" si="44"/>
        <v>0</v>
      </c>
      <c r="N247" s="10">
        <f t="shared" si="44"/>
        <v>0</v>
      </c>
      <c r="O247" s="10">
        <f t="shared" si="44"/>
        <v>4.0460000000000003</v>
      </c>
      <c r="P247" s="10">
        <f t="shared" si="44"/>
        <v>4.1509999999999998</v>
      </c>
      <c r="Q247" s="10">
        <f t="shared" si="44"/>
        <v>3.806</v>
      </c>
      <c r="R247" s="10">
        <f t="shared" si="44"/>
        <v>3.992</v>
      </c>
      <c r="S247" s="10">
        <f t="shared" si="43"/>
        <v>0</v>
      </c>
      <c r="T247" s="10">
        <f t="shared" si="43"/>
        <v>1.7809999999999999</v>
      </c>
      <c r="U247" s="10">
        <f t="shared" si="43"/>
        <v>0</v>
      </c>
      <c r="V247" s="10">
        <f t="shared" si="43"/>
        <v>0</v>
      </c>
      <c r="W247" s="10">
        <f t="shared" si="43"/>
        <v>2.0209999999999999</v>
      </c>
      <c r="X247" s="10">
        <f t="shared" si="43"/>
        <v>4.7919999999999998</v>
      </c>
      <c r="Y247" s="10">
        <f t="shared" si="43"/>
        <v>3.988</v>
      </c>
      <c r="Z247" s="10">
        <f t="shared" si="43"/>
        <v>0</v>
      </c>
      <c r="AA247" s="10">
        <f t="shared" si="43"/>
        <v>0</v>
      </c>
      <c r="AB247" s="10">
        <f t="shared" si="43"/>
        <v>4.6710000000000003</v>
      </c>
      <c r="AC247" s="10">
        <f t="shared" si="43"/>
        <v>3.7730000000000001</v>
      </c>
      <c r="AD247" s="10">
        <f t="shared" si="43"/>
        <v>4.0679999999999996</v>
      </c>
      <c r="AE247" s="10">
        <f t="shared" si="43"/>
        <v>3.294</v>
      </c>
      <c r="AF247" s="10">
        <f t="shared" si="43"/>
        <v>0</v>
      </c>
    </row>
    <row r="248" spans="1:32">
      <c r="A248" s="10" t="s">
        <v>341</v>
      </c>
      <c r="B248" s="61" t="s">
        <v>281</v>
      </c>
      <c r="C248" s="10">
        <f t="shared" si="44"/>
        <v>0</v>
      </c>
      <c r="D248" s="10">
        <f t="shared" si="43"/>
        <v>3.9649999999999999</v>
      </c>
      <c r="E248" s="10">
        <f t="shared" si="43"/>
        <v>0</v>
      </c>
      <c r="F248" s="10">
        <f t="shared" si="43"/>
        <v>0</v>
      </c>
      <c r="G248" s="10">
        <f t="shared" si="43"/>
        <v>4.5199999999999996</v>
      </c>
      <c r="H248" s="10">
        <f t="shared" si="43"/>
        <v>4.0640000000000001</v>
      </c>
      <c r="I248" s="10">
        <f t="shared" si="43"/>
        <v>4.5739999999999998</v>
      </c>
      <c r="J248" s="10">
        <f t="shared" si="43"/>
        <v>0</v>
      </c>
      <c r="K248" s="10">
        <f t="shared" si="43"/>
        <v>0</v>
      </c>
      <c r="L248" s="10">
        <f t="shared" si="43"/>
        <v>0</v>
      </c>
      <c r="M248" s="10">
        <f t="shared" si="43"/>
        <v>0</v>
      </c>
      <c r="N248" s="10">
        <f t="shared" si="43"/>
        <v>2.8580000000000001</v>
      </c>
      <c r="O248" s="10">
        <f t="shared" si="43"/>
        <v>3.5049999999999999</v>
      </c>
      <c r="P248" s="10">
        <f t="shared" si="43"/>
        <v>3.3460000000000001</v>
      </c>
      <c r="Q248" s="10">
        <f t="shared" si="43"/>
        <v>0</v>
      </c>
      <c r="R248" s="10">
        <f t="shared" si="43"/>
        <v>4.0460000000000003</v>
      </c>
      <c r="S248" s="10">
        <f t="shared" si="43"/>
        <v>0</v>
      </c>
      <c r="T248" s="10">
        <f t="shared" si="43"/>
        <v>0</v>
      </c>
      <c r="U248" s="10">
        <f t="shared" si="43"/>
        <v>0</v>
      </c>
      <c r="V248" s="10">
        <f t="shared" si="43"/>
        <v>2.9460000000000002</v>
      </c>
      <c r="W248" s="10">
        <f t="shared" si="43"/>
        <v>0</v>
      </c>
      <c r="X248" s="10">
        <f t="shared" si="43"/>
        <v>0</v>
      </c>
      <c r="Y248" s="10">
        <f t="shared" si="43"/>
        <v>4.1269999999999998</v>
      </c>
      <c r="Z248" s="10">
        <f t="shared" si="43"/>
        <v>0</v>
      </c>
      <c r="AA248" s="10">
        <f t="shared" si="43"/>
        <v>2.5529999999999999</v>
      </c>
      <c r="AB248" s="10">
        <f t="shared" si="43"/>
        <v>0</v>
      </c>
      <c r="AC248" s="10">
        <f t="shared" si="43"/>
        <v>3.78</v>
      </c>
      <c r="AD248" s="10">
        <f t="shared" si="43"/>
        <v>3.5880000000000001</v>
      </c>
      <c r="AE248" s="10">
        <f t="shared" si="43"/>
        <v>0</v>
      </c>
      <c r="AF248" s="10">
        <f t="shared" si="43"/>
        <v>2.7909999999999999</v>
      </c>
    </row>
    <row r="249" spans="1:32">
      <c r="A249" s="10" t="s">
        <v>341</v>
      </c>
      <c r="B249" s="61" t="s">
        <v>282</v>
      </c>
      <c r="C249" s="10">
        <f t="shared" si="44"/>
        <v>2.5739999999999998</v>
      </c>
      <c r="D249" s="10">
        <f t="shared" si="43"/>
        <v>2.8639999999999999</v>
      </c>
      <c r="E249" s="10">
        <f t="shared" si="43"/>
        <v>2.9750000000000001</v>
      </c>
      <c r="F249" s="10">
        <f t="shared" si="43"/>
        <v>4.5199999999999996</v>
      </c>
      <c r="G249" s="10">
        <f t="shared" si="43"/>
        <v>0</v>
      </c>
      <c r="H249" s="10">
        <f t="shared" si="43"/>
        <v>3.2410000000000001</v>
      </c>
      <c r="I249" s="10">
        <f t="shared" si="43"/>
        <v>2.9830000000000001</v>
      </c>
      <c r="J249" s="10">
        <f t="shared" si="43"/>
        <v>3.972</v>
      </c>
      <c r="K249" s="10">
        <f t="shared" si="43"/>
        <v>0</v>
      </c>
      <c r="L249" s="10">
        <f t="shared" si="43"/>
        <v>4.2350000000000003</v>
      </c>
      <c r="M249" s="10">
        <f t="shared" si="43"/>
        <v>0</v>
      </c>
      <c r="N249" s="10">
        <f t="shared" si="43"/>
        <v>0</v>
      </c>
      <c r="O249" s="10">
        <f t="shared" si="43"/>
        <v>3.3290000000000002</v>
      </c>
      <c r="P249" s="10">
        <f t="shared" si="43"/>
        <v>3.6819999999999999</v>
      </c>
      <c r="Q249" s="10">
        <f t="shared" si="43"/>
        <v>0</v>
      </c>
      <c r="R249" s="10">
        <f t="shared" si="43"/>
        <v>3.0649999999999999</v>
      </c>
      <c r="S249" s="10">
        <f t="shared" si="43"/>
        <v>0</v>
      </c>
      <c r="T249" s="10">
        <f t="shared" si="43"/>
        <v>2.6240000000000001</v>
      </c>
      <c r="U249" s="10">
        <f t="shared" si="43"/>
        <v>0</v>
      </c>
      <c r="V249" s="10">
        <f t="shared" si="43"/>
        <v>3.895</v>
      </c>
      <c r="W249" s="10">
        <f t="shared" si="43"/>
        <v>3.278</v>
      </c>
      <c r="X249" s="10">
        <f t="shared" si="43"/>
        <v>0</v>
      </c>
      <c r="Y249" s="10">
        <f t="shared" si="43"/>
        <v>3.9319999999999999</v>
      </c>
      <c r="Z249" s="10">
        <f t="shared" si="43"/>
        <v>0</v>
      </c>
      <c r="AA249" s="10">
        <f t="shared" si="43"/>
        <v>4.3570000000000002</v>
      </c>
      <c r="AB249" s="10">
        <f t="shared" si="43"/>
        <v>5.0430000000000001</v>
      </c>
      <c r="AC249" s="10">
        <f t="shared" si="43"/>
        <v>3</v>
      </c>
      <c r="AD249" s="10">
        <f t="shared" si="43"/>
        <v>3.714</v>
      </c>
      <c r="AE249" s="10">
        <f t="shared" si="43"/>
        <v>4.1349999999999998</v>
      </c>
      <c r="AF249" s="10">
        <f t="shared" si="43"/>
        <v>0</v>
      </c>
    </row>
    <row r="250" spans="1:32">
      <c r="A250" s="10" t="s">
        <v>341</v>
      </c>
      <c r="B250" s="61" t="s">
        <v>283</v>
      </c>
      <c r="C250" s="10">
        <f t="shared" si="44"/>
        <v>4.7850000000000001</v>
      </c>
      <c r="D250" s="10">
        <f t="shared" si="43"/>
        <v>2.2650000000000001</v>
      </c>
      <c r="E250" s="10">
        <f t="shared" si="43"/>
        <v>3.5329999999999999</v>
      </c>
      <c r="F250" s="10">
        <f t="shared" si="43"/>
        <v>4.0640000000000001</v>
      </c>
      <c r="G250" s="10">
        <f t="shared" si="43"/>
        <v>3.2410000000000001</v>
      </c>
      <c r="H250" s="10">
        <f t="shared" si="43"/>
        <v>0</v>
      </c>
      <c r="I250" s="10">
        <f t="shared" si="43"/>
        <v>2.6680000000000001</v>
      </c>
      <c r="J250" s="10">
        <f t="shared" si="43"/>
        <v>3.5510000000000002</v>
      </c>
      <c r="K250" s="10">
        <f t="shared" si="43"/>
        <v>4.2210000000000001</v>
      </c>
      <c r="L250" s="10">
        <f t="shared" si="43"/>
        <v>0</v>
      </c>
      <c r="M250" s="10">
        <f t="shared" si="43"/>
        <v>0</v>
      </c>
      <c r="N250" s="10">
        <f t="shared" si="43"/>
        <v>4.4139999999999997</v>
      </c>
      <c r="O250" s="10">
        <f t="shared" si="43"/>
        <v>3.0390000000000001</v>
      </c>
      <c r="P250" s="10">
        <f t="shared" si="43"/>
        <v>2.7589999999999999</v>
      </c>
      <c r="Q250" s="10">
        <f t="shared" si="43"/>
        <v>0</v>
      </c>
      <c r="R250" s="10">
        <f t="shared" si="43"/>
        <v>3.6139999999999999</v>
      </c>
      <c r="S250" s="10">
        <f t="shared" si="43"/>
        <v>3.6819999999999999</v>
      </c>
      <c r="T250" s="10">
        <f t="shared" si="43"/>
        <v>3.3340000000000001</v>
      </c>
      <c r="U250" s="10">
        <f t="shared" si="43"/>
        <v>3.9550000000000001</v>
      </c>
      <c r="V250" s="10">
        <f t="shared" si="43"/>
        <v>3.6440000000000001</v>
      </c>
      <c r="W250" s="10">
        <f t="shared" si="43"/>
        <v>3.4780000000000002</v>
      </c>
      <c r="X250" s="10">
        <f t="shared" si="43"/>
        <v>4.7990000000000004</v>
      </c>
      <c r="Y250" s="10">
        <f t="shared" si="43"/>
        <v>2.6890000000000001</v>
      </c>
      <c r="Z250" s="10">
        <f t="shared" si="43"/>
        <v>0</v>
      </c>
      <c r="AA250" s="10">
        <f t="shared" si="43"/>
        <v>3.6669999999999998</v>
      </c>
      <c r="AB250" s="10">
        <f t="shared" si="43"/>
        <v>4.57</v>
      </c>
      <c r="AC250" s="10">
        <f t="shared" si="43"/>
        <v>2.7280000000000002</v>
      </c>
      <c r="AD250" s="10">
        <f t="shared" si="43"/>
        <v>2.4940000000000002</v>
      </c>
      <c r="AE250" s="10">
        <f t="shared" si="43"/>
        <v>4.423</v>
      </c>
      <c r="AF250" s="10">
        <f t="shared" si="43"/>
        <v>0</v>
      </c>
    </row>
    <row r="251" spans="1:32">
      <c r="A251" s="10" t="s">
        <v>341</v>
      </c>
      <c r="B251" s="61" t="s">
        <v>284</v>
      </c>
      <c r="C251" s="10">
        <f t="shared" si="44"/>
        <v>2.972</v>
      </c>
      <c r="D251" s="10">
        <f t="shared" si="43"/>
        <v>2.9159999999999999</v>
      </c>
      <c r="E251" s="10">
        <f t="shared" si="43"/>
        <v>2.734</v>
      </c>
      <c r="F251" s="10">
        <f t="shared" si="43"/>
        <v>4.5739999999999998</v>
      </c>
      <c r="G251" s="10">
        <f t="shared" si="43"/>
        <v>2.9830000000000001</v>
      </c>
      <c r="H251" s="10">
        <f t="shared" si="43"/>
        <v>2.6680000000000001</v>
      </c>
      <c r="I251" s="10">
        <f t="shared" si="43"/>
        <v>0</v>
      </c>
      <c r="J251" s="10">
        <f t="shared" si="43"/>
        <v>3.0659999999999998</v>
      </c>
      <c r="K251" s="10">
        <f t="shared" si="43"/>
        <v>4.3419999999999996</v>
      </c>
      <c r="L251" s="10">
        <f t="shared" si="43"/>
        <v>4.7789999999999999</v>
      </c>
      <c r="M251" s="10">
        <f t="shared" si="43"/>
        <v>4.9240000000000004</v>
      </c>
      <c r="N251" s="10">
        <f t="shared" si="43"/>
        <v>4.8230000000000004</v>
      </c>
      <c r="O251" s="10">
        <f t="shared" si="43"/>
        <v>3.6080000000000001</v>
      </c>
      <c r="P251" s="10">
        <f t="shared" si="43"/>
        <v>3.5739999999999998</v>
      </c>
      <c r="Q251" s="10">
        <f t="shared" si="43"/>
        <v>4.3490000000000002</v>
      </c>
      <c r="R251" s="10">
        <f t="shared" si="43"/>
        <v>3.823</v>
      </c>
      <c r="S251" s="10">
        <f t="shared" si="43"/>
        <v>3.9540000000000002</v>
      </c>
      <c r="T251" s="10">
        <f t="shared" si="43"/>
        <v>2.5419999999999998</v>
      </c>
      <c r="U251" s="10">
        <f t="shared" si="43"/>
        <v>4.149</v>
      </c>
      <c r="V251" s="10">
        <f t="shared" si="43"/>
        <v>4.1470000000000002</v>
      </c>
      <c r="W251" s="10">
        <f t="shared" si="43"/>
        <v>2.5920000000000001</v>
      </c>
      <c r="X251" s="10">
        <f t="shared" si="43"/>
        <v>4.6319999999999997</v>
      </c>
      <c r="Y251" s="10">
        <f t="shared" si="43"/>
        <v>3.27</v>
      </c>
      <c r="Z251" s="10">
        <f t="shared" si="43"/>
        <v>0</v>
      </c>
      <c r="AA251" s="10">
        <f t="shared" si="43"/>
        <v>4.2640000000000002</v>
      </c>
      <c r="AB251" s="10">
        <f t="shared" si="43"/>
        <v>4.4400000000000004</v>
      </c>
      <c r="AC251" s="10">
        <f t="shared" si="43"/>
        <v>3.29</v>
      </c>
      <c r="AD251" s="10">
        <f t="shared" si="43"/>
        <v>3.4140000000000001</v>
      </c>
      <c r="AE251" s="10">
        <f t="shared" si="43"/>
        <v>3.8650000000000002</v>
      </c>
      <c r="AF251" s="10">
        <f t="shared" si="43"/>
        <v>0</v>
      </c>
    </row>
    <row r="252" spans="1:32">
      <c r="A252" s="10" t="s">
        <v>341</v>
      </c>
      <c r="B252" s="61" t="s">
        <v>285</v>
      </c>
      <c r="C252" s="10">
        <f t="shared" si="44"/>
        <v>4.968</v>
      </c>
      <c r="D252" s="10">
        <f t="shared" si="43"/>
        <v>3.8860000000000001</v>
      </c>
      <c r="E252" s="10">
        <f t="shared" si="43"/>
        <v>3.3879999999999999</v>
      </c>
      <c r="F252" s="10">
        <f t="shared" si="43"/>
        <v>0</v>
      </c>
      <c r="G252" s="10">
        <f t="shared" si="43"/>
        <v>3.972</v>
      </c>
      <c r="H252" s="10">
        <f t="shared" si="43"/>
        <v>3.5510000000000002</v>
      </c>
      <c r="I252" s="10">
        <f t="shared" si="43"/>
        <v>3.0659999999999998</v>
      </c>
      <c r="J252" s="10">
        <f t="shared" si="43"/>
        <v>0</v>
      </c>
      <c r="K252" s="10">
        <f t="shared" si="43"/>
        <v>3.895</v>
      </c>
      <c r="L252" s="10">
        <f t="shared" si="43"/>
        <v>0</v>
      </c>
      <c r="M252" s="10">
        <f t="shared" si="43"/>
        <v>4.3650000000000002</v>
      </c>
      <c r="N252" s="10">
        <f t="shared" si="43"/>
        <v>0</v>
      </c>
      <c r="O252" s="10">
        <f t="shared" si="43"/>
        <v>4.3600000000000003</v>
      </c>
      <c r="P252" s="10">
        <f t="shared" si="43"/>
        <v>4.1890000000000001</v>
      </c>
      <c r="Q252" s="10">
        <f t="shared" si="43"/>
        <v>4.2480000000000002</v>
      </c>
      <c r="R252" s="10">
        <f t="shared" si="43"/>
        <v>4.593</v>
      </c>
      <c r="S252" s="10">
        <f t="shared" si="43"/>
        <v>3.72</v>
      </c>
      <c r="T252" s="10">
        <f t="shared" si="43"/>
        <v>3.476</v>
      </c>
      <c r="U252" s="10">
        <f t="shared" si="43"/>
        <v>3.802</v>
      </c>
      <c r="V252" s="10">
        <f t="shared" si="43"/>
        <v>0</v>
      </c>
      <c r="W252" s="10">
        <f t="shared" si="43"/>
        <v>2.9809999999999999</v>
      </c>
      <c r="X252" s="10">
        <f t="shared" si="43"/>
        <v>3.403</v>
      </c>
      <c r="Y252" s="10">
        <f t="shared" si="43"/>
        <v>3.4910000000000001</v>
      </c>
      <c r="Z252" s="10">
        <f t="shared" si="43"/>
        <v>0</v>
      </c>
      <c r="AA252" s="10">
        <f t="shared" si="43"/>
        <v>4.6680000000000001</v>
      </c>
      <c r="AB252" s="10">
        <f t="shared" si="43"/>
        <v>2.7160000000000002</v>
      </c>
      <c r="AC252" s="10">
        <f t="shared" si="43"/>
        <v>4.149</v>
      </c>
      <c r="AD252" s="10">
        <f t="shared" si="43"/>
        <v>3.9769999999999999</v>
      </c>
      <c r="AE252" s="10">
        <f t="shared" si="43"/>
        <v>3.68</v>
      </c>
      <c r="AF252" s="10">
        <f t="shared" si="43"/>
        <v>0</v>
      </c>
    </row>
    <row r="253" spans="1:32">
      <c r="A253" s="10" t="s">
        <v>341</v>
      </c>
      <c r="B253" s="61" t="s">
        <v>308</v>
      </c>
      <c r="C253" s="10">
        <f t="shared" si="44"/>
        <v>0</v>
      </c>
      <c r="D253" s="10">
        <f t="shared" si="43"/>
        <v>0</v>
      </c>
      <c r="E253" s="10">
        <f t="shared" si="43"/>
        <v>0</v>
      </c>
      <c r="F253" s="10">
        <f t="shared" si="43"/>
        <v>0</v>
      </c>
      <c r="G253" s="10">
        <f t="shared" si="43"/>
        <v>0</v>
      </c>
      <c r="H253" s="10">
        <f t="shared" si="43"/>
        <v>4.2210000000000001</v>
      </c>
      <c r="I253" s="10">
        <f t="shared" si="43"/>
        <v>4.3419999999999996</v>
      </c>
      <c r="J253" s="10">
        <f t="shared" si="43"/>
        <v>3.895</v>
      </c>
      <c r="K253" s="10">
        <f t="shared" si="43"/>
        <v>0</v>
      </c>
      <c r="L253" s="10">
        <f t="shared" si="43"/>
        <v>0</v>
      </c>
      <c r="M253" s="10">
        <f t="shared" si="43"/>
        <v>3.2989999999999999</v>
      </c>
      <c r="N253" s="10">
        <f t="shared" si="43"/>
        <v>0</v>
      </c>
      <c r="O253" s="10">
        <f t="shared" si="43"/>
        <v>0</v>
      </c>
      <c r="P253" s="10">
        <f t="shared" si="43"/>
        <v>0</v>
      </c>
      <c r="Q253" s="10">
        <f t="shared" si="43"/>
        <v>0</v>
      </c>
      <c r="R253" s="10">
        <f t="shared" si="43"/>
        <v>0</v>
      </c>
      <c r="S253" s="10">
        <f t="shared" si="43"/>
        <v>2.673</v>
      </c>
      <c r="T253" s="10">
        <f t="shared" si="43"/>
        <v>0</v>
      </c>
      <c r="U253" s="10">
        <f t="shared" si="43"/>
        <v>2.077</v>
      </c>
      <c r="V253" s="10">
        <f t="shared" si="43"/>
        <v>0</v>
      </c>
      <c r="W253" s="10">
        <f t="shared" si="43"/>
        <v>0</v>
      </c>
      <c r="X253" s="10">
        <f t="shared" si="43"/>
        <v>3.7410000000000001</v>
      </c>
      <c r="Y253" s="10">
        <f t="shared" si="43"/>
        <v>3.637</v>
      </c>
      <c r="Z253" s="10">
        <f t="shared" si="43"/>
        <v>0</v>
      </c>
      <c r="AA253" s="10">
        <f t="shared" si="43"/>
        <v>0</v>
      </c>
      <c r="AB253" s="10">
        <f t="shared" si="43"/>
        <v>3.327</v>
      </c>
      <c r="AC253" s="10">
        <f t="shared" si="43"/>
        <v>0</v>
      </c>
      <c r="AD253" s="10">
        <f t="shared" si="43"/>
        <v>4.1970000000000001</v>
      </c>
      <c r="AE253" s="10">
        <f t="shared" si="43"/>
        <v>0</v>
      </c>
      <c r="AF253" s="10">
        <f t="shared" si="43"/>
        <v>0</v>
      </c>
    </row>
    <row r="254" spans="1:32">
      <c r="A254" s="10" t="s">
        <v>341</v>
      </c>
      <c r="B254" s="61" t="s">
        <v>286</v>
      </c>
      <c r="C254" s="10">
        <f t="shared" si="44"/>
        <v>2.1720000000000002</v>
      </c>
      <c r="D254" s="10">
        <f t="shared" si="43"/>
        <v>4.7969999999999997</v>
      </c>
      <c r="E254" s="10">
        <f t="shared" si="43"/>
        <v>4.4020000000000001</v>
      </c>
      <c r="F254" s="10">
        <f t="shared" si="43"/>
        <v>0</v>
      </c>
      <c r="G254" s="10">
        <f t="shared" si="43"/>
        <v>4.2350000000000003</v>
      </c>
      <c r="H254" s="10">
        <f t="shared" si="43"/>
        <v>0</v>
      </c>
      <c r="I254" s="10">
        <f t="shared" si="43"/>
        <v>4.7789999999999999</v>
      </c>
      <c r="J254" s="10">
        <f t="shared" si="43"/>
        <v>0</v>
      </c>
      <c r="K254" s="10">
        <f t="shared" si="43"/>
        <v>0</v>
      </c>
      <c r="L254" s="10">
        <f t="shared" si="43"/>
        <v>0</v>
      </c>
      <c r="M254" s="10">
        <f t="shared" si="43"/>
        <v>0</v>
      </c>
      <c r="N254" s="10">
        <f t="shared" si="43"/>
        <v>0</v>
      </c>
      <c r="O254" s="10">
        <f t="shared" si="43"/>
        <v>4.8940000000000001</v>
      </c>
      <c r="P254" s="10">
        <f t="shared" si="43"/>
        <v>0</v>
      </c>
      <c r="Q254" s="10">
        <f t="shared" si="43"/>
        <v>4.601</v>
      </c>
      <c r="R254" s="10">
        <f t="shared" si="43"/>
        <v>4.423</v>
      </c>
      <c r="S254" s="10">
        <f t="shared" si="43"/>
        <v>0</v>
      </c>
      <c r="T254" s="10">
        <f t="shared" si="43"/>
        <v>4.3780000000000001</v>
      </c>
      <c r="U254" s="10">
        <f t="shared" si="43"/>
        <v>0</v>
      </c>
      <c r="V254" s="10">
        <f t="shared" si="43"/>
        <v>0</v>
      </c>
      <c r="W254" s="10">
        <f t="shared" si="43"/>
        <v>4.6429999999999998</v>
      </c>
      <c r="X254" s="10">
        <f t="shared" si="43"/>
        <v>0</v>
      </c>
      <c r="Y254" s="10">
        <f t="shared" si="43"/>
        <v>0</v>
      </c>
      <c r="Z254" s="10">
        <f t="shared" si="43"/>
        <v>2.774</v>
      </c>
      <c r="AA254" s="10">
        <f t="shared" si="43"/>
        <v>0</v>
      </c>
      <c r="AB254" s="10">
        <f t="shared" si="43"/>
        <v>0</v>
      </c>
      <c r="AC254" s="10">
        <f t="shared" si="43"/>
        <v>4.7880000000000003</v>
      </c>
      <c r="AD254" s="10">
        <f t="shared" si="43"/>
        <v>0</v>
      </c>
      <c r="AE254" s="10">
        <f t="shared" si="43"/>
        <v>4.6879999999999997</v>
      </c>
      <c r="AF254" s="10">
        <f t="shared" si="43"/>
        <v>0</v>
      </c>
    </row>
    <row r="255" spans="1:32">
      <c r="A255" s="10" t="s">
        <v>341</v>
      </c>
      <c r="B255" s="61" t="s">
        <v>287</v>
      </c>
      <c r="C255" s="10">
        <f t="shared" si="44"/>
        <v>0</v>
      </c>
      <c r="D255" s="10">
        <f t="shared" si="43"/>
        <v>0</v>
      </c>
      <c r="E255" s="10">
        <f t="shared" si="43"/>
        <v>0</v>
      </c>
      <c r="F255" s="10">
        <f t="shared" si="43"/>
        <v>0</v>
      </c>
      <c r="G255" s="10">
        <f t="shared" si="43"/>
        <v>0</v>
      </c>
      <c r="H255" s="10">
        <f t="shared" si="43"/>
        <v>0</v>
      </c>
      <c r="I255" s="10">
        <f t="shared" si="43"/>
        <v>4.9240000000000004</v>
      </c>
      <c r="J255" s="10">
        <f t="shared" si="43"/>
        <v>4.3650000000000002</v>
      </c>
      <c r="K255" s="10">
        <f t="shared" si="43"/>
        <v>3.2989999999999999</v>
      </c>
      <c r="L255" s="10">
        <f t="shared" si="43"/>
        <v>0</v>
      </c>
      <c r="M255" s="10">
        <f t="shared" ref="D255:AF264" si="45">ROUND((EXP(7.032824+1*0.622482)*((M15/1.852)^ 0.40303))/(1.15*0.0059)/1000000,3)</f>
        <v>0</v>
      </c>
      <c r="N255" s="10">
        <f t="shared" si="45"/>
        <v>0</v>
      </c>
      <c r="O255" s="10">
        <f t="shared" si="45"/>
        <v>0</v>
      </c>
      <c r="P255" s="10">
        <f t="shared" si="45"/>
        <v>0</v>
      </c>
      <c r="Q255" s="10">
        <f t="shared" si="45"/>
        <v>0</v>
      </c>
      <c r="R255" s="10">
        <f t="shared" si="45"/>
        <v>0</v>
      </c>
      <c r="S255" s="10">
        <f t="shared" si="45"/>
        <v>3.9710000000000001</v>
      </c>
      <c r="T255" s="10">
        <f t="shared" si="45"/>
        <v>0</v>
      </c>
      <c r="U255" s="10">
        <f t="shared" si="45"/>
        <v>3.6840000000000002</v>
      </c>
      <c r="V255" s="10">
        <f t="shared" si="45"/>
        <v>0</v>
      </c>
      <c r="W255" s="10">
        <f t="shared" si="45"/>
        <v>0</v>
      </c>
      <c r="X255" s="10">
        <f t="shared" si="45"/>
        <v>3.9289999999999998</v>
      </c>
      <c r="Y255" s="10">
        <f t="shared" si="45"/>
        <v>4.54</v>
      </c>
      <c r="Z255" s="10">
        <f t="shared" si="45"/>
        <v>0</v>
      </c>
      <c r="AA255" s="10">
        <f t="shared" si="45"/>
        <v>0</v>
      </c>
      <c r="AB255" s="10">
        <f t="shared" si="45"/>
        <v>2.9860000000000002</v>
      </c>
      <c r="AC255" s="10">
        <f t="shared" si="45"/>
        <v>0</v>
      </c>
      <c r="AD255" s="10">
        <f t="shared" si="45"/>
        <v>0</v>
      </c>
      <c r="AE255" s="10">
        <f t="shared" si="45"/>
        <v>0</v>
      </c>
      <c r="AF255" s="10">
        <f t="shared" si="45"/>
        <v>0</v>
      </c>
    </row>
    <row r="256" spans="1:32">
      <c r="A256" s="10" t="s">
        <v>341</v>
      </c>
      <c r="B256" s="61" t="s">
        <v>288</v>
      </c>
      <c r="C256" s="10">
        <f t="shared" si="44"/>
        <v>0</v>
      </c>
      <c r="D256" s="10">
        <f t="shared" si="45"/>
        <v>4.58</v>
      </c>
      <c r="E256" s="10">
        <f t="shared" si="45"/>
        <v>2.419</v>
      </c>
      <c r="F256" s="10">
        <f t="shared" si="45"/>
        <v>0</v>
      </c>
      <c r="G256" s="10">
        <f t="shared" si="45"/>
        <v>2.5739999999999998</v>
      </c>
      <c r="H256" s="10">
        <f t="shared" si="45"/>
        <v>4.7850000000000001</v>
      </c>
      <c r="I256" s="10">
        <f t="shared" si="45"/>
        <v>2.972</v>
      </c>
      <c r="J256" s="10">
        <f t="shared" si="45"/>
        <v>4.968</v>
      </c>
      <c r="K256" s="10">
        <f t="shared" si="45"/>
        <v>0</v>
      </c>
      <c r="L256" s="10">
        <f t="shared" si="45"/>
        <v>2.1720000000000002</v>
      </c>
      <c r="M256" s="10">
        <f t="shared" si="45"/>
        <v>0</v>
      </c>
      <c r="N256" s="10">
        <f t="shared" si="45"/>
        <v>5.4</v>
      </c>
      <c r="O256" s="10">
        <f t="shared" si="45"/>
        <v>4.7220000000000004</v>
      </c>
      <c r="P256" s="10">
        <f t="shared" si="45"/>
        <v>5.0220000000000002</v>
      </c>
      <c r="Q256" s="10">
        <f t="shared" si="45"/>
        <v>4.3470000000000004</v>
      </c>
      <c r="R256" s="10">
        <f t="shared" si="45"/>
        <v>3.9289999999999998</v>
      </c>
      <c r="S256" s="10">
        <f t="shared" si="45"/>
        <v>0</v>
      </c>
      <c r="T256" s="10">
        <f t="shared" si="45"/>
        <v>4.0640000000000001</v>
      </c>
      <c r="U256" s="10">
        <f t="shared" si="45"/>
        <v>0</v>
      </c>
      <c r="V256" s="10">
        <f t="shared" si="45"/>
        <v>4.99</v>
      </c>
      <c r="W256" s="10">
        <f t="shared" si="45"/>
        <v>4.3479999999999999</v>
      </c>
      <c r="X256" s="10">
        <f t="shared" si="45"/>
        <v>5.8659999999999997</v>
      </c>
      <c r="Y256" s="10">
        <f t="shared" si="45"/>
        <v>5.1959999999999997</v>
      </c>
      <c r="Z256" s="10">
        <f t="shared" si="45"/>
        <v>3.1120000000000001</v>
      </c>
      <c r="AA256" s="10">
        <f t="shared" si="45"/>
        <v>5.4509999999999996</v>
      </c>
      <c r="AB256" s="10">
        <f t="shared" si="45"/>
        <v>5.7960000000000003</v>
      </c>
      <c r="AC256" s="10">
        <f t="shared" si="45"/>
        <v>4.5919999999999996</v>
      </c>
      <c r="AD256" s="10">
        <f t="shared" si="45"/>
        <v>5.0670000000000002</v>
      </c>
      <c r="AE256" s="10">
        <f t="shared" si="45"/>
        <v>3.198</v>
      </c>
      <c r="AF256" s="10">
        <f t="shared" si="45"/>
        <v>0</v>
      </c>
    </row>
    <row r="257" spans="1:32">
      <c r="A257" s="10" t="s">
        <v>341</v>
      </c>
      <c r="B257" s="61" t="s">
        <v>289</v>
      </c>
      <c r="C257" s="10">
        <f t="shared" si="44"/>
        <v>5.4</v>
      </c>
      <c r="D257" s="10">
        <f t="shared" si="45"/>
        <v>4.2119999999999997</v>
      </c>
      <c r="E257" s="10">
        <f t="shared" si="45"/>
        <v>0</v>
      </c>
      <c r="F257" s="10">
        <f t="shared" si="45"/>
        <v>2.8580000000000001</v>
      </c>
      <c r="G257" s="10">
        <f t="shared" si="45"/>
        <v>0</v>
      </c>
      <c r="H257" s="10">
        <f t="shared" si="45"/>
        <v>4.4139999999999997</v>
      </c>
      <c r="I257" s="10">
        <f t="shared" si="45"/>
        <v>4.8230000000000004</v>
      </c>
      <c r="J257" s="10">
        <f t="shared" si="45"/>
        <v>0</v>
      </c>
      <c r="K257" s="10">
        <f t="shared" si="45"/>
        <v>0</v>
      </c>
      <c r="L257" s="10">
        <f t="shared" si="45"/>
        <v>0</v>
      </c>
      <c r="M257" s="10">
        <f t="shared" si="45"/>
        <v>0</v>
      </c>
      <c r="N257" s="10">
        <f t="shared" si="45"/>
        <v>0</v>
      </c>
      <c r="O257" s="10">
        <f t="shared" si="45"/>
        <v>3.698</v>
      </c>
      <c r="P257" s="10">
        <f t="shared" si="45"/>
        <v>3.8450000000000002</v>
      </c>
      <c r="Q257" s="10">
        <f t="shared" si="45"/>
        <v>0</v>
      </c>
      <c r="R257" s="10">
        <f t="shared" si="45"/>
        <v>3.9409999999999998</v>
      </c>
      <c r="S257" s="10">
        <f t="shared" si="45"/>
        <v>0</v>
      </c>
      <c r="T257" s="10">
        <f t="shared" si="45"/>
        <v>0</v>
      </c>
      <c r="U257" s="10">
        <f t="shared" si="45"/>
        <v>0</v>
      </c>
      <c r="V257" s="10">
        <f t="shared" si="45"/>
        <v>3.0219999999999998</v>
      </c>
      <c r="W257" s="10">
        <f t="shared" si="45"/>
        <v>0</v>
      </c>
      <c r="X257" s="10">
        <f t="shared" si="45"/>
        <v>0</v>
      </c>
      <c r="Y257" s="10">
        <f t="shared" si="45"/>
        <v>4.6020000000000003</v>
      </c>
      <c r="Z257" s="10">
        <f t="shared" si="45"/>
        <v>0</v>
      </c>
      <c r="AA257" s="10">
        <f t="shared" si="45"/>
        <v>3.5409999999999999</v>
      </c>
      <c r="AB257" s="10">
        <f t="shared" si="45"/>
        <v>0</v>
      </c>
      <c r="AC257" s="10">
        <f t="shared" si="45"/>
        <v>3.9790000000000001</v>
      </c>
      <c r="AD257" s="10">
        <f t="shared" si="45"/>
        <v>4.0979999999999999</v>
      </c>
      <c r="AE257" s="10">
        <f t="shared" si="45"/>
        <v>0</v>
      </c>
      <c r="AF257" s="10">
        <f t="shared" si="45"/>
        <v>3.7120000000000002</v>
      </c>
    </row>
    <row r="258" spans="1:32">
      <c r="A258" s="10" t="s">
        <v>341</v>
      </c>
      <c r="B258" s="61" t="s">
        <v>290</v>
      </c>
      <c r="C258" s="10">
        <f t="shared" si="44"/>
        <v>4.7220000000000004</v>
      </c>
      <c r="D258" s="10">
        <f t="shared" si="45"/>
        <v>2.52</v>
      </c>
      <c r="E258" s="10">
        <f t="shared" si="45"/>
        <v>4.0460000000000003</v>
      </c>
      <c r="F258" s="10">
        <f t="shared" si="45"/>
        <v>3.5049999999999999</v>
      </c>
      <c r="G258" s="10">
        <f t="shared" si="45"/>
        <v>3.3290000000000002</v>
      </c>
      <c r="H258" s="10">
        <f t="shared" si="45"/>
        <v>3.0390000000000001</v>
      </c>
      <c r="I258" s="10">
        <f t="shared" si="45"/>
        <v>3.6080000000000001</v>
      </c>
      <c r="J258" s="10">
        <f t="shared" si="45"/>
        <v>4.3600000000000003</v>
      </c>
      <c r="K258" s="10">
        <f t="shared" si="45"/>
        <v>0</v>
      </c>
      <c r="L258" s="10">
        <f t="shared" si="45"/>
        <v>4.8940000000000001</v>
      </c>
      <c r="M258" s="10">
        <f t="shared" si="45"/>
        <v>0</v>
      </c>
      <c r="N258" s="10">
        <f t="shared" si="45"/>
        <v>3.698</v>
      </c>
      <c r="O258" s="10">
        <f t="shared" si="45"/>
        <v>0</v>
      </c>
      <c r="P258" s="10">
        <f t="shared" si="45"/>
        <v>2.5179999999999998</v>
      </c>
      <c r="Q258" s="10">
        <f t="shared" si="45"/>
        <v>0</v>
      </c>
      <c r="R258" s="10">
        <f t="shared" si="45"/>
        <v>2.7909999999999999</v>
      </c>
      <c r="S258" s="10">
        <f t="shared" si="45"/>
        <v>4.3170000000000002</v>
      </c>
      <c r="T258" s="10">
        <f t="shared" si="45"/>
        <v>3.83</v>
      </c>
      <c r="U258" s="10">
        <f t="shared" si="45"/>
        <v>0</v>
      </c>
      <c r="V258" s="10">
        <f t="shared" si="45"/>
        <v>2.5409999999999999</v>
      </c>
      <c r="W258" s="10">
        <f t="shared" si="45"/>
        <v>4.1269999999999998</v>
      </c>
      <c r="X258" s="10">
        <f t="shared" si="45"/>
        <v>0</v>
      </c>
      <c r="Y258" s="10">
        <f t="shared" si="45"/>
        <v>3.6240000000000001</v>
      </c>
      <c r="Z258" s="10">
        <f t="shared" si="45"/>
        <v>0</v>
      </c>
      <c r="AA258" s="10">
        <f t="shared" si="45"/>
        <v>3.3580000000000001</v>
      </c>
      <c r="AB258" s="10">
        <f t="shared" si="45"/>
        <v>5.1689999999999996</v>
      </c>
      <c r="AC258" s="10">
        <f t="shared" si="45"/>
        <v>1.9330000000000001</v>
      </c>
      <c r="AD258" s="10">
        <f t="shared" si="45"/>
        <v>2.9</v>
      </c>
      <c r="AE258" s="10">
        <f t="shared" si="45"/>
        <v>0</v>
      </c>
      <c r="AF258" s="10">
        <f t="shared" si="45"/>
        <v>0</v>
      </c>
    </row>
    <row r="259" spans="1:32">
      <c r="A259" s="10" t="s">
        <v>341</v>
      </c>
      <c r="B259" s="61" t="s">
        <v>291</v>
      </c>
      <c r="C259" s="10">
        <f t="shared" si="44"/>
        <v>5.0220000000000002</v>
      </c>
      <c r="D259" s="10">
        <f t="shared" si="45"/>
        <v>2.718</v>
      </c>
      <c r="E259" s="10">
        <f t="shared" si="45"/>
        <v>4.1509999999999998</v>
      </c>
      <c r="F259" s="10">
        <f t="shared" si="45"/>
        <v>3.3460000000000001</v>
      </c>
      <c r="G259" s="10">
        <f t="shared" si="45"/>
        <v>3.6819999999999999</v>
      </c>
      <c r="H259" s="10">
        <f t="shared" si="45"/>
        <v>2.7589999999999999</v>
      </c>
      <c r="I259" s="10">
        <f t="shared" si="45"/>
        <v>3.5739999999999998</v>
      </c>
      <c r="J259" s="10">
        <f t="shared" si="45"/>
        <v>4.1890000000000001</v>
      </c>
      <c r="K259" s="10">
        <f t="shared" si="45"/>
        <v>0</v>
      </c>
      <c r="L259" s="10">
        <f t="shared" si="45"/>
        <v>0</v>
      </c>
      <c r="M259" s="10">
        <f t="shared" si="45"/>
        <v>0</v>
      </c>
      <c r="N259" s="10">
        <f t="shared" si="45"/>
        <v>3.8450000000000002</v>
      </c>
      <c r="O259" s="10">
        <f t="shared" si="45"/>
        <v>2.5179999999999998</v>
      </c>
      <c r="P259" s="10">
        <f t="shared" si="45"/>
        <v>0</v>
      </c>
      <c r="Q259" s="10">
        <f t="shared" si="45"/>
        <v>0</v>
      </c>
      <c r="R259" s="10">
        <f t="shared" si="45"/>
        <v>3.5089999999999999</v>
      </c>
      <c r="S259" s="10">
        <f t="shared" si="45"/>
        <v>3.867</v>
      </c>
      <c r="T259" s="10">
        <f t="shared" si="45"/>
        <v>3.9689999999999999</v>
      </c>
      <c r="U259" s="10">
        <f t="shared" si="45"/>
        <v>4.1449999999999996</v>
      </c>
      <c r="V259" s="10">
        <f t="shared" si="45"/>
        <v>2.9390000000000001</v>
      </c>
      <c r="W259" s="10">
        <f t="shared" si="45"/>
        <v>4.149</v>
      </c>
      <c r="X259" s="10">
        <f t="shared" si="45"/>
        <v>0</v>
      </c>
      <c r="Y259" s="10">
        <f t="shared" si="45"/>
        <v>3.0920000000000001</v>
      </c>
      <c r="Z259" s="10">
        <f t="shared" si="45"/>
        <v>0</v>
      </c>
      <c r="AA259" s="10">
        <f t="shared" si="45"/>
        <v>2.8540000000000001</v>
      </c>
      <c r="AB259" s="10">
        <f t="shared" si="45"/>
        <v>4.9189999999999996</v>
      </c>
      <c r="AC259" s="10">
        <f t="shared" si="45"/>
        <v>2.6320000000000001</v>
      </c>
      <c r="AD259" s="10">
        <f t="shared" si="45"/>
        <v>1.931</v>
      </c>
      <c r="AE259" s="10">
        <f t="shared" si="45"/>
        <v>0</v>
      </c>
      <c r="AF259" s="10">
        <f t="shared" si="45"/>
        <v>0</v>
      </c>
    </row>
    <row r="260" spans="1:32">
      <c r="A260" s="10" t="s">
        <v>341</v>
      </c>
      <c r="B260" s="61" t="s">
        <v>292</v>
      </c>
      <c r="C260" s="10">
        <f t="shared" si="44"/>
        <v>4.3470000000000004</v>
      </c>
      <c r="D260" s="10">
        <f t="shared" si="45"/>
        <v>0</v>
      </c>
      <c r="E260" s="10">
        <f t="shared" si="45"/>
        <v>3.806</v>
      </c>
      <c r="F260" s="10">
        <f t="shared" si="45"/>
        <v>0</v>
      </c>
      <c r="G260" s="10">
        <f t="shared" si="45"/>
        <v>0</v>
      </c>
      <c r="H260" s="10">
        <f t="shared" si="45"/>
        <v>0</v>
      </c>
      <c r="I260" s="10">
        <f t="shared" si="45"/>
        <v>4.3490000000000002</v>
      </c>
      <c r="J260" s="10">
        <f t="shared" si="45"/>
        <v>4.2480000000000002</v>
      </c>
      <c r="K260" s="10">
        <f t="shared" si="45"/>
        <v>0</v>
      </c>
      <c r="L260" s="10">
        <f t="shared" si="45"/>
        <v>4.601</v>
      </c>
      <c r="M260" s="10">
        <f t="shared" si="45"/>
        <v>0</v>
      </c>
      <c r="N260" s="10">
        <f t="shared" si="45"/>
        <v>0</v>
      </c>
      <c r="O260" s="10">
        <f t="shared" si="45"/>
        <v>0</v>
      </c>
      <c r="P260" s="10">
        <f t="shared" si="45"/>
        <v>0</v>
      </c>
      <c r="Q260" s="10">
        <f t="shared" si="45"/>
        <v>0</v>
      </c>
      <c r="R260" s="10">
        <f t="shared" si="45"/>
        <v>0</v>
      </c>
      <c r="S260" s="10">
        <f t="shared" si="45"/>
        <v>0</v>
      </c>
      <c r="T260" s="10">
        <f t="shared" si="45"/>
        <v>4.0179999999999998</v>
      </c>
      <c r="U260" s="10">
        <f t="shared" si="45"/>
        <v>0</v>
      </c>
      <c r="V260" s="10">
        <f t="shared" si="45"/>
        <v>0</v>
      </c>
      <c r="W260" s="10">
        <f t="shared" si="45"/>
        <v>3.82</v>
      </c>
      <c r="X260" s="10">
        <f t="shared" si="45"/>
        <v>4.9580000000000002</v>
      </c>
      <c r="Y260" s="10">
        <f t="shared" si="45"/>
        <v>0</v>
      </c>
      <c r="Z260" s="10">
        <f t="shared" si="45"/>
        <v>0</v>
      </c>
      <c r="AA260" s="10">
        <f t="shared" si="45"/>
        <v>0</v>
      </c>
      <c r="AB260" s="10">
        <f t="shared" si="45"/>
        <v>0</v>
      </c>
      <c r="AC260" s="10">
        <f t="shared" si="45"/>
        <v>0</v>
      </c>
      <c r="AD260" s="10">
        <f t="shared" si="45"/>
        <v>0</v>
      </c>
      <c r="AE260" s="10">
        <f t="shared" si="45"/>
        <v>2.6139999999999999</v>
      </c>
      <c r="AF260" s="10">
        <f t="shared" si="45"/>
        <v>0</v>
      </c>
    </row>
    <row r="261" spans="1:32">
      <c r="A261" s="10" t="s">
        <v>341</v>
      </c>
      <c r="B261" s="61" t="s">
        <v>293</v>
      </c>
      <c r="C261" s="10">
        <f t="shared" si="44"/>
        <v>3.9289999999999998</v>
      </c>
      <c r="D261" s="10">
        <f t="shared" si="45"/>
        <v>3.105</v>
      </c>
      <c r="E261" s="10">
        <f t="shared" si="45"/>
        <v>3.992</v>
      </c>
      <c r="F261" s="10">
        <f t="shared" si="45"/>
        <v>4.0460000000000003</v>
      </c>
      <c r="G261" s="10">
        <f t="shared" si="45"/>
        <v>3.0649999999999999</v>
      </c>
      <c r="H261" s="10">
        <f t="shared" si="45"/>
        <v>3.6139999999999999</v>
      </c>
      <c r="I261" s="10">
        <f t="shared" si="45"/>
        <v>3.823</v>
      </c>
      <c r="J261" s="10">
        <f t="shared" si="45"/>
        <v>4.593</v>
      </c>
      <c r="K261" s="10">
        <f t="shared" si="45"/>
        <v>0</v>
      </c>
      <c r="L261" s="10">
        <f t="shared" si="45"/>
        <v>4.423</v>
      </c>
      <c r="M261" s="10">
        <f t="shared" si="45"/>
        <v>0</v>
      </c>
      <c r="N261" s="10">
        <f t="shared" si="45"/>
        <v>3.9409999999999998</v>
      </c>
      <c r="O261" s="10">
        <f t="shared" si="45"/>
        <v>2.7909999999999999</v>
      </c>
      <c r="P261" s="10">
        <f t="shared" si="45"/>
        <v>3.5089999999999999</v>
      </c>
      <c r="Q261" s="10">
        <f t="shared" si="45"/>
        <v>0</v>
      </c>
      <c r="R261" s="10">
        <f t="shared" si="45"/>
        <v>0</v>
      </c>
      <c r="S261" s="10">
        <f t="shared" si="45"/>
        <v>0</v>
      </c>
      <c r="T261" s="10">
        <f t="shared" si="45"/>
        <v>3.7709999999999999</v>
      </c>
      <c r="U261" s="10">
        <f t="shared" si="45"/>
        <v>0</v>
      </c>
      <c r="V261" s="10">
        <f t="shared" si="45"/>
        <v>3.169</v>
      </c>
      <c r="W261" s="10">
        <f t="shared" si="45"/>
        <v>4.173</v>
      </c>
      <c r="X261" s="10">
        <f t="shared" si="45"/>
        <v>0</v>
      </c>
      <c r="Y261" s="10">
        <f t="shared" si="45"/>
        <v>4.1929999999999996</v>
      </c>
      <c r="Z261" s="10">
        <f t="shared" si="45"/>
        <v>0</v>
      </c>
      <c r="AA261" s="10">
        <f t="shared" si="45"/>
        <v>4.0570000000000004</v>
      </c>
      <c r="AB261" s="10">
        <f t="shared" si="45"/>
        <v>5.444</v>
      </c>
      <c r="AC261" s="10">
        <f t="shared" si="45"/>
        <v>2.7959999999999998</v>
      </c>
      <c r="AD261" s="10">
        <f t="shared" si="45"/>
        <v>3.722</v>
      </c>
      <c r="AE261" s="10">
        <f t="shared" si="45"/>
        <v>4.8360000000000003</v>
      </c>
      <c r="AF261" s="10">
        <f t="shared" si="45"/>
        <v>0</v>
      </c>
    </row>
    <row r="262" spans="1:32">
      <c r="A262" s="10" t="s">
        <v>341</v>
      </c>
      <c r="B262" s="61" t="s">
        <v>309</v>
      </c>
      <c r="C262" s="10">
        <f t="shared" si="44"/>
        <v>0</v>
      </c>
      <c r="D262" s="10">
        <f t="shared" si="45"/>
        <v>4.0759999999999996</v>
      </c>
      <c r="E262" s="10">
        <f t="shared" si="45"/>
        <v>0</v>
      </c>
      <c r="F262" s="10">
        <f t="shared" si="45"/>
        <v>0</v>
      </c>
      <c r="G262" s="10">
        <f t="shared" si="45"/>
        <v>0</v>
      </c>
      <c r="H262" s="10">
        <f t="shared" si="45"/>
        <v>3.6819999999999999</v>
      </c>
      <c r="I262" s="10">
        <f t="shared" si="45"/>
        <v>3.9540000000000002</v>
      </c>
      <c r="J262" s="10">
        <f t="shared" si="45"/>
        <v>3.72</v>
      </c>
      <c r="K262" s="10">
        <f t="shared" si="45"/>
        <v>2.673</v>
      </c>
      <c r="L262" s="10">
        <f t="shared" si="45"/>
        <v>0</v>
      </c>
      <c r="M262" s="10">
        <f t="shared" si="45"/>
        <v>3.9710000000000001</v>
      </c>
      <c r="N262" s="10">
        <f t="shared" si="45"/>
        <v>0</v>
      </c>
      <c r="O262" s="10">
        <f t="shared" si="45"/>
        <v>4.3170000000000002</v>
      </c>
      <c r="P262" s="10">
        <f t="shared" si="45"/>
        <v>3.867</v>
      </c>
      <c r="Q262" s="10">
        <f t="shared" si="45"/>
        <v>0</v>
      </c>
      <c r="R262" s="10">
        <f t="shared" si="45"/>
        <v>0</v>
      </c>
      <c r="S262" s="10">
        <f t="shared" si="45"/>
        <v>0</v>
      </c>
      <c r="T262" s="10">
        <f t="shared" si="45"/>
        <v>0</v>
      </c>
      <c r="U262" s="10">
        <f t="shared" si="45"/>
        <v>1.9710000000000001</v>
      </c>
      <c r="V262" s="10">
        <f t="shared" si="45"/>
        <v>0</v>
      </c>
      <c r="W262" s="10">
        <f t="shared" si="45"/>
        <v>4.2990000000000004</v>
      </c>
      <c r="X262" s="10">
        <f t="shared" si="45"/>
        <v>4.1619999999999999</v>
      </c>
      <c r="Y262" s="10">
        <f t="shared" si="45"/>
        <v>2.8849999999999998</v>
      </c>
      <c r="Z262" s="10">
        <f t="shared" si="45"/>
        <v>0</v>
      </c>
      <c r="AA262" s="10">
        <f t="shared" si="45"/>
        <v>4.0220000000000002</v>
      </c>
      <c r="AB262" s="10">
        <f t="shared" si="45"/>
        <v>3.8050000000000002</v>
      </c>
      <c r="AC262" s="10">
        <f t="shared" si="45"/>
        <v>4.2389999999999999</v>
      </c>
      <c r="AD262" s="10">
        <f t="shared" si="45"/>
        <v>3.5859999999999999</v>
      </c>
      <c r="AE262" s="10">
        <f t="shared" si="45"/>
        <v>0</v>
      </c>
      <c r="AF262" s="10">
        <f t="shared" si="45"/>
        <v>0</v>
      </c>
    </row>
    <row r="263" spans="1:32">
      <c r="A263" s="10" t="s">
        <v>341</v>
      </c>
      <c r="B263" s="61" t="s">
        <v>294</v>
      </c>
      <c r="C263" s="10">
        <f t="shared" ref="C263:C275" si="46">ROUND((EXP(7.032824+1*0.622482)*((C23/1.852)^ 0.40303))/(1.15*0.0059)/1000000,3)</f>
        <v>4.0640000000000001</v>
      </c>
      <c r="D263" s="10">
        <f t="shared" si="45"/>
        <v>3.2829999999999999</v>
      </c>
      <c r="E263" s="10">
        <f t="shared" si="45"/>
        <v>1.7809999999999999</v>
      </c>
      <c r="F263" s="10">
        <f t="shared" si="45"/>
        <v>0</v>
      </c>
      <c r="G263" s="10">
        <f t="shared" si="45"/>
        <v>2.6240000000000001</v>
      </c>
      <c r="H263" s="10">
        <f t="shared" si="45"/>
        <v>3.3340000000000001</v>
      </c>
      <c r="I263" s="10">
        <f t="shared" si="45"/>
        <v>2.5419999999999998</v>
      </c>
      <c r="J263" s="10">
        <f t="shared" si="45"/>
        <v>3.476</v>
      </c>
      <c r="K263" s="10">
        <f t="shared" si="45"/>
        <v>0</v>
      </c>
      <c r="L263" s="10">
        <f t="shared" si="45"/>
        <v>4.3780000000000001</v>
      </c>
      <c r="M263" s="10">
        <f t="shared" si="45"/>
        <v>0</v>
      </c>
      <c r="N263" s="10">
        <f t="shared" si="45"/>
        <v>0</v>
      </c>
      <c r="O263" s="10">
        <f t="shared" si="45"/>
        <v>3.83</v>
      </c>
      <c r="P263" s="10">
        <f t="shared" si="45"/>
        <v>3.9689999999999999</v>
      </c>
      <c r="Q263" s="10">
        <f t="shared" si="45"/>
        <v>4.0179999999999998</v>
      </c>
      <c r="R263" s="10">
        <f t="shared" si="45"/>
        <v>3.7709999999999999</v>
      </c>
      <c r="S263" s="10">
        <f t="shared" si="45"/>
        <v>0</v>
      </c>
      <c r="T263" s="10">
        <f t="shared" si="45"/>
        <v>0</v>
      </c>
      <c r="U263" s="10">
        <f t="shared" si="45"/>
        <v>0</v>
      </c>
      <c r="V263" s="10">
        <f t="shared" si="45"/>
        <v>0</v>
      </c>
      <c r="W263" s="10">
        <f t="shared" si="45"/>
        <v>2.351</v>
      </c>
      <c r="X263" s="10">
        <f t="shared" si="45"/>
        <v>4.87</v>
      </c>
      <c r="Y263" s="10">
        <f t="shared" si="45"/>
        <v>3.8809999999999998</v>
      </c>
      <c r="Z263" s="10">
        <f t="shared" si="45"/>
        <v>0</v>
      </c>
      <c r="AA263" s="10">
        <f t="shared" si="45"/>
        <v>0</v>
      </c>
      <c r="AB263" s="10">
        <f t="shared" si="45"/>
        <v>4.7320000000000002</v>
      </c>
      <c r="AC263" s="10">
        <f t="shared" si="45"/>
        <v>3.532</v>
      </c>
      <c r="AD263" s="10">
        <f t="shared" si="45"/>
        <v>3.899</v>
      </c>
      <c r="AE263" s="10">
        <f t="shared" si="45"/>
        <v>3.5659999999999998</v>
      </c>
      <c r="AF263" s="10">
        <f t="shared" si="45"/>
        <v>0</v>
      </c>
    </row>
    <row r="264" spans="1:32">
      <c r="A264" s="10" t="s">
        <v>341</v>
      </c>
      <c r="B264" s="61" t="s">
        <v>310</v>
      </c>
      <c r="C264" s="10">
        <f t="shared" si="46"/>
        <v>0</v>
      </c>
      <c r="D264" s="10">
        <f t="shared" si="45"/>
        <v>4.319</v>
      </c>
      <c r="E264" s="10">
        <f t="shared" si="45"/>
        <v>0</v>
      </c>
      <c r="F264" s="10">
        <f t="shared" si="45"/>
        <v>0</v>
      </c>
      <c r="G264" s="10">
        <f t="shared" ref="D264:AF272" si="47">ROUND((EXP(7.032824+1*0.622482)*((G24/1.852)^ 0.40303))/(1.15*0.0059)/1000000,3)</f>
        <v>0</v>
      </c>
      <c r="H264" s="10">
        <f t="shared" si="47"/>
        <v>3.9550000000000001</v>
      </c>
      <c r="I264" s="10">
        <f t="shared" si="47"/>
        <v>4.149</v>
      </c>
      <c r="J264" s="10">
        <f t="shared" si="47"/>
        <v>3.802</v>
      </c>
      <c r="K264" s="10">
        <f t="shared" si="47"/>
        <v>2.077</v>
      </c>
      <c r="L264" s="10">
        <f t="shared" si="47"/>
        <v>0</v>
      </c>
      <c r="M264" s="10">
        <f t="shared" si="47"/>
        <v>3.6840000000000002</v>
      </c>
      <c r="N264" s="10">
        <f t="shared" si="47"/>
        <v>0</v>
      </c>
      <c r="O264" s="10">
        <f t="shared" si="47"/>
        <v>0</v>
      </c>
      <c r="P264" s="10">
        <f t="shared" si="47"/>
        <v>4.1449999999999996</v>
      </c>
      <c r="Q264" s="10">
        <f t="shared" si="47"/>
        <v>0</v>
      </c>
      <c r="R264" s="10">
        <f t="shared" si="47"/>
        <v>0</v>
      </c>
      <c r="S264" s="10">
        <f t="shared" si="47"/>
        <v>1.9710000000000001</v>
      </c>
      <c r="T264" s="10">
        <f t="shared" si="47"/>
        <v>0</v>
      </c>
      <c r="U264" s="10">
        <f t="shared" si="47"/>
        <v>0</v>
      </c>
      <c r="V264" s="10">
        <f t="shared" si="47"/>
        <v>0</v>
      </c>
      <c r="W264" s="10">
        <f t="shared" si="47"/>
        <v>4.4279999999999999</v>
      </c>
      <c r="X264" s="10">
        <f t="shared" si="47"/>
        <v>3.9790000000000001</v>
      </c>
      <c r="Y264" s="10">
        <f t="shared" si="47"/>
        <v>3.2749999999999999</v>
      </c>
      <c r="Z264" s="10">
        <f t="shared" si="47"/>
        <v>0</v>
      </c>
      <c r="AA264" s="10">
        <f t="shared" si="47"/>
        <v>4.2649999999999997</v>
      </c>
      <c r="AB264" s="10">
        <f t="shared" si="47"/>
        <v>3.5950000000000002</v>
      </c>
      <c r="AC264" s="10">
        <f t="shared" si="47"/>
        <v>0</v>
      </c>
      <c r="AD264" s="10">
        <f t="shared" si="47"/>
        <v>3.8929999999999998</v>
      </c>
      <c r="AE264" s="10">
        <f t="shared" si="47"/>
        <v>0</v>
      </c>
      <c r="AF264" s="10">
        <f t="shared" si="47"/>
        <v>0</v>
      </c>
    </row>
    <row r="265" spans="1:32">
      <c r="A265" s="10" t="s">
        <v>341</v>
      </c>
      <c r="B265" s="61" t="s">
        <v>297</v>
      </c>
      <c r="C265" s="10">
        <f t="shared" si="46"/>
        <v>4.3479999999999999</v>
      </c>
      <c r="D265" s="10">
        <f t="shared" si="47"/>
        <v>3.5990000000000002</v>
      </c>
      <c r="E265" s="10">
        <f t="shared" si="47"/>
        <v>2.0209999999999999</v>
      </c>
      <c r="F265" s="10">
        <f t="shared" si="47"/>
        <v>0</v>
      </c>
      <c r="G265" s="10">
        <f t="shared" si="47"/>
        <v>3.278</v>
      </c>
      <c r="H265" s="10">
        <f t="shared" si="47"/>
        <v>3.4780000000000002</v>
      </c>
      <c r="I265" s="10">
        <f t="shared" si="47"/>
        <v>2.5920000000000001</v>
      </c>
      <c r="J265" s="10">
        <f t="shared" si="47"/>
        <v>2.9809999999999999</v>
      </c>
      <c r="K265" s="10">
        <f t="shared" si="47"/>
        <v>0</v>
      </c>
      <c r="L265" s="10">
        <f t="shared" si="47"/>
        <v>4.6429999999999998</v>
      </c>
      <c r="M265" s="10">
        <f t="shared" si="47"/>
        <v>0</v>
      </c>
      <c r="N265" s="10">
        <f t="shared" si="47"/>
        <v>0</v>
      </c>
      <c r="O265" s="10">
        <f t="shared" si="47"/>
        <v>4.1269999999999998</v>
      </c>
      <c r="P265" s="10">
        <f t="shared" si="47"/>
        <v>4.149</v>
      </c>
      <c r="Q265" s="10">
        <f t="shared" si="47"/>
        <v>3.82</v>
      </c>
      <c r="R265" s="10">
        <f t="shared" si="47"/>
        <v>4.173</v>
      </c>
      <c r="S265" s="10">
        <f t="shared" si="47"/>
        <v>4.2990000000000004</v>
      </c>
      <c r="T265" s="10">
        <f t="shared" si="47"/>
        <v>2.351</v>
      </c>
      <c r="U265" s="10">
        <f t="shared" si="47"/>
        <v>4.4279999999999999</v>
      </c>
      <c r="V265" s="10">
        <f t="shared" si="47"/>
        <v>0</v>
      </c>
      <c r="W265" s="10">
        <f t="shared" si="47"/>
        <v>0</v>
      </c>
      <c r="X265" s="10">
        <f t="shared" si="47"/>
        <v>4.5570000000000004</v>
      </c>
      <c r="Y265" s="10">
        <f t="shared" si="47"/>
        <v>3.8380000000000001</v>
      </c>
      <c r="Z265" s="10">
        <f t="shared" si="47"/>
        <v>0</v>
      </c>
      <c r="AA265" s="10">
        <f t="shared" si="47"/>
        <v>0</v>
      </c>
      <c r="AB265" s="10">
        <f t="shared" si="47"/>
        <v>4.4260000000000002</v>
      </c>
      <c r="AC265" s="10">
        <f t="shared" si="47"/>
        <v>3.8620000000000001</v>
      </c>
      <c r="AD265" s="10">
        <f t="shared" si="47"/>
        <v>4.024</v>
      </c>
      <c r="AE265" s="10">
        <f t="shared" si="47"/>
        <v>3.2069999999999999</v>
      </c>
      <c r="AF265" s="10">
        <f t="shared" si="47"/>
        <v>0</v>
      </c>
    </row>
    <row r="266" spans="1:32">
      <c r="A266" s="10" t="s">
        <v>341</v>
      </c>
      <c r="B266" s="61" t="s">
        <v>298</v>
      </c>
      <c r="C266" s="10">
        <f t="shared" si="46"/>
        <v>5.8659999999999997</v>
      </c>
      <c r="D266" s="10">
        <f t="shared" si="47"/>
        <v>0</v>
      </c>
      <c r="E266" s="10">
        <f t="shared" si="47"/>
        <v>4.7919999999999998</v>
      </c>
      <c r="F266" s="10">
        <f t="shared" si="47"/>
        <v>0</v>
      </c>
      <c r="G266" s="10">
        <f t="shared" si="47"/>
        <v>0</v>
      </c>
      <c r="H266" s="10">
        <f t="shared" si="47"/>
        <v>4.7990000000000004</v>
      </c>
      <c r="I266" s="10">
        <f t="shared" si="47"/>
        <v>4.6319999999999997</v>
      </c>
      <c r="J266" s="10">
        <f t="shared" si="47"/>
        <v>3.403</v>
      </c>
      <c r="K266" s="10">
        <f t="shared" si="47"/>
        <v>3.7410000000000001</v>
      </c>
      <c r="L266" s="10">
        <f t="shared" si="47"/>
        <v>0</v>
      </c>
      <c r="M266" s="10">
        <f t="shared" si="47"/>
        <v>3.9289999999999998</v>
      </c>
      <c r="N266" s="10">
        <f t="shared" si="47"/>
        <v>0</v>
      </c>
      <c r="O266" s="10">
        <f t="shared" si="47"/>
        <v>0</v>
      </c>
      <c r="P266" s="10">
        <f t="shared" si="47"/>
        <v>0</v>
      </c>
      <c r="Q266" s="10">
        <f t="shared" si="47"/>
        <v>4.9580000000000002</v>
      </c>
      <c r="R266" s="10">
        <f t="shared" si="47"/>
        <v>0</v>
      </c>
      <c r="S266" s="10">
        <f t="shared" si="47"/>
        <v>4.1619999999999999</v>
      </c>
      <c r="T266" s="10">
        <f t="shared" si="47"/>
        <v>4.87</v>
      </c>
      <c r="U266" s="10">
        <f t="shared" si="47"/>
        <v>3.9790000000000001</v>
      </c>
      <c r="V266" s="10">
        <f t="shared" si="47"/>
        <v>0</v>
      </c>
      <c r="W266" s="10">
        <f t="shared" si="47"/>
        <v>4.5570000000000004</v>
      </c>
      <c r="X266" s="10">
        <f t="shared" si="47"/>
        <v>0</v>
      </c>
      <c r="Y266" s="10">
        <f t="shared" si="47"/>
        <v>4.5110000000000001</v>
      </c>
      <c r="Z266" s="10">
        <f t="shared" si="47"/>
        <v>0</v>
      </c>
      <c r="AA266" s="10">
        <f t="shared" si="47"/>
        <v>0</v>
      </c>
      <c r="AB266" s="10">
        <f t="shared" si="47"/>
        <v>2.1739999999999999</v>
      </c>
      <c r="AC266" s="10">
        <f t="shared" si="47"/>
        <v>0</v>
      </c>
      <c r="AD266" s="10">
        <f t="shared" si="47"/>
        <v>0</v>
      </c>
      <c r="AE266" s="10">
        <f t="shared" si="47"/>
        <v>4.617</v>
      </c>
      <c r="AF266" s="10">
        <f t="shared" si="47"/>
        <v>0</v>
      </c>
    </row>
    <row r="267" spans="1:32">
      <c r="A267" s="10" t="s">
        <v>341</v>
      </c>
      <c r="B267" s="61" t="s">
        <v>357</v>
      </c>
      <c r="C267" s="10">
        <f t="shared" si="46"/>
        <v>4.99</v>
      </c>
      <c r="D267" s="10">
        <f t="shared" si="47"/>
        <v>3.3380000000000001</v>
      </c>
      <c r="E267" s="10">
        <f t="shared" si="47"/>
        <v>0</v>
      </c>
      <c r="F267" s="10">
        <f t="shared" si="47"/>
        <v>2.9460000000000002</v>
      </c>
      <c r="G267" s="10">
        <f t="shared" si="47"/>
        <v>3.895</v>
      </c>
      <c r="H267" s="10">
        <f t="shared" si="47"/>
        <v>3.6440000000000001</v>
      </c>
      <c r="I267" s="10">
        <f t="shared" si="47"/>
        <v>4.1470000000000002</v>
      </c>
      <c r="J267" s="10">
        <f t="shared" si="47"/>
        <v>0</v>
      </c>
      <c r="K267" s="10">
        <f t="shared" si="47"/>
        <v>0</v>
      </c>
      <c r="L267" s="10">
        <f t="shared" si="47"/>
        <v>0</v>
      </c>
      <c r="M267" s="10">
        <f t="shared" si="47"/>
        <v>0</v>
      </c>
      <c r="N267" s="10">
        <f t="shared" si="47"/>
        <v>3.0219999999999998</v>
      </c>
      <c r="O267" s="10">
        <f t="shared" si="47"/>
        <v>2.5409999999999999</v>
      </c>
      <c r="P267" s="10">
        <f t="shared" si="47"/>
        <v>2.9390000000000001</v>
      </c>
      <c r="Q267" s="10">
        <f t="shared" si="47"/>
        <v>0</v>
      </c>
      <c r="R267" s="10">
        <f t="shared" si="47"/>
        <v>3.169</v>
      </c>
      <c r="S267" s="10">
        <f t="shared" si="47"/>
        <v>0</v>
      </c>
      <c r="T267" s="10">
        <f t="shared" si="47"/>
        <v>0</v>
      </c>
      <c r="U267" s="10">
        <f t="shared" si="47"/>
        <v>0</v>
      </c>
      <c r="V267" s="10">
        <f t="shared" si="47"/>
        <v>0</v>
      </c>
      <c r="W267" s="10">
        <f t="shared" si="47"/>
        <v>0</v>
      </c>
      <c r="X267" s="10">
        <f t="shared" si="47"/>
        <v>0</v>
      </c>
      <c r="Y267" s="10">
        <f t="shared" si="47"/>
        <v>3.9889999999999999</v>
      </c>
      <c r="Z267" s="10">
        <f t="shared" si="47"/>
        <v>0</v>
      </c>
      <c r="AA267" s="10">
        <f t="shared" si="47"/>
        <v>3.1309999999999998</v>
      </c>
      <c r="AB267" s="10">
        <f t="shared" si="47"/>
        <v>0</v>
      </c>
      <c r="AC267" s="10">
        <f t="shared" si="47"/>
        <v>2.9980000000000002</v>
      </c>
      <c r="AD267" s="10">
        <f t="shared" si="47"/>
        <v>3.32</v>
      </c>
      <c r="AE267" s="10">
        <f t="shared" si="47"/>
        <v>0</v>
      </c>
      <c r="AF267" s="10">
        <f t="shared" si="47"/>
        <v>0</v>
      </c>
    </row>
    <row r="268" spans="1:32">
      <c r="A268" s="10" t="s">
        <v>341</v>
      </c>
      <c r="B268" s="61" t="s">
        <v>299</v>
      </c>
      <c r="C268" s="10">
        <f t="shared" si="46"/>
        <v>5.1959999999999997</v>
      </c>
      <c r="D268" s="10">
        <f t="shared" si="47"/>
        <v>3.2629999999999999</v>
      </c>
      <c r="E268" s="10">
        <f t="shared" si="47"/>
        <v>3.988</v>
      </c>
      <c r="F268" s="10">
        <f t="shared" si="47"/>
        <v>4.1269999999999998</v>
      </c>
      <c r="G268" s="10">
        <f t="shared" si="47"/>
        <v>3.9319999999999999</v>
      </c>
      <c r="H268" s="10">
        <f t="shared" si="47"/>
        <v>2.6890000000000001</v>
      </c>
      <c r="I268" s="10">
        <f t="shared" si="47"/>
        <v>3.27</v>
      </c>
      <c r="J268" s="10">
        <f t="shared" si="47"/>
        <v>3.4910000000000001</v>
      </c>
      <c r="K268" s="10">
        <f t="shared" si="47"/>
        <v>3.637</v>
      </c>
      <c r="L268" s="10">
        <f t="shared" si="47"/>
        <v>0</v>
      </c>
      <c r="M268" s="10">
        <f t="shared" si="47"/>
        <v>4.54</v>
      </c>
      <c r="N268" s="10">
        <f t="shared" si="47"/>
        <v>4.6020000000000003</v>
      </c>
      <c r="O268" s="10">
        <f t="shared" si="47"/>
        <v>3.6240000000000001</v>
      </c>
      <c r="P268" s="10">
        <f t="shared" si="47"/>
        <v>3.0920000000000001</v>
      </c>
      <c r="Q268" s="10">
        <f t="shared" si="47"/>
        <v>0</v>
      </c>
      <c r="R268" s="10">
        <f t="shared" si="47"/>
        <v>4.1929999999999996</v>
      </c>
      <c r="S268" s="10">
        <f t="shared" si="47"/>
        <v>2.8849999999999998</v>
      </c>
      <c r="T268" s="10">
        <f t="shared" si="47"/>
        <v>3.8809999999999998</v>
      </c>
      <c r="U268" s="10">
        <f t="shared" si="47"/>
        <v>3.2749999999999999</v>
      </c>
      <c r="V268" s="10">
        <f t="shared" si="47"/>
        <v>3.9889999999999999</v>
      </c>
      <c r="W268" s="10">
        <f t="shared" si="47"/>
        <v>3.8380000000000001</v>
      </c>
      <c r="X268" s="10">
        <f t="shared" si="47"/>
        <v>4.5110000000000001</v>
      </c>
      <c r="Y268" s="10">
        <f t="shared" si="47"/>
        <v>0</v>
      </c>
      <c r="Z268" s="10">
        <f t="shared" si="47"/>
        <v>0</v>
      </c>
      <c r="AA268" s="10">
        <f t="shared" si="47"/>
        <v>3.6080000000000001</v>
      </c>
      <c r="AB268" s="10">
        <f t="shared" si="47"/>
        <v>4.2240000000000002</v>
      </c>
      <c r="AC268" s="10">
        <f t="shared" si="47"/>
        <v>3.4929999999999999</v>
      </c>
      <c r="AD268" s="10">
        <f t="shared" si="47"/>
        <v>2.661</v>
      </c>
      <c r="AE268" s="10">
        <f t="shared" si="47"/>
        <v>4.63</v>
      </c>
      <c r="AF268" s="10">
        <f t="shared" si="47"/>
        <v>0</v>
      </c>
    </row>
    <row r="269" spans="1:32">
      <c r="A269" s="10" t="s">
        <v>341</v>
      </c>
      <c r="B269" s="61" t="s">
        <v>300</v>
      </c>
      <c r="C269" s="10">
        <f t="shared" si="46"/>
        <v>3.1120000000000001</v>
      </c>
      <c r="D269" s="10">
        <f t="shared" si="47"/>
        <v>0</v>
      </c>
      <c r="E269" s="10">
        <f t="shared" si="47"/>
        <v>0</v>
      </c>
      <c r="F269" s="10">
        <f t="shared" si="47"/>
        <v>0</v>
      </c>
      <c r="G269" s="10">
        <f t="shared" si="47"/>
        <v>0</v>
      </c>
      <c r="H269" s="10">
        <f t="shared" si="47"/>
        <v>0</v>
      </c>
      <c r="I269" s="10">
        <f t="shared" si="47"/>
        <v>0</v>
      </c>
      <c r="J269" s="10">
        <f t="shared" si="47"/>
        <v>0</v>
      </c>
      <c r="K269" s="10">
        <f t="shared" si="47"/>
        <v>0</v>
      </c>
      <c r="L269" s="10">
        <f t="shared" si="47"/>
        <v>2.774</v>
      </c>
      <c r="M269" s="10">
        <f t="shared" si="47"/>
        <v>0</v>
      </c>
      <c r="N269" s="10">
        <f t="shared" si="47"/>
        <v>0</v>
      </c>
      <c r="O269" s="10">
        <f t="shared" si="47"/>
        <v>0</v>
      </c>
      <c r="P269" s="10">
        <f t="shared" si="47"/>
        <v>0</v>
      </c>
      <c r="Q269" s="10">
        <f t="shared" si="47"/>
        <v>0</v>
      </c>
      <c r="R269" s="10">
        <f t="shared" si="47"/>
        <v>0</v>
      </c>
      <c r="S269" s="10">
        <f t="shared" si="47"/>
        <v>0</v>
      </c>
      <c r="T269" s="10">
        <f t="shared" si="47"/>
        <v>0</v>
      </c>
      <c r="U269" s="10">
        <f t="shared" si="47"/>
        <v>0</v>
      </c>
      <c r="V269" s="10">
        <f t="shared" si="47"/>
        <v>0</v>
      </c>
      <c r="W269" s="10">
        <f t="shared" si="47"/>
        <v>0</v>
      </c>
      <c r="X269" s="10">
        <f t="shared" si="47"/>
        <v>0</v>
      </c>
      <c r="Y269" s="10">
        <f t="shared" si="47"/>
        <v>0</v>
      </c>
      <c r="Z269" s="10">
        <f t="shared" si="47"/>
        <v>0</v>
      </c>
      <c r="AA269" s="10">
        <f t="shared" si="47"/>
        <v>0</v>
      </c>
      <c r="AB269" s="10">
        <f t="shared" si="47"/>
        <v>0</v>
      </c>
      <c r="AC269" s="10">
        <f t="shared" si="47"/>
        <v>0</v>
      </c>
      <c r="AD269" s="10">
        <f t="shared" si="47"/>
        <v>0</v>
      </c>
      <c r="AE269" s="10">
        <f t="shared" si="47"/>
        <v>4.835</v>
      </c>
      <c r="AF269" s="10">
        <f t="shared" si="47"/>
        <v>0</v>
      </c>
    </row>
    <row r="270" spans="1:32">
      <c r="A270" s="10" t="s">
        <v>341</v>
      </c>
      <c r="B270" s="61" t="s">
        <v>301</v>
      </c>
      <c r="C270" s="10">
        <f t="shared" si="46"/>
        <v>5.4509999999999996</v>
      </c>
      <c r="D270" s="10">
        <f t="shared" si="47"/>
        <v>3.6819999999999999</v>
      </c>
      <c r="E270" s="10">
        <f t="shared" si="47"/>
        <v>0</v>
      </c>
      <c r="F270" s="10">
        <f t="shared" si="47"/>
        <v>2.5529999999999999</v>
      </c>
      <c r="G270" s="10">
        <f t="shared" si="47"/>
        <v>4.3570000000000002</v>
      </c>
      <c r="H270" s="10">
        <f t="shared" si="47"/>
        <v>3.6669999999999998</v>
      </c>
      <c r="I270" s="10">
        <f t="shared" si="47"/>
        <v>4.2640000000000002</v>
      </c>
      <c r="J270" s="10">
        <f t="shared" si="47"/>
        <v>4.6680000000000001</v>
      </c>
      <c r="K270" s="10">
        <f t="shared" si="47"/>
        <v>0</v>
      </c>
      <c r="L270" s="10">
        <f t="shared" si="47"/>
        <v>0</v>
      </c>
      <c r="M270" s="10">
        <f t="shared" si="47"/>
        <v>0</v>
      </c>
      <c r="N270" s="10">
        <f t="shared" si="47"/>
        <v>3.5409999999999999</v>
      </c>
      <c r="O270" s="10">
        <f t="shared" si="47"/>
        <v>3.3580000000000001</v>
      </c>
      <c r="P270" s="10">
        <f t="shared" si="47"/>
        <v>2.8540000000000001</v>
      </c>
      <c r="Q270" s="10">
        <f t="shared" si="47"/>
        <v>0</v>
      </c>
      <c r="R270" s="10">
        <f t="shared" si="47"/>
        <v>4.0570000000000004</v>
      </c>
      <c r="S270" s="10">
        <f t="shared" si="47"/>
        <v>4.0220000000000002</v>
      </c>
      <c r="T270" s="10">
        <f t="shared" si="47"/>
        <v>0</v>
      </c>
      <c r="U270" s="10">
        <f t="shared" si="47"/>
        <v>4.2649999999999997</v>
      </c>
      <c r="V270" s="10">
        <f t="shared" si="47"/>
        <v>3.1309999999999998</v>
      </c>
      <c r="W270" s="10">
        <f t="shared" si="47"/>
        <v>0</v>
      </c>
      <c r="X270" s="10">
        <f t="shared" si="47"/>
        <v>0</v>
      </c>
      <c r="Y270" s="10">
        <f t="shared" si="47"/>
        <v>3.6080000000000001</v>
      </c>
      <c r="Z270" s="10">
        <f t="shared" si="47"/>
        <v>0</v>
      </c>
      <c r="AA270" s="10">
        <f t="shared" si="47"/>
        <v>0</v>
      </c>
      <c r="AB270" s="10">
        <f t="shared" si="47"/>
        <v>0</v>
      </c>
      <c r="AC270" s="10">
        <f t="shared" si="47"/>
        <v>3.569</v>
      </c>
      <c r="AD270" s="10">
        <f t="shared" si="47"/>
        <v>3.028</v>
      </c>
      <c r="AE270" s="10">
        <f t="shared" si="47"/>
        <v>0</v>
      </c>
      <c r="AF270" s="10">
        <f t="shared" si="47"/>
        <v>3.7639999999999998</v>
      </c>
    </row>
    <row r="271" spans="1:32">
      <c r="A271" s="10" t="s">
        <v>341</v>
      </c>
      <c r="B271" s="61" t="s">
        <v>303</v>
      </c>
      <c r="C271" s="10">
        <f t="shared" si="46"/>
        <v>5.7960000000000003</v>
      </c>
      <c r="D271" s="10">
        <f t="shared" si="47"/>
        <v>4.8650000000000002</v>
      </c>
      <c r="E271" s="10">
        <f t="shared" si="47"/>
        <v>4.6710000000000003</v>
      </c>
      <c r="F271" s="10">
        <f t="shared" si="47"/>
        <v>0</v>
      </c>
      <c r="G271" s="10">
        <f t="shared" si="47"/>
        <v>5.0430000000000001</v>
      </c>
      <c r="H271" s="10">
        <f t="shared" si="47"/>
        <v>4.57</v>
      </c>
      <c r="I271" s="10">
        <f t="shared" si="47"/>
        <v>4.4400000000000004</v>
      </c>
      <c r="J271" s="10">
        <f t="shared" si="47"/>
        <v>2.7160000000000002</v>
      </c>
      <c r="K271" s="10">
        <f t="shared" si="47"/>
        <v>3.327</v>
      </c>
      <c r="L271" s="10">
        <f t="shared" si="47"/>
        <v>0</v>
      </c>
      <c r="M271" s="10">
        <f t="shared" si="47"/>
        <v>2.9860000000000002</v>
      </c>
      <c r="N271" s="10">
        <f t="shared" si="47"/>
        <v>0</v>
      </c>
      <c r="O271" s="10">
        <f t="shared" si="47"/>
        <v>5.1689999999999996</v>
      </c>
      <c r="P271" s="10">
        <f t="shared" si="47"/>
        <v>4.9189999999999996</v>
      </c>
      <c r="Q271" s="10">
        <f t="shared" si="47"/>
        <v>0</v>
      </c>
      <c r="R271" s="10">
        <f t="shared" si="47"/>
        <v>5.444</v>
      </c>
      <c r="S271" s="10">
        <f t="shared" si="47"/>
        <v>3.8050000000000002</v>
      </c>
      <c r="T271" s="10">
        <f t="shared" si="47"/>
        <v>4.7320000000000002</v>
      </c>
      <c r="U271" s="10">
        <f t="shared" si="47"/>
        <v>3.5950000000000002</v>
      </c>
      <c r="V271" s="10">
        <f t="shared" si="47"/>
        <v>0</v>
      </c>
      <c r="W271" s="10">
        <f t="shared" si="47"/>
        <v>4.4260000000000002</v>
      </c>
      <c r="X271" s="10">
        <f t="shared" si="47"/>
        <v>2.1739999999999999</v>
      </c>
      <c r="Y271" s="10">
        <f t="shared" si="47"/>
        <v>4.2240000000000002</v>
      </c>
      <c r="Z271" s="10">
        <f t="shared" si="47"/>
        <v>0</v>
      </c>
      <c r="AA271" s="10">
        <f t="shared" si="47"/>
        <v>0</v>
      </c>
      <c r="AB271" s="10">
        <f t="shared" si="47"/>
        <v>0</v>
      </c>
      <c r="AC271" s="10">
        <f t="shared" si="47"/>
        <v>5.0439999999999996</v>
      </c>
      <c r="AD271" s="10">
        <f t="shared" si="47"/>
        <v>4.7190000000000003</v>
      </c>
      <c r="AE271" s="10">
        <f t="shared" si="47"/>
        <v>4.609</v>
      </c>
      <c r="AF271" s="10">
        <f t="shared" si="47"/>
        <v>0</v>
      </c>
    </row>
    <row r="272" spans="1:32">
      <c r="A272" s="10" t="s">
        <v>341</v>
      </c>
      <c r="B272" s="61" t="s">
        <v>304</v>
      </c>
      <c r="C272" s="10">
        <f t="shared" si="46"/>
        <v>4.5919999999999996</v>
      </c>
      <c r="D272" s="10">
        <f t="shared" si="47"/>
        <v>1.93</v>
      </c>
      <c r="E272" s="10">
        <f t="shared" si="47"/>
        <v>3.7730000000000001</v>
      </c>
      <c r="F272" s="10">
        <f t="shared" si="47"/>
        <v>3.78</v>
      </c>
      <c r="G272" s="10">
        <f t="shared" si="47"/>
        <v>3</v>
      </c>
      <c r="H272" s="10">
        <f t="shared" si="47"/>
        <v>2.7280000000000002</v>
      </c>
      <c r="I272" s="10">
        <f t="shared" si="47"/>
        <v>3.29</v>
      </c>
      <c r="J272" s="10">
        <f t="shared" si="47"/>
        <v>4.149</v>
      </c>
      <c r="K272" s="10">
        <f t="shared" si="47"/>
        <v>0</v>
      </c>
      <c r="L272" s="10">
        <f t="shared" si="47"/>
        <v>4.7880000000000003</v>
      </c>
      <c r="M272" s="10">
        <f t="shared" si="47"/>
        <v>0</v>
      </c>
      <c r="N272" s="10">
        <f t="shared" si="47"/>
        <v>3.9790000000000001</v>
      </c>
      <c r="O272" s="10">
        <f t="shared" si="47"/>
        <v>1.9330000000000001</v>
      </c>
      <c r="P272" s="10">
        <f t="shared" si="47"/>
        <v>2.6320000000000001</v>
      </c>
      <c r="Q272" s="10">
        <f t="shared" si="47"/>
        <v>0</v>
      </c>
      <c r="R272" s="10">
        <f t="shared" si="47"/>
        <v>2.7959999999999998</v>
      </c>
      <c r="S272" s="10">
        <f t="shared" si="47"/>
        <v>4.2389999999999999</v>
      </c>
      <c r="T272" s="10">
        <f t="shared" si="47"/>
        <v>3.532</v>
      </c>
      <c r="U272" s="10">
        <f t="shared" si="47"/>
        <v>0</v>
      </c>
      <c r="V272" s="10">
        <f t="shared" si="47"/>
        <v>2.9980000000000002</v>
      </c>
      <c r="W272" s="10">
        <f t="shared" si="47"/>
        <v>3.8620000000000001</v>
      </c>
      <c r="X272" s="10">
        <f t="shared" si="47"/>
        <v>0</v>
      </c>
      <c r="Y272" s="10">
        <f t="shared" si="47"/>
        <v>3.4929999999999999</v>
      </c>
      <c r="Z272" s="10">
        <f t="shared" si="47"/>
        <v>0</v>
      </c>
      <c r="AA272" s="10">
        <f t="shared" si="47"/>
        <v>3.569</v>
      </c>
      <c r="AB272" s="10">
        <f t="shared" si="47"/>
        <v>5.0439999999999996</v>
      </c>
      <c r="AC272" s="10">
        <f t="shared" si="47"/>
        <v>0</v>
      </c>
      <c r="AD272" s="10">
        <f t="shared" ref="D272:AF275" si="48">ROUND((EXP(7.032824+1*0.622482)*((AD32/1.852)^ 0.40303))/(1.15*0.0059)/1000000,3)</f>
        <v>2.86</v>
      </c>
      <c r="AE272" s="10">
        <f t="shared" si="48"/>
        <v>0</v>
      </c>
      <c r="AF272" s="10">
        <f t="shared" si="48"/>
        <v>0</v>
      </c>
    </row>
    <row r="273" spans="1:32">
      <c r="A273" s="10" t="s">
        <v>341</v>
      </c>
      <c r="B273" s="61" t="s">
        <v>305</v>
      </c>
      <c r="C273" s="10">
        <f t="shared" si="46"/>
        <v>5.0670000000000002</v>
      </c>
      <c r="D273" s="10">
        <f t="shared" si="48"/>
        <v>2.7610000000000001</v>
      </c>
      <c r="E273" s="10">
        <f t="shared" si="48"/>
        <v>4.0679999999999996</v>
      </c>
      <c r="F273" s="10">
        <f t="shared" si="48"/>
        <v>3.5880000000000001</v>
      </c>
      <c r="G273" s="10">
        <f t="shared" si="48"/>
        <v>3.714</v>
      </c>
      <c r="H273" s="10">
        <f t="shared" si="48"/>
        <v>2.4940000000000002</v>
      </c>
      <c r="I273" s="10">
        <f t="shared" si="48"/>
        <v>3.4140000000000001</v>
      </c>
      <c r="J273" s="10">
        <f t="shared" si="48"/>
        <v>3.9769999999999999</v>
      </c>
      <c r="K273" s="10">
        <f t="shared" si="48"/>
        <v>4.1970000000000001</v>
      </c>
      <c r="L273" s="10">
        <f t="shared" si="48"/>
        <v>0</v>
      </c>
      <c r="M273" s="10">
        <f t="shared" si="48"/>
        <v>0</v>
      </c>
      <c r="N273" s="10">
        <f t="shared" si="48"/>
        <v>4.0979999999999999</v>
      </c>
      <c r="O273" s="10">
        <f t="shared" si="48"/>
        <v>2.9</v>
      </c>
      <c r="P273" s="10">
        <f t="shared" si="48"/>
        <v>1.931</v>
      </c>
      <c r="Q273" s="10">
        <f t="shared" si="48"/>
        <v>0</v>
      </c>
      <c r="R273" s="10">
        <f t="shared" si="48"/>
        <v>3.722</v>
      </c>
      <c r="S273" s="10">
        <f t="shared" si="48"/>
        <v>3.5859999999999999</v>
      </c>
      <c r="T273" s="10">
        <f t="shared" si="48"/>
        <v>3.899</v>
      </c>
      <c r="U273" s="10">
        <f t="shared" si="48"/>
        <v>3.8929999999999998</v>
      </c>
      <c r="V273" s="10">
        <f t="shared" si="48"/>
        <v>3.32</v>
      </c>
      <c r="W273" s="10">
        <f t="shared" si="48"/>
        <v>4.024</v>
      </c>
      <c r="X273" s="10">
        <f t="shared" si="48"/>
        <v>0</v>
      </c>
      <c r="Y273" s="10">
        <f t="shared" si="48"/>
        <v>2.661</v>
      </c>
      <c r="Z273" s="10">
        <f t="shared" si="48"/>
        <v>0</v>
      </c>
      <c r="AA273" s="10">
        <f t="shared" si="48"/>
        <v>3.028</v>
      </c>
      <c r="AB273" s="10">
        <f t="shared" si="48"/>
        <v>4.7190000000000003</v>
      </c>
      <c r="AC273" s="10">
        <f t="shared" si="48"/>
        <v>2.86</v>
      </c>
      <c r="AD273" s="10">
        <f t="shared" si="48"/>
        <v>0</v>
      </c>
      <c r="AE273" s="10">
        <f t="shared" si="48"/>
        <v>0</v>
      </c>
      <c r="AF273" s="10">
        <f t="shared" si="48"/>
        <v>0</v>
      </c>
    </row>
    <row r="274" spans="1:32">
      <c r="A274" s="10" t="s">
        <v>341</v>
      </c>
      <c r="B274" s="10" t="s">
        <v>356</v>
      </c>
      <c r="C274" s="10">
        <f t="shared" si="46"/>
        <v>0</v>
      </c>
      <c r="D274" s="10">
        <f t="shared" si="48"/>
        <v>0</v>
      </c>
      <c r="E274" s="10">
        <f t="shared" si="48"/>
        <v>0</v>
      </c>
      <c r="F274" s="10">
        <f t="shared" si="48"/>
        <v>2.7909999999999999</v>
      </c>
      <c r="G274" s="10">
        <f t="shared" si="48"/>
        <v>0</v>
      </c>
      <c r="H274" s="10">
        <f t="shared" si="48"/>
        <v>0</v>
      </c>
      <c r="I274" s="10">
        <f t="shared" si="48"/>
        <v>0</v>
      </c>
      <c r="J274" s="10">
        <f t="shared" si="48"/>
        <v>0</v>
      </c>
      <c r="K274" s="10">
        <f t="shared" si="48"/>
        <v>0</v>
      </c>
      <c r="L274" s="10">
        <f t="shared" si="48"/>
        <v>0</v>
      </c>
      <c r="M274" s="10">
        <f t="shared" si="48"/>
        <v>0</v>
      </c>
      <c r="N274" s="10">
        <f t="shared" si="48"/>
        <v>3.7120000000000002</v>
      </c>
      <c r="O274" s="10">
        <f t="shared" si="48"/>
        <v>0</v>
      </c>
      <c r="P274" s="10">
        <f t="shared" si="48"/>
        <v>0</v>
      </c>
      <c r="Q274" s="10">
        <f t="shared" si="48"/>
        <v>0</v>
      </c>
      <c r="R274" s="10">
        <f t="shared" si="48"/>
        <v>0</v>
      </c>
      <c r="S274" s="10">
        <f t="shared" si="48"/>
        <v>0</v>
      </c>
      <c r="T274" s="10">
        <f t="shared" si="48"/>
        <v>0</v>
      </c>
      <c r="U274" s="10">
        <f t="shared" si="48"/>
        <v>0</v>
      </c>
      <c r="V274" s="10">
        <f t="shared" si="48"/>
        <v>0</v>
      </c>
      <c r="W274" s="10">
        <f t="shared" si="48"/>
        <v>0</v>
      </c>
      <c r="X274" s="10">
        <f t="shared" si="48"/>
        <v>0</v>
      </c>
      <c r="Y274" s="10">
        <f t="shared" si="48"/>
        <v>0</v>
      </c>
      <c r="Z274" s="10">
        <f t="shared" si="48"/>
        <v>0</v>
      </c>
      <c r="AA274" s="10">
        <f t="shared" si="48"/>
        <v>3.7639999999999998</v>
      </c>
      <c r="AB274" s="10">
        <f t="shared" si="48"/>
        <v>0</v>
      </c>
      <c r="AC274" s="10">
        <f t="shared" si="48"/>
        <v>0</v>
      </c>
      <c r="AD274" s="10">
        <f t="shared" si="48"/>
        <v>0</v>
      </c>
      <c r="AE274" s="10">
        <f t="shared" si="48"/>
        <v>0</v>
      </c>
      <c r="AF274" s="10">
        <f t="shared" si="48"/>
        <v>0</v>
      </c>
    </row>
    <row r="275" spans="1:32">
      <c r="A275" s="10" t="s">
        <v>341</v>
      </c>
      <c r="B275" s="61" t="s">
        <v>307</v>
      </c>
      <c r="C275" s="10">
        <f t="shared" si="46"/>
        <v>3.198</v>
      </c>
      <c r="D275" s="10">
        <f t="shared" si="48"/>
        <v>4.4989999999999997</v>
      </c>
      <c r="E275" s="10">
        <f t="shared" si="48"/>
        <v>3.294</v>
      </c>
      <c r="F275" s="10">
        <f t="shared" si="48"/>
        <v>0</v>
      </c>
      <c r="G275" s="10">
        <f t="shared" si="48"/>
        <v>4.1349999999999998</v>
      </c>
      <c r="H275" s="10">
        <f t="shared" si="48"/>
        <v>4.423</v>
      </c>
      <c r="I275" s="10">
        <f t="shared" si="48"/>
        <v>3.8650000000000002</v>
      </c>
      <c r="J275" s="10">
        <f t="shared" si="48"/>
        <v>3.68</v>
      </c>
      <c r="K275" s="10">
        <f t="shared" si="48"/>
        <v>0</v>
      </c>
      <c r="L275" s="10">
        <f t="shared" si="48"/>
        <v>4.6879999999999997</v>
      </c>
      <c r="M275" s="10">
        <f t="shared" si="48"/>
        <v>0</v>
      </c>
      <c r="N275" s="10">
        <f t="shared" si="48"/>
        <v>0</v>
      </c>
      <c r="O275" s="10">
        <f t="shared" si="48"/>
        <v>0</v>
      </c>
      <c r="P275" s="10">
        <f t="shared" si="48"/>
        <v>0</v>
      </c>
      <c r="Q275" s="10">
        <f t="shared" si="48"/>
        <v>2.6139999999999999</v>
      </c>
      <c r="R275" s="10">
        <f t="shared" si="48"/>
        <v>4.8360000000000003</v>
      </c>
      <c r="S275" s="10">
        <f t="shared" si="48"/>
        <v>0</v>
      </c>
      <c r="T275" s="10">
        <f t="shared" si="48"/>
        <v>3.5659999999999998</v>
      </c>
      <c r="U275" s="10">
        <f t="shared" si="48"/>
        <v>0</v>
      </c>
      <c r="V275" s="10">
        <f t="shared" si="48"/>
        <v>0</v>
      </c>
      <c r="W275" s="10">
        <f t="shared" si="48"/>
        <v>3.2069999999999999</v>
      </c>
      <c r="X275" s="10">
        <f t="shared" si="48"/>
        <v>4.617</v>
      </c>
      <c r="Y275" s="10">
        <f t="shared" si="48"/>
        <v>4.63</v>
      </c>
      <c r="Z275" s="10">
        <f t="shared" si="48"/>
        <v>4.835</v>
      </c>
      <c r="AA275" s="10">
        <f t="shared" si="48"/>
        <v>0</v>
      </c>
      <c r="AB275" s="10">
        <f t="shared" si="48"/>
        <v>4.609</v>
      </c>
      <c r="AC275" s="10">
        <f t="shared" si="48"/>
        <v>0</v>
      </c>
      <c r="AD275" s="10">
        <f t="shared" si="48"/>
        <v>0</v>
      </c>
      <c r="AE275" s="10">
        <f t="shared" si="48"/>
        <v>0</v>
      </c>
      <c r="AF275" s="10">
        <f t="shared" si="48"/>
        <v>0</v>
      </c>
    </row>
    <row r="276" spans="1:32">
      <c r="A276" s="10" t="s">
        <v>342</v>
      </c>
      <c r="B276" s="61" t="s">
        <v>278</v>
      </c>
      <c r="C276" s="10">
        <f>ROUND((EXP(7.032824+1*0.622482)*((C6/1.852)^ 0.40303))/(1.15*0.0059)/1000000,3)</f>
        <v>4.58</v>
      </c>
      <c r="D276" s="10">
        <f t="shared" ref="D276:AF285" si="49">ROUND((EXP(7.032824+1*0.622482)*((D6/1.852)^ 0.40303))/(1.15*0.0059)/1000000,3)</f>
        <v>0</v>
      </c>
      <c r="E276" s="10">
        <f t="shared" si="49"/>
        <v>3.5369999999999999</v>
      </c>
      <c r="F276" s="10">
        <f t="shared" si="49"/>
        <v>3.9649999999999999</v>
      </c>
      <c r="G276" s="10">
        <f t="shared" si="49"/>
        <v>2.8639999999999999</v>
      </c>
      <c r="H276" s="10">
        <f t="shared" si="49"/>
        <v>2.2650000000000001</v>
      </c>
      <c r="I276" s="10">
        <f t="shared" si="49"/>
        <v>2.9159999999999999</v>
      </c>
      <c r="J276" s="10">
        <f t="shared" si="49"/>
        <v>3.8860000000000001</v>
      </c>
      <c r="K276" s="10">
        <f t="shared" si="49"/>
        <v>0</v>
      </c>
      <c r="L276" s="10">
        <f t="shared" si="49"/>
        <v>4.7969999999999997</v>
      </c>
      <c r="M276" s="10">
        <f t="shared" si="49"/>
        <v>0</v>
      </c>
      <c r="N276" s="10">
        <f t="shared" si="49"/>
        <v>4.2119999999999997</v>
      </c>
      <c r="O276" s="10">
        <f t="shared" si="49"/>
        <v>2.52</v>
      </c>
      <c r="P276" s="10">
        <f t="shared" si="49"/>
        <v>2.718</v>
      </c>
      <c r="Q276" s="10">
        <f t="shared" si="49"/>
        <v>0</v>
      </c>
      <c r="R276" s="10">
        <f t="shared" si="49"/>
        <v>3.105</v>
      </c>
      <c r="S276" s="10">
        <f t="shared" si="49"/>
        <v>4.0759999999999996</v>
      </c>
      <c r="T276" s="10">
        <f t="shared" si="49"/>
        <v>3.2829999999999999</v>
      </c>
      <c r="U276" s="10">
        <f t="shared" si="49"/>
        <v>4.319</v>
      </c>
      <c r="V276" s="10">
        <f t="shared" si="49"/>
        <v>3.3380000000000001</v>
      </c>
      <c r="W276" s="10">
        <f t="shared" si="49"/>
        <v>3.5990000000000002</v>
      </c>
      <c r="X276" s="10">
        <f t="shared" si="49"/>
        <v>0</v>
      </c>
      <c r="Y276" s="10">
        <f t="shared" si="49"/>
        <v>3.2629999999999999</v>
      </c>
      <c r="Z276" s="10">
        <f t="shared" si="49"/>
        <v>0</v>
      </c>
      <c r="AA276" s="10">
        <f t="shared" si="49"/>
        <v>3.6819999999999999</v>
      </c>
      <c r="AB276" s="10">
        <f t="shared" si="49"/>
        <v>4.8650000000000002</v>
      </c>
      <c r="AC276" s="10">
        <f t="shared" si="49"/>
        <v>1.93</v>
      </c>
      <c r="AD276" s="10">
        <f t="shared" si="49"/>
        <v>2.7610000000000001</v>
      </c>
      <c r="AE276" s="10">
        <f t="shared" si="49"/>
        <v>4.4989999999999997</v>
      </c>
      <c r="AF276" s="10">
        <f t="shared" si="49"/>
        <v>0</v>
      </c>
    </row>
    <row r="277" spans="1:32">
      <c r="A277" s="10" t="s">
        <v>342</v>
      </c>
      <c r="B277" s="61" t="s">
        <v>280</v>
      </c>
      <c r="C277" s="10">
        <f t="shared" ref="C277:R292" si="50">ROUND((EXP(7.032824+1*0.622482)*((C7/1.852)^ 0.40303))/(1.15*0.0059)/1000000,3)</f>
        <v>2.419</v>
      </c>
      <c r="D277" s="10">
        <f t="shared" si="50"/>
        <v>3.5369999999999999</v>
      </c>
      <c r="E277" s="10">
        <f t="shared" si="50"/>
        <v>0</v>
      </c>
      <c r="F277" s="10">
        <f t="shared" si="50"/>
        <v>0</v>
      </c>
      <c r="G277" s="10">
        <f t="shared" si="50"/>
        <v>2.9750000000000001</v>
      </c>
      <c r="H277" s="10">
        <f t="shared" si="50"/>
        <v>3.5329999999999999</v>
      </c>
      <c r="I277" s="10">
        <f t="shared" si="50"/>
        <v>2.734</v>
      </c>
      <c r="J277" s="10">
        <f t="shared" si="50"/>
        <v>3.3879999999999999</v>
      </c>
      <c r="K277" s="10">
        <f t="shared" si="50"/>
        <v>0</v>
      </c>
      <c r="L277" s="10">
        <f t="shared" si="50"/>
        <v>4.4020000000000001</v>
      </c>
      <c r="M277" s="10">
        <f t="shared" si="50"/>
        <v>0</v>
      </c>
      <c r="N277" s="10">
        <f t="shared" si="50"/>
        <v>0</v>
      </c>
      <c r="O277" s="10">
        <f t="shared" si="50"/>
        <v>4.0460000000000003</v>
      </c>
      <c r="P277" s="10">
        <f t="shared" si="50"/>
        <v>4.1509999999999998</v>
      </c>
      <c r="Q277" s="10">
        <f t="shared" si="50"/>
        <v>3.806</v>
      </c>
      <c r="R277" s="10">
        <f t="shared" si="50"/>
        <v>3.992</v>
      </c>
      <c r="S277" s="10">
        <f t="shared" si="49"/>
        <v>0</v>
      </c>
      <c r="T277" s="10">
        <f t="shared" si="49"/>
        <v>1.7809999999999999</v>
      </c>
      <c r="U277" s="10">
        <f t="shared" si="49"/>
        <v>0</v>
      </c>
      <c r="V277" s="10">
        <f t="shared" si="49"/>
        <v>0</v>
      </c>
      <c r="W277" s="10">
        <f t="shared" si="49"/>
        <v>2.0209999999999999</v>
      </c>
      <c r="X277" s="10">
        <f t="shared" si="49"/>
        <v>4.7919999999999998</v>
      </c>
      <c r="Y277" s="10">
        <f t="shared" si="49"/>
        <v>3.988</v>
      </c>
      <c r="Z277" s="10">
        <f t="shared" si="49"/>
        <v>0</v>
      </c>
      <c r="AA277" s="10">
        <f t="shared" si="49"/>
        <v>0</v>
      </c>
      <c r="AB277" s="10">
        <f t="shared" si="49"/>
        <v>4.6710000000000003</v>
      </c>
      <c r="AC277" s="10">
        <f t="shared" si="49"/>
        <v>3.7730000000000001</v>
      </c>
      <c r="AD277" s="10">
        <f t="shared" si="49"/>
        <v>4.0679999999999996</v>
      </c>
      <c r="AE277" s="10">
        <f t="shared" si="49"/>
        <v>3.294</v>
      </c>
      <c r="AF277" s="10">
        <f t="shared" si="49"/>
        <v>0</v>
      </c>
    </row>
    <row r="278" spans="1:32">
      <c r="A278" s="10" t="s">
        <v>342</v>
      </c>
      <c r="B278" s="61" t="s">
        <v>281</v>
      </c>
      <c r="C278" s="10">
        <f t="shared" si="50"/>
        <v>0</v>
      </c>
      <c r="D278" s="10">
        <f t="shared" si="49"/>
        <v>3.9649999999999999</v>
      </c>
      <c r="E278" s="10">
        <f t="shared" si="49"/>
        <v>0</v>
      </c>
      <c r="F278" s="10">
        <f t="shared" si="49"/>
        <v>0</v>
      </c>
      <c r="G278" s="10">
        <f t="shared" si="49"/>
        <v>4.5199999999999996</v>
      </c>
      <c r="H278" s="10">
        <f t="shared" si="49"/>
        <v>4.0640000000000001</v>
      </c>
      <c r="I278" s="10">
        <f t="shared" si="49"/>
        <v>4.5739999999999998</v>
      </c>
      <c r="J278" s="10">
        <f t="shared" si="49"/>
        <v>0</v>
      </c>
      <c r="K278" s="10">
        <f t="shared" si="49"/>
        <v>0</v>
      </c>
      <c r="L278" s="10">
        <f t="shared" si="49"/>
        <v>0</v>
      </c>
      <c r="M278" s="10">
        <f t="shared" si="49"/>
        <v>0</v>
      </c>
      <c r="N278" s="10">
        <f t="shared" si="49"/>
        <v>2.8580000000000001</v>
      </c>
      <c r="O278" s="10">
        <f t="shared" si="49"/>
        <v>3.5049999999999999</v>
      </c>
      <c r="P278" s="10">
        <f t="shared" si="49"/>
        <v>3.3460000000000001</v>
      </c>
      <c r="Q278" s="10">
        <f t="shared" si="49"/>
        <v>0</v>
      </c>
      <c r="R278" s="10">
        <f t="shared" si="49"/>
        <v>4.0460000000000003</v>
      </c>
      <c r="S278" s="10">
        <f t="shared" si="49"/>
        <v>0</v>
      </c>
      <c r="T278" s="10">
        <f t="shared" si="49"/>
        <v>0</v>
      </c>
      <c r="U278" s="10">
        <f t="shared" si="49"/>
        <v>0</v>
      </c>
      <c r="V278" s="10">
        <f t="shared" si="49"/>
        <v>2.9460000000000002</v>
      </c>
      <c r="W278" s="10">
        <f t="shared" si="49"/>
        <v>0</v>
      </c>
      <c r="X278" s="10">
        <f t="shared" si="49"/>
        <v>0</v>
      </c>
      <c r="Y278" s="10">
        <f t="shared" si="49"/>
        <v>4.1269999999999998</v>
      </c>
      <c r="Z278" s="10">
        <f t="shared" si="49"/>
        <v>0</v>
      </c>
      <c r="AA278" s="10">
        <f t="shared" si="49"/>
        <v>2.5529999999999999</v>
      </c>
      <c r="AB278" s="10">
        <f t="shared" si="49"/>
        <v>0</v>
      </c>
      <c r="AC278" s="10">
        <f t="shared" si="49"/>
        <v>3.78</v>
      </c>
      <c r="AD278" s="10">
        <f t="shared" si="49"/>
        <v>3.5880000000000001</v>
      </c>
      <c r="AE278" s="10">
        <f t="shared" si="49"/>
        <v>0</v>
      </c>
      <c r="AF278" s="10">
        <f t="shared" si="49"/>
        <v>2.7909999999999999</v>
      </c>
    </row>
    <row r="279" spans="1:32">
      <c r="A279" s="10" t="s">
        <v>342</v>
      </c>
      <c r="B279" s="61" t="s">
        <v>282</v>
      </c>
      <c r="C279" s="10">
        <f t="shared" si="50"/>
        <v>2.5739999999999998</v>
      </c>
      <c r="D279" s="10">
        <f t="shared" si="49"/>
        <v>2.8639999999999999</v>
      </c>
      <c r="E279" s="10">
        <f t="shared" si="49"/>
        <v>2.9750000000000001</v>
      </c>
      <c r="F279" s="10">
        <f t="shared" si="49"/>
        <v>4.5199999999999996</v>
      </c>
      <c r="G279" s="10">
        <f t="shared" si="49"/>
        <v>0</v>
      </c>
      <c r="H279" s="10">
        <f t="shared" si="49"/>
        <v>3.2410000000000001</v>
      </c>
      <c r="I279" s="10">
        <f t="shared" si="49"/>
        <v>2.9830000000000001</v>
      </c>
      <c r="J279" s="10">
        <f t="shared" si="49"/>
        <v>3.972</v>
      </c>
      <c r="K279" s="10">
        <f t="shared" si="49"/>
        <v>0</v>
      </c>
      <c r="L279" s="10">
        <f t="shared" si="49"/>
        <v>4.2350000000000003</v>
      </c>
      <c r="M279" s="10">
        <f t="shared" si="49"/>
        <v>0</v>
      </c>
      <c r="N279" s="10">
        <f t="shared" si="49"/>
        <v>0</v>
      </c>
      <c r="O279" s="10">
        <f t="shared" si="49"/>
        <v>3.3290000000000002</v>
      </c>
      <c r="P279" s="10">
        <f t="shared" si="49"/>
        <v>3.6819999999999999</v>
      </c>
      <c r="Q279" s="10">
        <f t="shared" si="49"/>
        <v>0</v>
      </c>
      <c r="R279" s="10">
        <f t="shared" si="49"/>
        <v>3.0649999999999999</v>
      </c>
      <c r="S279" s="10">
        <f t="shared" si="49"/>
        <v>0</v>
      </c>
      <c r="T279" s="10">
        <f t="shared" si="49"/>
        <v>2.6240000000000001</v>
      </c>
      <c r="U279" s="10">
        <f t="shared" si="49"/>
        <v>0</v>
      </c>
      <c r="V279" s="10">
        <f t="shared" si="49"/>
        <v>3.895</v>
      </c>
      <c r="W279" s="10">
        <f t="shared" si="49"/>
        <v>3.278</v>
      </c>
      <c r="X279" s="10">
        <f t="shared" si="49"/>
        <v>0</v>
      </c>
      <c r="Y279" s="10">
        <f t="shared" si="49"/>
        <v>3.9319999999999999</v>
      </c>
      <c r="Z279" s="10">
        <f t="shared" si="49"/>
        <v>0</v>
      </c>
      <c r="AA279" s="10">
        <f t="shared" si="49"/>
        <v>4.3570000000000002</v>
      </c>
      <c r="AB279" s="10">
        <f t="shared" si="49"/>
        <v>5.0430000000000001</v>
      </c>
      <c r="AC279" s="10">
        <f t="shared" si="49"/>
        <v>3</v>
      </c>
      <c r="AD279" s="10">
        <f t="shared" si="49"/>
        <v>3.714</v>
      </c>
      <c r="AE279" s="10">
        <f t="shared" si="49"/>
        <v>4.1349999999999998</v>
      </c>
      <c r="AF279" s="10">
        <f t="shared" si="49"/>
        <v>0</v>
      </c>
    </row>
    <row r="280" spans="1:32">
      <c r="A280" s="10" t="s">
        <v>342</v>
      </c>
      <c r="B280" s="61" t="s">
        <v>283</v>
      </c>
      <c r="C280" s="10">
        <f t="shared" si="50"/>
        <v>4.7850000000000001</v>
      </c>
      <c r="D280" s="10">
        <f t="shared" si="49"/>
        <v>2.2650000000000001</v>
      </c>
      <c r="E280" s="10">
        <f t="shared" si="49"/>
        <v>3.5329999999999999</v>
      </c>
      <c r="F280" s="10">
        <f t="shared" si="49"/>
        <v>4.0640000000000001</v>
      </c>
      <c r="G280" s="10">
        <f t="shared" si="49"/>
        <v>3.2410000000000001</v>
      </c>
      <c r="H280" s="10">
        <f t="shared" si="49"/>
        <v>0</v>
      </c>
      <c r="I280" s="10">
        <f t="shared" si="49"/>
        <v>2.6680000000000001</v>
      </c>
      <c r="J280" s="10">
        <f t="shared" si="49"/>
        <v>3.5510000000000002</v>
      </c>
      <c r="K280" s="10">
        <f t="shared" si="49"/>
        <v>4.2210000000000001</v>
      </c>
      <c r="L280" s="10">
        <f t="shared" si="49"/>
        <v>0</v>
      </c>
      <c r="M280" s="10">
        <f t="shared" si="49"/>
        <v>0</v>
      </c>
      <c r="N280" s="10">
        <f t="shared" si="49"/>
        <v>4.4139999999999997</v>
      </c>
      <c r="O280" s="10">
        <f t="shared" si="49"/>
        <v>3.0390000000000001</v>
      </c>
      <c r="P280" s="10">
        <f t="shared" si="49"/>
        <v>2.7589999999999999</v>
      </c>
      <c r="Q280" s="10">
        <f t="shared" si="49"/>
        <v>0</v>
      </c>
      <c r="R280" s="10">
        <f t="shared" si="49"/>
        <v>3.6139999999999999</v>
      </c>
      <c r="S280" s="10">
        <f t="shared" si="49"/>
        <v>3.6819999999999999</v>
      </c>
      <c r="T280" s="10">
        <f t="shared" si="49"/>
        <v>3.3340000000000001</v>
      </c>
      <c r="U280" s="10">
        <f t="shared" si="49"/>
        <v>3.9550000000000001</v>
      </c>
      <c r="V280" s="10">
        <f t="shared" si="49"/>
        <v>3.6440000000000001</v>
      </c>
      <c r="W280" s="10">
        <f t="shared" si="49"/>
        <v>3.4780000000000002</v>
      </c>
      <c r="X280" s="10">
        <f t="shared" si="49"/>
        <v>4.7990000000000004</v>
      </c>
      <c r="Y280" s="10">
        <f t="shared" si="49"/>
        <v>2.6890000000000001</v>
      </c>
      <c r="Z280" s="10">
        <f t="shared" si="49"/>
        <v>0</v>
      </c>
      <c r="AA280" s="10">
        <f t="shared" si="49"/>
        <v>3.6669999999999998</v>
      </c>
      <c r="AB280" s="10">
        <f t="shared" si="49"/>
        <v>4.57</v>
      </c>
      <c r="AC280" s="10">
        <f t="shared" si="49"/>
        <v>2.7280000000000002</v>
      </c>
      <c r="AD280" s="10">
        <f t="shared" si="49"/>
        <v>2.4940000000000002</v>
      </c>
      <c r="AE280" s="10">
        <f t="shared" si="49"/>
        <v>4.423</v>
      </c>
      <c r="AF280" s="10">
        <f t="shared" si="49"/>
        <v>0</v>
      </c>
    </row>
    <row r="281" spans="1:32">
      <c r="A281" s="10" t="s">
        <v>342</v>
      </c>
      <c r="B281" s="61" t="s">
        <v>284</v>
      </c>
      <c r="C281" s="10">
        <f t="shared" si="50"/>
        <v>2.972</v>
      </c>
      <c r="D281" s="10">
        <f t="shared" si="49"/>
        <v>2.9159999999999999</v>
      </c>
      <c r="E281" s="10">
        <f t="shared" si="49"/>
        <v>2.734</v>
      </c>
      <c r="F281" s="10">
        <f t="shared" si="49"/>
        <v>4.5739999999999998</v>
      </c>
      <c r="G281" s="10">
        <f t="shared" si="49"/>
        <v>2.9830000000000001</v>
      </c>
      <c r="H281" s="10">
        <f t="shared" si="49"/>
        <v>2.6680000000000001</v>
      </c>
      <c r="I281" s="10">
        <f t="shared" si="49"/>
        <v>0</v>
      </c>
      <c r="J281" s="10">
        <f t="shared" si="49"/>
        <v>3.0659999999999998</v>
      </c>
      <c r="K281" s="10">
        <f t="shared" si="49"/>
        <v>4.3419999999999996</v>
      </c>
      <c r="L281" s="10">
        <f t="shared" si="49"/>
        <v>4.7789999999999999</v>
      </c>
      <c r="M281" s="10">
        <f t="shared" si="49"/>
        <v>4.9240000000000004</v>
      </c>
      <c r="N281" s="10">
        <f t="shared" si="49"/>
        <v>4.8230000000000004</v>
      </c>
      <c r="O281" s="10">
        <f t="shared" si="49"/>
        <v>3.6080000000000001</v>
      </c>
      <c r="P281" s="10">
        <f t="shared" si="49"/>
        <v>3.5739999999999998</v>
      </c>
      <c r="Q281" s="10">
        <f t="shared" si="49"/>
        <v>4.3490000000000002</v>
      </c>
      <c r="R281" s="10">
        <f t="shared" si="49"/>
        <v>3.823</v>
      </c>
      <c r="S281" s="10">
        <f t="shared" si="49"/>
        <v>3.9540000000000002</v>
      </c>
      <c r="T281" s="10">
        <f t="shared" si="49"/>
        <v>2.5419999999999998</v>
      </c>
      <c r="U281" s="10">
        <f t="shared" si="49"/>
        <v>4.149</v>
      </c>
      <c r="V281" s="10">
        <f t="shared" si="49"/>
        <v>4.1470000000000002</v>
      </c>
      <c r="W281" s="10">
        <f t="shared" si="49"/>
        <v>2.5920000000000001</v>
      </c>
      <c r="X281" s="10">
        <f t="shared" si="49"/>
        <v>4.6319999999999997</v>
      </c>
      <c r="Y281" s="10">
        <f t="shared" si="49"/>
        <v>3.27</v>
      </c>
      <c r="Z281" s="10">
        <f t="shared" si="49"/>
        <v>0</v>
      </c>
      <c r="AA281" s="10">
        <f t="shared" si="49"/>
        <v>4.2640000000000002</v>
      </c>
      <c r="AB281" s="10">
        <f t="shared" si="49"/>
        <v>4.4400000000000004</v>
      </c>
      <c r="AC281" s="10">
        <f t="shared" si="49"/>
        <v>3.29</v>
      </c>
      <c r="AD281" s="10">
        <f t="shared" si="49"/>
        <v>3.4140000000000001</v>
      </c>
      <c r="AE281" s="10">
        <f t="shared" si="49"/>
        <v>3.8650000000000002</v>
      </c>
      <c r="AF281" s="10">
        <f t="shared" si="49"/>
        <v>0</v>
      </c>
    </row>
    <row r="282" spans="1:32">
      <c r="A282" s="10" t="s">
        <v>342</v>
      </c>
      <c r="B282" s="61" t="s">
        <v>285</v>
      </c>
      <c r="C282" s="10">
        <f t="shared" si="50"/>
        <v>4.968</v>
      </c>
      <c r="D282" s="10">
        <f t="shared" si="49"/>
        <v>3.8860000000000001</v>
      </c>
      <c r="E282" s="10">
        <f t="shared" si="49"/>
        <v>3.3879999999999999</v>
      </c>
      <c r="F282" s="10">
        <f t="shared" si="49"/>
        <v>0</v>
      </c>
      <c r="G282" s="10">
        <f t="shared" si="49"/>
        <v>3.972</v>
      </c>
      <c r="H282" s="10">
        <f t="shared" si="49"/>
        <v>3.5510000000000002</v>
      </c>
      <c r="I282" s="10">
        <f t="shared" si="49"/>
        <v>3.0659999999999998</v>
      </c>
      <c r="J282" s="10">
        <f t="shared" si="49"/>
        <v>0</v>
      </c>
      <c r="K282" s="10">
        <f t="shared" si="49"/>
        <v>3.895</v>
      </c>
      <c r="L282" s="10">
        <f t="shared" si="49"/>
        <v>0</v>
      </c>
      <c r="M282" s="10">
        <f t="shared" si="49"/>
        <v>4.3650000000000002</v>
      </c>
      <c r="N282" s="10">
        <f t="shared" si="49"/>
        <v>0</v>
      </c>
      <c r="O282" s="10">
        <f t="shared" si="49"/>
        <v>4.3600000000000003</v>
      </c>
      <c r="P282" s="10">
        <f t="shared" si="49"/>
        <v>4.1890000000000001</v>
      </c>
      <c r="Q282" s="10">
        <f t="shared" si="49"/>
        <v>4.2480000000000002</v>
      </c>
      <c r="R282" s="10">
        <f t="shared" si="49"/>
        <v>4.593</v>
      </c>
      <c r="S282" s="10">
        <f t="shared" si="49"/>
        <v>3.72</v>
      </c>
      <c r="T282" s="10">
        <f t="shared" si="49"/>
        <v>3.476</v>
      </c>
      <c r="U282" s="10">
        <f t="shared" si="49"/>
        <v>3.802</v>
      </c>
      <c r="V282" s="10">
        <f t="shared" si="49"/>
        <v>0</v>
      </c>
      <c r="W282" s="10">
        <f t="shared" si="49"/>
        <v>2.9809999999999999</v>
      </c>
      <c r="X282" s="10">
        <f t="shared" si="49"/>
        <v>3.403</v>
      </c>
      <c r="Y282" s="10">
        <f t="shared" si="49"/>
        <v>3.4910000000000001</v>
      </c>
      <c r="Z282" s="10">
        <f t="shared" si="49"/>
        <v>0</v>
      </c>
      <c r="AA282" s="10">
        <f t="shared" si="49"/>
        <v>4.6680000000000001</v>
      </c>
      <c r="AB282" s="10">
        <f t="shared" si="49"/>
        <v>2.7160000000000002</v>
      </c>
      <c r="AC282" s="10">
        <f t="shared" si="49"/>
        <v>4.149</v>
      </c>
      <c r="AD282" s="10">
        <f t="shared" si="49"/>
        <v>3.9769999999999999</v>
      </c>
      <c r="AE282" s="10">
        <f t="shared" si="49"/>
        <v>3.68</v>
      </c>
      <c r="AF282" s="10">
        <f t="shared" si="49"/>
        <v>0</v>
      </c>
    </row>
    <row r="283" spans="1:32">
      <c r="A283" s="10" t="s">
        <v>342</v>
      </c>
      <c r="B283" s="61" t="s">
        <v>308</v>
      </c>
      <c r="C283" s="10">
        <f t="shared" si="50"/>
        <v>0</v>
      </c>
      <c r="D283" s="10">
        <f t="shared" si="49"/>
        <v>0</v>
      </c>
      <c r="E283" s="10">
        <f t="shared" si="49"/>
        <v>0</v>
      </c>
      <c r="F283" s="10">
        <f t="shared" si="49"/>
        <v>0</v>
      </c>
      <c r="G283" s="10">
        <f t="shared" si="49"/>
        <v>0</v>
      </c>
      <c r="H283" s="10">
        <f t="shared" si="49"/>
        <v>4.2210000000000001</v>
      </c>
      <c r="I283" s="10">
        <f t="shared" si="49"/>
        <v>4.3419999999999996</v>
      </c>
      <c r="J283" s="10">
        <f t="shared" si="49"/>
        <v>3.895</v>
      </c>
      <c r="K283" s="10">
        <f t="shared" si="49"/>
        <v>0</v>
      </c>
      <c r="L283" s="10">
        <f t="shared" si="49"/>
        <v>0</v>
      </c>
      <c r="M283" s="10">
        <f t="shared" si="49"/>
        <v>3.2989999999999999</v>
      </c>
      <c r="N283" s="10">
        <f t="shared" si="49"/>
        <v>0</v>
      </c>
      <c r="O283" s="10">
        <f t="shared" si="49"/>
        <v>0</v>
      </c>
      <c r="P283" s="10">
        <f t="shared" si="49"/>
        <v>0</v>
      </c>
      <c r="Q283" s="10">
        <f t="shared" si="49"/>
        <v>0</v>
      </c>
      <c r="R283" s="10">
        <f t="shared" si="49"/>
        <v>0</v>
      </c>
      <c r="S283" s="10">
        <f t="shared" si="49"/>
        <v>2.673</v>
      </c>
      <c r="T283" s="10">
        <f t="shared" si="49"/>
        <v>0</v>
      </c>
      <c r="U283" s="10">
        <f t="shared" si="49"/>
        <v>2.077</v>
      </c>
      <c r="V283" s="10">
        <f t="shared" si="49"/>
        <v>0</v>
      </c>
      <c r="W283" s="10">
        <f t="shared" si="49"/>
        <v>0</v>
      </c>
      <c r="X283" s="10">
        <f t="shared" si="49"/>
        <v>3.7410000000000001</v>
      </c>
      <c r="Y283" s="10">
        <f t="shared" si="49"/>
        <v>3.637</v>
      </c>
      <c r="Z283" s="10">
        <f t="shared" si="49"/>
        <v>0</v>
      </c>
      <c r="AA283" s="10">
        <f t="shared" si="49"/>
        <v>0</v>
      </c>
      <c r="AB283" s="10">
        <f t="shared" si="49"/>
        <v>3.327</v>
      </c>
      <c r="AC283" s="10">
        <f t="shared" si="49"/>
        <v>0</v>
      </c>
      <c r="AD283" s="10">
        <f t="shared" si="49"/>
        <v>4.1970000000000001</v>
      </c>
      <c r="AE283" s="10">
        <f t="shared" si="49"/>
        <v>0</v>
      </c>
      <c r="AF283" s="10">
        <f t="shared" si="49"/>
        <v>0</v>
      </c>
    </row>
    <row r="284" spans="1:32">
      <c r="A284" s="10" t="s">
        <v>342</v>
      </c>
      <c r="B284" s="61" t="s">
        <v>286</v>
      </c>
      <c r="C284" s="10">
        <f t="shared" si="50"/>
        <v>2.1720000000000002</v>
      </c>
      <c r="D284" s="10">
        <f t="shared" si="49"/>
        <v>4.7969999999999997</v>
      </c>
      <c r="E284" s="10">
        <f t="shared" si="49"/>
        <v>4.4020000000000001</v>
      </c>
      <c r="F284" s="10">
        <f t="shared" si="49"/>
        <v>0</v>
      </c>
      <c r="G284" s="10">
        <f t="shared" si="49"/>
        <v>4.2350000000000003</v>
      </c>
      <c r="H284" s="10">
        <f t="shared" si="49"/>
        <v>0</v>
      </c>
      <c r="I284" s="10">
        <f t="shared" si="49"/>
        <v>4.7789999999999999</v>
      </c>
      <c r="J284" s="10">
        <f t="shared" si="49"/>
        <v>0</v>
      </c>
      <c r="K284" s="10">
        <f t="shared" si="49"/>
        <v>0</v>
      </c>
      <c r="L284" s="10">
        <f t="shared" si="49"/>
        <v>0</v>
      </c>
      <c r="M284" s="10">
        <f t="shared" si="49"/>
        <v>0</v>
      </c>
      <c r="N284" s="10">
        <f t="shared" si="49"/>
        <v>0</v>
      </c>
      <c r="O284" s="10">
        <f t="shared" si="49"/>
        <v>4.8940000000000001</v>
      </c>
      <c r="P284" s="10">
        <f t="shared" si="49"/>
        <v>0</v>
      </c>
      <c r="Q284" s="10">
        <f t="shared" si="49"/>
        <v>4.601</v>
      </c>
      <c r="R284" s="10">
        <f t="shared" si="49"/>
        <v>4.423</v>
      </c>
      <c r="S284" s="10">
        <f t="shared" si="49"/>
        <v>0</v>
      </c>
      <c r="T284" s="10">
        <f t="shared" si="49"/>
        <v>4.3780000000000001</v>
      </c>
      <c r="U284" s="10">
        <f t="shared" si="49"/>
        <v>0</v>
      </c>
      <c r="V284" s="10">
        <f t="shared" si="49"/>
        <v>0</v>
      </c>
      <c r="W284" s="10">
        <f t="shared" si="49"/>
        <v>4.6429999999999998</v>
      </c>
      <c r="X284" s="10">
        <f t="shared" si="49"/>
        <v>0</v>
      </c>
      <c r="Y284" s="10">
        <f t="shared" si="49"/>
        <v>0</v>
      </c>
      <c r="Z284" s="10">
        <f t="shared" si="49"/>
        <v>2.774</v>
      </c>
      <c r="AA284" s="10">
        <f t="shared" si="49"/>
        <v>0</v>
      </c>
      <c r="AB284" s="10">
        <f t="shared" si="49"/>
        <v>0</v>
      </c>
      <c r="AC284" s="10">
        <f t="shared" si="49"/>
        <v>4.7880000000000003</v>
      </c>
      <c r="AD284" s="10">
        <f t="shared" si="49"/>
        <v>0</v>
      </c>
      <c r="AE284" s="10">
        <f t="shared" si="49"/>
        <v>4.6879999999999997</v>
      </c>
      <c r="AF284" s="10">
        <f t="shared" si="49"/>
        <v>0</v>
      </c>
    </row>
    <row r="285" spans="1:32">
      <c r="A285" s="10" t="s">
        <v>342</v>
      </c>
      <c r="B285" s="61" t="s">
        <v>287</v>
      </c>
      <c r="C285" s="10">
        <f t="shared" si="50"/>
        <v>0</v>
      </c>
      <c r="D285" s="10">
        <f t="shared" si="49"/>
        <v>0</v>
      </c>
      <c r="E285" s="10">
        <f t="shared" si="49"/>
        <v>0</v>
      </c>
      <c r="F285" s="10">
        <f t="shared" si="49"/>
        <v>0</v>
      </c>
      <c r="G285" s="10">
        <f t="shared" si="49"/>
        <v>0</v>
      </c>
      <c r="H285" s="10">
        <f t="shared" si="49"/>
        <v>0</v>
      </c>
      <c r="I285" s="10">
        <f t="shared" si="49"/>
        <v>4.9240000000000004</v>
      </c>
      <c r="J285" s="10">
        <f t="shared" si="49"/>
        <v>4.3650000000000002</v>
      </c>
      <c r="K285" s="10">
        <f t="shared" si="49"/>
        <v>3.2989999999999999</v>
      </c>
      <c r="L285" s="10">
        <f t="shared" si="49"/>
        <v>0</v>
      </c>
      <c r="M285" s="10">
        <f t="shared" ref="D285:AF294" si="51">ROUND((EXP(7.032824+1*0.622482)*((M15/1.852)^ 0.40303))/(1.15*0.0059)/1000000,3)</f>
        <v>0</v>
      </c>
      <c r="N285" s="10">
        <f t="shared" si="51"/>
        <v>0</v>
      </c>
      <c r="O285" s="10">
        <f t="shared" si="51"/>
        <v>0</v>
      </c>
      <c r="P285" s="10">
        <f t="shared" si="51"/>
        <v>0</v>
      </c>
      <c r="Q285" s="10">
        <f t="shared" si="51"/>
        <v>0</v>
      </c>
      <c r="R285" s="10">
        <f t="shared" si="51"/>
        <v>0</v>
      </c>
      <c r="S285" s="10">
        <f t="shared" si="51"/>
        <v>3.9710000000000001</v>
      </c>
      <c r="T285" s="10">
        <f t="shared" si="51"/>
        <v>0</v>
      </c>
      <c r="U285" s="10">
        <f t="shared" si="51"/>
        <v>3.6840000000000002</v>
      </c>
      <c r="V285" s="10">
        <f t="shared" si="51"/>
        <v>0</v>
      </c>
      <c r="W285" s="10">
        <f t="shared" si="51"/>
        <v>0</v>
      </c>
      <c r="X285" s="10">
        <f t="shared" si="51"/>
        <v>3.9289999999999998</v>
      </c>
      <c r="Y285" s="10">
        <f t="shared" si="51"/>
        <v>4.54</v>
      </c>
      <c r="Z285" s="10">
        <f t="shared" si="51"/>
        <v>0</v>
      </c>
      <c r="AA285" s="10">
        <f t="shared" si="51"/>
        <v>0</v>
      </c>
      <c r="AB285" s="10">
        <f t="shared" si="51"/>
        <v>2.9860000000000002</v>
      </c>
      <c r="AC285" s="10">
        <f t="shared" si="51"/>
        <v>0</v>
      </c>
      <c r="AD285" s="10">
        <f t="shared" si="51"/>
        <v>0</v>
      </c>
      <c r="AE285" s="10">
        <f t="shared" si="51"/>
        <v>0</v>
      </c>
      <c r="AF285" s="10">
        <f t="shared" si="51"/>
        <v>0</v>
      </c>
    </row>
    <row r="286" spans="1:32">
      <c r="A286" s="10" t="s">
        <v>342</v>
      </c>
      <c r="B286" s="61" t="s">
        <v>288</v>
      </c>
      <c r="C286" s="10">
        <f t="shared" si="50"/>
        <v>0</v>
      </c>
      <c r="D286" s="10">
        <f t="shared" si="51"/>
        <v>4.58</v>
      </c>
      <c r="E286" s="10">
        <f t="shared" si="51"/>
        <v>2.419</v>
      </c>
      <c r="F286" s="10">
        <f t="shared" si="51"/>
        <v>0</v>
      </c>
      <c r="G286" s="10">
        <f t="shared" si="51"/>
        <v>2.5739999999999998</v>
      </c>
      <c r="H286" s="10">
        <f t="shared" si="51"/>
        <v>4.7850000000000001</v>
      </c>
      <c r="I286" s="10">
        <f t="shared" si="51"/>
        <v>2.972</v>
      </c>
      <c r="J286" s="10">
        <f t="shared" si="51"/>
        <v>4.968</v>
      </c>
      <c r="K286" s="10">
        <f t="shared" si="51"/>
        <v>0</v>
      </c>
      <c r="L286" s="10">
        <f t="shared" si="51"/>
        <v>2.1720000000000002</v>
      </c>
      <c r="M286" s="10">
        <f t="shared" si="51"/>
        <v>0</v>
      </c>
      <c r="N286" s="10">
        <f t="shared" si="51"/>
        <v>5.4</v>
      </c>
      <c r="O286" s="10">
        <f t="shared" si="51"/>
        <v>4.7220000000000004</v>
      </c>
      <c r="P286" s="10">
        <f t="shared" si="51"/>
        <v>5.0220000000000002</v>
      </c>
      <c r="Q286" s="10">
        <f t="shared" si="51"/>
        <v>4.3470000000000004</v>
      </c>
      <c r="R286" s="10">
        <f t="shared" si="51"/>
        <v>3.9289999999999998</v>
      </c>
      <c r="S286" s="10">
        <f t="shared" si="51"/>
        <v>0</v>
      </c>
      <c r="T286" s="10">
        <f t="shared" si="51"/>
        <v>4.0640000000000001</v>
      </c>
      <c r="U286" s="10">
        <f t="shared" si="51"/>
        <v>0</v>
      </c>
      <c r="V286" s="10">
        <f t="shared" si="51"/>
        <v>4.99</v>
      </c>
      <c r="W286" s="10">
        <f t="shared" si="51"/>
        <v>4.3479999999999999</v>
      </c>
      <c r="X286" s="10">
        <f t="shared" si="51"/>
        <v>5.8659999999999997</v>
      </c>
      <c r="Y286" s="10">
        <f t="shared" si="51"/>
        <v>5.1959999999999997</v>
      </c>
      <c r="Z286" s="10">
        <f t="shared" si="51"/>
        <v>3.1120000000000001</v>
      </c>
      <c r="AA286" s="10">
        <f t="shared" si="51"/>
        <v>5.4509999999999996</v>
      </c>
      <c r="AB286" s="10">
        <f t="shared" si="51"/>
        <v>5.7960000000000003</v>
      </c>
      <c r="AC286" s="10">
        <f t="shared" si="51"/>
        <v>4.5919999999999996</v>
      </c>
      <c r="AD286" s="10">
        <f t="shared" si="51"/>
        <v>5.0670000000000002</v>
      </c>
      <c r="AE286" s="10">
        <f t="shared" si="51"/>
        <v>3.198</v>
      </c>
      <c r="AF286" s="10">
        <f t="shared" si="51"/>
        <v>0</v>
      </c>
    </row>
    <row r="287" spans="1:32">
      <c r="A287" s="10" t="s">
        <v>342</v>
      </c>
      <c r="B287" s="61" t="s">
        <v>289</v>
      </c>
      <c r="C287" s="10">
        <f t="shared" si="50"/>
        <v>5.4</v>
      </c>
      <c r="D287" s="10">
        <f t="shared" si="51"/>
        <v>4.2119999999999997</v>
      </c>
      <c r="E287" s="10">
        <f t="shared" si="51"/>
        <v>0</v>
      </c>
      <c r="F287" s="10">
        <f t="shared" si="51"/>
        <v>2.8580000000000001</v>
      </c>
      <c r="G287" s="10">
        <f t="shared" si="51"/>
        <v>0</v>
      </c>
      <c r="H287" s="10">
        <f t="shared" si="51"/>
        <v>4.4139999999999997</v>
      </c>
      <c r="I287" s="10">
        <f t="shared" si="51"/>
        <v>4.8230000000000004</v>
      </c>
      <c r="J287" s="10">
        <f t="shared" si="51"/>
        <v>0</v>
      </c>
      <c r="K287" s="10">
        <f t="shared" si="51"/>
        <v>0</v>
      </c>
      <c r="L287" s="10">
        <f t="shared" si="51"/>
        <v>0</v>
      </c>
      <c r="M287" s="10">
        <f t="shared" si="51"/>
        <v>0</v>
      </c>
      <c r="N287" s="10">
        <f t="shared" si="51"/>
        <v>0</v>
      </c>
      <c r="O287" s="10">
        <f t="shared" si="51"/>
        <v>3.698</v>
      </c>
      <c r="P287" s="10">
        <f t="shared" si="51"/>
        <v>3.8450000000000002</v>
      </c>
      <c r="Q287" s="10">
        <f t="shared" si="51"/>
        <v>0</v>
      </c>
      <c r="R287" s="10">
        <f t="shared" si="51"/>
        <v>3.9409999999999998</v>
      </c>
      <c r="S287" s="10">
        <f t="shared" si="51"/>
        <v>0</v>
      </c>
      <c r="T287" s="10">
        <f t="shared" si="51"/>
        <v>0</v>
      </c>
      <c r="U287" s="10">
        <f t="shared" si="51"/>
        <v>0</v>
      </c>
      <c r="V287" s="10">
        <f t="shared" si="51"/>
        <v>3.0219999999999998</v>
      </c>
      <c r="W287" s="10">
        <f t="shared" si="51"/>
        <v>0</v>
      </c>
      <c r="X287" s="10">
        <f t="shared" si="51"/>
        <v>0</v>
      </c>
      <c r="Y287" s="10">
        <f t="shared" si="51"/>
        <v>4.6020000000000003</v>
      </c>
      <c r="Z287" s="10">
        <f t="shared" si="51"/>
        <v>0</v>
      </c>
      <c r="AA287" s="10">
        <f t="shared" si="51"/>
        <v>3.5409999999999999</v>
      </c>
      <c r="AB287" s="10">
        <f t="shared" si="51"/>
        <v>0</v>
      </c>
      <c r="AC287" s="10">
        <f t="shared" si="51"/>
        <v>3.9790000000000001</v>
      </c>
      <c r="AD287" s="10">
        <f t="shared" si="51"/>
        <v>4.0979999999999999</v>
      </c>
      <c r="AE287" s="10">
        <f t="shared" si="51"/>
        <v>0</v>
      </c>
      <c r="AF287" s="10">
        <f t="shared" si="51"/>
        <v>3.7120000000000002</v>
      </c>
    </row>
    <row r="288" spans="1:32">
      <c r="A288" s="10" t="s">
        <v>342</v>
      </c>
      <c r="B288" s="61" t="s">
        <v>290</v>
      </c>
      <c r="C288" s="10">
        <f t="shared" si="50"/>
        <v>4.7220000000000004</v>
      </c>
      <c r="D288" s="10">
        <f t="shared" si="51"/>
        <v>2.52</v>
      </c>
      <c r="E288" s="10">
        <f t="shared" si="51"/>
        <v>4.0460000000000003</v>
      </c>
      <c r="F288" s="10">
        <f t="shared" si="51"/>
        <v>3.5049999999999999</v>
      </c>
      <c r="G288" s="10">
        <f t="shared" si="51"/>
        <v>3.3290000000000002</v>
      </c>
      <c r="H288" s="10">
        <f t="shared" si="51"/>
        <v>3.0390000000000001</v>
      </c>
      <c r="I288" s="10">
        <f t="shared" si="51"/>
        <v>3.6080000000000001</v>
      </c>
      <c r="J288" s="10">
        <f t="shared" si="51"/>
        <v>4.3600000000000003</v>
      </c>
      <c r="K288" s="10">
        <f t="shared" si="51"/>
        <v>0</v>
      </c>
      <c r="L288" s="10">
        <f t="shared" si="51"/>
        <v>4.8940000000000001</v>
      </c>
      <c r="M288" s="10">
        <f t="shared" si="51"/>
        <v>0</v>
      </c>
      <c r="N288" s="10">
        <f t="shared" si="51"/>
        <v>3.698</v>
      </c>
      <c r="O288" s="10">
        <f t="shared" si="51"/>
        <v>0</v>
      </c>
      <c r="P288" s="10">
        <f t="shared" si="51"/>
        <v>2.5179999999999998</v>
      </c>
      <c r="Q288" s="10">
        <f t="shared" si="51"/>
        <v>0</v>
      </c>
      <c r="R288" s="10">
        <f t="shared" si="51"/>
        <v>2.7909999999999999</v>
      </c>
      <c r="S288" s="10">
        <f t="shared" si="51"/>
        <v>4.3170000000000002</v>
      </c>
      <c r="T288" s="10">
        <f t="shared" si="51"/>
        <v>3.83</v>
      </c>
      <c r="U288" s="10">
        <f t="shared" si="51"/>
        <v>0</v>
      </c>
      <c r="V288" s="10">
        <f t="shared" si="51"/>
        <v>2.5409999999999999</v>
      </c>
      <c r="W288" s="10">
        <f t="shared" si="51"/>
        <v>4.1269999999999998</v>
      </c>
      <c r="X288" s="10">
        <f t="shared" si="51"/>
        <v>0</v>
      </c>
      <c r="Y288" s="10">
        <f t="shared" si="51"/>
        <v>3.6240000000000001</v>
      </c>
      <c r="Z288" s="10">
        <f t="shared" si="51"/>
        <v>0</v>
      </c>
      <c r="AA288" s="10">
        <f t="shared" si="51"/>
        <v>3.3580000000000001</v>
      </c>
      <c r="AB288" s="10">
        <f t="shared" si="51"/>
        <v>5.1689999999999996</v>
      </c>
      <c r="AC288" s="10">
        <f t="shared" si="51"/>
        <v>1.9330000000000001</v>
      </c>
      <c r="AD288" s="10">
        <f t="shared" si="51"/>
        <v>2.9</v>
      </c>
      <c r="AE288" s="10">
        <f t="shared" si="51"/>
        <v>0</v>
      </c>
      <c r="AF288" s="10">
        <f t="shared" si="51"/>
        <v>0</v>
      </c>
    </row>
    <row r="289" spans="1:32">
      <c r="A289" s="10" t="s">
        <v>342</v>
      </c>
      <c r="B289" s="61" t="s">
        <v>291</v>
      </c>
      <c r="C289" s="10">
        <f t="shared" si="50"/>
        <v>5.0220000000000002</v>
      </c>
      <c r="D289" s="10">
        <f t="shared" si="51"/>
        <v>2.718</v>
      </c>
      <c r="E289" s="10">
        <f t="shared" si="51"/>
        <v>4.1509999999999998</v>
      </c>
      <c r="F289" s="10">
        <f t="shared" si="51"/>
        <v>3.3460000000000001</v>
      </c>
      <c r="G289" s="10">
        <f t="shared" si="51"/>
        <v>3.6819999999999999</v>
      </c>
      <c r="H289" s="10">
        <f t="shared" si="51"/>
        <v>2.7589999999999999</v>
      </c>
      <c r="I289" s="10">
        <f t="shared" si="51"/>
        <v>3.5739999999999998</v>
      </c>
      <c r="J289" s="10">
        <f t="shared" si="51"/>
        <v>4.1890000000000001</v>
      </c>
      <c r="K289" s="10">
        <f t="shared" si="51"/>
        <v>0</v>
      </c>
      <c r="L289" s="10">
        <f t="shared" si="51"/>
        <v>0</v>
      </c>
      <c r="M289" s="10">
        <f t="shared" si="51"/>
        <v>0</v>
      </c>
      <c r="N289" s="10">
        <f t="shared" si="51"/>
        <v>3.8450000000000002</v>
      </c>
      <c r="O289" s="10">
        <f t="shared" si="51"/>
        <v>2.5179999999999998</v>
      </c>
      <c r="P289" s="10">
        <f t="shared" si="51"/>
        <v>0</v>
      </c>
      <c r="Q289" s="10">
        <f t="shared" si="51"/>
        <v>0</v>
      </c>
      <c r="R289" s="10">
        <f t="shared" si="51"/>
        <v>3.5089999999999999</v>
      </c>
      <c r="S289" s="10">
        <f t="shared" si="51"/>
        <v>3.867</v>
      </c>
      <c r="T289" s="10">
        <f t="shared" si="51"/>
        <v>3.9689999999999999</v>
      </c>
      <c r="U289" s="10">
        <f t="shared" si="51"/>
        <v>4.1449999999999996</v>
      </c>
      <c r="V289" s="10">
        <f t="shared" si="51"/>
        <v>2.9390000000000001</v>
      </c>
      <c r="W289" s="10">
        <f t="shared" si="51"/>
        <v>4.149</v>
      </c>
      <c r="X289" s="10">
        <f t="shared" si="51"/>
        <v>0</v>
      </c>
      <c r="Y289" s="10">
        <f t="shared" si="51"/>
        <v>3.0920000000000001</v>
      </c>
      <c r="Z289" s="10">
        <f t="shared" si="51"/>
        <v>0</v>
      </c>
      <c r="AA289" s="10">
        <f t="shared" si="51"/>
        <v>2.8540000000000001</v>
      </c>
      <c r="AB289" s="10">
        <f t="shared" si="51"/>
        <v>4.9189999999999996</v>
      </c>
      <c r="AC289" s="10">
        <f t="shared" si="51"/>
        <v>2.6320000000000001</v>
      </c>
      <c r="AD289" s="10">
        <f t="shared" si="51"/>
        <v>1.931</v>
      </c>
      <c r="AE289" s="10">
        <f t="shared" si="51"/>
        <v>0</v>
      </c>
      <c r="AF289" s="10">
        <f t="shared" si="51"/>
        <v>0</v>
      </c>
    </row>
    <row r="290" spans="1:32">
      <c r="A290" s="10" t="s">
        <v>342</v>
      </c>
      <c r="B290" s="61" t="s">
        <v>292</v>
      </c>
      <c r="C290" s="10">
        <f t="shared" si="50"/>
        <v>4.3470000000000004</v>
      </c>
      <c r="D290" s="10">
        <f t="shared" si="51"/>
        <v>0</v>
      </c>
      <c r="E290" s="10">
        <f t="shared" si="51"/>
        <v>3.806</v>
      </c>
      <c r="F290" s="10">
        <f t="shared" si="51"/>
        <v>0</v>
      </c>
      <c r="G290" s="10">
        <f t="shared" si="51"/>
        <v>0</v>
      </c>
      <c r="H290" s="10">
        <f t="shared" si="51"/>
        <v>0</v>
      </c>
      <c r="I290" s="10">
        <f t="shared" si="51"/>
        <v>4.3490000000000002</v>
      </c>
      <c r="J290" s="10">
        <f t="shared" si="51"/>
        <v>4.2480000000000002</v>
      </c>
      <c r="K290" s="10">
        <f t="shared" si="51"/>
        <v>0</v>
      </c>
      <c r="L290" s="10">
        <f t="shared" si="51"/>
        <v>4.601</v>
      </c>
      <c r="M290" s="10">
        <f t="shared" si="51"/>
        <v>0</v>
      </c>
      <c r="N290" s="10">
        <f t="shared" si="51"/>
        <v>0</v>
      </c>
      <c r="O290" s="10">
        <f t="shared" si="51"/>
        <v>0</v>
      </c>
      <c r="P290" s="10">
        <f t="shared" si="51"/>
        <v>0</v>
      </c>
      <c r="Q290" s="10">
        <f t="shared" si="51"/>
        <v>0</v>
      </c>
      <c r="R290" s="10">
        <f t="shared" si="51"/>
        <v>0</v>
      </c>
      <c r="S290" s="10">
        <f t="shared" si="51"/>
        <v>0</v>
      </c>
      <c r="T290" s="10">
        <f t="shared" si="51"/>
        <v>4.0179999999999998</v>
      </c>
      <c r="U290" s="10">
        <f t="shared" si="51"/>
        <v>0</v>
      </c>
      <c r="V290" s="10">
        <f t="shared" si="51"/>
        <v>0</v>
      </c>
      <c r="W290" s="10">
        <f t="shared" si="51"/>
        <v>3.82</v>
      </c>
      <c r="X290" s="10">
        <f t="shared" si="51"/>
        <v>4.9580000000000002</v>
      </c>
      <c r="Y290" s="10">
        <f t="shared" si="51"/>
        <v>0</v>
      </c>
      <c r="Z290" s="10">
        <f t="shared" si="51"/>
        <v>0</v>
      </c>
      <c r="AA290" s="10">
        <f t="shared" si="51"/>
        <v>0</v>
      </c>
      <c r="AB290" s="10">
        <f t="shared" si="51"/>
        <v>0</v>
      </c>
      <c r="AC290" s="10">
        <f t="shared" si="51"/>
        <v>0</v>
      </c>
      <c r="AD290" s="10">
        <f t="shared" si="51"/>
        <v>0</v>
      </c>
      <c r="AE290" s="10">
        <f t="shared" si="51"/>
        <v>2.6139999999999999</v>
      </c>
      <c r="AF290" s="10">
        <f t="shared" si="51"/>
        <v>0</v>
      </c>
    </row>
    <row r="291" spans="1:32">
      <c r="A291" s="10" t="s">
        <v>342</v>
      </c>
      <c r="B291" s="61" t="s">
        <v>293</v>
      </c>
      <c r="C291" s="10">
        <f t="shared" si="50"/>
        <v>3.9289999999999998</v>
      </c>
      <c r="D291" s="10">
        <f t="shared" si="51"/>
        <v>3.105</v>
      </c>
      <c r="E291" s="10">
        <f t="shared" si="51"/>
        <v>3.992</v>
      </c>
      <c r="F291" s="10">
        <f t="shared" si="51"/>
        <v>4.0460000000000003</v>
      </c>
      <c r="G291" s="10">
        <f t="shared" si="51"/>
        <v>3.0649999999999999</v>
      </c>
      <c r="H291" s="10">
        <f t="shared" si="51"/>
        <v>3.6139999999999999</v>
      </c>
      <c r="I291" s="10">
        <f t="shared" si="51"/>
        <v>3.823</v>
      </c>
      <c r="J291" s="10">
        <f t="shared" si="51"/>
        <v>4.593</v>
      </c>
      <c r="K291" s="10">
        <f t="shared" si="51"/>
        <v>0</v>
      </c>
      <c r="L291" s="10">
        <f t="shared" si="51"/>
        <v>4.423</v>
      </c>
      <c r="M291" s="10">
        <f t="shared" si="51"/>
        <v>0</v>
      </c>
      <c r="N291" s="10">
        <f t="shared" si="51"/>
        <v>3.9409999999999998</v>
      </c>
      <c r="O291" s="10">
        <f t="shared" si="51"/>
        <v>2.7909999999999999</v>
      </c>
      <c r="P291" s="10">
        <f t="shared" si="51"/>
        <v>3.5089999999999999</v>
      </c>
      <c r="Q291" s="10">
        <f t="shared" si="51"/>
        <v>0</v>
      </c>
      <c r="R291" s="10">
        <f t="shared" si="51"/>
        <v>0</v>
      </c>
      <c r="S291" s="10">
        <f t="shared" si="51"/>
        <v>0</v>
      </c>
      <c r="T291" s="10">
        <f t="shared" si="51"/>
        <v>3.7709999999999999</v>
      </c>
      <c r="U291" s="10">
        <f t="shared" si="51"/>
        <v>0</v>
      </c>
      <c r="V291" s="10">
        <f t="shared" si="51"/>
        <v>3.169</v>
      </c>
      <c r="W291" s="10">
        <f t="shared" si="51"/>
        <v>4.173</v>
      </c>
      <c r="X291" s="10">
        <f t="shared" si="51"/>
        <v>0</v>
      </c>
      <c r="Y291" s="10">
        <f t="shared" si="51"/>
        <v>4.1929999999999996</v>
      </c>
      <c r="Z291" s="10">
        <f t="shared" si="51"/>
        <v>0</v>
      </c>
      <c r="AA291" s="10">
        <f t="shared" si="51"/>
        <v>4.0570000000000004</v>
      </c>
      <c r="AB291" s="10">
        <f t="shared" si="51"/>
        <v>5.444</v>
      </c>
      <c r="AC291" s="10">
        <f t="shared" si="51"/>
        <v>2.7959999999999998</v>
      </c>
      <c r="AD291" s="10">
        <f t="shared" si="51"/>
        <v>3.722</v>
      </c>
      <c r="AE291" s="10">
        <f t="shared" si="51"/>
        <v>4.8360000000000003</v>
      </c>
      <c r="AF291" s="10">
        <f t="shared" si="51"/>
        <v>0</v>
      </c>
    </row>
    <row r="292" spans="1:32">
      <c r="A292" s="10" t="s">
        <v>342</v>
      </c>
      <c r="B292" s="61" t="s">
        <v>309</v>
      </c>
      <c r="C292" s="10">
        <f t="shared" si="50"/>
        <v>0</v>
      </c>
      <c r="D292" s="10">
        <f t="shared" si="51"/>
        <v>4.0759999999999996</v>
      </c>
      <c r="E292" s="10">
        <f t="shared" si="51"/>
        <v>0</v>
      </c>
      <c r="F292" s="10">
        <f t="shared" si="51"/>
        <v>0</v>
      </c>
      <c r="G292" s="10">
        <f t="shared" si="51"/>
        <v>0</v>
      </c>
      <c r="H292" s="10">
        <f t="shared" si="51"/>
        <v>3.6819999999999999</v>
      </c>
      <c r="I292" s="10">
        <f t="shared" si="51"/>
        <v>3.9540000000000002</v>
      </c>
      <c r="J292" s="10">
        <f t="shared" si="51"/>
        <v>3.72</v>
      </c>
      <c r="K292" s="10">
        <f t="shared" si="51"/>
        <v>2.673</v>
      </c>
      <c r="L292" s="10">
        <f t="shared" si="51"/>
        <v>0</v>
      </c>
      <c r="M292" s="10">
        <f t="shared" si="51"/>
        <v>3.9710000000000001</v>
      </c>
      <c r="N292" s="10">
        <f t="shared" si="51"/>
        <v>0</v>
      </c>
      <c r="O292" s="10">
        <f t="shared" si="51"/>
        <v>4.3170000000000002</v>
      </c>
      <c r="P292" s="10">
        <f t="shared" si="51"/>
        <v>3.867</v>
      </c>
      <c r="Q292" s="10">
        <f t="shared" si="51"/>
        <v>0</v>
      </c>
      <c r="R292" s="10">
        <f t="shared" si="51"/>
        <v>0</v>
      </c>
      <c r="S292" s="10">
        <f t="shared" si="51"/>
        <v>0</v>
      </c>
      <c r="T292" s="10">
        <f t="shared" si="51"/>
        <v>0</v>
      </c>
      <c r="U292" s="10">
        <f t="shared" si="51"/>
        <v>1.9710000000000001</v>
      </c>
      <c r="V292" s="10">
        <f t="shared" si="51"/>
        <v>0</v>
      </c>
      <c r="W292" s="10">
        <f t="shared" si="51"/>
        <v>4.2990000000000004</v>
      </c>
      <c r="X292" s="10">
        <f t="shared" si="51"/>
        <v>4.1619999999999999</v>
      </c>
      <c r="Y292" s="10">
        <f t="shared" si="51"/>
        <v>2.8849999999999998</v>
      </c>
      <c r="Z292" s="10">
        <f t="shared" si="51"/>
        <v>0</v>
      </c>
      <c r="AA292" s="10">
        <f t="shared" si="51"/>
        <v>4.0220000000000002</v>
      </c>
      <c r="AB292" s="10">
        <f t="shared" si="51"/>
        <v>3.8050000000000002</v>
      </c>
      <c r="AC292" s="10">
        <f t="shared" si="51"/>
        <v>4.2389999999999999</v>
      </c>
      <c r="AD292" s="10">
        <f t="shared" si="51"/>
        <v>3.5859999999999999</v>
      </c>
      <c r="AE292" s="10">
        <f t="shared" si="51"/>
        <v>0</v>
      </c>
      <c r="AF292" s="10">
        <f t="shared" si="51"/>
        <v>0</v>
      </c>
    </row>
    <row r="293" spans="1:32">
      <c r="A293" s="10" t="s">
        <v>342</v>
      </c>
      <c r="B293" s="61" t="s">
        <v>294</v>
      </c>
      <c r="C293" s="10">
        <f t="shared" ref="C293:C305" si="52">ROUND((EXP(7.032824+1*0.622482)*((C23/1.852)^ 0.40303))/(1.15*0.0059)/1000000,3)</f>
        <v>4.0640000000000001</v>
      </c>
      <c r="D293" s="10">
        <f t="shared" si="51"/>
        <v>3.2829999999999999</v>
      </c>
      <c r="E293" s="10">
        <f t="shared" si="51"/>
        <v>1.7809999999999999</v>
      </c>
      <c r="F293" s="10">
        <f t="shared" si="51"/>
        <v>0</v>
      </c>
      <c r="G293" s="10">
        <f t="shared" si="51"/>
        <v>2.6240000000000001</v>
      </c>
      <c r="H293" s="10">
        <f t="shared" si="51"/>
        <v>3.3340000000000001</v>
      </c>
      <c r="I293" s="10">
        <f t="shared" si="51"/>
        <v>2.5419999999999998</v>
      </c>
      <c r="J293" s="10">
        <f t="shared" si="51"/>
        <v>3.476</v>
      </c>
      <c r="K293" s="10">
        <f t="shared" si="51"/>
        <v>0</v>
      </c>
      <c r="L293" s="10">
        <f t="shared" si="51"/>
        <v>4.3780000000000001</v>
      </c>
      <c r="M293" s="10">
        <f t="shared" si="51"/>
        <v>0</v>
      </c>
      <c r="N293" s="10">
        <f t="shared" si="51"/>
        <v>0</v>
      </c>
      <c r="O293" s="10">
        <f t="shared" si="51"/>
        <v>3.83</v>
      </c>
      <c r="P293" s="10">
        <f t="shared" si="51"/>
        <v>3.9689999999999999</v>
      </c>
      <c r="Q293" s="10">
        <f t="shared" si="51"/>
        <v>4.0179999999999998</v>
      </c>
      <c r="R293" s="10">
        <f t="shared" si="51"/>
        <v>3.7709999999999999</v>
      </c>
      <c r="S293" s="10">
        <f t="shared" si="51"/>
        <v>0</v>
      </c>
      <c r="T293" s="10">
        <f t="shared" si="51"/>
        <v>0</v>
      </c>
      <c r="U293" s="10">
        <f t="shared" si="51"/>
        <v>0</v>
      </c>
      <c r="V293" s="10">
        <f t="shared" si="51"/>
        <v>0</v>
      </c>
      <c r="W293" s="10">
        <f t="shared" si="51"/>
        <v>2.351</v>
      </c>
      <c r="X293" s="10">
        <f t="shared" si="51"/>
        <v>4.87</v>
      </c>
      <c r="Y293" s="10">
        <f t="shared" si="51"/>
        <v>3.8809999999999998</v>
      </c>
      <c r="Z293" s="10">
        <f t="shared" si="51"/>
        <v>0</v>
      </c>
      <c r="AA293" s="10">
        <f t="shared" si="51"/>
        <v>0</v>
      </c>
      <c r="AB293" s="10">
        <f t="shared" si="51"/>
        <v>4.7320000000000002</v>
      </c>
      <c r="AC293" s="10">
        <f t="shared" si="51"/>
        <v>3.532</v>
      </c>
      <c r="AD293" s="10">
        <f t="shared" si="51"/>
        <v>3.899</v>
      </c>
      <c r="AE293" s="10">
        <f t="shared" si="51"/>
        <v>3.5659999999999998</v>
      </c>
      <c r="AF293" s="10">
        <f t="shared" si="51"/>
        <v>0</v>
      </c>
    </row>
    <row r="294" spans="1:32">
      <c r="A294" s="10" t="s">
        <v>342</v>
      </c>
      <c r="B294" s="61" t="s">
        <v>310</v>
      </c>
      <c r="C294" s="10">
        <f t="shared" si="52"/>
        <v>0</v>
      </c>
      <c r="D294" s="10">
        <f t="shared" si="51"/>
        <v>4.319</v>
      </c>
      <c r="E294" s="10">
        <f t="shared" si="51"/>
        <v>0</v>
      </c>
      <c r="F294" s="10">
        <f t="shared" si="51"/>
        <v>0</v>
      </c>
      <c r="G294" s="10">
        <f t="shared" ref="D294:AF302" si="53">ROUND((EXP(7.032824+1*0.622482)*((G24/1.852)^ 0.40303))/(1.15*0.0059)/1000000,3)</f>
        <v>0</v>
      </c>
      <c r="H294" s="10">
        <f t="shared" si="53"/>
        <v>3.9550000000000001</v>
      </c>
      <c r="I294" s="10">
        <f t="shared" si="53"/>
        <v>4.149</v>
      </c>
      <c r="J294" s="10">
        <f t="shared" si="53"/>
        <v>3.802</v>
      </c>
      <c r="K294" s="10">
        <f t="shared" si="53"/>
        <v>2.077</v>
      </c>
      <c r="L294" s="10">
        <f t="shared" si="53"/>
        <v>0</v>
      </c>
      <c r="M294" s="10">
        <f t="shared" si="53"/>
        <v>3.6840000000000002</v>
      </c>
      <c r="N294" s="10">
        <f t="shared" si="53"/>
        <v>0</v>
      </c>
      <c r="O294" s="10">
        <f t="shared" si="53"/>
        <v>0</v>
      </c>
      <c r="P294" s="10">
        <f t="shared" si="53"/>
        <v>4.1449999999999996</v>
      </c>
      <c r="Q294" s="10">
        <f t="shared" si="53"/>
        <v>0</v>
      </c>
      <c r="R294" s="10">
        <f t="shared" si="53"/>
        <v>0</v>
      </c>
      <c r="S294" s="10">
        <f t="shared" si="53"/>
        <v>1.9710000000000001</v>
      </c>
      <c r="T294" s="10">
        <f t="shared" si="53"/>
        <v>0</v>
      </c>
      <c r="U294" s="10">
        <f t="shared" si="53"/>
        <v>0</v>
      </c>
      <c r="V294" s="10">
        <f t="shared" si="53"/>
        <v>0</v>
      </c>
      <c r="W294" s="10">
        <f t="shared" si="53"/>
        <v>4.4279999999999999</v>
      </c>
      <c r="X294" s="10">
        <f t="shared" si="53"/>
        <v>3.9790000000000001</v>
      </c>
      <c r="Y294" s="10">
        <f t="shared" si="53"/>
        <v>3.2749999999999999</v>
      </c>
      <c r="Z294" s="10">
        <f t="shared" si="53"/>
        <v>0</v>
      </c>
      <c r="AA294" s="10">
        <f t="shared" si="53"/>
        <v>4.2649999999999997</v>
      </c>
      <c r="AB294" s="10">
        <f t="shared" si="53"/>
        <v>3.5950000000000002</v>
      </c>
      <c r="AC294" s="10">
        <f t="shared" si="53"/>
        <v>0</v>
      </c>
      <c r="AD294" s="10">
        <f t="shared" si="53"/>
        <v>3.8929999999999998</v>
      </c>
      <c r="AE294" s="10">
        <f t="shared" si="53"/>
        <v>0</v>
      </c>
      <c r="AF294" s="10">
        <f t="shared" si="53"/>
        <v>0</v>
      </c>
    </row>
    <row r="295" spans="1:32">
      <c r="A295" s="10" t="s">
        <v>342</v>
      </c>
      <c r="B295" s="61" t="s">
        <v>297</v>
      </c>
      <c r="C295" s="10">
        <f t="shared" si="52"/>
        <v>4.3479999999999999</v>
      </c>
      <c r="D295" s="10">
        <f t="shared" si="53"/>
        <v>3.5990000000000002</v>
      </c>
      <c r="E295" s="10">
        <f t="shared" si="53"/>
        <v>2.0209999999999999</v>
      </c>
      <c r="F295" s="10">
        <f t="shared" si="53"/>
        <v>0</v>
      </c>
      <c r="G295" s="10">
        <f t="shared" si="53"/>
        <v>3.278</v>
      </c>
      <c r="H295" s="10">
        <f t="shared" si="53"/>
        <v>3.4780000000000002</v>
      </c>
      <c r="I295" s="10">
        <f t="shared" si="53"/>
        <v>2.5920000000000001</v>
      </c>
      <c r="J295" s="10">
        <f t="shared" si="53"/>
        <v>2.9809999999999999</v>
      </c>
      <c r="K295" s="10">
        <f t="shared" si="53"/>
        <v>0</v>
      </c>
      <c r="L295" s="10">
        <f t="shared" si="53"/>
        <v>4.6429999999999998</v>
      </c>
      <c r="M295" s="10">
        <f t="shared" si="53"/>
        <v>0</v>
      </c>
      <c r="N295" s="10">
        <f t="shared" si="53"/>
        <v>0</v>
      </c>
      <c r="O295" s="10">
        <f t="shared" si="53"/>
        <v>4.1269999999999998</v>
      </c>
      <c r="P295" s="10">
        <f t="shared" si="53"/>
        <v>4.149</v>
      </c>
      <c r="Q295" s="10">
        <f t="shared" si="53"/>
        <v>3.82</v>
      </c>
      <c r="R295" s="10">
        <f t="shared" si="53"/>
        <v>4.173</v>
      </c>
      <c r="S295" s="10">
        <f t="shared" si="53"/>
        <v>4.2990000000000004</v>
      </c>
      <c r="T295" s="10">
        <f t="shared" si="53"/>
        <v>2.351</v>
      </c>
      <c r="U295" s="10">
        <f t="shared" si="53"/>
        <v>4.4279999999999999</v>
      </c>
      <c r="V295" s="10">
        <f t="shared" si="53"/>
        <v>0</v>
      </c>
      <c r="W295" s="10">
        <f t="shared" si="53"/>
        <v>0</v>
      </c>
      <c r="X295" s="10">
        <f t="shared" si="53"/>
        <v>4.5570000000000004</v>
      </c>
      <c r="Y295" s="10">
        <f t="shared" si="53"/>
        <v>3.8380000000000001</v>
      </c>
      <c r="Z295" s="10">
        <f t="shared" si="53"/>
        <v>0</v>
      </c>
      <c r="AA295" s="10">
        <f t="shared" si="53"/>
        <v>0</v>
      </c>
      <c r="AB295" s="10">
        <f t="shared" si="53"/>
        <v>4.4260000000000002</v>
      </c>
      <c r="AC295" s="10">
        <f t="shared" si="53"/>
        <v>3.8620000000000001</v>
      </c>
      <c r="AD295" s="10">
        <f t="shared" si="53"/>
        <v>4.024</v>
      </c>
      <c r="AE295" s="10">
        <f t="shared" si="53"/>
        <v>3.2069999999999999</v>
      </c>
      <c r="AF295" s="10">
        <f t="shared" si="53"/>
        <v>0</v>
      </c>
    </row>
    <row r="296" spans="1:32">
      <c r="A296" s="10" t="s">
        <v>342</v>
      </c>
      <c r="B296" s="61" t="s">
        <v>298</v>
      </c>
      <c r="C296" s="10">
        <f t="shared" si="52"/>
        <v>5.8659999999999997</v>
      </c>
      <c r="D296" s="10">
        <f t="shared" si="53"/>
        <v>0</v>
      </c>
      <c r="E296" s="10">
        <f t="shared" si="53"/>
        <v>4.7919999999999998</v>
      </c>
      <c r="F296" s="10">
        <f t="shared" si="53"/>
        <v>0</v>
      </c>
      <c r="G296" s="10">
        <f t="shared" si="53"/>
        <v>0</v>
      </c>
      <c r="H296" s="10">
        <f t="shared" si="53"/>
        <v>4.7990000000000004</v>
      </c>
      <c r="I296" s="10">
        <f t="shared" si="53"/>
        <v>4.6319999999999997</v>
      </c>
      <c r="J296" s="10">
        <f t="shared" si="53"/>
        <v>3.403</v>
      </c>
      <c r="K296" s="10">
        <f t="shared" si="53"/>
        <v>3.7410000000000001</v>
      </c>
      <c r="L296" s="10">
        <f t="shared" si="53"/>
        <v>0</v>
      </c>
      <c r="M296" s="10">
        <f t="shared" si="53"/>
        <v>3.9289999999999998</v>
      </c>
      <c r="N296" s="10">
        <f t="shared" si="53"/>
        <v>0</v>
      </c>
      <c r="O296" s="10">
        <f t="shared" si="53"/>
        <v>0</v>
      </c>
      <c r="P296" s="10">
        <f t="shared" si="53"/>
        <v>0</v>
      </c>
      <c r="Q296" s="10">
        <f t="shared" si="53"/>
        <v>4.9580000000000002</v>
      </c>
      <c r="R296" s="10">
        <f t="shared" si="53"/>
        <v>0</v>
      </c>
      <c r="S296" s="10">
        <f t="shared" si="53"/>
        <v>4.1619999999999999</v>
      </c>
      <c r="T296" s="10">
        <f t="shared" si="53"/>
        <v>4.87</v>
      </c>
      <c r="U296" s="10">
        <f t="shared" si="53"/>
        <v>3.9790000000000001</v>
      </c>
      <c r="V296" s="10">
        <f t="shared" si="53"/>
        <v>0</v>
      </c>
      <c r="W296" s="10">
        <f t="shared" si="53"/>
        <v>4.5570000000000004</v>
      </c>
      <c r="X296" s="10">
        <f t="shared" si="53"/>
        <v>0</v>
      </c>
      <c r="Y296" s="10">
        <f t="shared" si="53"/>
        <v>4.5110000000000001</v>
      </c>
      <c r="Z296" s="10">
        <f t="shared" si="53"/>
        <v>0</v>
      </c>
      <c r="AA296" s="10">
        <f t="shared" si="53"/>
        <v>0</v>
      </c>
      <c r="AB296" s="10">
        <f t="shared" si="53"/>
        <v>2.1739999999999999</v>
      </c>
      <c r="AC296" s="10">
        <f t="shared" si="53"/>
        <v>0</v>
      </c>
      <c r="AD296" s="10">
        <f t="shared" si="53"/>
        <v>0</v>
      </c>
      <c r="AE296" s="10">
        <f t="shared" si="53"/>
        <v>4.617</v>
      </c>
      <c r="AF296" s="10">
        <f t="shared" si="53"/>
        <v>0</v>
      </c>
    </row>
    <row r="297" spans="1:32">
      <c r="A297" s="10" t="s">
        <v>342</v>
      </c>
      <c r="B297" s="61" t="s">
        <v>357</v>
      </c>
      <c r="C297" s="10">
        <f t="shared" si="52"/>
        <v>4.99</v>
      </c>
      <c r="D297" s="10">
        <f t="shared" si="53"/>
        <v>3.3380000000000001</v>
      </c>
      <c r="E297" s="10">
        <f t="shared" si="53"/>
        <v>0</v>
      </c>
      <c r="F297" s="10">
        <f t="shared" si="53"/>
        <v>2.9460000000000002</v>
      </c>
      <c r="G297" s="10">
        <f t="shared" si="53"/>
        <v>3.895</v>
      </c>
      <c r="H297" s="10">
        <f t="shared" si="53"/>
        <v>3.6440000000000001</v>
      </c>
      <c r="I297" s="10">
        <f t="shared" si="53"/>
        <v>4.1470000000000002</v>
      </c>
      <c r="J297" s="10">
        <f t="shared" si="53"/>
        <v>0</v>
      </c>
      <c r="K297" s="10">
        <f t="shared" si="53"/>
        <v>0</v>
      </c>
      <c r="L297" s="10">
        <f t="shared" si="53"/>
        <v>0</v>
      </c>
      <c r="M297" s="10">
        <f t="shared" si="53"/>
        <v>0</v>
      </c>
      <c r="N297" s="10">
        <f t="shared" si="53"/>
        <v>3.0219999999999998</v>
      </c>
      <c r="O297" s="10">
        <f t="shared" si="53"/>
        <v>2.5409999999999999</v>
      </c>
      <c r="P297" s="10">
        <f t="shared" si="53"/>
        <v>2.9390000000000001</v>
      </c>
      <c r="Q297" s="10">
        <f t="shared" si="53"/>
        <v>0</v>
      </c>
      <c r="R297" s="10">
        <f t="shared" si="53"/>
        <v>3.169</v>
      </c>
      <c r="S297" s="10">
        <f t="shared" si="53"/>
        <v>0</v>
      </c>
      <c r="T297" s="10">
        <f t="shared" si="53"/>
        <v>0</v>
      </c>
      <c r="U297" s="10">
        <f t="shared" si="53"/>
        <v>0</v>
      </c>
      <c r="V297" s="10">
        <f t="shared" si="53"/>
        <v>0</v>
      </c>
      <c r="W297" s="10">
        <f t="shared" si="53"/>
        <v>0</v>
      </c>
      <c r="X297" s="10">
        <f t="shared" si="53"/>
        <v>0</v>
      </c>
      <c r="Y297" s="10">
        <f t="shared" si="53"/>
        <v>3.9889999999999999</v>
      </c>
      <c r="Z297" s="10">
        <f t="shared" si="53"/>
        <v>0</v>
      </c>
      <c r="AA297" s="10">
        <f t="shared" si="53"/>
        <v>3.1309999999999998</v>
      </c>
      <c r="AB297" s="10">
        <f t="shared" si="53"/>
        <v>0</v>
      </c>
      <c r="AC297" s="10">
        <f t="shared" si="53"/>
        <v>2.9980000000000002</v>
      </c>
      <c r="AD297" s="10">
        <f t="shared" si="53"/>
        <v>3.32</v>
      </c>
      <c r="AE297" s="10">
        <f t="shared" si="53"/>
        <v>0</v>
      </c>
      <c r="AF297" s="10">
        <f t="shared" si="53"/>
        <v>0</v>
      </c>
    </row>
    <row r="298" spans="1:32">
      <c r="A298" s="10" t="s">
        <v>342</v>
      </c>
      <c r="B298" s="61" t="s">
        <v>299</v>
      </c>
      <c r="C298" s="10">
        <f t="shared" si="52"/>
        <v>5.1959999999999997</v>
      </c>
      <c r="D298" s="10">
        <f t="shared" si="53"/>
        <v>3.2629999999999999</v>
      </c>
      <c r="E298" s="10">
        <f t="shared" si="53"/>
        <v>3.988</v>
      </c>
      <c r="F298" s="10">
        <f t="shared" si="53"/>
        <v>4.1269999999999998</v>
      </c>
      <c r="G298" s="10">
        <f t="shared" si="53"/>
        <v>3.9319999999999999</v>
      </c>
      <c r="H298" s="10">
        <f t="shared" si="53"/>
        <v>2.6890000000000001</v>
      </c>
      <c r="I298" s="10">
        <f t="shared" si="53"/>
        <v>3.27</v>
      </c>
      <c r="J298" s="10">
        <f t="shared" si="53"/>
        <v>3.4910000000000001</v>
      </c>
      <c r="K298" s="10">
        <f t="shared" si="53"/>
        <v>3.637</v>
      </c>
      <c r="L298" s="10">
        <f t="shared" si="53"/>
        <v>0</v>
      </c>
      <c r="M298" s="10">
        <f t="shared" si="53"/>
        <v>4.54</v>
      </c>
      <c r="N298" s="10">
        <f t="shared" si="53"/>
        <v>4.6020000000000003</v>
      </c>
      <c r="O298" s="10">
        <f t="shared" si="53"/>
        <v>3.6240000000000001</v>
      </c>
      <c r="P298" s="10">
        <f t="shared" si="53"/>
        <v>3.0920000000000001</v>
      </c>
      <c r="Q298" s="10">
        <f t="shared" si="53"/>
        <v>0</v>
      </c>
      <c r="R298" s="10">
        <f t="shared" si="53"/>
        <v>4.1929999999999996</v>
      </c>
      <c r="S298" s="10">
        <f t="shared" si="53"/>
        <v>2.8849999999999998</v>
      </c>
      <c r="T298" s="10">
        <f t="shared" si="53"/>
        <v>3.8809999999999998</v>
      </c>
      <c r="U298" s="10">
        <f t="shared" si="53"/>
        <v>3.2749999999999999</v>
      </c>
      <c r="V298" s="10">
        <f t="shared" si="53"/>
        <v>3.9889999999999999</v>
      </c>
      <c r="W298" s="10">
        <f t="shared" si="53"/>
        <v>3.8380000000000001</v>
      </c>
      <c r="X298" s="10">
        <f t="shared" si="53"/>
        <v>4.5110000000000001</v>
      </c>
      <c r="Y298" s="10">
        <f t="shared" si="53"/>
        <v>0</v>
      </c>
      <c r="Z298" s="10">
        <f t="shared" si="53"/>
        <v>0</v>
      </c>
      <c r="AA298" s="10">
        <f t="shared" si="53"/>
        <v>3.6080000000000001</v>
      </c>
      <c r="AB298" s="10">
        <f t="shared" si="53"/>
        <v>4.2240000000000002</v>
      </c>
      <c r="AC298" s="10">
        <f t="shared" si="53"/>
        <v>3.4929999999999999</v>
      </c>
      <c r="AD298" s="10">
        <f t="shared" si="53"/>
        <v>2.661</v>
      </c>
      <c r="AE298" s="10">
        <f t="shared" si="53"/>
        <v>4.63</v>
      </c>
      <c r="AF298" s="10">
        <f t="shared" si="53"/>
        <v>0</v>
      </c>
    </row>
    <row r="299" spans="1:32">
      <c r="A299" s="10" t="s">
        <v>342</v>
      </c>
      <c r="B299" s="61" t="s">
        <v>300</v>
      </c>
      <c r="C299" s="10">
        <f t="shared" si="52"/>
        <v>3.1120000000000001</v>
      </c>
      <c r="D299" s="10">
        <f t="shared" si="53"/>
        <v>0</v>
      </c>
      <c r="E299" s="10">
        <f t="shared" si="53"/>
        <v>0</v>
      </c>
      <c r="F299" s="10">
        <f t="shared" si="53"/>
        <v>0</v>
      </c>
      <c r="G299" s="10">
        <f t="shared" si="53"/>
        <v>0</v>
      </c>
      <c r="H299" s="10">
        <f t="shared" si="53"/>
        <v>0</v>
      </c>
      <c r="I299" s="10">
        <f t="shared" si="53"/>
        <v>0</v>
      </c>
      <c r="J299" s="10">
        <f t="shared" si="53"/>
        <v>0</v>
      </c>
      <c r="K299" s="10">
        <f t="shared" si="53"/>
        <v>0</v>
      </c>
      <c r="L299" s="10">
        <f t="shared" si="53"/>
        <v>2.774</v>
      </c>
      <c r="M299" s="10">
        <f t="shared" si="53"/>
        <v>0</v>
      </c>
      <c r="N299" s="10">
        <f t="shared" si="53"/>
        <v>0</v>
      </c>
      <c r="O299" s="10">
        <f t="shared" si="53"/>
        <v>0</v>
      </c>
      <c r="P299" s="10">
        <f t="shared" si="53"/>
        <v>0</v>
      </c>
      <c r="Q299" s="10">
        <f t="shared" si="53"/>
        <v>0</v>
      </c>
      <c r="R299" s="10">
        <f t="shared" si="53"/>
        <v>0</v>
      </c>
      <c r="S299" s="10">
        <f t="shared" si="53"/>
        <v>0</v>
      </c>
      <c r="T299" s="10">
        <f t="shared" si="53"/>
        <v>0</v>
      </c>
      <c r="U299" s="10">
        <f t="shared" si="53"/>
        <v>0</v>
      </c>
      <c r="V299" s="10">
        <f t="shared" si="53"/>
        <v>0</v>
      </c>
      <c r="W299" s="10">
        <f t="shared" si="53"/>
        <v>0</v>
      </c>
      <c r="X299" s="10">
        <f t="shared" si="53"/>
        <v>0</v>
      </c>
      <c r="Y299" s="10">
        <f t="shared" si="53"/>
        <v>0</v>
      </c>
      <c r="Z299" s="10">
        <f t="shared" si="53"/>
        <v>0</v>
      </c>
      <c r="AA299" s="10">
        <f t="shared" si="53"/>
        <v>0</v>
      </c>
      <c r="AB299" s="10">
        <f t="shared" si="53"/>
        <v>0</v>
      </c>
      <c r="AC299" s="10">
        <f t="shared" si="53"/>
        <v>0</v>
      </c>
      <c r="AD299" s="10">
        <f t="shared" si="53"/>
        <v>0</v>
      </c>
      <c r="AE299" s="10">
        <f t="shared" si="53"/>
        <v>4.835</v>
      </c>
      <c r="AF299" s="10">
        <f t="shared" si="53"/>
        <v>0</v>
      </c>
    </row>
    <row r="300" spans="1:32">
      <c r="A300" s="10" t="s">
        <v>342</v>
      </c>
      <c r="B300" s="61" t="s">
        <v>301</v>
      </c>
      <c r="C300" s="10">
        <f t="shared" si="52"/>
        <v>5.4509999999999996</v>
      </c>
      <c r="D300" s="10">
        <f t="shared" si="53"/>
        <v>3.6819999999999999</v>
      </c>
      <c r="E300" s="10">
        <f t="shared" si="53"/>
        <v>0</v>
      </c>
      <c r="F300" s="10">
        <f t="shared" si="53"/>
        <v>2.5529999999999999</v>
      </c>
      <c r="G300" s="10">
        <f t="shared" si="53"/>
        <v>4.3570000000000002</v>
      </c>
      <c r="H300" s="10">
        <f t="shared" si="53"/>
        <v>3.6669999999999998</v>
      </c>
      <c r="I300" s="10">
        <f t="shared" si="53"/>
        <v>4.2640000000000002</v>
      </c>
      <c r="J300" s="10">
        <f t="shared" si="53"/>
        <v>4.6680000000000001</v>
      </c>
      <c r="K300" s="10">
        <f t="shared" si="53"/>
        <v>0</v>
      </c>
      <c r="L300" s="10">
        <f t="shared" si="53"/>
        <v>0</v>
      </c>
      <c r="M300" s="10">
        <f t="shared" si="53"/>
        <v>0</v>
      </c>
      <c r="N300" s="10">
        <f t="shared" si="53"/>
        <v>3.5409999999999999</v>
      </c>
      <c r="O300" s="10">
        <f t="shared" si="53"/>
        <v>3.3580000000000001</v>
      </c>
      <c r="P300" s="10">
        <f t="shared" si="53"/>
        <v>2.8540000000000001</v>
      </c>
      <c r="Q300" s="10">
        <f t="shared" si="53"/>
        <v>0</v>
      </c>
      <c r="R300" s="10">
        <f t="shared" si="53"/>
        <v>4.0570000000000004</v>
      </c>
      <c r="S300" s="10">
        <f t="shared" si="53"/>
        <v>4.0220000000000002</v>
      </c>
      <c r="T300" s="10">
        <f t="shared" si="53"/>
        <v>0</v>
      </c>
      <c r="U300" s="10">
        <f t="shared" si="53"/>
        <v>4.2649999999999997</v>
      </c>
      <c r="V300" s="10">
        <f t="shared" si="53"/>
        <v>3.1309999999999998</v>
      </c>
      <c r="W300" s="10">
        <f t="shared" si="53"/>
        <v>0</v>
      </c>
      <c r="X300" s="10">
        <f t="shared" si="53"/>
        <v>0</v>
      </c>
      <c r="Y300" s="10">
        <f t="shared" si="53"/>
        <v>3.6080000000000001</v>
      </c>
      <c r="Z300" s="10">
        <f t="shared" si="53"/>
        <v>0</v>
      </c>
      <c r="AA300" s="10">
        <f t="shared" si="53"/>
        <v>0</v>
      </c>
      <c r="AB300" s="10">
        <f t="shared" si="53"/>
        <v>0</v>
      </c>
      <c r="AC300" s="10">
        <f t="shared" si="53"/>
        <v>3.569</v>
      </c>
      <c r="AD300" s="10">
        <f t="shared" si="53"/>
        <v>3.028</v>
      </c>
      <c r="AE300" s="10">
        <f t="shared" si="53"/>
        <v>0</v>
      </c>
      <c r="AF300" s="10">
        <f t="shared" si="53"/>
        <v>3.7639999999999998</v>
      </c>
    </row>
    <row r="301" spans="1:32">
      <c r="A301" s="10" t="s">
        <v>342</v>
      </c>
      <c r="B301" s="61" t="s">
        <v>303</v>
      </c>
      <c r="C301" s="10">
        <f t="shared" si="52"/>
        <v>5.7960000000000003</v>
      </c>
      <c r="D301" s="10">
        <f t="shared" si="53"/>
        <v>4.8650000000000002</v>
      </c>
      <c r="E301" s="10">
        <f t="shared" si="53"/>
        <v>4.6710000000000003</v>
      </c>
      <c r="F301" s="10">
        <f t="shared" si="53"/>
        <v>0</v>
      </c>
      <c r="G301" s="10">
        <f t="shared" si="53"/>
        <v>5.0430000000000001</v>
      </c>
      <c r="H301" s="10">
        <f t="shared" si="53"/>
        <v>4.57</v>
      </c>
      <c r="I301" s="10">
        <f t="shared" si="53"/>
        <v>4.4400000000000004</v>
      </c>
      <c r="J301" s="10">
        <f t="shared" si="53"/>
        <v>2.7160000000000002</v>
      </c>
      <c r="K301" s="10">
        <f t="shared" si="53"/>
        <v>3.327</v>
      </c>
      <c r="L301" s="10">
        <f t="shared" si="53"/>
        <v>0</v>
      </c>
      <c r="M301" s="10">
        <f t="shared" si="53"/>
        <v>2.9860000000000002</v>
      </c>
      <c r="N301" s="10">
        <f t="shared" si="53"/>
        <v>0</v>
      </c>
      <c r="O301" s="10">
        <f t="shared" si="53"/>
        <v>5.1689999999999996</v>
      </c>
      <c r="P301" s="10">
        <f t="shared" si="53"/>
        <v>4.9189999999999996</v>
      </c>
      <c r="Q301" s="10">
        <f t="shared" si="53"/>
        <v>0</v>
      </c>
      <c r="R301" s="10">
        <f t="shared" si="53"/>
        <v>5.444</v>
      </c>
      <c r="S301" s="10">
        <f t="shared" si="53"/>
        <v>3.8050000000000002</v>
      </c>
      <c r="T301" s="10">
        <f t="shared" si="53"/>
        <v>4.7320000000000002</v>
      </c>
      <c r="U301" s="10">
        <f t="shared" si="53"/>
        <v>3.5950000000000002</v>
      </c>
      <c r="V301" s="10">
        <f t="shared" si="53"/>
        <v>0</v>
      </c>
      <c r="W301" s="10">
        <f t="shared" si="53"/>
        <v>4.4260000000000002</v>
      </c>
      <c r="X301" s="10">
        <f t="shared" si="53"/>
        <v>2.1739999999999999</v>
      </c>
      <c r="Y301" s="10">
        <f t="shared" si="53"/>
        <v>4.2240000000000002</v>
      </c>
      <c r="Z301" s="10">
        <f t="shared" si="53"/>
        <v>0</v>
      </c>
      <c r="AA301" s="10">
        <f t="shared" si="53"/>
        <v>0</v>
      </c>
      <c r="AB301" s="10">
        <f t="shared" si="53"/>
        <v>0</v>
      </c>
      <c r="AC301" s="10">
        <f t="shared" si="53"/>
        <v>5.0439999999999996</v>
      </c>
      <c r="AD301" s="10">
        <f t="shared" si="53"/>
        <v>4.7190000000000003</v>
      </c>
      <c r="AE301" s="10">
        <f t="shared" si="53"/>
        <v>4.609</v>
      </c>
      <c r="AF301" s="10">
        <f t="shared" si="53"/>
        <v>0</v>
      </c>
    </row>
    <row r="302" spans="1:32">
      <c r="A302" s="10" t="s">
        <v>342</v>
      </c>
      <c r="B302" s="61" t="s">
        <v>304</v>
      </c>
      <c r="C302" s="10">
        <f t="shared" si="52"/>
        <v>4.5919999999999996</v>
      </c>
      <c r="D302" s="10">
        <f t="shared" si="53"/>
        <v>1.93</v>
      </c>
      <c r="E302" s="10">
        <f t="shared" si="53"/>
        <v>3.7730000000000001</v>
      </c>
      <c r="F302" s="10">
        <f t="shared" si="53"/>
        <v>3.78</v>
      </c>
      <c r="G302" s="10">
        <f t="shared" si="53"/>
        <v>3</v>
      </c>
      <c r="H302" s="10">
        <f t="shared" si="53"/>
        <v>2.7280000000000002</v>
      </c>
      <c r="I302" s="10">
        <f t="shared" si="53"/>
        <v>3.29</v>
      </c>
      <c r="J302" s="10">
        <f t="shared" si="53"/>
        <v>4.149</v>
      </c>
      <c r="K302" s="10">
        <f t="shared" si="53"/>
        <v>0</v>
      </c>
      <c r="L302" s="10">
        <f t="shared" si="53"/>
        <v>4.7880000000000003</v>
      </c>
      <c r="M302" s="10">
        <f t="shared" si="53"/>
        <v>0</v>
      </c>
      <c r="N302" s="10">
        <f t="shared" si="53"/>
        <v>3.9790000000000001</v>
      </c>
      <c r="O302" s="10">
        <f t="shared" si="53"/>
        <v>1.9330000000000001</v>
      </c>
      <c r="P302" s="10">
        <f t="shared" si="53"/>
        <v>2.6320000000000001</v>
      </c>
      <c r="Q302" s="10">
        <f t="shared" si="53"/>
        <v>0</v>
      </c>
      <c r="R302" s="10">
        <f t="shared" si="53"/>
        <v>2.7959999999999998</v>
      </c>
      <c r="S302" s="10">
        <f t="shared" si="53"/>
        <v>4.2389999999999999</v>
      </c>
      <c r="T302" s="10">
        <f t="shared" si="53"/>
        <v>3.532</v>
      </c>
      <c r="U302" s="10">
        <f t="shared" si="53"/>
        <v>0</v>
      </c>
      <c r="V302" s="10">
        <f t="shared" si="53"/>
        <v>2.9980000000000002</v>
      </c>
      <c r="W302" s="10">
        <f t="shared" si="53"/>
        <v>3.8620000000000001</v>
      </c>
      <c r="X302" s="10">
        <f t="shared" si="53"/>
        <v>0</v>
      </c>
      <c r="Y302" s="10">
        <f t="shared" si="53"/>
        <v>3.4929999999999999</v>
      </c>
      <c r="Z302" s="10">
        <f t="shared" si="53"/>
        <v>0</v>
      </c>
      <c r="AA302" s="10">
        <f t="shared" si="53"/>
        <v>3.569</v>
      </c>
      <c r="AB302" s="10">
        <f t="shared" si="53"/>
        <v>5.0439999999999996</v>
      </c>
      <c r="AC302" s="10">
        <f t="shared" si="53"/>
        <v>0</v>
      </c>
      <c r="AD302" s="10">
        <f t="shared" ref="D302:AF305" si="54">ROUND((EXP(7.032824+1*0.622482)*((AD32/1.852)^ 0.40303))/(1.15*0.0059)/1000000,3)</f>
        <v>2.86</v>
      </c>
      <c r="AE302" s="10">
        <f t="shared" si="54"/>
        <v>0</v>
      </c>
      <c r="AF302" s="10">
        <f t="shared" si="54"/>
        <v>0</v>
      </c>
    </row>
    <row r="303" spans="1:32">
      <c r="A303" s="10" t="s">
        <v>342</v>
      </c>
      <c r="B303" s="61" t="s">
        <v>305</v>
      </c>
      <c r="C303" s="10">
        <f t="shared" si="52"/>
        <v>5.0670000000000002</v>
      </c>
      <c r="D303" s="10">
        <f t="shared" si="54"/>
        <v>2.7610000000000001</v>
      </c>
      <c r="E303" s="10">
        <f t="shared" si="54"/>
        <v>4.0679999999999996</v>
      </c>
      <c r="F303" s="10">
        <f t="shared" si="54"/>
        <v>3.5880000000000001</v>
      </c>
      <c r="G303" s="10">
        <f t="shared" si="54"/>
        <v>3.714</v>
      </c>
      <c r="H303" s="10">
        <f t="shared" si="54"/>
        <v>2.4940000000000002</v>
      </c>
      <c r="I303" s="10">
        <f t="shared" si="54"/>
        <v>3.4140000000000001</v>
      </c>
      <c r="J303" s="10">
        <f t="shared" si="54"/>
        <v>3.9769999999999999</v>
      </c>
      <c r="K303" s="10">
        <f t="shared" si="54"/>
        <v>4.1970000000000001</v>
      </c>
      <c r="L303" s="10">
        <f t="shared" si="54"/>
        <v>0</v>
      </c>
      <c r="M303" s="10">
        <f t="shared" si="54"/>
        <v>0</v>
      </c>
      <c r="N303" s="10">
        <f t="shared" si="54"/>
        <v>4.0979999999999999</v>
      </c>
      <c r="O303" s="10">
        <f t="shared" si="54"/>
        <v>2.9</v>
      </c>
      <c r="P303" s="10">
        <f t="shared" si="54"/>
        <v>1.931</v>
      </c>
      <c r="Q303" s="10">
        <f t="shared" si="54"/>
        <v>0</v>
      </c>
      <c r="R303" s="10">
        <f t="shared" si="54"/>
        <v>3.722</v>
      </c>
      <c r="S303" s="10">
        <f t="shared" si="54"/>
        <v>3.5859999999999999</v>
      </c>
      <c r="T303" s="10">
        <f t="shared" si="54"/>
        <v>3.899</v>
      </c>
      <c r="U303" s="10">
        <f t="shared" si="54"/>
        <v>3.8929999999999998</v>
      </c>
      <c r="V303" s="10">
        <f t="shared" si="54"/>
        <v>3.32</v>
      </c>
      <c r="W303" s="10">
        <f t="shared" si="54"/>
        <v>4.024</v>
      </c>
      <c r="X303" s="10">
        <f t="shared" si="54"/>
        <v>0</v>
      </c>
      <c r="Y303" s="10">
        <f t="shared" si="54"/>
        <v>2.661</v>
      </c>
      <c r="Z303" s="10">
        <f t="shared" si="54"/>
        <v>0</v>
      </c>
      <c r="AA303" s="10">
        <f t="shared" si="54"/>
        <v>3.028</v>
      </c>
      <c r="AB303" s="10">
        <f t="shared" si="54"/>
        <v>4.7190000000000003</v>
      </c>
      <c r="AC303" s="10">
        <f t="shared" si="54"/>
        <v>2.86</v>
      </c>
      <c r="AD303" s="10">
        <f t="shared" si="54"/>
        <v>0</v>
      </c>
      <c r="AE303" s="10">
        <f t="shared" si="54"/>
        <v>0</v>
      </c>
      <c r="AF303" s="10">
        <f t="shared" si="54"/>
        <v>0</v>
      </c>
    </row>
    <row r="304" spans="1:32">
      <c r="A304" s="10" t="s">
        <v>342</v>
      </c>
      <c r="B304" s="10" t="s">
        <v>356</v>
      </c>
      <c r="C304" s="10">
        <f t="shared" si="52"/>
        <v>0</v>
      </c>
      <c r="D304" s="10">
        <f t="shared" si="54"/>
        <v>0</v>
      </c>
      <c r="E304" s="10">
        <f t="shared" si="54"/>
        <v>0</v>
      </c>
      <c r="F304" s="10">
        <f t="shared" si="54"/>
        <v>2.7909999999999999</v>
      </c>
      <c r="G304" s="10">
        <f t="shared" si="54"/>
        <v>0</v>
      </c>
      <c r="H304" s="10">
        <f t="shared" si="54"/>
        <v>0</v>
      </c>
      <c r="I304" s="10">
        <f t="shared" si="54"/>
        <v>0</v>
      </c>
      <c r="J304" s="10">
        <f t="shared" si="54"/>
        <v>0</v>
      </c>
      <c r="K304" s="10">
        <f t="shared" si="54"/>
        <v>0</v>
      </c>
      <c r="L304" s="10">
        <f t="shared" si="54"/>
        <v>0</v>
      </c>
      <c r="M304" s="10">
        <f t="shared" si="54"/>
        <v>0</v>
      </c>
      <c r="N304" s="10">
        <f t="shared" si="54"/>
        <v>3.7120000000000002</v>
      </c>
      <c r="O304" s="10">
        <f t="shared" si="54"/>
        <v>0</v>
      </c>
      <c r="P304" s="10">
        <f t="shared" si="54"/>
        <v>0</v>
      </c>
      <c r="Q304" s="10">
        <f t="shared" si="54"/>
        <v>0</v>
      </c>
      <c r="R304" s="10">
        <f t="shared" si="54"/>
        <v>0</v>
      </c>
      <c r="S304" s="10">
        <f t="shared" si="54"/>
        <v>0</v>
      </c>
      <c r="T304" s="10">
        <f t="shared" si="54"/>
        <v>0</v>
      </c>
      <c r="U304" s="10">
        <f t="shared" si="54"/>
        <v>0</v>
      </c>
      <c r="V304" s="10">
        <f t="shared" si="54"/>
        <v>0</v>
      </c>
      <c r="W304" s="10">
        <f t="shared" si="54"/>
        <v>0</v>
      </c>
      <c r="X304" s="10">
        <f t="shared" si="54"/>
        <v>0</v>
      </c>
      <c r="Y304" s="10">
        <f t="shared" si="54"/>
        <v>0</v>
      </c>
      <c r="Z304" s="10">
        <f t="shared" si="54"/>
        <v>0</v>
      </c>
      <c r="AA304" s="10">
        <f t="shared" si="54"/>
        <v>3.7639999999999998</v>
      </c>
      <c r="AB304" s="10">
        <f t="shared" si="54"/>
        <v>0</v>
      </c>
      <c r="AC304" s="10">
        <f t="shared" si="54"/>
        <v>0</v>
      </c>
      <c r="AD304" s="10">
        <f t="shared" si="54"/>
        <v>0</v>
      </c>
      <c r="AE304" s="10">
        <f t="shared" si="54"/>
        <v>0</v>
      </c>
      <c r="AF304" s="10">
        <f t="shared" si="54"/>
        <v>0</v>
      </c>
    </row>
    <row r="305" spans="1:32">
      <c r="A305" s="10" t="s">
        <v>342</v>
      </c>
      <c r="B305" s="61" t="s">
        <v>307</v>
      </c>
      <c r="C305" s="10">
        <f t="shared" si="52"/>
        <v>3.198</v>
      </c>
      <c r="D305" s="10">
        <f t="shared" si="54"/>
        <v>4.4989999999999997</v>
      </c>
      <c r="E305" s="10">
        <f t="shared" si="54"/>
        <v>3.294</v>
      </c>
      <c r="F305" s="10">
        <f t="shared" si="54"/>
        <v>0</v>
      </c>
      <c r="G305" s="10">
        <f t="shared" si="54"/>
        <v>4.1349999999999998</v>
      </c>
      <c r="H305" s="10">
        <f t="shared" si="54"/>
        <v>4.423</v>
      </c>
      <c r="I305" s="10">
        <f t="shared" si="54"/>
        <v>3.8650000000000002</v>
      </c>
      <c r="J305" s="10">
        <f t="shared" si="54"/>
        <v>3.68</v>
      </c>
      <c r="K305" s="10">
        <f t="shared" si="54"/>
        <v>0</v>
      </c>
      <c r="L305" s="10">
        <f t="shared" si="54"/>
        <v>4.6879999999999997</v>
      </c>
      <c r="M305" s="10">
        <f t="shared" si="54"/>
        <v>0</v>
      </c>
      <c r="N305" s="10">
        <f t="shared" si="54"/>
        <v>0</v>
      </c>
      <c r="O305" s="10">
        <f t="shared" si="54"/>
        <v>0</v>
      </c>
      <c r="P305" s="10">
        <f t="shared" si="54"/>
        <v>0</v>
      </c>
      <c r="Q305" s="10">
        <f t="shared" si="54"/>
        <v>2.6139999999999999</v>
      </c>
      <c r="R305" s="10">
        <f t="shared" si="54"/>
        <v>4.8360000000000003</v>
      </c>
      <c r="S305" s="10">
        <f t="shared" si="54"/>
        <v>0</v>
      </c>
      <c r="T305" s="10">
        <f t="shared" si="54"/>
        <v>3.5659999999999998</v>
      </c>
      <c r="U305" s="10">
        <f t="shared" si="54"/>
        <v>0</v>
      </c>
      <c r="V305" s="10">
        <f t="shared" si="54"/>
        <v>0</v>
      </c>
      <c r="W305" s="10">
        <f t="shared" si="54"/>
        <v>3.2069999999999999</v>
      </c>
      <c r="X305" s="10">
        <f t="shared" si="54"/>
        <v>4.617</v>
      </c>
      <c r="Y305" s="10">
        <f t="shared" si="54"/>
        <v>4.63</v>
      </c>
      <c r="Z305" s="10">
        <f t="shared" si="54"/>
        <v>4.835</v>
      </c>
      <c r="AA305" s="10">
        <f t="shared" si="54"/>
        <v>0</v>
      </c>
      <c r="AB305" s="10">
        <f t="shared" si="54"/>
        <v>4.609</v>
      </c>
      <c r="AC305" s="10">
        <f t="shared" si="54"/>
        <v>0</v>
      </c>
      <c r="AD305" s="10">
        <f t="shared" si="54"/>
        <v>0</v>
      </c>
      <c r="AE305" s="10">
        <f t="shared" si="54"/>
        <v>0</v>
      </c>
      <c r="AF305" s="10">
        <f t="shared" si="54"/>
        <v>0</v>
      </c>
    </row>
    <row r="306" spans="1:32">
      <c r="A306" s="10" t="s">
        <v>328</v>
      </c>
      <c r="B306" s="61" t="s">
        <v>278</v>
      </c>
      <c r="C306" s="10">
        <f>ROUND((EXP(7.032824+1*0.622482)*((C6/1.852)^ 0.40303))/(1.15*0.0059)/1000000,3)</f>
        <v>4.58</v>
      </c>
      <c r="D306" s="10">
        <f t="shared" ref="D306:AF315" si="55">ROUND((EXP(7.032824+1*0.622482)*((D6/1.852)^ 0.40303))/(1.15*0.0059)/1000000,3)</f>
        <v>0</v>
      </c>
      <c r="E306" s="10">
        <f t="shared" si="55"/>
        <v>3.5369999999999999</v>
      </c>
      <c r="F306" s="10">
        <f t="shared" si="55"/>
        <v>3.9649999999999999</v>
      </c>
      <c r="G306" s="10">
        <f t="shared" si="55"/>
        <v>2.8639999999999999</v>
      </c>
      <c r="H306" s="10">
        <f t="shared" si="55"/>
        <v>2.2650000000000001</v>
      </c>
      <c r="I306" s="10">
        <f t="shared" si="55"/>
        <v>2.9159999999999999</v>
      </c>
      <c r="J306" s="10">
        <f t="shared" si="55"/>
        <v>3.8860000000000001</v>
      </c>
      <c r="K306" s="10">
        <f t="shared" si="55"/>
        <v>0</v>
      </c>
      <c r="L306" s="10">
        <f t="shared" si="55"/>
        <v>4.7969999999999997</v>
      </c>
      <c r="M306" s="10">
        <f t="shared" si="55"/>
        <v>0</v>
      </c>
      <c r="N306" s="10">
        <f t="shared" si="55"/>
        <v>4.2119999999999997</v>
      </c>
      <c r="O306" s="10">
        <f t="shared" si="55"/>
        <v>2.52</v>
      </c>
      <c r="P306" s="10">
        <f t="shared" si="55"/>
        <v>2.718</v>
      </c>
      <c r="Q306" s="10">
        <f t="shared" si="55"/>
        <v>0</v>
      </c>
      <c r="R306" s="10">
        <f t="shared" si="55"/>
        <v>3.105</v>
      </c>
      <c r="S306" s="10">
        <f t="shared" si="55"/>
        <v>4.0759999999999996</v>
      </c>
      <c r="T306" s="10">
        <f t="shared" si="55"/>
        <v>3.2829999999999999</v>
      </c>
      <c r="U306" s="10">
        <f t="shared" si="55"/>
        <v>4.319</v>
      </c>
      <c r="V306" s="10">
        <f t="shared" si="55"/>
        <v>3.3380000000000001</v>
      </c>
      <c r="W306" s="10">
        <f t="shared" si="55"/>
        <v>3.5990000000000002</v>
      </c>
      <c r="X306" s="10">
        <f t="shared" si="55"/>
        <v>0</v>
      </c>
      <c r="Y306" s="10">
        <f t="shared" si="55"/>
        <v>3.2629999999999999</v>
      </c>
      <c r="Z306" s="10">
        <f t="shared" si="55"/>
        <v>0</v>
      </c>
      <c r="AA306" s="10">
        <f t="shared" si="55"/>
        <v>3.6819999999999999</v>
      </c>
      <c r="AB306" s="10">
        <f t="shared" si="55"/>
        <v>4.8650000000000002</v>
      </c>
      <c r="AC306" s="10">
        <f t="shared" si="55"/>
        <v>1.93</v>
      </c>
      <c r="AD306" s="10">
        <f t="shared" si="55"/>
        <v>2.7610000000000001</v>
      </c>
      <c r="AE306" s="10">
        <f t="shared" si="55"/>
        <v>4.4989999999999997</v>
      </c>
      <c r="AF306" s="10">
        <f t="shared" si="55"/>
        <v>0</v>
      </c>
    </row>
    <row r="307" spans="1:32">
      <c r="A307" s="10" t="s">
        <v>328</v>
      </c>
      <c r="B307" s="61" t="s">
        <v>280</v>
      </c>
      <c r="C307" s="10">
        <f t="shared" ref="C307:R322" si="56">ROUND((EXP(7.032824+1*0.622482)*((C7/1.852)^ 0.40303))/(1.15*0.0059)/1000000,3)</f>
        <v>2.419</v>
      </c>
      <c r="D307" s="10">
        <f t="shared" si="56"/>
        <v>3.5369999999999999</v>
      </c>
      <c r="E307" s="10">
        <f t="shared" si="56"/>
        <v>0</v>
      </c>
      <c r="F307" s="10">
        <f t="shared" si="56"/>
        <v>0</v>
      </c>
      <c r="G307" s="10">
        <f t="shared" si="56"/>
        <v>2.9750000000000001</v>
      </c>
      <c r="H307" s="10">
        <f t="shared" si="56"/>
        <v>3.5329999999999999</v>
      </c>
      <c r="I307" s="10">
        <f t="shared" si="56"/>
        <v>2.734</v>
      </c>
      <c r="J307" s="10">
        <f t="shared" si="56"/>
        <v>3.3879999999999999</v>
      </c>
      <c r="K307" s="10">
        <f t="shared" si="56"/>
        <v>0</v>
      </c>
      <c r="L307" s="10">
        <f t="shared" si="56"/>
        <v>4.4020000000000001</v>
      </c>
      <c r="M307" s="10">
        <f t="shared" si="56"/>
        <v>0</v>
      </c>
      <c r="N307" s="10">
        <f t="shared" si="56"/>
        <v>0</v>
      </c>
      <c r="O307" s="10">
        <f t="shared" si="56"/>
        <v>4.0460000000000003</v>
      </c>
      <c r="P307" s="10">
        <f t="shared" si="56"/>
        <v>4.1509999999999998</v>
      </c>
      <c r="Q307" s="10">
        <f t="shared" si="56"/>
        <v>3.806</v>
      </c>
      <c r="R307" s="10">
        <f t="shared" si="56"/>
        <v>3.992</v>
      </c>
      <c r="S307" s="10">
        <f t="shared" si="55"/>
        <v>0</v>
      </c>
      <c r="T307" s="10">
        <f t="shared" si="55"/>
        <v>1.7809999999999999</v>
      </c>
      <c r="U307" s="10">
        <f t="shared" si="55"/>
        <v>0</v>
      </c>
      <c r="V307" s="10">
        <f t="shared" si="55"/>
        <v>0</v>
      </c>
      <c r="W307" s="10">
        <f t="shared" si="55"/>
        <v>2.0209999999999999</v>
      </c>
      <c r="X307" s="10">
        <f t="shared" si="55"/>
        <v>4.7919999999999998</v>
      </c>
      <c r="Y307" s="10">
        <f t="shared" si="55"/>
        <v>3.988</v>
      </c>
      <c r="Z307" s="10">
        <f t="shared" si="55"/>
        <v>0</v>
      </c>
      <c r="AA307" s="10">
        <f t="shared" si="55"/>
        <v>0</v>
      </c>
      <c r="AB307" s="10">
        <f t="shared" si="55"/>
        <v>4.6710000000000003</v>
      </c>
      <c r="AC307" s="10">
        <f t="shared" si="55"/>
        <v>3.7730000000000001</v>
      </c>
      <c r="AD307" s="10">
        <f t="shared" si="55"/>
        <v>4.0679999999999996</v>
      </c>
      <c r="AE307" s="10">
        <f t="shared" si="55"/>
        <v>3.294</v>
      </c>
      <c r="AF307" s="10">
        <f t="shared" si="55"/>
        <v>0</v>
      </c>
    </row>
    <row r="308" spans="1:32">
      <c r="A308" s="10" t="s">
        <v>328</v>
      </c>
      <c r="B308" s="61" t="s">
        <v>281</v>
      </c>
      <c r="C308" s="10">
        <f t="shared" si="56"/>
        <v>0</v>
      </c>
      <c r="D308" s="10">
        <f t="shared" si="55"/>
        <v>3.9649999999999999</v>
      </c>
      <c r="E308" s="10">
        <f t="shared" si="55"/>
        <v>0</v>
      </c>
      <c r="F308" s="10">
        <f t="shared" si="55"/>
        <v>0</v>
      </c>
      <c r="G308" s="10">
        <f t="shared" si="55"/>
        <v>4.5199999999999996</v>
      </c>
      <c r="H308" s="10">
        <f t="shared" si="55"/>
        <v>4.0640000000000001</v>
      </c>
      <c r="I308" s="10">
        <f t="shared" si="55"/>
        <v>4.5739999999999998</v>
      </c>
      <c r="J308" s="10">
        <f t="shared" si="55"/>
        <v>0</v>
      </c>
      <c r="K308" s="10">
        <f t="shared" si="55"/>
        <v>0</v>
      </c>
      <c r="L308" s="10">
        <f t="shared" si="55"/>
        <v>0</v>
      </c>
      <c r="M308" s="10">
        <f t="shared" si="55"/>
        <v>0</v>
      </c>
      <c r="N308" s="10">
        <f t="shared" si="55"/>
        <v>2.8580000000000001</v>
      </c>
      <c r="O308" s="10">
        <f t="shared" si="55"/>
        <v>3.5049999999999999</v>
      </c>
      <c r="P308" s="10">
        <f t="shared" si="55"/>
        <v>3.3460000000000001</v>
      </c>
      <c r="Q308" s="10">
        <f t="shared" si="55"/>
        <v>0</v>
      </c>
      <c r="R308" s="10">
        <f t="shared" si="55"/>
        <v>4.0460000000000003</v>
      </c>
      <c r="S308" s="10">
        <f t="shared" si="55"/>
        <v>0</v>
      </c>
      <c r="T308" s="10">
        <f t="shared" si="55"/>
        <v>0</v>
      </c>
      <c r="U308" s="10">
        <f t="shared" si="55"/>
        <v>0</v>
      </c>
      <c r="V308" s="10">
        <f t="shared" si="55"/>
        <v>2.9460000000000002</v>
      </c>
      <c r="W308" s="10">
        <f t="shared" si="55"/>
        <v>0</v>
      </c>
      <c r="X308" s="10">
        <f t="shared" si="55"/>
        <v>0</v>
      </c>
      <c r="Y308" s="10">
        <f t="shared" si="55"/>
        <v>4.1269999999999998</v>
      </c>
      <c r="Z308" s="10">
        <f t="shared" si="55"/>
        <v>0</v>
      </c>
      <c r="AA308" s="10">
        <f t="shared" si="55"/>
        <v>2.5529999999999999</v>
      </c>
      <c r="AB308" s="10">
        <f t="shared" si="55"/>
        <v>0</v>
      </c>
      <c r="AC308" s="10">
        <f t="shared" si="55"/>
        <v>3.78</v>
      </c>
      <c r="AD308" s="10">
        <f t="shared" si="55"/>
        <v>3.5880000000000001</v>
      </c>
      <c r="AE308" s="10">
        <f t="shared" si="55"/>
        <v>0</v>
      </c>
      <c r="AF308" s="10">
        <f t="shared" si="55"/>
        <v>2.7909999999999999</v>
      </c>
    </row>
    <row r="309" spans="1:32">
      <c r="A309" s="10" t="s">
        <v>328</v>
      </c>
      <c r="B309" s="61" t="s">
        <v>282</v>
      </c>
      <c r="C309" s="10">
        <f t="shared" si="56"/>
        <v>2.5739999999999998</v>
      </c>
      <c r="D309" s="10">
        <f t="shared" si="55"/>
        <v>2.8639999999999999</v>
      </c>
      <c r="E309" s="10">
        <f t="shared" si="55"/>
        <v>2.9750000000000001</v>
      </c>
      <c r="F309" s="10">
        <f t="shared" si="55"/>
        <v>4.5199999999999996</v>
      </c>
      <c r="G309" s="10">
        <f t="shared" si="55"/>
        <v>0</v>
      </c>
      <c r="H309" s="10">
        <f t="shared" si="55"/>
        <v>3.2410000000000001</v>
      </c>
      <c r="I309" s="10">
        <f t="shared" si="55"/>
        <v>2.9830000000000001</v>
      </c>
      <c r="J309" s="10">
        <f t="shared" si="55"/>
        <v>3.972</v>
      </c>
      <c r="K309" s="10">
        <f t="shared" si="55"/>
        <v>0</v>
      </c>
      <c r="L309" s="10">
        <f t="shared" si="55"/>
        <v>4.2350000000000003</v>
      </c>
      <c r="M309" s="10">
        <f t="shared" si="55"/>
        <v>0</v>
      </c>
      <c r="N309" s="10">
        <f t="shared" si="55"/>
        <v>0</v>
      </c>
      <c r="O309" s="10">
        <f t="shared" si="55"/>
        <v>3.3290000000000002</v>
      </c>
      <c r="P309" s="10">
        <f t="shared" si="55"/>
        <v>3.6819999999999999</v>
      </c>
      <c r="Q309" s="10">
        <f t="shared" si="55"/>
        <v>0</v>
      </c>
      <c r="R309" s="10">
        <f t="shared" si="55"/>
        <v>3.0649999999999999</v>
      </c>
      <c r="S309" s="10">
        <f t="shared" si="55"/>
        <v>0</v>
      </c>
      <c r="T309" s="10">
        <f t="shared" si="55"/>
        <v>2.6240000000000001</v>
      </c>
      <c r="U309" s="10">
        <f t="shared" si="55"/>
        <v>0</v>
      </c>
      <c r="V309" s="10">
        <f t="shared" si="55"/>
        <v>3.895</v>
      </c>
      <c r="W309" s="10">
        <f t="shared" si="55"/>
        <v>3.278</v>
      </c>
      <c r="X309" s="10">
        <f t="shared" si="55"/>
        <v>0</v>
      </c>
      <c r="Y309" s="10">
        <f t="shared" si="55"/>
        <v>3.9319999999999999</v>
      </c>
      <c r="Z309" s="10">
        <f t="shared" si="55"/>
        <v>0</v>
      </c>
      <c r="AA309" s="10">
        <f t="shared" si="55"/>
        <v>4.3570000000000002</v>
      </c>
      <c r="AB309" s="10">
        <f t="shared" si="55"/>
        <v>5.0430000000000001</v>
      </c>
      <c r="AC309" s="10">
        <f t="shared" si="55"/>
        <v>3</v>
      </c>
      <c r="AD309" s="10">
        <f t="shared" si="55"/>
        <v>3.714</v>
      </c>
      <c r="AE309" s="10">
        <f t="shared" si="55"/>
        <v>4.1349999999999998</v>
      </c>
      <c r="AF309" s="10">
        <f t="shared" si="55"/>
        <v>0</v>
      </c>
    </row>
    <row r="310" spans="1:32">
      <c r="A310" s="10" t="s">
        <v>328</v>
      </c>
      <c r="B310" s="61" t="s">
        <v>283</v>
      </c>
      <c r="C310" s="10">
        <f t="shared" si="56"/>
        <v>4.7850000000000001</v>
      </c>
      <c r="D310" s="10">
        <f t="shared" si="55"/>
        <v>2.2650000000000001</v>
      </c>
      <c r="E310" s="10">
        <f t="shared" si="55"/>
        <v>3.5329999999999999</v>
      </c>
      <c r="F310" s="10">
        <f t="shared" si="55"/>
        <v>4.0640000000000001</v>
      </c>
      <c r="G310" s="10">
        <f t="shared" si="55"/>
        <v>3.2410000000000001</v>
      </c>
      <c r="H310" s="10">
        <f t="shared" si="55"/>
        <v>0</v>
      </c>
      <c r="I310" s="10">
        <f t="shared" si="55"/>
        <v>2.6680000000000001</v>
      </c>
      <c r="J310" s="10">
        <f t="shared" si="55"/>
        <v>3.5510000000000002</v>
      </c>
      <c r="K310" s="10">
        <f t="shared" si="55"/>
        <v>4.2210000000000001</v>
      </c>
      <c r="L310" s="10">
        <f t="shared" si="55"/>
        <v>0</v>
      </c>
      <c r="M310" s="10">
        <f t="shared" si="55"/>
        <v>0</v>
      </c>
      <c r="N310" s="10">
        <f t="shared" si="55"/>
        <v>4.4139999999999997</v>
      </c>
      <c r="O310" s="10">
        <f t="shared" si="55"/>
        <v>3.0390000000000001</v>
      </c>
      <c r="P310" s="10">
        <f t="shared" si="55"/>
        <v>2.7589999999999999</v>
      </c>
      <c r="Q310" s="10">
        <f t="shared" si="55"/>
        <v>0</v>
      </c>
      <c r="R310" s="10">
        <f t="shared" si="55"/>
        <v>3.6139999999999999</v>
      </c>
      <c r="S310" s="10">
        <f t="shared" si="55"/>
        <v>3.6819999999999999</v>
      </c>
      <c r="T310" s="10">
        <f t="shared" si="55"/>
        <v>3.3340000000000001</v>
      </c>
      <c r="U310" s="10">
        <f t="shared" si="55"/>
        <v>3.9550000000000001</v>
      </c>
      <c r="V310" s="10">
        <f t="shared" si="55"/>
        <v>3.6440000000000001</v>
      </c>
      <c r="W310" s="10">
        <f t="shared" si="55"/>
        <v>3.4780000000000002</v>
      </c>
      <c r="X310" s="10">
        <f t="shared" si="55"/>
        <v>4.7990000000000004</v>
      </c>
      <c r="Y310" s="10">
        <f t="shared" si="55"/>
        <v>2.6890000000000001</v>
      </c>
      <c r="Z310" s="10">
        <f t="shared" si="55"/>
        <v>0</v>
      </c>
      <c r="AA310" s="10">
        <f t="shared" si="55"/>
        <v>3.6669999999999998</v>
      </c>
      <c r="AB310" s="10">
        <f t="shared" si="55"/>
        <v>4.57</v>
      </c>
      <c r="AC310" s="10">
        <f t="shared" si="55"/>
        <v>2.7280000000000002</v>
      </c>
      <c r="AD310" s="10">
        <f t="shared" si="55"/>
        <v>2.4940000000000002</v>
      </c>
      <c r="AE310" s="10">
        <f t="shared" si="55"/>
        <v>4.423</v>
      </c>
      <c r="AF310" s="10">
        <f t="shared" si="55"/>
        <v>0</v>
      </c>
    </row>
    <row r="311" spans="1:32">
      <c r="A311" s="10" t="s">
        <v>328</v>
      </c>
      <c r="B311" s="61" t="s">
        <v>284</v>
      </c>
      <c r="C311" s="10">
        <f t="shared" si="56"/>
        <v>2.972</v>
      </c>
      <c r="D311" s="10">
        <f t="shared" si="55"/>
        <v>2.9159999999999999</v>
      </c>
      <c r="E311" s="10">
        <f t="shared" si="55"/>
        <v>2.734</v>
      </c>
      <c r="F311" s="10">
        <f t="shared" si="55"/>
        <v>4.5739999999999998</v>
      </c>
      <c r="G311" s="10">
        <f t="shared" si="55"/>
        <v>2.9830000000000001</v>
      </c>
      <c r="H311" s="10">
        <f t="shared" si="55"/>
        <v>2.6680000000000001</v>
      </c>
      <c r="I311" s="10">
        <f t="shared" si="55"/>
        <v>0</v>
      </c>
      <c r="J311" s="10">
        <f t="shared" si="55"/>
        <v>3.0659999999999998</v>
      </c>
      <c r="K311" s="10">
        <f t="shared" si="55"/>
        <v>4.3419999999999996</v>
      </c>
      <c r="L311" s="10">
        <f t="shared" si="55"/>
        <v>4.7789999999999999</v>
      </c>
      <c r="M311" s="10">
        <f t="shared" si="55"/>
        <v>4.9240000000000004</v>
      </c>
      <c r="N311" s="10">
        <f t="shared" si="55"/>
        <v>4.8230000000000004</v>
      </c>
      <c r="O311" s="10">
        <f t="shared" si="55"/>
        <v>3.6080000000000001</v>
      </c>
      <c r="P311" s="10">
        <f t="shared" si="55"/>
        <v>3.5739999999999998</v>
      </c>
      <c r="Q311" s="10">
        <f t="shared" si="55"/>
        <v>4.3490000000000002</v>
      </c>
      <c r="R311" s="10">
        <f t="shared" si="55"/>
        <v>3.823</v>
      </c>
      <c r="S311" s="10">
        <f t="shared" si="55"/>
        <v>3.9540000000000002</v>
      </c>
      <c r="T311" s="10">
        <f t="shared" si="55"/>
        <v>2.5419999999999998</v>
      </c>
      <c r="U311" s="10">
        <f t="shared" si="55"/>
        <v>4.149</v>
      </c>
      <c r="V311" s="10">
        <f t="shared" si="55"/>
        <v>4.1470000000000002</v>
      </c>
      <c r="W311" s="10">
        <f t="shared" si="55"/>
        <v>2.5920000000000001</v>
      </c>
      <c r="X311" s="10">
        <f t="shared" si="55"/>
        <v>4.6319999999999997</v>
      </c>
      <c r="Y311" s="10">
        <f t="shared" si="55"/>
        <v>3.27</v>
      </c>
      <c r="Z311" s="10">
        <f t="shared" si="55"/>
        <v>0</v>
      </c>
      <c r="AA311" s="10">
        <f t="shared" si="55"/>
        <v>4.2640000000000002</v>
      </c>
      <c r="AB311" s="10">
        <f t="shared" si="55"/>
        <v>4.4400000000000004</v>
      </c>
      <c r="AC311" s="10">
        <f t="shared" si="55"/>
        <v>3.29</v>
      </c>
      <c r="AD311" s="10">
        <f t="shared" si="55"/>
        <v>3.4140000000000001</v>
      </c>
      <c r="AE311" s="10">
        <f t="shared" si="55"/>
        <v>3.8650000000000002</v>
      </c>
      <c r="AF311" s="10">
        <f t="shared" si="55"/>
        <v>0</v>
      </c>
    </row>
    <row r="312" spans="1:32">
      <c r="A312" s="10" t="s">
        <v>328</v>
      </c>
      <c r="B312" s="61" t="s">
        <v>285</v>
      </c>
      <c r="C312" s="10">
        <f t="shared" si="56"/>
        <v>4.968</v>
      </c>
      <c r="D312" s="10">
        <f t="shared" si="55"/>
        <v>3.8860000000000001</v>
      </c>
      <c r="E312" s="10">
        <f t="shared" si="55"/>
        <v>3.3879999999999999</v>
      </c>
      <c r="F312" s="10">
        <f t="shared" si="55"/>
        <v>0</v>
      </c>
      <c r="G312" s="10">
        <f t="shared" si="55"/>
        <v>3.972</v>
      </c>
      <c r="H312" s="10">
        <f t="shared" si="55"/>
        <v>3.5510000000000002</v>
      </c>
      <c r="I312" s="10">
        <f t="shared" si="55"/>
        <v>3.0659999999999998</v>
      </c>
      <c r="J312" s="10">
        <f t="shared" si="55"/>
        <v>0</v>
      </c>
      <c r="K312" s="10">
        <f t="shared" si="55"/>
        <v>3.895</v>
      </c>
      <c r="L312" s="10">
        <f t="shared" si="55"/>
        <v>0</v>
      </c>
      <c r="M312" s="10">
        <f t="shared" si="55"/>
        <v>4.3650000000000002</v>
      </c>
      <c r="N312" s="10">
        <f t="shared" si="55"/>
        <v>0</v>
      </c>
      <c r="O312" s="10">
        <f t="shared" si="55"/>
        <v>4.3600000000000003</v>
      </c>
      <c r="P312" s="10">
        <f t="shared" si="55"/>
        <v>4.1890000000000001</v>
      </c>
      <c r="Q312" s="10">
        <f t="shared" si="55"/>
        <v>4.2480000000000002</v>
      </c>
      <c r="R312" s="10">
        <f t="shared" si="55"/>
        <v>4.593</v>
      </c>
      <c r="S312" s="10">
        <f t="shared" si="55"/>
        <v>3.72</v>
      </c>
      <c r="T312" s="10">
        <f t="shared" si="55"/>
        <v>3.476</v>
      </c>
      <c r="U312" s="10">
        <f t="shared" si="55"/>
        <v>3.802</v>
      </c>
      <c r="V312" s="10">
        <f t="shared" si="55"/>
        <v>0</v>
      </c>
      <c r="W312" s="10">
        <f t="shared" si="55"/>
        <v>2.9809999999999999</v>
      </c>
      <c r="X312" s="10">
        <f t="shared" si="55"/>
        <v>3.403</v>
      </c>
      <c r="Y312" s="10">
        <f t="shared" si="55"/>
        <v>3.4910000000000001</v>
      </c>
      <c r="Z312" s="10">
        <f t="shared" si="55"/>
        <v>0</v>
      </c>
      <c r="AA312" s="10">
        <f t="shared" si="55"/>
        <v>4.6680000000000001</v>
      </c>
      <c r="AB312" s="10">
        <f t="shared" si="55"/>
        <v>2.7160000000000002</v>
      </c>
      <c r="AC312" s="10">
        <f t="shared" si="55"/>
        <v>4.149</v>
      </c>
      <c r="AD312" s="10">
        <f t="shared" si="55"/>
        <v>3.9769999999999999</v>
      </c>
      <c r="AE312" s="10">
        <f t="shared" si="55"/>
        <v>3.68</v>
      </c>
      <c r="AF312" s="10">
        <f t="shared" si="55"/>
        <v>0</v>
      </c>
    </row>
    <row r="313" spans="1:32">
      <c r="A313" s="10" t="s">
        <v>328</v>
      </c>
      <c r="B313" s="61" t="s">
        <v>308</v>
      </c>
      <c r="C313" s="10">
        <f t="shared" si="56"/>
        <v>0</v>
      </c>
      <c r="D313" s="10">
        <f t="shared" si="55"/>
        <v>0</v>
      </c>
      <c r="E313" s="10">
        <f t="shared" si="55"/>
        <v>0</v>
      </c>
      <c r="F313" s="10">
        <f t="shared" si="55"/>
        <v>0</v>
      </c>
      <c r="G313" s="10">
        <f t="shared" si="55"/>
        <v>0</v>
      </c>
      <c r="H313" s="10">
        <f t="shared" si="55"/>
        <v>4.2210000000000001</v>
      </c>
      <c r="I313" s="10">
        <f t="shared" si="55"/>
        <v>4.3419999999999996</v>
      </c>
      <c r="J313" s="10">
        <f t="shared" si="55"/>
        <v>3.895</v>
      </c>
      <c r="K313" s="10">
        <f t="shared" si="55"/>
        <v>0</v>
      </c>
      <c r="L313" s="10">
        <f t="shared" si="55"/>
        <v>0</v>
      </c>
      <c r="M313" s="10">
        <f t="shared" si="55"/>
        <v>3.2989999999999999</v>
      </c>
      <c r="N313" s="10">
        <f t="shared" si="55"/>
        <v>0</v>
      </c>
      <c r="O313" s="10">
        <f t="shared" si="55"/>
        <v>0</v>
      </c>
      <c r="P313" s="10">
        <f t="shared" si="55"/>
        <v>0</v>
      </c>
      <c r="Q313" s="10">
        <f t="shared" si="55"/>
        <v>0</v>
      </c>
      <c r="R313" s="10">
        <f t="shared" si="55"/>
        <v>0</v>
      </c>
      <c r="S313" s="10">
        <f t="shared" si="55"/>
        <v>2.673</v>
      </c>
      <c r="T313" s="10">
        <f t="shared" si="55"/>
        <v>0</v>
      </c>
      <c r="U313" s="10">
        <f t="shared" si="55"/>
        <v>2.077</v>
      </c>
      <c r="V313" s="10">
        <f t="shared" si="55"/>
        <v>0</v>
      </c>
      <c r="W313" s="10">
        <f t="shared" si="55"/>
        <v>0</v>
      </c>
      <c r="X313" s="10">
        <f t="shared" si="55"/>
        <v>3.7410000000000001</v>
      </c>
      <c r="Y313" s="10">
        <f t="shared" si="55"/>
        <v>3.637</v>
      </c>
      <c r="Z313" s="10">
        <f t="shared" si="55"/>
        <v>0</v>
      </c>
      <c r="AA313" s="10">
        <f t="shared" si="55"/>
        <v>0</v>
      </c>
      <c r="AB313" s="10">
        <f t="shared" si="55"/>
        <v>3.327</v>
      </c>
      <c r="AC313" s="10">
        <f t="shared" si="55"/>
        <v>0</v>
      </c>
      <c r="AD313" s="10">
        <f t="shared" si="55"/>
        <v>4.1970000000000001</v>
      </c>
      <c r="AE313" s="10">
        <f t="shared" si="55"/>
        <v>0</v>
      </c>
      <c r="AF313" s="10">
        <f t="shared" si="55"/>
        <v>0</v>
      </c>
    </row>
    <row r="314" spans="1:32">
      <c r="A314" s="10" t="s">
        <v>328</v>
      </c>
      <c r="B314" s="61" t="s">
        <v>286</v>
      </c>
      <c r="C314" s="10">
        <f t="shared" si="56"/>
        <v>2.1720000000000002</v>
      </c>
      <c r="D314" s="10">
        <f t="shared" si="55"/>
        <v>4.7969999999999997</v>
      </c>
      <c r="E314" s="10">
        <f t="shared" si="55"/>
        <v>4.4020000000000001</v>
      </c>
      <c r="F314" s="10">
        <f t="shared" si="55"/>
        <v>0</v>
      </c>
      <c r="G314" s="10">
        <f t="shared" si="55"/>
        <v>4.2350000000000003</v>
      </c>
      <c r="H314" s="10">
        <f t="shared" si="55"/>
        <v>0</v>
      </c>
      <c r="I314" s="10">
        <f t="shared" si="55"/>
        <v>4.7789999999999999</v>
      </c>
      <c r="J314" s="10">
        <f t="shared" si="55"/>
        <v>0</v>
      </c>
      <c r="K314" s="10">
        <f t="shared" si="55"/>
        <v>0</v>
      </c>
      <c r="L314" s="10">
        <f t="shared" si="55"/>
        <v>0</v>
      </c>
      <c r="M314" s="10">
        <f t="shared" si="55"/>
        <v>0</v>
      </c>
      <c r="N314" s="10">
        <f t="shared" si="55"/>
        <v>0</v>
      </c>
      <c r="O314" s="10">
        <f t="shared" si="55"/>
        <v>4.8940000000000001</v>
      </c>
      <c r="P314" s="10">
        <f t="shared" si="55"/>
        <v>0</v>
      </c>
      <c r="Q314" s="10">
        <f t="shared" si="55"/>
        <v>4.601</v>
      </c>
      <c r="R314" s="10">
        <f t="shared" si="55"/>
        <v>4.423</v>
      </c>
      <c r="S314" s="10">
        <f t="shared" si="55"/>
        <v>0</v>
      </c>
      <c r="T314" s="10">
        <f t="shared" si="55"/>
        <v>4.3780000000000001</v>
      </c>
      <c r="U314" s="10">
        <f t="shared" si="55"/>
        <v>0</v>
      </c>
      <c r="V314" s="10">
        <f t="shared" si="55"/>
        <v>0</v>
      </c>
      <c r="W314" s="10">
        <f t="shared" si="55"/>
        <v>4.6429999999999998</v>
      </c>
      <c r="X314" s="10">
        <f t="shared" si="55"/>
        <v>0</v>
      </c>
      <c r="Y314" s="10">
        <f t="shared" si="55"/>
        <v>0</v>
      </c>
      <c r="Z314" s="10">
        <f t="shared" si="55"/>
        <v>2.774</v>
      </c>
      <c r="AA314" s="10">
        <f t="shared" si="55"/>
        <v>0</v>
      </c>
      <c r="AB314" s="10">
        <f t="shared" si="55"/>
        <v>0</v>
      </c>
      <c r="AC314" s="10">
        <f t="shared" si="55"/>
        <v>4.7880000000000003</v>
      </c>
      <c r="AD314" s="10">
        <f t="shared" si="55"/>
        <v>0</v>
      </c>
      <c r="AE314" s="10">
        <f t="shared" si="55"/>
        <v>4.6879999999999997</v>
      </c>
      <c r="AF314" s="10">
        <f t="shared" si="55"/>
        <v>0</v>
      </c>
    </row>
    <row r="315" spans="1:32">
      <c r="A315" s="10" t="s">
        <v>328</v>
      </c>
      <c r="B315" s="61" t="s">
        <v>287</v>
      </c>
      <c r="C315" s="10">
        <f t="shared" si="56"/>
        <v>0</v>
      </c>
      <c r="D315" s="10">
        <f t="shared" si="55"/>
        <v>0</v>
      </c>
      <c r="E315" s="10">
        <f t="shared" si="55"/>
        <v>0</v>
      </c>
      <c r="F315" s="10">
        <f t="shared" si="55"/>
        <v>0</v>
      </c>
      <c r="G315" s="10">
        <f t="shared" si="55"/>
        <v>0</v>
      </c>
      <c r="H315" s="10">
        <f t="shared" si="55"/>
        <v>0</v>
      </c>
      <c r="I315" s="10">
        <f t="shared" si="55"/>
        <v>4.9240000000000004</v>
      </c>
      <c r="J315" s="10">
        <f t="shared" si="55"/>
        <v>4.3650000000000002</v>
      </c>
      <c r="K315" s="10">
        <f t="shared" si="55"/>
        <v>3.2989999999999999</v>
      </c>
      <c r="L315" s="10">
        <f t="shared" si="55"/>
        <v>0</v>
      </c>
      <c r="M315" s="10">
        <f t="shared" ref="D315:AF324" si="57">ROUND((EXP(7.032824+1*0.622482)*((M15/1.852)^ 0.40303))/(1.15*0.0059)/1000000,3)</f>
        <v>0</v>
      </c>
      <c r="N315" s="10">
        <f t="shared" si="57"/>
        <v>0</v>
      </c>
      <c r="O315" s="10">
        <f t="shared" si="57"/>
        <v>0</v>
      </c>
      <c r="P315" s="10">
        <f t="shared" si="57"/>
        <v>0</v>
      </c>
      <c r="Q315" s="10">
        <f t="shared" si="57"/>
        <v>0</v>
      </c>
      <c r="R315" s="10">
        <f t="shared" si="57"/>
        <v>0</v>
      </c>
      <c r="S315" s="10">
        <f t="shared" si="57"/>
        <v>3.9710000000000001</v>
      </c>
      <c r="T315" s="10">
        <f t="shared" si="57"/>
        <v>0</v>
      </c>
      <c r="U315" s="10">
        <f t="shared" si="57"/>
        <v>3.6840000000000002</v>
      </c>
      <c r="V315" s="10">
        <f t="shared" si="57"/>
        <v>0</v>
      </c>
      <c r="W315" s="10">
        <f t="shared" si="57"/>
        <v>0</v>
      </c>
      <c r="X315" s="10">
        <f t="shared" si="57"/>
        <v>3.9289999999999998</v>
      </c>
      <c r="Y315" s="10">
        <f t="shared" si="57"/>
        <v>4.54</v>
      </c>
      <c r="Z315" s="10">
        <f t="shared" si="57"/>
        <v>0</v>
      </c>
      <c r="AA315" s="10">
        <f t="shared" si="57"/>
        <v>0</v>
      </c>
      <c r="AB315" s="10">
        <f t="shared" si="57"/>
        <v>2.9860000000000002</v>
      </c>
      <c r="AC315" s="10">
        <f t="shared" si="57"/>
        <v>0</v>
      </c>
      <c r="AD315" s="10">
        <f t="shared" si="57"/>
        <v>0</v>
      </c>
      <c r="AE315" s="10">
        <f t="shared" si="57"/>
        <v>0</v>
      </c>
      <c r="AF315" s="10">
        <f t="shared" si="57"/>
        <v>0</v>
      </c>
    </row>
    <row r="316" spans="1:32">
      <c r="A316" s="10" t="s">
        <v>328</v>
      </c>
      <c r="B316" s="61" t="s">
        <v>288</v>
      </c>
      <c r="C316" s="10">
        <f t="shared" si="56"/>
        <v>0</v>
      </c>
      <c r="D316" s="10">
        <f t="shared" si="57"/>
        <v>4.58</v>
      </c>
      <c r="E316" s="10">
        <f t="shared" si="57"/>
        <v>2.419</v>
      </c>
      <c r="F316" s="10">
        <f t="shared" si="57"/>
        <v>0</v>
      </c>
      <c r="G316" s="10">
        <f t="shared" si="57"/>
        <v>2.5739999999999998</v>
      </c>
      <c r="H316" s="10">
        <f t="shared" si="57"/>
        <v>4.7850000000000001</v>
      </c>
      <c r="I316" s="10">
        <f t="shared" si="57"/>
        <v>2.972</v>
      </c>
      <c r="J316" s="10">
        <f t="shared" si="57"/>
        <v>4.968</v>
      </c>
      <c r="K316" s="10">
        <f t="shared" si="57"/>
        <v>0</v>
      </c>
      <c r="L316" s="10">
        <f t="shared" si="57"/>
        <v>2.1720000000000002</v>
      </c>
      <c r="M316" s="10">
        <f t="shared" si="57"/>
        <v>0</v>
      </c>
      <c r="N316" s="10">
        <f t="shared" si="57"/>
        <v>5.4</v>
      </c>
      <c r="O316" s="10">
        <f t="shared" si="57"/>
        <v>4.7220000000000004</v>
      </c>
      <c r="P316" s="10">
        <f t="shared" si="57"/>
        <v>5.0220000000000002</v>
      </c>
      <c r="Q316" s="10">
        <f t="shared" si="57"/>
        <v>4.3470000000000004</v>
      </c>
      <c r="R316" s="10">
        <f t="shared" si="57"/>
        <v>3.9289999999999998</v>
      </c>
      <c r="S316" s="10">
        <f t="shared" si="57"/>
        <v>0</v>
      </c>
      <c r="T316" s="10">
        <f t="shared" si="57"/>
        <v>4.0640000000000001</v>
      </c>
      <c r="U316" s="10">
        <f t="shared" si="57"/>
        <v>0</v>
      </c>
      <c r="V316" s="10">
        <f t="shared" si="57"/>
        <v>4.99</v>
      </c>
      <c r="W316" s="10">
        <f t="shared" si="57"/>
        <v>4.3479999999999999</v>
      </c>
      <c r="X316" s="10">
        <f t="shared" si="57"/>
        <v>5.8659999999999997</v>
      </c>
      <c r="Y316" s="10">
        <f t="shared" si="57"/>
        <v>5.1959999999999997</v>
      </c>
      <c r="Z316" s="10">
        <f t="shared" si="57"/>
        <v>3.1120000000000001</v>
      </c>
      <c r="AA316" s="10">
        <f t="shared" si="57"/>
        <v>5.4509999999999996</v>
      </c>
      <c r="AB316" s="10">
        <f t="shared" si="57"/>
        <v>5.7960000000000003</v>
      </c>
      <c r="AC316" s="10">
        <f t="shared" si="57"/>
        <v>4.5919999999999996</v>
      </c>
      <c r="AD316" s="10">
        <f t="shared" si="57"/>
        <v>5.0670000000000002</v>
      </c>
      <c r="AE316" s="10">
        <f t="shared" si="57"/>
        <v>3.198</v>
      </c>
      <c r="AF316" s="10">
        <f t="shared" si="57"/>
        <v>0</v>
      </c>
    </row>
    <row r="317" spans="1:32">
      <c r="A317" s="10" t="s">
        <v>328</v>
      </c>
      <c r="B317" s="61" t="s">
        <v>289</v>
      </c>
      <c r="C317" s="10">
        <f t="shared" si="56"/>
        <v>5.4</v>
      </c>
      <c r="D317" s="10">
        <f t="shared" si="57"/>
        <v>4.2119999999999997</v>
      </c>
      <c r="E317" s="10">
        <f t="shared" si="57"/>
        <v>0</v>
      </c>
      <c r="F317" s="10">
        <f t="shared" si="57"/>
        <v>2.8580000000000001</v>
      </c>
      <c r="G317" s="10">
        <f t="shared" si="57"/>
        <v>0</v>
      </c>
      <c r="H317" s="10">
        <f t="shared" si="57"/>
        <v>4.4139999999999997</v>
      </c>
      <c r="I317" s="10">
        <f t="shared" si="57"/>
        <v>4.8230000000000004</v>
      </c>
      <c r="J317" s="10">
        <f t="shared" si="57"/>
        <v>0</v>
      </c>
      <c r="K317" s="10">
        <f t="shared" si="57"/>
        <v>0</v>
      </c>
      <c r="L317" s="10">
        <f t="shared" si="57"/>
        <v>0</v>
      </c>
      <c r="M317" s="10">
        <f t="shared" si="57"/>
        <v>0</v>
      </c>
      <c r="N317" s="10">
        <f t="shared" si="57"/>
        <v>0</v>
      </c>
      <c r="O317" s="10">
        <f t="shared" si="57"/>
        <v>3.698</v>
      </c>
      <c r="P317" s="10">
        <f t="shared" si="57"/>
        <v>3.8450000000000002</v>
      </c>
      <c r="Q317" s="10">
        <f t="shared" si="57"/>
        <v>0</v>
      </c>
      <c r="R317" s="10">
        <f t="shared" si="57"/>
        <v>3.9409999999999998</v>
      </c>
      <c r="S317" s="10">
        <f t="shared" si="57"/>
        <v>0</v>
      </c>
      <c r="T317" s="10">
        <f t="shared" si="57"/>
        <v>0</v>
      </c>
      <c r="U317" s="10">
        <f t="shared" si="57"/>
        <v>0</v>
      </c>
      <c r="V317" s="10">
        <f t="shared" si="57"/>
        <v>3.0219999999999998</v>
      </c>
      <c r="W317" s="10">
        <f t="shared" si="57"/>
        <v>0</v>
      </c>
      <c r="X317" s="10">
        <f t="shared" si="57"/>
        <v>0</v>
      </c>
      <c r="Y317" s="10">
        <f t="shared" si="57"/>
        <v>4.6020000000000003</v>
      </c>
      <c r="Z317" s="10">
        <f t="shared" si="57"/>
        <v>0</v>
      </c>
      <c r="AA317" s="10">
        <f t="shared" si="57"/>
        <v>3.5409999999999999</v>
      </c>
      <c r="AB317" s="10">
        <f t="shared" si="57"/>
        <v>0</v>
      </c>
      <c r="AC317" s="10">
        <f t="shared" si="57"/>
        <v>3.9790000000000001</v>
      </c>
      <c r="AD317" s="10">
        <f t="shared" si="57"/>
        <v>4.0979999999999999</v>
      </c>
      <c r="AE317" s="10">
        <f t="shared" si="57"/>
        <v>0</v>
      </c>
      <c r="AF317" s="10">
        <f t="shared" si="57"/>
        <v>3.7120000000000002</v>
      </c>
    </row>
    <row r="318" spans="1:32">
      <c r="A318" s="10" t="s">
        <v>328</v>
      </c>
      <c r="B318" s="61" t="s">
        <v>290</v>
      </c>
      <c r="C318" s="10">
        <f t="shared" si="56"/>
        <v>4.7220000000000004</v>
      </c>
      <c r="D318" s="10">
        <f t="shared" si="57"/>
        <v>2.52</v>
      </c>
      <c r="E318" s="10">
        <f t="shared" si="57"/>
        <v>4.0460000000000003</v>
      </c>
      <c r="F318" s="10">
        <f t="shared" si="57"/>
        <v>3.5049999999999999</v>
      </c>
      <c r="G318" s="10">
        <f t="shared" si="57"/>
        <v>3.3290000000000002</v>
      </c>
      <c r="H318" s="10">
        <f t="shared" si="57"/>
        <v>3.0390000000000001</v>
      </c>
      <c r="I318" s="10">
        <f t="shared" si="57"/>
        <v>3.6080000000000001</v>
      </c>
      <c r="J318" s="10">
        <f t="shared" si="57"/>
        <v>4.3600000000000003</v>
      </c>
      <c r="K318" s="10">
        <f t="shared" si="57"/>
        <v>0</v>
      </c>
      <c r="L318" s="10">
        <f t="shared" si="57"/>
        <v>4.8940000000000001</v>
      </c>
      <c r="M318" s="10">
        <f t="shared" si="57"/>
        <v>0</v>
      </c>
      <c r="N318" s="10">
        <f t="shared" si="57"/>
        <v>3.698</v>
      </c>
      <c r="O318" s="10">
        <f t="shared" si="57"/>
        <v>0</v>
      </c>
      <c r="P318" s="10">
        <f t="shared" si="57"/>
        <v>2.5179999999999998</v>
      </c>
      <c r="Q318" s="10">
        <f t="shared" si="57"/>
        <v>0</v>
      </c>
      <c r="R318" s="10">
        <f t="shared" si="57"/>
        <v>2.7909999999999999</v>
      </c>
      <c r="S318" s="10">
        <f t="shared" si="57"/>
        <v>4.3170000000000002</v>
      </c>
      <c r="T318" s="10">
        <f t="shared" si="57"/>
        <v>3.83</v>
      </c>
      <c r="U318" s="10">
        <f t="shared" si="57"/>
        <v>0</v>
      </c>
      <c r="V318" s="10">
        <f t="shared" si="57"/>
        <v>2.5409999999999999</v>
      </c>
      <c r="W318" s="10">
        <f t="shared" si="57"/>
        <v>4.1269999999999998</v>
      </c>
      <c r="X318" s="10">
        <f t="shared" si="57"/>
        <v>0</v>
      </c>
      <c r="Y318" s="10">
        <f t="shared" si="57"/>
        <v>3.6240000000000001</v>
      </c>
      <c r="Z318" s="10">
        <f t="shared" si="57"/>
        <v>0</v>
      </c>
      <c r="AA318" s="10">
        <f t="shared" si="57"/>
        <v>3.3580000000000001</v>
      </c>
      <c r="AB318" s="10">
        <f t="shared" si="57"/>
        <v>5.1689999999999996</v>
      </c>
      <c r="AC318" s="10">
        <f t="shared" si="57"/>
        <v>1.9330000000000001</v>
      </c>
      <c r="AD318" s="10">
        <f t="shared" si="57"/>
        <v>2.9</v>
      </c>
      <c r="AE318" s="10">
        <f t="shared" si="57"/>
        <v>0</v>
      </c>
      <c r="AF318" s="10">
        <f t="shared" si="57"/>
        <v>0</v>
      </c>
    </row>
    <row r="319" spans="1:32">
      <c r="A319" s="10" t="s">
        <v>328</v>
      </c>
      <c r="B319" s="61" t="s">
        <v>291</v>
      </c>
      <c r="C319" s="10">
        <f t="shared" si="56"/>
        <v>5.0220000000000002</v>
      </c>
      <c r="D319" s="10">
        <f t="shared" si="57"/>
        <v>2.718</v>
      </c>
      <c r="E319" s="10">
        <f t="shared" si="57"/>
        <v>4.1509999999999998</v>
      </c>
      <c r="F319" s="10">
        <f t="shared" si="57"/>
        <v>3.3460000000000001</v>
      </c>
      <c r="G319" s="10">
        <f t="shared" si="57"/>
        <v>3.6819999999999999</v>
      </c>
      <c r="H319" s="10">
        <f t="shared" si="57"/>
        <v>2.7589999999999999</v>
      </c>
      <c r="I319" s="10">
        <f t="shared" si="57"/>
        <v>3.5739999999999998</v>
      </c>
      <c r="J319" s="10">
        <f t="shared" si="57"/>
        <v>4.1890000000000001</v>
      </c>
      <c r="K319" s="10">
        <f t="shared" si="57"/>
        <v>0</v>
      </c>
      <c r="L319" s="10">
        <f t="shared" si="57"/>
        <v>0</v>
      </c>
      <c r="M319" s="10">
        <f t="shared" si="57"/>
        <v>0</v>
      </c>
      <c r="N319" s="10">
        <f t="shared" si="57"/>
        <v>3.8450000000000002</v>
      </c>
      <c r="O319" s="10">
        <f t="shared" si="57"/>
        <v>2.5179999999999998</v>
      </c>
      <c r="P319" s="10">
        <f t="shared" si="57"/>
        <v>0</v>
      </c>
      <c r="Q319" s="10">
        <f t="shared" si="57"/>
        <v>0</v>
      </c>
      <c r="R319" s="10">
        <f t="shared" si="57"/>
        <v>3.5089999999999999</v>
      </c>
      <c r="S319" s="10">
        <f t="shared" si="57"/>
        <v>3.867</v>
      </c>
      <c r="T319" s="10">
        <f t="shared" si="57"/>
        <v>3.9689999999999999</v>
      </c>
      <c r="U319" s="10">
        <f t="shared" si="57"/>
        <v>4.1449999999999996</v>
      </c>
      <c r="V319" s="10">
        <f t="shared" si="57"/>
        <v>2.9390000000000001</v>
      </c>
      <c r="W319" s="10">
        <f t="shared" si="57"/>
        <v>4.149</v>
      </c>
      <c r="X319" s="10">
        <f t="shared" si="57"/>
        <v>0</v>
      </c>
      <c r="Y319" s="10">
        <f t="shared" si="57"/>
        <v>3.0920000000000001</v>
      </c>
      <c r="Z319" s="10">
        <f t="shared" si="57"/>
        <v>0</v>
      </c>
      <c r="AA319" s="10">
        <f t="shared" si="57"/>
        <v>2.8540000000000001</v>
      </c>
      <c r="AB319" s="10">
        <f t="shared" si="57"/>
        <v>4.9189999999999996</v>
      </c>
      <c r="AC319" s="10">
        <f t="shared" si="57"/>
        <v>2.6320000000000001</v>
      </c>
      <c r="AD319" s="10">
        <f t="shared" si="57"/>
        <v>1.931</v>
      </c>
      <c r="AE319" s="10">
        <f t="shared" si="57"/>
        <v>0</v>
      </c>
      <c r="AF319" s="10">
        <f t="shared" si="57"/>
        <v>0</v>
      </c>
    </row>
    <row r="320" spans="1:32">
      <c r="A320" s="10" t="s">
        <v>328</v>
      </c>
      <c r="B320" s="61" t="s">
        <v>292</v>
      </c>
      <c r="C320" s="10">
        <f t="shared" si="56"/>
        <v>4.3470000000000004</v>
      </c>
      <c r="D320" s="10">
        <f t="shared" si="57"/>
        <v>0</v>
      </c>
      <c r="E320" s="10">
        <f t="shared" si="57"/>
        <v>3.806</v>
      </c>
      <c r="F320" s="10">
        <f t="shared" si="57"/>
        <v>0</v>
      </c>
      <c r="G320" s="10">
        <f t="shared" si="57"/>
        <v>0</v>
      </c>
      <c r="H320" s="10">
        <f t="shared" si="57"/>
        <v>0</v>
      </c>
      <c r="I320" s="10">
        <f t="shared" si="57"/>
        <v>4.3490000000000002</v>
      </c>
      <c r="J320" s="10">
        <f t="shared" si="57"/>
        <v>4.2480000000000002</v>
      </c>
      <c r="K320" s="10">
        <f t="shared" si="57"/>
        <v>0</v>
      </c>
      <c r="L320" s="10">
        <f t="shared" si="57"/>
        <v>4.601</v>
      </c>
      <c r="M320" s="10">
        <f t="shared" si="57"/>
        <v>0</v>
      </c>
      <c r="N320" s="10">
        <f t="shared" si="57"/>
        <v>0</v>
      </c>
      <c r="O320" s="10">
        <f t="shared" si="57"/>
        <v>0</v>
      </c>
      <c r="P320" s="10">
        <f t="shared" si="57"/>
        <v>0</v>
      </c>
      <c r="Q320" s="10">
        <f t="shared" si="57"/>
        <v>0</v>
      </c>
      <c r="R320" s="10">
        <f t="shared" si="57"/>
        <v>0</v>
      </c>
      <c r="S320" s="10">
        <f t="shared" si="57"/>
        <v>0</v>
      </c>
      <c r="T320" s="10">
        <f t="shared" si="57"/>
        <v>4.0179999999999998</v>
      </c>
      <c r="U320" s="10">
        <f t="shared" si="57"/>
        <v>0</v>
      </c>
      <c r="V320" s="10">
        <f t="shared" si="57"/>
        <v>0</v>
      </c>
      <c r="W320" s="10">
        <f t="shared" si="57"/>
        <v>3.82</v>
      </c>
      <c r="X320" s="10">
        <f t="shared" si="57"/>
        <v>4.9580000000000002</v>
      </c>
      <c r="Y320" s="10">
        <f t="shared" si="57"/>
        <v>0</v>
      </c>
      <c r="Z320" s="10">
        <f t="shared" si="57"/>
        <v>0</v>
      </c>
      <c r="AA320" s="10">
        <f t="shared" si="57"/>
        <v>0</v>
      </c>
      <c r="AB320" s="10">
        <f t="shared" si="57"/>
        <v>0</v>
      </c>
      <c r="AC320" s="10">
        <f t="shared" si="57"/>
        <v>0</v>
      </c>
      <c r="AD320" s="10">
        <f t="shared" si="57"/>
        <v>0</v>
      </c>
      <c r="AE320" s="10">
        <f t="shared" si="57"/>
        <v>2.6139999999999999</v>
      </c>
      <c r="AF320" s="10">
        <f t="shared" si="57"/>
        <v>0</v>
      </c>
    </row>
    <row r="321" spans="1:32">
      <c r="A321" s="10" t="s">
        <v>328</v>
      </c>
      <c r="B321" s="61" t="s">
        <v>293</v>
      </c>
      <c r="C321" s="10">
        <f t="shared" si="56"/>
        <v>3.9289999999999998</v>
      </c>
      <c r="D321" s="10">
        <f t="shared" si="57"/>
        <v>3.105</v>
      </c>
      <c r="E321" s="10">
        <f t="shared" si="57"/>
        <v>3.992</v>
      </c>
      <c r="F321" s="10">
        <f t="shared" si="57"/>
        <v>4.0460000000000003</v>
      </c>
      <c r="G321" s="10">
        <f t="shared" si="57"/>
        <v>3.0649999999999999</v>
      </c>
      <c r="H321" s="10">
        <f t="shared" si="57"/>
        <v>3.6139999999999999</v>
      </c>
      <c r="I321" s="10">
        <f t="shared" si="57"/>
        <v>3.823</v>
      </c>
      <c r="J321" s="10">
        <f t="shared" si="57"/>
        <v>4.593</v>
      </c>
      <c r="K321" s="10">
        <f t="shared" si="57"/>
        <v>0</v>
      </c>
      <c r="L321" s="10">
        <f t="shared" si="57"/>
        <v>4.423</v>
      </c>
      <c r="M321" s="10">
        <f t="shared" si="57"/>
        <v>0</v>
      </c>
      <c r="N321" s="10">
        <f t="shared" si="57"/>
        <v>3.9409999999999998</v>
      </c>
      <c r="O321" s="10">
        <f t="shared" si="57"/>
        <v>2.7909999999999999</v>
      </c>
      <c r="P321" s="10">
        <f t="shared" si="57"/>
        <v>3.5089999999999999</v>
      </c>
      <c r="Q321" s="10">
        <f t="shared" si="57"/>
        <v>0</v>
      </c>
      <c r="R321" s="10">
        <f t="shared" si="57"/>
        <v>0</v>
      </c>
      <c r="S321" s="10">
        <f t="shared" si="57"/>
        <v>0</v>
      </c>
      <c r="T321" s="10">
        <f t="shared" si="57"/>
        <v>3.7709999999999999</v>
      </c>
      <c r="U321" s="10">
        <f t="shared" si="57"/>
        <v>0</v>
      </c>
      <c r="V321" s="10">
        <f t="shared" si="57"/>
        <v>3.169</v>
      </c>
      <c r="W321" s="10">
        <f t="shared" si="57"/>
        <v>4.173</v>
      </c>
      <c r="X321" s="10">
        <f t="shared" si="57"/>
        <v>0</v>
      </c>
      <c r="Y321" s="10">
        <f t="shared" si="57"/>
        <v>4.1929999999999996</v>
      </c>
      <c r="Z321" s="10">
        <f t="shared" si="57"/>
        <v>0</v>
      </c>
      <c r="AA321" s="10">
        <f t="shared" si="57"/>
        <v>4.0570000000000004</v>
      </c>
      <c r="AB321" s="10">
        <f t="shared" si="57"/>
        <v>5.444</v>
      </c>
      <c r="AC321" s="10">
        <f t="shared" si="57"/>
        <v>2.7959999999999998</v>
      </c>
      <c r="AD321" s="10">
        <f t="shared" si="57"/>
        <v>3.722</v>
      </c>
      <c r="AE321" s="10">
        <f t="shared" si="57"/>
        <v>4.8360000000000003</v>
      </c>
      <c r="AF321" s="10">
        <f t="shared" si="57"/>
        <v>0</v>
      </c>
    </row>
    <row r="322" spans="1:32">
      <c r="A322" s="10" t="s">
        <v>328</v>
      </c>
      <c r="B322" s="61" t="s">
        <v>309</v>
      </c>
      <c r="C322" s="10">
        <f t="shared" si="56"/>
        <v>0</v>
      </c>
      <c r="D322" s="10">
        <f t="shared" si="57"/>
        <v>4.0759999999999996</v>
      </c>
      <c r="E322" s="10">
        <f t="shared" si="57"/>
        <v>0</v>
      </c>
      <c r="F322" s="10">
        <f t="shared" si="57"/>
        <v>0</v>
      </c>
      <c r="G322" s="10">
        <f t="shared" si="57"/>
        <v>0</v>
      </c>
      <c r="H322" s="10">
        <f t="shared" si="57"/>
        <v>3.6819999999999999</v>
      </c>
      <c r="I322" s="10">
        <f t="shared" si="57"/>
        <v>3.9540000000000002</v>
      </c>
      <c r="J322" s="10">
        <f t="shared" si="57"/>
        <v>3.72</v>
      </c>
      <c r="K322" s="10">
        <f t="shared" si="57"/>
        <v>2.673</v>
      </c>
      <c r="L322" s="10">
        <f t="shared" si="57"/>
        <v>0</v>
      </c>
      <c r="M322" s="10">
        <f t="shared" si="57"/>
        <v>3.9710000000000001</v>
      </c>
      <c r="N322" s="10">
        <f t="shared" si="57"/>
        <v>0</v>
      </c>
      <c r="O322" s="10">
        <f t="shared" si="57"/>
        <v>4.3170000000000002</v>
      </c>
      <c r="P322" s="10">
        <f t="shared" si="57"/>
        <v>3.867</v>
      </c>
      <c r="Q322" s="10">
        <f t="shared" si="57"/>
        <v>0</v>
      </c>
      <c r="R322" s="10">
        <f t="shared" si="57"/>
        <v>0</v>
      </c>
      <c r="S322" s="10">
        <f t="shared" si="57"/>
        <v>0</v>
      </c>
      <c r="T322" s="10">
        <f t="shared" si="57"/>
        <v>0</v>
      </c>
      <c r="U322" s="10">
        <f t="shared" si="57"/>
        <v>1.9710000000000001</v>
      </c>
      <c r="V322" s="10">
        <f t="shared" si="57"/>
        <v>0</v>
      </c>
      <c r="W322" s="10">
        <f t="shared" si="57"/>
        <v>4.2990000000000004</v>
      </c>
      <c r="X322" s="10">
        <f t="shared" si="57"/>
        <v>4.1619999999999999</v>
      </c>
      <c r="Y322" s="10">
        <f t="shared" si="57"/>
        <v>2.8849999999999998</v>
      </c>
      <c r="Z322" s="10">
        <f t="shared" si="57"/>
        <v>0</v>
      </c>
      <c r="AA322" s="10">
        <f t="shared" si="57"/>
        <v>4.0220000000000002</v>
      </c>
      <c r="AB322" s="10">
        <f t="shared" si="57"/>
        <v>3.8050000000000002</v>
      </c>
      <c r="AC322" s="10">
        <f t="shared" si="57"/>
        <v>4.2389999999999999</v>
      </c>
      <c r="AD322" s="10">
        <f t="shared" si="57"/>
        <v>3.5859999999999999</v>
      </c>
      <c r="AE322" s="10">
        <f t="shared" si="57"/>
        <v>0</v>
      </c>
      <c r="AF322" s="10">
        <f t="shared" si="57"/>
        <v>0</v>
      </c>
    </row>
    <row r="323" spans="1:32">
      <c r="A323" s="10" t="s">
        <v>328</v>
      </c>
      <c r="B323" s="61" t="s">
        <v>294</v>
      </c>
      <c r="C323" s="10">
        <f t="shared" ref="C323:C335" si="58">ROUND((EXP(7.032824+1*0.622482)*((C23/1.852)^ 0.40303))/(1.15*0.0059)/1000000,3)</f>
        <v>4.0640000000000001</v>
      </c>
      <c r="D323" s="10">
        <f t="shared" si="57"/>
        <v>3.2829999999999999</v>
      </c>
      <c r="E323" s="10">
        <f t="shared" si="57"/>
        <v>1.7809999999999999</v>
      </c>
      <c r="F323" s="10">
        <f t="shared" si="57"/>
        <v>0</v>
      </c>
      <c r="G323" s="10">
        <f t="shared" si="57"/>
        <v>2.6240000000000001</v>
      </c>
      <c r="H323" s="10">
        <f t="shared" si="57"/>
        <v>3.3340000000000001</v>
      </c>
      <c r="I323" s="10">
        <f t="shared" si="57"/>
        <v>2.5419999999999998</v>
      </c>
      <c r="J323" s="10">
        <f t="shared" si="57"/>
        <v>3.476</v>
      </c>
      <c r="K323" s="10">
        <f t="shared" si="57"/>
        <v>0</v>
      </c>
      <c r="L323" s="10">
        <f t="shared" si="57"/>
        <v>4.3780000000000001</v>
      </c>
      <c r="M323" s="10">
        <f t="shared" si="57"/>
        <v>0</v>
      </c>
      <c r="N323" s="10">
        <f t="shared" si="57"/>
        <v>0</v>
      </c>
      <c r="O323" s="10">
        <f t="shared" si="57"/>
        <v>3.83</v>
      </c>
      <c r="P323" s="10">
        <f t="shared" si="57"/>
        <v>3.9689999999999999</v>
      </c>
      <c r="Q323" s="10">
        <f t="shared" si="57"/>
        <v>4.0179999999999998</v>
      </c>
      <c r="R323" s="10">
        <f t="shared" si="57"/>
        <v>3.7709999999999999</v>
      </c>
      <c r="S323" s="10">
        <f t="shared" si="57"/>
        <v>0</v>
      </c>
      <c r="T323" s="10">
        <f t="shared" si="57"/>
        <v>0</v>
      </c>
      <c r="U323" s="10">
        <f t="shared" si="57"/>
        <v>0</v>
      </c>
      <c r="V323" s="10">
        <f t="shared" si="57"/>
        <v>0</v>
      </c>
      <c r="W323" s="10">
        <f t="shared" si="57"/>
        <v>2.351</v>
      </c>
      <c r="X323" s="10">
        <f t="shared" si="57"/>
        <v>4.87</v>
      </c>
      <c r="Y323" s="10">
        <f t="shared" si="57"/>
        <v>3.8809999999999998</v>
      </c>
      <c r="Z323" s="10">
        <f t="shared" si="57"/>
        <v>0</v>
      </c>
      <c r="AA323" s="10">
        <f t="shared" si="57"/>
        <v>0</v>
      </c>
      <c r="AB323" s="10">
        <f t="shared" si="57"/>
        <v>4.7320000000000002</v>
      </c>
      <c r="AC323" s="10">
        <f t="shared" si="57"/>
        <v>3.532</v>
      </c>
      <c r="AD323" s="10">
        <f t="shared" si="57"/>
        <v>3.899</v>
      </c>
      <c r="AE323" s="10">
        <f t="shared" si="57"/>
        <v>3.5659999999999998</v>
      </c>
      <c r="AF323" s="10">
        <f t="shared" si="57"/>
        <v>0</v>
      </c>
    </row>
    <row r="324" spans="1:32">
      <c r="A324" s="10" t="s">
        <v>328</v>
      </c>
      <c r="B324" s="61" t="s">
        <v>310</v>
      </c>
      <c r="C324" s="10">
        <f t="shared" si="58"/>
        <v>0</v>
      </c>
      <c r="D324" s="10">
        <f t="shared" si="57"/>
        <v>4.319</v>
      </c>
      <c r="E324" s="10">
        <f t="shared" si="57"/>
        <v>0</v>
      </c>
      <c r="F324" s="10">
        <f t="shared" si="57"/>
        <v>0</v>
      </c>
      <c r="G324" s="10">
        <f t="shared" ref="D324:AF332" si="59">ROUND((EXP(7.032824+1*0.622482)*((G24/1.852)^ 0.40303))/(1.15*0.0059)/1000000,3)</f>
        <v>0</v>
      </c>
      <c r="H324" s="10">
        <f t="shared" si="59"/>
        <v>3.9550000000000001</v>
      </c>
      <c r="I324" s="10">
        <f t="shared" si="59"/>
        <v>4.149</v>
      </c>
      <c r="J324" s="10">
        <f t="shared" si="59"/>
        <v>3.802</v>
      </c>
      <c r="K324" s="10">
        <f t="shared" si="59"/>
        <v>2.077</v>
      </c>
      <c r="L324" s="10">
        <f t="shared" si="59"/>
        <v>0</v>
      </c>
      <c r="M324" s="10">
        <f t="shared" si="59"/>
        <v>3.6840000000000002</v>
      </c>
      <c r="N324" s="10">
        <f t="shared" si="59"/>
        <v>0</v>
      </c>
      <c r="O324" s="10">
        <f t="shared" si="59"/>
        <v>0</v>
      </c>
      <c r="P324" s="10">
        <f t="shared" si="59"/>
        <v>4.1449999999999996</v>
      </c>
      <c r="Q324" s="10">
        <f t="shared" si="59"/>
        <v>0</v>
      </c>
      <c r="R324" s="10">
        <f t="shared" si="59"/>
        <v>0</v>
      </c>
      <c r="S324" s="10">
        <f t="shared" si="59"/>
        <v>1.9710000000000001</v>
      </c>
      <c r="T324" s="10">
        <f t="shared" si="59"/>
        <v>0</v>
      </c>
      <c r="U324" s="10">
        <f t="shared" si="59"/>
        <v>0</v>
      </c>
      <c r="V324" s="10">
        <f t="shared" si="59"/>
        <v>0</v>
      </c>
      <c r="W324" s="10">
        <f t="shared" si="59"/>
        <v>4.4279999999999999</v>
      </c>
      <c r="X324" s="10">
        <f t="shared" si="59"/>
        <v>3.9790000000000001</v>
      </c>
      <c r="Y324" s="10">
        <f t="shared" si="59"/>
        <v>3.2749999999999999</v>
      </c>
      <c r="Z324" s="10">
        <f t="shared" si="59"/>
        <v>0</v>
      </c>
      <c r="AA324" s="10">
        <f t="shared" si="59"/>
        <v>4.2649999999999997</v>
      </c>
      <c r="AB324" s="10">
        <f t="shared" si="59"/>
        <v>3.5950000000000002</v>
      </c>
      <c r="AC324" s="10">
        <f t="shared" si="59"/>
        <v>0</v>
      </c>
      <c r="AD324" s="10">
        <f t="shared" si="59"/>
        <v>3.8929999999999998</v>
      </c>
      <c r="AE324" s="10">
        <f t="shared" si="59"/>
        <v>0</v>
      </c>
      <c r="AF324" s="10">
        <f t="shared" si="59"/>
        <v>0</v>
      </c>
    </row>
    <row r="325" spans="1:32">
      <c r="A325" s="10" t="s">
        <v>328</v>
      </c>
      <c r="B325" s="61" t="s">
        <v>297</v>
      </c>
      <c r="C325" s="10">
        <f t="shared" si="58"/>
        <v>4.3479999999999999</v>
      </c>
      <c r="D325" s="10">
        <f t="shared" si="59"/>
        <v>3.5990000000000002</v>
      </c>
      <c r="E325" s="10">
        <f t="shared" si="59"/>
        <v>2.0209999999999999</v>
      </c>
      <c r="F325" s="10">
        <f t="shared" si="59"/>
        <v>0</v>
      </c>
      <c r="G325" s="10">
        <f t="shared" si="59"/>
        <v>3.278</v>
      </c>
      <c r="H325" s="10">
        <f t="shared" si="59"/>
        <v>3.4780000000000002</v>
      </c>
      <c r="I325" s="10">
        <f t="shared" si="59"/>
        <v>2.5920000000000001</v>
      </c>
      <c r="J325" s="10">
        <f t="shared" si="59"/>
        <v>2.9809999999999999</v>
      </c>
      <c r="K325" s="10">
        <f t="shared" si="59"/>
        <v>0</v>
      </c>
      <c r="L325" s="10">
        <f t="shared" si="59"/>
        <v>4.6429999999999998</v>
      </c>
      <c r="M325" s="10">
        <f t="shared" si="59"/>
        <v>0</v>
      </c>
      <c r="N325" s="10">
        <f t="shared" si="59"/>
        <v>0</v>
      </c>
      <c r="O325" s="10">
        <f t="shared" si="59"/>
        <v>4.1269999999999998</v>
      </c>
      <c r="P325" s="10">
        <f t="shared" si="59"/>
        <v>4.149</v>
      </c>
      <c r="Q325" s="10">
        <f t="shared" si="59"/>
        <v>3.82</v>
      </c>
      <c r="R325" s="10">
        <f t="shared" si="59"/>
        <v>4.173</v>
      </c>
      <c r="S325" s="10">
        <f t="shared" si="59"/>
        <v>4.2990000000000004</v>
      </c>
      <c r="T325" s="10">
        <f t="shared" si="59"/>
        <v>2.351</v>
      </c>
      <c r="U325" s="10">
        <f t="shared" si="59"/>
        <v>4.4279999999999999</v>
      </c>
      <c r="V325" s="10">
        <f t="shared" si="59"/>
        <v>0</v>
      </c>
      <c r="W325" s="10">
        <f t="shared" si="59"/>
        <v>0</v>
      </c>
      <c r="X325" s="10">
        <f t="shared" si="59"/>
        <v>4.5570000000000004</v>
      </c>
      <c r="Y325" s="10">
        <f t="shared" si="59"/>
        <v>3.8380000000000001</v>
      </c>
      <c r="Z325" s="10">
        <f t="shared" si="59"/>
        <v>0</v>
      </c>
      <c r="AA325" s="10">
        <f t="shared" si="59"/>
        <v>0</v>
      </c>
      <c r="AB325" s="10">
        <f t="shared" si="59"/>
        <v>4.4260000000000002</v>
      </c>
      <c r="AC325" s="10">
        <f t="shared" si="59"/>
        <v>3.8620000000000001</v>
      </c>
      <c r="AD325" s="10">
        <f t="shared" si="59"/>
        <v>4.024</v>
      </c>
      <c r="AE325" s="10">
        <f t="shared" si="59"/>
        <v>3.2069999999999999</v>
      </c>
      <c r="AF325" s="10">
        <f t="shared" si="59"/>
        <v>0</v>
      </c>
    </row>
    <row r="326" spans="1:32">
      <c r="A326" s="10" t="s">
        <v>328</v>
      </c>
      <c r="B326" s="61" t="s">
        <v>298</v>
      </c>
      <c r="C326" s="10">
        <f t="shared" si="58"/>
        <v>5.8659999999999997</v>
      </c>
      <c r="D326" s="10">
        <f t="shared" si="59"/>
        <v>0</v>
      </c>
      <c r="E326" s="10">
        <f t="shared" si="59"/>
        <v>4.7919999999999998</v>
      </c>
      <c r="F326" s="10">
        <f t="shared" si="59"/>
        <v>0</v>
      </c>
      <c r="G326" s="10">
        <f t="shared" si="59"/>
        <v>0</v>
      </c>
      <c r="H326" s="10">
        <f t="shared" si="59"/>
        <v>4.7990000000000004</v>
      </c>
      <c r="I326" s="10">
        <f t="shared" si="59"/>
        <v>4.6319999999999997</v>
      </c>
      <c r="J326" s="10">
        <f t="shared" si="59"/>
        <v>3.403</v>
      </c>
      <c r="K326" s="10">
        <f t="shared" si="59"/>
        <v>3.7410000000000001</v>
      </c>
      <c r="L326" s="10">
        <f t="shared" si="59"/>
        <v>0</v>
      </c>
      <c r="M326" s="10">
        <f t="shared" si="59"/>
        <v>3.9289999999999998</v>
      </c>
      <c r="N326" s="10">
        <f t="shared" si="59"/>
        <v>0</v>
      </c>
      <c r="O326" s="10">
        <f t="shared" si="59"/>
        <v>0</v>
      </c>
      <c r="P326" s="10">
        <f t="shared" si="59"/>
        <v>0</v>
      </c>
      <c r="Q326" s="10">
        <f t="shared" si="59"/>
        <v>4.9580000000000002</v>
      </c>
      <c r="R326" s="10">
        <f t="shared" si="59"/>
        <v>0</v>
      </c>
      <c r="S326" s="10">
        <f t="shared" si="59"/>
        <v>4.1619999999999999</v>
      </c>
      <c r="T326" s="10">
        <f t="shared" si="59"/>
        <v>4.87</v>
      </c>
      <c r="U326" s="10">
        <f t="shared" si="59"/>
        <v>3.9790000000000001</v>
      </c>
      <c r="V326" s="10">
        <f t="shared" si="59"/>
        <v>0</v>
      </c>
      <c r="W326" s="10">
        <f t="shared" si="59"/>
        <v>4.5570000000000004</v>
      </c>
      <c r="X326" s="10">
        <f t="shared" si="59"/>
        <v>0</v>
      </c>
      <c r="Y326" s="10">
        <f t="shared" si="59"/>
        <v>4.5110000000000001</v>
      </c>
      <c r="Z326" s="10">
        <f t="shared" si="59"/>
        <v>0</v>
      </c>
      <c r="AA326" s="10">
        <f t="shared" si="59"/>
        <v>0</v>
      </c>
      <c r="AB326" s="10">
        <f t="shared" si="59"/>
        <v>2.1739999999999999</v>
      </c>
      <c r="AC326" s="10">
        <f t="shared" si="59"/>
        <v>0</v>
      </c>
      <c r="AD326" s="10">
        <f t="shared" si="59"/>
        <v>0</v>
      </c>
      <c r="AE326" s="10">
        <f t="shared" si="59"/>
        <v>4.617</v>
      </c>
      <c r="AF326" s="10">
        <f t="shared" si="59"/>
        <v>0</v>
      </c>
    </row>
    <row r="327" spans="1:32">
      <c r="A327" s="10" t="s">
        <v>328</v>
      </c>
      <c r="B327" s="61" t="s">
        <v>357</v>
      </c>
      <c r="C327" s="10">
        <f t="shared" si="58"/>
        <v>4.99</v>
      </c>
      <c r="D327" s="10">
        <f t="shared" si="59"/>
        <v>3.3380000000000001</v>
      </c>
      <c r="E327" s="10">
        <f t="shared" si="59"/>
        <v>0</v>
      </c>
      <c r="F327" s="10">
        <f t="shared" si="59"/>
        <v>2.9460000000000002</v>
      </c>
      <c r="G327" s="10">
        <f t="shared" si="59"/>
        <v>3.895</v>
      </c>
      <c r="H327" s="10">
        <f t="shared" si="59"/>
        <v>3.6440000000000001</v>
      </c>
      <c r="I327" s="10">
        <f t="shared" si="59"/>
        <v>4.1470000000000002</v>
      </c>
      <c r="J327" s="10">
        <f t="shared" si="59"/>
        <v>0</v>
      </c>
      <c r="K327" s="10">
        <f t="shared" si="59"/>
        <v>0</v>
      </c>
      <c r="L327" s="10">
        <f t="shared" si="59"/>
        <v>0</v>
      </c>
      <c r="M327" s="10">
        <f t="shared" si="59"/>
        <v>0</v>
      </c>
      <c r="N327" s="10">
        <f t="shared" si="59"/>
        <v>3.0219999999999998</v>
      </c>
      <c r="O327" s="10">
        <f t="shared" si="59"/>
        <v>2.5409999999999999</v>
      </c>
      <c r="P327" s="10">
        <f t="shared" si="59"/>
        <v>2.9390000000000001</v>
      </c>
      <c r="Q327" s="10">
        <f t="shared" si="59"/>
        <v>0</v>
      </c>
      <c r="R327" s="10">
        <f t="shared" si="59"/>
        <v>3.169</v>
      </c>
      <c r="S327" s="10">
        <f t="shared" si="59"/>
        <v>0</v>
      </c>
      <c r="T327" s="10">
        <f t="shared" si="59"/>
        <v>0</v>
      </c>
      <c r="U327" s="10">
        <f t="shared" si="59"/>
        <v>0</v>
      </c>
      <c r="V327" s="10">
        <f t="shared" si="59"/>
        <v>0</v>
      </c>
      <c r="W327" s="10">
        <f t="shared" si="59"/>
        <v>0</v>
      </c>
      <c r="X327" s="10">
        <f t="shared" si="59"/>
        <v>0</v>
      </c>
      <c r="Y327" s="10">
        <f t="shared" si="59"/>
        <v>3.9889999999999999</v>
      </c>
      <c r="Z327" s="10">
        <f t="shared" si="59"/>
        <v>0</v>
      </c>
      <c r="AA327" s="10">
        <f t="shared" si="59"/>
        <v>3.1309999999999998</v>
      </c>
      <c r="AB327" s="10">
        <f t="shared" si="59"/>
        <v>0</v>
      </c>
      <c r="AC327" s="10">
        <f t="shared" si="59"/>
        <v>2.9980000000000002</v>
      </c>
      <c r="AD327" s="10">
        <f t="shared" si="59"/>
        <v>3.32</v>
      </c>
      <c r="AE327" s="10">
        <f t="shared" si="59"/>
        <v>0</v>
      </c>
      <c r="AF327" s="10">
        <f t="shared" si="59"/>
        <v>0</v>
      </c>
    </row>
    <row r="328" spans="1:32">
      <c r="A328" s="10" t="s">
        <v>328</v>
      </c>
      <c r="B328" s="61" t="s">
        <v>299</v>
      </c>
      <c r="C328" s="10">
        <f t="shared" si="58"/>
        <v>5.1959999999999997</v>
      </c>
      <c r="D328" s="10">
        <f t="shared" si="59"/>
        <v>3.2629999999999999</v>
      </c>
      <c r="E328" s="10">
        <f t="shared" si="59"/>
        <v>3.988</v>
      </c>
      <c r="F328" s="10">
        <f t="shared" si="59"/>
        <v>4.1269999999999998</v>
      </c>
      <c r="G328" s="10">
        <f t="shared" si="59"/>
        <v>3.9319999999999999</v>
      </c>
      <c r="H328" s="10">
        <f t="shared" si="59"/>
        <v>2.6890000000000001</v>
      </c>
      <c r="I328" s="10">
        <f t="shared" si="59"/>
        <v>3.27</v>
      </c>
      <c r="J328" s="10">
        <f t="shared" si="59"/>
        <v>3.4910000000000001</v>
      </c>
      <c r="K328" s="10">
        <f t="shared" si="59"/>
        <v>3.637</v>
      </c>
      <c r="L328" s="10">
        <f t="shared" si="59"/>
        <v>0</v>
      </c>
      <c r="M328" s="10">
        <f t="shared" si="59"/>
        <v>4.54</v>
      </c>
      <c r="N328" s="10">
        <f t="shared" si="59"/>
        <v>4.6020000000000003</v>
      </c>
      <c r="O328" s="10">
        <f t="shared" si="59"/>
        <v>3.6240000000000001</v>
      </c>
      <c r="P328" s="10">
        <f t="shared" si="59"/>
        <v>3.0920000000000001</v>
      </c>
      <c r="Q328" s="10">
        <f t="shared" si="59"/>
        <v>0</v>
      </c>
      <c r="R328" s="10">
        <f t="shared" si="59"/>
        <v>4.1929999999999996</v>
      </c>
      <c r="S328" s="10">
        <f t="shared" si="59"/>
        <v>2.8849999999999998</v>
      </c>
      <c r="T328" s="10">
        <f t="shared" si="59"/>
        <v>3.8809999999999998</v>
      </c>
      <c r="U328" s="10">
        <f t="shared" si="59"/>
        <v>3.2749999999999999</v>
      </c>
      <c r="V328" s="10">
        <f t="shared" si="59"/>
        <v>3.9889999999999999</v>
      </c>
      <c r="W328" s="10">
        <f t="shared" si="59"/>
        <v>3.8380000000000001</v>
      </c>
      <c r="X328" s="10">
        <f t="shared" si="59"/>
        <v>4.5110000000000001</v>
      </c>
      <c r="Y328" s="10">
        <f t="shared" si="59"/>
        <v>0</v>
      </c>
      <c r="Z328" s="10">
        <f t="shared" si="59"/>
        <v>0</v>
      </c>
      <c r="AA328" s="10">
        <f t="shared" si="59"/>
        <v>3.6080000000000001</v>
      </c>
      <c r="AB328" s="10">
        <f t="shared" si="59"/>
        <v>4.2240000000000002</v>
      </c>
      <c r="AC328" s="10">
        <f t="shared" si="59"/>
        <v>3.4929999999999999</v>
      </c>
      <c r="AD328" s="10">
        <f t="shared" si="59"/>
        <v>2.661</v>
      </c>
      <c r="AE328" s="10">
        <f t="shared" si="59"/>
        <v>4.63</v>
      </c>
      <c r="AF328" s="10">
        <f t="shared" si="59"/>
        <v>0</v>
      </c>
    </row>
    <row r="329" spans="1:32">
      <c r="A329" s="10" t="s">
        <v>328</v>
      </c>
      <c r="B329" s="61" t="s">
        <v>300</v>
      </c>
      <c r="C329" s="10">
        <f t="shared" si="58"/>
        <v>3.1120000000000001</v>
      </c>
      <c r="D329" s="10">
        <f t="shared" si="59"/>
        <v>0</v>
      </c>
      <c r="E329" s="10">
        <f t="shared" si="59"/>
        <v>0</v>
      </c>
      <c r="F329" s="10">
        <f t="shared" si="59"/>
        <v>0</v>
      </c>
      <c r="G329" s="10">
        <f t="shared" si="59"/>
        <v>0</v>
      </c>
      <c r="H329" s="10">
        <f t="shared" si="59"/>
        <v>0</v>
      </c>
      <c r="I329" s="10">
        <f t="shared" si="59"/>
        <v>0</v>
      </c>
      <c r="J329" s="10">
        <f t="shared" si="59"/>
        <v>0</v>
      </c>
      <c r="K329" s="10">
        <f t="shared" si="59"/>
        <v>0</v>
      </c>
      <c r="L329" s="10">
        <f t="shared" si="59"/>
        <v>2.774</v>
      </c>
      <c r="M329" s="10">
        <f t="shared" si="59"/>
        <v>0</v>
      </c>
      <c r="N329" s="10">
        <f t="shared" si="59"/>
        <v>0</v>
      </c>
      <c r="O329" s="10">
        <f t="shared" si="59"/>
        <v>0</v>
      </c>
      <c r="P329" s="10">
        <f t="shared" si="59"/>
        <v>0</v>
      </c>
      <c r="Q329" s="10">
        <f t="shared" si="59"/>
        <v>0</v>
      </c>
      <c r="R329" s="10">
        <f t="shared" si="59"/>
        <v>0</v>
      </c>
      <c r="S329" s="10">
        <f t="shared" si="59"/>
        <v>0</v>
      </c>
      <c r="T329" s="10">
        <f t="shared" si="59"/>
        <v>0</v>
      </c>
      <c r="U329" s="10">
        <f t="shared" si="59"/>
        <v>0</v>
      </c>
      <c r="V329" s="10">
        <f t="shared" si="59"/>
        <v>0</v>
      </c>
      <c r="W329" s="10">
        <f t="shared" si="59"/>
        <v>0</v>
      </c>
      <c r="X329" s="10">
        <f t="shared" si="59"/>
        <v>0</v>
      </c>
      <c r="Y329" s="10">
        <f t="shared" si="59"/>
        <v>0</v>
      </c>
      <c r="Z329" s="10">
        <f t="shared" si="59"/>
        <v>0</v>
      </c>
      <c r="AA329" s="10">
        <f t="shared" si="59"/>
        <v>0</v>
      </c>
      <c r="AB329" s="10">
        <f t="shared" si="59"/>
        <v>0</v>
      </c>
      <c r="AC329" s="10">
        <f t="shared" si="59"/>
        <v>0</v>
      </c>
      <c r="AD329" s="10">
        <f t="shared" si="59"/>
        <v>0</v>
      </c>
      <c r="AE329" s="10">
        <f t="shared" si="59"/>
        <v>4.835</v>
      </c>
      <c r="AF329" s="10">
        <f t="shared" si="59"/>
        <v>0</v>
      </c>
    </row>
    <row r="330" spans="1:32">
      <c r="A330" s="10" t="s">
        <v>328</v>
      </c>
      <c r="B330" s="61" t="s">
        <v>301</v>
      </c>
      <c r="C330" s="10">
        <f t="shared" si="58"/>
        <v>5.4509999999999996</v>
      </c>
      <c r="D330" s="10">
        <f t="shared" si="59"/>
        <v>3.6819999999999999</v>
      </c>
      <c r="E330" s="10">
        <f t="shared" si="59"/>
        <v>0</v>
      </c>
      <c r="F330" s="10">
        <f t="shared" si="59"/>
        <v>2.5529999999999999</v>
      </c>
      <c r="G330" s="10">
        <f t="shared" si="59"/>
        <v>4.3570000000000002</v>
      </c>
      <c r="H330" s="10">
        <f t="shared" si="59"/>
        <v>3.6669999999999998</v>
      </c>
      <c r="I330" s="10">
        <f t="shared" si="59"/>
        <v>4.2640000000000002</v>
      </c>
      <c r="J330" s="10">
        <f t="shared" si="59"/>
        <v>4.6680000000000001</v>
      </c>
      <c r="K330" s="10">
        <f t="shared" si="59"/>
        <v>0</v>
      </c>
      <c r="L330" s="10">
        <f t="shared" si="59"/>
        <v>0</v>
      </c>
      <c r="M330" s="10">
        <f t="shared" si="59"/>
        <v>0</v>
      </c>
      <c r="N330" s="10">
        <f t="shared" si="59"/>
        <v>3.5409999999999999</v>
      </c>
      <c r="O330" s="10">
        <f t="shared" si="59"/>
        <v>3.3580000000000001</v>
      </c>
      <c r="P330" s="10">
        <f t="shared" si="59"/>
        <v>2.8540000000000001</v>
      </c>
      <c r="Q330" s="10">
        <f t="shared" si="59"/>
        <v>0</v>
      </c>
      <c r="R330" s="10">
        <f t="shared" si="59"/>
        <v>4.0570000000000004</v>
      </c>
      <c r="S330" s="10">
        <f t="shared" si="59"/>
        <v>4.0220000000000002</v>
      </c>
      <c r="T330" s="10">
        <f t="shared" si="59"/>
        <v>0</v>
      </c>
      <c r="U330" s="10">
        <f t="shared" si="59"/>
        <v>4.2649999999999997</v>
      </c>
      <c r="V330" s="10">
        <f t="shared" si="59"/>
        <v>3.1309999999999998</v>
      </c>
      <c r="W330" s="10">
        <f t="shared" si="59"/>
        <v>0</v>
      </c>
      <c r="X330" s="10">
        <f t="shared" si="59"/>
        <v>0</v>
      </c>
      <c r="Y330" s="10">
        <f t="shared" si="59"/>
        <v>3.6080000000000001</v>
      </c>
      <c r="Z330" s="10">
        <f t="shared" si="59"/>
        <v>0</v>
      </c>
      <c r="AA330" s="10">
        <f t="shared" si="59"/>
        <v>0</v>
      </c>
      <c r="AB330" s="10">
        <f t="shared" si="59"/>
        <v>0</v>
      </c>
      <c r="AC330" s="10">
        <f t="shared" si="59"/>
        <v>3.569</v>
      </c>
      <c r="AD330" s="10">
        <f t="shared" si="59"/>
        <v>3.028</v>
      </c>
      <c r="AE330" s="10">
        <f t="shared" si="59"/>
        <v>0</v>
      </c>
      <c r="AF330" s="10">
        <f t="shared" si="59"/>
        <v>3.7639999999999998</v>
      </c>
    </row>
    <row r="331" spans="1:32">
      <c r="A331" s="10" t="s">
        <v>328</v>
      </c>
      <c r="B331" s="61" t="s">
        <v>303</v>
      </c>
      <c r="C331" s="10">
        <f t="shared" si="58"/>
        <v>5.7960000000000003</v>
      </c>
      <c r="D331" s="10">
        <f t="shared" si="59"/>
        <v>4.8650000000000002</v>
      </c>
      <c r="E331" s="10">
        <f t="shared" si="59"/>
        <v>4.6710000000000003</v>
      </c>
      <c r="F331" s="10">
        <f t="shared" si="59"/>
        <v>0</v>
      </c>
      <c r="G331" s="10">
        <f t="shared" si="59"/>
        <v>5.0430000000000001</v>
      </c>
      <c r="H331" s="10">
        <f t="shared" si="59"/>
        <v>4.57</v>
      </c>
      <c r="I331" s="10">
        <f t="shared" si="59"/>
        <v>4.4400000000000004</v>
      </c>
      <c r="J331" s="10">
        <f t="shared" si="59"/>
        <v>2.7160000000000002</v>
      </c>
      <c r="K331" s="10">
        <f t="shared" si="59"/>
        <v>3.327</v>
      </c>
      <c r="L331" s="10">
        <f t="shared" si="59"/>
        <v>0</v>
      </c>
      <c r="M331" s="10">
        <f t="shared" si="59"/>
        <v>2.9860000000000002</v>
      </c>
      <c r="N331" s="10">
        <f t="shared" si="59"/>
        <v>0</v>
      </c>
      <c r="O331" s="10">
        <f t="shared" si="59"/>
        <v>5.1689999999999996</v>
      </c>
      <c r="P331" s="10">
        <f t="shared" si="59"/>
        <v>4.9189999999999996</v>
      </c>
      <c r="Q331" s="10">
        <f t="shared" si="59"/>
        <v>0</v>
      </c>
      <c r="R331" s="10">
        <f t="shared" si="59"/>
        <v>5.444</v>
      </c>
      <c r="S331" s="10">
        <f t="shared" si="59"/>
        <v>3.8050000000000002</v>
      </c>
      <c r="T331" s="10">
        <f t="shared" si="59"/>
        <v>4.7320000000000002</v>
      </c>
      <c r="U331" s="10">
        <f t="shared" si="59"/>
        <v>3.5950000000000002</v>
      </c>
      <c r="V331" s="10">
        <f t="shared" si="59"/>
        <v>0</v>
      </c>
      <c r="W331" s="10">
        <f t="shared" si="59"/>
        <v>4.4260000000000002</v>
      </c>
      <c r="X331" s="10">
        <f t="shared" si="59"/>
        <v>2.1739999999999999</v>
      </c>
      <c r="Y331" s="10">
        <f t="shared" si="59"/>
        <v>4.2240000000000002</v>
      </c>
      <c r="Z331" s="10">
        <f t="shared" si="59"/>
        <v>0</v>
      </c>
      <c r="AA331" s="10">
        <f t="shared" si="59"/>
        <v>0</v>
      </c>
      <c r="AB331" s="10">
        <f t="shared" si="59"/>
        <v>0</v>
      </c>
      <c r="AC331" s="10">
        <f t="shared" si="59"/>
        <v>5.0439999999999996</v>
      </c>
      <c r="AD331" s="10">
        <f t="shared" si="59"/>
        <v>4.7190000000000003</v>
      </c>
      <c r="AE331" s="10">
        <f t="shared" si="59"/>
        <v>4.609</v>
      </c>
      <c r="AF331" s="10">
        <f t="shared" si="59"/>
        <v>0</v>
      </c>
    </row>
    <row r="332" spans="1:32">
      <c r="A332" s="10" t="s">
        <v>328</v>
      </c>
      <c r="B332" s="61" t="s">
        <v>304</v>
      </c>
      <c r="C332" s="10">
        <f t="shared" si="58"/>
        <v>4.5919999999999996</v>
      </c>
      <c r="D332" s="10">
        <f t="shared" si="59"/>
        <v>1.93</v>
      </c>
      <c r="E332" s="10">
        <f t="shared" si="59"/>
        <v>3.7730000000000001</v>
      </c>
      <c r="F332" s="10">
        <f t="shared" si="59"/>
        <v>3.78</v>
      </c>
      <c r="G332" s="10">
        <f t="shared" si="59"/>
        <v>3</v>
      </c>
      <c r="H332" s="10">
        <f t="shared" si="59"/>
        <v>2.7280000000000002</v>
      </c>
      <c r="I332" s="10">
        <f t="shared" si="59"/>
        <v>3.29</v>
      </c>
      <c r="J332" s="10">
        <f t="shared" si="59"/>
        <v>4.149</v>
      </c>
      <c r="K332" s="10">
        <f t="shared" si="59"/>
        <v>0</v>
      </c>
      <c r="L332" s="10">
        <f t="shared" si="59"/>
        <v>4.7880000000000003</v>
      </c>
      <c r="M332" s="10">
        <f t="shared" si="59"/>
        <v>0</v>
      </c>
      <c r="N332" s="10">
        <f t="shared" si="59"/>
        <v>3.9790000000000001</v>
      </c>
      <c r="O332" s="10">
        <f t="shared" si="59"/>
        <v>1.9330000000000001</v>
      </c>
      <c r="P332" s="10">
        <f t="shared" si="59"/>
        <v>2.6320000000000001</v>
      </c>
      <c r="Q332" s="10">
        <f t="shared" si="59"/>
        <v>0</v>
      </c>
      <c r="R332" s="10">
        <f t="shared" si="59"/>
        <v>2.7959999999999998</v>
      </c>
      <c r="S332" s="10">
        <f t="shared" si="59"/>
        <v>4.2389999999999999</v>
      </c>
      <c r="T332" s="10">
        <f t="shared" si="59"/>
        <v>3.532</v>
      </c>
      <c r="U332" s="10">
        <f t="shared" si="59"/>
        <v>0</v>
      </c>
      <c r="V332" s="10">
        <f t="shared" si="59"/>
        <v>2.9980000000000002</v>
      </c>
      <c r="W332" s="10">
        <f t="shared" si="59"/>
        <v>3.8620000000000001</v>
      </c>
      <c r="X332" s="10">
        <f t="shared" si="59"/>
        <v>0</v>
      </c>
      <c r="Y332" s="10">
        <f t="shared" si="59"/>
        <v>3.4929999999999999</v>
      </c>
      <c r="Z332" s="10">
        <f t="shared" si="59"/>
        <v>0</v>
      </c>
      <c r="AA332" s="10">
        <f t="shared" si="59"/>
        <v>3.569</v>
      </c>
      <c r="AB332" s="10">
        <f t="shared" si="59"/>
        <v>5.0439999999999996</v>
      </c>
      <c r="AC332" s="10">
        <f t="shared" si="59"/>
        <v>0</v>
      </c>
      <c r="AD332" s="10">
        <f t="shared" ref="D332:AF335" si="60">ROUND((EXP(7.032824+1*0.622482)*((AD32/1.852)^ 0.40303))/(1.15*0.0059)/1000000,3)</f>
        <v>2.86</v>
      </c>
      <c r="AE332" s="10">
        <f t="shared" si="60"/>
        <v>0</v>
      </c>
      <c r="AF332" s="10">
        <f t="shared" si="60"/>
        <v>0</v>
      </c>
    </row>
    <row r="333" spans="1:32">
      <c r="A333" s="10" t="s">
        <v>328</v>
      </c>
      <c r="B333" s="61" t="s">
        <v>305</v>
      </c>
      <c r="C333" s="10">
        <f t="shared" si="58"/>
        <v>5.0670000000000002</v>
      </c>
      <c r="D333" s="10">
        <f t="shared" si="60"/>
        <v>2.7610000000000001</v>
      </c>
      <c r="E333" s="10">
        <f t="shared" si="60"/>
        <v>4.0679999999999996</v>
      </c>
      <c r="F333" s="10">
        <f t="shared" si="60"/>
        <v>3.5880000000000001</v>
      </c>
      <c r="G333" s="10">
        <f t="shared" si="60"/>
        <v>3.714</v>
      </c>
      <c r="H333" s="10">
        <f t="shared" si="60"/>
        <v>2.4940000000000002</v>
      </c>
      <c r="I333" s="10">
        <f t="shared" si="60"/>
        <v>3.4140000000000001</v>
      </c>
      <c r="J333" s="10">
        <f t="shared" si="60"/>
        <v>3.9769999999999999</v>
      </c>
      <c r="K333" s="10">
        <f t="shared" si="60"/>
        <v>4.1970000000000001</v>
      </c>
      <c r="L333" s="10">
        <f t="shared" si="60"/>
        <v>0</v>
      </c>
      <c r="M333" s="10">
        <f t="shared" si="60"/>
        <v>0</v>
      </c>
      <c r="N333" s="10">
        <f t="shared" si="60"/>
        <v>4.0979999999999999</v>
      </c>
      <c r="O333" s="10">
        <f t="shared" si="60"/>
        <v>2.9</v>
      </c>
      <c r="P333" s="10">
        <f t="shared" si="60"/>
        <v>1.931</v>
      </c>
      <c r="Q333" s="10">
        <f t="shared" si="60"/>
        <v>0</v>
      </c>
      <c r="R333" s="10">
        <f t="shared" si="60"/>
        <v>3.722</v>
      </c>
      <c r="S333" s="10">
        <f t="shared" si="60"/>
        <v>3.5859999999999999</v>
      </c>
      <c r="T333" s="10">
        <f t="shared" si="60"/>
        <v>3.899</v>
      </c>
      <c r="U333" s="10">
        <f t="shared" si="60"/>
        <v>3.8929999999999998</v>
      </c>
      <c r="V333" s="10">
        <f t="shared" si="60"/>
        <v>3.32</v>
      </c>
      <c r="W333" s="10">
        <f t="shared" si="60"/>
        <v>4.024</v>
      </c>
      <c r="X333" s="10">
        <f t="shared" si="60"/>
        <v>0</v>
      </c>
      <c r="Y333" s="10">
        <f t="shared" si="60"/>
        <v>2.661</v>
      </c>
      <c r="Z333" s="10">
        <f t="shared" si="60"/>
        <v>0</v>
      </c>
      <c r="AA333" s="10">
        <f t="shared" si="60"/>
        <v>3.028</v>
      </c>
      <c r="AB333" s="10">
        <f t="shared" si="60"/>
        <v>4.7190000000000003</v>
      </c>
      <c r="AC333" s="10">
        <f t="shared" si="60"/>
        <v>2.86</v>
      </c>
      <c r="AD333" s="10">
        <f t="shared" si="60"/>
        <v>0</v>
      </c>
      <c r="AE333" s="10">
        <f t="shared" si="60"/>
        <v>0</v>
      </c>
      <c r="AF333" s="10">
        <f t="shared" si="60"/>
        <v>0</v>
      </c>
    </row>
    <row r="334" spans="1:32">
      <c r="A334" s="10" t="s">
        <v>328</v>
      </c>
      <c r="B334" s="10" t="s">
        <v>356</v>
      </c>
      <c r="C334" s="10">
        <f t="shared" si="58"/>
        <v>0</v>
      </c>
      <c r="D334" s="10">
        <f t="shared" si="60"/>
        <v>0</v>
      </c>
      <c r="E334" s="10">
        <f t="shared" si="60"/>
        <v>0</v>
      </c>
      <c r="F334" s="10">
        <f t="shared" si="60"/>
        <v>2.7909999999999999</v>
      </c>
      <c r="G334" s="10">
        <f t="shared" si="60"/>
        <v>0</v>
      </c>
      <c r="H334" s="10">
        <f t="shared" si="60"/>
        <v>0</v>
      </c>
      <c r="I334" s="10">
        <f t="shared" si="60"/>
        <v>0</v>
      </c>
      <c r="J334" s="10">
        <f t="shared" si="60"/>
        <v>0</v>
      </c>
      <c r="K334" s="10">
        <f t="shared" si="60"/>
        <v>0</v>
      </c>
      <c r="L334" s="10">
        <f t="shared" si="60"/>
        <v>0</v>
      </c>
      <c r="M334" s="10">
        <f t="shared" si="60"/>
        <v>0</v>
      </c>
      <c r="N334" s="10">
        <f t="shared" si="60"/>
        <v>3.7120000000000002</v>
      </c>
      <c r="O334" s="10">
        <f t="shared" si="60"/>
        <v>0</v>
      </c>
      <c r="P334" s="10">
        <f t="shared" si="60"/>
        <v>0</v>
      </c>
      <c r="Q334" s="10">
        <f t="shared" si="60"/>
        <v>0</v>
      </c>
      <c r="R334" s="10">
        <f t="shared" si="60"/>
        <v>0</v>
      </c>
      <c r="S334" s="10">
        <f t="shared" si="60"/>
        <v>0</v>
      </c>
      <c r="T334" s="10">
        <f t="shared" si="60"/>
        <v>0</v>
      </c>
      <c r="U334" s="10">
        <f t="shared" si="60"/>
        <v>0</v>
      </c>
      <c r="V334" s="10">
        <f t="shared" si="60"/>
        <v>0</v>
      </c>
      <c r="W334" s="10">
        <f t="shared" si="60"/>
        <v>0</v>
      </c>
      <c r="X334" s="10">
        <f t="shared" si="60"/>
        <v>0</v>
      </c>
      <c r="Y334" s="10">
        <f t="shared" si="60"/>
        <v>0</v>
      </c>
      <c r="Z334" s="10">
        <f t="shared" si="60"/>
        <v>0</v>
      </c>
      <c r="AA334" s="10">
        <f t="shared" si="60"/>
        <v>3.7639999999999998</v>
      </c>
      <c r="AB334" s="10">
        <f t="shared" si="60"/>
        <v>0</v>
      </c>
      <c r="AC334" s="10">
        <f t="shared" si="60"/>
        <v>0</v>
      </c>
      <c r="AD334" s="10">
        <f t="shared" si="60"/>
        <v>0</v>
      </c>
      <c r="AE334" s="10">
        <f t="shared" si="60"/>
        <v>0</v>
      </c>
      <c r="AF334" s="10">
        <f t="shared" si="60"/>
        <v>0</v>
      </c>
    </row>
    <row r="335" spans="1:32">
      <c r="A335" s="10" t="s">
        <v>328</v>
      </c>
      <c r="B335" s="61" t="s">
        <v>307</v>
      </c>
      <c r="C335" s="10">
        <f t="shared" si="58"/>
        <v>3.198</v>
      </c>
      <c r="D335" s="10">
        <f t="shared" si="60"/>
        <v>4.4989999999999997</v>
      </c>
      <c r="E335" s="10">
        <f t="shared" si="60"/>
        <v>3.294</v>
      </c>
      <c r="F335" s="10">
        <f t="shared" si="60"/>
        <v>0</v>
      </c>
      <c r="G335" s="10">
        <f t="shared" si="60"/>
        <v>4.1349999999999998</v>
      </c>
      <c r="H335" s="10">
        <f t="shared" si="60"/>
        <v>4.423</v>
      </c>
      <c r="I335" s="10">
        <f t="shared" si="60"/>
        <v>3.8650000000000002</v>
      </c>
      <c r="J335" s="10">
        <f t="shared" si="60"/>
        <v>3.68</v>
      </c>
      <c r="K335" s="10">
        <f t="shared" si="60"/>
        <v>0</v>
      </c>
      <c r="L335" s="10">
        <f t="shared" si="60"/>
        <v>4.6879999999999997</v>
      </c>
      <c r="M335" s="10">
        <f t="shared" si="60"/>
        <v>0</v>
      </c>
      <c r="N335" s="10">
        <f t="shared" si="60"/>
        <v>0</v>
      </c>
      <c r="O335" s="10">
        <f t="shared" si="60"/>
        <v>0</v>
      </c>
      <c r="P335" s="10">
        <f t="shared" si="60"/>
        <v>0</v>
      </c>
      <c r="Q335" s="10">
        <f t="shared" si="60"/>
        <v>2.6139999999999999</v>
      </c>
      <c r="R335" s="10">
        <f t="shared" si="60"/>
        <v>4.8360000000000003</v>
      </c>
      <c r="S335" s="10">
        <f t="shared" si="60"/>
        <v>0</v>
      </c>
      <c r="T335" s="10">
        <f t="shared" si="60"/>
        <v>3.5659999999999998</v>
      </c>
      <c r="U335" s="10">
        <f t="shared" si="60"/>
        <v>0</v>
      </c>
      <c r="V335" s="10">
        <f t="shared" si="60"/>
        <v>0</v>
      </c>
      <c r="W335" s="10">
        <f t="shared" si="60"/>
        <v>3.2069999999999999</v>
      </c>
      <c r="X335" s="10">
        <f t="shared" si="60"/>
        <v>4.617</v>
      </c>
      <c r="Y335" s="10">
        <f t="shared" si="60"/>
        <v>4.63</v>
      </c>
      <c r="Z335" s="10">
        <f t="shared" si="60"/>
        <v>4.835</v>
      </c>
      <c r="AA335" s="10">
        <f t="shared" si="60"/>
        <v>0</v>
      </c>
      <c r="AB335" s="10">
        <f t="shared" si="60"/>
        <v>4.609</v>
      </c>
      <c r="AC335" s="10">
        <f t="shared" si="60"/>
        <v>0</v>
      </c>
      <c r="AD335" s="10">
        <f t="shared" si="60"/>
        <v>0</v>
      </c>
      <c r="AE335" s="10">
        <f t="shared" si="60"/>
        <v>0</v>
      </c>
      <c r="AF335" s="10">
        <f t="shared" si="60"/>
        <v>0</v>
      </c>
    </row>
    <row r="336" spans="1:32">
      <c r="A336" s="10" t="s">
        <v>368</v>
      </c>
      <c r="B336" s="61" t="s">
        <v>278</v>
      </c>
      <c r="C336" s="10">
        <f>IF(C186&gt;0,0.01,0)</f>
        <v>0.01</v>
      </c>
      <c r="D336" s="10">
        <f t="shared" ref="D336:AF345" si="61">IF(D186&gt;0,0.01,0)</f>
        <v>0</v>
      </c>
      <c r="E336" s="10">
        <f t="shared" si="61"/>
        <v>0.01</v>
      </c>
      <c r="F336" s="10">
        <f t="shared" si="61"/>
        <v>0.01</v>
      </c>
      <c r="G336" s="10">
        <f t="shared" si="61"/>
        <v>0.01</v>
      </c>
      <c r="H336" s="10">
        <f t="shared" si="61"/>
        <v>0.01</v>
      </c>
      <c r="I336" s="10">
        <f t="shared" si="61"/>
        <v>0.01</v>
      </c>
      <c r="J336" s="10">
        <f t="shared" si="61"/>
        <v>0.01</v>
      </c>
      <c r="K336" s="10">
        <f t="shared" si="61"/>
        <v>0</v>
      </c>
      <c r="L336" s="10">
        <f t="shared" si="61"/>
        <v>0.01</v>
      </c>
      <c r="M336" s="10">
        <f t="shared" si="61"/>
        <v>0</v>
      </c>
      <c r="N336" s="10">
        <f t="shared" si="61"/>
        <v>0.01</v>
      </c>
      <c r="O336" s="10">
        <f t="shared" si="61"/>
        <v>0.01</v>
      </c>
      <c r="P336" s="10">
        <f t="shared" si="61"/>
        <v>0.01</v>
      </c>
      <c r="Q336" s="10">
        <f t="shared" si="61"/>
        <v>0</v>
      </c>
      <c r="R336" s="10">
        <f t="shared" si="61"/>
        <v>0.01</v>
      </c>
      <c r="S336" s="10">
        <f t="shared" si="61"/>
        <v>0.01</v>
      </c>
      <c r="T336" s="10">
        <f t="shared" si="61"/>
        <v>0.01</v>
      </c>
      <c r="U336" s="10">
        <f t="shared" si="61"/>
        <v>0.01</v>
      </c>
      <c r="V336" s="10">
        <f t="shared" si="61"/>
        <v>0.01</v>
      </c>
      <c r="W336" s="10">
        <f t="shared" si="61"/>
        <v>0.01</v>
      </c>
      <c r="X336" s="10">
        <f t="shared" si="61"/>
        <v>0</v>
      </c>
      <c r="Y336" s="10">
        <f t="shared" si="61"/>
        <v>0.01</v>
      </c>
      <c r="Z336" s="10">
        <f t="shared" si="61"/>
        <v>0</v>
      </c>
      <c r="AA336" s="10">
        <f t="shared" si="61"/>
        <v>0.01</v>
      </c>
      <c r="AB336" s="10">
        <f t="shared" si="61"/>
        <v>0.01</v>
      </c>
      <c r="AC336" s="10">
        <f t="shared" si="61"/>
        <v>0.01</v>
      </c>
      <c r="AD336" s="10">
        <f t="shared" si="61"/>
        <v>0.01</v>
      </c>
      <c r="AE336" s="10">
        <f t="shared" si="61"/>
        <v>0.01</v>
      </c>
      <c r="AF336" s="10">
        <f t="shared" si="61"/>
        <v>0</v>
      </c>
    </row>
    <row r="337" spans="1:32">
      <c r="A337" s="10" t="s">
        <v>368</v>
      </c>
      <c r="B337" s="61" t="s">
        <v>280</v>
      </c>
      <c r="C337" s="10">
        <f t="shared" ref="C337:R352" si="62">IF(C187&gt;0,0.01,0)</f>
        <v>0.01</v>
      </c>
      <c r="D337" s="10">
        <f t="shared" si="62"/>
        <v>0.01</v>
      </c>
      <c r="E337" s="10">
        <f t="shared" si="62"/>
        <v>0</v>
      </c>
      <c r="F337" s="10">
        <f t="shared" si="62"/>
        <v>0</v>
      </c>
      <c r="G337" s="10">
        <f t="shared" si="62"/>
        <v>0.01</v>
      </c>
      <c r="H337" s="10">
        <f t="shared" si="62"/>
        <v>0.01</v>
      </c>
      <c r="I337" s="10">
        <f t="shared" si="62"/>
        <v>0.01</v>
      </c>
      <c r="J337" s="10">
        <f t="shared" si="62"/>
        <v>0.01</v>
      </c>
      <c r="K337" s="10">
        <f t="shared" si="62"/>
        <v>0</v>
      </c>
      <c r="L337" s="10">
        <f t="shared" si="62"/>
        <v>0.01</v>
      </c>
      <c r="M337" s="10">
        <f t="shared" si="62"/>
        <v>0</v>
      </c>
      <c r="N337" s="10">
        <f t="shared" si="62"/>
        <v>0</v>
      </c>
      <c r="O337" s="10">
        <f t="shared" si="62"/>
        <v>0.01</v>
      </c>
      <c r="P337" s="10">
        <f t="shared" si="62"/>
        <v>0.01</v>
      </c>
      <c r="Q337" s="10">
        <f t="shared" si="62"/>
        <v>0.01</v>
      </c>
      <c r="R337" s="10">
        <f t="shared" si="62"/>
        <v>0.01</v>
      </c>
      <c r="S337" s="10">
        <f t="shared" si="61"/>
        <v>0</v>
      </c>
      <c r="T337" s="10">
        <f t="shared" si="61"/>
        <v>0.01</v>
      </c>
      <c r="U337" s="10">
        <f t="shared" si="61"/>
        <v>0</v>
      </c>
      <c r="V337" s="10">
        <f t="shared" si="61"/>
        <v>0</v>
      </c>
      <c r="W337" s="10">
        <f t="shared" si="61"/>
        <v>0.01</v>
      </c>
      <c r="X337" s="10">
        <f t="shared" si="61"/>
        <v>0.01</v>
      </c>
      <c r="Y337" s="10">
        <f t="shared" si="61"/>
        <v>0.01</v>
      </c>
      <c r="Z337" s="10">
        <f t="shared" si="61"/>
        <v>0</v>
      </c>
      <c r="AA337" s="10">
        <f t="shared" si="61"/>
        <v>0</v>
      </c>
      <c r="AB337" s="10">
        <f t="shared" si="61"/>
        <v>0.01</v>
      </c>
      <c r="AC337" s="10">
        <f t="shared" si="61"/>
        <v>0.01</v>
      </c>
      <c r="AD337" s="10">
        <f t="shared" si="61"/>
        <v>0.01</v>
      </c>
      <c r="AE337" s="10">
        <f t="shared" si="61"/>
        <v>0.01</v>
      </c>
      <c r="AF337" s="10">
        <f t="shared" si="61"/>
        <v>0</v>
      </c>
    </row>
    <row r="338" spans="1:32">
      <c r="A338" s="10" t="s">
        <v>368</v>
      </c>
      <c r="B338" s="61" t="s">
        <v>281</v>
      </c>
      <c r="C338" s="10">
        <f t="shared" si="62"/>
        <v>0</v>
      </c>
      <c r="D338" s="10">
        <f t="shared" si="61"/>
        <v>0.01</v>
      </c>
      <c r="E338" s="10">
        <f t="shared" si="61"/>
        <v>0</v>
      </c>
      <c r="F338" s="10">
        <f t="shared" si="61"/>
        <v>0</v>
      </c>
      <c r="G338" s="10">
        <f t="shared" si="61"/>
        <v>0.01</v>
      </c>
      <c r="H338" s="10">
        <f t="shared" si="61"/>
        <v>0.01</v>
      </c>
      <c r="I338" s="10">
        <f t="shared" si="61"/>
        <v>0.01</v>
      </c>
      <c r="J338" s="10">
        <f t="shared" si="61"/>
        <v>0</v>
      </c>
      <c r="K338" s="10">
        <f t="shared" si="61"/>
        <v>0</v>
      </c>
      <c r="L338" s="10">
        <f t="shared" si="61"/>
        <v>0</v>
      </c>
      <c r="M338" s="10">
        <f t="shared" si="61"/>
        <v>0</v>
      </c>
      <c r="N338" s="10">
        <f t="shared" si="61"/>
        <v>0.01</v>
      </c>
      <c r="O338" s="10">
        <f t="shared" si="61"/>
        <v>0.01</v>
      </c>
      <c r="P338" s="10">
        <f t="shared" si="61"/>
        <v>0.01</v>
      </c>
      <c r="Q338" s="10">
        <f t="shared" si="61"/>
        <v>0</v>
      </c>
      <c r="R338" s="10">
        <f t="shared" si="61"/>
        <v>0.01</v>
      </c>
      <c r="S338" s="10">
        <f t="shared" si="61"/>
        <v>0</v>
      </c>
      <c r="T338" s="10">
        <f t="shared" si="61"/>
        <v>0</v>
      </c>
      <c r="U338" s="10">
        <f t="shared" si="61"/>
        <v>0</v>
      </c>
      <c r="V338" s="10">
        <f t="shared" si="61"/>
        <v>0.01</v>
      </c>
      <c r="W338" s="10">
        <f t="shared" si="61"/>
        <v>0</v>
      </c>
      <c r="X338" s="10">
        <f t="shared" si="61"/>
        <v>0</v>
      </c>
      <c r="Y338" s="10">
        <f t="shared" si="61"/>
        <v>0.01</v>
      </c>
      <c r="Z338" s="10">
        <f t="shared" si="61"/>
        <v>0</v>
      </c>
      <c r="AA338" s="10">
        <f t="shared" si="61"/>
        <v>0.01</v>
      </c>
      <c r="AB338" s="10">
        <f t="shared" si="61"/>
        <v>0</v>
      </c>
      <c r="AC338" s="10">
        <f t="shared" si="61"/>
        <v>0.01</v>
      </c>
      <c r="AD338" s="10">
        <f t="shared" si="61"/>
        <v>0.01</v>
      </c>
      <c r="AE338" s="10">
        <f t="shared" si="61"/>
        <v>0</v>
      </c>
      <c r="AF338" s="10">
        <f t="shared" si="61"/>
        <v>0.01</v>
      </c>
    </row>
    <row r="339" spans="1:32">
      <c r="A339" s="10" t="s">
        <v>368</v>
      </c>
      <c r="B339" s="61" t="s">
        <v>282</v>
      </c>
      <c r="C339" s="10">
        <f t="shared" si="62"/>
        <v>0.01</v>
      </c>
      <c r="D339" s="10">
        <f t="shared" si="61"/>
        <v>0.01</v>
      </c>
      <c r="E339" s="10">
        <f t="shared" si="61"/>
        <v>0.01</v>
      </c>
      <c r="F339" s="10">
        <f t="shared" si="61"/>
        <v>0.01</v>
      </c>
      <c r="G339" s="10">
        <f t="shared" si="61"/>
        <v>0</v>
      </c>
      <c r="H339" s="10">
        <f t="shared" si="61"/>
        <v>0.01</v>
      </c>
      <c r="I339" s="10">
        <f t="shared" si="61"/>
        <v>0.01</v>
      </c>
      <c r="J339" s="10">
        <f t="shared" si="61"/>
        <v>0.01</v>
      </c>
      <c r="K339" s="10">
        <f t="shared" si="61"/>
        <v>0</v>
      </c>
      <c r="L339" s="10">
        <f t="shared" si="61"/>
        <v>0.01</v>
      </c>
      <c r="M339" s="10">
        <f t="shared" si="61"/>
        <v>0</v>
      </c>
      <c r="N339" s="10">
        <f t="shared" si="61"/>
        <v>0</v>
      </c>
      <c r="O339" s="10">
        <f t="shared" si="61"/>
        <v>0.01</v>
      </c>
      <c r="P339" s="10">
        <f t="shared" si="61"/>
        <v>0.01</v>
      </c>
      <c r="Q339" s="10">
        <f t="shared" si="61"/>
        <v>0</v>
      </c>
      <c r="R339" s="10">
        <f t="shared" si="61"/>
        <v>0.01</v>
      </c>
      <c r="S339" s="10">
        <f t="shared" si="61"/>
        <v>0</v>
      </c>
      <c r="T339" s="10">
        <f t="shared" si="61"/>
        <v>0.01</v>
      </c>
      <c r="U339" s="10">
        <f t="shared" si="61"/>
        <v>0</v>
      </c>
      <c r="V339" s="10">
        <f t="shared" si="61"/>
        <v>0.01</v>
      </c>
      <c r="W339" s="10">
        <f t="shared" si="61"/>
        <v>0.01</v>
      </c>
      <c r="X339" s="10">
        <f t="shared" si="61"/>
        <v>0</v>
      </c>
      <c r="Y339" s="10">
        <f t="shared" si="61"/>
        <v>0.01</v>
      </c>
      <c r="Z339" s="10">
        <f t="shared" si="61"/>
        <v>0</v>
      </c>
      <c r="AA339" s="10">
        <f t="shared" si="61"/>
        <v>0.01</v>
      </c>
      <c r="AB339" s="10">
        <f t="shared" si="61"/>
        <v>0.01</v>
      </c>
      <c r="AC339" s="10">
        <f t="shared" si="61"/>
        <v>0.01</v>
      </c>
      <c r="AD339" s="10">
        <f t="shared" si="61"/>
        <v>0.01</v>
      </c>
      <c r="AE339" s="10">
        <f t="shared" si="61"/>
        <v>0.01</v>
      </c>
      <c r="AF339" s="10">
        <f t="shared" si="61"/>
        <v>0</v>
      </c>
    </row>
    <row r="340" spans="1:32">
      <c r="A340" s="10" t="s">
        <v>368</v>
      </c>
      <c r="B340" s="61" t="s">
        <v>283</v>
      </c>
      <c r="C340" s="10">
        <f t="shared" si="62"/>
        <v>0.01</v>
      </c>
      <c r="D340" s="10">
        <f t="shared" si="61"/>
        <v>0.01</v>
      </c>
      <c r="E340" s="10">
        <f t="shared" si="61"/>
        <v>0.01</v>
      </c>
      <c r="F340" s="10">
        <f t="shared" si="61"/>
        <v>0.01</v>
      </c>
      <c r="G340" s="10">
        <f t="shared" si="61"/>
        <v>0.01</v>
      </c>
      <c r="H340" s="10">
        <f t="shared" si="61"/>
        <v>0</v>
      </c>
      <c r="I340" s="10">
        <f t="shared" si="61"/>
        <v>0.01</v>
      </c>
      <c r="J340" s="10">
        <f t="shared" si="61"/>
        <v>0.01</v>
      </c>
      <c r="K340" s="10">
        <f t="shared" si="61"/>
        <v>0.01</v>
      </c>
      <c r="L340" s="10">
        <f t="shared" si="61"/>
        <v>0</v>
      </c>
      <c r="M340" s="10">
        <f t="shared" si="61"/>
        <v>0</v>
      </c>
      <c r="N340" s="10">
        <f t="shared" si="61"/>
        <v>0.01</v>
      </c>
      <c r="O340" s="10">
        <f t="shared" si="61"/>
        <v>0.01</v>
      </c>
      <c r="P340" s="10">
        <f t="shared" si="61"/>
        <v>0.01</v>
      </c>
      <c r="Q340" s="10">
        <f t="shared" si="61"/>
        <v>0</v>
      </c>
      <c r="R340" s="10">
        <f t="shared" si="61"/>
        <v>0.01</v>
      </c>
      <c r="S340" s="10">
        <f t="shared" si="61"/>
        <v>0.01</v>
      </c>
      <c r="T340" s="10">
        <f t="shared" si="61"/>
        <v>0.01</v>
      </c>
      <c r="U340" s="10">
        <f t="shared" si="61"/>
        <v>0.01</v>
      </c>
      <c r="V340" s="10">
        <f t="shared" si="61"/>
        <v>0.01</v>
      </c>
      <c r="W340" s="10">
        <f t="shared" si="61"/>
        <v>0.01</v>
      </c>
      <c r="X340" s="10">
        <f t="shared" si="61"/>
        <v>0.01</v>
      </c>
      <c r="Y340" s="10">
        <f t="shared" si="61"/>
        <v>0.01</v>
      </c>
      <c r="Z340" s="10">
        <f t="shared" si="61"/>
        <v>0</v>
      </c>
      <c r="AA340" s="10">
        <f t="shared" si="61"/>
        <v>0.01</v>
      </c>
      <c r="AB340" s="10">
        <f t="shared" si="61"/>
        <v>0.01</v>
      </c>
      <c r="AC340" s="10">
        <f t="shared" si="61"/>
        <v>0.01</v>
      </c>
      <c r="AD340" s="10">
        <f t="shared" si="61"/>
        <v>0.01</v>
      </c>
      <c r="AE340" s="10">
        <f t="shared" si="61"/>
        <v>0.01</v>
      </c>
      <c r="AF340" s="10">
        <f t="shared" si="61"/>
        <v>0</v>
      </c>
    </row>
    <row r="341" spans="1:32">
      <c r="A341" s="10" t="s">
        <v>368</v>
      </c>
      <c r="B341" s="61" t="s">
        <v>284</v>
      </c>
      <c r="C341" s="10">
        <f t="shared" si="62"/>
        <v>0.01</v>
      </c>
      <c r="D341" s="10">
        <f t="shared" si="61"/>
        <v>0.01</v>
      </c>
      <c r="E341" s="10">
        <f t="shared" si="61"/>
        <v>0.01</v>
      </c>
      <c r="F341" s="10">
        <f t="shared" si="61"/>
        <v>0.01</v>
      </c>
      <c r="G341" s="10">
        <f t="shared" si="61"/>
        <v>0.01</v>
      </c>
      <c r="H341" s="10">
        <f t="shared" si="61"/>
        <v>0.01</v>
      </c>
      <c r="I341" s="10">
        <f t="shared" si="61"/>
        <v>0</v>
      </c>
      <c r="J341" s="10">
        <f t="shared" si="61"/>
        <v>0.01</v>
      </c>
      <c r="K341" s="10">
        <f t="shared" si="61"/>
        <v>0.01</v>
      </c>
      <c r="L341" s="10">
        <f t="shared" si="61"/>
        <v>0.01</v>
      </c>
      <c r="M341" s="10">
        <f t="shared" si="61"/>
        <v>0.01</v>
      </c>
      <c r="N341" s="10">
        <f t="shared" si="61"/>
        <v>0.01</v>
      </c>
      <c r="O341" s="10">
        <f t="shared" si="61"/>
        <v>0.01</v>
      </c>
      <c r="P341" s="10">
        <f t="shared" si="61"/>
        <v>0.01</v>
      </c>
      <c r="Q341" s="10">
        <f t="shared" si="61"/>
        <v>0.01</v>
      </c>
      <c r="R341" s="10">
        <f t="shared" si="61"/>
        <v>0.01</v>
      </c>
      <c r="S341" s="10">
        <f t="shared" si="61"/>
        <v>0.01</v>
      </c>
      <c r="T341" s="10">
        <f t="shared" si="61"/>
        <v>0.01</v>
      </c>
      <c r="U341" s="10">
        <f t="shared" si="61"/>
        <v>0.01</v>
      </c>
      <c r="V341" s="10">
        <f t="shared" si="61"/>
        <v>0.01</v>
      </c>
      <c r="W341" s="10">
        <f t="shared" si="61"/>
        <v>0.01</v>
      </c>
      <c r="X341" s="10">
        <f t="shared" si="61"/>
        <v>0.01</v>
      </c>
      <c r="Y341" s="10">
        <f t="shared" si="61"/>
        <v>0.01</v>
      </c>
      <c r="Z341" s="10">
        <f t="shared" si="61"/>
        <v>0</v>
      </c>
      <c r="AA341" s="10">
        <f t="shared" si="61"/>
        <v>0.01</v>
      </c>
      <c r="AB341" s="10">
        <f t="shared" si="61"/>
        <v>0.01</v>
      </c>
      <c r="AC341" s="10">
        <f t="shared" si="61"/>
        <v>0.01</v>
      </c>
      <c r="AD341" s="10">
        <f t="shared" si="61"/>
        <v>0.01</v>
      </c>
      <c r="AE341" s="10">
        <f t="shared" si="61"/>
        <v>0.01</v>
      </c>
      <c r="AF341" s="10">
        <f t="shared" si="61"/>
        <v>0</v>
      </c>
    </row>
    <row r="342" spans="1:32">
      <c r="A342" s="10" t="s">
        <v>368</v>
      </c>
      <c r="B342" s="61" t="s">
        <v>285</v>
      </c>
      <c r="C342" s="10">
        <f t="shared" si="62"/>
        <v>0.01</v>
      </c>
      <c r="D342" s="10">
        <f t="shared" si="61"/>
        <v>0.01</v>
      </c>
      <c r="E342" s="10">
        <f t="shared" si="61"/>
        <v>0.01</v>
      </c>
      <c r="F342" s="10">
        <f t="shared" si="61"/>
        <v>0</v>
      </c>
      <c r="G342" s="10">
        <f t="shared" si="61"/>
        <v>0.01</v>
      </c>
      <c r="H342" s="10">
        <f t="shared" si="61"/>
        <v>0.01</v>
      </c>
      <c r="I342" s="10">
        <f t="shared" si="61"/>
        <v>0.01</v>
      </c>
      <c r="J342" s="10">
        <f t="shared" si="61"/>
        <v>0</v>
      </c>
      <c r="K342" s="10">
        <f t="shared" si="61"/>
        <v>0.01</v>
      </c>
      <c r="L342" s="10">
        <f t="shared" si="61"/>
        <v>0</v>
      </c>
      <c r="M342" s="10">
        <f t="shared" si="61"/>
        <v>0.01</v>
      </c>
      <c r="N342" s="10">
        <f t="shared" si="61"/>
        <v>0</v>
      </c>
      <c r="O342" s="10">
        <f t="shared" si="61"/>
        <v>0.01</v>
      </c>
      <c r="P342" s="10">
        <f t="shared" si="61"/>
        <v>0.01</v>
      </c>
      <c r="Q342" s="10">
        <f t="shared" si="61"/>
        <v>0.01</v>
      </c>
      <c r="R342" s="10">
        <f t="shared" si="61"/>
        <v>0.01</v>
      </c>
      <c r="S342" s="10">
        <f t="shared" si="61"/>
        <v>0.01</v>
      </c>
      <c r="T342" s="10">
        <f t="shared" si="61"/>
        <v>0.01</v>
      </c>
      <c r="U342" s="10">
        <f t="shared" si="61"/>
        <v>0.01</v>
      </c>
      <c r="V342" s="10">
        <f t="shared" si="61"/>
        <v>0</v>
      </c>
      <c r="W342" s="10">
        <f t="shared" si="61"/>
        <v>0.01</v>
      </c>
      <c r="X342" s="10">
        <f t="shared" si="61"/>
        <v>0.01</v>
      </c>
      <c r="Y342" s="10">
        <f t="shared" si="61"/>
        <v>0.01</v>
      </c>
      <c r="Z342" s="10">
        <f t="shared" si="61"/>
        <v>0</v>
      </c>
      <c r="AA342" s="10">
        <f t="shared" si="61"/>
        <v>0.01</v>
      </c>
      <c r="AB342" s="10">
        <f t="shared" si="61"/>
        <v>0.01</v>
      </c>
      <c r="AC342" s="10">
        <f t="shared" si="61"/>
        <v>0.01</v>
      </c>
      <c r="AD342" s="10">
        <f t="shared" si="61"/>
        <v>0.01</v>
      </c>
      <c r="AE342" s="10">
        <f t="shared" si="61"/>
        <v>0.01</v>
      </c>
      <c r="AF342" s="10">
        <f t="shared" si="61"/>
        <v>0</v>
      </c>
    </row>
    <row r="343" spans="1:32">
      <c r="A343" s="10" t="s">
        <v>368</v>
      </c>
      <c r="B343" s="61" t="s">
        <v>308</v>
      </c>
      <c r="C343" s="10">
        <f t="shared" si="62"/>
        <v>0</v>
      </c>
      <c r="D343" s="10">
        <f t="shared" si="61"/>
        <v>0</v>
      </c>
      <c r="E343" s="10">
        <f t="shared" si="61"/>
        <v>0</v>
      </c>
      <c r="F343" s="10">
        <f t="shared" si="61"/>
        <v>0</v>
      </c>
      <c r="G343" s="10">
        <f t="shared" si="61"/>
        <v>0</v>
      </c>
      <c r="H343" s="10">
        <f t="shared" si="61"/>
        <v>0.01</v>
      </c>
      <c r="I343" s="10">
        <f t="shared" si="61"/>
        <v>0.01</v>
      </c>
      <c r="J343" s="10">
        <f t="shared" si="61"/>
        <v>0.01</v>
      </c>
      <c r="K343" s="10">
        <f t="shared" si="61"/>
        <v>0</v>
      </c>
      <c r="L343" s="10">
        <f t="shared" si="61"/>
        <v>0</v>
      </c>
      <c r="M343" s="10">
        <f t="shared" si="61"/>
        <v>0.01</v>
      </c>
      <c r="N343" s="10">
        <f t="shared" si="61"/>
        <v>0</v>
      </c>
      <c r="O343" s="10">
        <f t="shared" si="61"/>
        <v>0</v>
      </c>
      <c r="P343" s="10">
        <f t="shared" si="61"/>
        <v>0</v>
      </c>
      <c r="Q343" s="10">
        <f t="shared" si="61"/>
        <v>0</v>
      </c>
      <c r="R343" s="10">
        <f t="shared" si="61"/>
        <v>0</v>
      </c>
      <c r="S343" s="10">
        <f t="shared" si="61"/>
        <v>0.01</v>
      </c>
      <c r="T343" s="10">
        <f t="shared" si="61"/>
        <v>0</v>
      </c>
      <c r="U343" s="10">
        <f t="shared" si="61"/>
        <v>0.01</v>
      </c>
      <c r="V343" s="10">
        <f t="shared" si="61"/>
        <v>0</v>
      </c>
      <c r="W343" s="10">
        <f t="shared" si="61"/>
        <v>0</v>
      </c>
      <c r="X343" s="10">
        <f t="shared" si="61"/>
        <v>0.01</v>
      </c>
      <c r="Y343" s="10">
        <f t="shared" si="61"/>
        <v>0.01</v>
      </c>
      <c r="Z343" s="10">
        <f t="shared" si="61"/>
        <v>0</v>
      </c>
      <c r="AA343" s="10">
        <f t="shared" si="61"/>
        <v>0</v>
      </c>
      <c r="AB343" s="10">
        <f t="shared" si="61"/>
        <v>0.01</v>
      </c>
      <c r="AC343" s="10">
        <f t="shared" si="61"/>
        <v>0</v>
      </c>
      <c r="AD343" s="10">
        <f t="shared" si="61"/>
        <v>0.01</v>
      </c>
      <c r="AE343" s="10">
        <f t="shared" si="61"/>
        <v>0</v>
      </c>
      <c r="AF343" s="10">
        <f t="shared" si="61"/>
        <v>0</v>
      </c>
    </row>
    <row r="344" spans="1:32">
      <c r="A344" s="10" t="s">
        <v>368</v>
      </c>
      <c r="B344" s="61" t="s">
        <v>286</v>
      </c>
      <c r="C344" s="10">
        <f t="shared" si="62"/>
        <v>0.01</v>
      </c>
      <c r="D344" s="10">
        <f t="shared" si="61"/>
        <v>0.01</v>
      </c>
      <c r="E344" s="10">
        <f t="shared" si="61"/>
        <v>0.01</v>
      </c>
      <c r="F344" s="10">
        <f t="shared" si="61"/>
        <v>0</v>
      </c>
      <c r="G344" s="10">
        <f t="shared" si="61"/>
        <v>0.01</v>
      </c>
      <c r="H344" s="10">
        <f t="shared" si="61"/>
        <v>0</v>
      </c>
      <c r="I344" s="10">
        <f t="shared" si="61"/>
        <v>0.01</v>
      </c>
      <c r="J344" s="10">
        <f t="shared" si="61"/>
        <v>0</v>
      </c>
      <c r="K344" s="10">
        <f t="shared" si="61"/>
        <v>0</v>
      </c>
      <c r="L344" s="10">
        <f t="shared" si="61"/>
        <v>0</v>
      </c>
      <c r="M344" s="10">
        <f t="shared" si="61"/>
        <v>0</v>
      </c>
      <c r="N344" s="10">
        <f t="shared" si="61"/>
        <v>0</v>
      </c>
      <c r="O344" s="10">
        <f t="shared" si="61"/>
        <v>0.01</v>
      </c>
      <c r="P344" s="10">
        <f t="shared" si="61"/>
        <v>0</v>
      </c>
      <c r="Q344" s="10">
        <f t="shared" si="61"/>
        <v>0.01</v>
      </c>
      <c r="R344" s="10">
        <f t="shared" si="61"/>
        <v>0.01</v>
      </c>
      <c r="S344" s="10">
        <f t="shared" si="61"/>
        <v>0</v>
      </c>
      <c r="T344" s="10">
        <f t="shared" si="61"/>
        <v>0.01</v>
      </c>
      <c r="U344" s="10">
        <f t="shared" si="61"/>
        <v>0</v>
      </c>
      <c r="V344" s="10">
        <f t="shared" si="61"/>
        <v>0</v>
      </c>
      <c r="W344" s="10">
        <f t="shared" si="61"/>
        <v>0.01</v>
      </c>
      <c r="X344" s="10">
        <f t="shared" si="61"/>
        <v>0</v>
      </c>
      <c r="Y344" s="10">
        <f t="shared" si="61"/>
        <v>0</v>
      </c>
      <c r="Z344" s="10">
        <f t="shared" si="61"/>
        <v>0.01</v>
      </c>
      <c r="AA344" s="10">
        <f t="shared" si="61"/>
        <v>0</v>
      </c>
      <c r="AB344" s="10">
        <f t="shared" si="61"/>
        <v>0</v>
      </c>
      <c r="AC344" s="10">
        <f t="shared" si="61"/>
        <v>0.01</v>
      </c>
      <c r="AD344" s="10">
        <f t="shared" si="61"/>
        <v>0</v>
      </c>
      <c r="AE344" s="10">
        <f t="shared" si="61"/>
        <v>0.01</v>
      </c>
      <c r="AF344" s="10">
        <f t="shared" si="61"/>
        <v>0</v>
      </c>
    </row>
    <row r="345" spans="1:32">
      <c r="A345" s="10" t="s">
        <v>368</v>
      </c>
      <c r="B345" s="61" t="s">
        <v>287</v>
      </c>
      <c r="C345" s="10">
        <f t="shared" si="62"/>
        <v>0</v>
      </c>
      <c r="D345" s="10">
        <f t="shared" si="61"/>
        <v>0</v>
      </c>
      <c r="E345" s="10">
        <f t="shared" si="61"/>
        <v>0</v>
      </c>
      <c r="F345" s="10">
        <f t="shared" si="61"/>
        <v>0</v>
      </c>
      <c r="G345" s="10">
        <f t="shared" si="61"/>
        <v>0</v>
      </c>
      <c r="H345" s="10">
        <f t="shared" si="61"/>
        <v>0</v>
      </c>
      <c r="I345" s="10">
        <f t="shared" si="61"/>
        <v>0.01</v>
      </c>
      <c r="J345" s="10">
        <f t="shared" si="61"/>
        <v>0.01</v>
      </c>
      <c r="K345" s="10">
        <f t="shared" si="61"/>
        <v>0.01</v>
      </c>
      <c r="L345" s="10">
        <f t="shared" si="61"/>
        <v>0</v>
      </c>
      <c r="M345" s="10">
        <f t="shared" ref="D345:AF354" si="63">IF(M195&gt;0,0.01,0)</f>
        <v>0</v>
      </c>
      <c r="N345" s="10">
        <f t="shared" si="63"/>
        <v>0</v>
      </c>
      <c r="O345" s="10">
        <f t="shared" si="63"/>
        <v>0</v>
      </c>
      <c r="P345" s="10">
        <f t="shared" si="63"/>
        <v>0</v>
      </c>
      <c r="Q345" s="10">
        <f t="shared" si="63"/>
        <v>0</v>
      </c>
      <c r="R345" s="10">
        <f t="shared" si="63"/>
        <v>0</v>
      </c>
      <c r="S345" s="10">
        <f t="shared" si="63"/>
        <v>0.01</v>
      </c>
      <c r="T345" s="10">
        <f t="shared" si="63"/>
        <v>0</v>
      </c>
      <c r="U345" s="10">
        <f t="shared" si="63"/>
        <v>0.01</v>
      </c>
      <c r="V345" s="10">
        <f t="shared" si="63"/>
        <v>0</v>
      </c>
      <c r="W345" s="10">
        <f t="shared" si="63"/>
        <v>0</v>
      </c>
      <c r="X345" s="10">
        <f t="shared" si="63"/>
        <v>0.01</v>
      </c>
      <c r="Y345" s="10">
        <f t="shared" si="63"/>
        <v>0.01</v>
      </c>
      <c r="Z345" s="10">
        <f t="shared" si="63"/>
        <v>0</v>
      </c>
      <c r="AA345" s="10">
        <f t="shared" si="63"/>
        <v>0</v>
      </c>
      <c r="AB345" s="10">
        <f t="shared" si="63"/>
        <v>0.01</v>
      </c>
      <c r="AC345" s="10">
        <f t="shared" si="63"/>
        <v>0</v>
      </c>
      <c r="AD345" s="10">
        <f t="shared" si="63"/>
        <v>0</v>
      </c>
      <c r="AE345" s="10">
        <f t="shared" si="63"/>
        <v>0</v>
      </c>
      <c r="AF345" s="10">
        <f t="shared" si="63"/>
        <v>0</v>
      </c>
    </row>
    <row r="346" spans="1:32">
      <c r="A346" s="10" t="s">
        <v>368</v>
      </c>
      <c r="B346" s="61" t="s">
        <v>288</v>
      </c>
      <c r="C346" s="10">
        <f t="shared" si="62"/>
        <v>0</v>
      </c>
      <c r="D346" s="10">
        <f t="shared" si="63"/>
        <v>0.01</v>
      </c>
      <c r="E346" s="10">
        <f t="shared" si="63"/>
        <v>0.01</v>
      </c>
      <c r="F346" s="10">
        <f t="shared" si="63"/>
        <v>0</v>
      </c>
      <c r="G346" s="10">
        <f t="shared" si="63"/>
        <v>0.01</v>
      </c>
      <c r="H346" s="10">
        <f t="shared" si="63"/>
        <v>0.01</v>
      </c>
      <c r="I346" s="10">
        <f t="shared" si="63"/>
        <v>0.01</v>
      </c>
      <c r="J346" s="10">
        <f t="shared" si="63"/>
        <v>0.01</v>
      </c>
      <c r="K346" s="10">
        <f t="shared" si="63"/>
        <v>0</v>
      </c>
      <c r="L346" s="10">
        <f t="shared" si="63"/>
        <v>0.01</v>
      </c>
      <c r="M346" s="10">
        <f t="shared" si="63"/>
        <v>0</v>
      </c>
      <c r="N346" s="10">
        <f t="shared" si="63"/>
        <v>0.01</v>
      </c>
      <c r="O346" s="10">
        <f t="shared" si="63"/>
        <v>0.01</v>
      </c>
      <c r="P346" s="10">
        <f t="shared" si="63"/>
        <v>0.01</v>
      </c>
      <c r="Q346" s="10">
        <f t="shared" si="63"/>
        <v>0.01</v>
      </c>
      <c r="R346" s="10">
        <f t="shared" si="63"/>
        <v>0.01</v>
      </c>
      <c r="S346" s="10">
        <f t="shared" si="63"/>
        <v>0</v>
      </c>
      <c r="T346" s="10">
        <f t="shared" si="63"/>
        <v>0.01</v>
      </c>
      <c r="U346" s="10">
        <f t="shared" si="63"/>
        <v>0</v>
      </c>
      <c r="V346" s="10">
        <f t="shared" si="63"/>
        <v>0.01</v>
      </c>
      <c r="W346" s="10">
        <f t="shared" si="63"/>
        <v>0.01</v>
      </c>
      <c r="X346" s="10">
        <f t="shared" si="63"/>
        <v>0.01</v>
      </c>
      <c r="Y346" s="10">
        <f t="shared" si="63"/>
        <v>0.01</v>
      </c>
      <c r="Z346" s="10">
        <f t="shared" si="63"/>
        <v>0.01</v>
      </c>
      <c r="AA346" s="10">
        <f t="shared" si="63"/>
        <v>0.01</v>
      </c>
      <c r="AB346" s="10">
        <f t="shared" si="63"/>
        <v>0.01</v>
      </c>
      <c r="AC346" s="10">
        <f t="shared" si="63"/>
        <v>0.01</v>
      </c>
      <c r="AD346" s="10">
        <f t="shared" si="63"/>
        <v>0.01</v>
      </c>
      <c r="AE346" s="10">
        <f t="shared" si="63"/>
        <v>0.01</v>
      </c>
      <c r="AF346" s="10">
        <f t="shared" si="63"/>
        <v>0</v>
      </c>
    </row>
    <row r="347" spans="1:32">
      <c r="A347" s="10" t="s">
        <v>368</v>
      </c>
      <c r="B347" s="61" t="s">
        <v>289</v>
      </c>
      <c r="C347" s="10">
        <f t="shared" si="62"/>
        <v>0.01</v>
      </c>
      <c r="D347" s="10">
        <f t="shared" si="63"/>
        <v>0.01</v>
      </c>
      <c r="E347" s="10">
        <f t="shared" si="63"/>
        <v>0</v>
      </c>
      <c r="F347" s="10">
        <f t="shared" si="63"/>
        <v>0.01</v>
      </c>
      <c r="G347" s="10">
        <f t="shared" si="63"/>
        <v>0</v>
      </c>
      <c r="H347" s="10">
        <f t="shared" si="63"/>
        <v>0.01</v>
      </c>
      <c r="I347" s="10">
        <f t="shared" si="63"/>
        <v>0.01</v>
      </c>
      <c r="J347" s="10">
        <f t="shared" si="63"/>
        <v>0</v>
      </c>
      <c r="K347" s="10">
        <f t="shared" si="63"/>
        <v>0</v>
      </c>
      <c r="L347" s="10">
        <f t="shared" si="63"/>
        <v>0</v>
      </c>
      <c r="M347" s="10">
        <f t="shared" si="63"/>
        <v>0</v>
      </c>
      <c r="N347" s="10">
        <f t="shared" si="63"/>
        <v>0</v>
      </c>
      <c r="O347" s="10">
        <f t="shared" si="63"/>
        <v>0.01</v>
      </c>
      <c r="P347" s="10">
        <f t="shared" si="63"/>
        <v>0.01</v>
      </c>
      <c r="Q347" s="10">
        <f t="shared" si="63"/>
        <v>0</v>
      </c>
      <c r="R347" s="10">
        <f t="shared" si="63"/>
        <v>0.01</v>
      </c>
      <c r="S347" s="10">
        <f t="shared" si="63"/>
        <v>0</v>
      </c>
      <c r="T347" s="10">
        <f t="shared" si="63"/>
        <v>0</v>
      </c>
      <c r="U347" s="10">
        <f t="shared" si="63"/>
        <v>0</v>
      </c>
      <c r="V347" s="10">
        <f t="shared" si="63"/>
        <v>0.01</v>
      </c>
      <c r="W347" s="10">
        <f t="shared" si="63"/>
        <v>0</v>
      </c>
      <c r="X347" s="10">
        <f t="shared" si="63"/>
        <v>0</v>
      </c>
      <c r="Y347" s="10">
        <f t="shared" si="63"/>
        <v>0.01</v>
      </c>
      <c r="Z347" s="10">
        <f t="shared" si="63"/>
        <v>0</v>
      </c>
      <c r="AA347" s="10">
        <f t="shared" si="63"/>
        <v>0.01</v>
      </c>
      <c r="AB347" s="10">
        <f t="shared" si="63"/>
        <v>0</v>
      </c>
      <c r="AC347" s="10">
        <f t="shared" si="63"/>
        <v>0.01</v>
      </c>
      <c r="AD347" s="10">
        <f t="shared" si="63"/>
        <v>0.01</v>
      </c>
      <c r="AE347" s="10">
        <f t="shared" si="63"/>
        <v>0</v>
      </c>
      <c r="AF347" s="10">
        <f t="shared" si="63"/>
        <v>0.01</v>
      </c>
    </row>
    <row r="348" spans="1:32">
      <c r="A348" s="10" t="s">
        <v>368</v>
      </c>
      <c r="B348" s="61" t="s">
        <v>290</v>
      </c>
      <c r="C348" s="10">
        <f t="shared" si="62"/>
        <v>0.01</v>
      </c>
      <c r="D348" s="10">
        <f t="shared" si="63"/>
        <v>0.01</v>
      </c>
      <c r="E348" s="10">
        <f t="shared" si="63"/>
        <v>0.01</v>
      </c>
      <c r="F348" s="10">
        <f t="shared" si="63"/>
        <v>0.01</v>
      </c>
      <c r="G348" s="10">
        <f t="shared" si="63"/>
        <v>0.01</v>
      </c>
      <c r="H348" s="10">
        <f t="shared" si="63"/>
        <v>0.01</v>
      </c>
      <c r="I348" s="10">
        <f t="shared" si="63"/>
        <v>0.01</v>
      </c>
      <c r="J348" s="10">
        <f t="shared" si="63"/>
        <v>0.01</v>
      </c>
      <c r="K348" s="10">
        <f t="shared" si="63"/>
        <v>0</v>
      </c>
      <c r="L348" s="10">
        <f t="shared" si="63"/>
        <v>0.01</v>
      </c>
      <c r="M348" s="10">
        <f t="shared" si="63"/>
        <v>0</v>
      </c>
      <c r="N348" s="10">
        <f t="shared" si="63"/>
        <v>0.01</v>
      </c>
      <c r="O348" s="10">
        <f t="shared" si="63"/>
        <v>0</v>
      </c>
      <c r="P348" s="10">
        <f t="shared" si="63"/>
        <v>0.01</v>
      </c>
      <c r="Q348" s="10">
        <f t="shared" si="63"/>
        <v>0</v>
      </c>
      <c r="R348" s="10">
        <f t="shared" si="63"/>
        <v>0.01</v>
      </c>
      <c r="S348" s="10">
        <f t="shared" si="63"/>
        <v>0.01</v>
      </c>
      <c r="T348" s="10">
        <f t="shared" si="63"/>
        <v>0.01</v>
      </c>
      <c r="U348" s="10">
        <f t="shared" si="63"/>
        <v>0</v>
      </c>
      <c r="V348" s="10">
        <f t="shared" si="63"/>
        <v>0.01</v>
      </c>
      <c r="W348" s="10">
        <f t="shared" si="63"/>
        <v>0.01</v>
      </c>
      <c r="X348" s="10">
        <f t="shared" si="63"/>
        <v>0</v>
      </c>
      <c r="Y348" s="10">
        <f t="shared" si="63"/>
        <v>0.01</v>
      </c>
      <c r="Z348" s="10">
        <f t="shared" si="63"/>
        <v>0</v>
      </c>
      <c r="AA348" s="10">
        <f t="shared" si="63"/>
        <v>0.01</v>
      </c>
      <c r="AB348" s="10">
        <f t="shared" si="63"/>
        <v>0.01</v>
      </c>
      <c r="AC348" s="10">
        <f t="shared" si="63"/>
        <v>0.01</v>
      </c>
      <c r="AD348" s="10">
        <f t="shared" si="63"/>
        <v>0.01</v>
      </c>
      <c r="AE348" s="10">
        <f t="shared" si="63"/>
        <v>0</v>
      </c>
      <c r="AF348" s="10">
        <f t="shared" si="63"/>
        <v>0</v>
      </c>
    </row>
    <row r="349" spans="1:32">
      <c r="A349" s="10" t="s">
        <v>368</v>
      </c>
      <c r="B349" s="61" t="s">
        <v>291</v>
      </c>
      <c r="C349" s="10">
        <f t="shared" si="62"/>
        <v>0.01</v>
      </c>
      <c r="D349" s="10">
        <f t="shared" si="63"/>
        <v>0.01</v>
      </c>
      <c r="E349" s="10">
        <f t="shared" si="63"/>
        <v>0.01</v>
      </c>
      <c r="F349" s="10">
        <f t="shared" si="63"/>
        <v>0.01</v>
      </c>
      <c r="G349" s="10">
        <f t="shared" si="63"/>
        <v>0.01</v>
      </c>
      <c r="H349" s="10">
        <f t="shared" si="63"/>
        <v>0.01</v>
      </c>
      <c r="I349" s="10">
        <f t="shared" si="63"/>
        <v>0.01</v>
      </c>
      <c r="J349" s="10">
        <f t="shared" si="63"/>
        <v>0.01</v>
      </c>
      <c r="K349" s="10">
        <f t="shared" si="63"/>
        <v>0</v>
      </c>
      <c r="L349" s="10">
        <f t="shared" si="63"/>
        <v>0</v>
      </c>
      <c r="M349" s="10">
        <f t="shared" si="63"/>
        <v>0</v>
      </c>
      <c r="N349" s="10">
        <f t="shared" si="63"/>
        <v>0.01</v>
      </c>
      <c r="O349" s="10">
        <f t="shared" si="63"/>
        <v>0.01</v>
      </c>
      <c r="P349" s="10">
        <f t="shared" si="63"/>
        <v>0</v>
      </c>
      <c r="Q349" s="10">
        <f t="shared" si="63"/>
        <v>0</v>
      </c>
      <c r="R349" s="10">
        <f t="shared" si="63"/>
        <v>0.01</v>
      </c>
      <c r="S349" s="10">
        <f t="shared" si="63"/>
        <v>0.01</v>
      </c>
      <c r="T349" s="10">
        <f t="shared" si="63"/>
        <v>0.01</v>
      </c>
      <c r="U349" s="10">
        <f t="shared" si="63"/>
        <v>0.01</v>
      </c>
      <c r="V349" s="10">
        <f t="shared" si="63"/>
        <v>0.01</v>
      </c>
      <c r="W349" s="10">
        <f t="shared" si="63"/>
        <v>0.01</v>
      </c>
      <c r="X349" s="10">
        <f t="shared" si="63"/>
        <v>0</v>
      </c>
      <c r="Y349" s="10">
        <f t="shared" si="63"/>
        <v>0.01</v>
      </c>
      <c r="Z349" s="10">
        <f t="shared" si="63"/>
        <v>0</v>
      </c>
      <c r="AA349" s="10">
        <f t="shared" si="63"/>
        <v>0.01</v>
      </c>
      <c r="AB349" s="10">
        <f t="shared" si="63"/>
        <v>0.01</v>
      </c>
      <c r="AC349" s="10">
        <f t="shared" si="63"/>
        <v>0.01</v>
      </c>
      <c r="AD349" s="10">
        <f t="shared" si="63"/>
        <v>0.01</v>
      </c>
      <c r="AE349" s="10">
        <f t="shared" si="63"/>
        <v>0</v>
      </c>
      <c r="AF349" s="10">
        <f t="shared" si="63"/>
        <v>0</v>
      </c>
    </row>
    <row r="350" spans="1:32">
      <c r="A350" s="10" t="s">
        <v>368</v>
      </c>
      <c r="B350" s="61" t="s">
        <v>292</v>
      </c>
      <c r="C350" s="10">
        <f t="shared" si="62"/>
        <v>0.01</v>
      </c>
      <c r="D350" s="10">
        <f t="shared" si="63"/>
        <v>0</v>
      </c>
      <c r="E350" s="10">
        <f t="shared" si="63"/>
        <v>0.01</v>
      </c>
      <c r="F350" s="10">
        <f t="shared" si="63"/>
        <v>0</v>
      </c>
      <c r="G350" s="10">
        <f t="shared" si="63"/>
        <v>0</v>
      </c>
      <c r="H350" s="10">
        <f t="shared" si="63"/>
        <v>0</v>
      </c>
      <c r="I350" s="10">
        <f t="shared" si="63"/>
        <v>0.01</v>
      </c>
      <c r="J350" s="10">
        <f t="shared" si="63"/>
        <v>0.01</v>
      </c>
      <c r="K350" s="10">
        <f t="shared" si="63"/>
        <v>0</v>
      </c>
      <c r="L350" s="10">
        <f t="shared" si="63"/>
        <v>0.01</v>
      </c>
      <c r="M350" s="10">
        <f t="shared" si="63"/>
        <v>0</v>
      </c>
      <c r="N350" s="10">
        <f t="shared" si="63"/>
        <v>0</v>
      </c>
      <c r="O350" s="10">
        <f t="shared" si="63"/>
        <v>0</v>
      </c>
      <c r="P350" s="10">
        <f t="shared" si="63"/>
        <v>0</v>
      </c>
      <c r="Q350" s="10">
        <f t="shared" si="63"/>
        <v>0</v>
      </c>
      <c r="R350" s="10">
        <f t="shared" si="63"/>
        <v>0</v>
      </c>
      <c r="S350" s="10">
        <f t="shared" si="63"/>
        <v>0</v>
      </c>
      <c r="T350" s="10">
        <f t="shared" si="63"/>
        <v>0.01</v>
      </c>
      <c r="U350" s="10">
        <f t="shared" si="63"/>
        <v>0</v>
      </c>
      <c r="V350" s="10">
        <f t="shared" si="63"/>
        <v>0</v>
      </c>
      <c r="W350" s="10">
        <f t="shared" si="63"/>
        <v>0.01</v>
      </c>
      <c r="X350" s="10">
        <f t="shared" si="63"/>
        <v>0.01</v>
      </c>
      <c r="Y350" s="10">
        <f t="shared" si="63"/>
        <v>0</v>
      </c>
      <c r="Z350" s="10">
        <f t="shared" si="63"/>
        <v>0</v>
      </c>
      <c r="AA350" s="10">
        <f t="shared" si="63"/>
        <v>0</v>
      </c>
      <c r="AB350" s="10">
        <f t="shared" si="63"/>
        <v>0</v>
      </c>
      <c r="AC350" s="10">
        <f t="shared" si="63"/>
        <v>0</v>
      </c>
      <c r="AD350" s="10">
        <f t="shared" si="63"/>
        <v>0</v>
      </c>
      <c r="AE350" s="10">
        <f t="shared" si="63"/>
        <v>0.01</v>
      </c>
      <c r="AF350" s="10">
        <f t="shared" si="63"/>
        <v>0</v>
      </c>
    </row>
    <row r="351" spans="1:32">
      <c r="A351" s="10" t="s">
        <v>368</v>
      </c>
      <c r="B351" s="61" t="s">
        <v>293</v>
      </c>
      <c r="C351" s="10">
        <f t="shared" si="62"/>
        <v>0.01</v>
      </c>
      <c r="D351" s="10">
        <f t="shared" si="63"/>
        <v>0.01</v>
      </c>
      <c r="E351" s="10">
        <f t="shared" si="63"/>
        <v>0.01</v>
      </c>
      <c r="F351" s="10">
        <f t="shared" si="63"/>
        <v>0.01</v>
      </c>
      <c r="G351" s="10">
        <f t="shared" si="63"/>
        <v>0.01</v>
      </c>
      <c r="H351" s="10">
        <f t="shared" si="63"/>
        <v>0.01</v>
      </c>
      <c r="I351" s="10">
        <f t="shared" si="63"/>
        <v>0.01</v>
      </c>
      <c r="J351" s="10">
        <f t="shared" si="63"/>
        <v>0.01</v>
      </c>
      <c r="K351" s="10">
        <f t="shared" si="63"/>
        <v>0</v>
      </c>
      <c r="L351" s="10">
        <f t="shared" si="63"/>
        <v>0.01</v>
      </c>
      <c r="M351" s="10">
        <f t="shared" si="63"/>
        <v>0</v>
      </c>
      <c r="N351" s="10">
        <f t="shared" si="63"/>
        <v>0.01</v>
      </c>
      <c r="O351" s="10">
        <f t="shared" si="63"/>
        <v>0.01</v>
      </c>
      <c r="P351" s="10">
        <f t="shared" si="63"/>
        <v>0.01</v>
      </c>
      <c r="Q351" s="10">
        <f t="shared" si="63"/>
        <v>0</v>
      </c>
      <c r="R351" s="10">
        <f t="shared" si="63"/>
        <v>0</v>
      </c>
      <c r="S351" s="10">
        <f t="shared" si="63"/>
        <v>0</v>
      </c>
      <c r="T351" s="10">
        <f t="shared" si="63"/>
        <v>0.01</v>
      </c>
      <c r="U351" s="10">
        <f t="shared" si="63"/>
        <v>0</v>
      </c>
      <c r="V351" s="10">
        <f t="shared" si="63"/>
        <v>0.01</v>
      </c>
      <c r="W351" s="10">
        <f t="shared" si="63"/>
        <v>0.01</v>
      </c>
      <c r="X351" s="10">
        <f t="shared" si="63"/>
        <v>0</v>
      </c>
      <c r="Y351" s="10">
        <f t="shared" si="63"/>
        <v>0.01</v>
      </c>
      <c r="Z351" s="10">
        <f t="shared" si="63"/>
        <v>0</v>
      </c>
      <c r="AA351" s="10">
        <f t="shared" si="63"/>
        <v>0.01</v>
      </c>
      <c r="AB351" s="10">
        <f t="shared" si="63"/>
        <v>0.01</v>
      </c>
      <c r="AC351" s="10">
        <f t="shared" si="63"/>
        <v>0.01</v>
      </c>
      <c r="AD351" s="10">
        <f t="shared" si="63"/>
        <v>0.01</v>
      </c>
      <c r="AE351" s="10">
        <f t="shared" si="63"/>
        <v>0.01</v>
      </c>
      <c r="AF351" s="10">
        <f t="shared" si="63"/>
        <v>0</v>
      </c>
    </row>
    <row r="352" spans="1:32">
      <c r="A352" s="10" t="s">
        <v>368</v>
      </c>
      <c r="B352" s="61" t="s">
        <v>309</v>
      </c>
      <c r="C352" s="10">
        <f t="shared" si="62"/>
        <v>0</v>
      </c>
      <c r="D352" s="10">
        <f t="shared" si="63"/>
        <v>0.01</v>
      </c>
      <c r="E352" s="10">
        <f t="shared" si="63"/>
        <v>0</v>
      </c>
      <c r="F352" s="10">
        <f t="shared" si="63"/>
        <v>0</v>
      </c>
      <c r="G352" s="10">
        <f t="shared" si="63"/>
        <v>0</v>
      </c>
      <c r="H352" s="10">
        <f t="shared" si="63"/>
        <v>0.01</v>
      </c>
      <c r="I352" s="10">
        <f t="shared" si="63"/>
        <v>0.01</v>
      </c>
      <c r="J352" s="10">
        <f t="shared" si="63"/>
        <v>0.01</v>
      </c>
      <c r="K352" s="10">
        <f t="shared" si="63"/>
        <v>0.01</v>
      </c>
      <c r="L352" s="10">
        <f t="shared" si="63"/>
        <v>0</v>
      </c>
      <c r="M352" s="10">
        <f t="shared" si="63"/>
        <v>0.01</v>
      </c>
      <c r="N352" s="10">
        <f t="shared" si="63"/>
        <v>0</v>
      </c>
      <c r="O352" s="10">
        <f t="shared" si="63"/>
        <v>0.01</v>
      </c>
      <c r="P352" s="10">
        <f t="shared" si="63"/>
        <v>0.01</v>
      </c>
      <c r="Q352" s="10">
        <f t="shared" si="63"/>
        <v>0</v>
      </c>
      <c r="R352" s="10">
        <f t="shared" si="63"/>
        <v>0</v>
      </c>
      <c r="S352" s="10">
        <f t="shared" si="63"/>
        <v>0</v>
      </c>
      <c r="T352" s="10">
        <f t="shared" si="63"/>
        <v>0</v>
      </c>
      <c r="U352" s="10">
        <f t="shared" si="63"/>
        <v>0.01</v>
      </c>
      <c r="V352" s="10">
        <f t="shared" si="63"/>
        <v>0</v>
      </c>
      <c r="W352" s="10">
        <f t="shared" si="63"/>
        <v>0.01</v>
      </c>
      <c r="X352" s="10">
        <f t="shared" si="63"/>
        <v>0.01</v>
      </c>
      <c r="Y352" s="10">
        <f t="shared" si="63"/>
        <v>0.01</v>
      </c>
      <c r="Z352" s="10">
        <f t="shared" si="63"/>
        <v>0</v>
      </c>
      <c r="AA352" s="10">
        <f t="shared" si="63"/>
        <v>0.01</v>
      </c>
      <c r="AB352" s="10">
        <f t="shared" si="63"/>
        <v>0.01</v>
      </c>
      <c r="AC352" s="10">
        <f t="shared" si="63"/>
        <v>0.01</v>
      </c>
      <c r="AD352" s="10">
        <f t="shared" si="63"/>
        <v>0.01</v>
      </c>
      <c r="AE352" s="10">
        <f t="shared" si="63"/>
        <v>0</v>
      </c>
      <c r="AF352" s="10">
        <f t="shared" si="63"/>
        <v>0</v>
      </c>
    </row>
    <row r="353" spans="1:32">
      <c r="A353" s="10" t="s">
        <v>368</v>
      </c>
      <c r="B353" s="61" t="s">
        <v>294</v>
      </c>
      <c r="C353" s="10">
        <f t="shared" ref="C353:R365" si="64">IF(C203&gt;0,0.01,0)</f>
        <v>0.01</v>
      </c>
      <c r="D353" s="10">
        <f t="shared" si="63"/>
        <v>0.01</v>
      </c>
      <c r="E353" s="10">
        <f t="shared" si="63"/>
        <v>0.01</v>
      </c>
      <c r="F353" s="10">
        <f t="shared" si="63"/>
        <v>0</v>
      </c>
      <c r="G353" s="10">
        <f t="shared" si="63"/>
        <v>0.01</v>
      </c>
      <c r="H353" s="10">
        <f t="shared" si="63"/>
        <v>0.01</v>
      </c>
      <c r="I353" s="10">
        <f t="shared" si="63"/>
        <v>0.01</v>
      </c>
      <c r="J353" s="10">
        <f t="shared" si="63"/>
        <v>0.01</v>
      </c>
      <c r="K353" s="10">
        <f t="shared" si="63"/>
        <v>0</v>
      </c>
      <c r="L353" s="10">
        <f t="shared" si="63"/>
        <v>0.01</v>
      </c>
      <c r="M353" s="10">
        <f t="shared" si="63"/>
        <v>0</v>
      </c>
      <c r="N353" s="10">
        <f t="shared" si="63"/>
        <v>0</v>
      </c>
      <c r="O353" s="10">
        <f t="shared" si="63"/>
        <v>0.01</v>
      </c>
      <c r="P353" s="10">
        <f t="shared" si="63"/>
        <v>0.01</v>
      </c>
      <c r="Q353" s="10">
        <f t="shared" si="63"/>
        <v>0.01</v>
      </c>
      <c r="R353" s="10">
        <f t="shared" si="63"/>
        <v>0.01</v>
      </c>
      <c r="S353" s="10">
        <f t="shared" si="63"/>
        <v>0</v>
      </c>
      <c r="T353" s="10">
        <f t="shared" si="63"/>
        <v>0</v>
      </c>
      <c r="U353" s="10">
        <f t="shared" si="63"/>
        <v>0</v>
      </c>
      <c r="V353" s="10">
        <f t="shared" si="63"/>
        <v>0</v>
      </c>
      <c r="W353" s="10">
        <f t="shared" si="63"/>
        <v>0.01</v>
      </c>
      <c r="X353" s="10">
        <f t="shared" si="63"/>
        <v>0.01</v>
      </c>
      <c r="Y353" s="10">
        <f t="shared" si="63"/>
        <v>0.01</v>
      </c>
      <c r="Z353" s="10">
        <f t="shared" si="63"/>
        <v>0</v>
      </c>
      <c r="AA353" s="10">
        <f t="shared" si="63"/>
        <v>0</v>
      </c>
      <c r="AB353" s="10">
        <f t="shared" si="63"/>
        <v>0.01</v>
      </c>
      <c r="AC353" s="10">
        <f t="shared" si="63"/>
        <v>0.01</v>
      </c>
      <c r="AD353" s="10">
        <f t="shared" si="63"/>
        <v>0.01</v>
      </c>
      <c r="AE353" s="10">
        <f t="shared" si="63"/>
        <v>0.01</v>
      </c>
      <c r="AF353" s="10">
        <f t="shared" si="63"/>
        <v>0</v>
      </c>
    </row>
    <row r="354" spans="1:32">
      <c r="A354" s="10" t="s">
        <v>368</v>
      </c>
      <c r="B354" s="61" t="s">
        <v>310</v>
      </c>
      <c r="C354" s="10">
        <f t="shared" si="64"/>
        <v>0</v>
      </c>
      <c r="D354" s="10">
        <f t="shared" si="63"/>
        <v>0.01</v>
      </c>
      <c r="E354" s="10">
        <f t="shared" si="63"/>
        <v>0</v>
      </c>
      <c r="F354" s="10">
        <f t="shared" si="63"/>
        <v>0</v>
      </c>
      <c r="G354" s="10">
        <f t="shared" ref="D354:AF362" si="65">IF(G204&gt;0,0.01,0)</f>
        <v>0</v>
      </c>
      <c r="H354" s="10">
        <f t="shared" si="65"/>
        <v>0.01</v>
      </c>
      <c r="I354" s="10">
        <f t="shared" si="65"/>
        <v>0.01</v>
      </c>
      <c r="J354" s="10">
        <f t="shared" si="65"/>
        <v>0.01</v>
      </c>
      <c r="K354" s="10">
        <f t="shared" si="65"/>
        <v>0.01</v>
      </c>
      <c r="L354" s="10">
        <f t="shared" si="65"/>
        <v>0</v>
      </c>
      <c r="M354" s="10">
        <f t="shared" si="65"/>
        <v>0.01</v>
      </c>
      <c r="N354" s="10">
        <f t="shared" si="65"/>
        <v>0</v>
      </c>
      <c r="O354" s="10">
        <f t="shared" si="65"/>
        <v>0</v>
      </c>
      <c r="P354" s="10">
        <f t="shared" si="65"/>
        <v>0.01</v>
      </c>
      <c r="Q354" s="10">
        <f t="shared" si="65"/>
        <v>0</v>
      </c>
      <c r="R354" s="10">
        <f t="shared" si="65"/>
        <v>0</v>
      </c>
      <c r="S354" s="10">
        <f t="shared" si="65"/>
        <v>0.01</v>
      </c>
      <c r="T354" s="10">
        <f t="shared" si="65"/>
        <v>0</v>
      </c>
      <c r="U354" s="10">
        <f t="shared" si="65"/>
        <v>0</v>
      </c>
      <c r="V354" s="10">
        <f t="shared" si="65"/>
        <v>0</v>
      </c>
      <c r="W354" s="10">
        <f t="shared" si="65"/>
        <v>0.01</v>
      </c>
      <c r="X354" s="10">
        <f t="shared" si="65"/>
        <v>0.01</v>
      </c>
      <c r="Y354" s="10">
        <f t="shared" si="65"/>
        <v>0.01</v>
      </c>
      <c r="Z354" s="10">
        <f t="shared" si="65"/>
        <v>0</v>
      </c>
      <c r="AA354" s="10">
        <f t="shared" si="65"/>
        <v>0.01</v>
      </c>
      <c r="AB354" s="10">
        <f t="shared" si="65"/>
        <v>0.01</v>
      </c>
      <c r="AC354" s="10">
        <f t="shared" si="65"/>
        <v>0</v>
      </c>
      <c r="AD354" s="10">
        <f t="shared" si="65"/>
        <v>0.01</v>
      </c>
      <c r="AE354" s="10">
        <f t="shared" si="65"/>
        <v>0</v>
      </c>
      <c r="AF354" s="10">
        <f t="shared" si="65"/>
        <v>0</v>
      </c>
    </row>
    <row r="355" spans="1:32">
      <c r="A355" s="10" t="s">
        <v>368</v>
      </c>
      <c r="B355" s="61" t="s">
        <v>297</v>
      </c>
      <c r="C355" s="10">
        <f t="shared" si="64"/>
        <v>0.01</v>
      </c>
      <c r="D355" s="10">
        <f t="shared" si="65"/>
        <v>0.01</v>
      </c>
      <c r="E355" s="10">
        <f t="shared" si="65"/>
        <v>0.01</v>
      </c>
      <c r="F355" s="10">
        <f t="shared" si="65"/>
        <v>0</v>
      </c>
      <c r="G355" s="10">
        <f t="shared" si="65"/>
        <v>0.01</v>
      </c>
      <c r="H355" s="10">
        <f t="shared" si="65"/>
        <v>0.01</v>
      </c>
      <c r="I355" s="10">
        <f t="shared" si="65"/>
        <v>0.01</v>
      </c>
      <c r="J355" s="10">
        <f t="shared" si="65"/>
        <v>0.01</v>
      </c>
      <c r="K355" s="10">
        <f t="shared" si="65"/>
        <v>0</v>
      </c>
      <c r="L355" s="10">
        <f t="shared" si="65"/>
        <v>0.01</v>
      </c>
      <c r="M355" s="10">
        <f t="shared" si="65"/>
        <v>0</v>
      </c>
      <c r="N355" s="10">
        <f t="shared" si="65"/>
        <v>0</v>
      </c>
      <c r="O355" s="10">
        <f t="shared" si="65"/>
        <v>0.01</v>
      </c>
      <c r="P355" s="10">
        <f t="shared" si="65"/>
        <v>0.01</v>
      </c>
      <c r="Q355" s="10">
        <f t="shared" si="65"/>
        <v>0.01</v>
      </c>
      <c r="R355" s="10">
        <f t="shared" si="65"/>
        <v>0.01</v>
      </c>
      <c r="S355" s="10">
        <f t="shared" si="65"/>
        <v>0.01</v>
      </c>
      <c r="T355" s="10">
        <f t="shared" si="65"/>
        <v>0.01</v>
      </c>
      <c r="U355" s="10">
        <f t="shared" si="65"/>
        <v>0.01</v>
      </c>
      <c r="V355" s="10">
        <f t="shared" si="65"/>
        <v>0</v>
      </c>
      <c r="W355" s="10">
        <f t="shared" si="65"/>
        <v>0</v>
      </c>
      <c r="X355" s="10">
        <f t="shared" si="65"/>
        <v>0.01</v>
      </c>
      <c r="Y355" s="10">
        <f t="shared" si="65"/>
        <v>0.01</v>
      </c>
      <c r="Z355" s="10">
        <f t="shared" si="65"/>
        <v>0</v>
      </c>
      <c r="AA355" s="10">
        <f t="shared" si="65"/>
        <v>0</v>
      </c>
      <c r="AB355" s="10">
        <f t="shared" si="65"/>
        <v>0.01</v>
      </c>
      <c r="AC355" s="10">
        <f t="shared" si="65"/>
        <v>0.01</v>
      </c>
      <c r="AD355" s="10">
        <f t="shared" si="65"/>
        <v>0.01</v>
      </c>
      <c r="AE355" s="10">
        <f t="shared" si="65"/>
        <v>0.01</v>
      </c>
      <c r="AF355" s="10">
        <f t="shared" si="65"/>
        <v>0</v>
      </c>
    </row>
    <row r="356" spans="1:32">
      <c r="A356" s="10" t="s">
        <v>368</v>
      </c>
      <c r="B356" s="61" t="s">
        <v>298</v>
      </c>
      <c r="C356" s="10">
        <f t="shared" si="64"/>
        <v>0.01</v>
      </c>
      <c r="D356" s="10">
        <f t="shared" si="65"/>
        <v>0</v>
      </c>
      <c r="E356" s="10">
        <f t="shared" si="65"/>
        <v>0.01</v>
      </c>
      <c r="F356" s="10">
        <f t="shared" si="65"/>
        <v>0</v>
      </c>
      <c r="G356" s="10">
        <f t="shared" si="65"/>
        <v>0</v>
      </c>
      <c r="H356" s="10">
        <f t="shared" si="65"/>
        <v>0.01</v>
      </c>
      <c r="I356" s="10">
        <f t="shared" si="65"/>
        <v>0.01</v>
      </c>
      <c r="J356" s="10">
        <f t="shared" si="65"/>
        <v>0.01</v>
      </c>
      <c r="K356" s="10">
        <f t="shared" si="65"/>
        <v>0.01</v>
      </c>
      <c r="L356" s="10">
        <f t="shared" si="65"/>
        <v>0</v>
      </c>
      <c r="M356" s="10">
        <f t="shared" si="65"/>
        <v>0.01</v>
      </c>
      <c r="N356" s="10">
        <f t="shared" si="65"/>
        <v>0</v>
      </c>
      <c r="O356" s="10">
        <f t="shared" si="65"/>
        <v>0</v>
      </c>
      <c r="P356" s="10">
        <f t="shared" si="65"/>
        <v>0</v>
      </c>
      <c r="Q356" s="10">
        <f t="shared" si="65"/>
        <v>0.01</v>
      </c>
      <c r="R356" s="10">
        <f t="shared" si="65"/>
        <v>0</v>
      </c>
      <c r="S356" s="10">
        <f t="shared" si="65"/>
        <v>0.01</v>
      </c>
      <c r="T356" s="10">
        <f t="shared" si="65"/>
        <v>0.01</v>
      </c>
      <c r="U356" s="10">
        <f t="shared" si="65"/>
        <v>0.01</v>
      </c>
      <c r="V356" s="10">
        <f t="shared" si="65"/>
        <v>0</v>
      </c>
      <c r="W356" s="10">
        <f t="shared" si="65"/>
        <v>0.01</v>
      </c>
      <c r="X356" s="10">
        <f t="shared" si="65"/>
        <v>0</v>
      </c>
      <c r="Y356" s="10">
        <f t="shared" si="65"/>
        <v>0.01</v>
      </c>
      <c r="Z356" s="10">
        <f t="shared" si="65"/>
        <v>0</v>
      </c>
      <c r="AA356" s="10">
        <f t="shared" si="65"/>
        <v>0</v>
      </c>
      <c r="AB356" s="10">
        <f t="shared" si="65"/>
        <v>0.01</v>
      </c>
      <c r="AC356" s="10">
        <f t="shared" si="65"/>
        <v>0</v>
      </c>
      <c r="AD356" s="10">
        <f t="shared" si="65"/>
        <v>0</v>
      </c>
      <c r="AE356" s="10">
        <f t="shared" si="65"/>
        <v>0.01</v>
      </c>
      <c r="AF356" s="10">
        <f t="shared" si="65"/>
        <v>0</v>
      </c>
    </row>
    <row r="357" spans="1:32">
      <c r="A357" s="10" t="s">
        <v>368</v>
      </c>
      <c r="B357" s="61" t="s">
        <v>357</v>
      </c>
      <c r="C357" s="10">
        <f t="shared" si="64"/>
        <v>0.01</v>
      </c>
      <c r="D357" s="10">
        <f t="shared" si="65"/>
        <v>0.01</v>
      </c>
      <c r="E357" s="10">
        <f t="shared" si="65"/>
        <v>0</v>
      </c>
      <c r="F357" s="10">
        <f t="shared" si="65"/>
        <v>0.01</v>
      </c>
      <c r="G357" s="10">
        <f t="shared" si="65"/>
        <v>0.01</v>
      </c>
      <c r="H357" s="10">
        <f t="shared" si="65"/>
        <v>0.01</v>
      </c>
      <c r="I357" s="10">
        <f t="shared" si="65"/>
        <v>0.01</v>
      </c>
      <c r="J357" s="10">
        <f t="shared" si="65"/>
        <v>0</v>
      </c>
      <c r="K357" s="10">
        <f t="shared" si="65"/>
        <v>0</v>
      </c>
      <c r="L357" s="10">
        <f t="shared" si="65"/>
        <v>0</v>
      </c>
      <c r="M357" s="10">
        <f t="shared" si="65"/>
        <v>0</v>
      </c>
      <c r="N357" s="10">
        <f t="shared" si="65"/>
        <v>0.01</v>
      </c>
      <c r="O357" s="10">
        <f t="shared" si="65"/>
        <v>0.01</v>
      </c>
      <c r="P357" s="10">
        <f t="shared" si="65"/>
        <v>0.01</v>
      </c>
      <c r="Q357" s="10">
        <f t="shared" si="65"/>
        <v>0</v>
      </c>
      <c r="R357" s="10">
        <f t="shared" si="65"/>
        <v>0.01</v>
      </c>
      <c r="S357" s="10">
        <f t="shared" si="65"/>
        <v>0</v>
      </c>
      <c r="T357" s="10">
        <f t="shared" si="65"/>
        <v>0</v>
      </c>
      <c r="U357" s="10">
        <f t="shared" si="65"/>
        <v>0</v>
      </c>
      <c r="V357" s="10">
        <f t="shared" si="65"/>
        <v>0</v>
      </c>
      <c r="W357" s="10">
        <f t="shared" si="65"/>
        <v>0</v>
      </c>
      <c r="X357" s="10">
        <f t="shared" si="65"/>
        <v>0</v>
      </c>
      <c r="Y357" s="10">
        <f t="shared" si="65"/>
        <v>0.01</v>
      </c>
      <c r="Z357" s="10">
        <f t="shared" si="65"/>
        <v>0</v>
      </c>
      <c r="AA357" s="10">
        <f t="shared" si="65"/>
        <v>0.01</v>
      </c>
      <c r="AB357" s="10">
        <f t="shared" si="65"/>
        <v>0</v>
      </c>
      <c r="AC357" s="10">
        <f t="shared" si="65"/>
        <v>0.01</v>
      </c>
      <c r="AD357" s="10">
        <f t="shared" si="65"/>
        <v>0.01</v>
      </c>
      <c r="AE357" s="10">
        <f t="shared" si="65"/>
        <v>0</v>
      </c>
      <c r="AF357" s="10">
        <f t="shared" si="65"/>
        <v>0</v>
      </c>
    </row>
    <row r="358" spans="1:32">
      <c r="A358" s="10" t="s">
        <v>368</v>
      </c>
      <c r="B358" s="61" t="s">
        <v>299</v>
      </c>
      <c r="C358" s="10">
        <f t="shared" si="64"/>
        <v>0.01</v>
      </c>
      <c r="D358" s="10">
        <f t="shared" si="65"/>
        <v>0.01</v>
      </c>
      <c r="E358" s="10">
        <f t="shared" si="65"/>
        <v>0.01</v>
      </c>
      <c r="F358" s="10">
        <f t="shared" si="65"/>
        <v>0.01</v>
      </c>
      <c r="G358" s="10">
        <f t="shared" si="65"/>
        <v>0.01</v>
      </c>
      <c r="H358" s="10">
        <f t="shared" si="65"/>
        <v>0.01</v>
      </c>
      <c r="I358" s="10">
        <f t="shared" si="65"/>
        <v>0.01</v>
      </c>
      <c r="J358" s="10">
        <f t="shared" si="65"/>
        <v>0.01</v>
      </c>
      <c r="K358" s="10">
        <f t="shared" si="65"/>
        <v>0.01</v>
      </c>
      <c r="L358" s="10">
        <f t="shared" si="65"/>
        <v>0</v>
      </c>
      <c r="M358" s="10">
        <f t="shared" si="65"/>
        <v>0.01</v>
      </c>
      <c r="N358" s="10">
        <f t="shared" si="65"/>
        <v>0.01</v>
      </c>
      <c r="O358" s="10">
        <f t="shared" si="65"/>
        <v>0.01</v>
      </c>
      <c r="P358" s="10">
        <f t="shared" si="65"/>
        <v>0.01</v>
      </c>
      <c r="Q358" s="10">
        <f t="shared" si="65"/>
        <v>0</v>
      </c>
      <c r="R358" s="10">
        <f t="shared" si="65"/>
        <v>0.01</v>
      </c>
      <c r="S358" s="10">
        <f t="shared" si="65"/>
        <v>0.01</v>
      </c>
      <c r="T358" s="10">
        <f t="shared" si="65"/>
        <v>0.01</v>
      </c>
      <c r="U358" s="10">
        <f t="shared" si="65"/>
        <v>0.01</v>
      </c>
      <c r="V358" s="10">
        <f t="shared" si="65"/>
        <v>0.01</v>
      </c>
      <c r="W358" s="10">
        <f t="shared" si="65"/>
        <v>0.01</v>
      </c>
      <c r="X358" s="10">
        <f t="shared" si="65"/>
        <v>0.01</v>
      </c>
      <c r="Y358" s="10">
        <f t="shared" si="65"/>
        <v>0</v>
      </c>
      <c r="Z358" s="10">
        <f t="shared" si="65"/>
        <v>0</v>
      </c>
      <c r="AA358" s="10">
        <f t="shared" si="65"/>
        <v>0.01</v>
      </c>
      <c r="AB358" s="10">
        <f t="shared" si="65"/>
        <v>0.01</v>
      </c>
      <c r="AC358" s="10">
        <f t="shared" si="65"/>
        <v>0.01</v>
      </c>
      <c r="AD358" s="10">
        <f t="shared" si="65"/>
        <v>0.01</v>
      </c>
      <c r="AE358" s="10">
        <f t="shared" si="65"/>
        <v>0.01</v>
      </c>
      <c r="AF358" s="10">
        <f t="shared" si="65"/>
        <v>0</v>
      </c>
    </row>
    <row r="359" spans="1:32">
      <c r="A359" s="10" t="s">
        <v>368</v>
      </c>
      <c r="B359" s="61" t="s">
        <v>300</v>
      </c>
      <c r="C359" s="10">
        <f t="shared" si="64"/>
        <v>0.01</v>
      </c>
      <c r="D359" s="10">
        <f t="shared" si="65"/>
        <v>0</v>
      </c>
      <c r="E359" s="10">
        <f t="shared" si="65"/>
        <v>0</v>
      </c>
      <c r="F359" s="10">
        <f t="shared" si="65"/>
        <v>0</v>
      </c>
      <c r="G359" s="10">
        <f t="shared" si="65"/>
        <v>0</v>
      </c>
      <c r="H359" s="10">
        <f t="shared" si="65"/>
        <v>0</v>
      </c>
      <c r="I359" s="10">
        <f t="shared" si="65"/>
        <v>0</v>
      </c>
      <c r="J359" s="10">
        <f t="shared" si="65"/>
        <v>0</v>
      </c>
      <c r="K359" s="10">
        <f t="shared" si="65"/>
        <v>0</v>
      </c>
      <c r="L359" s="10">
        <f t="shared" si="65"/>
        <v>0.01</v>
      </c>
      <c r="M359" s="10">
        <f t="shared" si="65"/>
        <v>0</v>
      </c>
      <c r="N359" s="10">
        <f t="shared" si="65"/>
        <v>0</v>
      </c>
      <c r="O359" s="10">
        <f t="shared" si="65"/>
        <v>0</v>
      </c>
      <c r="P359" s="10">
        <f t="shared" si="65"/>
        <v>0</v>
      </c>
      <c r="Q359" s="10">
        <f t="shared" si="65"/>
        <v>0</v>
      </c>
      <c r="R359" s="10">
        <f t="shared" si="65"/>
        <v>0</v>
      </c>
      <c r="S359" s="10">
        <f t="shared" si="65"/>
        <v>0</v>
      </c>
      <c r="T359" s="10">
        <f t="shared" si="65"/>
        <v>0</v>
      </c>
      <c r="U359" s="10">
        <f t="shared" si="65"/>
        <v>0</v>
      </c>
      <c r="V359" s="10">
        <f t="shared" si="65"/>
        <v>0</v>
      </c>
      <c r="W359" s="10">
        <f t="shared" si="65"/>
        <v>0</v>
      </c>
      <c r="X359" s="10">
        <f t="shared" si="65"/>
        <v>0</v>
      </c>
      <c r="Y359" s="10">
        <f t="shared" si="65"/>
        <v>0</v>
      </c>
      <c r="Z359" s="10">
        <f t="shared" si="65"/>
        <v>0</v>
      </c>
      <c r="AA359" s="10">
        <f t="shared" si="65"/>
        <v>0</v>
      </c>
      <c r="AB359" s="10">
        <f t="shared" si="65"/>
        <v>0</v>
      </c>
      <c r="AC359" s="10">
        <f t="shared" si="65"/>
        <v>0</v>
      </c>
      <c r="AD359" s="10">
        <f t="shared" si="65"/>
        <v>0</v>
      </c>
      <c r="AE359" s="10">
        <f t="shared" si="65"/>
        <v>0.01</v>
      </c>
      <c r="AF359" s="10">
        <f t="shared" si="65"/>
        <v>0</v>
      </c>
    </row>
    <row r="360" spans="1:32">
      <c r="A360" s="10" t="s">
        <v>368</v>
      </c>
      <c r="B360" s="61" t="s">
        <v>301</v>
      </c>
      <c r="C360" s="10">
        <f t="shared" si="64"/>
        <v>0.01</v>
      </c>
      <c r="D360" s="10">
        <f t="shared" si="65"/>
        <v>0.01</v>
      </c>
      <c r="E360" s="10">
        <f t="shared" si="65"/>
        <v>0</v>
      </c>
      <c r="F360" s="10">
        <f t="shared" si="65"/>
        <v>0.01</v>
      </c>
      <c r="G360" s="10">
        <f t="shared" si="65"/>
        <v>0.01</v>
      </c>
      <c r="H360" s="10">
        <f t="shared" si="65"/>
        <v>0.01</v>
      </c>
      <c r="I360" s="10">
        <f t="shared" si="65"/>
        <v>0.01</v>
      </c>
      <c r="J360" s="10">
        <f t="shared" si="65"/>
        <v>0.01</v>
      </c>
      <c r="K360" s="10">
        <f t="shared" si="65"/>
        <v>0</v>
      </c>
      <c r="L360" s="10">
        <f t="shared" si="65"/>
        <v>0</v>
      </c>
      <c r="M360" s="10">
        <f t="shared" si="65"/>
        <v>0</v>
      </c>
      <c r="N360" s="10">
        <f t="shared" si="65"/>
        <v>0.01</v>
      </c>
      <c r="O360" s="10">
        <f t="shared" si="65"/>
        <v>0.01</v>
      </c>
      <c r="P360" s="10">
        <f t="shared" si="65"/>
        <v>0.01</v>
      </c>
      <c r="Q360" s="10">
        <f t="shared" si="65"/>
        <v>0</v>
      </c>
      <c r="R360" s="10">
        <f t="shared" si="65"/>
        <v>0.01</v>
      </c>
      <c r="S360" s="10">
        <f t="shared" si="65"/>
        <v>0.01</v>
      </c>
      <c r="T360" s="10">
        <f t="shared" si="65"/>
        <v>0</v>
      </c>
      <c r="U360" s="10">
        <f t="shared" si="65"/>
        <v>0.01</v>
      </c>
      <c r="V360" s="10">
        <f t="shared" si="65"/>
        <v>0.01</v>
      </c>
      <c r="W360" s="10">
        <f t="shared" si="65"/>
        <v>0</v>
      </c>
      <c r="X360" s="10">
        <f t="shared" si="65"/>
        <v>0</v>
      </c>
      <c r="Y360" s="10">
        <f t="shared" si="65"/>
        <v>0.01</v>
      </c>
      <c r="Z360" s="10">
        <f t="shared" si="65"/>
        <v>0</v>
      </c>
      <c r="AA360" s="10">
        <f t="shared" si="65"/>
        <v>0</v>
      </c>
      <c r="AB360" s="10">
        <f t="shared" si="65"/>
        <v>0</v>
      </c>
      <c r="AC360" s="10">
        <f t="shared" si="65"/>
        <v>0.01</v>
      </c>
      <c r="AD360" s="10">
        <f t="shared" si="65"/>
        <v>0.01</v>
      </c>
      <c r="AE360" s="10">
        <f t="shared" si="65"/>
        <v>0</v>
      </c>
      <c r="AF360" s="10">
        <f t="shared" si="65"/>
        <v>0.01</v>
      </c>
    </row>
    <row r="361" spans="1:32">
      <c r="A361" s="10" t="s">
        <v>368</v>
      </c>
      <c r="B361" s="61" t="s">
        <v>303</v>
      </c>
      <c r="C361" s="10">
        <f t="shared" si="64"/>
        <v>0.01</v>
      </c>
      <c r="D361" s="10">
        <f t="shared" si="65"/>
        <v>0.01</v>
      </c>
      <c r="E361" s="10">
        <f t="shared" si="65"/>
        <v>0.01</v>
      </c>
      <c r="F361" s="10">
        <f t="shared" si="65"/>
        <v>0</v>
      </c>
      <c r="G361" s="10">
        <f t="shared" si="65"/>
        <v>0.01</v>
      </c>
      <c r="H361" s="10">
        <f t="shared" si="65"/>
        <v>0.01</v>
      </c>
      <c r="I361" s="10">
        <f t="shared" si="65"/>
        <v>0.01</v>
      </c>
      <c r="J361" s="10">
        <f t="shared" si="65"/>
        <v>0.01</v>
      </c>
      <c r="K361" s="10">
        <f t="shared" si="65"/>
        <v>0.01</v>
      </c>
      <c r="L361" s="10">
        <f t="shared" si="65"/>
        <v>0</v>
      </c>
      <c r="M361" s="10">
        <f t="shared" si="65"/>
        <v>0.01</v>
      </c>
      <c r="N361" s="10">
        <f t="shared" si="65"/>
        <v>0</v>
      </c>
      <c r="O361" s="10">
        <f t="shared" si="65"/>
        <v>0.01</v>
      </c>
      <c r="P361" s="10">
        <f t="shared" si="65"/>
        <v>0.01</v>
      </c>
      <c r="Q361" s="10">
        <f t="shared" si="65"/>
        <v>0</v>
      </c>
      <c r="R361" s="10">
        <f t="shared" si="65"/>
        <v>0.01</v>
      </c>
      <c r="S361" s="10">
        <f t="shared" si="65"/>
        <v>0.01</v>
      </c>
      <c r="T361" s="10">
        <f t="shared" si="65"/>
        <v>0.01</v>
      </c>
      <c r="U361" s="10">
        <f t="shared" si="65"/>
        <v>0.01</v>
      </c>
      <c r="V361" s="10">
        <f t="shared" si="65"/>
        <v>0</v>
      </c>
      <c r="W361" s="10">
        <f t="shared" si="65"/>
        <v>0.01</v>
      </c>
      <c r="X361" s="10">
        <f t="shared" si="65"/>
        <v>0.01</v>
      </c>
      <c r="Y361" s="10">
        <f t="shared" si="65"/>
        <v>0.01</v>
      </c>
      <c r="Z361" s="10">
        <f t="shared" si="65"/>
        <v>0</v>
      </c>
      <c r="AA361" s="10">
        <f t="shared" si="65"/>
        <v>0</v>
      </c>
      <c r="AB361" s="10">
        <f t="shared" si="65"/>
        <v>0</v>
      </c>
      <c r="AC361" s="10">
        <f t="shared" si="65"/>
        <v>0.01</v>
      </c>
      <c r="AD361" s="10">
        <f t="shared" si="65"/>
        <v>0.01</v>
      </c>
      <c r="AE361" s="10">
        <f t="shared" si="65"/>
        <v>0.01</v>
      </c>
      <c r="AF361" s="10">
        <f t="shared" si="65"/>
        <v>0</v>
      </c>
    </row>
    <row r="362" spans="1:32">
      <c r="A362" s="10" t="s">
        <v>368</v>
      </c>
      <c r="B362" s="61" t="s">
        <v>304</v>
      </c>
      <c r="C362" s="10">
        <f t="shared" si="64"/>
        <v>0.01</v>
      </c>
      <c r="D362" s="10">
        <f t="shared" si="65"/>
        <v>0.01</v>
      </c>
      <c r="E362" s="10">
        <f t="shared" si="65"/>
        <v>0.01</v>
      </c>
      <c r="F362" s="10">
        <f t="shared" si="65"/>
        <v>0.01</v>
      </c>
      <c r="G362" s="10">
        <f t="shared" si="65"/>
        <v>0.01</v>
      </c>
      <c r="H362" s="10">
        <f t="shared" si="65"/>
        <v>0.01</v>
      </c>
      <c r="I362" s="10">
        <f t="shared" si="65"/>
        <v>0.01</v>
      </c>
      <c r="J362" s="10">
        <f t="shared" si="65"/>
        <v>0.01</v>
      </c>
      <c r="K362" s="10">
        <f t="shared" si="65"/>
        <v>0</v>
      </c>
      <c r="L362" s="10">
        <f t="shared" si="65"/>
        <v>0.01</v>
      </c>
      <c r="M362" s="10">
        <f t="shared" si="65"/>
        <v>0</v>
      </c>
      <c r="N362" s="10">
        <f t="shared" si="65"/>
        <v>0.01</v>
      </c>
      <c r="O362" s="10">
        <f t="shared" si="65"/>
        <v>0.01</v>
      </c>
      <c r="P362" s="10">
        <f t="shared" si="65"/>
        <v>0.01</v>
      </c>
      <c r="Q362" s="10">
        <f t="shared" si="65"/>
        <v>0</v>
      </c>
      <c r="R362" s="10">
        <f t="shared" si="65"/>
        <v>0.01</v>
      </c>
      <c r="S362" s="10">
        <f t="shared" si="65"/>
        <v>0.01</v>
      </c>
      <c r="T362" s="10">
        <f t="shared" si="65"/>
        <v>0.01</v>
      </c>
      <c r="U362" s="10">
        <f t="shared" si="65"/>
        <v>0</v>
      </c>
      <c r="V362" s="10">
        <f t="shared" si="65"/>
        <v>0.01</v>
      </c>
      <c r="W362" s="10">
        <f t="shared" si="65"/>
        <v>0.01</v>
      </c>
      <c r="X362" s="10">
        <f t="shared" si="65"/>
        <v>0</v>
      </c>
      <c r="Y362" s="10">
        <f t="shared" si="65"/>
        <v>0.01</v>
      </c>
      <c r="Z362" s="10">
        <f t="shared" si="65"/>
        <v>0</v>
      </c>
      <c r="AA362" s="10">
        <f t="shared" si="65"/>
        <v>0.01</v>
      </c>
      <c r="AB362" s="10">
        <f t="shared" si="65"/>
        <v>0.01</v>
      </c>
      <c r="AC362" s="10">
        <f t="shared" si="65"/>
        <v>0</v>
      </c>
      <c r="AD362" s="10">
        <f t="shared" ref="AD362:AF362" si="66">IF(AD212&gt;0,0.01,0)</f>
        <v>0.01</v>
      </c>
      <c r="AE362" s="10">
        <f t="shared" si="66"/>
        <v>0</v>
      </c>
      <c r="AF362" s="10">
        <f t="shared" si="66"/>
        <v>0</v>
      </c>
    </row>
    <row r="363" spans="1:32">
      <c r="A363" s="10" t="s">
        <v>368</v>
      </c>
      <c r="B363" s="61" t="s">
        <v>305</v>
      </c>
      <c r="C363" s="10">
        <f t="shared" si="64"/>
        <v>0.01</v>
      </c>
      <c r="D363" s="10">
        <f t="shared" si="64"/>
        <v>0.01</v>
      </c>
      <c r="E363" s="10">
        <f t="shared" si="64"/>
        <v>0.01</v>
      </c>
      <c r="F363" s="10">
        <f t="shared" si="64"/>
        <v>0.01</v>
      </c>
      <c r="G363" s="10">
        <f t="shared" si="64"/>
        <v>0.01</v>
      </c>
      <c r="H363" s="10">
        <f t="shared" si="64"/>
        <v>0.01</v>
      </c>
      <c r="I363" s="10">
        <f t="shared" si="64"/>
        <v>0.01</v>
      </c>
      <c r="J363" s="10">
        <f t="shared" si="64"/>
        <v>0.01</v>
      </c>
      <c r="K363" s="10">
        <f t="shared" si="64"/>
        <v>0.01</v>
      </c>
      <c r="L363" s="10">
        <f t="shared" si="64"/>
        <v>0</v>
      </c>
      <c r="M363" s="10">
        <f t="shared" si="64"/>
        <v>0</v>
      </c>
      <c r="N363" s="10">
        <f t="shared" si="64"/>
        <v>0.01</v>
      </c>
      <c r="O363" s="10">
        <f t="shared" si="64"/>
        <v>0.01</v>
      </c>
      <c r="P363" s="10">
        <f t="shared" si="64"/>
        <v>0.01</v>
      </c>
      <c r="Q363" s="10">
        <f t="shared" si="64"/>
        <v>0</v>
      </c>
      <c r="R363" s="10">
        <f t="shared" si="64"/>
        <v>0.01</v>
      </c>
      <c r="S363" s="10">
        <f t="shared" ref="S363:AF365" si="67">IF(S213&gt;0,0.01,0)</f>
        <v>0.01</v>
      </c>
      <c r="T363" s="10">
        <f t="shared" si="67"/>
        <v>0.01</v>
      </c>
      <c r="U363" s="10">
        <f t="shared" si="67"/>
        <v>0.01</v>
      </c>
      <c r="V363" s="10">
        <f t="shared" si="67"/>
        <v>0.01</v>
      </c>
      <c r="W363" s="10">
        <f t="shared" si="67"/>
        <v>0.01</v>
      </c>
      <c r="X363" s="10">
        <f t="shared" si="67"/>
        <v>0</v>
      </c>
      <c r="Y363" s="10">
        <f t="shared" si="67"/>
        <v>0.01</v>
      </c>
      <c r="Z363" s="10">
        <f t="shared" si="67"/>
        <v>0</v>
      </c>
      <c r="AA363" s="10">
        <f t="shared" si="67"/>
        <v>0.01</v>
      </c>
      <c r="AB363" s="10">
        <f t="shared" si="67"/>
        <v>0.01</v>
      </c>
      <c r="AC363" s="10">
        <f t="shared" si="67"/>
        <v>0.01</v>
      </c>
      <c r="AD363" s="10">
        <f t="shared" si="67"/>
        <v>0</v>
      </c>
      <c r="AE363" s="10">
        <f t="shared" si="67"/>
        <v>0</v>
      </c>
      <c r="AF363" s="10">
        <f t="shared" si="67"/>
        <v>0</v>
      </c>
    </row>
    <row r="364" spans="1:32">
      <c r="A364" s="10" t="s">
        <v>368</v>
      </c>
      <c r="B364" s="10" t="s">
        <v>356</v>
      </c>
      <c r="C364" s="10">
        <f t="shared" si="64"/>
        <v>0</v>
      </c>
      <c r="D364" s="10">
        <f t="shared" si="64"/>
        <v>0</v>
      </c>
      <c r="E364" s="10">
        <f t="shared" si="64"/>
        <v>0</v>
      </c>
      <c r="F364" s="10">
        <f t="shared" si="64"/>
        <v>0.01</v>
      </c>
      <c r="G364" s="10">
        <f t="shared" si="64"/>
        <v>0</v>
      </c>
      <c r="H364" s="10">
        <f t="shared" si="64"/>
        <v>0</v>
      </c>
      <c r="I364" s="10">
        <f t="shared" si="64"/>
        <v>0</v>
      </c>
      <c r="J364" s="10">
        <f t="shared" si="64"/>
        <v>0</v>
      </c>
      <c r="K364" s="10">
        <f t="shared" si="64"/>
        <v>0</v>
      </c>
      <c r="L364" s="10">
        <f t="shared" si="64"/>
        <v>0</v>
      </c>
      <c r="M364" s="10">
        <f t="shared" si="64"/>
        <v>0</v>
      </c>
      <c r="N364" s="10">
        <f t="shared" si="64"/>
        <v>0.01</v>
      </c>
      <c r="O364" s="10">
        <f t="shared" si="64"/>
        <v>0</v>
      </c>
      <c r="P364" s="10">
        <f t="shared" si="64"/>
        <v>0</v>
      </c>
      <c r="Q364" s="10">
        <f t="shared" si="64"/>
        <v>0</v>
      </c>
      <c r="R364" s="10">
        <f t="shared" si="64"/>
        <v>0</v>
      </c>
      <c r="S364" s="10">
        <f t="shared" si="67"/>
        <v>0</v>
      </c>
      <c r="T364" s="10">
        <f t="shared" si="67"/>
        <v>0</v>
      </c>
      <c r="U364" s="10">
        <f t="shared" si="67"/>
        <v>0</v>
      </c>
      <c r="V364" s="10">
        <f t="shared" si="67"/>
        <v>0</v>
      </c>
      <c r="W364" s="10">
        <f t="shared" si="67"/>
        <v>0</v>
      </c>
      <c r="X364" s="10">
        <f t="shared" si="67"/>
        <v>0</v>
      </c>
      <c r="Y364" s="10">
        <f t="shared" si="67"/>
        <v>0</v>
      </c>
      <c r="Z364" s="10">
        <f t="shared" si="67"/>
        <v>0</v>
      </c>
      <c r="AA364" s="10">
        <f t="shared" si="67"/>
        <v>0.01</v>
      </c>
      <c r="AB364" s="10">
        <f t="shared" si="67"/>
        <v>0</v>
      </c>
      <c r="AC364" s="10">
        <f t="shared" si="67"/>
        <v>0</v>
      </c>
      <c r="AD364" s="10">
        <f t="shared" si="67"/>
        <v>0</v>
      </c>
      <c r="AE364" s="10">
        <f t="shared" si="67"/>
        <v>0</v>
      </c>
      <c r="AF364" s="10">
        <f t="shared" si="67"/>
        <v>0</v>
      </c>
    </row>
    <row r="365" spans="1:32">
      <c r="A365" s="10" t="s">
        <v>368</v>
      </c>
      <c r="B365" s="61" t="s">
        <v>307</v>
      </c>
      <c r="C365" s="10">
        <f>IF(C215&gt;0,0.01,0)</f>
        <v>0.01</v>
      </c>
      <c r="D365" s="10">
        <f t="shared" si="64"/>
        <v>0.01</v>
      </c>
      <c r="E365" s="10">
        <f t="shared" si="64"/>
        <v>0.01</v>
      </c>
      <c r="F365" s="10">
        <f t="shared" si="64"/>
        <v>0</v>
      </c>
      <c r="G365" s="10">
        <f t="shared" si="64"/>
        <v>0.01</v>
      </c>
      <c r="H365" s="10">
        <f t="shared" si="64"/>
        <v>0.01</v>
      </c>
      <c r="I365" s="10">
        <f t="shared" si="64"/>
        <v>0.01</v>
      </c>
      <c r="J365" s="10">
        <f t="shared" si="64"/>
        <v>0.01</v>
      </c>
      <c r="K365" s="10">
        <f t="shared" si="64"/>
        <v>0</v>
      </c>
      <c r="L365" s="10">
        <f t="shared" si="64"/>
        <v>0.01</v>
      </c>
      <c r="M365" s="10">
        <f t="shared" si="64"/>
        <v>0</v>
      </c>
      <c r="N365" s="10">
        <f t="shared" si="64"/>
        <v>0</v>
      </c>
      <c r="O365" s="10">
        <f t="shared" si="64"/>
        <v>0</v>
      </c>
      <c r="P365" s="10">
        <f t="shared" si="64"/>
        <v>0</v>
      </c>
      <c r="Q365" s="10">
        <f t="shared" si="64"/>
        <v>0.01</v>
      </c>
      <c r="R365" s="10">
        <f t="shared" si="64"/>
        <v>0.01</v>
      </c>
      <c r="S365" s="10">
        <f t="shared" si="67"/>
        <v>0</v>
      </c>
      <c r="T365" s="10">
        <f t="shared" si="67"/>
        <v>0.01</v>
      </c>
      <c r="U365" s="10">
        <f t="shared" si="67"/>
        <v>0</v>
      </c>
      <c r="V365" s="10">
        <f t="shared" si="67"/>
        <v>0</v>
      </c>
      <c r="W365" s="10">
        <f t="shared" si="67"/>
        <v>0.01</v>
      </c>
      <c r="X365" s="10">
        <f t="shared" si="67"/>
        <v>0.01</v>
      </c>
      <c r="Y365" s="10">
        <f t="shared" si="67"/>
        <v>0.01</v>
      </c>
      <c r="Z365" s="10">
        <f t="shared" si="67"/>
        <v>0.01</v>
      </c>
      <c r="AA365" s="10">
        <f t="shared" si="67"/>
        <v>0</v>
      </c>
      <c r="AB365" s="10">
        <f t="shared" si="67"/>
        <v>0.01</v>
      </c>
      <c r="AC365" s="10">
        <f t="shared" si="67"/>
        <v>0</v>
      </c>
      <c r="AD365" s="10">
        <f t="shared" si="67"/>
        <v>0</v>
      </c>
      <c r="AE365" s="10">
        <f t="shared" si="67"/>
        <v>0</v>
      </c>
      <c r="AF365" s="10">
        <f t="shared" si="67"/>
        <v>0</v>
      </c>
    </row>
    <row r="366" spans="1:32">
      <c r="A366" s="10" t="s">
        <v>275</v>
      </c>
      <c r="B366" s="61" t="s">
        <v>278</v>
      </c>
      <c r="C366" s="10">
        <f>ROUND((EXP(7.032824+1*0.622482)*((C6/1.852)^ 0.40303))/(1.15*0.0059)/1000000,3)</f>
        <v>4.58</v>
      </c>
      <c r="D366" s="10">
        <f t="shared" ref="D366:AF375" si="68">ROUND((EXP(7.032824+1*0.622482)*((D6/1.852)^ 0.40303))/(1.15*0.0059)/1000000,3)</f>
        <v>0</v>
      </c>
      <c r="E366" s="10">
        <f t="shared" si="68"/>
        <v>3.5369999999999999</v>
      </c>
      <c r="F366" s="10">
        <f t="shared" si="68"/>
        <v>3.9649999999999999</v>
      </c>
      <c r="G366" s="10">
        <f t="shared" si="68"/>
        <v>2.8639999999999999</v>
      </c>
      <c r="H366" s="10">
        <f t="shared" si="68"/>
        <v>2.2650000000000001</v>
      </c>
      <c r="I366" s="10">
        <f t="shared" si="68"/>
        <v>2.9159999999999999</v>
      </c>
      <c r="J366" s="10">
        <f t="shared" si="68"/>
        <v>3.8860000000000001</v>
      </c>
      <c r="K366" s="10">
        <f t="shared" si="68"/>
        <v>0</v>
      </c>
      <c r="L366" s="10">
        <f t="shared" si="68"/>
        <v>4.7969999999999997</v>
      </c>
      <c r="M366" s="10">
        <f t="shared" si="68"/>
        <v>0</v>
      </c>
      <c r="N366" s="10">
        <f t="shared" si="68"/>
        <v>4.2119999999999997</v>
      </c>
      <c r="O366" s="10">
        <f t="shared" si="68"/>
        <v>2.52</v>
      </c>
      <c r="P366" s="10">
        <f t="shared" si="68"/>
        <v>2.718</v>
      </c>
      <c r="Q366" s="10">
        <f t="shared" si="68"/>
        <v>0</v>
      </c>
      <c r="R366" s="10">
        <f t="shared" si="68"/>
        <v>3.105</v>
      </c>
      <c r="S366" s="10">
        <f t="shared" si="68"/>
        <v>4.0759999999999996</v>
      </c>
      <c r="T366" s="10">
        <f t="shared" si="68"/>
        <v>3.2829999999999999</v>
      </c>
      <c r="U366" s="10">
        <f t="shared" si="68"/>
        <v>4.319</v>
      </c>
      <c r="V366" s="10">
        <f t="shared" si="68"/>
        <v>3.3380000000000001</v>
      </c>
      <c r="W366" s="10">
        <f t="shared" si="68"/>
        <v>3.5990000000000002</v>
      </c>
      <c r="X366" s="10">
        <f t="shared" si="68"/>
        <v>0</v>
      </c>
      <c r="Y366" s="10">
        <f t="shared" si="68"/>
        <v>3.2629999999999999</v>
      </c>
      <c r="Z366" s="10">
        <f t="shared" si="68"/>
        <v>0</v>
      </c>
      <c r="AA366" s="10">
        <f t="shared" si="68"/>
        <v>3.6819999999999999</v>
      </c>
      <c r="AB366" s="10">
        <f t="shared" si="68"/>
        <v>4.8650000000000002</v>
      </c>
      <c r="AC366" s="10">
        <f t="shared" si="68"/>
        <v>1.93</v>
      </c>
      <c r="AD366" s="10">
        <f t="shared" si="68"/>
        <v>2.7610000000000001</v>
      </c>
      <c r="AE366" s="10">
        <f t="shared" si="68"/>
        <v>4.4989999999999997</v>
      </c>
      <c r="AF366" s="10">
        <f t="shared" si="68"/>
        <v>0</v>
      </c>
    </row>
    <row r="367" spans="1:32">
      <c r="A367" s="10" t="s">
        <v>275</v>
      </c>
      <c r="B367" s="61" t="s">
        <v>280</v>
      </c>
      <c r="C367" s="10">
        <f t="shared" ref="C367:R382" si="69">ROUND((EXP(7.032824+1*0.622482)*((C7/1.852)^ 0.40303))/(1.15*0.0059)/1000000,3)</f>
        <v>2.419</v>
      </c>
      <c r="D367" s="10">
        <f t="shared" si="69"/>
        <v>3.5369999999999999</v>
      </c>
      <c r="E367" s="10">
        <f t="shared" si="69"/>
        <v>0</v>
      </c>
      <c r="F367" s="10">
        <f t="shared" si="69"/>
        <v>0</v>
      </c>
      <c r="G367" s="10">
        <f t="shared" si="69"/>
        <v>2.9750000000000001</v>
      </c>
      <c r="H367" s="10">
        <f t="shared" si="69"/>
        <v>3.5329999999999999</v>
      </c>
      <c r="I367" s="10">
        <f t="shared" si="69"/>
        <v>2.734</v>
      </c>
      <c r="J367" s="10">
        <f t="shared" si="69"/>
        <v>3.3879999999999999</v>
      </c>
      <c r="K367" s="10">
        <f t="shared" si="69"/>
        <v>0</v>
      </c>
      <c r="L367" s="10">
        <f t="shared" si="69"/>
        <v>4.4020000000000001</v>
      </c>
      <c r="M367" s="10">
        <f t="shared" si="69"/>
        <v>0</v>
      </c>
      <c r="N367" s="10">
        <f t="shared" si="69"/>
        <v>0</v>
      </c>
      <c r="O367" s="10">
        <f t="shared" si="69"/>
        <v>4.0460000000000003</v>
      </c>
      <c r="P367" s="10">
        <f t="shared" si="69"/>
        <v>4.1509999999999998</v>
      </c>
      <c r="Q367" s="10">
        <f t="shared" si="69"/>
        <v>3.806</v>
      </c>
      <c r="R367" s="10">
        <f t="shared" si="69"/>
        <v>3.992</v>
      </c>
      <c r="S367" s="10">
        <f t="shared" si="68"/>
        <v>0</v>
      </c>
      <c r="T367" s="10">
        <f t="shared" si="68"/>
        <v>1.7809999999999999</v>
      </c>
      <c r="U367" s="10">
        <f t="shared" si="68"/>
        <v>0</v>
      </c>
      <c r="V367" s="10">
        <f t="shared" si="68"/>
        <v>0</v>
      </c>
      <c r="W367" s="10">
        <f t="shared" si="68"/>
        <v>2.0209999999999999</v>
      </c>
      <c r="X367" s="10">
        <f t="shared" si="68"/>
        <v>4.7919999999999998</v>
      </c>
      <c r="Y367" s="10">
        <f t="shared" si="68"/>
        <v>3.988</v>
      </c>
      <c r="Z367" s="10">
        <f t="shared" si="68"/>
        <v>0</v>
      </c>
      <c r="AA367" s="10">
        <f t="shared" si="68"/>
        <v>0</v>
      </c>
      <c r="AB367" s="10">
        <f t="shared" si="68"/>
        <v>4.6710000000000003</v>
      </c>
      <c r="AC367" s="10">
        <f t="shared" si="68"/>
        <v>3.7730000000000001</v>
      </c>
      <c r="AD367" s="10">
        <f t="shared" si="68"/>
        <v>4.0679999999999996</v>
      </c>
      <c r="AE367" s="10">
        <f t="shared" si="68"/>
        <v>3.294</v>
      </c>
      <c r="AF367" s="10">
        <f t="shared" si="68"/>
        <v>0</v>
      </c>
    </row>
    <row r="368" spans="1:32">
      <c r="A368" s="10" t="s">
        <v>275</v>
      </c>
      <c r="B368" s="61" t="s">
        <v>281</v>
      </c>
      <c r="C368" s="10">
        <f t="shared" si="69"/>
        <v>0</v>
      </c>
      <c r="D368" s="10">
        <f t="shared" si="68"/>
        <v>3.9649999999999999</v>
      </c>
      <c r="E368" s="10">
        <f t="shared" si="68"/>
        <v>0</v>
      </c>
      <c r="F368" s="10">
        <f t="shared" si="68"/>
        <v>0</v>
      </c>
      <c r="G368" s="10">
        <f t="shared" si="68"/>
        <v>4.5199999999999996</v>
      </c>
      <c r="H368" s="10">
        <f t="shared" si="68"/>
        <v>4.0640000000000001</v>
      </c>
      <c r="I368" s="10">
        <f t="shared" si="68"/>
        <v>4.5739999999999998</v>
      </c>
      <c r="J368" s="10">
        <f t="shared" si="68"/>
        <v>0</v>
      </c>
      <c r="K368" s="10">
        <f t="shared" si="68"/>
        <v>0</v>
      </c>
      <c r="L368" s="10">
        <f t="shared" si="68"/>
        <v>0</v>
      </c>
      <c r="M368" s="10">
        <f t="shared" si="68"/>
        <v>0</v>
      </c>
      <c r="N368" s="10">
        <f t="shared" si="68"/>
        <v>2.8580000000000001</v>
      </c>
      <c r="O368" s="10">
        <f t="shared" si="68"/>
        <v>3.5049999999999999</v>
      </c>
      <c r="P368" s="10">
        <f t="shared" si="68"/>
        <v>3.3460000000000001</v>
      </c>
      <c r="Q368" s="10">
        <f t="shared" si="68"/>
        <v>0</v>
      </c>
      <c r="R368" s="10">
        <f t="shared" si="68"/>
        <v>4.0460000000000003</v>
      </c>
      <c r="S368" s="10">
        <f t="shared" si="68"/>
        <v>0</v>
      </c>
      <c r="T368" s="10">
        <f t="shared" si="68"/>
        <v>0</v>
      </c>
      <c r="U368" s="10">
        <f t="shared" si="68"/>
        <v>0</v>
      </c>
      <c r="V368" s="10">
        <f t="shared" si="68"/>
        <v>2.9460000000000002</v>
      </c>
      <c r="W368" s="10">
        <f t="shared" si="68"/>
        <v>0</v>
      </c>
      <c r="X368" s="10">
        <f t="shared" si="68"/>
        <v>0</v>
      </c>
      <c r="Y368" s="10">
        <f t="shared" si="68"/>
        <v>4.1269999999999998</v>
      </c>
      <c r="Z368" s="10">
        <f t="shared" si="68"/>
        <v>0</v>
      </c>
      <c r="AA368" s="10">
        <f t="shared" si="68"/>
        <v>2.5529999999999999</v>
      </c>
      <c r="AB368" s="10">
        <f t="shared" si="68"/>
        <v>0</v>
      </c>
      <c r="AC368" s="10">
        <f t="shared" si="68"/>
        <v>3.78</v>
      </c>
      <c r="AD368" s="10">
        <f t="shared" si="68"/>
        <v>3.5880000000000001</v>
      </c>
      <c r="AE368" s="10">
        <f t="shared" si="68"/>
        <v>0</v>
      </c>
      <c r="AF368" s="10">
        <f t="shared" si="68"/>
        <v>2.7909999999999999</v>
      </c>
    </row>
    <row r="369" spans="1:32">
      <c r="A369" s="10" t="s">
        <v>275</v>
      </c>
      <c r="B369" s="61" t="s">
        <v>282</v>
      </c>
      <c r="C369" s="10">
        <f t="shared" si="69"/>
        <v>2.5739999999999998</v>
      </c>
      <c r="D369" s="10">
        <f t="shared" si="68"/>
        <v>2.8639999999999999</v>
      </c>
      <c r="E369" s="10">
        <f t="shared" si="68"/>
        <v>2.9750000000000001</v>
      </c>
      <c r="F369" s="10">
        <f t="shared" si="68"/>
        <v>4.5199999999999996</v>
      </c>
      <c r="G369" s="10">
        <f t="shared" si="68"/>
        <v>0</v>
      </c>
      <c r="H369" s="10">
        <f t="shared" si="68"/>
        <v>3.2410000000000001</v>
      </c>
      <c r="I369" s="10">
        <f t="shared" si="68"/>
        <v>2.9830000000000001</v>
      </c>
      <c r="J369" s="10">
        <f t="shared" si="68"/>
        <v>3.972</v>
      </c>
      <c r="K369" s="10">
        <f t="shared" si="68"/>
        <v>0</v>
      </c>
      <c r="L369" s="10">
        <f t="shared" si="68"/>
        <v>4.2350000000000003</v>
      </c>
      <c r="M369" s="10">
        <f t="shared" si="68"/>
        <v>0</v>
      </c>
      <c r="N369" s="10">
        <f t="shared" si="68"/>
        <v>0</v>
      </c>
      <c r="O369" s="10">
        <f t="shared" si="68"/>
        <v>3.3290000000000002</v>
      </c>
      <c r="P369" s="10">
        <f t="shared" si="68"/>
        <v>3.6819999999999999</v>
      </c>
      <c r="Q369" s="10">
        <f t="shared" si="68"/>
        <v>0</v>
      </c>
      <c r="R369" s="10">
        <f t="shared" si="68"/>
        <v>3.0649999999999999</v>
      </c>
      <c r="S369" s="10">
        <f t="shared" si="68"/>
        <v>0</v>
      </c>
      <c r="T369" s="10">
        <f t="shared" si="68"/>
        <v>2.6240000000000001</v>
      </c>
      <c r="U369" s="10">
        <f t="shared" si="68"/>
        <v>0</v>
      </c>
      <c r="V369" s="10">
        <f t="shared" si="68"/>
        <v>3.895</v>
      </c>
      <c r="W369" s="10">
        <f t="shared" si="68"/>
        <v>3.278</v>
      </c>
      <c r="X369" s="10">
        <f t="shared" si="68"/>
        <v>0</v>
      </c>
      <c r="Y369" s="10">
        <f t="shared" si="68"/>
        <v>3.9319999999999999</v>
      </c>
      <c r="Z369" s="10">
        <f t="shared" si="68"/>
        <v>0</v>
      </c>
      <c r="AA369" s="10">
        <f t="shared" si="68"/>
        <v>4.3570000000000002</v>
      </c>
      <c r="AB369" s="10">
        <f t="shared" si="68"/>
        <v>5.0430000000000001</v>
      </c>
      <c r="AC369" s="10">
        <f t="shared" si="68"/>
        <v>3</v>
      </c>
      <c r="AD369" s="10">
        <f t="shared" si="68"/>
        <v>3.714</v>
      </c>
      <c r="AE369" s="10">
        <f t="shared" si="68"/>
        <v>4.1349999999999998</v>
      </c>
      <c r="AF369" s="10">
        <f t="shared" si="68"/>
        <v>0</v>
      </c>
    </row>
    <row r="370" spans="1:32">
      <c r="A370" s="10" t="s">
        <v>275</v>
      </c>
      <c r="B370" s="61" t="s">
        <v>283</v>
      </c>
      <c r="C370" s="10">
        <f t="shared" si="69"/>
        <v>4.7850000000000001</v>
      </c>
      <c r="D370" s="10">
        <f t="shared" si="68"/>
        <v>2.2650000000000001</v>
      </c>
      <c r="E370" s="10">
        <f t="shared" si="68"/>
        <v>3.5329999999999999</v>
      </c>
      <c r="F370" s="10">
        <f t="shared" si="68"/>
        <v>4.0640000000000001</v>
      </c>
      <c r="G370" s="10">
        <f t="shared" si="68"/>
        <v>3.2410000000000001</v>
      </c>
      <c r="H370" s="10">
        <f t="shared" si="68"/>
        <v>0</v>
      </c>
      <c r="I370" s="10">
        <f t="shared" si="68"/>
        <v>2.6680000000000001</v>
      </c>
      <c r="J370" s="10">
        <f t="shared" si="68"/>
        <v>3.5510000000000002</v>
      </c>
      <c r="K370" s="10">
        <f t="shared" si="68"/>
        <v>4.2210000000000001</v>
      </c>
      <c r="L370" s="10">
        <f t="shared" si="68"/>
        <v>0</v>
      </c>
      <c r="M370" s="10">
        <f t="shared" si="68"/>
        <v>0</v>
      </c>
      <c r="N370" s="10">
        <f t="shared" si="68"/>
        <v>4.4139999999999997</v>
      </c>
      <c r="O370" s="10">
        <f t="shared" si="68"/>
        <v>3.0390000000000001</v>
      </c>
      <c r="P370" s="10">
        <f t="shared" si="68"/>
        <v>2.7589999999999999</v>
      </c>
      <c r="Q370" s="10">
        <f t="shared" si="68"/>
        <v>0</v>
      </c>
      <c r="R370" s="10">
        <f t="shared" si="68"/>
        <v>3.6139999999999999</v>
      </c>
      <c r="S370" s="10">
        <f t="shared" si="68"/>
        <v>3.6819999999999999</v>
      </c>
      <c r="T370" s="10">
        <f t="shared" si="68"/>
        <v>3.3340000000000001</v>
      </c>
      <c r="U370" s="10">
        <f t="shared" si="68"/>
        <v>3.9550000000000001</v>
      </c>
      <c r="V370" s="10">
        <f t="shared" si="68"/>
        <v>3.6440000000000001</v>
      </c>
      <c r="W370" s="10">
        <f t="shared" si="68"/>
        <v>3.4780000000000002</v>
      </c>
      <c r="X370" s="10">
        <f t="shared" si="68"/>
        <v>4.7990000000000004</v>
      </c>
      <c r="Y370" s="10">
        <f t="shared" si="68"/>
        <v>2.6890000000000001</v>
      </c>
      <c r="Z370" s="10">
        <f t="shared" si="68"/>
        <v>0</v>
      </c>
      <c r="AA370" s="10">
        <f t="shared" si="68"/>
        <v>3.6669999999999998</v>
      </c>
      <c r="AB370" s="10">
        <f t="shared" si="68"/>
        <v>4.57</v>
      </c>
      <c r="AC370" s="10">
        <f t="shared" si="68"/>
        <v>2.7280000000000002</v>
      </c>
      <c r="AD370" s="10">
        <f t="shared" si="68"/>
        <v>2.4940000000000002</v>
      </c>
      <c r="AE370" s="10">
        <f t="shared" si="68"/>
        <v>4.423</v>
      </c>
      <c r="AF370" s="10">
        <f t="shared" si="68"/>
        <v>0</v>
      </c>
    </row>
    <row r="371" spans="1:32">
      <c r="A371" s="10" t="s">
        <v>275</v>
      </c>
      <c r="B371" s="61" t="s">
        <v>284</v>
      </c>
      <c r="C371" s="10">
        <f t="shared" si="69"/>
        <v>2.972</v>
      </c>
      <c r="D371" s="10">
        <f t="shared" si="68"/>
        <v>2.9159999999999999</v>
      </c>
      <c r="E371" s="10">
        <f t="shared" si="68"/>
        <v>2.734</v>
      </c>
      <c r="F371" s="10">
        <f t="shared" si="68"/>
        <v>4.5739999999999998</v>
      </c>
      <c r="G371" s="10">
        <f t="shared" si="68"/>
        <v>2.9830000000000001</v>
      </c>
      <c r="H371" s="10">
        <f t="shared" si="68"/>
        <v>2.6680000000000001</v>
      </c>
      <c r="I371" s="10">
        <f t="shared" si="68"/>
        <v>0</v>
      </c>
      <c r="J371" s="10">
        <f t="shared" si="68"/>
        <v>3.0659999999999998</v>
      </c>
      <c r="K371" s="10">
        <f t="shared" si="68"/>
        <v>4.3419999999999996</v>
      </c>
      <c r="L371" s="10">
        <f t="shared" si="68"/>
        <v>4.7789999999999999</v>
      </c>
      <c r="M371" s="10">
        <f t="shared" si="68"/>
        <v>4.9240000000000004</v>
      </c>
      <c r="N371" s="10">
        <f t="shared" si="68"/>
        <v>4.8230000000000004</v>
      </c>
      <c r="O371" s="10">
        <f t="shared" si="68"/>
        <v>3.6080000000000001</v>
      </c>
      <c r="P371" s="10">
        <f t="shared" si="68"/>
        <v>3.5739999999999998</v>
      </c>
      <c r="Q371" s="10">
        <f t="shared" si="68"/>
        <v>4.3490000000000002</v>
      </c>
      <c r="R371" s="10">
        <f t="shared" si="68"/>
        <v>3.823</v>
      </c>
      <c r="S371" s="10">
        <f t="shared" si="68"/>
        <v>3.9540000000000002</v>
      </c>
      <c r="T371" s="10">
        <f t="shared" si="68"/>
        <v>2.5419999999999998</v>
      </c>
      <c r="U371" s="10">
        <f t="shared" si="68"/>
        <v>4.149</v>
      </c>
      <c r="V371" s="10">
        <f t="shared" si="68"/>
        <v>4.1470000000000002</v>
      </c>
      <c r="W371" s="10">
        <f t="shared" si="68"/>
        <v>2.5920000000000001</v>
      </c>
      <c r="X371" s="10">
        <f t="shared" si="68"/>
        <v>4.6319999999999997</v>
      </c>
      <c r="Y371" s="10">
        <f t="shared" si="68"/>
        <v>3.27</v>
      </c>
      <c r="Z371" s="10">
        <f t="shared" si="68"/>
        <v>0</v>
      </c>
      <c r="AA371" s="10">
        <f t="shared" si="68"/>
        <v>4.2640000000000002</v>
      </c>
      <c r="AB371" s="10">
        <f t="shared" si="68"/>
        <v>4.4400000000000004</v>
      </c>
      <c r="AC371" s="10">
        <f t="shared" si="68"/>
        <v>3.29</v>
      </c>
      <c r="AD371" s="10">
        <f t="shared" si="68"/>
        <v>3.4140000000000001</v>
      </c>
      <c r="AE371" s="10">
        <f t="shared" si="68"/>
        <v>3.8650000000000002</v>
      </c>
      <c r="AF371" s="10">
        <f t="shared" si="68"/>
        <v>0</v>
      </c>
    </row>
    <row r="372" spans="1:32">
      <c r="A372" s="10" t="s">
        <v>275</v>
      </c>
      <c r="B372" s="61" t="s">
        <v>285</v>
      </c>
      <c r="C372" s="10">
        <f t="shared" si="69"/>
        <v>4.968</v>
      </c>
      <c r="D372" s="10">
        <f t="shared" si="68"/>
        <v>3.8860000000000001</v>
      </c>
      <c r="E372" s="10">
        <f t="shared" si="68"/>
        <v>3.3879999999999999</v>
      </c>
      <c r="F372" s="10">
        <f t="shared" si="68"/>
        <v>0</v>
      </c>
      <c r="G372" s="10">
        <f t="shared" si="68"/>
        <v>3.972</v>
      </c>
      <c r="H372" s="10">
        <f t="shared" si="68"/>
        <v>3.5510000000000002</v>
      </c>
      <c r="I372" s="10">
        <f t="shared" si="68"/>
        <v>3.0659999999999998</v>
      </c>
      <c r="J372" s="10">
        <f t="shared" si="68"/>
        <v>0</v>
      </c>
      <c r="K372" s="10">
        <f t="shared" si="68"/>
        <v>3.895</v>
      </c>
      <c r="L372" s="10">
        <f t="shared" si="68"/>
        <v>0</v>
      </c>
      <c r="M372" s="10">
        <f t="shared" si="68"/>
        <v>4.3650000000000002</v>
      </c>
      <c r="N372" s="10">
        <f t="shared" si="68"/>
        <v>0</v>
      </c>
      <c r="O372" s="10">
        <f t="shared" si="68"/>
        <v>4.3600000000000003</v>
      </c>
      <c r="P372" s="10">
        <f t="shared" si="68"/>
        <v>4.1890000000000001</v>
      </c>
      <c r="Q372" s="10">
        <f t="shared" si="68"/>
        <v>4.2480000000000002</v>
      </c>
      <c r="R372" s="10">
        <f t="shared" si="68"/>
        <v>4.593</v>
      </c>
      <c r="S372" s="10">
        <f t="shared" si="68"/>
        <v>3.72</v>
      </c>
      <c r="T372" s="10">
        <f t="shared" si="68"/>
        <v>3.476</v>
      </c>
      <c r="U372" s="10">
        <f t="shared" si="68"/>
        <v>3.802</v>
      </c>
      <c r="V372" s="10">
        <f t="shared" si="68"/>
        <v>0</v>
      </c>
      <c r="W372" s="10">
        <f t="shared" si="68"/>
        <v>2.9809999999999999</v>
      </c>
      <c r="X372" s="10">
        <f t="shared" si="68"/>
        <v>3.403</v>
      </c>
      <c r="Y372" s="10">
        <f t="shared" si="68"/>
        <v>3.4910000000000001</v>
      </c>
      <c r="Z372" s="10">
        <f t="shared" si="68"/>
        <v>0</v>
      </c>
      <c r="AA372" s="10">
        <f t="shared" si="68"/>
        <v>4.6680000000000001</v>
      </c>
      <c r="AB372" s="10">
        <f t="shared" si="68"/>
        <v>2.7160000000000002</v>
      </c>
      <c r="AC372" s="10">
        <f t="shared" si="68"/>
        <v>4.149</v>
      </c>
      <c r="AD372" s="10">
        <f t="shared" si="68"/>
        <v>3.9769999999999999</v>
      </c>
      <c r="AE372" s="10">
        <f t="shared" si="68"/>
        <v>3.68</v>
      </c>
      <c r="AF372" s="10">
        <f t="shared" si="68"/>
        <v>0</v>
      </c>
    </row>
    <row r="373" spans="1:32">
      <c r="A373" s="10" t="s">
        <v>275</v>
      </c>
      <c r="B373" s="61" t="s">
        <v>308</v>
      </c>
      <c r="C373" s="10">
        <f t="shared" si="69"/>
        <v>0</v>
      </c>
      <c r="D373" s="10">
        <f t="shared" si="68"/>
        <v>0</v>
      </c>
      <c r="E373" s="10">
        <f t="shared" si="68"/>
        <v>0</v>
      </c>
      <c r="F373" s="10">
        <f t="shared" si="68"/>
        <v>0</v>
      </c>
      <c r="G373" s="10">
        <f t="shared" si="68"/>
        <v>0</v>
      </c>
      <c r="H373" s="10">
        <f t="shared" si="68"/>
        <v>4.2210000000000001</v>
      </c>
      <c r="I373" s="10">
        <f t="shared" si="68"/>
        <v>4.3419999999999996</v>
      </c>
      <c r="J373" s="10">
        <f t="shared" si="68"/>
        <v>3.895</v>
      </c>
      <c r="K373" s="10">
        <f t="shared" si="68"/>
        <v>0</v>
      </c>
      <c r="L373" s="10">
        <f t="shared" si="68"/>
        <v>0</v>
      </c>
      <c r="M373" s="10">
        <f t="shared" si="68"/>
        <v>3.2989999999999999</v>
      </c>
      <c r="N373" s="10">
        <f t="shared" si="68"/>
        <v>0</v>
      </c>
      <c r="O373" s="10">
        <f t="shared" si="68"/>
        <v>0</v>
      </c>
      <c r="P373" s="10">
        <f t="shared" si="68"/>
        <v>0</v>
      </c>
      <c r="Q373" s="10">
        <f t="shared" si="68"/>
        <v>0</v>
      </c>
      <c r="R373" s="10">
        <f t="shared" si="68"/>
        <v>0</v>
      </c>
      <c r="S373" s="10">
        <f t="shared" si="68"/>
        <v>2.673</v>
      </c>
      <c r="T373" s="10">
        <f t="shared" si="68"/>
        <v>0</v>
      </c>
      <c r="U373" s="10">
        <f t="shared" si="68"/>
        <v>2.077</v>
      </c>
      <c r="V373" s="10">
        <f t="shared" si="68"/>
        <v>0</v>
      </c>
      <c r="W373" s="10">
        <f t="shared" si="68"/>
        <v>0</v>
      </c>
      <c r="X373" s="10">
        <f t="shared" si="68"/>
        <v>3.7410000000000001</v>
      </c>
      <c r="Y373" s="10">
        <f t="shared" si="68"/>
        <v>3.637</v>
      </c>
      <c r="Z373" s="10">
        <f t="shared" si="68"/>
        <v>0</v>
      </c>
      <c r="AA373" s="10">
        <f t="shared" si="68"/>
        <v>0</v>
      </c>
      <c r="AB373" s="10">
        <f t="shared" si="68"/>
        <v>3.327</v>
      </c>
      <c r="AC373" s="10">
        <f t="shared" si="68"/>
        <v>0</v>
      </c>
      <c r="AD373" s="10">
        <f t="shared" si="68"/>
        <v>4.1970000000000001</v>
      </c>
      <c r="AE373" s="10">
        <f t="shared" si="68"/>
        <v>0</v>
      </c>
      <c r="AF373" s="10">
        <f t="shared" si="68"/>
        <v>0</v>
      </c>
    </row>
    <row r="374" spans="1:32">
      <c r="A374" s="10" t="s">
        <v>275</v>
      </c>
      <c r="B374" s="61" t="s">
        <v>286</v>
      </c>
      <c r="C374" s="10">
        <f t="shared" si="69"/>
        <v>2.1720000000000002</v>
      </c>
      <c r="D374" s="10">
        <f t="shared" si="68"/>
        <v>4.7969999999999997</v>
      </c>
      <c r="E374" s="10">
        <f t="shared" si="68"/>
        <v>4.4020000000000001</v>
      </c>
      <c r="F374" s="10">
        <f t="shared" si="68"/>
        <v>0</v>
      </c>
      <c r="G374" s="10">
        <f t="shared" si="68"/>
        <v>4.2350000000000003</v>
      </c>
      <c r="H374" s="10">
        <f t="shared" si="68"/>
        <v>0</v>
      </c>
      <c r="I374" s="10">
        <f t="shared" si="68"/>
        <v>4.7789999999999999</v>
      </c>
      <c r="J374" s="10">
        <f t="shared" si="68"/>
        <v>0</v>
      </c>
      <c r="K374" s="10">
        <f t="shared" si="68"/>
        <v>0</v>
      </c>
      <c r="L374" s="10">
        <f t="shared" si="68"/>
        <v>0</v>
      </c>
      <c r="M374" s="10">
        <f t="shared" si="68"/>
        <v>0</v>
      </c>
      <c r="N374" s="10">
        <f t="shared" si="68"/>
        <v>0</v>
      </c>
      <c r="O374" s="10">
        <f t="shared" si="68"/>
        <v>4.8940000000000001</v>
      </c>
      <c r="P374" s="10">
        <f t="shared" si="68"/>
        <v>0</v>
      </c>
      <c r="Q374" s="10">
        <f t="shared" si="68"/>
        <v>4.601</v>
      </c>
      <c r="R374" s="10">
        <f t="shared" si="68"/>
        <v>4.423</v>
      </c>
      <c r="S374" s="10">
        <f t="shared" si="68"/>
        <v>0</v>
      </c>
      <c r="T374" s="10">
        <f t="shared" si="68"/>
        <v>4.3780000000000001</v>
      </c>
      <c r="U374" s="10">
        <f t="shared" si="68"/>
        <v>0</v>
      </c>
      <c r="V374" s="10">
        <f t="shared" si="68"/>
        <v>0</v>
      </c>
      <c r="W374" s="10">
        <f t="shared" si="68"/>
        <v>4.6429999999999998</v>
      </c>
      <c r="X374" s="10">
        <f t="shared" si="68"/>
        <v>0</v>
      </c>
      <c r="Y374" s="10">
        <f t="shared" si="68"/>
        <v>0</v>
      </c>
      <c r="Z374" s="10">
        <f t="shared" si="68"/>
        <v>2.774</v>
      </c>
      <c r="AA374" s="10">
        <f t="shared" si="68"/>
        <v>0</v>
      </c>
      <c r="AB374" s="10">
        <f t="shared" si="68"/>
        <v>0</v>
      </c>
      <c r="AC374" s="10">
        <f t="shared" si="68"/>
        <v>4.7880000000000003</v>
      </c>
      <c r="AD374" s="10">
        <f t="shared" si="68"/>
        <v>0</v>
      </c>
      <c r="AE374" s="10">
        <f t="shared" si="68"/>
        <v>4.6879999999999997</v>
      </c>
      <c r="AF374" s="10">
        <f t="shared" si="68"/>
        <v>0</v>
      </c>
    </row>
    <row r="375" spans="1:32">
      <c r="A375" s="10" t="s">
        <v>275</v>
      </c>
      <c r="B375" s="61" t="s">
        <v>287</v>
      </c>
      <c r="C375" s="10">
        <f t="shared" si="69"/>
        <v>0</v>
      </c>
      <c r="D375" s="10">
        <f t="shared" si="68"/>
        <v>0</v>
      </c>
      <c r="E375" s="10">
        <f t="shared" si="68"/>
        <v>0</v>
      </c>
      <c r="F375" s="10">
        <f t="shared" si="68"/>
        <v>0</v>
      </c>
      <c r="G375" s="10">
        <f t="shared" si="68"/>
        <v>0</v>
      </c>
      <c r="H375" s="10">
        <f t="shared" si="68"/>
        <v>0</v>
      </c>
      <c r="I375" s="10">
        <f t="shared" si="68"/>
        <v>4.9240000000000004</v>
      </c>
      <c r="J375" s="10">
        <f t="shared" si="68"/>
        <v>4.3650000000000002</v>
      </c>
      <c r="K375" s="10">
        <f t="shared" si="68"/>
        <v>3.2989999999999999</v>
      </c>
      <c r="L375" s="10">
        <f t="shared" si="68"/>
        <v>0</v>
      </c>
      <c r="M375" s="10">
        <f t="shared" ref="D375:AF384" si="70">ROUND((EXP(7.032824+1*0.622482)*((M15/1.852)^ 0.40303))/(1.15*0.0059)/1000000,3)</f>
        <v>0</v>
      </c>
      <c r="N375" s="10">
        <f t="shared" si="70"/>
        <v>0</v>
      </c>
      <c r="O375" s="10">
        <f t="shared" si="70"/>
        <v>0</v>
      </c>
      <c r="P375" s="10">
        <f t="shared" si="70"/>
        <v>0</v>
      </c>
      <c r="Q375" s="10">
        <f t="shared" si="70"/>
        <v>0</v>
      </c>
      <c r="R375" s="10">
        <f t="shared" si="70"/>
        <v>0</v>
      </c>
      <c r="S375" s="10">
        <f t="shared" si="70"/>
        <v>3.9710000000000001</v>
      </c>
      <c r="T375" s="10">
        <f t="shared" si="70"/>
        <v>0</v>
      </c>
      <c r="U375" s="10">
        <f t="shared" si="70"/>
        <v>3.6840000000000002</v>
      </c>
      <c r="V375" s="10">
        <f t="shared" si="70"/>
        <v>0</v>
      </c>
      <c r="W375" s="10">
        <f t="shared" si="70"/>
        <v>0</v>
      </c>
      <c r="X375" s="10">
        <f t="shared" si="70"/>
        <v>3.9289999999999998</v>
      </c>
      <c r="Y375" s="10">
        <f t="shared" si="70"/>
        <v>4.54</v>
      </c>
      <c r="Z375" s="10">
        <f t="shared" si="70"/>
        <v>0</v>
      </c>
      <c r="AA375" s="10">
        <f t="shared" si="70"/>
        <v>0</v>
      </c>
      <c r="AB375" s="10">
        <f t="shared" si="70"/>
        <v>2.9860000000000002</v>
      </c>
      <c r="AC375" s="10">
        <f t="shared" si="70"/>
        <v>0</v>
      </c>
      <c r="AD375" s="10">
        <f t="shared" si="70"/>
        <v>0</v>
      </c>
      <c r="AE375" s="10">
        <f t="shared" si="70"/>
        <v>0</v>
      </c>
      <c r="AF375" s="10">
        <f t="shared" si="70"/>
        <v>0</v>
      </c>
    </row>
    <row r="376" spans="1:32">
      <c r="A376" s="10" t="s">
        <v>275</v>
      </c>
      <c r="B376" s="61" t="s">
        <v>288</v>
      </c>
      <c r="C376" s="10">
        <f t="shared" si="69"/>
        <v>0</v>
      </c>
      <c r="D376" s="10">
        <f t="shared" si="70"/>
        <v>4.58</v>
      </c>
      <c r="E376" s="10">
        <f t="shared" si="70"/>
        <v>2.419</v>
      </c>
      <c r="F376" s="10">
        <f t="shared" si="70"/>
        <v>0</v>
      </c>
      <c r="G376" s="10">
        <f t="shared" si="70"/>
        <v>2.5739999999999998</v>
      </c>
      <c r="H376" s="10">
        <f t="shared" si="70"/>
        <v>4.7850000000000001</v>
      </c>
      <c r="I376" s="10">
        <f t="shared" si="70"/>
        <v>2.972</v>
      </c>
      <c r="J376" s="10">
        <f t="shared" si="70"/>
        <v>4.968</v>
      </c>
      <c r="K376" s="10">
        <f t="shared" si="70"/>
        <v>0</v>
      </c>
      <c r="L376" s="10">
        <f t="shared" si="70"/>
        <v>2.1720000000000002</v>
      </c>
      <c r="M376" s="10">
        <f t="shared" si="70"/>
        <v>0</v>
      </c>
      <c r="N376" s="10">
        <f t="shared" si="70"/>
        <v>5.4</v>
      </c>
      <c r="O376" s="10">
        <f t="shared" si="70"/>
        <v>4.7220000000000004</v>
      </c>
      <c r="P376" s="10">
        <f t="shared" si="70"/>
        <v>5.0220000000000002</v>
      </c>
      <c r="Q376" s="10">
        <f t="shared" si="70"/>
        <v>4.3470000000000004</v>
      </c>
      <c r="R376" s="10">
        <f t="shared" si="70"/>
        <v>3.9289999999999998</v>
      </c>
      <c r="S376" s="10">
        <f t="shared" si="70"/>
        <v>0</v>
      </c>
      <c r="T376" s="10">
        <f t="shared" si="70"/>
        <v>4.0640000000000001</v>
      </c>
      <c r="U376" s="10">
        <f t="shared" si="70"/>
        <v>0</v>
      </c>
      <c r="V376" s="10">
        <f t="shared" si="70"/>
        <v>4.99</v>
      </c>
      <c r="W376" s="10">
        <f t="shared" si="70"/>
        <v>4.3479999999999999</v>
      </c>
      <c r="X376" s="10">
        <f t="shared" si="70"/>
        <v>5.8659999999999997</v>
      </c>
      <c r="Y376" s="10">
        <f t="shared" si="70"/>
        <v>5.1959999999999997</v>
      </c>
      <c r="Z376" s="10">
        <f t="shared" si="70"/>
        <v>3.1120000000000001</v>
      </c>
      <c r="AA376" s="10">
        <f t="shared" si="70"/>
        <v>5.4509999999999996</v>
      </c>
      <c r="AB376" s="10">
        <f t="shared" si="70"/>
        <v>5.7960000000000003</v>
      </c>
      <c r="AC376" s="10">
        <f t="shared" si="70"/>
        <v>4.5919999999999996</v>
      </c>
      <c r="AD376" s="10">
        <f t="shared" si="70"/>
        <v>5.0670000000000002</v>
      </c>
      <c r="AE376" s="10">
        <f t="shared" si="70"/>
        <v>3.198</v>
      </c>
      <c r="AF376" s="10">
        <f t="shared" si="70"/>
        <v>0</v>
      </c>
    </row>
    <row r="377" spans="1:32">
      <c r="A377" s="10" t="s">
        <v>275</v>
      </c>
      <c r="B377" s="61" t="s">
        <v>289</v>
      </c>
      <c r="C377" s="10">
        <f t="shared" si="69"/>
        <v>5.4</v>
      </c>
      <c r="D377" s="10">
        <f t="shared" si="70"/>
        <v>4.2119999999999997</v>
      </c>
      <c r="E377" s="10">
        <f t="shared" si="70"/>
        <v>0</v>
      </c>
      <c r="F377" s="10">
        <f t="shared" si="70"/>
        <v>2.8580000000000001</v>
      </c>
      <c r="G377" s="10">
        <f t="shared" si="70"/>
        <v>0</v>
      </c>
      <c r="H377" s="10">
        <f t="shared" si="70"/>
        <v>4.4139999999999997</v>
      </c>
      <c r="I377" s="10">
        <f t="shared" si="70"/>
        <v>4.8230000000000004</v>
      </c>
      <c r="J377" s="10">
        <f t="shared" si="70"/>
        <v>0</v>
      </c>
      <c r="K377" s="10">
        <f t="shared" si="70"/>
        <v>0</v>
      </c>
      <c r="L377" s="10">
        <f t="shared" si="70"/>
        <v>0</v>
      </c>
      <c r="M377" s="10">
        <f t="shared" si="70"/>
        <v>0</v>
      </c>
      <c r="N377" s="10">
        <f t="shared" si="70"/>
        <v>0</v>
      </c>
      <c r="O377" s="10">
        <f t="shared" si="70"/>
        <v>3.698</v>
      </c>
      <c r="P377" s="10">
        <f t="shared" si="70"/>
        <v>3.8450000000000002</v>
      </c>
      <c r="Q377" s="10">
        <f t="shared" si="70"/>
        <v>0</v>
      </c>
      <c r="R377" s="10">
        <f t="shared" si="70"/>
        <v>3.9409999999999998</v>
      </c>
      <c r="S377" s="10">
        <f t="shared" si="70"/>
        <v>0</v>
      </c>
      <c r="T377" s="10">
        <f t="shared" si="70"/>
        <v>0</v>
      </c>
      <c r="U377" s="10">
        <f t="shared" si="70"/>
        <v>0</v>
      </c>
      <c r="V377" s="10">
        <f t="shared" si="70"/>
        <v>3.0219999999999998</v>
      </c>
      <c r="W377" s="10">
        <f t="shared" si="70"/>
        <v>0</v>
      </c>
      <c r="X377" s="10">
        <f t="shared" si="70"/>
        <v>0</v>
      </c>
      <c r="Y377" s="10">
        <f t="shared" si="70"/>
        <v>4.6020000000000003</v>
      </c>
      <c r="Z377" s="10">
        <f t="shared" si="70"/>
        <v>0</v>
      </c>
      <c r="AA377" s="10">
        <f t="shared" si="70"/>
        <v>3.5409999999999999</v>
      </c>
      <c r="AB377" s="10">
        <f t="shared" si="70"/>
        <v>0</v>
      </c>
      <c r="AC377" s="10">
        <f t="shared" si="70"/>
        <v>3.9790000000000001</v>
      </c>
      <c r="AD377" s="10">
        <f t="shared" si="70"/>
        <v>4.0979999999999999</v>
      </c>
      <c r="AE377" s="10">
        <f t="shared" si="70"/>
        <v>0</v>
      </c>
      <c r="AF377" s="10">
        <f t="shared" si="70"/>
        <v>3.7120000000000002</v>
      </c>
    </row>
    <row r="378" spans="1:32">
      <c r="A378" s="10" t="s">
        <v>275</v>
      </c>
      <c r="B378" s="61" t="s">
        <v>290</v>
      </c>
      <c r="C378" s="10">
        <f t="shared" si="69"/>
        <v>4.7220000000000004</v>
      </c>
      <c r="D378" s="10">
        <f t="shared" si="70"/>
        <v>2.52</v>
      </c>
      <c r="E378" s="10">
        <f t="shared" si="70"/>
        <v>4.0460000000000003</v>
      </c>
      <c r="F378" s="10">
        <f t="shared" si="70"/>
        <v>3.5049999999999999</v>
      </c>
      <c r="G378" s="10">
        <f t="shared" si="70"/>
        <v>3.3290000000000002</v>
      </c>
      <c r="H378" s="10">
        <f t="shared" si="70"/>
        <v>3.0390000000000001</v>
      </c>
      <c r="I378" s="10">
        <f t="shared" si="70"/>
        <v>3.6080000000000001</v>
      </c>
      <c r="J378" s="10">
        <f t="shared" si="70"/>
        <v>4.3600000000000003</v>
      </c>
      <c r="K378" s="10">
        <f t="shared" si="70"/>
        <v>0</v>
      </c>
      <c r="L378" s="10">
        <f t="shared" si="70"/>
        <v>4.8940000000000001</v>
      </c>
      <c r="M378" s="10">
        <f t="shared" si="70"/>
        <v>0</v>
      </c>
      <c r="N378" s="10">
        <f t="shared" si="70"/>
        <v>3.698</v>
      </c>
      <c r="O378" s="10">
        <f t="shared" si="70"/>
        <v>0</v>
      </c>
      <c r="P378" s="10">
        <f t="shared" si="70"/>
        <v>2.5179999999999998</v>
      </c>
      <c r="Q378" s="10">
        <f t="shared" si="70"/>
        <v>0</v>
      </c>
      <c r="R378" s="10">
        <f t="shared" si="70"/>
        <v>2.7909999999999999</v>
      </c>
      <c r="S378" s="10">
        <f t="shared" si="70"/>
        <v>4.3170000000000002</v>
      </c>
      <c r="T378" s="10">
        <f t="shared" si="70"/>
        <v>3.83</v>
      </c>
      <c r="U378" s="10">
        <f t="shared" si="70"/>
        <v>0</v>
      </c>
      <c r="V378" s="10">
        <f t="shared" si="70"/>
        <v>2.5409999999999999</v>
      </c>
      <c r="W378" s="10">
        <f t="shared" si="70"/>
        <v>4.1269999999999998</v>
      </c>
      <c r="X378" s="10">
        <f t="shared" si="70"/>
        <v>0</v>
      </c>
      <c r="Y378" s="10">
        <f t="shared" si="70"/>
        <v>3.6240000000000001</v>
      </c>
      <c r="Z378" s="10">
        <f t="shared" si="70"/>
        <v>0</v>
      </c>
      <c r="AA378" s="10">
        <f t="shared" si="70"/>
        <v>3.3580000000000001</v>
      </c>
      <c r="AB378" s="10">
        <f t="shared" si="70"/>
        <v>5.1689999999999996</v>
      </c>
      <c r="AC378" s="10">
        <f t="shared" si="70"/>
        <v>1.9330000000000001</v>
      </c>
      <c r="AD378" s="10">
        <f t="shared" si="70"/>
        <v>2.9</v>
      </c>
      <c r="AE378" s="10">
        <f t="shared" si="70"/>
        <v>0</v>
      </c>
      <c r="AF378" s="10">
        <f t="shared" si="70"/>
        <v>0</v>
      </c>
    </row>
    <row r="379" spans="1:32">
      <c r="A379" s="10" t="s">
        <v>275</v>
      </c>
      <c r="B379" s="61" t="s">
        <v>291</v>
      </c>
      <c r="C379" s="10">
        <f t="shared" si="69"/>
        <v>5.0220000000000002</v>
      </c>
      <c r="D379" s="10">
        <f t="shared" si="70"/>
        <v>2.718</v>
      </c>
      <c r="E379" s="10">
        <f t="shared" si="70"/>
        <v>4.1509999999999998</v>
      </c>
      <c r="F379" s="10">
        <f t="shared" si="70"/>
        <v>3.3460000000000001</v>
      </c>
      <c r="G379" s="10">
        <f t="shared" si="70"/>
        <v>3.6819999999999999</v>
      </c>
      <c r="H379" s="10">
        <f t="shared" si="70"/>
        <v>2.7589999999999999</v>
      </c>
      <c r="I379" s="10">
        <f t="shared" si="70"/>
        <v>3.5739999999999998</v>
      </c>
      <c r="J379" s="10">
        <f t="shared" si="70"/>
        <v>4.1890000000000001</v>
      </c>
      <c r="K379" s="10">
        <f t="shared" si="70"/>
        <v>0</v>
      </c>
      <c r="L379" s="10">
        <f t="shared" si="70"/>
        <v>0</v>
      </c>
      <c r="M379" s="10">
        <f t="shared" si="70"/>
        <v>0</v>
      </c>
      <c r="N379" s="10">
        <f t="shared" si="70"/>
        <v>3.8450000000000002</v>
      </c>
      <c r="O379" s="10">
        <f t="shared" si="70"/>
        <v>2.5179999999999998</v>
      </c>
      <c r="P379" s="10">
        <f t="shared" si="70"/>
        <v>0</v>
      </c>
      <c r="Q379" s="10">
        <f t="shared" si="70"/>
        <v>0</v>
      </c>
      <c r="R379" s="10">
        <f t="shared" si="70"/>
        <v>3.5089999999999999</v>
      </c>
      <c r="S379" s="10">
        <f t="shared" si="70"/>
        <v>3.867</v>
      </c>
      <c r="T379" s="10">
        <f t="shared" si="70"/>
        <v>3.9689999999999999</v>
      </c>
      <c r="U379" s="10">
        <f t="shared" si="70"/>
        <v>4.1449999999999996</v>
      </c>
      <c r="V379" s="10">
        <f t="shared" si="70"/>
        <v>2.9390000000000001</v>
      </c>
      <c r="W379" s="10">
        <f t="shared" si="70"/>
        <v>4.149</v>
      </c>
      <c r="X379" s="10">
        <f t="shared" si="70"/>
        <v>0</v>
      </c>
      <c r="Y379" s="10">
        <f t="shared" si="70"/>
        <v>3.0920000000000001</v>
      </c>
      <c r="Z379" s="10">
        <f t="shared" si="70"/>
        <v>0</v>
      </c>
      <c r="AA379" s="10">
        <f t="shared" si="70"/>
        <v>2.8540000000000001</v>
      </c>
      <c r="AB379" s="10">
        <f t="shared" si="70"/>
        <v>4.9189999999999996</v>
      </c>
      <c r="AC379" s="10">
        <f t="shared" si="70"/>
        <v>2.6320000000000001</v>
      </c>
      <c r="AD379" s="10">
        <f t="shared" si="70"/>
        <v>1.931</v>
      </c>
      <c r="AE379" s="10">
        <f t="shared" si="70"/>
        <v>0</v>
      </c>
      <c r="AF379" s="10">
        <f t="shared" si="70"/>
        <v>0</v>
      </c>
    </row>
    <row r="380" spans="1:32">
      <c r="A380" s="10" t="s">
        <v>275</v>
      </c>
      <c r="B380" s="61" t="s">
        <v>292</v>
      </c>
      <c r="C380" s="10">
        <f t="shared" si="69"/>
        <v>4.3470000000000004</v>
      </c>
      <c r="D380" s="10">
        <f t="shared" si="70"/>
        <v>0</v>
      </c>
      <c r="E380" s="10">
        <f t="shared" si="70"/>
        <v>3.806</v>
      </c>
      <c r="F380" s="10">
        <f t="shared" si="70"/>
        <v>0</v>
      </c>
      <c r="G380" s="10">
        <f t="shared" si="70"/>
        <v>0</v>
      </c>
      <c r="H380" s="10">
        <f t="shared" si="70"/>
        <v>0</v>
      </c>
      <c r="I380" s="10">
        <f t="shared" si="70"/>
        <v>4.3490000000000002</v>
      </c>
      <c r="J380" s="10">
        <f t="shared" si="70"/>
        <v>4.2480000000000002</v>
      </c>
      <c r="K380" s="10">
        <f t="shared" si="70"/>
        <v>0</v>
      </c>
      <c r="L380" s="10">
        <f t="shared" si="70"/>
        <v>4.601</v>
      </c>
      <c r="M380" s="10">
        <f t="shared" si="70"/>
        <v>0</v>
      </c>
      <c r="N380" s="10">
        <f t="shared" si="70"/>
        <v>0</v>
      </c>
      <c r="O380" s="10">
        <f t="shared" si="70"/>
        <v>0</v>
      </c>
      <c r="P380" s="10">
        <f t="shared" si="70"/>
        <v>0</v>
      </c>
      <c r="Q380" s="10">
        <f t="shared" si="70"/>
        <v>0</v>
      </c>
      <c r="R380" s="10">
        <f t="shared" si="70"/>
        <v>0</v>
      </c>
      <c r="S380" s="10">
        <f t="shared" si="70"/>
        <v>0</v>
      </c>
      <c r="T380" s="10">
        <f t="shared" si="70"/>
        <v>4.0179999999999998</v>
      </c>
      <c r="U380" s="10">
        <f t="shared" si="70"/>
        <v>0</v>
      </c>
      <c r="V380" s="10">
        <f t="shared" si="70"/>
        <v>0</v>
      </c>
      <c r="W380" s="10">
        <f t="shared" si="70"/>
        <v>3.82</v>
      </c>
      <c r="X380" s="10">
        <f t="shared" si="70"/>
        <v>4.9580000000000002</v>
      </c>
      <c r="Y380" s="10">
        <f t="shared" si="70"/>
        <v>0</v>
      </c>
      <c r="Z380" s="10">
        <f t="shared" si="70"/>
        <v>0</v>
      </c>
      <c r="AA380" s="10">
        <f t="shared" si="70"/>
        <v>0</v>
      </c>
      <c r="AB380" s="10">
        <f t="shared" si="70"/>
        <v>0</v>
      </c>
      <c r="AC380" s="10">
        <f t="shared" si="70"/>
        <v>0</v>
      </c>
      <c r="AD380" s="10">
        <f t="shared" si="70"/>
        <v>0</v>
      </c>
      <c r="AE380" s="10">
        <f t="shared" si="70"/>
        <v>2.6139999999999999</v>
      </c>
      <c r="AF380" s="10">
        <f t="shared" si="70"/>
        <v>0</v>
      </c>
    </row>
    <row r="381" spans="1:32">
      <c r="A381" s="10" t="s">
        <v>275</v>
      </c>
      <c r="B381" s="61" t="s">
        <v>293</v>
      </c>
      <c r="C381" s="10">
        <f t="shared" si="69"/>
        <v>3.9289999999999998</v>
      </c>
      <c r="D381" s="10">
        <f t="shared" si="70"/>
        <v>3.105</v>
      </c>
      <c r="E381" s="10">
        <f t="shared" si="70"/>
        <v>3.992</v>
      </c>
      <c r="F381" s="10">
        <f t="shared" si="70"/>
        <v>4.0460000000000003</v>
      </c>
      <c r="G381" s="10">
        <f t="shared" si="70"/>
        <v>3.0649999999999999</v>
      </c>
      <c r="H381" s="10">
        <f t="shared" si="70"/>
        <v>3.6139999999999999</v>
      </c>
      <c r="I381" s="10">
        <f t="shared" si="70"/>
        <v>3.823</v>
      </c>
      <c r="J381" s="10">
        <f t="shared" si="70"/>
        <v>4.593</v>
      </c>
      <c r="K381" s="10">
        <f t="shared" si="70"/>
        <v>0</v>
      </c>
      <c r="L381" s="10">
        <f t="shared" si="70"/>
        <v>4.423</v>
      </c>
      <c r="M381" s="10">
        <f t="shared" si="70"/>
        <v>0</v>
      </c>
      <c r="N381" s="10">
        <f t="shared" si="70"/>
        <v>3.9409999999999998</v>
      </c>
      <c r="O381" s="10">
        <f t="shared" si="70"/>
        <v>2.7909999999999999</v>
      </c>
      <c r="P381" s="10">
        <f t="shared" si="70"/>
        <v>3.5089999999999999</v>
      </c>
      <c r="Q381" s="10">
        <f t="shared" si="70"/>
        <v>0</v>
      </c>
      <c r="R381" s="10">
        <f t="shared" si="70"/>
        <v>0</v>
      </c>
      <c r="S381" s="10">
        <f t="shared" si="70"/>
        <v>0</v>
      </c>
      <c r="T381" s="10">
        <f t="shared" si="70"/>
        <v>3.7709999999999999</v>
      </c>
      <c r="U381" s="10">
        <f t="shared" si="70"/>
        <v>0</v>
      </c>
      <c r="V381" s="10">
        <f t="shared" si="70"/>
        <v>3.169</v>
      </c>
      <c r="W381" s="10">
        <f t="shared" si="70"/>
        <v>4.173</v>
      </c>
      <c r="X381" s="10">
        <f t="shared" si="70"/>
        <v>0</v>
      </c>
      <c r="Y381" s="10">
        <f t="shared" si="70"/>
        <v>4.1929999999999996</v>
      </c>
      <c r="Z381" s="10">
        <f t="shared" si="70"/>
        <v>0</v>
      </c>
      <c r="AA381" s="10">
        <f t="shared" si="70"/>
        <v>4.0570000000000004</v>
      </c>
      <c r="AB381" s="10">
        <f t="shared" si="70"/>
        <v>5.444</v>
      </c>
      <c r="AC381" s="10">
        <f t="shared" si="70"/>
        <v>2.7959999999999998</v>
      </c>
      <c r="AD381" s="10">
        <f t="shared" si="70"/>
        <v>3.722</v>
      </c>
      <c r="AE381" s="10">
        <f t="shared" si="70"/>
        <v>4.8360000000000003</v>
      </c>
      <c r="AF381" s="10">
        <f t="shared" si="70"/>
        <v>0</v>
      </c>
    </row>
    <row r="382" spans="1:32">
      <c r="A382" s="10" t="s">
        <v>275</v>
      </c>
      <c r="B382" s="61" t="s">
        <v>309</v>
      </c>
      <c r="C382" s="10">
        <f t="shared" si="69"/>
        <v>0</v>
      </c>
      <c r="D382" s="10">
        <f t="shared" si="70"/>
        <v>4.0759999999999996</v>
      </c>
      <c r="E382" s="10">
        <f t="shared" si="70"/>
        <v>0</v>
      </c>
      <c r="F382" s="10">
        <f t="shared" si="70"/>
        <v>0</v>
      </c>
      <c r="G382" s="10">
        <f t="shared" si="70"/>
        <v>0</v>
      </c>
      <c r="H382" s="10">
        <f t="shared" si="70"/>
        <v>3.6819999999999999</v>
      </c>
      <c r="I382" s="10">
        <f t="shared" si="70"/>
        <v>3.9540000000000002</v>
      </c>
      <c r="J382" s="10">
        <f t="shared" si="70"/>
        <v>3.72</v>
      </c>
      <c r="K382" s="10">
        <f t="shared" si="70"/>
        <v>2.673</v>
      </c>
      <c r="L382" s="10">
        <f t="shared" si="70"/>
        <v>0</v>
      </c>
      <c r="M382" s="10">
        <f t="shared" si="70"/>
        <v>3.9710000000000001</v>
      </c>
      <c r="N382" s="10">
        <f t="shared" si="70"/>
        <v>0</v>
      </c>
      <c r="O382" s="10">
        <f t="shared" si="70"/>
        <v>4.3170000000000002</v>
      </c>
      <c r="P382" s="10">
        <f t="shared" si="70"/>
        <v>3.867</v>
      </c>
      <c r="Q382" s="10">
        <f t="shared" si="70"/>
        <v>0</v>
      </c>
      <c r="R382" s="10">
        <f t="shared" si="70"/>
        <v>0</v>
      </c>
      <c r="S382" s="10">
        <f t="shared" si="70"/>
        <v>0</v>
      </c>
      <c r="T382" s="10">
        <f t="shared" si="70"/>
        <v>0</v>
      </c>
      <c r="U382" s="10">
        <f t="shared" si="70"/>
        <v>1.9710000000000001</v>
      </c>
      <c r="V382" s="10">
        <f t="shared" si="70"/>
        <v>0</v>
      </c>
      <c r="W382" s="10">
        <f t="shared" si="70"/>
        <v>4.2990000000000004</v>
      </c>
      <c r="X382" s="10">
        <f t="shared" si="70"/>
        <v>4.1619999999999999</v>
      </c>
      <c r="Y382" s="10">
        <f t="shared" si="70"/>
        <v>2.8849999999999998</v>
      </c>
      <c r="Z382" s="10">
        <f t="shared" si="70"/>
        <v>0</v>
      </c>
      <c r="AA382" s="10">
        <f t="shared" si="70"/>
        <v>4.0220000000000002</v>
      </c>
      <c r="AB382" s="10">
        <f t="shared" si="70"/>
        <v>3.8050000000000002</v>
      </c>
      <c r="AC382" s="10">
        <f t="shared" si="70"/>
        <v>4.2389999999999999</v>
      </c>
      <c r="AD382" s="10">
        <f t="shared" si="70"/>
        <v>3.5859999999999999</v>
      </c>
      <c r="AE382" s="10">
        <f t="shared" si="70"/>
        <v>0</v>
      </c>
      <c r="AF382" s="10">
        <f t="shared" si="70"/>
        <v>0</v>
      </c>
    </row>
    <row r="383" spans="1:32">
      <c r="A383" s="10" t="s">
        <v>275</v>
      </c>
      <c r="B383" s="61" t="s">
        <v>294</v>
      </c>
      <c r="C383" s="10">
        <f t="shared" ref="C383:C395" si="71">ROUND((EXP(7.032824+1*0.622482)*((C23/1.852)^ 0.40303))/(1.15*0.0059)/1000000,3)</f>
        <v>4.0640000000000001</v>
      </c>
      <c r="D383" s="10">
        <f t="shared" si="70"/>
        <v>3.2829999999999999</v>
      </c>
      <c r="E383" s="10">
        <f t="shared" si="70"/>
        <v>1.7809999999999999</v>
      </c>
      <c r="F383" s="10">
        <f t="shared" si="70"/>
        <v>0</v>
      </c>
      <c r="G383" s="10">
        <f t="shared" si="70"/>
        <v>2.6240000000000001</v>
      </c>
      <c r="H383" s="10">
        <f t="shared" si="70"/>
        <v>3.3340000000000001</v>
      </c>
      <c r="I383" s="10">
        <f t="shared" si="70"/>
        <v>2.5419999999999998</v>
      </c>
      <c r="J383" s="10">
        <f t="shared" si="70"/>
        <v>3.476</v>
      </c>
      <c r="K383" s="10">
        <f t="shared" si="70"/>
        <v>0</v>
      </c>
      <c r="L383" s="10">
        <f t="shared" si="70"/>
        <v>4.3780000000000001</v>
      </c>
      <c r="M383" s="10">
        <f t="shared" si="70"/>
        <v>0</v>
      </c>
      <c r="N383" s="10">
        <f t="shared" si="70"/>
        <v>0</v>
      </c>
      <c r="O383" s="10">
        <f t="shared" si="70"/>
        <v>3.83</v>
      </c>
      <c r="P383" s="10">
        <f t="shared" si="70"/>
        <v>3.9689999999999999</v>
      </c>
      <c r="Q383" s="10">
        <f t="shared" si="70"/>
        <v>4.0179999999999998</v>
      </c>
      <c r="R383" s="10">
        <f t="shared" si="70"/>
        <v>3.7709999999999999</v>
      </c>
      <c r="S383" s="10">
        <f t="shared" si="70"/>
        <v>0</v>
      </c>
      <c r="T383" s="10">
        <f t="shared" si="70"/>
        <v>0</v>
      </c>
      <c r="U383" s="10">
        <f t="shared" si="70"/>
        <v>0</v>
      </c>
      <c r="V383" s="10">
        <f t="shared" si="70"/>
        <v>0</v>
      </c>
      <c r="W383" s="10">
        <f t="shared" si="70"/>
        <v>2.351</v>
      </c>
      <c r="X383" s="10">
        <f t="shared" si="70"/>
        <v>4.87</v>
      </c>
      <c r="Y383" s="10">
        <f t="shared" si="70"/>
        <v>3.8809999999999998</v>
      </c>
      <c r="Z383" s="10">
        <f t="shared" si="70"/>
        <v>0</v>
      </c>
      <c r="AA383" s="10">
        <f t="shared" si="70"/>
        <v>0</v>
      </c>
      <c r="AB383" s="10">
        <f t="shared" si="70"/>
        <v>4.7320000000000002</v>
      </c>
      <c r="AC383" s="10">
        <f t="shared" si="70"/>
        <v>3.532</v>
      </c>
      <c r="AD383" s="10">
        <f t="shared" si="70"/>
        <v>3.899</v>
      </c>
      <c r="AE383" s="10">
        <f t="shared" si="70"/>
        <v>3.5659999999999998</v>
      </c>
      <c r="AF383" s="10">
        <f t="shared" si="70"/>
        <v>0</v>
      </c>
    </row>
    <row r="384" spans="1:32">
      <c r="A384" s="10" t="s">
        <v>275</v>
      </c>
      <c r="B384" s="61" t="s">
        <v>310</v>
      </c>
      <c r="C384" s="10">
        <f t="shared" si="71"/>
        <v>0</v>
      </c>
      <c r="D384" s="10">
        <f t="shared" si="70"/>
        <v>4.319</v>
      </c>
      <c r="E384" s="10">
        <f t="shared" si="70"/>
        <v>0</v>
      </c>
      <c r="F384" s="10">
        <f t="shared" si="70"/>
        <v>0</v>
      </c>
      <c r="G384" s="10">
        <f t="shared" ref="D384:AF392" si="72">ROUND((EXP(7.032824+1*0.622482)*((G24/1.852)^ 0.40303))/(1.15*0.0059)/1000000,3)</f>
        <v>0</v>
      </c>
      <c r="H384" s="10">
        <f t="shared" si="72"/>
        <v>3.9550000000000001</v>
      </c>
      <c r="I384" s="10">
        <f t="shared" si="72"/>
        <v>4.149</v>
      </c>
      <c r="J384" s="10">
        <f t="shared" si="72"/>
        <v>3.802</v>
      </c>
      <c r="K384" s="10">
        <f t="shared" si="72"/>
        <v>2.077</v>
      </c>
      <c r="L384" s="10">
        <f t="shared" si="72"/>
        <v>0</v>
      </c>
      <c r="M384" s="10">
        <f t="shared" si="72"/>
        <v>3.6840000000000002</v>
      </c>
      <c r="N384" s="10">
        <f t="shared" si="72"/>
        <v>0</v>
      </c>
      <c r="O384" s="10">
        <f t="shared" si="72"/>
        <v>0</v>
      </c>
      <c r="P384" s="10">
        <f t="shared" si="72"/>
        <v>4.1449999999999996</v>
      </c>
      <c r="Q384" s="10">
        <f t="shared" si="72"/>
        <v>0</v>
      </c>
      <c r="R384" s="10">
        <f t="shared" si="72"/>
        <v>0</v>
      </c>
      <c r="S384" s="10">
        <f t="shared" si="72"/>
        <v>1.9710000000000001</v>
      </c>
      <c r="T384" s="10">
        <f t="shared" si="72"/>
        <v>0</v>
      </c>
      <c r="U384" s="10">
        <f t="shared" si="72"/>
        <v>0</v>
      </c>
      <c r="V384" s="10">
        <f t="shared" si="72"/>
        <v>0</v>
      </c>
      <c r="W384" s="10">
        <f t="shared" si="72"/>
        <v>4.4279999999999999</v>
      </c>
      <c r="X384" s="10">
        <f t="shared" si="72"/>
        <v>3.9790000000000001</v>
      </c>
      <c r="Y384" s="10">
        <f t="shared" si="72"/>
        <v>3.2749999999999999</v>
      </c>
      <c r="Z384" s="10">
        <f t="shared" si="72"/>
        <v>0</v>
      </c>
      <c r="AA384" s="10">
        <f t="shared" si="72"/>
        <v>4.2649999999999997</v>
      </c>
      <c r="AB384" s="10">
        <f t="shared" si="72"/>
        <v>3.5950000000000002</v>
      </c>
      <c r="AC384" s="10">
        <f t="shared" si="72"/>
        <v>0</v>
      </c>
      <c r="AD384" s="10">
        <f t="shared" si="72"/>
        <v>3.8929999999999998</v>
      </c>
      <c r="AE384" s="10">
        <f t="shared" si="72"/>
        <v>0</v>
      </c>
      <c r="AF384" s="10">
        <f t="shared" si="72"/>
        <v>0</v>
      </c>
    </row>
    <row r="385" spans="1:32">
      <c r="A385" s="10" t="s">
        <v>275</v>
      </c>
      <c r="B385" s="61" t="s">
        <v>297</v>
      </c>
      <c r="C385" s="10">
        <f t="shared" si="71"/>
        <v>4.3479999999999999</v>
      </c>
      <c r="D385" s="10">
        <f t="shared" si="72"/>
        <v>3.5990000000000002</v>
      </c>
      <c r="E385" s="10">
        <f t="shared" si="72"/>
        <v>2.0209999999999999</v>
      </c>
      <c r="F385" s="10">
        <f t="shared" si="72"/>
        <v>0</v>
      </c>
      <c r="G385" s="10">
        <f t="shared" si="72"/>
        <v>3.278</v>
      </c>
      <c r="H385" s="10">
        <f t="shared" si="72"/>
        <v>3.4780000000000002</v>
      </c>
      <c r="I385" s="10">
        <f t="shared" si="72"/>
        <v>2.5920000000000001</v>
      </c>
      <c r="J385" s="10">
        <f t="shared" si="72"/>
        <v>2.9809999999999999</v>
      </c>
      <c r="K385" s="10">
        <f t="shared" si="72"/>
        <v>0</v>
      </c>
      <c r="L385" s="10">
        <f t="shared" si="72"/>
        <v>4.6429999999999998</v>
      </c>
      <c r="M385" s="10">
        <f t="shared" si="72"/>
        <v>0</v>
      </c>
      <c r="N385" s="10">
        <f t="shared" si="72"/>
        <v>0</v>
      </c>
      <c r="O385" s="10">
        <f t="shared" si="72"/>
        <v>4.1269999999999998</v>
      </c>
      <c r="P385" s="10">
        <f t="shared" si="72"/>
        <v>4.149</v>
      </c>
      <c r="Q385" s="10">
        <f t="shared" si="72"/>
        <v>3.82</v>
      </c>
      <c r="R385" s="10">
        <f t="shared" si="72"/>
        <v>4.173</v>
      </c>
      <c r="S385" s="10">
        <f t="shared" si="72"/>
        <v>4.2990000000000004</v>
      </c>
      <c r="T385" s="10">
        <f t="shared" si="72"/>
        <v>2.351</v>
      </c>
      <c r="U385" s="10">
        <f t="shared" si="72"/>
        <v>4.4279999999999999</v>
      </c>
      <c r="V385" s="10">
        <f t="shared" si="72"/>
        <v>0</v>
      </c>
      <c r="W385" s="10">
        <f t="shared" si="72"/>
        <v>0</v>
      </c>
      <c r="X385" s="10">
        <f t="shared" si="72"/>
        <v>4.5570000000000004</v>
      </c>
      <c r="Y385" s="10">
        <f t="shared" si="72"/>
        <v>3.8380000000000001</v>
      </c>
      <c r="Z385" s="10">
        <f t="shared" si="72"/>
        <v>0</v>
      </c>
      <c r="AA385" s="10">
        <f t="shared" si="72"/>
        <v>0</v>
      </c>
      <c r="AB385" s="10">
        <f t="shared" si="72"/>
        <v>4.4260000000000002</v>
      </c>
      <c r="AC385" s="10">
        <f t="shared" si="72"/>
        <v>3.8620000000000001</v>
      </c>
      <c r="AD385" s="10">
        <f t="shared" si="72"/>
        <v>4.024</v>
      </c>
      <c r="AE385" s="10">
        <f t="shared" si="72"/>
        <v>3.2069999999999999</v>
      </c>
      <c r="AF385" s="10">
        <f t="shared" si="72"/>
        <v>0</v>
      </c>
    </row>
    <row r="386" spans="1:32">
      <c r="A386" s="10" t="s">
        <v>275</v>
      </c>
      <c r="B386" s="61" t="s">
        <v>298</v>
      </c>
      <c r="C386" s="10">
        <f t="shared" si="71"/>
        <v>5.8659999999999997</v>
      </c>
      <c r="D386" s="10">
        <f t="shared" si="72"/>
        <v>0</v>
      </c>
      <c r="E386" s="10">
        <f t="shared" si="72"/>
        <v>4.7919999999999998</v>
      </c>
      <c r="F386" s="10">
        <f t="shared" si="72"/>
        <v>0</v>
      </c>
      <c r="G386" s="10">
        <f t="shared" si="72"/>
        <v>0</v>
      </c>
      <c r="H386" s="10">
        <f t="shared" si="72"/>
        <v>4.7990000000000004</v>
      </c>
      <c r="I386" s="10">
        <f t="shared" si="72"/>
        <v>4.6319999999999997</v>
      </c>
      <c r="J386" s="10">
        <f t="shared" si="72"/>
        <v>3.403</v>
      </c>
      <c r="K386" s="10">
        <f t="shared" si="72"/>
        <v>3.7410000000000001</v>
      </c>
      <c r="L386" s="10">
        <f t="shared" si="72"/>
        <v>0</v>
      </c>
      <c r="M386" s="10">
        <f t="shared" si="72"/>
        <v>3.9289999999999998</v>
      </c>
      <c r="N386" s="10">
        <f t="shared" si="72"/>
        <v>0</v>
      </c>
      <c r="O386" s="10">
        <f t="shared" si="72"/>
        <v>0</v>
      </c>
      <c r="P386" s="10">
        <f t="shared" si="72"/>
        <v>0</v>
      </c>
      <c r="Q386" s="10">
        <f t="shared" si="72"/>
        <v>4.9580000000000002</v>
      </c>
      <c r="R386" s="10">
        <f t="shared" si="72"/>
        <v>0</v>
      </c>
      <c r="S386" s="10">
        <f t="shared" si="72"/>
        <v>4.1619999999999999</v>
      </c>
      <c r="T386" s="10">
        <f t="shared" si="72"/>
        <v>4.87</v>
      </c>
      <c r="U386" s="10">
        <f t="shared" si="72"/>
        <v>3.9790000000000001</v>
      </c>
      <c r="V386" s="10">
        <f t="shared" si="72"/>
        <v>0</v>
      </c>
      <c r="W386" s="10">
        <f t="shared" si="72"/>
        <v>4.5570000000000004</v>
      </c>
      <c r="X386" s="10">
        <f t="shared" si="72"/>
        <v>0</v>
      </c>
      <c r="Y386" s="10">
        <f t="shared" si="72"/>
        <v>4.5110000000000001</v>
      </c>
      <c r="Z386" s="10">
        <f t="shared" si="72"/>
        <v>0</v>
      </c>
      <c r="AA386" s="10">
        <f t="shared" si="72"/>
        <v>0</v>
      </c>
      <c r="AB386" s="10">
        <f t="shared" si="72"/>
        <v>2.1739999999999999</v>
      </c>
      <c r="AC386" s="10">
        <f t="shared" si="72"/>
        <v>0</v>
      </c>
      <c r="AD386" s="10">
        <f t="shared" si="72"/>
        <v>0</v>
      </c>
      <c r="AE386" s="10">
        <f t="shared" si="72"/>
        <v>4.617</v>
      </c>
      <c r="AF386" s="10">
        <f t="shared" si="72"/>
        <v>0</v>
      </c>
    </row>
    <row r="387" spans="1:32">
      <c r="A387" s="10" t="s">
        <v>275</v>
      </c>
      <c r="B387" s="61" t="s">
        <v>357</v>
      </c>
      <c r="C387" s="10">
        <f t="shared" si="71"/>
        <v>4.99</v>
      </c>
      <c r="D387" s="10">
        <f t="shared" si="72"/>
        <v>3.3380000000000001</v>
      </c>
      <c r="E387" s="10">
        <f t="shared" si="72"/>
        <v>0</v>
      </c>
      <c r="F387" s="10">
        <f t="shared" si="72"/>
        <v>2.9460000000000002</v>
      </c>
      <c r="G387" s="10">
        <f t="shared" si="72"/>
        <v>3.895</v>
      </c>
      <c r="H387" s="10">
        <f t="shared" si="72"/>
        <v>3.6440000000000001</v>
      </c>
      <c r="I387" s="10">
        <f t="shared" si="72"/>
        <v>4.1470000000000002</v>
      </c>
      <c r="J387" s="10">
        <f t="shared" si="72"/>
        <v>0</v>
      </c>
      <c r="K387" s="10">
        <f t="shared" si="72"/>
        <v>0</v>
      </c>
      <c r="L387" s="10">
        <f t="shared" si="72"/>
        <v>0</v>
      </c>
      <c r="M387" s="10">
        <f t="shared" si="72"/>
        <v>0</v>
      </c>
      <c r="N387" s="10">
        <f t="shared" si="72"/>
        <v>3.0219999999999998</v>
      </c>
      <c r="O387" s="10">
        <f t="shared" si="72"/>
        <v>2.5409999999999999</v>
      </c>
      <c r="P387" s="10">
        <f t="shared" si="72"/>
        <v>2.9390000000000001</v>
      </c>
      <c r="Q387" s="10">
        <f t="shared" si="72"/>
        <v>0</v>
      </c>
      <c r="R387" s="10">
        <f t="shared" si="72"/>
        <v>3.169</v>
      </c>
      <c r="S387" s="10">
        <f t="shared" si="72"/>
        <v>0</v>
      </c>
      <c r="T387" s="10">
        <f t="shared" si="72"/>
        <v>0</v>
      </c>
      <c r="U387" s="10">
        <f t="shared" si="72"/>
        <v>0</v>
      </c>
      <c r="V387" s="10">
        <f t="shared" si="72"/>
        <v>0</v>
      </c>
      <c r="W387" s="10">
        <f t="shared" si="72"/>
        <v>0</v>
      </c>
      <c r="X387" s="10">
        <f t="shared" si="72"/>
        <v>0</v>
      </c>
      <c r="Y387" s="10">
        <f t="shared" si="72"/>
        <v>3.9889999999999999</v>
      </c>
      <c r="Z387" s="10">
        <f t="shared" si="72"/>
        <v>0</v>
      </c>
      <c r="AA387" s="10">
        <f t="shared" si="72"/>
        <v>3.1309999999999998</v>
      </c>
      <c r="AB387" s="10">
        <f t="shared" si="72"/>
        <v>0</v>
      </c>
      <c r="AC387" s="10">
        <f t="shared" si="72"/>
        <v>2.9980000000000002</v>
      </c>
      <c r="AD387" s="10">
        <f t="shared" si="72"/>
        <v>3.32</v>
      </c>
      <c r="AE387" s="10">
        <f t="shared" si="72"/>
        <v>0</v>
      </c>
      <c r="AF387" s="10">
        <f t="shared" si="72"/>
        <v>0</v>
      </c>
    </row>
    <row r="388" spans="1:32">
      <c r="A388" s="10" t="s">
        <v>275</v>
      </c>
      <c r="B388" s="61" t="s">
        <v>299</v>
      </c>
      <c r="C388" s="10">
        <f t="shared" si="71"/>
        <v>5.1959999999999997</v>
      </c>
      <c r="D388" s="10">
        <f t="shared" si="72"/>
        <v>3.2629999999999999</v>
      </c>
      <c r="E388" s="10">
        <f t="shared" si="72"/>
        <v>3.988</v>
      </c>
      <c r="F388" s="10">
        <f t="shared" si="72"/>
        <v>4.1269999999999998</v>
      </c>
      <c r="G388" s="10">
        <f t="shared" si="72"/>
        <v>3.9319999999999999</v>
      </c>
      <c r="H388" s="10">
        <f t="shared" si="72"/>
        <v>2.6890000000000001</v>
      </c>
      <c r="I388" s="10">
        <f t="shared" si="72"/>
        <v>3.27</v>
      </c>
      <c r="J388" s="10">
        <f t="shared" si="72"/>
        <v>3.4910000000000001</v>
      </c>
      <c r="K388" s="10">
        <f t="shared" si="72"/>
        <v>3.637</v>
      </c>
      <c r="L388" s="10">
        <f t="shared" si="72"/>
        <v>0</v>
      </c>
      <c r="M388" s="10">
        <f t="shared" si="72"/>
        <v>4.54</v>
      </c>
      <c r="N388" s="10">
        <f t="shared" si="72"/>
        <v>4.6020000000000003</v>
      </c>
      <c r="O388" s="10">
        <f t="shared" si="72"/>
        <v>3.6240000000000001</v>
      </c>
      <c r="P388" s="10">
        <f t="shared" si="72"/>
        <v>3.0920000000000001</v>
      </c>
      <c r="Q388" s="10">
        <f t="shared" si="72"/>
        <v>0</v>
      </c>
      <c r="R388" s="10">
        <f t="shared" si="72"/>
        <v>4.1929999999999996</v>
      </c>
      <c r="S388" s="10">
        <f t="shared" si="72"/>
        <v>2.8849999999999998</v>
      </c>
      <c r="T388" s="10">
        <f t="shared" si="72"/>
        <v>3.8809999999999998</v>
      </c>
      <c r="U388" s="10">
        <f t="shared" si="72"/>
        <v>3.2749999999999999</v>
      </c>
      <c r="V388" s="10">
        <f t="shared" si="72"/>
        <v>3.9889999999999999</v>
      </c>
      <c r="W388" s="10">
        <f t="shared" si="72"/>
        <v>3.8380000000000001</v>
      </c>
      <c r="X388" s="10">
        <f t="shared" si="72"/>
        <v>4.5110000000000001</v>
      </c>
      <c r="Y388" s="10">
        <f t="shared" si="72"/>
        <v>0</v>
      </c>
      <c r="Z388" s="10">
        <f t="shared" si="72"/>
        <v>0</v>
      </c>
      <c r="AA388" s="10">
        <f t="shared" si="72"/>
        <v>3.6080000000000001</v>
      </c>
      <c r="AB388" s="10">
        <f t="shared" si="72"/>
        <v>4.2240000000000002</v>
      </c>
      <c r="AC388" s="10">
        <f t="shared" si="72"/>
        <v>3.4929999999999999</v>
      </c>
      <c r="AD388" s="10">
        <f t="shared" si="72"/>
        <v>2.661</v>
      </c>
      <c r="AE388" s="10">
        <f t="shared" si="72"/>
        <v>4.63</v>
      </c>
      <c r="AF388" s="10">
        <f t="shared" si="72"/>
        <v>0</v>
      </c>
    </row>
    <row r="389" spans="1:32">
      <c r="A389" s="10" t="s">
        <v>275</v>
      </c>
      <c r="B389" s="61" t="s">
        <v>300</v>
      </c>
      <c r="C389" s="10">
        <f t="shared" si="71"/>
        <v>3.1120000000000001</v>
      </c>
      <c r="D389" s="10">
        <f t="shared" si="72"/>
        <v>0</v>
      </c>
      <c r="E389" s="10">
        <f t="shared" si="72"/>
        <v>0</v>
      </c>
      <c r="F389" s="10">
        <f t="shared" si="72"/>
        <v>0</v>
      </c>
      <c r="G389" s="10">
        <f t="shared" si="72"/>
        <v>0</v>
      </c>
      <c r="H389" s="10">
        <f t="shared" si="72"/>
        <v>0</v>
      </c>
      <c r="I389" s="10">
        <f t="shared" si="72"/>
        <v>0</v>
      </c>
      <c r="J389" s="10">
        <f t="shared" si="72"/>
        <v>0</v>
      </c>
      <c r="K389" s="10">
        <f t="shared" si="72"/>
        <v>0</v>
      </c>
      <c r="L389" s="10">
        <f t="shared" si="72"/>
        <v>2.774</v>
      </c>
      <c r="M389" s="10">
        <f t="shared" si="72"/>
        <v>0</v>
      </c>
      <c r="N389" s="10">
        <f t="shared" si="72"/>
        <v>0</v>
      </c>
      <c r="O389" s="10">
        <f t="shared" si="72"/>
        <v>0</v>
      </c>
      <c r="P389" s="10">
        <f t="shared" si="72"/>
        <v>0</v>
      </c>
      <c r="Q389" s="10">
        <f t="shared" si="72"/>
        <v>0</v>
      </c>
      <c r="R389" s="10">
        <f t="shared" si="72"/>
        <v>0</v>
      </c>
      <c r="S389" s="10">
        <f t="shared" si="72"/>
        <v>0</v>
      </c>
      <c r="T389" s="10">
        <f t="shared" si="72"/>
        <v>0</v>
      </c>
      <c r="U389" s="10">
        <f t="shared" si="72"/>
        <v>0</v>
      </c>
      <c r="V389" s="10">
        <f t="shared" si="72"/>
        <v>0</v>
      </c>
      <c r="W389" s="10">
        <f t="shared" si="72"/>
        <v>0</v>
      </c>
      <c r="X389" s="10">
        <f t="shared" si="72"/>
        <v>0</v>
      </c>
      <c r="Y389" s="10">
        <f t="shared" si="72"/>
        <v>0</v>
      </c>
      <c r="Z389" s="10">
        <f t="shared" si="72"/>
        <v>0</v>
      </c>
      <c r="AA389" s="10">
        <f t="shared" si="72"/>
        <v>0</v>
      </c>
      <c r="AB389" s="10">
        <f t="shared" si="72"/>
        <v>0</v>
      </c>
      <c r="AC389" s="10">
        <f t="shared" si="72"/>
        <v>0</v>
      </c>
      <c r="AD389" s="10">
        <f t="shared" si="72"/>
        <v>0</v>
      </c>
      <c r="AE389" s="10">
        <f t="shared" si="72"/>
        <v>4.835</v>
      </c>
      <c r="AF389" s="10">
        <f t="shared" si="72"/>
        <v>0</v>
      </c>
    </row>
    <row r="390" spans="1:32">
      <c r="A390" s="10" t="s">
        <v>275</v>
      </c>
      <c r="B390" s="61" t="s">
        <v>301</v>
      </c>
      <c r="C390" s="10">
        <f t="shared" si="71"/>
        <v>5.4509999999999996</v>
      </c>
      <c r="D390" s="10">
        <f t="shared" si="72"/>
        <v>3.6819999999999999</v>
      </c>
      <c r="E390" s="10">
        <f t="shared" si="72"/>
        <v>0</v>
      </c>
      <c r="F390" s="10">
        <f t="shared" si="72"/>
        <v>2.5529999999999999</v>
      </c>
      <c r="G390" s="10">
        <f t="shared" si="72"/>
        <v>4.3570000000000002</v>
      </c>
      <c r="H390" s="10">
        <f t="shared" si="72"/>
        <v>3.6669999999999998</v>
      </c>
      <c r="I390" s="10">
        <f t="shared" si="72"/>
        <v>4.2640000000000002</v>
      </c>
      <c r="J390" s="10">
        <f t="shared" si="72"/>
        <v>4.6680000000000001</v>
      </c>
      <c r="K390" s="10">
        <f t="shared" si="72"/>
        <v>0</v>
      </c>
      <c r="L390" s="10">
        <f t="shared" si="72"/>
        <v>0</v>
      </c>
      <c r="M390" s="10">
        <f t="shared" si="72"/>
        <v>0</v>
      </c>
      <c r="N390" s="10">
        <f t="shared" si="72"/>
        <v>3.5409999999999999</v>
      </c>
      <c r="O390" s="10">
        <f t="shared" si="72"/>
        <v>3.3580000000000001</v>
      </c>
      <c r="P390" s="10">
        <f t="shared" si="72"/>
        <v>2.8540000000000001</v>
      </c>
      <c r="Q390" s="10">
        <f t="shared" si="72"/>
        <v>0</v>
      </c>
      <c r="R390" s="10">
        <f t="shared" si="72"/>
        <v>4.0570000000000004</v>
      </c>
      <c r="S390" s="10">
        <f t="shared" si="72"/>
        <v>4.0220000000000002</v>
      </c>
      <c r="T390" s="10">
        <f t="shared" si="72"/>
        <v>0</v>
      </c>
      <c r="U390" s="10">
        <f t="shared" si="72"/>
        <v>4.2649999999999997</v>
      </c>
      <c r="V390" s="10">
        <f t="shared" si="72"/>
        <v>3.1309999999999998</v>
      </c>
      <c r="W390" s="10">
        <f t="shared" si="72"/>
        <v>0</v>
      </c>
      <c r="X390" s="10">
        <f t="shared" si="72"/>
        <v>0</v>
      </c>
      <c r="Y390" s="10">
        <f t="shared" si="72"/>
        <v>3.6080000000000001</v>
      </c>
      <c r="Z390" s="10">
        <f t="shared" si="72"/>
        <v>0</v>
      </c>
      <c r="AA390" s="10">
        <f t="shared" si="72"/>
        <v>0</v>
      </c>
      <c r="AB390" s="10">
        <f t="shared" si="72"/>
        <v>0</v>
      </c>
      <c r="AC390" s="10">
        <f t="shared" si="72"/>
        <v>3.569</v>
      </c>
      <c r="AD390" s="10">
        <f t="shared" si="72"/>
        <v>3.028</v>
      </c>
      <c r="AE390" s="10">
        <f t="shared" si="72"/>
        <v>0</v>
      </c>
      <c r="AF390" s="10">
        <f t="shared" si="72"/>
        <v>3.7639999999999998</v>
      </c>
    </row>
    <row r="391" spans="1:32">
      <c r="A391" s="10" t="s">
        <v>275</v>
      </c>
      <c r="B391" s="61" t="s">
        <v>303</v>
      </c>
      <c r="C391" s="10">
        <f t="shared" si="71"/>
        <v>5.7960000000000003</v>
      </c>
      <c r="D391" s="10">
        <f t="shared" si="72"/>
        <v>4.8650000000000002</v>
      </c>
      <c r="E391" s="10">
        <f t="shared" si="72"/>
        <v>4.6710000000000003</v>
      </c>
      <c r="F391" s="10">
        <f t="shared" si="72"/>
        <v>0</v>
      </c>
      <c r="G391" s="10">
        <f t="shared" si="72"/>
        <v>5.0430000000000001</v>
      </c>
      <c r="H391" s="10">
        <f t="shared" si="72"/>
        <v>4.57</v>
      </c>
      <c r="I391" s="10">
        <f t="shared" si="72"/>
        <v>4.4400000000000004</v>
      </c>
      <c r="J391" s="10">
        <f t="shared" si="72"/>
        <v>2.7160000000000002</v>
      </c>
      <c r="K391" s="10">
        <f t="shared" si="72"/>
        <v>3.327</v>
      </c>
      <c r="L391" s="10">
        <f t="shared" si="72"/>
        <v>0</v>
      </c>
      <c r="M391" s="10">
        <f t="shared" si="72"/>
        <v>2.9860000000000002</v>
      </c>
      <c r="N391" s="10">
        <f t="shared" si="72"/>
        <v>0</v>
      </c>
      <c r="O391" s="10">
        <f t="shared" si="72"/>
        <v>5.1689999999999996</v>
      </c>
      <c r="P391" s="10">
        <f t="shared" si="72"/>
        <v>4.9189999999999996</v>
      </c>
      <c r="Q391" s="10">
        <f t="shared" si="72"/>
        <v>0</v>
      </c>
      <c r="R391" s="10">
        <f t="shared" si="72"/>
        <v>5.444</v>
      </c>
      <c r="S391" s="10">
        <f t="shared" si="72"/>
        <v>3.8050000000000002</v>
      </c>
      <c r="T391" s="10">
        <f t="shared" si="72"/>
        <v>4.7320000000000002</v>
      </c>
      <c r="U391" s="10">
        <f t="shared" si="72"/>
        <v>3.5950000000000002</v>
      </c>
      <c r="V391" s="10">
        <f t="shared" si="72"/>
        <v>0</v>
      </c>
      <c r="W391" s="10">
        <f t="shared" si="72"/>
        <v>4.4260000000000002</v>
      </c>
      <c r="X391" s="10">
        <f t="shared" si="72"/>
        <v>2.1739999999999999</v>
      </c>
      <c r="Y391" s="10">
        <f t="shared" si="72"/>
        <v>4.2240000000000002</v>
      </c>
      <c r="Z391" s="10">
        <f t="shared" si="72"/>
        <v>0</v>
      </c>
      <c r="AA391" s="10">
        <f t="shared" si="72"/>
        <v>0</v>
      </c>
      <c r="AB391" s="10">
        <f t="shared" si="72"/>
        <v>0</v>
      </c>
      <c r="AC391" s="10">
        <f t="shared" si="72"/>
        <v>5.0439999999999996</v>
      </c>
      <c r="AD391" s="10">
        <f t="shared" si="72"/>
        <v>4.7190000000000003</v>
      </c>
      <c r="AE391" s="10">
        <f t="shared" si="72"/>
        <v>4.609</v>
      </c>
      <c r="AF391" s="10">
        <f t="shared" si="72"/>
        <v>0</v>
      </c>
    </row>
    <row r="392" spans="1:32">
      <c r="A392" s="10" t="s">
        <v>275</v>
      </c>
      <c r="B392" s="61" t="s">
        <v>304</v>
      </c>
      <c r="C392" s="10">
        <f t="shared" si="71"/>
        <v>4.5919999999999996</v>
      </c>
      <c r="D392" s="10">
        <f t="shared" si="72"/>
        <v>1.93</v>
      </c>
      <c r="E392" s="10">
        <f t="shared" si="72"/>
        <v>3.7730000000000001</v>
      </c>
      <c r="F392" s="10">
        <f t="shared" si="72"/>
        <v>3.78</v>
      </c>
      <c r="G392" s="10">
        <f t="shared" si="72"/>
        <v>3</v>
      </c>
      <c r="H392" s="10">
        <f t="shared" si="72"/>
        <v>2.7280000000000002</v>
      </c>
      <c r="I392" s="10">
        <f t="shared" si="72"/>
        <v>3.29</v>
      </c>
      <c r="J392" s="10">
        <f t="shared" si="72"/>
        <v>4.149</v>
      </c>
      <c r="K392" s="10">
        <f t="shared" si="72"/>
        <v>0</v>
      </c>
      <c r="L392" s="10">
        <f t="shared" si="72"/>
        <v>4.7880000000000003</v>
      </c>
      <c r="M392" s="10">
        <f t="shared" si="72"/>
        <v>0</v>
      </c>
      <c r="N392" s="10">
        <f t="shared" si="72"/>
        <v>3.9790000000000001</v>
      </c>
      <c r="O392" s="10">
        <f t="shared" si="72"/>
        <v>1.9330000000000001</v>
      </c>
      <c r="P392" s="10">
        <f t="shared" si="72"/>
        <v>2.6320000000000001</v>
      </c>
      <c r="Q392" s="10">
        <f t="shared" si="72"/>
        <v>0</v>
      </c>
      <c r="R392" s="10">
        <f t="shared" si="72"/>
        <v>2.7959999999999998</v>
      </c>
      <c r="S392" s="10">
        <f t="shared" si="72"/>
        <v>4.2389999999999999</v>
      </c>
      <c r="T392" s="10">
        <f t="shared" si="72"/>
        <v>3.532</v>
      </c>
      <c r="U392" s="10">
        <f t="shared" si="72"/>
        <v>0</v>
      </c>
      <c r="V392" s="10">
        <f t="shared" si="72"/>
        <v>2.9980000000000002</v>
      </c>
      <c r="W392" s="10">
        <f t="shared" si="72"/>
        <v>3.8620000000000001</v>
      </c>
      <c r="X392" s="10">
        <f t="shared" si="72"/>
        <v>0</v>
      </c>
      <c r="Y392" s="10">
        <f t="shared" si="72"/>
        <v>3.4929999999999999</v>
      </c>
      <c r="Z392" s="10">
        <f t="shared" si="72"/>
        <v>0</v>
      </c>
      <c r="AA392" s="10">
        <f t="shared" si="72"/>
        <v>3.569</v>
      </c>
      <c r="AB392" s="10">
        <f t="shared" si="72"/>
        <v>5.0439999999999996</v>
      </c>
      <c r="AC392" s="10">
        <f t="shared" si="72"/>
        <v>0</v>
      </c>
      <c r="AD392" s="10">
        <f t="shared" ref="D392:AF395" si="73">ROUND((EXP(7.032824+1*0.622482)*((AD32/1.852)^ 0.40303))/(1.15*0.0059)/1000000,3)</f>
        <v>2.86</v>
      </c>
      <c r="AE392" s="10">
        <f t="shared" si="73"/>
        <v>0</v>
      </c>
      <c r="AF392" s="10">
        <f t="shared" si="73"/>
        <v>0</v>
      </c>
    </row>
    <row r="393" spans="1:32">
      <c r="A393" s="10" t="s">
        <v>275</v>
      </c>
      <c r="B393" s="61" t="s">
        <v>305</v>
      </c>
      <c r="C393" s="10">
        <f t="shared" si="71"/>
        <v>5.0670000000000002</v>
      </c>
      <c r="D393" s="10">
        <f t="shared" si="73"/>
        <v>2.7610000000000001</v>
      </c>
      <c r="E393" s="10">
        <f t="shared" si="73"/>
        <v>4.0679999999999996</v>
      </c>
      <c r="F393" s="10">
        <f t="shared" si="73"/>
        <v>3.5880000000000001</v>
      </c>
      <c r="G393" s="10">
        <f t="shared" si="73"/>
        <v>3.714</v>
      </c>
      <c r="H393" s="10">
        <f t="shared" si="73"/>
        <v>2.4940000000000002</v>
      </c>
      <c r="I393" s="10">
        <f t="shared" si="73"/>
        <v>3.4140000000000001</v>
      </c>
      <c r="J393" s="10">
        <f t="shared" si="73"/>
        <v>3.9769999999999999</v>
      </c>
      <c r="K393" s="10">
        <f t="shared" si="73"/>
        <v>4.1970000000000001</v>
      </c>
      <c r="L393" s="10">
        <f t="shared" si="73"/>
        <v>0</v>
      </c>
      <c r="M393" s="10">
        <f t="shared" si="73"/>
        <v>0</v>
      </c>
      <c r="N393" s="10">
        <f t="shared" si="73"/>
        <v>4.0979999999999999</v>
      </c>
      <c r="O393" s="10">
        <f t="shared" si="73"/>
        <v>2.9</v>
      </c>
      <c r="P393" s="10">
        <f t="shared" si="73"/>
        <v>1.931</v>
      </c>
      <c r="Q393" s="10">
        <f t="shared" si="73"/>
        <v>0</v>
      </c>
      <c r="R393" s="10">
        <f t="shared" si="73"/>
        <v>3.722</v>
      </c>
      <c r="S393" s="10">
        <f t="shared" si="73"/>
        <v>3.5859999999999999</v>
      </c>
      <c r="T393" s="10">
        <f t="shared" si="73"/>
        <v>3.899</v>
      </c>
      <c r="U393" s="10">
        <f t="shared" si="73"/>
        <v>3.8929999999999998</v>
      </c>
      <c r="V393" s="10">
        <f t="shared" si="73"/>
        <v>3.32</v>
      </c>
      <c r="W393" s="10">
        <f t="shared" si="73"/>
        <v>4.024</v>
      </c>
      <c r="X393" s="10">
        <f t="shared" si="73"/>
        <v>0</v>
      </c>
      <c r="Y393" s="10">
        <f t="shared" si="73"/>
        <v>2.661</v>
      </c>
      <c r="Z393" s="10">
        <f t="shared" si="73"/>
        <v>0</v>
      </c>
      <c r="AA393" s="10">
        <f t="shared" si="73"/>
        <v>3.028</v>
      </c>
      <c r="AB393" s="10">
        <f t="shared" si="73"/>
        <v>4.7190000000000003</v>
      </c>
      <c r="AC393" s="10">
        <f t="shared" si="73"/>
        <v>2.86</v>
      </c>
      <c r="AD393" s="10">
        <f t="shared" si="73"/>
        <v>0</v>
      </c>
      <c r="AE393" s="10">
        <f t="shared" si="73"/>
        <v>0</v>
      </c>
      <c r="AF393" s="10">
        <f t="shared" si="73"/>
        <v>0</v>
      </c>
    </row>
    <row r="394" spans="1:32">
      <c r="A394" s="10" t="s">
        <v>275</v>
      </c>
      <c r="B394" s="10" t="s">
        <v>356</v>
      </c>
      <c r="C394" s="10">
        <f t="shared" si="71"/>
        <v>0</v>
      </c>
      <c r="D394" s="10">
        <f t="shared" si="73"/>
        <v>0</v>
      </c>
      <c r="E394" s="10">
        <f t="shared" si="73"/>
        <v>0</v>
      </c>
      <c r="F394" s="10">
        <f t="shared" si="73"/>
        <v>2.7909999999999999</v>
      </c>
      <c r="G394" s="10">
        <f t="shared" si="73"/>
        <v>0</v>
      </c>
      <c r="H394" s="10">
        <f t="shared" si="73"/>
        <v>0</v>
      </c>
      <c r="I394" s="10">
        <f t="shared" si="73"/>
        <v>0</v>
      </c>
      <c r="J394" s="10">
        <f t="shared" si="73"/>
        <v>0</v>
      </c>
      <c r="K394" s="10">
        <f t="shared" si="73"/>
        <v>0</v>
      </c>
      <c r="L394" s="10">
        <f t="shared" si="73"/>
        <v>0</v>
      </c>
      <c r="M394" s="10">
        <f t="shared" si="73"/>
        <v>0</v>
      </c>
      <c r="N394" s="10">
        <f t="shared" si="73"/>
        <v>3.7120000000000002</v>
      </c>
      <c r="O394" s="10">
        <f t="shared" si="73"/>
        <v>0</v>
      </c>
      <c r="P394" s="10">
        <f t="shared" si="73"/>
        <v>0</v>
      </c>
      <c r="Q394" s="10">
        <f t="shared" si="73"/>
        <v>0</v>
      </c>
      <c r="R394" s="10">
        <f t="shared" si="73"/>
        <v>0</v>
      </c>
      <c r="S394" s="10">
        <f t="shared" si="73"/>
        <v>0</v>
      </c>
      <c r="T394" s="10">
        <f t="shared" si="73"/>
        <v>0</v>
      </c>
      <c r="U394" s="10">
        <f t="shared" si="73"/>
        <v>0</v>
      </c>
      <c r="V394" s="10">
        <f t="shared" si="73"/>
        <v>0</v>
      </c>
      <c r="W394" s="10">
        <f t="shared" si="73"/>
        <v>0</v>
      </c>
      <c r="X394" s="10">
        <f t="shared" si="73"/>
        <v>0</v>
      </c>
      <c r="Y394" s="10">
        <f t="shared" si="73"/>
        <v>0</v>
      </c>
      <c r="Z394" s="10">
        <f t="shared" si="73"/>
        <v>0</v>
      </c>
      <c r="AA394" s="10">
        <f t="shared" si="73"/>
        <v>3.7639999999999998</v>
      </c>
      <c r="AB394" s="10">
        <f t="shared" si="73"/>
        <v>0</v>
      </c>
      <c r="AC394" s="10">
        <f t="shared" si="73"/>
        <v>0</v>
      </c>
      <c r="AD394" s="10">
        <f t="shared" si="73"/>
        <v>0</v>
      </c>
      <c r="AE394" s="10">
        <f t="shared" si="73"/>
        <v>0</v>
      </c>
      <c r="AF394" s="10">
        <f t="shared" si="73"/>
        <v>0</v>
      </c>
    </row>
    <row r="395" spans="1:32">
      <c r="A395" s="10" t="s">
        <v>275</v>
      </c>
      <c r="B395" s="61" t="s">
        <v>307</v>
      </c>
      <c r="C395" s="10">
        <f t="shared" si="71"/>
        <v>3.198</v>
      </c>
      <c r="D395" s="10">
        <f t="shared" si="73"/>
        <v>4.4989999999999997</v>
      </c>
      <c r="E395" s="10">
        <f t="shared" si="73"/>
        <v>3.294</v>
      </c>
      <c r="F395" s="10">
        <f t="shared" si="73"/>
        <v>0</v>
      </c>
      <c r="G395" s="10">
        <f t="shared" si="73"/>
        <v>4.1349999999999998</v>
      </c>
      <c r="H395" s="10">
        <f t="shared" si="73"/>
        <v>4.423</v>
      </c>
      <c r="I395" s="10">
        <f t="shared" si="73"/>
        <v>3.8650000000000002</v>
      </c>
      <c r="J395" s="10">
        <f t="shared" si="73"/>
        <v>3.68</v>
      </c>
      <c r="K395" s="10">
        <f t="shared" si="73"/>
        <v>0</v>
      </c>
      <c r="L395" s="10">
        <f t="shared" si="73"/>
        <v>4.6879999999999997</v>
      </c>
      <c r="M395" s="10">
        <f t="shared" si="73"/>
        <v>0</v>
      </c>
      <c r="N395" s="10">
        <f t="shared" si="73"/>
        <v>0</v>
      </c>
      <c r="O395" s="10">
        <f t="shared" si="73"/>
        <v>0</v>
      </c>
      <c r="P395" s="10">
        <f t="shared" si="73"/>
        <v>0</v>
      </c>
      <c r="Q395" s="10">
        <f t="shared" si="73"/>
        <v>2.6139999999999999</v>
      </c>
      <c r="R395" s="10">
        <f t="shared" si="73"/>
        <v>4.8360000000000003</v>
      </c>
      <c r="S395" s="10">
        <f t="shared" si="73"/>
        <v>0</v>
      </c>
      <c r="T395" s="10">
        <f t="shared" si="73"/>
        <v>3.5659999999999998</v>
      </c>
      <c r="U395" s="10">
        <f t="shared" si="73"/>
        <v>0</v>
      </c>
      <c r="V395" s="10">
        <f t="shared" si="73"/>
        <v>0</v>
      </c>
      <c r="W395" s="10">
        <f t="shared" si="73"/>
        <v>3.2069999999999999</v>
      </c>
      <c r="X395" s="10">
        <f t="shared" si="73"/>
        <v>4.617</v>
      </c>
      <c r="Y395" s="10">
        <f t="shared" si="73"/>
        <v>4.63</v>
      </c>
      <c r="Z395" s="10">
        <f t="shared" si="73"/>
        <v>4.835</v>
      </c>
      <c r="AA395" s="10">
        <f t="shared" si="73"/>
        <v>0</v>
      </c>
      <c r="AB395" s="10">
        <f t="shared" si="73"/>
        <v>4.609</v>
      </c>
      <c r="AC395" s="10">
        <f t="shared" si="73"/>
        <v>0</v>
      </c>
      <c r="AD395" s="10">
        <f t="shared" si="73"/>
        <v>0</v>
      </c>
      <c r="AE395" s="10">
        <f t="shared" si="73"/>
        <v>0</v>
      </c>
      <c r="AF395" s="10">
        <f t="shared" si="73"/>
        <v>0</v>
      </c>
    </row>
    <row r="396" spans="1:32">
      <c r="A396" s="10" t="s">
        <v>202</v>
      </c>
      <c r="B396" s="61" t="s">
        <v>278</v>
      </c>
      <c r="C396" s="10">
        <f>ROUND(C6*0.00003215271,3)</f>
        <v>4.7E-2</v>
      </c>
      <c r="D396" s="10">
        <f t="shared" ref="D396:AF405" si="74">ROUND(D6*0.00003215271,3)</f>
        <v>0</v>
      </c>
      <c r="E396" s="10">
        <f t="shared" si="74"/>
        <v>2.5000000000000001E-2</v>
      </c>
      <c r="F396" s="10">
        <f t="shared" si="74"/>
        <v>3.3000000000000002E-2</v>
      </c>
      <c r="G396" s="10">
        <f t="shared" si="74"/>
        <v>1.4999999999999999E-2</v>
      </c>
      <c r="H396" s="10">
        <f t="shared" si="74"/>
        <v>8.0000000000000002E-3</v>
      </c>
      <c r="I396" s="10">
        <f t="shared" si="74"/>
        <v>1.4999999999999999E-2</v>
      </c>
      <c r="J396" s="10">
        <f t="shared" si="74"/>
        <v>3.1E-2</v>
      </c>
      <c r="K396" s="10">
        <f t="shared" si="74"/>
        <v>0</v>
      </c>
      <c r="L396" s="10">
        <f t="shared" si="74"/>
        <v>5.2999999999999999E-2</v>
      </c>
      <c r="M396" s="10">
        <f t="shared" si="74"/>
        <v>0</v>
      </c>
      <c r="N396" s="10">
        <f t="shared" si="74"/>
        <v>3.7999999999999999E-2</v>
      </c>
      <c r="O396" s="10">
        <f t="shared" si="74"/>
        <v>1.0999999999999999E-2</v>
      </c>
      <c r="P396" s="10">
        <f t="shared" si="74"/>
        <v>1.2999999999999999E-2</v>
      </c>
      <c r="Q396" s="10">
        <f t="shared" si="74"/>
        <v>0</v>
      </c>
      <c r="R396" s="10">
        <f t="shared" si="74"/>
        <v>1.7999999999999999E-2</v>
      </c>
      <c r="S396" s="10">
        <f t="shared" si="74"/>
        <v>3.5000000000000003E-2</v>
      </c>
      <c r="T396" s="10">
        <f t="shared" si="74"/>
        <v>2.1000000000000001E-2</v>
      </c>
      <c r="U396" s="10">
        <f t="shared" si="74"/>
        <v>4.1000000000000002E-2</v>
      </c>
      <c r="V396" s="10">
        <f t="shared" si="74"/>
        <v>2.1000000000000001E-2</v>
      </c>
      <c r="W396" s="10">
        <f t="shared" si="74"/>
        <v>2.5999999999999999E-2</v>
      </c>
      <c r="X396" s="10">
        <f t="shared" si="74"/>
        <v>0</v>
      </c>
      <c r="Y396" s="10">
        <f t="shared" si="74"/>
        <v>0.02</v>
      </c>
      <c r="Z396" s="10">
        <f t="shared" si="74"/>
        <v>0</v>
      </c>
      <c r="AA396" s="10">
        <f t="shared" si="74"/>
        <v>2.7E-2</v>
      </c>
      <c r="AB396" s="10">
        <f t="shared" si="74"/>
        <v>5.5E-2</v>
      </c>
      <c r="AC396" s="10">
        <f t="shared" si="74"/>
        <v>6.0000000000000001E-3</v>
      </c>
      <c r="AD396" s="10">
        <f t="shared" si="74"/>
        <v>1.2999999999999999E-2</v>
      </c>
      <c r="AE396" s="10">
        <f t="shared" si="74"/>
        <v>4.4999999999999998E-2</v>
      </c>
      <c r="AF396" s="10">
        <f t="shared" si="74"/>
        <v>0</v>
      </c>
    </row>
    <row r="397" spans="1:32">
      <c r="A397" s="10" t="s">
        <v>202</v>
      </c>
      <c r="B397" s="61" t="s">
        <v>280</v>
      </c>
      <c r="C397" s="10">
        <f t="shared" ref="C397:R412" si="75">ROUND(C7*0.00003215271,3)</f>
        <v>0.01</v>
      </c>
      <c r="D397" s="10">
        <f t="shared" si="75"/>
        <v>2.5000000000000001E-2</v>
      </c>
      <c r="E397" s="10">
        <f t="shared" si="75"/>
        <v>0</v>
      </c>
      <c r="F397" s="10">
        <f t="shared" si="75"/>
        <v>0</v>
      </c>
      <c r="G397" s="10">
        <f t="shared" si="75"/>
        <v>1.6E-2</v>
      </c>
      <c r="H397" s="10">
        <f t="shared" si="75"/>
        <v>2.5000000000000001E-2</v>
      </c>
      <c r="I397" s="10">
        <f t="shared" si="75"/>
        <v>1.2999999999999999E-2</v>
      </c>
      <c r="J397" s="10">
        <f t="shared" si="75"/>
        <v>2.1999999999999999E-2</v>
      </c>
      <c r="K397" s="10">
        <f t="shared" si="75"/>
        <v>0</v>
      </c>
      <c r="L397" s="10">
        <f t="shared" si="75"/>
        <v>4.2999999999999997E-2</v>
      </c>
      <c r="M397" s="10">
        <f t="shared" si="75"/>
        <v>0</v>
      </c>
      <c r="N397" s="10">
        <f t="shared" si="75"/>
        <v>0</v>
      </c>
      <c r="O397" s="10">
        <f t="shared" si="75"/>
        <v>3.5000000000000003E-2</v>
      </c>
      <c r="P397" s="10">
        <f t="shared" si="75"/>
        <v>3.6999999999999998E-2</v>
      </c>
      <c r="Q397" s="10">
        <f t="shared" si="75"/>
        <v>0.03</v>
      </c>
      <c r="R397" s="10">
        <f t="shared" si="75"/>
        <v>3.3000000000000002E-2</v>
      </c>
      <c r="S397" s="10">
        <f t="shared" si="74"/>
        <v>0</v>
      </c>
      <c r="T397" s="10">
        <f t="shared" si="74"/>
        <v>5.0000000000000001E-3</v>
      </c>
      <c r="U397" s="10">
        <f t="shared" si="74"/>
        <v>0</v>
      </c>
      <c r="V397" s="10">
        <f t="shared" si="74"/>
        <v>0</v>
      </c>
      <c r="W397" s="10">
        <f t="shared" si="74"/>
        <v>6.0000000000000001E-3</v>
      </c>
      <c r="X397" s="10">
        <f t="shared" si="74"/>
        <v>5.2999999999999999E-2</v>
      </c>
      <c r="Y397" s="10">
        <f t="shared" si="74"/>
        <v>3.3000000000000002E-2</v>
      </c>
      <c r="Z397" s="10">
        <f t="shared" si="74"/>
        <v>0</v>
      </c>
      <c r="AA397" s="10">
        <f t="shared" si="74"/>
        <v>0</v>
      </c>
      <c r="AB397" s="10">
        <f t="shared" si="74"/>
        <v>4.9000000000000002E-2</v>
      </c>
      <c r="AC397" s="10">
        <f t="shared" si="74"/>
        <v>2.9000000000000001E-2</v>
      </c>
      <c r="AD397" s="10">
        <f t="shared" si="74"/>
        <v>3.5000000000000003E-2</v>
      </c>
      <c r="AE397" s="10">
        <f t="shared" si="74"/>
        <v>2.1000000000000001E-2</v>
      </c>
      <c r="AF397" s="10">
        <f t="shared" si="74"/>
        <v>0</v>
      </c>
    </row>
    <row r="398" spans="1:32">
      <c r="A398" s="10" t="s">
        <v>202</v>
      </c>
      <c r="B398" s="61" t="s">
        <v>281</v>
      </c>
      <c r="C398" s="10">
        <f t="shared" si="75"/>
        <v>0</v>
      </c>
      <c r="D398" s="10">
        <f t="shared" si="74"/>
        <v>3.3000000000000002E-2</v>
      </c>
      <c r="E398" s="10">
        <f t="shared" si="74"/>
        <v>0</v>
      </c>
      <c r="F398" s="10">
        <f t="shared" si="74"/>
        <v>0</v>
      </c>
      <c r="G398" s="10">
        <f t="shared" si="74"/>
        <v>4.5999999999999999E-2</v>
      </c>
      <c r="H398" s="10">
        <f t="shared" si="74"/>
        <v>3.5000000000000003E-2</v>
      </c>
      <c r="I398" s="10">
        <f t="shared" si="74"/>
        <v>4.7E-2</v>
      </c>
      <c r="J398" s="10">
        <f t="shared" si="74"/>
        <v>0</v>
      </c>
      <c r="K398" s="10">
        <f t="shared" si="74"/>
        <v>0</v>
      </c>
      <c r="L398" s="10">
        <f t="shared" si="74"/>
        <v>0</v>
      </c>
      <c r="M398" s="10">
        <f t="shared" si="74"/>
        <v>0</v>
      </c>
      <c r="N398" s="10">
        <f t="shared" si="74"/>
        <v>1.4999999999999999E-2</v>
      </c>
      <c r="O398" s="10">
        <f t="shared" si="74"/>
        <v>2.4E-2</v>
      </c>
      <c r="P398" s="10">
        <f t="shared" si="74"/>
        <v>2.1999999999999999E-2</v>
      </c>
      <c r="Q398" s="10">
        <f t="shared" si="74"/>
        <v>0</v>
      </c>
      <c r="R398" s="10">
        <f t="shared" si="74"/>
        <v>3.5000000000000003E-2</v>
      </c>
      <c r="S398" s="10">
        <f t="shared" si="74"/>
        <v>0</v>
      </c>
      <c r="T398" s="10">
        <f t="shared" si="74"/>
        <v>0</v>
      </c>
      <c r="U398" s="10">
        <f t="shared" si="74"/>
        <v>0</v>
      </c>
      <c r="V398" s="10">
        <f t="shared" si="74"/>
        <v>1.6E-2</v>
      </c>
      <c r="W398" s="10">
        <f t="shared" si="74"/>
        <v>0</v>
      </c>
      <c r="X398" s="10">
        <f t="shared" si="74"/>
        <v>0</v>
      </c>
      <c r="Y398" s="10">
        <f t="shared" si="74"/>
        <v>3.5999999999999997E-2</v>
      </c>
      <c r="Z398" s="10">
        <f t="shared" si="74"/>
        <v>0</v>
      </c>
      <c r="AA398" s="10">
        <f t="shared" si="74"/>
        <v>1.0999999999999999E-2</v>
      </c>
      <c r="AB398" s="10">
        <f t="shared" si="74"/>
        <v>0</v>
      </c>
      <c r="AC398" s="10">
        <f t="shared" si="74"/>
        <v>2.9000000000000001E-2</v>
      </c>
      <c r="AD398" s="10">
        <f t="shared" si="74"/>
        <v>2.5999999999999999E-2</v>
      </c>
      <c r="AE398" s="10">
        <f t="shared" si="74"/>
        <v>0</v>
      </c>
      <c r="AF398" s="10">
        <f t="shared" si="74"/>
        <v>1.4E-2</v>
      </c>
    </row>
    <row r="399" spans="1:32">
      <c r="A399" s="10" t="s">
        <v>202</v>
      </c>
      <c r="B399" s="61" t="s">
        <v>282</v>
      </c>
      <c r="C399" s="10">
        <f t="shared" si="75"/>
        <v>1.0999999999999999E-2</v>
      </c>
      <c r="D399" s="10">
        <f t="shared" si="74"/>
        <v>1.4999999999999999E-2</v>
      </c>
      <c r="E399" s="10">
        <f t="shared" si="74"/>
        <v>1.6E-2</v>
      </c>
      <c r="F399" s="10">
        <f t="shared" si="74"/>
        <v>4.5999999999999999E-2</v>
      </c>
      <c r="G399" s="10">
        <f t="shared" si="74"/>
        <v>0</v>
      </c>
      <c r="H399" s="10">
        <f t="shared" si="74"/>
        <v>0.02</v>
      </c>
      <c r="I399" s="10">
        <f t="shared" si="74"/>
        <v>1.6E-2</v>
      </c>
      <c r="J399" s="10">
        <f t="shared" si="74"/>
        <v>3.3000000000000002E-2</v>
      </c>
      <c r="K399" s="10">
        <f t="shared" si="74"/>
        <v>0</v>
      </c>
      <c r="L399" s="10">
        <f t="shared" si="74"/>
        <v>3.9E-2</v>
      </c>
      <c r="M399" s="10">
        <f t="shared" si="74"/>
        <v>0</v>
      </c>
      <c r="N399" s="10">
        <f t="shared" si="74"/>
        <v>0</v>
      </c>
      <c r="O399" s="10">
        <f t="shared" si="74"/>
        <v>2.1000000000000001E-2</v>
      </c>
      <c r="P399" s="10">
        <f t="shared" si="74"/>
        <v>2.7E-2</v>
      </c>
      <c r="Q399" s="10">
        <f t="shared" si="74"/>
        <v>0</v>
      </c>
      <c r="R399" s="10">
        <f t="shared" si="74"/>
        <v>1.7000000000000001E-2</v>
      </c>
      <c r="S399" s="10">
        <f t="shared" si="74"/>
        <v>0</v>
      </c>
      <c r="T399" s="10">
        <f t="shared" si="74"/>
        <v>1.2E-2</v>
      </c>
      <c r="U399" s="10">
        <f t="shared" si="74"/>
        <v>0</v>
      </c>
      <c r="V399" s="10">
        <f t="shared" si="74"/>
        <v>3.1E-2</v>
      </c>
      <c r="W399" s="10">
        <f t="shared" si="74"/>
        <v>0.02</v>
      </c>
      <c r="X399" s="10">
        <f t="shared" si="74"/>
        <v>0</v>
      </c>
      <c r="Y399" s="10">
        <f t="shared" si="74"/>
        <v>3.2000000000000001E-2</v>
      </c>
      <c r="Z399" s="10">
        <f t="shared" si="74"/>
        <v>0</v>
      </c>
      <c r="AA399" s="10">
        <f t="shared" si="74"/>
        <v>4.2000000000000003E-2</v>
      </c>
      <c r="AB399" s="10">
        <f t="shared" si="74"/>
        <v>0.06</v>
      </c>
      <c r="AC399" s="10">
        <f t="shared" si="74"/>
        <v>1.6E-2</v>
      </c>
      <c r="AD399" s="10">
        <f t="shared" si="74"/>
        <v>2.8000000000000001E-2</v>
      </c>
      <c r="AE399" s="10">
        <f t="shared" si="74"/>
        <v>3.5999999999999997E-2</v>
      </c>
      <c r="AF399" s="10">
        <f t="shared" si="74"/>
        <v>0</v>
      </c>
    </row>
    <row r="400" spans="1:32">
      <c r="A400" s="10" t="s">
        <v>202</v>
      </c>
      <c r="B400" s="61" t="s">
        <v>283</v>
      </c>
      <c r="C400" s="10">
        <f t="shared" si="75"/>
        <v>5.1999999999999998E-2</v>
      </c>
      <c r="D400" s="10">
        <f t="shared" si="74"/>
        <v>8.0000000000000002E-3</v>
      </c>
      <c r="E400" s="10">
        <f t="shared" si="74"/>
        <v>2.5000000000000001E-2</v>
      </c>
      <c r="F400" s="10">
        <f t="shared" si="74"/>
        <v>3.5000000000000003E-2</v>
      </c>
      <c r="G400" s="10">
        <f t="shared" si="74"/>
        <v>0.02</v>
      </c>
      <c r="H400" s="10">
        <f t="shared" si="74"/>
        <v>0</v>
      </c>
      <c r="I400" s="10">
        <f t="shared" si="74"/>
        <v>1.2E-2</v>
      </c>
      <c r="J400" s="10">
        <f t="shared" si="74"/>
        <v>2.5000000000000001E-2</v>
      </c>
      <c r="K400" s="10">
        <f t="shared" si="74"/>
        <v>3.7999999999999999E-2</v>
      </c>
      <c r="L400" s="10">
        <f t="shared" si="74"/>
        <v>0</v>
      </c>
      <c r="M400" s="10">
        <f t="shared" si="74"/>
        <v>0</v>
      </c>
      <c r="N400" s="10">
        <f t="shared" si="74"/>
        <v>4.2999999999999997E-2</v>
      </c>
      <c r="O400" s="10">
        <f t="shared" si="74"/>
        <v>1.7000000000000001E-2</v>
      </c>
      <c r="P400" s="10">
        <f t="shared" si="74"/>
        <v>1.2999999999999999E-2</v>
      </c>
      <c r="Q400" s="10">
        <f t="shared" si="74"/>
        <v>0</v>
      </c>
      <c r="R400" s="10">
        <f t="shared" si="74"/>
        <v>2.5999999999999999E-2</v>
      </c>
      <c r="S400" s="10">
        <f t="shared" si="74"/>
        <v>2.7E-2</v>
      </c>
      <c r="T400" s="10">
        <f t="shared" si="74"/>
        <v>2.1000000000000001E-2</v>
      </c>
      <c r="U400" s="10">
        <f t="shared" si="74"/>
        <v>3.3000000000000002E-2</v>
      </c>
      <c r="V400" s="10">
        <f t="shared" si="74"/>
        <v>2.7E-2</v>
      </c>
      <c r="W400" s="10">
        <f t="shared" si="74"/>
        <v>2.4E-2</v>
      </c>
      <c r="X400" s="10">
        <f t="shared" si="74"/>
        <v>5.2999999999999999E-2</v>
      </c>
      <c r="Y400" s="10">
        <f t="shared" si="74"/>
        <v>1.2999999999999999E-2</v>
      </c>
      <c r="Z400" s="10">
        <f t="shared" si="74"/>
        <v>0</v>
      </c>
      <c r="AA400" s="10">
        <f t="shared" si="74"/>
        <v>2.7E-2</v>
      </c>
      <c r="AB400" s="10">
        <f t="shared" si="74"/>
        <v>4.7E-2</v>
      </c>
      <c r="AC400" s="10">
        <f t="shared" si="74"/>
        <v>1.2999999999999999E-2</v>
      </c>
      <c r="AD400" s="10">
        <f t="shared" si="74"/>
        <v>0.01</v>
      </c>
      <c r="AE400" s="10">
        <f t="shared" si="74"/>
        <v>4.2999999999999997E-2</v>
      </c>
      <c r="AF400" s="10">
        <f t="shared" si="74"/>
        <v>0</v>
      </c>
    </row>
    <row r="401" spans="1:32">
      <c r="A401" s="10" t="s">
        <v>202</v>
      </c>
      <c r="B401" s="61" t="s">
        <v>284</v>
      </c>
      <c r="C401" s="10">
        <f t="shared" si="75"/>
        <v>1.6E-2</v>
      </c>
      <c r="D401" s="10">
        <f t="shared" si="74"/>
        <v>1.4999999999999999E-2</v>
      </c>
      <c r="E401" s="10">
        <f t="shared" si="74"/>
        <v>1.2999999999999999E-2</v>
      </c>
      <c r="F401" s="10">
        <f t="shared" si="74"/>
        <v>4.7E-2</v>
      </c>
      <c r="G401" s="10">
        <f t="shared" si="74"/>
        <v>1.6E-2</v>
      </c>
      <c r="H401" s="10">
        <f t="shared" si="74"/>
        <v>1.2E-2</v>
      </c>
      <c r="I401" s="10">
        <f t="shared" si="74"/>
        <v>0</v>
      </c>
      <c r="J401" s="10">
        <f t="shared" si="74"/>
        <v>1.7000000000000001E-2</v>
      </c>
      <c r="K401" s="10">
        <f t="shared" si="74"/>
        <v>4.1000000000000002E-2</v>
      </c>
      <c r="L401" s="10">
        <f t="shared" si="74"/>
        <v>5.1999999999999998E-2</v>
      </c>
      <c r="M401" s="10">
        <f t="shared" si="74"/>
        <v>5.6000000000000001E-2</v>
      </c>
      <c r="N401" s="10">
        <f t="shared" si="74"/>
        <v>5.2999999999999999E-2</v>
      </c>
      <c r="O401" s="10">
        <f t="shared" si="74"/>
        <v>2.5999999999999999E-2</v>
      </c>
      <c r="P401" s="10">
        <f t="shared" si="74"/>
        <v>2.5000000000000001E-2</v>
      </c>
      <c r="Q401" s="10">
        <f t="shared" si="74"/>
        <v>4.1000000000000002E-2</v>
      </c>
      <c r="R401" s="10">
        <f t="shared" si="74"/>
        <v>0.03</v>
      </c>
      <c r="S401" s="10">
        <f t="shared" si="74"/>
        <v>3.3000000000000002E-2</v>
      </c>
      <c r="T401" s="10">
        <f t="shared" si="74"/>
        <v>1.0999999999999999E-2</v>
      </c>
      <c r="U401" s="10">
        <f t="shared" si="74"/>
        <v>3.6999999999999998E-2</v>
      </c>
      <c r="V401" s="10">
        <f t="shared" si="74"/>
        <v>3.6999999999999998E-2</v>
      </c>
      <c r="W401" s="10">
        <f t="shared" si="74"/>
        <v>1.0999999999999999E-2</v>
      </c>
      <c r="X401" s="10">
        <f t="shared" si="74"/>
        <v>4.8000000000000001E-2</v>
      </c>
      <c r="Y401" s="10">
        <f t="shared" si="74"/>
        <v>0.02</v>
      </c>
      <c r="Z401" s="10">
        <f t="shared" si="74"/>
        <v>0</v>
      </c>
      <c r="AA401" s="10">
        <f t="shared" si="74"/>
        <v>3.9E-2</v>
      </c>
      <c r="AB401" s="10">
        <f t="shared" si="74"/>
        <v>4.3999999999999997E-2</v>
      </c>
      <c r="AC401" s="10">
        <f t="shared" si="74"/>
        <v>2.1000000000000001E-2</v>
      </c>
      <c r="AD401" s="10">
        <f t="shared" si="74"/>
        <v>2.3E-2</v>
      </c>
      <c r="AE401" s="10">
        <f t="shared" si="74"/>
        <v>3.1E-2</v>
      </c>
      <c r="AF401" s="10">
        <f t="shared" si="74"/>
        <v>0</v>
      </c>
    </row>
    <row r="402" spans="1:32">
      <c r="A402" s="10" t="s">
        <v>202</v>
      </c>
      <c r="B402" s="61" t="s">
        <v>285</v>
      </c>
      <c r="C402" s="10">
        <f t="shared" si="75"/>
        <v>5.8000000000000003E-2</v>
      </c>
      <c r="D402" s="10">
        <f t="shared" si="74"/>
        <v>3.1E-2</v>
      </c>
      <c r="E402" s="10">
        <f t="shared" si="74"/>
        <v>2.1999999999999999E-2</v>
      </c>
      <c r="F402" s="10">
        <f t="shared" si="74"/>
        <v>0</v>
      </c>
      <c r="G402" s="10">
        <f t="shared" si="74"/>
        <v>3.3000000000000002E-2</v>
      </c>
      <c r="H402" s="10">
        <f t="shared" si="74"/>
        <v>2.5000000000000001E-2</v>
      </c>
      <c r="I402" s="10">
        <f t="shared" si="74"/>
        <v>1.7000000000000001E-2</v>
      </c>
      <c r="J402" s="10">
        <f t="shared" si="74"/>
        <v>0</v>
      </c>
      <c r="K402" s="10">
        <f t="shared" si="74"/>
        <v>3.1E-2</v>
      </c>
      <c r="L402" s="10">
        <f t="shared" si="74"/>
        <v>0</v>
      </c>
      <c r="M402" s="10">
        <f t="shared" si="74"/>
        <v>4.2000000000000003E-2</v>
      </c>
      <c r="N402" s="10">
        <f t="shared" si="74"/>
        <v>0</v>
      </c>
      <c r="O402" s="10">
        <f t="shared" si="74"/>
        <v>4.2000000000000003E-2</v>
      </c>
      <c r="P402" s="10">
        <f t="shared" si="74"/>
        <v>3.7999999999999999E-2</v>
      </c>
      <c r="Q402" s="10">
        <f t="shared" si="74"/>
        <v>3.9E-2</v>
      </c>
      <c r="R402" s="10">
        <f t="shared" si="74"/>
        <v>4.7E-2</v>
      </c>
      <c r="S402" s="10">
        <f t="shared" si="74"/>
        <v>2.8000000000000001E-2</v>
      </c>
      <c r="T402" s="10">
        <f t="shared" si="74"/>
        <v>2.4E-2</v>
      </c>
      <c r="U402" s="10">
        <f t="shared" si="74"/>
        <v>0.03</v>
      </c>
      <c r="V402" s="10">
        <f t="shared" si="74"/>
        <v>0</v>
      </c>
      <c r="W402" s="10">
        <f t="shared" si="74"/>
        <v>1.6E-2</v>
      </c>
      <c r="X402" s="10">
        <f t="shared" si="74"/>
        <v>2.3E-2</v>
      </c>
      <c r="Y402" s="10">
        <f t="shared" si="74"/>
        <v>2.4E-2</v>
      </c>
      <c r="Z402" s="10">
        <f t="shared" si="74"/>
        <v>0</v>
      </c>
      <c r="AA402" s="10">
        <f t="shared" si="74"/>
        <v>4.9000000000000002E-2</v>
      </c>
      <c r="AB402" s="10">
        <f t="shared" si="74"/>
        <v>1.2999999999999999E-2</v>
      </c>
      <c r="AC402" s="10">
        <f t="shared" si="74"/>
        <v>3.6999999999999998E-2</v>
      </c>
      <c r="AD402" s="10">
        <f t="shared" si="74"/>
        <v>3.3000000000000002E-2</v>
      </c>
      <c r="AE402" s="10">
        <f t="shared" si="74"/>
        <v>2.7E-2</v>
      </c>
      <c r="AF402" s="10">
        <f t="shared" si="74"/>
        <v>0</v>
      </c>
    </row>
    <row r="403" spans="1:32">
      <c r="A403" s="10" t="s">
        <v>202</v>
      </c>
      <c r="B403" s="61" t="s">
        <v>308</v>
      </c>
      <c r="C403" s="10">
        <f t="shared" si="75"/>
        <v>0</v>
      </c>
      <c r="D403" s="10">
        <f t="shared" si="74"/>
        <v>0</v>
      </c>
      <c r="E403" s="10">
        <f t="shared" si="74"/>
        <v>0</v>
      </c>
      <c r="F403" s="10">
        <f t="shared" si="74"/>
        <v>0</v>
      </c>
      <c r="G403" s="10">
        <f t="shared" si="74"/>
        <v>0</v>
      </c>
      <c r="H403" s="10">
        <f t="shared" si="74"/>
        <v>3.7999999999999999E-2</v>
      </c>
      <c r="I403" s="10">
        <f t="shared" si="74"/>
        <v>4.1000000000000002E-2</v>
      </c>
      <c r="J403" s="10">
        <f t="shared" si="74"/>
        <v>3.1E-2</v>
      </c>
      <c r="K403" s="10">
        <f t="shared" si="74"/>
        <v>0</v>
      </c>
      <c r="L403" s="10">
        <f t="shared" si="74"/>
        <v>0</v>
      </c>
      <c r="M403" s="10">
        <f t="shared" si="74"/>
        <v>2.1000000000000001E-2</v>
      </c>
      <c r="N403" s="10">
        <f t="shared" si="74"/>
        <v>0</v>
      </c>
      <c r="O403" s="10">
        <f t="shared" si="74"/>
        <v>0</v>
      </c>
      <c r="P403" s="10">
        <f t="shared" si="74"/>
        <v>0</v>
      </c>
      <c r="Q403" s="10">
        <f t="shared" si="74"/>
        <v>0</v>
      </c>
      <c r="R403" s="10">
        <f t="shared" si="74"/>
        <v>0</v>
      </c>
      <c r="S403" s="10">
        <f t="shared" si="74"/>
        <v>1.2E-2</v>
      </c>
      <c r="T403" s="10">
        <f t="shared" si="74"/>
        <v>0</v>
      </c>
      <c r="U403" s="10">
        <f t="shared" si="74"/>
        <v>7.0000000000000001E-3</v>
      </c>
      <c r="V403" s="10">
        <f t="shared" si="74"/>
        <v>0</v>
      </c>
      <c r="W403" s="10">
        <f t="shared" si="74"/>
        <v>0</v>
      </c>
      <c r="X403" s="10">
        <f t="shared" si="74"/>
        <v>2.8000000000000001E-2</v>
      </c>
      <c r="Y403" s="10">
        <f t="shared" si="74"/>
        <v>2.7E-2</v>
      </c>
      <c r="Z403" s="10">
        <f t="shared" si="74"/>
        <v>0</v>
      </c>
      <c r="AA403" s="10">
        <f t="shared" si="74"/>
        <v>0</v>
      </c>
      <c r="AB403" s="10">
        <f t="shared" si="74"/>
        <v>2.1000000000000001E-2</v>
      </c>
      <c r="AC403" s="10">
        <f t="shared" si="74"/>
        <v>0</v>
      </c>
      <c r="AD403" s="10">
        <f t="shared" si="74"/>
        <v>3.7999999999999999E-2</v>
      </c>
      <c r="AE403" s="10">
        <f t="shared" si="74"/>
        <v>0</v>
      </c>
      <c r="AF403" s="10">
        <f t="shared" si="74"/>
        <v>0</v>
      </c>
    </row>
    <row r="404" spans="1:32">
      <c r="A404" s="10" t="s">
        <v>202</v>
      </c>
      <c r="B404" s="61" t="s">
        <v>286</v>
      </c>
      <c r="C404" s="10">
        <f t="shared" si="75"/>
        <v>7.0000000000000001E-3</v>
      </c>
      <c r="D404" s="10">
        <f t="shared" si="74"/>
        <v>5.2999999999999999E-2</v>
      </c>
      <c r="E404" s="10">
        <f t="shared" si="74"/>
        <v>4.2999999999999997E-2</v>
      </c>
      <c r="F404" s="10">
        <f t="shared" si="74"/>
        <v>0</v>
      </c>
      <c r="G404" s="10">
        <f t="shared" si="74"/>
        <v>3.9E-2</v>
      </c>
      <c r="H404" s="10">
        <f t="shared" si="74"/>
        <v>0</v>
      </c>
      <c r="I404" s="10">
        <f t="shared" si="74"/>
        <v>5.1999999999999998E-2</v>
      </c>
      <c r="J404" s="10">
        <f t="shared" si="74"/>
        <v>0</v>
      </c>
      <c r="K404" s="10">
        <f t="shared" si="74"/>
        <v>0</v>
      </c>
      <c r="L404" s="10">
        <f t="shared" si="74"/>
        <v>0</v>
      </c>
      <c r="M404" s="10">
        <f t="shared" si="74"/>
        <v>0</v>
      </c>
      <c r="N404" s="10">
        <f t="shared" si="74"/>
        <v>0</v>
      </c>
      <c r="O404" s="10">
        <f t="shared" si="74"/>
        <v>5.5E-2</v>
      </c>
      <c r="P404" s="10">
        <f t="shared" si="74"/>
        <v>0</v>
      </c>
      <c r="Q404" s="10">
        <f t="shared" si="74"/>
        <v>4.8000000000000001E-2</v>
      </c>
      <c r="R404" s="10">
        <f t="shared" si="74"/>
        <v>4.2999999999999997E-2</v>
      </c>
      <c r="S404" s="10">
        <f t="shared" si="74"/>
        <v>0</v>
      </c>
      <c r="T404" s="10">
        <f t="shared" si="74"/>
        <v>4.2000000000000003E-2</v>
      </c>
      <c r="U404" s="10">
        <f t="shared" si="74"/>
        <v>0</v>
      </c>
      <c r="V404" s="10">
        <f t="shared" si="74"/>
        <v>0</v>
      </c>
      <c r="W404" s="10">
        <f t="shared" si="74"/>
        <v>4.9000000000000002E-2</v>
      </c>
      <c r="X404" s="10">
        <f t="shared" si="74"/>
        <v>0</v>
      </c>
      <c r="Y404" s="10">
        <f t="shared" si="74"/>
        <v>0</v>
      </c>
      <c r="Z404" s="10">
        <f t="shared" si="74"/>
        <v>1.4E-2</v>
      </c>
      <c r="AA404" s="10">
        <f t="shared" si="74"/>
        <v>0</v>
      </c>
      <c r="AB404" s="10">
        <f t="shared" si="74"/>
        <v>0</v>
      </c>
      <c r="AC404" s="10">
        <f t="shared" si="74"/>
        <v>5.2999999999999999E-2</v>
      </c>
      <c r="AD404" s="10">
        <f t="shared" si="74"/>
        <v>0</v>
      </c>
      <c r="AE404" s="10">
        <f t="shared" si="74"/>
        <v>0.05</v>
      </c>
      <c r="AF404" s="10">
        <f t="shared" si="74"/>
        <v>0</v>
      </c>
    </row>
    <row r="405" spans="1:32">
      <c r="A405" s="10" t="s">
        <v>202</v>
      </c>
      <c r="B405" s="61" t="s">
        <v>287</v>
      </c>
      <c r="C405" s="10">
        <f t="shared" si="75"/>
        <v>0</v>
      </c>
      <c r="D405" s="10">
        <f t="shared" si="74"/>
        <v>0</v>
      </c>
      <c r="E405" s="10">
        <f t="shared" si="74"/>
        <v>0</v>
      </c>
      <c r="F405" s="10">
        <f t="shared" si="74"/>
        <v>0</v>
      </c>
      <c r="G405" s="10">
        <f t="shared" si="74"/>
        <v>0</v>
      </c>
      <c r="H405" s="10">
        <f t="shared" si="74"/>
        <v>0</v>
      </c>
      <c r="I405" s="10">
        <f t="shared" si="74"/>
        <v>5.6000000000000001E-2</v>
      </c>
      <c r="J405" s="10">
        <f t="shared" si="74"/>
        <v>4.2000000000000003E-2</v>
      </c>
      <c r="K405" s="10">
        <f t="shared" si="74"/>
        <v>2.1000000000000001E-2</v>
      </c>
      <c r="L405" s="10">
        <f t="shared" si="74"/>
        <v>0</v>
      </c>
      <c r="M405" s="10">
        <f t="shared" ref="D405:AF414" si="76">ROUND(M15*0.00003215271,3)</f>
        <v>0</v>
      </c>
      <c r="N405" s="10">
        <f t="shared" si="76"/>
        <v>0</v>
      </c>
      <c r="O405" s="10">
        <f t="shared" si="76"/>
        <v>0</v>
      </c>
      <c r="P405" s="10">
        <f t="shared" si="76"/>
        <v>0</v>
      </c>
      <c r="Q405" s="10">
        <f t="shared" si="76"/>
        <v>0</v>
      </c>
      <c r="R405" s="10">
        <f t="shared" si="76"/>
        <v>0</v>
      </c>
      <c r="S405" s="10">
        <f t="shared" si="76"/>
        <v>3.3000000000000002E-2</v>
      </c>
      <c r="T405" s="10">
        <f t="shared" si="76"/>
        <v>0</v>
      </c>
      <c r="U405" s="10">
        <f t="shared" si="76"/>
        <v>2.7E-2</v>
      </c>
      <c r="V405" s="10">
        <f t="shared" si="76"/>
        <v>0</v>
      </c>
      <c r="W405" s="10">
        <f t="shared" si="76"/>
        <v>0</v>
      </c>
      <c r="X405" s="10">
        <f t="shared" si="76"/>
        <v>3.2000000000000001E-2</v>
      </c>
      <c r="Y405" s="10">
        <f t="shared" si="76"/>
        <v>4.5999999999999999E-2</v>
      </c>
      <c r="Z405" s="10">
        <f t="shared" si="76"/>
        <v>0</v>
      </c>
      <c r="AA405" s="10">
        <f t="shared" si="76"/>
        <v>0</v>
      </c>
      <c r="AB405" s="10">
        <f t="shared" si="76"/>
        <v>1.6E-2</v>
      </c>
      <c r="AC405" s="10">
        <f t="shared" si="76"/>
        <v>0</v>
      </c>
      <c r="AD405" s="10">
        <f t="shared" si="76"/>
        <v>0</v>
      </c>
      <c r="AE405" s="10">
        <f t="shared" si="76"/>
        <v>0</v>
      </c>
      <c r="AF405" s="10">
        <f t="shared" si="76"/>
        <v>0</v>
      </c>
    </row>
    <row r="406" spans="1:32">
      <c r="A406" s="10" t="s">
        <v>202</v>
      </c>
      <c r="B406" s="61" t="s">
        <v>288</v>
      </c>
      <c r="C406" s="10">
        <f t="shared" si="75"/>
        <v>0</v>
      </c>
      <c r="D406" s="10">
        <f t="shared" si="76"/>
        <v>4.7E-2</v>
      </c>
      <c r="E406" s="10">
        <f t="shared" si="76"/>
        <v>0.01</v>
      </c>
      <c r="F406" s="10">
        <f t="shared" si="76"/>
        <v>0</v>
      </c>
      <c r="G406" s="10">
        <f t="shared" si="76"/>
        <v>1.0999999999999999E-2</v>
      </c>
      <c r="H406" s="10">
        <f t="shared" si="76"/>
        <v>5.1999999999999998E-2</v>
      </c>
      <c r="I406" s="10">
        <f t="shared" si="76"/>
        <v>1.6E-2</v>
      </c>
      <c r="J406" s="10">
        <f t="shared" si="76"/>
        <v>5.8000000000000003E-2</v>
      </c>
      <c r="K406" s="10">
        <f t="shared" si="76"/>
        <v>0</v>
      </c>
      <c r="L406" s="10">
        <f t="shared" si="76"/>
        <v>7.0000000000000001E-3</v>
      </c>
      <c r="M406" s="10">
        <f t="shared" si="76"/>
        <v>0</v>
      </c>
      <c r="N406" s="10">
        <f t="shared" si="76"/>
        <v>7.0999999999999994E-2</v>
      </c>
      <c r="O406" s="10">
        <f t="shared" si="76"/>
        <v>5.0999999999999997E-2</v>
      </c>
      <c r="P406" s="10">
        <f t="shared" si="76"/>
        <v>5.8999999999999997E-2</v>
      </c>
      <c r="Q406" s="10">
        <f t="shared" si="76"/>
        <v>4.1000000000000002E-2</v>
      </c>
      <c r="R406" s="10">
        <f t="shared" si="76"/>
        <v>3.2000000000000001E-2</v>
      </c>
      <c r="S406" s="10">
        <f t="shared" si="76"/>
        <v>0</v>
      </c>
      <c r="T406" s="10">
        <f t="shared" si="76"/>
        <v>3.5000000000000003E-2</v>
      </c>
      <c r="U406" s="10">
        <f t="shared" si="76"/>
        <v>0</v>
      </c>
      <c r="V406" s="10">
        <f t="shared" si="76"/>
        <v>5.8000000000000003E-2</v>
      </c>
      <c r="W406" s="10">
        <f t="shared" si="76"/>
        <v>4.1000000000000002E-2</v>
      </c>
      <c r="X406" s="10">
        <f t="shared" si="76"/>
        <v>8.6999999999999994E-2</v>
      </c>
      <c r="Y406" s="10">
        <f t="shared" si="76"/>
        <v>6.4000000000000001E-2</v>
      </c>
      <c r="Z406" s="10">
        <f t="shared" si="76"/>
        <v>1.7999999999999999E-2</v>
      </c>
      <c r="AA406" s="10">
        <f t="shared" si="76"/>
        <v>7.1999999999999995E-2</v>
      </c>
      <c r="AB406" s="10">
        <f t="shared" si="76"/>
        <v>8.4000000000000005E-2</v>
      </c>
      <c r="AC406" s="10">
        <f t="shared" si="76"/>
        <v>4.7E-2</v>
      </c>
      <c r="AD406" s="10">
        <f t="shared" si="76"/>
        <v>0.06</v>
      </c>
      <c r="AE406" s="10">
        <f t="shared" si="76"/>
        <v>1.9E-2</v>
      </c>
      <c r="AF406" s="10">
        <f t="shared" si="76"/>
        <v>0</v>
      </c>
    </row>
    <row r="407" spans="1:32">
      <c r="A407" s="10" t="s">
        <v>202</v>
      </c>
      <c r="B407" s="61" t="s">
        <v>289</v>
      </c>
      <c r="C407" s="10">
        <f t="shared" si="75"/>
        <v>7.0999999999999994E-2</v>
      </c>
      <c r="D407" s="10">
        <f t="shared" si="76"/>
        <v>3.7999999999999999E-2</v>
      </c>
      <c r="E407" s="10">
        <f t="shared" si="76"/>
        <v>0</v>
      </c>
      <c r="F407" s="10">
        <f t="shared" si="76"/>
        <v>1.4999999999999999E-2</v>
      </c>
      <c r="G407" s="10">
        <f t="shared" si="76"/>
        <v>0</v>
      </c>
      <c r="H407" s="10">
        <f t="shared" si="76"/>
        <v>4.2999999999999997E-2</v>
      </c>
      <c r="I407" s="10">
        <f t="shared" si="76"/>
        <v>5.2999999999999999E-2</v>
      </c>
      <c r="J407" s="10">
        <f t="shared" si="76"/>
        <v>0</v>
      </c>
      <c r="K407" s="10">
        <f t="shared" si="76"/>
        <v>0</v>
      </c>
      <c r="L407" s="10">
        <f t="shared" si="76"/>
        <v>0</v>
      </c>
      <c r="M407" s="10">
        <f t="shared" si="76"/>
        <v>0</v>
      </c>
      <c r="N407" s="10">
        <f t="shared" si="76"/>
        <v>0</v>
      </c>
      <c r="O407" s="10">
        <f t="shared" si="76"/>
        <v>2.8000000000000001E-2</v>
      </c>
      <c r="P407" s="10">
        <f t="shared" si="76"/>
        <v>0.03</v>
      </c>
      <c r="Q407" s="10">
        <f t="shared" si="76"/>
        <v>0</v>
      </c>
      <c r="R407" s="10">
        <f t="shared" si="76"/>
        <v>3.2000000000000001E-2</v>
      </c>
      <c r="S407" s="10">
        <f t="shared" si="76"/>
        <v>0</v>
      </c>
      <c r="T407" s="10">
        <f t="shared" si="76"/>
        <v>0</v>
      </c>
      <c r="U407" s="10">
        <f t="shared" si="76"/>
        <v>0</v>
      </c>
      <c r="V407" s="10">
        <f t="shared" si="76"/>
        <v>1.7000000000000001E-2</v>
      </c>
      <c r="W407" s="10">
        <f t="shared" si="76"/>
        <v>0</v>
      </c>
      <c r="X407" s="10">
        <f t="shared" si="76"/>
        <v>0</v>
      </c>
      <c r="Y407" s="10">
        <f t="shared" si="76"/>
        <v>4.8000000000000001E-2</v>
      </c>
      <c r="Z407" s="10">
        <f t="shared" si="76"/>
        <v>0</v>
      </c>
      <c r="AA407" s="10">
        <f t="shared" si="76"/>
        <v>2.5000000000000001E-2</v>
      </c>
      <c r="AB407" s="10">
        <f t="shared" si="76"/>
        <v>0</v>
      </c>
      <c r="AC407" s="10">
        <f t="shared" si="76"/>
        <v>3.3000000000000002E-2</v>
      </c>
      <c r="AD407" s="10">
        <f t="shared" si="76"/>
        <v>3.5999999999999997E-2</v>
      </c>
      <c r="AE407" s="10">
        <f t="shared" si="76"/>
        <v>0</v>
      </c>
      <c r="AF407" s="10">
        <f t="shared" si="76"/>
        <v>2.8000000000000001E-2</v>
      </c>
    </row>
    <row r="408" spans="1:32">
      <c r="A408" s="10" t="s">
        <v>202</v>
      </c>
      <c r="B408" s="61" t="s">
        <v>290</v>
      </c>
      <c r="C408" s="10">
        <f t="shared" si="75"/>
        <v>5.0999999999999997E-2</v>
      </c>
      <c r="D408" s="10">
        <f t="shared" si="76"/>
        <v>1.0999999999999999E-2</v>
      </c>
      <c r="E408" s="10">
        <f t="shared" si="76"/>
        <v>3.5000000000000003E-2</v>
      </c>
      <c r="F408" s="10">
        <f t="shared" si="76"/>
        <v>2.4E-2</v>
      </c>
      <c r="G408" s="10">
        <f t="shared" si="76"/>
        <v>2.1000000000000001E-2</v>
      </c>
      <c r="H408" s="10">
        <f t="shared" si="76"/>
        <v>1.7000000000000001E-2</v>
      </c>
      <c r="I408" s="10">
        <f t="shared" si="76"/>
        <v>2.5999999999999999E-2</v>
      </c>
      <c r="J408" s="10">
        <f t="shared" si="76"/>
        <v>4.2000000000000003E-2</v>
      </c>
      <c r="K408" s="10">
        <f t="shared" si="76"/>
        <v>0</v>
      </c>
      <c r="L408" s="10">
        <f t="shared" si="76"/>
        <v>5.5E-2</v>
      </c>
      <c r="M408" s="10">
        <f t="shared" si="76"/>
        <v>0</v>
      </c>
      <c r="N408" s="10">
        <f t="shared" si="76"/>
        <v>2.8000000000000001E-2</v>
      </c>
      <c r="O408" s="10">
        <f t="shared" si="76"/>
        <v>0</v>
      </c>
      <c r="P408" s="10">
        <f t="shared" si="76"/>
        <v>1.0999999999999999E-2</v>
      </c>
      <c r="Q408" s="10">
        <f t="shared" si="76"/>
        <v>0</v>
      </c>
      <c r="R408" s="10">
        <f t="shared" si="76"/>
        <v>1.4E-2</v>
      </c>
      <c r="S408" s="10">
        <f t="shared" si="76"/>
        <v>4.1000000000000002E-2</v>
      </c>
      <c r="T408" s="10">
        <f t="shared" si="76"/>
        <v>0.03</v>
      </c>
      <c r="U408" s="10">
        <f t="shared" si="76"/>
        <v>0</v>
      </c>
      <c r="V408" s="10">
        <f t="shared" si="76"/>
        <v>1.0999999999999999E-2</v>
      </c>
      <c r="W408" s="10">
        <f t="shared" si="76"/>
        <v>3.5999999999999997E-2</v>
      </c>
      <c r="X408" s="10">
        <f t="shared" si="76"/>
        <v>0</v>
      </c>
      <c r="Y408" s="10">
        <f t="shared" si="76"/>
        <v>2.5999999999999999E-2</v>
      </c>
      <c r="Z408" s="10">
        <f t="shared" si="76"/>
        <v>0</v>
      </c>
      <c r="AA408" s="10">
        <f t="shared" si="76"/>
        <v>2.1999999999999999E-2</v>
      </c>
      <c r="AB408" s="10">
        <f t="shared" si="76"/>
        <v>6.3E-2</v>
      </c>
      <c r="AC408" s="10">
        <f t="shared" si="76"/>
        <v>6.0000000000000001E-3</v>
      </c>
      <c r="AD408" s="10">
        <f t="shared" si="76"/>
        <v>1.4999999999999999E-2</v>
      </c>
      <c r="AE408" s="10">
        <f t="shared" si="76"/>
        <v>0</v>
      </c>
      <c r="AF408" s="10">
        <f t="shared" si="76"/>
        <v>0</v>
      </c>
    </row>
    <row r="409" spans="1:32">
      <c r="A409" s="10" t="s">
        <v>202</v>
      </c>
      <c r="B409" s="61" t="s">
        <v>291</v>
      </c>
      <c r="C409" s="10">
        <f t="shared" si="75"/>
        <v>5.8999999999999997E-2</v>
      </c>
      <c r="D409" s="10">
        <f t="shared" si="76"/>
        <v>1.2999999999999999E-2</v>
      </c>
      <c r="E409" s="10">
        <f t="shared" si="76"/>
        <v>3.6999999999999998E-2</v>
      </c>
      <c r="F409" s="10">
        <f t="shared" si="76"/>
        <v>2.1999999999999999E-2</v>
      </c>
      <c r="G409" s="10">
        <f t="shared" si="76"/>
        <v>2.7E-2</v>
      </c>
      <c r="H409" s="10">
        <f t="shared" si="76"/>
        <v>1.2999999999999999E-2</v>
      </c>
      <c r="I409" s="10">
        <f t="shared" si="76"/>
        <v>2.5000000000000001E-2</v>
      </c>
      <c r="J409" s="10">
        <f t="shared" si="76"/>
        <v>3.7999999999999999E-2</v>
      </c>
      <c r="K409" s="10">
        <f t="shared" si="76"/>
        <v>0</v>
      </c>
      <c r="L409" s="10">
        <f t="shared" si="76"/>
        <v>0</v>
      </c>
      <c r="M409" s="10">
        <f t="shared" si="76"/>
        <v>0</v>
      </c>
      <c r="N409" s="10">
        <f t="shared" si="76"/>
        <v>0.03</v>
      </c>
      <c r="O409" s="10">
        <f t="shared" si="76"/>
        <v>1.0999999999999999E-2</v>
      </c>
      <c r="P409" s="10">
        <f t="shared" si="76"/>
        <v>0</v>
      </c>
      <c r="Q409" s="10">
        <f t="shared" si="76"/>
        <v>0</v>
      </c>
      <c r="R409" s="10">
        <f t="shared" si="76"/>
        <v>2.4E-2</v>
      </c>
      <c r="S409" s="10">
        <f t="shared" si="76"/>
        <v>3.1E-2</v>
      </c>
      <c r="T409" s="10">
        <f t="shared" si="76"/>
        <v>3.3000000000000002E-2</v>
      </c>
      <c r="U409" s="10">
        <f t="shared" si="76"/>
        <v>3.6999999999999998E-2</v>
      </c>
      <c r="V409" s="10">
        <f t="shared" si="76"/>
        <v>1.6E-2</v>
      </c>
      <c r="W409" s="10">
        <f t="shared" si="76"/>
        <v>3.6999999999999998E-2</v>
      </c>
      <c r="X409" s="10">
        <f t="shared" si="76"/>
        <v>0</v>
      </c>
      <c r="Y409" s="10">
        <f t="shared" si="76"/>
        <v>1.7999999999999999E-2</v>
      </c>
      <c r="Z409" s="10">
        <f t="shared" si="76"/>
        <v>0</v>
      </c>
      <c r="AA409" s="10">
        <f t="shared" si="76"/>
        <v>1.4999999999999999E-2</v>
      </c>
      <c r="AB409" s="10">
        <f t="shared" si="76"/>
        <v>5.6000000000000001E-2</v>
      </c>
      <c r="AC409" s="10">
        <f t="shared" si="76"/>
        <v>1.2E-2</v>
      </c>
      <c r="AD409" s="10">
        <f t="shared" si="76"/>
        <v>6.0000000000000001E-3</v>
      </c>
      <c r="AE409" s="10">
        <f t="shared" si="76"/>
        <v>0</v>
      </c>
      <c r="AF409" s="10">
        <f t="shared" si="76"/>
        <v>0</v>
      </c>
    </row>
    <row r="410" spans="1:32">
      <c r="A410" s="10" t="s">
        <v>202</v>
      </c>
      <c r="B410" s="61" t="s">
        <v>292</v>
      </c>
      <c r="C410" s="10">
        <f t="shared" si="75"/>
        <v>4.1000000000000002E-2</v>
      </c>
      <c r="D410" s="10">
        <f t="shared" si="76"/>
        <v>0</v>
      </c>
      <c r="E410" s="10">
        <f t="shared" si="76"/>
        <v>0.03</v>
      </c>
      <c r="F410" s="10">
        <f t="shared" si="76"/>
        <v>0</v>
      </c>
      <c r="G410" s="10">
        <f t="shared" si="76"/>
        <v>0</v>
      </c>
      <c r="H410" s="10">
        <f t="shared" si="76"/>
        <v>0</v>
      </c>
      <c r="I410" s="10">
        <f t="shared" si="76"/>
        <v>4.1000000000000002E-2</v>
      </c>
      <c r="J410" s="10">
        <f t="shared" si="76"/>
        <v>3.9E-2</v>
      </c>
      <c r="K410" s="10">
        <f t="shared" si="76"/>
        <v>0</v>
      </c>
      <c r="L410" s="10">
        <f t="shared" si="76"/>
        <v>4.8000000000000001E-2</v>
      </c>
      <c r="M410" s="10">
        <f t="shared" si="76"/>
        <v>0</v>
      </c>
      <c r="N410" s="10">
        <f t="shared" si="76"/>
        <v>0</v>
      </c>
      <c r="O410" s="10">
        <f t="shared" si="76"/>
        <v>0</v>
      </c>
      <c r="P410" s="10">
        <f t="shared" si="76"/>
        <v>0</v>
      </c>
      <c r="Q410" s="10">
        <f t="shared" si="76"/>
        <v>0</v>
      </c>
      <c r="R410" s="10">
        <f t="shared" si="76"/>
        <v>0</v>
      </c>
      <c r="S410" s="10">
        <f t="shared" si="76"/>
        <v>0</v>
      </c>
      <c r="T410" s="10">
        <f t="shared" si="76"/>
        <v>3.4000000000000002E-2</v>
      </c>
      <c r="U410" s="10">
        <f t="shared" si="76"/>
        <v>0</v>
      </c>
      <c r="V410" s="10">
        <f t="shared" si="76"/>
        <v>0</v>
      </c>
      <c r="W410" s="10">
        <f t="shared" si="76"/>
        <v>0.03</v>
      </c>
      <c r="X410" s="10">
        <f t="shared" si="76"/>
        <v>5.7000000000000002E-2</v>
      </c>
      <c r="Y410" s="10">
        <f t="shared" si="76"/>
        <v>0</v>
      </c>
      <c r="Z410" s="10">
        <f t="shared" si="76"/>
        <v>0</v>
      </c>
      <c r="AA410" s="10">
        <f t="shared" si="76"/>
        <v>0</v>
      </c>
      <c r="AB410" s="10">
        <f t="shared" si="76"/>
        <v>0</v>
      </c>
      <c r="AC410" s="10">
        <f t="shared" si="76"/>
        <v>0</v>
      </c>
      <c r="AD410" s="10">
        <f t="shared" si="76"/>
        <v>0</v>
      </c>
      <c r="AE410" s="10">
        <f t="shared" si="76"/>
        <v>1.2E-2</v>
      </c>
      <c r="AF410" s="10">
        <f t="shared" si="76"/>
        <v>0</v>
      </c>
    </row>
    <row r="411" spans="1:32">
      <c r="A411" s="10" t="s">
        <v>202</v>
      </c>
      <c r="B411" s="61" t="s">
        <v>293</v>
      </c>
      <c r="C411" s="10">
        <f t="shared" si="75"/>
        <v>3.2000000000000001E-2</v>
      </c>
      <c r="D411" s="10">
        <f t="shared" si="76"/>
        <v>1.7999999999999999E-2</v>
      </c>
      <c r="E411" s="10">
        <f t="shared" si="76"/>
        <v>3.3000000000000002E-2</v>
      </c>
      <c r="F411" s="10">
        <f t="shared" si="76"/>
        <v>3.5000000000000003E-2</v>
      </c>
      <c r="G411" s="10">
        <f t="shared" si="76"/>
        <v>1.7000000000000001E-2</v>
      </c>
      <c r="H411" s="10">
        <f t="shared" si="76"/>
        <v>2.5999999999999999E-2</v>
      </c>
      <c r="I411" s="10">
        <f t="shared" si="76"/>
        <v>0.03</v>
      </c>
      <c r="J411" s="10">
        <f t="shared" si="76"/>
        <v>4.7E-2</v>
      </c>
      <c r="K411" s="10">
        <f t="shared" si="76"/>
        <v>0</v>
      </c>
      <c r="L411" s="10">
        <f t="shared" si="76"/>
        <v>4.2999999999999997E-2</v>
      </c>
      <c r="M411" s="10">
        <f t="shared" si="76"/>
        <v>0</v>
      </c>
      <c r="N411" s="10">
        <f t="shared" si="76"/>
        <v>3.2000000000000001E-2</v>
      </c>
      <c r="O411" s="10">
        <f t="shared" si="76"/>
        <v>1.4E-2</v>
      </c>
      <c r="P411" s="10">
        <f t="shared" si="76"/>
        <v>2.4E-2</v>
      </c>
      <c r="Q411" s="10">
        <f t="shared" si="76"/>
        <v>0</v>
      </c>
      <c r="R411" s="10">
        <f t="shared" si="76"/>
        <v>0</v>
      </c>
      <c r="S411" s="10">
        <f t="shared" si="76"/>
        <v>0</v>
      </c>
      <c r="T411" s="10">
        <f t="shared" si="76"/>
        <v>2.9000000000000001E-2</v>
      </c>
      <c r="U411" s="10">
        <f t="shared" si="76"/>
        <v>0</v>
      </c>
      <c r="V411" s="10">
        <f t="shared" si="76"/>
        <v>1.9E-2</v>
      </c>
      <c r="W411" s="10">
        <f t="shared" si="76"/>
        <v>3.6999999999999998E-2</v>
      </c>
      <c r="X411" s="10">
        <f t="shared" si="76"/>
        <v>0</v>
      </c>
      <c r="Y411" s="10">
        <f t="shared" si="76"/>
        <v>3.7999999999999999E-2</v>
      </c>
      <c r="Z411" s="10">
        <f t="shared" si="76"/>
        <v>0</v>
      </c>
      <c r="AA411" s="10">
        <f t="shared" si="76"/>
        <v>3.5000000000000003E-2</v>
      </c>
      <c r="AB411" s="10">
        <f t="shared" si="76"/>
        <v>7.1999999999999995E-2</v>
      </c>
      <c r="AC411" s="10">
        <f t="shared" si="76"/>
        <v>1.4E-2</v>
      </c>
      <c r="AD411" s="10">
        <f t="shared" si="76"/>
        <v>2.8000000000000001E-2</v>
      </c>
      <c r="AE411" s="10">
        <f t="shared" si="76"/>
        <v>5.3999999999999999E-2</v>
      </c>
      <c r="AF411" s="10">
        <f t="shared" si="76"/>
        <v>0</v>
      </c>
    </row>
    <row r="412" spans="1:32">
      <c r="A412" s="10" t="s">
        <v>202</v>
      </c>
      <c r="B412" s="61" t="s">
        <v>309</v>
      </c>
      <c r="C412" s="10">
        <f t="shared" si="75"/>
        <v>0</v>
      </c>
      <c r="D412" s="10">
        <f t="shared" si="76"/>
        <v>3.5000000000000003E-2</v>
      </c>
      <c r="E412" s="10">
        <f t="shared" si="76"/>
        <v>0</v>
      </c>
      <c r="F412" s="10">
        <f t="shared" si="76"/>
        <v>0</v>
      </c>
      <c r="G412" s="10">
        <f t="shared" si="76"/>
        <v>0</v>
      </c>
      <c r="H412" s="10">
        <f t="shared" si="76"/>
        <v>2.7E-2</v>
      </c>
      <c r="I412" s="10">
        <f t="shared" si="76"/>
        <v>3.3000000000000002E-2</v>
      </c>
      <c r="J412" s="10">
        <f t="shared" si="76"/>
        <v>2.8000000000000001E-2</v>
      </c>
      <c r="K412" s="10">
        <f t="shared" si="76"/>
        <v>1.2E-2</v>
      </c>
      <c r="L412" s="10">
        <f t="shared" si="76"/>
        <v>0</v>
      </c>
      <c r="M412" s="10">
        <f t="shared" si="76"/>
        <v>3.3000000000000002E-2</v>
      </c>
      <c r="N412" s="10">
        <f t="shared" si="76"/>
        <v>0</v>
      </c>
      <c r="O412" s="10">
        <f t="shared" si="76"/>
        <v>4.1000000000000002E-2</v>
      </c>
      <c r="P412" s="10">
        <f t="shared" si="76"/>
        <v>3.1E-2</v>
      </c>
      <c r="Q412" s="10">
        <f t="shared" si="76"/>
        <v>0</v>
      </c>
      <c r="R412" s="10">
        <f t="shared" si="76"/>
        <v>0</v>
      </c>
      <c r="S412" s="10">
        <f t="shared" si="76"/>
        <v>0</v>
      </c>
      <c r="T412" s="10">
        <f t="shared" si="76"/>
        <v>0</v>
      </c>
      <c r="U412" s="10">
        <f t="shared" si="76"/>
        <v>6.0000000000000001E-3</v>
      </c>
      <c r="V412" s="10">
        <f t="shared" si="76"/>
        <v>0</v>
      </c>
      <c r="W412" s="10">
        <f t="shared" si="76"/>
        <v>0.04</v>
      </c>
      <c r="X412" s="10">
        <f t="shared" si="76"/>
        <v>3.6999999999999998E-2</v>
      </c>
      <c r="Y412" s="10">
        <f t="shared" si="76"/>
        <v>1.4999999999999999E-2</v>
      </c>
      <c r="Z412" s="10">
        <f t="shared" si="76"/>
        <v>0</v>
      </c>
      <c r="AA412" s="10">
        <f t="shared" si="76"/>
        <v>3.4000000000000002E-2</v>
      </c>
      <c r="AB412" s="10">
        <f t="shared" si="76"/>
        <v>0.03</v>
      </c>
      <c r="AC412" s="10">
        <f t="shared" si="76"/>
        <v>3.9E-2</v>
      </c>
      <c r="AD412" s="10">
        <f t="shared" si="76"/>
        <v>2.5999999999999999E-2</v>
      </c>
      <c r="AE412" s="10">
        <f t="shared" si="76"/>
        <v>0</v>
      </c>
      <c r="AF412" s="10">
        <f t="shared" si="76"/>
        <v>0</v>
      </c>
    </row>
    <row r="413" spans="1:32">
      <c r="A413" s="10" t="s">
        <v>202</v>
      </c>
      <c r="B413" s="61" t="s">
        <v>294</v>
      </c>
      <c r="C413" s="10">
        <f t="shared" ref="C413:C425" si="77">ROUND(C23*0.00003215271,3)</f>
        <v>3.5000000000000003E-2</v>
      </c>
      <c r="D413" s="10">
        <f t="shared" si="76"/>
        <v>2.1000000000000001E-2</v>
      </c>
      <c r="E413" s="10">
        <f t="shared" si="76"/>
        <v>5.0000000000000001E-3</v>
      </c>
      <c r="F413" s="10">
        <f t="shared" si="76"/>
        <v>0</v>
      </c>
      <c r="G413" s="10">
        <f t="shared" si="76"/>
        <v>1.2E-2</v>
      </c>
      <c r="H413" s="10">
        <f t="shared" si="76"/>
        <v>2.1000000000000001E-2</v>
      </c>
      <c r="I413" s="10">
        <f t="shared" si="76"/>
        <v>1.0999999999999999E-2</v>
      </c>
      <c r="J413" s="10">
        <f t="shared" si="76"/>
        <v>2.4E-2</v>
      </c>
      <c r="K413" s="10">
        <f t="shared" si="76"/>
        <v>0</v>
      </c>
      <c r="L413" s="10">
        <f t="shared" si="76"/>
        <v>4.2000000000000003E-2</v>
      </c>
      <c r="M413" s="10">
        <f t="shared" si="76"/>
        <v>0</v>
      </c>
      <c r="N413" s="10">
        <f t="shared" si="76"/>
        <v>0</v>
      </c>
      <c r="O413" s="10">
        <f t="shared" si="76"/>
        <v>0.03</v>
      </c>
      <c r="P413" s="10">
        <f t="shared" si="76"/>
        <v>3.3000000000000002E-2</v>
      </c>
      <c r="Q413" s="10">
        <f t="shared" si="76"/>
        <v>3.4000000000000002E-2</v>
      </c>
      <c r="R413" s="10">
        <f t="shared" si="76"/>
        <v>2.9000000000000001E-2</v>
      </c>
      <c r="S413" s="10">
        <f t="shared" si="76"/>
        <v>0</v>
      </c>
      <c r="T413" s="10">
        <f t="shared" si="76"/>
        <v>0</v>
      </c>
      <c r="U413" s="10">
        <f t="shared" si="76"/>
        <v>0</v>
      </c>
      <c r="V413" s="10">
        <f t="shared" si="76"/>
        <v>0</v>
      </c>
      <c r="W413" s="10">
        <f t="shared" si="76"/>
        <v>8.9999999999999993E-3</v>
      </c>
      <c r="X413" s="10">
        <f t="shared" si="76"/>
        <v>5.5E-2</v>
      </c>
      <c r="Y413" s="10">
        <f t="shared" si="76"/>
        <v>3.1E-2</v>
      </c>
      <c r="Z413" s="10">
        <f t="shared" si="76"/>
        <v>0</v>
      </c>
      <c r="AA413" s="10">
        <f t="shared" si="76"/>
        <v>0</v>
      </c>
      <c r="AB413" s="10">
        <f t="shared" si="76"/>
        <v>5.0999999999999997E-2</v>
      </c>
      <c r="AC413" s="10">
        <f t="shared" si="76"/>
        <v>2.5000000000000001E-2</v>
      </c>
      <c r="AD413" s="10">
        <f t="shared" si="76"/>
        <v>3.2000000000000001E-2</v>
      </c>
      <c r="AE413" s="10">
        <f t="shared" si="76"/>
        <v>2.5000000000000001E-2</v>
      </c>
      <c r="AF413" s="10">
        <f t="shared" si="76"/>
        <v>0</v>
      </c>
    </row>
    <row r="414" spans="1:32">
      <c r="A414" s="10" t="s">
        <v>202</v>
      </c>
      <c r="B414" s="61" t="s">
        <v>310</v>
      </c>
      <c r="C414" s="10">
        <f t="shared" si="77"/>
        <v>0</v>
      </c>
      <c r="D414" s="10">
        <f t="shared" si="76"/>
        <v>4.1000000000000002E-2</v>
      </c>
      <c r="E414" s="10">
        <f t="shared" si="76"/>
        <v>0</v>
      </c>
      <c r="F414" s="10">
        <f t="shared" si="76"/>
        <v>0</v>
      </c>
      <c r="G414" s="10">
        <f t="shared" ref="D414:AF422" si="78">ROUND(G24*0.00003215271,3)</f>
        <v>0</v>
      </c>
      <c r="H414" s="10">
        <f t="shared" si="78"/>
        <v>3.3000000000000002E-2</v>
      </c>
      <c r="I414" s="10">
        <f t="shared" si="78"/>
        <v>3.6999999999999998E-2</v>
      </c>
      <c r="J414" s="10">
        <f t="shared" si="78"/>
        <v>0.03</v>
      </c>
      <c r="K414" s="10">
        <f t="shared" si="78"/>
        <v>7.0000000000000001E-3</v>
      </c>
      <c r="L414" s="10">
        <f t="shared" si="78"/>
        <v>0</v>
      </c>
      <c r="M414" s="10">
        <f t="shared" si="78"/>
        <v>2.7E-2</v>
      </c>
      <c r="N414" s="10">
        <f t="shared" si="78"/>
        <v>0</v>
      </c>
      <c r="O414" s="10">
        <f t="shared" si="78"/>
        <v>0</v>
      </c>
      <c r="P414" s="10">
        <f t="shared" si="78"/>
        <v>3.6999999999999998E-2</v>
      </c>
      <c r="Q414" s="10">
        <f t="shared" si="78"/>
        <v>0</v>
      </c>
      <c r="R414" s="10">
        <f t="shared" si="78"/>
        <v>0</v>
      </c>
      <c r="S414" s="10">
        <f t="shared" si="78"/>
        <v>6.0000000000000001E-3</v>
      </c>
      <c r="T414" s="10">
        <f t="shared" si="78"/>
        <v>0</v>
      </c>
      <c r="U414" s="10">
        <f t="shared" si="78"/>
        <v>0</v>
      </c>
      <c r="V414" s="10">
        <f t="shared" si="78"/>
        <v>0</v>
      </c>
      <c r="W414" s="10">
        <f t="shared" si="78"/>
        <v>4.2999999999999997E-2</v>
      </c>
      <c r="X414" s="10">
        <f t="shared" si="78"/>
        <v>3.3000000000000002E-2</v>
      </c>
      <c r="Y414" s="10">
        <f t="shared" si="78"/>
        <v>0.02</v>
      </c>
      <c r="Z414" s="10">
        <f t="shared" si="78"/>
        <v>0</v>
      </c>
      <c r="AA414" s="10">
        <f t="shared" si="78"/>
        <v>3.9E-2</v>
      </c>
      <c r="AB414" s="10">
        <f t="shared" si="78"/>
        <v>2.5999999999999999E-2</v>
      </c>
      <c r="AC414" s="10">
        <f t="shared" si="78"/>
        <v>0</v>
      </c>
      <c r="AD414" s="10">
        <f t="shared" si="78"/>
        <v>3.1E-2</v>
      </c>
      <c r="AE414" s="10">
        <f t="shared" si="78"/>
        <v>0</v>
      </c>
      <c r="AF414" s="10">
        <f t="shared" si="78"/>
        <v>0</v>
      </c>
    </row>
    <row r="415" spans="1:32">
      <c r="A415" s="10" t="s">
        <v>202</v>
      </c>
      <c r="B415" s="61" t="s">
        <v>297</v>
      </c>
      <c r="C415" s="10">
        <f t="shared" si="77"/>
        <v>4.1000000000000002E-2</v>
      </c>
      <c r="D415" s="10">
        <f t="shared" si="78"/>
        <v>2.5999999999999999E-2</v>
      </c>
      <c r="E415" s="10">
        <f t="shared" si="78"/>
        <v>6.0000000000000001E-3</v>
      </c>
      <c r="F415" s="10">
        <f t="shared" si="78"/>
        <v>0</v>
      </c>
      <c r="G415" s="10">
        <f t="shared" si="78"/>
        <v>0.02</v>
      </c>
      <c r="H415" s="10">
        <f t="shared" si="78"/>
        <v>2.4E-2</v>
      </c>
      <c r="I415" s="10">
        <f t="shared" si="78"/>
        <v>1.0999999999999999E-2</v>
      </c>
      <c r="J415" s="10">
        <f t="shared" si="78"/>
        <v>1.6E-2</v>
      </c>
      <c r="K415" s="10">
        <f t="shared" si="78"/>
        <v>0</v>
      </c>
      <c r="L415" s="10">
        <f t="shared" si="78"/>
        <v>4.9000000000000002E-2</v>
      </c>
      <c r="M415" s="10">
        <f t="shared" si="78"/>
        <v>0</v>
      </c>
      <c r="N415" s="10">
        <f t="shared" si="78"/>
        <v>0</v>
      </c>
      <c r="O415" s="10">
        <f t="shared" si="78"/>
        <v>3.5999999999999997E-2</v>
      </c>
      <c r="P415" s="10">
        <f t="shared" si="78"/>
        <v>3.6999999999999998E-2</v>
      </c>
      <c r="Q415" s="10">
        <f t="shared" si="78"/>
        <v>0.03</v>
      </c>
      <c r="R415" s="10">
        <f t="shared" si="78"/>
        <v>3.6999999999999998E-2</v>
      </c>
      <c r="S415" s="10">
        <f t="shared" si="78"/>
        <v>0.04</v>
      </c>
      <c r="T415" s="10">
        <f t="shared" si="78"/>
        <v>8.9999999999999993E-3</v>
      </c>
      <c r="U415" s="10">
        <f t="shared" si="78"/>
        <v>4.2999999999999997E-2</v>
      </c>
      <c r="V415" s="10">
        <f t="shared" si="78"/>
        <v>0</v>
      </c>
      <c r="W415" s="10">
        <f t="shared" si="78"/>
        <v>0</v>
      </c>
      <c r="X415" s="10">
        <f t="shared" si="78"/>
        <v>4.5999999999999999E-2</v>
      </c>
      <c r="Y415" s="10">
        <f t="shared" si="78"/>
        <v>0.03</v>
      </c>
      <c r="Z415" s="10">
        <f t="shared" si="78"/>
        <v>0</v>
      </c>
      <c r="AA415" s="10">
        <f t="shared" si="78"/>
        <v>0</v>
      </c>
      <c r="AB415" s="10">
        <f t="shared" si="78"/>
        <v>4.2999999999999997E-2</v>
      </c>
      <c r="AC415" s="10">
        <f t="shared" si="78"/>
        <v>3.1E-2</v>
      </c>
      <c r="AD415" s="10">
        <f t="shared" si="78"/>
        <v>3.4000000000000002E-2</v>
      </c>
      <c r="AE415" s="10">
        <f t="shared" si="78"/>
        <v>1.9E-2</v>
      </c>
      <c r="AF415" s="10">
        <f t="shared" si="78"/>
        <v>0</v>
      </c>
    </row>
    <row r="416" spans="1:32">
      <c r="A416" s="10" t="s">
        <v>202</v>
      </c>
      <c r="B416" s="61" t="s">
        <v>298</v>
      </c>
      <c r="C416" s="10">
        <f t="shared" si="77"/>
        <v>8.6999999999999994E-2</v>
      </c>
      <c r="D416" s="10">
        <f t="shared" si="78"/>
        <v>0</v>
      </c>
      <c r="E416" s="10">
        <f t="shared" si="78"/>
        <v>5.2999999999999999E-2</v>
      </c>
      <c r="F416" s="10">
        <f t="shared" si="78"/>
        <v>0</v>
      </c>
      <c r="G416" s="10">
        <f t="shared" si="78"/>
        <v>0</v>
      </c>
      <c r="H416" s="10">
        <f t="shared" si="78"/>
        <v>5.2999999999999999E-2</v>
      </c>
      <c r="I416" s="10">
        <f t="shared" si="78"/>
        <v>4.8000000000000001E-2</v>
      </c>
      <c r="J416" s="10">
        <f t="shared" si="78"/>
        <v>2.3E-2</v>
      </c>
      <c r="K416" s="10">
        <f t="shared" si="78"/>
        <v>2.8000000000000001E-2</v>
      </c>
      <c r="L416" s="10">
        <f t="shared" si="78"/>
        <v>0</v>
      </c>
      <c r="M416" s="10">
        <f t="shared" si="78"/>
        <v>3.2000000000000001E-2</v>
      </c>
      <c r="N416" s="10">
        <f t="shared" si="78"/>
        <v>0</v>
      </c>
      <c r="O416" s="10">
        <f t="shared" si="78"/>
        <v>0</v>
      </c>
      <c r="P416" s="10">
        <f t="shared" si="78"/>
        <v>0</v>
      </c>
      <c r="Q416" s="10">
        <f t="shared" si="78"/>
        <v>5.7000000000000002E-2</v>
      </c>
      <c r="R416" s="10">
        <f t="shared" si="78"/>
        <v>0</v>
      </c>
      <c r="S416" s="10">
        <f t="shared" si="78"/>
        <v>3.6999999999999998E-2</v>
      </c>
      <c r="T416" s="10">
        <f t="shared" si="78"/>
        <v>5.5E-2</v>
      </c>
      <c r="U416" s="10">
        <f t="shared" si="78"/>
        <v>3.3000000000000002E-2</v>
      </c>
      <c r="V416" s="10">
        <f t="shared" si="78"/>
        <v>0</v>
      </c>
      <c r="W416" s="10">
        <f t="shared" si="78"/>
        <v>4.5999999999999999E-2</v>
      </c>
      <c r="X416" s="10">
        <f t="shared" si="78"/>
        <v>0</v>
      </c>
      <c r="Y416" s="10">
        <f t="shared" si="78"/>
        <v>4.4999999999999998E-2</v>
      </c>
      <c r="Z416" s="10">
        <f t="shared" si="78"/>
        <v>0</v>
      </c>
      <c r="AA416" s="10">
        <f t="shared" si="78"/>
        <v>0</v>
      </c>
      <c r="AB416" s="10">
        <f t="shared" si="78"/>
        <v>7.0000000000000001E-3</v>
      </c>
      <c r="AC416" s="10">
        <f t="shared" si="78"/>
        <v>0</v>
      </c>
      <c r="AD416" s="10">
        <f t="shared" si="78"/>
        <v>0</v>
      </c>
      <c r="AE416" s="10">
        <f t="shared" si="78"/>
        <v>4.8000000000000001E-2</v>
      </c>
      <c r="AF416" s="10">
        <f t="shared" si="78"/>
        <v>0</v>
      </c>
    </row>
    <row r="417" spans="1:32">
      <c r="A417" s="10" t="s">
        <v>202</v>
      </c>
      <c r="B417" s="61" t="s">
        <v>357</v>
      </c>
      <c r="C417" s="10">
        <f t="shared" si="77"/>
        <v>5.8000000000000003E-2</v>
      </c>
      <c r="D417" s="10">
        <f t="shared" si="78"/>
        <v>2.1000000000000001E-2</v>
      </c>
      <c r="E417" s="10">
        <f t="shared" si="78"/>
        <v>0</v>
      </c>
      <c r="F417" s="10">
        <f t="shared" si="78"/>
        <v>1.6E-2</v>
      </c>
      <c r="G417" s="10">
        <f t="shared" si="78"/>
        <v>3.1E-2</v>
      </c>
      <c r="H417" s="10">
        <f t="shared" si="78"/>
        <v>2.7E-2</v>
      </c>
      <c r="I417" s="10">
        <f t="shared" si="78"/>
        <v>3.6999999999999998E-2</v>
      </c>
      <c r="J417" s="10">
        <f t="shared" si="78"/>
        <v>0</v>
      </c>
      <c r="K417" s="10">
        <f t="shared" si="78"/>
        <v>0</v>
      </c>
      <c r="L417" s="10">
        <f t="shared" si="78"/>
        <v>0</v>
      </c>
      <c r="M417" s="10">
        <f t="shared" si="78"/>
        <v>0</v>
      </c>
      <c r="N417" s="10">
        <f t="shared" si="78"/>
        <v>1.7000000000000001E-2</v>
      </c>
      <c r="O417" s="10">
        <f t="shared" si="78"/>
        <v>1.0999999999999999E-2</v>
      </c>
      <c r="P417" s="10">
        <f t="shared" si="78"/>
        <v>1.6E-2</v>
      </c>
      <c r="Q417" s="10">
        <f t="shared" si="78"/>
        <v>0</v>
      </c>
      <c r="R417" s="10">
        <f t="shared" si="78"/>
        <v>1.9E-2</v>
      </c>
      <c r="S417" s="10">
        <f t="shared" si="78"/>
        <v>0</v>
      </c>
      <c r="T417" s="10">
        <f t="shared" si="78"/>
        <v>0</v>
      </c>
      <c r="U417" s="10">
        <f t="shared" si="78"/>
        <v>0</v>
      </c>
      <c r="V417" s="10">
        <f t="shared" si="78"/>
        <v>0</v>
      </c>
      <c r="W417" s="10">
        <f t="shared" si="78"/>
        <v>0</v>
      </c>
      <c r="X417" s="10">
        <f t="shared" si="78"/>
        <v>0</v>
      </c>
      <c r="Y417" s="10">
        <f t="shared" si="78"/>
        <v>3.3000000000000002E-2</v>
      </c>
      <c r="Z417" s="10">
        <f t="shared" si="78"/>
        <v>0</v>
      </c>
      <c r="AA417" s="10">
        <f t="shared" si="78"/>
        <v>1.7999999999999999E-2</v>
      </c>
      <c r="AB417" s="10">
        <f t="shared" si="78"/>
        <v>0</v>
      </c>
      <c r="AC417" s="10">
        <f t="shared" si="78"/>
        <v>1.6E-2</v>
      </c>
      <c r="AD417" s="10">
        <f t="shared" si="78"/>
        <v>2.1000000000000001E-2</v>
      </c>
      <c r="AE417" s="10">
        <f t="shared" si="78"/>
        <v>0</v>
      </c>
      <c r="AF417" s="10">
        <f t="shared" si="78"/>
        <v>0</v>
      </c>
    </row>
    <row r="418" spans="1:32">
      <c r="A418" s="10" t="s">
        <v>202</v>
      </c>
      <c r="B418" s="61" t="s">
        <v>299</v>
      </c>
      <c r="C418" s="10">
        <f t="shared" si="77"/>
        <v>6.4000000000000001E-2</v>
      </c>
      <c r="D418" s="10">
        <f t="shared" si="78"/>
        <v>0.02</v>
      </c>
      <c r="E418" s="10">
        <f t="shared" si="78"/>
        <v>3.3000000000000002E-2</v>
      </c>
      <c r="F418" s="10">
        <f t="shared" si="78"/>
        <v>3.5999999999999997E-2</v>
      </c>
      <c r="G418" s="10">
        <f t="shared" si="78"/>
        <v>3.2000000000000001E-2</v>
      </c>
      <c r="H418" s="10">
        <f t="shared" si="78"/>
        <v>1.2999999999999999E-2</v>
      </c>
      <c r="I418" s="10">
        <f t="shared" si="78"/>
        <v>0.02</v>
      </c>
      <c r="J418" s="10">
        <f t="shared" si="78"/>
        <v>2.4E-2</v>
      </c>
      <c r="K418" s="10">
        <f t="shared" si="78"/>
        <v>2.7E-2</v>
      </c>
      <c r="L418" s="10">
        <f t="shared" si="78"/>
        <v>0</v>
      </c>
      <c r="M418" s="10">
        <f t="shared" si="78"/>
        <v>4.5999999999999999E-2</v>
      </c>
      <c r="N418" s="10">
        <f t="shared" si="78"/>
        <v>4.8000000000000001E-2</v>
      </c>
      <c r="O418" s="10">
        <f t="shared" si="78"/>
        <v>2.5999999999999999E-2</v>
      </c>
      <c r="P418" s="10">
        <f t="shared" si="78"/>
        <v>1.7999999999999999E-2</v>
      </c>
      <c r="Q418" s="10">
        <f t="shared" si="78"/>
        <v>0</v>
      </c>
      <c r="R418" s="10">
        <f t="shared" si="78"/>
        <v>3.7999999999999999E-2</v>
      </c>
      <c r="S418" s="10">
        <f t="shared" si="78"/>
        <v>1.4999999999999999E-2</v>
      </c>
      <c r="T418" s="10">
        <f t="shared" si="78"/>
        <v>3.1E-2</v>
      </c>
      <c r="U418" s="10">
        <f t="shared" si="78"/>
        <v>0.02</v>
      </c>
      <c r="V418" s="10">
        <f t="shared" si="78"/>
        <v>3.3000000000000002E-2</v>
      </c>
      <c r="W418" s="10">
        <f t="shared" si="78"/>
        <v>0.03</v>
      </c>
      <c r="X418" s="10">
        <f t="shared" si="78"/>
        <v>4.4999999999999998E-2</v>
      </c>
      <c r="Y418" s="10">
        <f t="shared" si="78"/>
        <v>0</v>
      </c>
      <c r="Z418" s="10">
        <f t="shared" si="78"/>
        <v>0</v>
      </c>
      <c r="AA418" s="10">
        <f t="shared" si="78"/>
        <v>2.5999999999999999E-2</v>
      </c>
      <c r="AB418" s="10">
        <f t="shared" si="78"/>
        <v>3.7999999999999999E-2</v>
      </c>
      <c r="AC418" s="10">
        <f t="shared" si="78"/>
        <v>2.4E-2</v>
      </c>
      <c r="AD418" s="10">
        <f t="shared" si="78"/>
        <v>1.2E-2</v>
      </c>
      <c r="AE418" s="10">
        <f t="shared" si="78"/>
        <v>4.8000000000000001E-2</v>
      </c>
      <c r="AF418" s="10">
        <f t="shared" si="78"/>
        <v>0</v>
      </c>
    </row>
    <row r="419" spans="1:32">
      <c r="A419" s="10" t="s">
        <v>202</v>
      </c>
      <c r="B419" s="61" t="s">
        <v>300</v>
      </c>
      <c r="C419" s="10">
        <f t="shared" si="77"/>
        <v>1.7999999999999999E-2</v>
      </c>
      <c r="D419" s="10">
        <f t="shared" si="78"/>
        <v>0</v>
      </c>
      <c r="E419" s="10">
        <f t="shared" si="78"/>
        <v>0</v>
      </c>
      <c r="F419" s="10">
        <f t="shared" si="78"/>
        <v>0</v>
      </c>
      <c r="G419" s="10">
        <f t="shared" si="78"/>
        <v>0</v>
      </c>
      <c r="H419" s="10">
        <f t="shared" si="78"/>
        <v>0</v>
      </c>
      <c r="I419" s="10">
        <f t="shared" si="78"/>
        <v>0</v>
      </c>
      <c r="J419" s="10">
        <f t="shared" si="78"/>
        <v>0</v>
      </c>
      <c r="K419" s="10">
        <f t="shared" si="78"/>
        <v>0</v>
      </c>
      <c r="L419" s="10">
        <f t="shared" si="78"/>
        <v>1.4E-2</v>
      </c>
      <c r="M419" s="10">
        <f t="shared" si="78"/>
        <v>0</v>
      </c>
      <c r="N419" s="10">
        <f t="shared" si="78"/>
        <v>0</v>
      </c>
      <c r="O419" s="10">
        <f t="shared" si="78"/>
        <v>0</v>
      </c>
      <c r="P419" s="10">
        <f t="shared" si="78"/>
        <v>0</v>
      </c>
      <c r="Q419" s="10">
        <f t="shared" si="78"/>
        <v>0</v>
      </c>
      <c r="R419" s="10">
        <f t="shared" si="78"/>
        <v>0</v>
      </c>
      <c r="S419" s="10">
        <f t="shared" si="78"/>
        <v>0</v>
      </c>
      <c r="T419" s="10">
        <f t="shared" si="78"/>
        <v>0</v>
      </c>
      <c r="U419" s="10">
        <f t="shared" si="78"/>
        <v>0</v>
      </c>
      <c r="V419" s="10">
        <f t="shared" si="78"/>
        <v>0</v>
      </c>
      <c r="W419" s="10">
        <f t="shared" si="78"/>
        <v>0</v>
      </c>
      <c r="X419" s="10">
        <f t="shared" si="78"/>
        <v>0</v>
      </c>
      <c r="Y419" s="10">
        <f t="shared" si="78"/>
        <v>0</v>
      </c>
      <c r="Z419" s="10">
        <f t="shared" si="78"/>
        <v>0</v>
      </c>
      <c r="AA419" s="10">
        <f t="shared" si="78"/>
        <v>0</v>
      </c>
      <c r="AB419" s="10">
        <f t="shared" si="78"/>
        <v>0</v>
      </c>
      <c r="AC419" s="10">
        <f t="shared" si="78"/>
        <v>0</v>
      </c>
      <c r="AD419" s="10">
        <f t="shared" si="78"/>
        <v>0</v>
      </c>
      <c r="AE419" s="10">
        <f t="shared" si="78"/>
        <v>5.3999999999999999E-2</v>
      </c>
      <c r="AF419" s="10">
        <f t="shared" si="78"/>
        <v>0</v>
      </c>
    </row>
    <row r="420" spans="1:32">
      <c r="A420" s="10" t="s">
        <v>202</v>
      </c>
      <c r="B420" s="61" t="s">
        <v>301</v>
      </c>
      <c r="C420" s="10">
        <f t="shared" si="77"/>
        <v>7.1999999999999995E-2</v>
      </c>
      <c r="D420" s="10">
        <f t="shared" si="78"/>
        <v>2.7E-2</v>
      </c>
      <c r="E420" s="10">
        <f t="shared" si="78"/>
        <v>0</v>
      </c>
      <c r="F420" s="10">
        <f t="shared" si="78"/>
        <v>1.0999999999999999E-2</v>
      </c>
      <c r="G420" s="10">
        <f t="shared" si="78"/>
        <v>4.2000000000000003E-2</v>
      </c>
      <c r="H420" s="10">
        <f t="shared" si="78"/>
        <v>2.7E-2</v>
      </c>
      <c r="I420" s="10">
        <f t="shared" si="78"/>
        <v>3.9E-2</v>
      </c>
      <c r="J420" s="10">
        <f t="shared" si="78"/>
        <v>4.9000000000000002E-2</v>
      </c>
      <c r="K420" s="10">
        <f t="shared" si="78"/>
        <v>0</v>
      </c>
      <c r="L420" s="10">
        <f t="shared" si="78"/>
        <v>0</v>
      </c>
      <c r="M420" s="10">
        <f t="shared" si="78"/>
        <v>0</v>
      </c>
      <c r="N420" s="10">
        <f t="shared" si="78"/>
        <v>2.5000000000000001E-2</v>
      </c>
      <c r="O420" s="10">
        <f t="shared" si="78"/>
        <v>2.1999999999999999E-2</v>
      </c>
      <c r="P420" s="10">
        <f t="shared" si="78"/>
        <v>1.4999999999999999E-2</v>
      </c>
      <c r="Q420" s="10">
        <f t="shared" si="78"/>
        <v>0</v>
      </c>
      <c r="R420" s="10">
        <f t="shared" si="78"/>
        <v>3.5000000000000003E-2</v>
      </c>
      <c r="S420" s="10">
        <f t="shared" si="78"/>
        <v>3.4000000000000002E-2</v>
      </c>
      <c r="T420" s="10">
        <f t="shared" si="78"/>
        <v>0</v>
      </c>
      <c r="U420" s="10">
        <f t="shared" si="78"/>
        <v>3.9E-2</v>
      </c>
      <c r="V420" s="10">
        <f t="shared" si="78"/>
        <v>1.7999999999999999E-2</v>
      </c>
      <c r="W420" s="10">
        <f t="shared" si="78"/>
        <v>0</v>
      </c>
      <c r="X420" s="10">
        <f t="shared" si="78"/>
        <v>0</v>
      </c>
      <c r="Y420" s="10">
        <f t="shared" si="78"/>
        <v>2.5999999999999999E-2</v>
      </c>
      <c r="Z420" s="10">
        <f t="shared" si="78"/>
        <v>0</v>
      </c>
      <c r="AA420" s="10">
        <f t="shared" si="78"/>
        <v>0</v>
      </c>
      <c r="AB420" s="10">
        <f t="shared" si="78"/>
        <v>0</v>
      </c>
      <c r="AC420" s="10">
        <f t="shared" si="78"/>
        <v>2.5000000000000001E-2</v>
      </c>
      <c r="AD420" s="10">
        <f t="shared" si="78"/>
        <v>1.7000000000000001E-2</v>
      </c>
      <c r="AE420" s="10">
        <f t="shared" si="78"/>
        <v>0</v>
      </c>
      <c r="AF420" s="10">
        <f t="shared" si="78"/>
        <v>2.9000000000000001E-2</v>
      </c>
    </row>
    <row r="421" spans="1:32">
      <c r="A421" s="10" t="s">
        <v>202</v>
      </c>
      <c r="B421" s="61" t="s">
        <v>303</v>
      </c>
      <c r="C421" s="10">
        <f t="shared" si="77"/>
        <v>8.4000000000000005E-2</v>
      </c>
      <c r="D421" s="10">
        <f t="shared" si="78"/>
        <v>5.5E-2</v>
      </c>
      <c r="E421" s="10">
        <f t="shared" si="78"/>
        <v>4.9000000000000002E-2</v>
      </c>
      <c r="F421" s="10">
        <f t="shared" si="78"/>
        <v>0</v>
      </c>
      <c r="G421" s="10">
        <f t="shared" si="78"/>
        <v>0.06</v>
      </c>
      <c r="H421" s="10">
        <f t="shared" si="78"/>
        <v>4.7E-2</v>
      </c>
      <c r="I421" s="10">
        <f t="shared" si="78"/>
        <v>4.3999999999999997E-2</v>
      </c>
      <c r="J421" s="10">
        <f t="shared" si="78"/>
        <v>1.2999999999999999E-2</v>
      </c>
      <c r="K421" s="10">
        <f t="shared" si="78"/>
        <v>2.1000000000000001E-2</v>
      </c>
      <c r="L421" s="10">
        <f t="shared" si="78"/>
        <v>0</v>
      </c>
      <c r="M421" s="10">
        <f t="shared" si="78"/>
        <v>1.6E-2</v>
      </c>
      <c r="N421" s="10">
        <f t="shared" si="78"/>
        <v>0</v>
      </c>
      <c r="O421" s="10">
        <f t="shared" si="78"/>
        <v>6.3E-2</v>
      </c>
      <c r="P421" s="10">
        <f t="shared" si="78"/>
        <v>5.6000000000000001E-2</v>
      </c>
      <c r="Q421" s="10">
        <f t="shared" si="78"/>
        <v>0</v>
      </c>
      <c r="R421" s="10">
        <f t="shared" si="78"/>
        <v>7.1999999999999995E-2</v>
      </c>
      <c r="S421" s="10">
        <f t="shared" si="78"/>
        <v>0.03</v>
      </c>
      <c r="T421" s="10">
        <f t="shared" si="78"/>
        <v>5.0999999999999997E-2</v>
      </c>
      <c r="U421" s="10">
        <f t="shared" si="78"/>
        <v>2.5999999999999999E-2</v>
      </c>
      <c r="V421" s="10">
        <f t="shared" si="78"/>
        <v>0</v>
      </c>
      <c r="W421" s="10">
        <f t="shared" si="78"/>
        <v>4.2999999999999997E-2</v>
      </c>
      <c r="X421" s="10">
        <f t="shared" si="78"/>
        <v>7.0000000000000001E-3</v>
      </c>
      <c r="Y421" s="10">
        <f t="shared" si="78"/>
        <v>3.7999999999999999E-2</v>
      </c>
      <c r="Z421" s="10">
        <f t="shared" si="78"/>
        <v>0</v>
      </c>
      <c r="AA421" s="10">
        <f t="shared" si="78"/>
        <v>0</v>
      </c>
      <c r="AB421" s="10">
        <f t="shared" si="78"/>
        <v>0</v>
      </c>
      <c r="AC421" s="10">
        <f t="shared" si="78"/>
        <v>0.06</v>
      </c>
      <c r="AD421" s="10">
        <f t="shared" si="78"/>
        <v>5.0999999999999997E-2</v>
      </c>
      <c r="AE421" s="10">
        <f t="shared" si="78"/>
        <v>4.8000000000000001E-2</v>
      </c>
      <c r="AF421" s="10">
        <f t="shared" si="78"/>
        <v>0</v>
      </c>
    </row>
    <row r="422" spans="1:32">
      <c r="A422" s="10" t="s">
        <v>202</v>
      </c>
      <c r="B422" s="61" t="s">
        <v>304</v>
      </c>
      <c r="C422" s="10">
        <f t="shared" si="77"/>
        <v>4.7E-2</v>
      </c>
      <c r="D422" s="10">
        <f t="shared" si="78"/>
        <v>6.0000000000000001E-3</v>
      </c>
      <c r="E422" s="10">
        <f t="shared" si="78"/>
        <v>2.9000000000000001E-2</v>
      </c>
      <c r="F422" s="10">
        <f t="shared" si="78"/>
        <v>2.9000000000000001E-2</v>
      </c>
      <c r="G422" s="10">
        <f t="shared" si="78"/>
        <v>1.6E-2</v>
      </c>
      <c r="H422" s="10">
        <f t="shared" si="78"/>
        <v>1.2999999999999999E-2</v>
      </c>
      <c r="I422" s="10">
        <f t="shared" si="78"/>
        <v>2.1000000000000001E-2</v>
      </c>
      <c r="J422" s="10">
        <f t="shared" si="78"/>
        <v>3.6999999999999998E-2</v>
      </c>
      <c r="K422" s="10">
        <f t="shared" si="78"/>
        <v>0</v>
      </c>
      <c r="L422" s="10">
        <f t="shared" si="78"/>
        <v>5.2999999999999999E-2</v>
      </c>
      <c r="M422" s="10">
        <f t="shared" si="78"/>
        <v>0</v>
      </c>
      <c r="N422" s="10">
        <f t="shared" si="78"/>
        <v>3.3000000000000002E-2</v>
      </c>
      <c r="O422" s="10">
        <f t="shared" si="78"/>
        <v>6.0000000000000001E-3</v>
      </c>
      <c r="P422" s="10">
        <f t="shared" si="78"/>
        <v>1.2E-2</v>
      </c>
      <c r="Q422" s="10">
        <f t="shared" si="78"/>
        <v>0</v>
      </c>
      <c r="R422" s="10">
        <f t="shared" si="78"/>
        <v>1.4E-2</v>
      </c>
      <c r="S422" s="10">
        <f t="shared" si="78"/>
        <v>3.9E-2</v>
      </c>
      <c r="T422" s="10">
        <f t="shared" si="78"/>
        <v>2.5000000000000001E-2</v>
      </c>
      <c r="U422" s="10">
        <f t="shared" si="78"/>
        <v>0</v>
      </c>
      <c r="V422" s="10">
        <f t="shared" si="78"/>
        <v>1.6E-2</v>
      </c>
      <c r="W422" s="10">
        <f t="shared" si="78"/>
        <v>3.1E-2</v>
      </c>
      <c r="X422" s="10">
        <f t="shared" si="78"/>
        <v>0</v>
      </c>
      <c r="Y422" s="10">
        <f t="shared" si="78"/>
        <v>2.4E-2</v>
      </c>
      <c r="Z422" s="10">
        <f t="shared" si="78"/>
        <v>0</v>
      </c>
      <c r="AA422" s="10">
        <f t="shared" si="78"/>
        <v>2.5000000000000001E-2</v>
      </c>
      <c r="AB422" s="10">
        <f t="shared" si="78"/>
        <v>0.06</v>
      </c>
      <c r="AC422" s="10">
        <f t="shared" si="78"/>
        <v>0</v>
      </c>
      <c r="AD422" s="10">
        <f t="shared" ref="D422:AF425" si="79">ROUND(AD32*0.00003215271,3)</f>
        <v>1.4999999999999999E-2</v>
      </c>
      <c r="AE422" s="10">
        <f t="shared" si="79"/>
        <v>0</v>
      </c>
      <c r="AF422" s="10">
        <f t="shared" si="79"/>
        <v>0</v>
      </c>
    </row>
    <row r="423" spans="1:32">
      <c r="A423" s="10" t="s">
        <v>202</v>
      </c>
      <c r="B423" s="61" t="s">
        <v>305</v>
      </c>
      <c r="C423" s="10">
        <f t="shared" si="77"/>
        <v>0.06</v>
      </c>
      <c r="D423" s="10">
        <f t="shared" si="79"/>
        <v>1.2999999999999999E-2</v>
      </c>
      <c r="E423" s="10">
        <f t="shared" si="79"/>
        <v>3.5000000000000003E-2</v>
      </c>
      <c r="F423" s="10">
        <f t="shared" si="79"/>
        <v>2.5999999999999999E-2</v>
      </c>
      <c r="G423" s="10">
        <f t="shared" si="79"/>
        <v>2.8000000000000001E-2</v>
      </c>
      <c r="H423" s="10">
        <f t="shared" si="79"/>
        <v>0.01</v>
      </c>
      <c r="I423" s="10">
        <f t="shared" si="79"/>
        <v>2.3E-2</v>
      </c>
      <c r="J423" s="10">
        <f t="shared" si="79"/>
        <v>3.3000000000000002E-2</v>
      </c>
      <c r="K423" s="10">
        <f t="shared" si="79"/>
        <v>3.7999999999999999E-2</v>
      </c>
      <c r="L423" s="10">
        <f t="shared" si="79"/>
        <v>0</v>
      </c>
      <c r="M423" s="10">
        <f t="shared" si="79"/>
        <v>0</v>
      </c>
      <c r="N423" s="10">
        <f t="shared" si="79"/>
        <v>3.5999999999999997E-2</v>
      </c>
      <c r="O423" s="10">
        <f t="shared" si="79"/>
        <v>1.4999999999999999E-2</v>
      </c>
      <c r="P423" s="10">
        <f t="shared" si="79"/>
        <v>6.0000000000000001E-3</v>
      </c>
      <c r="Q423" s="10">
        <f t="shared" si="79"/>
        <v>0</v>
      </c>
      <c r="R423" s="10">
        <f t="shared" si="79"/>
        <v>2.8000000000000001E-2</v>
      </c>
      <c r="S423" s="10">
        <f t="shared" si="79"/>
        <v>2.5999999999999999E-2</v>
      </c>
      <c r="T423" s="10">
        <f t="shared" si="79"/>
        <v>3.2000000000000001E-2</v>
      </c>
      <c r="U423" s="10">
        <f t="shared" si="79"/>
        <v>3.1E-2</v>
      </c>
      <c r="V423" s="10">
        <f t="shared" si="79"/>
        <v>2.1000000000000001E-2</v>
      </c>
      <c r="W423" s="10">
        <f t="shared" si="79"/>
        <v>3.4000000000000002E-2</v>
      </c>
      <c r="X423" s="10">
        <f t="shared" si="79"/>
        <v>0</v>
      </c>
      <c r="Y423" s="10">
        <f t="shared" si="79"/>
        <v>1.2E-2</v>
      </c>
      <c r="Z423" s="10">
        <f t="shared" si="79"/>
        <v>0</v>
      </c>
      <c r="AA423" s="10">
        <f t="shared" si="79"/>
        <v>1.7000000000000001E-2</v>
      </c>
      <c r="AB423" s="10">
        <f t="shared" si="79"/>
        <v>5.0999999999999997E-2</v>
      </c>
      <c r="AC423" s="10">
        <f t="shared" si="79"/>
        <v>1.4999999999999999E-2</v>
      </c>
      <c r="AD423" s="10">
        <f t="shared" si="79"/>
        <v>0</v>
      </c>
      <c r="AE423" s="10">
        <f t="shared" si="79"/>
        <v>0</v>
      </c>
      <c r="AF423" s="10">
        <f t="shared" si="79"/>
        <v>0</v>
      </c>
    </row>
    <row r="424" spans="1:32">
      <c r="A424" s="10" t="s">
        <v>202</v>
      </c>
      <c r="B424" s="10" t="s">
        <v>356</v>
      </c>
      <c r="C424" s="10">
        <f t="shared" si="77"/>
        <v>0</v>
      </c>
      <c r="D424" s="10">
        <f t="shared" si="79"/>
        <v>0</v>
      </c>
      <c r="E424" s="10">
        <f t="shared" si="79"/>
        <v>0</v>
      </c>
      <c r="F424" s="10">
        <f t="shared" si="79"/>
        <v>1.4E-2</v>
      </c>
      <c r="G424" s="10">
        <f t="shared" si="79"/>
        <v>0</v>
      </c>
      <c r="H424" s="10">
        <f t="shared" si="79"/>
        <v>0</v>
      </c>
      <c r="I424" s="10">
        <f t="shared" si="79"/>
        <v>0</v>
      </c>
      <c r="J424" s="10">
        <f t="shared" si="79"/>
        <v>0</v>
      </c>
      <c r="K424" s="10">
        <f t="shared" si="79"/>
        <v>0</v>
      </c>
      <c r="L424" s="10">
        <f t="shared" si="79"/>
        <v>0</v>
      </c>
      <c r="M424" s="10">
        <f t="shared" si="79"/>
        <v>0</v>
      </c>
      <c r="N424" s="10">
        <f t="shared" si="79"/>
        <v>2.8000000000000001E-2</v>
      </c>
      <c r="O424" s="10">
        <f t="shared" si="79"/>
        <v>0</v>
      </c>
      <c r="P424" s="10">
        <f t="shared" si="79"/>
        <v>0</v>
      </c>
      <c r="Q424" s="10">
        <f t="shared" si="79"/>
        <v>0</v>
      </c>
      <c r="R424" s="10">
        <f t="shared" si="79"/>
        <v>0</v>
      </c>
      <c r="S424" s="10">
        <f t="shared" si="79"/>
        <v>0</v>
      </c>
      <c r="T424" s="10">
        <f t="shared" si="79"/>
        <v>0</v>
      </c>
      <c r="U424" s="10">
        <f t="shared" si="79"/>
        <v>0</v>
      </c>
      <c r="V424" s="10">
        <f t="shared" si="79"/>
        <v>0</v>
      </c>
      <c r="W424" s="10">
        <f t="shared" si="79"/>
        <v>0</v>
      </c>
      <c r="X424" s="10">
        <f t="shared" si="79"/>
        <v>0</v>
      </c>
      <c r="Y424" s="10">
        <f t="shared" si="79"/>
        <v>0</v>
      </c>
      <c r="Z424" s="10">
        <f t="shared" si="79"/>
        <v>0</v>
      </c>
      <c r="AA424" s="10">
        <f t="shared" si="79"/>
        <v>2.9000000000000001E-2</v>
      </c>
      <c r="AB424" s="10">
        <f t="shared" si="79"/>
        <v>0</v>
      </c>
      <c r="AC424" s="10">
        <f t="shared" si="79"/>
        <v>0</v>
      </c>
      <c r="AD424" s="10">
        <f t="shared" si="79"/>
        <v>0</v>
      </c>
      <c r="AE424" s="10">
        <f t="shared" si="79"/>
        <v>0</v>
      </c>
      <c r="AF424" s="10">
        <f t="shared" si="79"/>
        <v>0</v>
      </c>
    </row>
    <row r="425" spans="1:32">
      <c r="A425" s="10" t="s">
        <v>202</v>
      </c>
      <c r="B425" s="61" t="s">
        <v>307</v>
      </c>
      <c r="C425" s="10">
        <f t="shared" si="77"/>
        <v>1.9E-2</v>
      </c>
      <c r="D425" s="10">
        <f t="shared" si="79"/>
        <v>4.4999999999999998E-2</v>
      </c>
      <c r="E425" s="10">
        <f t="shared" si="79"/>
        <v>2.1000000000000001E-2</v>
      </c>
      <c r="F425" s="10">
        <f t="shared" si="79"/>
        <v>0</v>
      </c>
      <c r="G425" s="10">
        <f t="shared" si="79"/>
        <v>3.5999999999999997E-2</v>
      </c>
      <c r="H425" s="10">
        <f t="shared" si="79"/>
        <v>4.2999999999999997E-2</v>
      </c>
      <c r="I425" s="10">
        <f t="shared" si="79"/>
        <v>3.1E-2</v>
      </c>
      <c r="J425" s="10">
        <f t="shared" si="79"/>
        <v>2.7E-2</v>
      </c>
      <c r="K425" s="10">
        <f t="shared" si="79"/>
        <v>0</v>
      </c>
      <c r="L425" s="10">
        <f t="shared" si="79"/>
        <v>0.05</v>
      </c>
      <c r="M425" s="10">
        <f t="shared" si="79"/>
        <v>0</v>
      </c>
      <c r="N425" s="10">
        <f t="shared" si="79"/>
        <v>0</v>
      </c>
      <c r="O425" s="10">
        <f t="shared" si="79"/>
        <v>0</v>
      </c>
      <c r="P425" s="10">
        <f t="shared" si="79"/>
        <v>0</v>
      </c>
      <c r="Q425" s="10">
        <f t="shared" si="79"/>
        <v>1.2E-2</v>
      </c>
      <c r="R425" s="10">
        <f t="shared" si="79"/>
        <v>5.3999999999999999E-2</v>
      </c>
      <c r="S425" s="10">
        <f t="shared" si="79"/>
        <v>0</v>
      </c>
      <c r="T425" s="10">
        <f t="shared" si="79"/>
        <v>2.5000000000000001E-2</v>
      </c>
      <c r="U425" s="10">
        <f t="shared" si="79"/>
        <v>0</v>
      </c>
      <c r="V425" s="10">
        <f t="shared" si="79"/>
        <v>0</v>
      </c>
      <c r="W425" s="10">
        <f t="shared" si="79"/>
        <v>1.9E-2</v>
      </c>
      <c r="X425" s="10">
        <f t="shared" si="79"/>
        <v>4.8000000000000001E-2</v>
      </c>
      <c r="Y425" s="10">
        <f t="shared" si="79"/>
        <v>4.8000000000000001E-2</v>
      </c>
      <c r="Z425" s="10">
        <f t="shared" si="79"/>
        <v>5.3999999999999999E-2</v>
      </c>
      <c r="AA425" s="10">
        <f t="shared" si="79"/>
        <v>0</v>
      </c>
      <c r="AB425" s="10">
        <f t="shared" si="79"/>
        <v>4.8000000000000001E-2</v>
      </c>
      <c r="AC425" s="10">
        <f t="shared" si="79"/>
        <v>0</v>
      </c>
      <c r="AD425" s="10">
        <f t="shared" si="79"/>
        <v>0</v>
      </c>
      <c r="AE425" s="10">
        <f t="shared" si="79"/>
        <v>0</v>
      </c>
      <c r="AF425" s="10">
        <f t="shared" si="79"/>
        <v>0</v>
      </c>
    </row>
    <row r="426" spans="1:32">
      <c r="A426" s="10" t="s">
        <v>203</v>
      </c>
      <c r="B426" s="61" t="s">
        <v>278</v>
      </c>
      <c r="C426" s="10">
        <f>ROUND(C6*0.00003215271,3)</f>
        <v>4.7E-2</v>
      </c>
      <c r="D426" s="10">
        <f t="shared" ref="D426:AF435" si="80">ROUND(D6*0.00003215271,3)</f>
        <v>0</v>
      </c>
      <c r="E426" s="10">
        <f t="shared" si="80"/>
        <v>2.5000000000000001E-2</v>
      </c>
      <c r="F426" s="10">
        <f t="shared" si="80"/>
        <v>3.3000000000000002E-2</v>
      </c>
      <c r="G426" s="10">
        <f t="shared" si="80"/>
        <v>1.4999999999999999E-2</v>
      </c>
      <c r="H426" s="10">
        <f t="shared" si="80"/>
        <v>8.0000000000000002E-3</v>
      </c>
      <c r="I426" s="10">
        <f t="shared" si="80"/>
        <v>1.4999999999999999E-2</v>
      </c>
      <c r="J426" s="10">
        <f t="shared" si="80"/>
        <v>3.1E-2</v>
      </c>
      <c r="K426" s="10">
        <f t="shared" si="80"/>
        <v>0</v>
      </c>
      <c r="L426" s="10">
        <f t="shared" si="80"/>
        <v>5.2999999999999999E-2</v>
      </c>
      <c r="M426" s="10">
        <f t="shared" si="80"/>
        <v>0</v>
      </c>
      <c r="N426" s="10">
        <f t="shared" si="80"/>
        <v>3.7999999999999999E-2</v>
      </c>
      <c r="O426" s="10">
        <f t="shared" si="80"/>
        <v>1.0999999999999999E-2</v>
      </c>
      <c r="P426" s="10">
        <f t="shared" si="80"/>
        <v>1.2999999999999999E-2</v>
      </c>
      <c r="Q426" s="10">
        <f t="shared" si="80"/>
        <v>0</v>
      </c>
      <c r="R426" s="10">
        <f t="shared" si="80"/>
        <v>1.7999999999999999E-2</v>
      </c>
      <c r="S426" s="10">
        <f t="shared" si="80"/>
        <v>3.5000000000000003E-2</v>
      </c>
      <c r="T426" s="10">
        <f t="shared" si="80"/>
        <v>2.1000000000000001E-2</v>
      </c>
      <c r="U426" s="10">
        <f t="shared" si="80"/>
        <v>4.1000000000000002E-2</v>
      </c>
      <c r="V426" s="10">
        <f t="shared" si="80"/>
        <v>2.1000000000000001E-2</v>
      </c>
      <c r="W426" s="10">
        <f t="shared" si="80"/>
        <v>2.5999999999999999E-2</v>
      </c>
      <c r="X426" s="10">
        <f t="shared" si="80"/>
        <v>0</v>
      </c>
      <c r="Y426" s="10">
        <f t="shared" si="80"/>
        <v>0.02</v>
      </c>
      <c r="Z426" s="10">
        <f t="shared" si="80"/>
        <v>0</v>
      </c>
      <c r="AA426" s="10">
        <f t="shared" si="80"/>
        <v>2.7E-2</v>
      </c>
      <c r="AB426" s="10">
        <f t="shared" si="80"/>
        <v>5.5E-2</v>
      </c>
      <c r="AC426" s="10">
        <f t="shared" si="80"/>
        <v>6.0000000000000001E-3</v>
      </c>
      <c r="AD426" s="10">
        <f t="shared" si="80"/>
        <v>1.2999999999999999E-2</v>
      </c>
      <c r="AE426" s="10">
        <f t="shared" si="80"/>
        <v>4.4999999999999998E-2</v>
      </c>
      <c r="AF426" s="10">
        <f t="shared" si="80"/>
        <v>0</v>
      </c>
    </row>
    <row r="427" spans="1:32">
      <c r="A427" s="10" t="s">
        <v>203</v>
      </c>
      <c r="B427" s="61" t="s">
        <v>280</v>
      </c>
      <c r="C427" s="10">
        <f t="shared" ref="C427:R442" si="81">ROUND(C7*0.00003215271,3)</f>
        <v>0.01</v>
      </c>
      <c r="D427" s="10">
        <f t="shared" si="81"/>
        <v>2.5000000000000001E-2</v>
      </c>
      <c r="E427" s="10">
        <f t="shared" si="81"/>
        <v>0</v>
      </c>
      <c r="F427" s="10">
        <f t="shared" si="81"/>
        <v>0</v>
      </c>
      <c r="G427" s="10">
        <f t="shared" si="81"/>
        <v>1.6E-2</v>
      </c>
      <c r="H427" s="10">
        <f t="shared" si="81"/>
        <v>2.5000000000000001E-2</v>
      </c>
      <c r="I427" s="10">
        <f t="shared" si="81"/>
        <v>1.2999999999999999E-2</v>
      </c>
      <c r="J427" s="10">
        <f t="shared" si="81"/>
        <v>2.1999999999999999E-2</v>
      </c>
      <c r="K427" s="10">
        <f t="shared" si="81"/>
        <v>0</v>
      </c>
      <c r="L427" s="10">
        <f t="shared" si="81"/>
        <v>4.2999999999999997E-2</v>
      </c>
      <c r="M427" s="10">
        <f t="shared" si="81"/>
        <v>0</v>
      </c>
      <c r="N427" s="10">
        <f t="shared" si="81"/>
        <v>0</v>
      </c>
      <c r="O427" s="10">
        <f t="shared" si="81"/>
        <v>3.5000000000000003E-2</v>
      </c>
      <c r="P427" s="10">
        <f t="shared" si="81"/>
        <v>3.6999999999999998E-2</v>
      </c>
      <c r="Q427" s="10">
        <f t="shared" si="81"/>
        <v>0.03</v>
      </c>
      <c r="R427" s="10">
        <f t="shared" si="81"/>
        <v>3.3000000000000002E-2</v>
      </c>
      <c r="S427" s="10">
        <f t="shared" si="80"/>
        <v>0</v>
      </c>
      <c r="T427" s="10">
        <f t="shared" si="80"/>
        <v>5.0000000000000001E-3</v>
      </c>
      <c r="U427" s="10">
        <f t="shared" si="80"/>
        <v>0</v>
      </c>
      <c r="V427" s="10">
        <f t="shared" si="80"/>
        <v>0</v>
      </c>
      <c r="W427" s="10">
        <f t="shared" si="80"/>
        <v>6.0000000000000001E-3</v>
      </c>
      <c r="X427" s="10">
        <f t="shared" si="80"/>
        <v>5.2999999999999999E-2</v>
      </c>
      <c r="Y427" s="10">
        <f t="shared" si="80"/>
        <v>3.3000000000000002E-2</v>
      </c>
      <c r="Z427" s="10">
        <f t="shared" si="80"/>
        <v>0</v>
      </c>
      <c r="AA427" s="10">
        <f t="shared" si="80"/>
        <v>0</v>
      </c>
      <c r="AB427" s="10">
        <f t="shared" si="80"/>
        <v>4.9000000000000002E-2</v>
      </c>
      <c r="AC427" s="10">
        <f t="shared" si="80"/>
        <v>2.9000000000000001E-2</v>
      </c>
      <c r="AD427" s="10">
        <f t="shared" si="80"/>
        <v>3.5000000000000003E-2</v>
      </c>
      <c r="AE427" s="10">
        <f t="shared" si="80"/>
        <v>2.1000000000000001E-2</v>
      </c>
      <c r="AF427" s="10">
        <f t="shared" si="80"/>
        <v>0</v>
      </c>
    </row>
    <row r="428" spans="1:32">
      <c r="A428" s="10" t="s">
        <v>203</v>
      </c>
      <c r="B428" s="61" t="s">
        <v>281</v>
      </c>
      <c r="C428" s="10">
        <f t="shared" si="81"/>
        <v>0</v>
      </c>
      <c r="D428" s="10">
        <f t="shared" si="80"/>
        <v>3.3000000000000002E-2</v>
      </c>
      <c r="E428" s="10">
        <f t="shared" si="80"/>
        <v>0</v>
      </c>
      <c r="F428" s="10">
        <f t="shared" si="80"/>
        <v>0</v>
      </c>
      <c r="G428" s="10">
        <f t="shared" si="80"/>
        <v>4.5999999999999999E-2</v>
      </c>
      <c r="H428" s="10">
        <f t="shared" si="80"/>
        <v>3.5000000000000003E-2</v>
      </c>
      <c r="I428" s="10">
        <f t="shared" si="80"/>
        <v>4.7E-2</v>
      </c>
      <c r="J428" s="10">
        <f t="shared" si="80"/>
        <v>0</v>
      </c>
      <c r="K428" s="10">
        <f t="shared" si="80"/>
        <v>0</v>
      </c>
      <c r="L428" s="10">
        <f t="shared" si="80"/>
        <v>0</v>
      </c>
      <c r="M428" s="10">
        <f t="shared" si="80"/>
        <v>0</v>
      </c>
      <c r="N428" s="10">
        <f t="shared" si="80"/>
        <v>1.4999999999999999E-2</v>
      </c>
      <c r="O428" s="10">
        <f t="shared" si="80"/>
        <v>2.4E-2</v>
      </c>
      <c r="P428" s="10">
        <f t="shared" si="80"/>
        <v>2.1999999999999999E-2</v>
      </c>
      <c r="Q428" s="10">
        <f t="shared" si="80"/>
        <v>0</v>
      </c>
      <c r="R428" s="10">
        <f t="shared" si="80"/>
        <v>3.5000000000000003E-2</v>
      </c>
      <c r="S428" s="10">
        <f t="shared" si="80"/>
        <v>0</v>
      </c>
      <c r="T428" s="10">
        <f t="shared" si="80"/>
        <v>0</v>
      </c>
      <c r="U428" s="10">
        <f t="shared" si="80"/>
        <v>0</v>
      </c>
      <c r="V428" s="10">
        <f t="shared" si="80"/>
        <v>1.6E-2</v>
      </c>
      <c r="W428" s="10">
        <f t="shared" si="80"/>
        <v>0</v>
      </c>
      <c r="X428" s="10">
        <f t="shared" si="80"/>
        <v>0</v>
      </c>
      <c r="Y428" s="10">
        <f t="shared" si="80"/>
        <v>3.5999999999999997E-2</v>
      </c>
      <c r="Z428" s="10">
        <f t="shared" si="80"/>
        <v>0</v>
      </c>
      <c r="AA428" s="10">
        <f t="shared" si="80"/>
        <v>1.0999999999999999E-2</v>
      </c>
      <c r="AB428" s="10">
        <f t="shared" si="80"/>
        <v>0</v>
      </c>
      <c r="AC428" s="10">
        <f t="shared" si="80"/>
        <v>2.9000000000000001E-2</v>
      </c>
      <c r="AD428" s="10">
        <f t="shared" si="80"/>
        <v>2.5999999999999999E-2</v>
      </c>
      <c r="AE428" s="10">
        <f t="shared" si="80"/>
        <v>0</v>
      </c>
      <c r="AF428" s="10">
        <f t="shared" si="80"/>
        <v>1.4E-2</v>
      </c>
    </row>
    <row r="429" spans="1:32">
      <c r="A429" s="10" t="s">
        <v>203</v>
      </c>
      <c r="B429" s="61" t="s">
        <v>282</v>
      </c>
      <c r="C429" s="10">
        <f t="shared" si="81"/>
        <v>1.0999999999999999E-2</v>
      </c>
      <c r="D429" s="10">
        <f t="shared" si="80"/>
        <v>1.4999999999999999E-2</v>
      </c>
      <c r="E429" s="10">
        <f t="shared" si="80"/>
        <v>1.6E-2</v>
      </c>
      <c r="F429" s="10">
        <f t="shared" si="80"/>
        <v>4.5999999999999999E-2</v>
      </c>
      <c r="G429" s="10">
        <f t="shared" si="80"/>
        <v>0</v>
      </c>
      <c r="H429" s="10">
        <f t="shared" si="80"/>
        <v>0.02</v>
      </c>
      <c r="I429" s="10">
        <f t="shared" si="80"/>
        <v>1.6E-2</v>
      </c>
      <c r="J429" s="10">
        <f t="shared" si="80"/>
        <v>3.3000000000000002E-2</v>
      </c>
      <c r="K429" s="10">
        <f t="shared" si="80"/>
        <v>0</v>
      </c>
      <c r="L429" s="10">
        <f t="shared" si="80"/>
        <v>3.9E-2</v>
      </c>
      <c r="M429" s="10">
        <f t="shared" si="80"/>
        <v>0</v>
      </c>
      <c r="N429" s="10">
        <f t="shared" si="80"/>
        <v>0</v>
      </c>
      <c r="O429" s="10">
        <f t="shared" si="80"/>
        <v>2.1000000000000001E-2</v>
      </c>
      <c r="P429" s="10">
        <f t="shared" si="80"/>
        <v>2.7E-2</v>
      </c>
      <c r="Q429" s="10">
        <f t="shared" si="80"/>
        <v>0</v>
      </c>
      <c r="R429" s="10">
        <f t="shared" si="80"/>
        <v>1.7000000000000001E-2</v>
      </c>
      <c r="S429" s="10">
        <f t="shared" si="80"/>
        <v>0</v>
      </c>
      <c r="T429" s="10">
        <f t="shared" si="80"/>
        <v>1.2E-2</v>
      </c>
      <c r="U429" s="10">
        <f t="shared" si="80"/>
        <v>0</v>
      </c>
      <c r="V429" s="10">
        <f t="shared" si="80"/>
        <v>3.1E-2</v>
      </c>
      <c r="W429" s="10">
        <f t="shared" si="80"/>
        <v>0.02</v>
      </c>
      <c r="X429" s="10">
        <f t="shared" si="80"/>
        <v>0</v>
      </c>
      <c r="Y429" s="10">
        <f t="shared" si="80"/>
        <v>3.2000000000000001E-2</v>
      </c>
      <c r="Z429" s="10">
        <f t="shared" si="80"/>
        <v>0</v>
      </c>
      <c r="AA429" s="10">
        <f t="shared" si="80"/>
        <v>4.2000000000000003E-2</v>
      </c>
      <c r="AB429" s="10">
        <f t="shared" si="80"/>
        <v>0.06</v>
      </c>
      <c r="AC429" s="10">
        <f t="shared" si="80"/>
        <v>1.6E-2</v>
      </c>
      <c r="AD429" s="10">
        <f t="shared" si="80"/>
        <v>2.8000000000000001E-2</v>
      </c>
      <c r="AE429" s="10">
        <f t="shared" si="80"/>
        <v>3.5999999999999997E-2</v>
      </c>
      <c r="AF429" s="10">
        <f t="shared" si="80"/>
        <v>0</v>
      </c>
    </row>
    <row r="430" spans="1:32">
      <c r="A430" s="10" t="s">
        <v>203</v>
      </c>
      <c r="B430" s="61" t="s">
        <v>283</v>
      </c>
      <c r="C430" s="10">
        <f t="shared" si="81"/>
        <v>5.1999999999999998E-2</v>
      </c>
      <c r="D430" s="10">
        <f t="shared" si="80"/>
        <v>8.0000000000000002E-3</v>
      </c>
      <c r="E430" s="10">
        <f t="shared" si="80"/>
        <v>2.5000000000000001E-2</v>
      </c>
      <c r="F430" s="10">
        <f t="shared" si="80"/>
        <v>3.5000000000000003E-2</v>
      </c>
      <c r="G430" s="10">
        <f t="shared" si="80"/>
        <v>0.02</v>
      </c>
      <c r="H430" s="10">
        <f t="shared" si="80"/>
        <v>0</v>
      </c>
      <c r="I430" s="10">
        <f t="shared" si="80"/>
        <v>1.2E-2</v>
      </c>
      <c r="J430" s="10">
        <f t="shared" si="80"/>
        <v>2.5000000000000001E-2</v>
      </c>
      <c r="K430" s="10">
        <f t="shared" si="80"/>
        <v>3.7999999999999999E-2</v>
      </c>
      <c r="L430" s="10">
        <f t="shared" si="80"/>
        <v>0</v>
      </c>
      <c r="M430" s="10">
        <f t="shared" si="80"/>
        <v>0</v>
      </c>
      <c r="N430" s="10">
        <f t="shared" si="80"/>
        <v>4.2999999999999997E-2</v>
      </c>
      <c r="O430" s="10">
        <f t="shared" si="80"/>
        <v>1.7000000000000001E-2</v>
      </c>
      <c r="P430" s="10">
        <f t="shared" si="80"/>
        <v>1.2999999999999999E-2</v>
      </c>
      <c r="Q430" s="10">
        <f t="shared" si="80"/>
        <v>0</v>
      </c>
      <c r="R430" s="10">
        <f t="shared" si="80"/>
        <v>2.5999999999999999E-2</v>
      </c>
      <c r="S430" s="10">
        <f t="shared" si="80"/>
        <v>2.7E-2</v>
      </c>
      <c r="T430" s="10">
        <f t="shared" si="80"/>
        <v>2.1000000000000001E-2</v>
      </c>
      <c r="U430" s="10">
        <f t="shared" si="80"/>
        <v>3.3000000000000002E-2</v>
      </c>
      <c r="V430" s="10">
        <f t="shared" si="80"/>
        <v>2.7E-2</v>
      </c>
      <c r="W430" s="10">
        <f t="shared" si="80"/>
        <v>2.4E-2</v>
      </c>
      <c r="X430" s="10">
        <f t="shared" si="80"/>
        <v>5.2999999999999999E-2</v>
      </c>
      <c r="Y430" s="10">
        <f t="shared" si="80"/>
        <v>1.2999999999999999E-2</v>
      </c>
      <c r="Z430" s="10">
        <f t="shared" si="80"/>
        <v>0</v>
      </c>
      <c r="AA430" s="10">
        <f t="shared" si="80"/>
        <v>2.7E-2</v>
      </c>
      <c r="AB430" s="10">
        <f t="shared" si="80"/>
        <v>4.7E-2</v>
      </c>
      <c r="AC430" s="10">
        <f t="shared" si="80"/>
        <v>1.2999999999999999E-2</v>
      </c>
      <c r="AD430" s="10">
        <f t="shared" si="80"/>
        <v>0.01</v>
      </c>
      <c r="AE430" s="10">
        <f t="shared" si="80"/>
        <v>4.2999999999999997E-2</v>
      </c>
      <c r="AF430" s="10">
        <f t="shared" si="80"/>
        <v>0</v>
      </c>
    </row>
    <row r="431" spans="1:32">
      <c r="A431" s="10" t="s">
        <v>203</v>
      </c>
      <c r="B431" s="61" t="s">
        <v>284</v>
      </c>
      <c r="C431" s="10">
        <f t="shared" si="81"/>
        <v>1.6E-2</v>
      </c>
      <c r="D431" s="10">
        <f t="shared" si="80"/>
        <v>1.4999999999999999E-2</v>
      </c>
      <c r="E431" s="10">
        <f t="shared" si="80"/>
        <v>1.2999999999999999E-2</v>
      </c>
      <c r="F431" s="10">
        <f t="shared" si="80"/>
        <v>4.7E-2</v>
      </c>
      <c r="G431" s="10">
        <f t="shared" si="80"/>
        <v>1.6E-2</v>
      </c>
      <c r="H431" s="10">
        <f t="shared" si="80"/>
        <v>1.2E-2</v>
      </c>
      <c r="I431" s="10">
        <f t="shared" si="80"/>
        <v>0</v>
      </c>
      <c r="J431" s="10">
        <f t="shared" si="80"/>
        <v>1.7000000000000001E-2</v>
      </c>
      <c r="K431" s="10">
        <f t="shared" si="80"/>
        <v>4.1000000000000002E-2</v>
      </c>
      <c r="L431" s="10">
        <f t="shared" si="80"/>
        <v>5.1999999999999998E-2</v>
      </c>
      <c r="M431" s="10">
        <f t="shared" si="80"/>
        <v>5.6000000000000001E-2</v>
      </c>
      <c r="N431" s="10">
        <f t="shared" si="80"/>
        <v>5.2999999999999999E-2</v>
      </c>
      <c r="O431" s="10">
        <f t="shared" si="80"/>
        <v>2.5999999999999999E-2</v>
      </c>
      <c r="P431" s="10">
        <f t="shared" si="80"/>
        <v>2.5000000000000001E-2</v>
      </c>
      <c r="Q431" s="10">
        <f t="shared" si="80"/>
        <v>4.1000000000000002E-2</v>
      </c>
      <c r="R431" s="10">
        <f t="shared" si="80"/>
        <v>0.03</v>
      </c>
      <c r="S431" s="10">
        <f t="shared" si="80"/>
        <v>3.3000000000000002E-2</v>
      </c>
      <c r="T431" s="10">
        <f t="shared" si="80"/>
        <v>1.0999999999999999E-2</v>
      </c>
      <c r="U431" s="10">
        <f t="shared" si="80"/>
        <v>3.6999999999999998E-2</v>
      </c>
      <c r="V431" s="10">
        <f t="shared" si="80"/>
        <v>3.6999999999999998E-2</v>
      </c>
      <c r="W431" s="10">
        <f t="shared" si="80"/>
        <v>1.0999999999999999E-2</v>
      </c>
      <c r="X431" s="10">
        <f t="shared" si="80"/>
        <v>4.8000000000000001E-2</v>
      </c>
      <c r="Y431" s="10">
        <f t="shared" si="80"/>
        <v>0.02</v>
      </c>
      <c r="Z431" s="10">
        <f t="shared" si="80"/>
        <v>0</v>
      </c>
      <c r="AA431" s="10">
        <f t="shared" si="80"/>
        <v>3.9E-2</v>
      </c>
      <c r="AB431" s="10">
        <f t="shared" si="80"/>
        <v>4.3999999999999997E-2</v>
      </c>
      <c r="AC431" s="10">
        <f t="shared" si="80"/>
        <v>2.1000000000000001E-2</v>
      </c>
      <c r="AD431" s="10">
        <f t="shared" si="80"/>
        <v>2.3E-2</v>
      </c>
      <c r="AE431" s="10">
        <f t="shared" si="80"/>
        <v>3.1E-2</v>
      </c>
      <c r="AF431" s="10">
        <f t="shared" si="80"/>
        <v>0</v>
      </c>
    </row>
    <row r="432" spans="1:32">
      <c r="A432" s="10" t="s">
        <v>203</v>
      </c>
      <c r="B432" s="61" t="s">
        <v>285</v>
      </c>
      <c r="C432" s="10">
        <f t="shared" si="81"/>
        <v>5.8000000000000003E-2</v>
      </c>
      <c r="D432" s="10">
        <f t="shared" si="80"/>
        <v>3.1E-2</v>
      </c>
      <c r="E432" s="10">
        <f t="shared" si="80"/>
        <v>2.1999999999999999E-2</v>
      </c>
      <c r="F432" s="10">
        <f t="shared" si="80"/>
        <v>0</v>
      </c>
      <c r="G432" s="10">
        <f t="shared" si="80"/>
        <v>3.3000000000000002E-2</v>
      </c>
      <c r="H432" s="10">
        <f t="shared" si="80"/>
        <v>2.5000000000000001E-2</v>
      </c>
      <c r="I432" s="10">
        <f t="shared" si="80"/>
        <v>1.7000000000000001E-2</v>
      </c>
      <c r="J432" s="10">
        <f t="shared" si="80"/>
        <v>0</v>
      </c>
      <c r="K432" s="10">
        <f t="shared" si="80"/>
        <v>3.1E-2</v>
      </c>
      <c r="L432" s="10">
        <f t="shared" si="80"/>
        <v>0</v>
      </c>
      <c r="M432" s="10">
        <f t="shared" si="80"/>
        <v>4.2000000000000003E-2</v>
      </c>
      <c r="N432" s="10">
        <f t="shared" si="80"/>
        <v>0</v>
      </c>
      <c r="O432" s="10">
        <f t="shared" si="80"/>
        <v>4.2000000000000003E-2</v>
      </c>
      <c r="P432" s="10">
        <f t="shared" si="80"/>
        <v>3.7999999999999999E-2</v>
      </c>
      <c r="Q432" s="10">
        <f t="shared" si="80"/>
        <v>3.9E-2</v>
      </c>
      <c r="R432" s="10">
        <f t="shared" si="80"/>
        <v>4.7E-2</v>
      </c>
      <c r="S432" s="10">
        <f t="shared" si="80"/>
        <v>2.8000000000000001E-2</v>
      </c>
      <c r="T432" s="10">
        <f t="shared" si="80"/>
        <v>2.4E-2</v>
      </c>
      <c r="U432" s="10">
        <f t="shared" si="80"/>
        <v>0.03</v>
      </c>
      <c r="V432" s="10">
        <f t="shared" si="80"/>
        <v>0</v>
      </c>
      <c r="W432" s="10">
        <f t="shared" si="80"/>
        <v>1.6E-2</v>
      </c>
      <c r="X432" s="10">
        <f t="shared" si="80"/>
        <v>2.3E-2</v>
      </c>
      <c r="Y432" s="10">
        <f t="shared" si="80"/>
        <v>2.4E-2</v>
      </c>
      <c r="Z432" s="10">
        <f t="shared" si="80"/>
        <v>0</v>
      </c>
      <c r="AA432" s="10">
        <f t="shared" si="80"/>
        <v>4.9000000000000002E-2</v>
      </c>
      <c r="AB432" s="10">
        <f t="shared" si="80"/>
        <v>1.2999999999999999E-2</v>
      </c>
      <c r="AC432" s="10">
        <f t="shared" si="80"/>
        <v>3.6999999999999998E-2</v>
      </c>
      <c r="AD432" s="10">
        <f t="shared" si="80"/>
        <v>3.3000000000000002E-2</v>
      </c>
      <c r="AE432" s="10">
        <f t="shared" si="80"/>
        <v>2.7E-2</v>
      </c>
      <c r="AF432" s="10">
        <f t="shared" si="80"/>
        <v>0</v>
      </c>
    </row>
    <row r="433" spans="1:32">
      <c r="A433" s="10" t="s">
        <v>203</v>
      </c>
      <c r="B433" s="61" t="s">
        <v>308</v>
      </c>
      <c r="C433" s="10">
        <f t="shared" si="81"/>
        <v>0</v>
      </c>
      <c r="D433" s="10">
        <f t="shared" si="80"/>
        <v>0</v>
      </c>
      <c r="E433" s="10">
        <f t="shared" si="80"/>
        <v>0</v>
      </c>
      <c r="F433" s="10">
        <f t="shared" si="80"/>
        <v>0</v>
      </c>
      <c r="G433" s="10">
        <f t="shared" si="80"/>
        <v>0</v>
      </c>
      <c r="H433" s="10">
        <f t="shared" si="80"/>
        <v>3.7999999999999999E-2</v>
      </c>
      <c r="I433" s="10">
        <f t="shared" si="80"/>
        <v>4.1000000000000002E-2</v>
      </c>
      <c r="J433" s="10">
        <f t="shared" si="80"/>
        <v>3.1E-2</v>
      </c>
      <c r="K433" s="10">
        <f t="shared" si="80"/>
        <v>0</v>
      </c>
      <c r="L433" s="10">
        <f t="shared" si="80"/>
        <v>0</v>
      </c>
      <c r="M433" s="10">
        <f t="shared" si="80"/>
        <v>2.1000000000000001E-2</v>
      </c>
      <c r="N433" s="10">
        <f t="shared" si="80"/>
        <v>0</v>
      </c>
      <c r="O433" s="10">
        <f t="shared" si="80"/>
        <v>0</v>
      </c>
      <c r="P433" s="10">
        <f t="shared" si="80"/>
        <v>0</v>
      </c>
      <c r="Q433" s="10">
        <f t="shared" si="80"/>
        <v>0</v>
      </c>
      <c r="R433" s="10">
        <f t="shared" si="80"/>
        <v>0</v>
      </c>
      <c r="S433" s="10">
        <f t="shared" si="80"/>
        <v>1.2E-2</v>
      </c>
      <c r="T433" s="10">
        <f t="shared" si="80"/>
        <v>0</v>
      </c>
      <c r="U433" s="10">
        <f t="shared" si="80"/>
        <v>7.0000000000000001E-3</v>
      </c>
      <c r="V433" s="10">
        <f t="shared" si="80"/>
        <v>0</v>
      </c>
      <c r="W433" s="10">
        <f t="shared" si="80"/>
        <v>0</v>
      </c>
      <c r="X433" s="10">
        <f t="shared" si="80"/>
        <v>2.8000000000000001E-2</v>
      </c>
      <c r="Y433" s="10">
        <f t="shared" si="80"/>
        <v>2.7E-2</v>
      </c>
      <c r="Z433" s="10">
        <f t="shared" si="80"/>
        <v>0</v>
      </c>
      <c r="AA433" s="10">
        <f t="shared" si="80"/>
        <v>0</v>
      </c>
      <c r="AB433" s="10">
        <f t="shared" si="80"/>
        <v>2.1000000000000001E-2</v>
      </c>
      <c r="AC433" s="10">
        <f t="shared" si="80"/>
        <v>0</v>
      </c>
      <c r="AD433" s="10">
        <f t="shared" si="80"/>
        <v>3.7999999999999999E-2</v>
      </c>
      <c r="AE433" s="10">
        <f t="shared" si="80"/>
        <v>0</v>
      </c>
      <c r="AF433" s="10">
        <f t="shared" si="80"/>
        <v>0</v>
      </c>
    </row>
    <row r="434" spans="1:32">
      <c r="A434" s="10" t="s">
        <v>203</v>
      </c>
      <c r="B434" s="61" t="s">
        <v>286</v>
      </c>
      <c r="C434" s="10">
        <f t="shared" si="81"/>
        <v>7.0000000000000001E-3</v>
      </c>
      <c r="D434" s="10">
        <f t="shared" si="80"/>
        <v>5.2999999999999999E-2</v>
      </c>
      <c r="E434" s="10">
        <f t="shared" si="80"/>
        <v>4.2999999999999997E-2</v>
      </c>
      <c r="F434" s="10">
        <f t="shared" si="80"/>
        <v>0</v>
      </c>
      <c r="G434" s="10">
        <f t="shared" si="80"/>
        <v>3.9E-2</v>
      </c>
      <c r="H434" s="10">
        <f t="shared" si="80"/>
        <v>0</v>
      </c>
      <c r="I434" s="10">
        <f t="shared" si="80"/>
        <v>5.1999999999999998E-2</v>
      </c>
      <c r="J434" s="10">
        <f t="shared" si="80"/>
        <v>0</v>
      </c>
      <c r="K434" s="10">
        <f t="shared" si="80"/>
        <v>0</v>
      </c>
      <c r="L434" s="10">
        <f t="shared" si="80"/>
        <v>0</v>
      </c>
      <c r="M434" s="10">
        <f t="shared" si="80"/>
        <v>0</v>
      </c>
      <c r="N434" s="10">
        <f t="shared" si="80"/>
        <v>0</v>
      </c>
      <c r="O434" s="10">
        <f t="shared" si="80"/>
        <v>5.5E-2</v>
      </c>
      <c r="P434" s="10">
        <f t="shared" si="80"/>
        <v>0</v>
      </c>
      <c r="Q434" s="10">
        <f t="shared" si="80"/>
        <v>4.8000000000000001E-2</v>
      </c>
      <c r="R434" s="10">
        <f t="shared" si="80"/>
        <v>4.2999999999999997E-2</v>
      </c>
      <c r="S434" s="10">
        <f t="shared" si="80"/>
        <v>0</v>
      </c>
      <c r="T434" s="10">
        <f t="shared" si="80"/>
        <v>4.2000000000000003E-2</v>
      </c>
      <c r="U434" s="10">
        <f t="shared" si="80"/>
        <v>0</v>
      </c>
      <c r="V434" s="10">
        <f t="shared" si="80"/>
        <v>0</v>
      </c>
      <c r="W434" s="10">
        <f t="shared" si="80"/>
        <v>4.9000000000000002E-2</v>
      </c>
      <c r="X434" s="10">
        <f t="shared" si="80"/>
        <v>0</v>
      </c>
      <c r="Y434" s="10">
        <f t="shared" si="80"/>
        <v>0</v>
      </c>
      <c r="Z434" s="10">
        <f t="shared" si="80"/>
        <v>1.4E-2</v>
      </c>
      <c r="AA434" s="10">
        <f t="shared" si="80"/>
        <v>0</v>
      </c>
      <c r="AB434" s="10">
        <f t="shared" si="80"/>
        <v>0</v>
      </c>
      <c r="AC434" s="10">
        <f t="shared" si="80"/>
        <v>5.2999999999999999E-2</v>
      </c>
      <c r="AD434" s="10">
        <f t="shared" si="80"/>
        <v>0</v>
      </c>
      <c r="AE434" s="10">
        <f t="shared" si="80"/>
        <v>0.05</v>
      </c>
      <c r="AF434" s="10">
        <f t="shared" si="80"/>
        <v>0</v>
      </c>
    </row>
    <row r="435" spans="1:32">
      <c r="A435" s="10" t="s">
        <v>203</v>
      </c>
      <c r="B435" s="61" t="s">
        <v>287</v>
      </c>
      <c r="C435" s="10">
        <f t="shared" si="81"/>
        <v>0</v>
      </c>
      <c r="D435" s="10">
        <f t="shared" si="80"/>
        <v>0</v>
      </c>
      <c r="E435" s="10">
        <f t="shared" si="80"/>
        <v>0</v>
      </c>
      <c r="F435" s="10">
        <f t="shared" si="80"/>
        <v>0</v>
      </c>
      <c r="G435" s="10">
        <f t="shared" si="80"/>
        <v>0</v>
      </c>
      <c r="H435" s="10">
        <f t="shared" si="80"/>
        <v>0</v>
      </c>
      <c r="I435" s="10">
        <f t="shared" si="80"/>
        <v>5.6000000000000001E-2</v>
      </c>
      <c r="J435" s="10">
        <f t="shared" si="80"/>
        <v>4.2000000000000003E-2</v>
      </c>
      <c r="K435" s="10">
        <f t="shared" si="80"/>
        <v>2.1000000000000001E-2</v>
      </c>
      <c r="L435" s="10">
        <f t="shared" si="80"/>
        <v>0</v>
      </c>
      <c r="M435" s="10">
        <f t="shared" ref="D435:AF444" si="82">ROUND(M15*0.00003215271,3)</f>
        <v>0</v>
      </c>
      <c r="N435" s="10">
        <f t="shared" si="82"/>
        <v>0</v>
      </c>
      <c r="O435" s="10">
        <f t="shared" si="82"/>
        <v>0</v>
      </c>
      <c r="P435" s="10">
        <f t="shared" si="82"/>
        <v>0</v>
      </c>
      <c r="Q435" s="10">
        <f t="shared" si="82"/>
        <v>0</v>
      </c>
      <c r="R435" s="10">
        <f t="shared" si="82"/>
        <v>0</v>
      </c>
      <c r="S435" s="10">
        <f t="shared" si="82"/>
        <v>3.3000000000000002E-2</v>
      </c>
      <c r="T435" s="10">
        <f t="shared" si="82"/>
        <v>0</v>
      </c>
      <c r="U435" s="10">
        <f t="shared" si="82"/>
        <v>2.7E-2</v>
      </c>
      <c r="V435" s="10">
        <f t="shared" si="82"/>
        <v>0</v>
      </c>
      <c r="W435" s="10">
        <f t="shared" si="82"/>
        <v>0</v>
      </c>
      <c r="X435" s="10">
        <f t="shared" si="82"/>
        <v>3.2000000000000001E-2</v>
      </c>
      <c r="Y435" s="10">
        <f t="shared" si="82"/>
        <v>4.5999999999999999E-2</v>
      </c>
      <c r="Z435" s="10">
        <f t="shared" si="82"/>
        <v>0</v>
      </c>
      <c r="AA435" s="10">
        <f t="shared" si="82"/>
        <v>0</v>
      </c>
      <c r="AB435" s="10">
        <f t="shared" si="82"/>
        <v>1.6E-2</v>
      </c>
      <c r="AC435" s="10">
        <f t="shared" si="82"/>
        <v>0</v>
      </c>
      <c r="AD435" s="10">
        <f t="shared" si="82"/>
        <v>0</v>
      </c>
      <c r="AE435" s="10">
        <f t="shared" si="82"/>
        <v>0</v>
      </c>
      <c r="AF435" s="10">
        <f t="shared" si="82"/>
        <v>0</v>
      </c>
    </row>
    <row r="436" spans="1:32">
      <c r="A436" s="10" t="s">
        <v>203</v>
      </c>
      <c r="B436" s="61" t="s">
        <v>288</v>
      </c>
      <c r="C436" s="10">
        <f t="shared" si="81"/>
        <v>0</v>
      </c>
      <c r="D436" s="10">
        <f t="shared" si="82"/>
        <v>4.7E-2</v>
      </c>
      <c r="E436" s="10">
        <f t="shared" si="82"/>
        <v>0.01</v>
      </c>
      <c r="F436" s="10">
        <f t="shared" si="82"/>
        <v>0</v>
      </c>
      <c r="G436" s="10">
        <f t="shared" si="82"/>
        <v>1.0999999999999999E-2</v>
      </c>
      <c r="H436" s="10">
        <f t="shared" si="82"/>
        <v>5.1999999999999998E-2</v>
      </c>
      <c r="I436" s="10">
        <f t="shared" si="82"/>
        <v>1.6E-2</v>
      </c>
      <c r="J436" s="10">
        <f t="shared" si="82"/>
        <v>5.8000000000000003E-2</v>
      </c>
      <c r="K436" s="10">
        <f t="shared" si="82"/>
        <v>0</v>
      </c>
      <c r="L436" s="10">
        <f t="shared" si="82"/>
        <v>7.0000000000000001E-3</v>
      </c>
      <c r="M436" s="10">
        <f t="shared" si="82"/>
        <v>0</v>
      </c>
      <c r="N436" s="10">
        <f t="shared" si="82"/>
        <v>7.0999999999999994E-2</v>
      </c>
      <c r="O436" s="10">
        <f t="shared" si="82"/>
        <v>5.0999999999999997E-2</v>
      </c>
      <c r="P436" s="10">
        <f t="shared" si="82"/>
        <v>5.8999999999999997E-2</v>
      </c>
      <c r="Q436" s="10">
        <f t="shared" si="82"/>
        <v>4.1000000000000002E-2</v>
      </c>
      <c r="R436" s="10">
        <f t="shared" si="82"/>
        <v>3.2000000000000001E-2</v>
      </c>
      <c r="S436" s="10">
        <f t="shared" si="82"/>
        <v>0</v>
      </c>
      <c r="T436" s="10">
        <f t="shared" si="82"/>
        <v>3.5000000000000003E-2</v>
      </c>
      <c r="U436" s="10">
        <f t="shared" si="82"/>
        <v>0</v>
      </c>
      <c r="V436" s="10">
        <f t="shared" si="82"/>
        <v>5.8000000000000003E-2</v>
      </c>
      <c r="W436" s="10">
        <f t="shared" si="82"/>
        <v>4.1000000000000002E-2</v>
      </c>
      <c r="X436" s="10">
        <f t="shared" si="82"/>
        <v>8.6999999999999994E-2</v>
      </c>
      <c r="Y436" s="10">
        <f t="shared" si="82"/>
        <v>6.4000000000000001E-2</v>
      </c>
      <c r="Z436" s="10">
        <f t="shared" si="82"/>
        <v>1.7999999999999999E-2</v>
      </c>
      <c r="AA436" s="10">
        <f t="shared" si="82"/>
        <v>7.1999999999999995E-2</v>
      </c>
      <c r="AB436" s="10">
        <f t="shared" si="82"/>
        <v>8.4000000000000005E-2</v>
      </c>
      <c r="AC436" s="10">
        <f t="shared" si="82"/>
        <v>4.7E-2</v>
      </c>
      <c r="AD436" s="10">
        <f t="shared" si="82"/>
        <v>0.06</v>
      </c>
      <c r="AE436" s="10">
        <f t="shared" si="82"/>
        <v>1.9E-2</v>
      </c>
      <c r="AF436" s="10">
        <f t="shared" si="82"/>
        <v>0</v>
      </c>
    </row>
    <row r="437" spans="1:32">
      <c r="A437" s="10" t="s">
        <v>203</v>
      </c>
      <c r="B437" s="61" t="s">
        <v>289</v>
      </c>
      <c r="C437" s="10">
        <f t="shared" si="81"/>
        <v>7.0999999999999994E-2</v>
      </c>
      <c r="D437" s="10">
        <f t="shared" si="82"/>
        <v>3.7999999999999999E-2</v>
      </c>
      <c r="E437" s="10">
        <f t="shared" si="82"/>
        <v>0</v>
      </c>
      <c r="F437" s="10">
        <f t="shared" si="82"/>
        <v>1.4999999999999999E-2</v>
      </c>
      <c r="G437" s="10">
        <f t="shared" si="82"/>
        <v>0</v>
      </c>
      <c r="H437" s="10">
        <f t="shared" si="82"/>
        <v>4.2999999999999997E-2</v>
      </c>
      <c r="I437" s="10">
        <f t="shared" si="82"/>
        <v>5.2999999999999999E-2</v>
      </c>
      <c r="J437" s="10">
        <f t="shared" si="82"/>
        <v>0</v>
      </c>
      <c r="K437" s="10">
        <f t="shared" si="82"/>
        <v>0</v>
      </c>
      <c r="L437" s="10">
        <f t="shared" si="82"/>
        <v>0</v>
      </c>
      <c r="M437" s="10">
        <f t="shared" si="82"/>
        <v>0</v>
      </c>
      <c r="N437" s="10">
        <f t="shared" si="82"/>
        <v>0</v>
      </c>
      <c r="O437" s="10">
        <f t="shared" si="82"/>
        <v>2.8000000000000001E-2</v>
      </c>
      <c r="P437" s="10">
        <f t="shared" si="82"/>
        <v>0.03</v>
      </c>
      <c r="Q437" s="10">
        <f t="shared" si="82"/>
        <v>0</v>
      </c>
      <c r="R437" s="10">
        <f t="shared" si="82"/>
        <v>3.2000000000000001E-2</v>
      </c>
      <c r="S437" s="10">
        <f t="shared" si="82"/>
        <v>0</v>
      </c>
      <c r="T437" s="10">
        <f t="shared" si="82"/>
        <v>0</v>
      </c>
      <c r="U437" s="10">
        <f t="shared" si="82"/>
        <v>0</v>
      </c>
      <c r="V437" s="10">
        <f t="shared" si="82"/>
        <v>1.7000000000000001E-2</v>
      </c>
      <c r="W437" s="10">
        <f t="shared" si="82"/>
        <v>0</v>
      </c>
      <c r="X437" s="10">
        <f t="shared" si="82"/>
        <v>0</v>
      </c>
      <c r="Y437" s="10">
        <f t="shared" si="82"/>
        <v>4.8000000000000001E-2</v>
      </c>
      <c r="Z437" s="10">
        <f t="shared" si="82"/>
        <v>0</v>
      </c>
      <c r="AA437" s="10">
        <f t="shared" si="82"/>
        <v>2.5000000000000001E-2</v>
      </c>
      <c r="AB437" s="10">
        <f t="shared" si="82"/>
        <v>0</v>
      </c>
      <c r="AC437" s="10">
        <f t="shared" si="82"/>
        <v>3.3000000000000002E-2</v>
      </c>
      <c r="AD437" s="10">
        <f t="shared" si="82"/>
        <v>3.5999999999999997E-2</v>
      </c>
      <c r="AE437" s="10">
        <f t="shared" si="82"/>
        <v>0</v>
      </c>
      <c r="AF437" s="10">
        <f t="shared" si="82"/>
        <v>2.8000000000000001E-2</v>
      </c>
    </row>
    <row r="438" spans="1:32">
      <c r="A438" s="10" t="s">
        <v>203</v>
      </c>
      <c r="B438" s="61" t="s">
        <v>290</v>
      </c>
      <c r="C438" s="10">
        <f t="shared" si="81"/>
        <v>5.0999999999999997E-2</v>
      </c>
      <c r="D438" s="10">
        <f t="shared" si="82"/>
        <v>1.0999999999999999E-2</v>
      </c>
      <c r="E438" s="10">
        <f t="shared" si="82"/>
        <v>3.5000000000000003E-2</v>
      </c>
      <c r="F438" s="10">
        <f t="shared" si="82"/>
        <v>2.4E-2</v>
      </c>
      <c r="G438" s="10">
        <f t="shared" si="82"/>
        <v>2.1000000000000001E-2</v>
      </c>
      <c r="H438" s="10">
        <f t="shared" si="82"/>
        <v>1.7000000000000001E-2</v>
      </c>
      <c r="I438" s="10">
        <f t="shared" si="82"/>
        <v>2.5999999999999999E-2</v>
      </c>
      <c r="J438" s="10">
        <f t="shared" si="82"/>
        <v>4.2000000000000003E-2</v>
      </c>
      <c r="K438" s="10">
        <f t="shared" si="82"/>
        <v>0</v>
      </c>
      <c r="L438" s="10">
        <f t="shared" si="82"/>
        <v>5.5E-2</v>
      </c>
      <c r="M438" s="10">
        <f t="shared" si="82"/>
        <v>0</v>
      </c>
      <c r="N438" s="10">
        <f t="shared" si="82"/>
        <v>2.8000000000000001E-2</v>
      </c>
      <c r="O438" s="10">
        <f t="shared" si="82"/>
        <v>0</v>
      </c>
      <c r="P438" s="10">
        <f t="shared" si="82"/>
        <v>1.0999999999999999E-2</v>
      </c>
      <c r="Q438" s="10">
        <f t="shared" si="82"/>
        <v>0</v>
      </c>
      <c r="R438" s="10">
        <f t="shared" si="82"/>
        <v>1.4E-2</v>
      </c>
      <c r="S438" s="10">
        <f t="shared" si="82"/>
        <v>4.1000000000000002E-2</v>
      </c>
      <c r="T438" s="10">
        <f t="shared" si="82"/>
        <v>0.03</v>
      </c>
      <c r="U438" s="10">
        <f t="shared" si="82"/>
        <v>0</v>
      </c>
      <c r="V438" s="10">
        <f t="shared" si="82"/>
        <v>1.0999999999999999E-2</v>
      </c>
      <c r="W438" s="10">
        <f t="shared" si="82"/>
        <v>3.5999999999999997E-2</v>
      </c>
      <c r="X438" s="10">
        <f t="shared" si="82"/>
        <v>0</v>
      </c>
      <c r="Y438" s="10">
        <f t="shared" si="82"/>
        <v>2.5999999999999999E-2</v>
      </c>
      <c r="Z438" s="10">
        <f t="shared" si="82"/>
        <v>0</v>
      </c>
      <c r="AA438" s="10">
        <f t="shared" si="82"/>
        <v>2.1999999999999999E-2</v>
      </c>
      <c r="AB438" s="10">
        <f t="shared" si="82"/>
        <v>6.3E-2</v>
      </c>
      <c r="AC438" s="10">
        <f t="shared" si="82"/>
        <v>6.0000000000000001E-3</v>
      </c>
      <c r="AD438" s="10">
        <f t="shared" si="82"/>
        <v>1.4999999999999999E-2</v>
      </c>
      <c r="AE438" s="10">
        <f t="shared" si="82"/>
        <v>0</v>
      </c>
      <c r="AF438" s="10">
        <f t="shared" si="82"/>
        <v>0</v>
      </c>
    </row>
    <row r="439" spans="1:32">
      <c r="A439" s="10" t="s">
        <v>203</v>
      </c>
      <c r="B439" s="61" t="s">
        <v>291</v>
      </c>
      <c r="C439" s="10">
        <f t="shared" si="81"/>
        <v>5.8999999999999997E-2</v>
      </c>
      <c r="D439" s="10">
        <f t="shared" si="82"/>
        <v>1.2999999999999999E-2</v>
      </c>
      <c r="E439" s="10">
        <f t="shared" si="82"/>
        <v>3.6999999999999998E-2</v>
      </c>
      <c r="F439" s="10">
        <f t="shared" si="82"/>
        <v>2.1999999999999999E-2</v>
      </c>
      <c r="G439" s="10">
        <f t="shared" si="82"/>
        <v>2.7E-2</v>
      </c>
      <c r="H439" s="10">
        <f t="shared" si="82"/>
        <v>1.2999999999999999E-2</v>
      </c>
      <c r="I439" s="10">
        <f t="shared" si="82"/>
        <v>2.5000000000000001E-2</v>
      </c>
      <c r="J439" s="10">
        <f t="shared" si="82"/>
        <v>3.7999999999999999E-2</v>
      </c>
      <c r="K439" s="10">
        <f t="shared" si="82"/>
        <v>0</v>
      </c>
      <c r="L439" s="10">
        <f t="shared" si="82"/>
        <v>0</v>
      </c>
      <c r="M439" s="10">
        <f t="shared" si="82"/>
        <v>0</v>
      </c>
      <c r="N439" s="10">
        <f t="shared" si="82"/>
        <v>0.03</v>
      </c>
      <c r="O439" s="10">
        <f t="shared" si="82"/>
        <v>1.0999999999999999E-2</v>
      </c>
      <c r="P439" s="10">
        <f t="shared" si="82"/>
        <v>0</v>
      </c>
      <c r="Q439" s="10">
        <f t="shared" si="82"/>
        <v>0</v>
      </c>
      <c r="R439" s="10">
        <f t="shared" si="82"/>
        <v>2.4E-2</v>
      </c>
      <c r="S439" s="10">
        <f t="shared" si="82"/>
        <v>3.1E-2</v>
      </c>
      <c r="T439" s="10">
        <f t="shared" si="82"/>
        <v>3.3000000000000002E-2</v>
      </c>
      <c r="U439" s="10">
        <f t="shared" si="82"/>
        <v>3.6999999999999998E-2</v>
      </c>
      <c r="V439" s="10">
        <f t="shared" si="82"/>
        <v>1.6E-2</v>
      </c>
      <c r="W439" s="10">
        <f t="shared" si="82"/>
        <v>3.6999999999999998E-2</v>
      </c>
      <c r="X439" s="10">
        <f t="shared" si="82"/>
        <v>0</v>
      </c>
      <c r="Y439" s="10">
        <f t="shared" si="82"/>
        <v>1.7999999999999999E-2</v>
      </c>
      <c r="Z439" s="10">
        <f t="shared" si="82"/>
        <v>0</v>
      </c>
      <c r="AA439" s="10">
        <f t="shared" si="82"/>
        <v>1.4999999999999999E-2</v>
      </c>
      <c r="AB439" s="10">
        <f t="shared" si="82"/>
        <v>5.6000000000000001E-2</v>
      </c>
      <c r="AC439" s="10">
        <f t="shared" si="82"/>
        <v>1.2E-2</v>
      </c>
      <c r="AD439" s="10">
        <f t="shared" si="82"/>
        <v>6.0000000000000001E-3</v>
      </c>
      <c r="AE439" s="10">
        <f t="shared" si="82"/>
        <v>0</v>
      </c>
      <c r="AF439" s="10">
        <f t="shared" si="82"/>
        <v>0</v>
      </c>
    </row>
    <row r="440" spans="1:32">
      <c r="A440" s="10" t="s">
        <v>203</v>
      </c>
      <c r="B440" s="61" t="s">
        <v>292</v>
      </c>
      <c r="C440" s="10">
        <f t="shared" si="81"/>
        <v>4.1000000000000002E-2</v>
      </c>
      <c r="D440" s="10">
        <f t="shared" si="82"/>
        <v>0</v>
      </c>
      <c r="E440" s="10">
        <f t="shared" si="82"/>
        <v>0.03</v>
      </c>
      <c r="F440" s="10">
        <f t="shared" si="82"/>
        <v>0</v>
      </c>
      <c r="G440" s="10">
        <f t="shared" si="82"/>
        <v>0</v>
      </c>
      <c r="H440" s="10">
        <f t="shared" si="82"/>
        <v>0</v>
      </c>
      <c r="I440" s="10">
        <f t="shared" si="82"/>
        <v>4.1000000000000002E-2</v>
      </c>
      <c r="J440" s="10">
        <f t="shared" si="82"/>
        <v>3.9E-2</v>
      </c>
      <c r="K440" s="10">
        <f t="shared" si="82"/>
        <v>0</v>
      </c>
      <c r="L440" s="10">
        <f t="shared" si="82"/>
        <v>4.8000000000000001E-2</v>
      </c>
      <c r="M440" s="10">
        <f t="shared" si="82"/>
        <v>0</v>
      </c>
      <c r="N440" s="10">
        <f t="shared" si="82"/>
        <v>0</v>
      </c>
      <c r="O440" s="10">
        <f t="shared" si="82"/>
        <v>0</v>
      </c>
      <c r="P440" s="10">
        <f t="shared" si="82"/>
        <v>0</v>
      </c>
      <c r="Q440" s="10">
        <f t="shared" si="82"/>
        <v>0</v>
      </c>
      <c r="R440" s="10">
        <f t="shared" si="82"/>
        <v>0</v>
      </c>
      <c r="S440" s="10">
        <f t="shared" si="82"/>
        <v>0</v>
      </c>
      <c r="T440" s="10">
        <f t="shared" si="82"/>
        <v>3.4000000000000002E-2</v>
      </c>
      <c r="U440" s="10">
        <f t="shared" si="82"/>
        <v>0</v>
      </c>
      <c r="V440" s="10">
        <f t="shared" si="82"/>
        <v>0</v>
      </c>
      <c r="W440" s="10">
        <f t="shared" si="82"/>
        <v>0.03</v>
      </c>
      <c r="X440" s="10">
        <f t="shared" si="82"/>
        <v>5.7000000000000002E-2</v>
      </c>
      <c r="Y440" s="10">
        <f t="shared" si="82"/>
        <v>0</v>
      </c>
      <c r="Z440" s="10">
        <f t="shared" si="82"/>
        <v>0</v>
      </c>
      <c r="AA440" s="10">
        <f t="shared" si="82"/>
        <v>0</v>
      </c>
      <c r="AB440" s="10">
        <f t="shared" si="82"/>
        <v>0</v>
      </c>
      <c r="AC440" s="10">
        <f t="shared" si="82"/>
        <v>0</v>
      </c>
      <c r="AD440" s="10">
        <f t="shared" si="82"/>
        <v>0</v>
      </c>
      <c r="AE440" s="10">
        <f t="shared" si="82"/>
        <v>1.2E-2</v>
      </c>
      <c r="AF440" s="10">
        <f t="shared" si="82"/>
        <v>0</v>
      </c>
    </row>
    <row r="441" spans="1:32">
      <c r="A441" s="10" t="s">
        <v>203</v>
      </c>
      <c r="B441" s="61" t="s">
        <v>293</v>
      </c>
      <c r="C441" s="10">
        <f t="shared" si="81"/>
        <v>3.2000000000000001E-2</v>
      </c>
      <c r="D441" s="10">
        <f t="shared" si="82"/>
        <v>1.7999999999999999E-2</v>
      </c>
      <c r="E441" s="10">
        <f t="shared" si="82"/>
        <v>3.3000000000000002E-2</v>
      </c>
      <c r="F441" s="10">
        <f t="shared" si="82"/>
        <v>3.5000000000000003E-2</v>
      </c>
      <c r="G441" s="10">
        <f t="shared" si="82"/>
        <v>1.7000000000000001E-2</v>
      </c>
      <c r="H441" s="10">
        <f t="shared" si="82"/>
        <v>2.5999999999999999E-2</v>
      </c>
      <c r="I441" s="10">
        <f t="shared" si="82"/>
        <v>0.03</v>
      </c>
      <c r="J441" s="10">
        <f t="shared" si="82"/>
        <v>4.7E-2</v>
      </c>
      <c r="K441" s="10">
        <f t="shared" si="82"/>
        <v>0</v>
      </c>
      <c r="L441" s="10">
        <f t="shared" si="82"/>
        <v>4.2999999999999997E-2</v>
      </c>
      <c r="M441" s="10">
        <f t="shared" si="82"/>
        <v>0</v>
      </c>
      <c r="N441" s="10">
        <f t="shared" si="82"/>
        <v>3.2000000000000001E-2</v>
      </c>
      <c r="O441" s="10">
        <f t="shared" si="82"/>
        <v>1.4E-2</v>
      </c>
      <c r="P441" s="10">
        <f t="shared" si="82"/>
        <v>2.4E-2</v>
      </c>
      <c r="Q441" s="10">
        <f t="shared" si="82"/>
        <v>0</v>
      </c>
      <c r="R441" s="10">
        <f t="shared" si="82"/>
        <v>0</v>
      </c>
      <c r="S441" s="10">
        <f t="shared" si="82"/>
        <v>0</v>
      </c>
      <c r="T441" s="10">
        <f t="shared" si="82"/>
        <v>2.9000000000000001E-2</v>
      </c>
      <c r="U441" s="10">
        <f t="shared" si="82"/>
        <v>0</v>
      </c>
      <c r="V441" s="10">
        <f t="shared" si="82"/>
        <v>1.9E-2</v>
      </c>
      <c r="W441" s="10">
        <f t="shared" si="82"/>
        <v>3.6999999999999998E-2</v>
      </c>
      <c r="X441" s="10">
        <f t="shared" si="82"/>
        <v>0</v>
      </c>
      <c r="Y441" s="10">
        <f t="shared" si="82"/>
        <v>3.7999999999999999E-2</v>
      </c>
      <c r="Z441" s="10">
        <f t="shared" si="82"/>
        <v>0</v>
      </c>
      <c r="AA441" s="10">
        <f t="shared" si="82"/>
        <v>3.5000000000000003E-2</v>
      </c>
      <c r="AB441" s="10">
        <f t="shared" si="82"/>
        <v>7.1999999999999995E-2</v>
      </c>
      <c r="AC441" s="10">
        <f t="shared" si="82"/>
        <v>1.4E-2</v>
      </c>
      <c r="AD441" s="10">
        <f t="shared" si="82"/>
        <v>2.8000000000000001E-2</v>
      </c>
      <c r="AE441" s="10">
        <f t="shared" si="82"/>
        <v>5.3999999999999999E-2</v>
      </c>
      <c r="AF441" s="10">
        <f t="shared" si="82"/>
        <v>0</v>
      </c>
    </row>
    <row r="442" spans="1:32">
      <c r="A442" s="10" t="s">
        <v>203</v>
      </c>
      <c r="B442" s="61" t="s">
        <v>309</v>
      </c>
      <c r="C442" s="10">
        <f t="shared" si="81"/>
        <v>0</v>
      </c>
      <c r="D442" s="10">
        <f t="shared" si="82"/>
        <v>3.5000000000000003E-2</v>
      </c>
      <c r="E442" s="10">
        <f t="shared" si="82"/>
        <v>0</v>
      </c>
      <c r="F442" s="10">
        <f t="shared" si="82"/>
        <v>0</v>
      </c>
      <c r="G442" s="10">
        <f t="shared" si="82"/>
        <v>0</v>
      </c>
      <c r="H442" s="10">
        <f t="shared" si="82"/>
        <v>2.7E-2</v>
      </c>
      <c r="I442" s="10">
        <f t="shared" si="82"/>
        <v>3.3000000000000002E-2</v>
      </c>
      <c r="J442" s="10">
        <f t="shared" si="82"/>
        <v>2.8000000000000001E-2</v>
      </c>
      <c r="K442" s="10">
        <f t="shared" si="82"/>
        <v>1.2E-2</v>
      </c>
      <c r="L442" s="10">
        <f t="shared" si="82"/>
        <v>0</v>
      </c>
      <c r="M442" s="10">
        <f t="shared" si="82"/>
        <v>3.3000000000000002E-2</v>
      </c>
      <c r="N442" s="10">
        <f t="shared" si="82"/>
        <v>0</v>
      </c>
      <c r="O442" s="10">
        <f t="shared" si="82"/>
        <v>4.1000000000000002E-2</v>
      </c>
      <c r="P442" s="10">
        <f t="shared" si="82"/>
        <v>3.1E-2</v>
      </c>
      <c r="Q442" s="10">
        <f t="shared" si="82"/>
        <v>0</v>
      </c>
      <c r="R442" s="10">
        <f t="shared" si="82"/>
        <v>0</v>
      </c>
      <c r="S442" s="10">
        <f t="shared" si="82"/>
        <v>0</v>
      </c>
      <c r="T442" s="10">
        <f t="shared" si="82"/>
        <v>0</v>
      </c>
      <c r="U442" s="10">
        <f t="shared" si="82"/>
        <v>6.0000000000000001E-3</v>
      </c>
      <c r="V442" s="10">
        <f t="shared" si="82"/>
        <v>0</v>
      </c>
      <c r="W442" s="10">
        <f t="shared" si="82"/>
        <v>0.04</v>
      </c>
      <c r="X442" s="10">
        <f t="shared" si="82"/>
        <v>3.6999999999999998E-2</v>
      </c>
      <c r="Y442" s="10">
        <f t="shared" si="82"/>
        <v>1.4999999999999999E-2</v>
      </c>
      <c r="Z442" s="10">
        <f t="shared" si="82"/>
        <v>0</v>
      </c>
      <c r="AA442" s="10">
        <f t="shared" si="82"/>
        <v>3.4000000000000002E-2</v>
      </c>
      <c r="AB442" s="10">
        <f t="shared" si="82"/>
        <v>0.03</v>
      </c>
      <c r="AC442" s="10">
        <f t="shared" si="82"/>
        <v>3.9E-2</v>
      </c>
      <c r="AD442" s="10">
        <f t="shared" si="82"/>
        <v>2.5999999999999999E-2</v>
      </c>
      <c r="AE442" s="10">
        <f t="shared" si="82"/>
        <v>0</v>
      </c>
      <c r="AF442" s="10">
        <f t="shared" si="82"/>
        <v>0</v>
      </c>
    </row>
    <row r="443" spans="1:32">
      <c r="A443" s="10" t="s">
        <v>203</v>
      </c>
      <c r="B443" s="61" t="s">
        <v>294</v>
      </c>
      <c r="C443" s="10">
        <f t="shared" ref="C443:C455" si="83">ROUND(C23*0.00003215271,3)</f>
        <v>3.5000000000000003E-2</v>
      </c>
      <c r="D443" s="10">
        <f t="shared" si="82"/>
        <v>2.1000000000000001E-2</v>
      </c>
      <c r="E443" s="10">
        <f t="shared" si="82"/>
        <v>5.0000000000000001E-3</v>
      </c>
      <c r="F443" s="10">
        <f t="shared" si="82"/>
        <v>0</v>
      </c>
      <c r="G443" s="10">
        <f t="shared" si="82"/>
        <v>1.2E-2</v>
      </c>
      <c r="H443" s="10">
        <f t="shared" si="82"/>
        <v>2.1000000000000001E-2</v>
      </c>
      <c r="I443" s="10">
        <f t="shared" si="82"/>
        <v>1.0999999999999999E-2</v>
      </c>
      <c r="J443" s="10">
        <f t="shared" si="82"/>
        <v>2.4E-2</v>
      </c>
      <c r="K443" s="10">
        <f t="shared" si="82"/>
        <v>0</v>
      </c>
      <c r="L443" s="10">
        <f t="shared" si="82"/>
        <v>4.2000000000000003E-2</v>
      </c>
      <c r="M443" s="10">
        <f t="shared" si="82"/>
        <v>0</v>
      </c>
      <c r="N443" s="10">
        <f t="shared" si="82"/>
        <v>0</v>
      </c>
      <c r="O443" s="10">
        <f t="shared" si="82"/>
        <v>0.03</v>
      </c>
      <c r="P443" s="10">
        <f t="shared" si="82"/>
        <v>3.3000000000000002E-2</v>
      </c>
      <c r="Q443" s="10">
        <f t="shared" si="82"/>
        <v>3.4000000000000002E-2</v>
      </c>
      <c r="R443" s="10">
        <f t="shared" si="82"/>
        <v>2.9000000000000001E-2</v>
      </c>
      <c r="S443" s="10">
        <f t="shared" si="82"/>
        <v>0</v>
      </c>
      <c r="T443" s="10">
        <f t="shared" si="82"/>
        <v>0</v>
      </c>
      <c r="U443" s="10">
        <f t="shared" si="82"/>
        <v>0</v>
      </c>
      <c r="V443" s="10">
        <f t="shared" si="82"/>
        <v>0</v>
      </c>
      <c r="W443" s="10">
        <f t="shared" si="82"/>
        <v>8.9999999999999993E-3</v>
      </c>
      <c r="X443" s="10">
        <f t="shared" si="82"/>
        <v>5.5E-2</v>
      </c>
      <c r="Y443" s="10">
        <f t="shared" si="82"/>
        <v>3.1E-2</v>
      </c>
      <c r="Z443" s="10">
        <f t="shared" si="82"/>
        <v>0</v>
      </c>
      <c r="AA443" s="10">
        <f t="shared" si="82"/>
        <v>0</v>
      </c>
      <c r="AB443" s="10">
        <f t="shared" si="82"/>
        <v>5.0999999999999997E-2</v>
      </c>
      <c r="AC443" s="10">
        <f t="shared" si="82"/>
        <v>2.5000000000000001E-2</v>
      </c>
      <c r="AD443" s="10">
        <f t="shared" si="82"/>
        <v>3.2000000000000001E-2</v>
      </c>
      <c r="AE443" s="10">
        <f t="shared" si="82"/>
        <v>2.5000000000000001E-2</v>
      </c>
      <c r="AF443" s="10">
        <f t="shared" si="82"/>
        <v>0</v>
      </c>
    </row>
    <row r="444" spans="1:32">
      <c r="A444" s="10" t="s">
        <v>203</v>
      </c>
      <c r="B444" s="61" t="s">
        <v>310</v>
      </c>
      <c r="C444" s="10">
        <f t="shared" si="83"/>
        <v>0</v>
      </c>
      <c r="D444" s="10">
        <f t="shared" si="82"/>
        <v>4.1000000000000002E-2</v>
      </c>
      <c r="E444" s="10">
        <f t="shared" si="82"/>
        <v>0</v>
      </c>
      <c r="F444" s="10">
        <f t="shared" si="82"/>
        <v>0</v>
      </c>
      <c r="G444" s="10">
        <f t="shared" ref="D444:AF452" si="84">ROUND(G24*0.00003215271,3)</f>
        <v>0</v>
      </c>
      <c r="H444" s="10">
        <f t="shared" si="84"/>
        <v>3.3000000000000002E-2</v>
      </c>
      <c r="I444" s="10">
        <f t="shared" si="84"/>
        <v>3.6999999999999998E-2</v>
      </c>
      <c r="J444" s="10">
        <f t="shared" si="84"/>
        <v>0.03</v>
      </c>
      <c r="K444" s="10">
        <f t="shared" si="84"/>
        <v>7.0000000000000001E-3</v>
      </c>
      <c r="L444" s="10">
        <f t="shared" si="84"/>
        <v>0</v>
      </c>
      <c r="M444" s="10">
        <f t="shared" si="84"/>
        <v>2.7E-2</v>
      </c>
      <c r="N444" s="10">
        <f t="shared" si="84"/>
        <v>0</v>
      </c>
      <c r="O444" s="10">
        <f t="shared" si="84"/>
        <v>0</v>
      </c>
      <c r="P444" s="10">
        <f t="shared" si="84"/>
        <v>3.6999999999999998E-2</v>
      </c>
      <c r="Q444" s="10">
        <f t="shared" si="84"/>
        <v>0</v>
      </c>
      <c r="R444" s="10">
        <f t="shared" si="84"/>
        <v>0</v>
      </c>
      <c r="S444" s="10">
        <f t="shared" si="84"/>
        <v>6.0000000000000001E-3</v>
      </c>
      <c r="T444" s="10">
        <f t="shared" si="84"/>
        <v>0</v>
      </c>
      <c r="U444" s="10">
        <f t="shared" si="84"/>
        <v>0</v>
      </c>
      <c r="V444" s="10">
        <f t="shared" si="84"/>
        <v>0</v>
      </c>
      <c r="W444" s="10">
        <f t="shared" si="84"/>
        <v>4.2999999999999997E-2</v>
      </c>
      <c r="X444" s="10">
        <f t="shared" si="84"/>
        <v>3.3000000000000002E-2</v>
      </c>
      <c r="Y444" s="10">
        <f t="shared" si="84"/>
        <v>0.02</v>
      </c>
      <c r="Z444" s="10">
        <f t="shared" si="84"/>
        <v>0</v>
      </c>
      <c r="AA444" s="10">
        <f t="shared" si="84"/>
        <v>3.9E-2</v>
      </c>
      <c r="AB444" s="10">
        <f t="shared" si="84"/>
        <v>2.5999999999999999E-2</v>
      </c>
      <c r="AC444" s="10">
        <f t="shared" si="84"/>
        <v>0</v>
      </c>
      <c r="AD444" s="10">
        <f t="shared" si="84"/>
        <v>3.1E-2</v>
      </c>
      <c r="AE444" s="10">
        <f t="shared" si="84"/>
        <v>0</v>
      </c>
      <c r="AF444" s="10">
        <f t="shared" si="84"/>
        <v>0</v>
      </c>
    </row>
    <row r="445" spans="1:32">
      <c r="A445" s="10" t="s">
        <v>203</v>
      </c>
      <c r="B445" s="61" t="s">
        <v>297</v>
      </c>
      <c r="C445" s="10">
        <f t="shared" si="83"/>
        <v>4.1000000000000002E-2</v>
      </c>
      <c r="D445" s="10">
        <f t="shared" si="84"/>
        <v>2.5999999999999999E-2</v>
      </c>
      <c r="E445" s="10">
        <f t="shared" si="84"/>
        <v>6.0000000000000001E-3</v>
      </c>
      <c r="F445" s="10">
        <f t="shared" si="84"/>
        <v>0</v>
      </c>
      <c r="G445" s="10">
        <f t="shared" si="84"/>
        <v>0.02</v>
      </c>
      <c r="H445" s="10">
        <f t="shared" si="84"/>
        <v>2.4E-2</v>
      </c>
      <c r="I445" s="10">
        <f t="shared" si="84"/>
        <v>1.0999999999999999E-2</v>
      </c>
      <c r="J445" s="10">
        <f t="shared" si="84"/>
        <v>1.6E-2</v>
      </c>
      <c r="K445" s="10">
        <f t="shared" si="84"/>
        <v>0</v>
      </c>
      <c r="L445" s="10">
        <f t="shared" si="84"/>
        <v>4.9000000000000002E-2</v>
      </c>
      <c r="M445" s="10">
        <f t="shared" si="84"/>
        <v>0</v>
      </c>
      <c r="N445" s="10">
        <f t="shared" si="84"/>
        <v>0</v>
      </c>
      <c r="O445" s="10">
        <f t="shared" si="84"/>
        <v>3.5999999999999997E-2</v>
      </c>
      <c r="P445" s="10">
        <f t="shared" si="84"/>
        <v>3.6999999999999998E-2</v>
      </c>
      <c r="Q445" s="10">
        <f t="shared" si="84"/>
        <v>0.03</v>
      </c>
      <c r="R445" s="10">
        <f t="shared" si="84"/>
        <v>3.6999999999999998E-2</v>
      </c>
      <c r="S445" s="10">
        <f t="shared" si="84"/>
        <v>0.04</v>
      </c>
      <c r="T445" s="10">
        <f t="shared" si="84"/>
        <v>8.9999999999999993E-3</v>
      </c>
      <c r="U445" s="10">
        <f t="shared" si="84"/>
        <v>4.2999999999999997E-2</v>
      </c>
      <c r="V445" s="10">
        <f t="shared" si="84"/>
        <v>0</v>
      </c>
      <c r="W445" s="10">
        <f t="shared" si="84"/>
        <v>0</v>
      </c>
      <c r="X445" s="10">
        <f t="shared" si="84"/>
        <v>4.5999999999999999E-2</v>
      </c>
      <c r="Y445" s="10">
        <f t="shared" si="84"/>
        <v>0.03</v>
      </c>
      <c r="Z445" s="10">
        <f t="shared" si="84"/>
        <v>0</v>
      </c>
      <c r="AA445" s="10">
        <f t="shared" si="84"/>
        <v>0</v>
      </c>
      <c r="AB445" s="10">
        <f t="shared" si="84"/>
        <v>4.2999999999999997E-2</v>
      </c>
      <c r="AC445" s="10">
        <f t="shared" si="84"/>
        <v>3.1E-2</v>
      </c>
      <c r="AD445" s="10">
        <f t="shared" si="84"/>
        <v>3.4000000000000002E-2</v>
      </c>
      <c r="AE445" s="10">
        <f t="shared" si="84"/>
        <v>1.9E-2</v>
      </c>
      <c r="AF445" s="10">
        <f t="shared" si="84"/>
        <v>0</v>
      </c>
    </row>
    <row r="446" spans="1:32">
      <c r="A446" s="10" t="s">
        <v>203</v>
      </c>
      <c r="B446" s="61" t="s">
        <v>298</v>
      </c>
      <c r="C446" s="10">
        <f t="shared" si="83"/>
        <v>8.6999999999999994E-2</v>
      </c>
      <c r="D446" s="10">
        <f t="shared" si="84"/>
        <v>0</v>
      </c>
      <c r="E446" s="10">
        <f t="shared" si="84"/>
        <v>5.2999999999999999E-2</v>
      </c>
      <c r="F446" s="10">
        <f t="shared" si="84"/>
        <v>0</v>
      </c>
      <c r="G446" s="10">
        <f t="shared" si="84"/>
        <v>0</v>
      </c>
      <c r="H446" s="10">
        <f t="shared" si="84"/>
        <v>5.2999999999999999E-2</v>
      </c>
      <c r="I446" s="10">
        <f t="shared" si="84"/>
        <v>4.8000000000000001E-2</v>
      </c>
      <c r="J446" s="10">
        <f t="shared" si="84"/>
        <v>2.3E-2</v>
      </c>
      <c r="K446" s="10">
        <f t="shared" si="84"/>
        <v>2.8000000000000001E-2</v>
      </c>
      <c r="L446" s="10">
        <f t="shared" si="84"/>
        <v>0</v>
      </c>
      <c r="M446" s="10">
        <f t="shared" si="84"/>
        <v>3.2000000000000001E-2</v>
      </c>
      <c r="N446" s="10">
        <f t="shared" si="84"/>
        <v>0</v>
      </c>
      <c r="O446" s="10">
        <f t="shared" si="84"/>
        <v>0</v>
      </c>
      <c r="P446" s="10">
        <f t="shared" si="84"/>
        <v>0</v>
      </c>
      <c r="Q446" s="10">
        <f t="shared" si="84"/>
        <v>5.7000000000000002E-2</v>
      </c>
      <c r="R446" s="10">
        <f t="shared" si="84"/>
        <v>0</v>
      </c>
      <c r="S446" s="10">
        <f t="shared" si="84"/>
        <v>3.6999999999999998E-2</v>
      </c>
      <c r="T446" s="10">
        <f t="shared" si="84"/>
        <v>5.5E-2</v>
      </c>
      <c r="U446" s="10">
        <f t="shared" si="84"/>
        <v>3.3000000000000002E-2</v>
      </c>
      <c r="V446" s="10">
        <f t="shared" si="84"/>
        <v>0</v>
      </c>
      <c r="W446" s="10">
        <f t="shared" si="84"/>
        <v>4.5999999999999999E-2</v>
      </c>
      <c r="X446" s="10">
        <f t="shared" si="84"/>
        <v>0</v>
      </c>
      <c r="Y446" s="10">
        <f t="shared" si="84"/>
        <v>4.4999999999999998E-2</v>
      </c>
      <c r="Z446" s="10">
        <f t="shared" si="84"/>
        <v>0</v>
      </c>
      <c r="AA446" s="10">
        <f t="shared" si="84"/>
        <v>0</v>
      </c>
      <c r="AB446" s="10">
        <f t="shared" si="84"/>
        <v>7.0000000000000001E-3</v>
      </c>
      <c r="AC446" s="10">
        <f t="shared" si="84"/>
        <v>0</v>
      </c>
      <c r="AD446" s="10">
        <f t="shared" si="84"/>
        <v>0</v>
      </c>
      <c r="AE446" s="10">
        <f t="shared" si="84"/>
        <v>4.8000000000000001E-2</v>
      </c>
      <c r="AF446" s="10">
        <f t="shared" si="84"/>
        <v>0</v>
      </c>
    </row>
    <row r="447" spans="1:32">
      <c r="A447" s="10" t="s">
        <v>203</v>
      </c>
      <c r="B447" s="61" t="s">
        <v>357</v>
      </c>
      <c r="C447" s="10">
        <f t="shared" si="83"/>
        <v>5.8000000000000003E-2</v>
      </c>
      <c r="D447" s="10">
        <f t="shared" si="84"/>
        <v>2.1000000000000001E-2</v>
      </c>
      <c r="E447" s="10">
        <f t="shared" si="84"/>
        <v>0</v>
      </c>
      <c r="F447" s="10">
        <f t="shared" si="84"/>
        <v>1.6E-2</v>
      </c>
      <c r="G447" s="10">
        <f t="shared" si="84"/>
        <v>3.1E-2</v>
      </c>
      <c r="H447" s="10">
        <f t="shared" si="84"/>
        <v>2.7E-2</v>
      </c>
      <c r="I447" s="10">
        <f t="shared" si="84"/>
        <v>3.6999999999999998E-2</v>
      </c>
      <c r="J447" s="10">
        <f t="shared" si="84"/>
        <v>0</v>
      </c>
      <c r="K447" s="10">
        <f t="shared" si="84"/>
        <v>0</v>
      </c>
      <c r="L447" s="10">
        <f t="shared" si="84"/>
        <v>0</v>
      </c>
      <c r="M447" s="10">
        <f t="shared" si="84"/>
        <v>0</v>
      </c>
      <c r="N447" s="10">
        <f t="shared" si="84"/>
        <v>1.7000000000000001E-2</v>
      </c>
      <c r="O447" s="10">
        <f t="shared" si="84"/>
        <v>1.0999999999999999E-2</v>
      </c>
      <c r="P447" s="10">
        <f t="shared" si="84"/>
        <v>1.6E-2</v>
      </c>
      <c r="Q447" s="10">
        <f t="shared" si="84"/>
        <v>0</v>
      </c>
      <c r="R447" s="10">
        <f t="shared" si="84"/>
        <v>1.9E-2</v>
      </c>
      <c r="S447" s="10">
        <f t="shared" si="84"/>
        <v>0</v>
      </c>
      <c r="T447" s="10">
        <f t="shared" si="84"/>
        <v>0</v>
      </c>
      <c r="U447" s="10">
        <f t="shared" si="84"/>
        <v>0</v>
      </c>
      <c r="V447" s="10">
        <f t="shared" si="84"/>
        <v>0</v>
      </c>
      <c r="W447" s="10">
        <f t="shared" si="84"/>
        <v>0</v>
      </c>
      <c r="X447" s="10">
        <f t="shared" si="84"/>
        <v>0</v>
      </c>
      <c r="Y447" s="10">
        <f t="shared" si="84"/>
        <v>3.3000000000000002E-2</v>
      </c>
      <c r="Z447" s="10">
        <f t="shared" si="84"/>
        <v>0</v>
      </c>
      <c r="AA447" s="10">
        <f t="shared" si="84"/>
        <v>1.7999999999999999E-2</v>
      </c>
      <c r="AB447" s="10">
        <f t="shared" si="84"/>
        <v>0</v>
      </c>
      <c r="AC447" s="10">
        <f t="shared" si="84"/>
        <v>1.6E-2</v>
      </c>
      <c r="AD447" s="10">
        <f t="shared" si="84"/>
        <v>2.1000000000000001E-2</v>
      </c>
      <c r="AE447" s="10">
        <f t="shared" si="84"/>
        <v>0</v>
      </c>
      <c r="AF447" s="10">
        <f t="shared" si="84"/>
        <v>0</v>
      </c>
    </row>
    <row r="448" spans="1:32">
      <c r="A448" s="10" t="s">
        <v>203</v>
      </c>
      <c r="B448" s="61" t="s">
        <v>299</v>
      </c>
      <c r="C448" s="10">
        <f t="shared" si="83"/>
        <v>6.4000000000000001E-2</v>
      </c>
      <c r="D448" s="10">
        <f t="shared" si="84"/>
        <v>0.02</v>
      </c>
      <c r="E448" s="10">
        <f t="shared" si="84"/>
        <v>3.3000000000000002E-2</v>
      </c>
      <c r="F448" s="10">
        <f t="shared" si="84"/>
        <v>3.5999999999999997E-2</v>
      </c>
      <c r="G448" s="10">
        <f t="shared" si="84"/>
        <v>3.2000000000000001E-2</v>
      </c>
      <c r="H448" s="10">
        <f t="shared" si="84"/>
        <v>1.2999999999999999E-2</v>
      </c>
      <c r="I448" s="10">
        <f t="shared" si="84"/>
        <v>0.02</v>
      </c>
      <c r="J448" s="10">
        <f t="shared" si="84"/>
        <v>2.4E-2</v>
      </c>
      <c r="K448" s="10">
        <f t="shared" si="84"/>
        <v>2.7E-2</v>
      </c>
      <c r="L448" s="10">
        <f t="shared" si="84"/>
        <v>0</v>
      </c>
      <c r="M448" s="10">
        <f t="shared" si="84"/>
        <v>4.5999999999999999E-2</v>
      </c>
      <c r="N448" s="10">
        <f t="shared" si="84"/>
        <v>4.8000000000000001E-2</v>
      </c>
      <c r="O448" s="10">
        <f t="shared" si="84"/>
        <v>2.5999999999999999E-2</v>
      </c>
      <c r="P448" s="10">
        <f t="shared" si="84"/>
        <v>1.7999999999999999E-2</v>
      </c>
      <c r="Q448" s="10">
        <f t="shared" si="84"/>
        <v>0</v>
      </c>
      <c r="R448" s="10">
        <f t="shared" si="84"/>
        <v>3.7999999999999999E-2</v>
      </c>
      <c r="S448" s="10">
        <f t="shared" si="84"/>
        <v>1.4999999999999999E-2</v>
      </c>
      <c r="T448" s="10">
        <f t="shared" si="84"/>
        <v>3.1E-2</v>
      </c>
      <c r="U448" s="10">
        <f t="shared" si="84"/>
        <v>0.02</v>
      </c>
      <c r="V448" s="10">
        <f t="shared" si="84"/>
        <v>3.3000000000000002E-2</v>
      </c>
      <c r="W448" s="10">
        <f t="shared" si="84"/>
        <v>0.03</v>
      </c>
      <c r="X448" s="10">
        <f t="shared" si="84"/>
        <v>4.4999999999999998E-2</v>
      </c>
      <c r="Y448" s="10">
        <f t="shared" si="84"/>
        <v>0</v>
      </c>
      <c r="Z448" s="10">
        <f t="shared" si="84"/>
        <v>0</v>
      </c>
      <c r="AA448" s="10">
        <f t="shared" si="84"/>
        <v>2.5999999999999999E-2</v>
      </c>
      <c r="AB448" s="10">
        <f t="shared" si="84"/>
        <v>3.7999999999999999E-2</v>
      </c>
      <c r="AC448" s="10">
        <f t="shared" si="84"/>
        <v>2.4E-2</v>
      </c>
      <c r="AD448" s="10">
        <f t="shared" si="84"/>
        <v>1.2E-2</v>
      </c>
      <c r="AE448" s="10">
        <f t="shared" si="84"/>
        <v>4.8000000000000001E-2</v>
      </c>
      <c r="AF448" s="10">
        <f t="shared" si="84"/>
        <v>0</v>
      </c>
    </row>
    <row r="449" spans="1:32">
      <c r="A449" s="10" t="s">
        <v>203</v>
      </c>
      <c r="B449" s="61" t="s">
        <v>300</v>
      </c>
      <c r="C449" s="10">
        <f t="shared" si="83"/>
        <v>1.7999999999999999E-2</v>
      </c>
      <c r="D449" s="10">
        <f t="shared" si="84"/>
        <v>0</v>
      </c>
      <c r="E449" s="10">
        <f t="shared" si="84"/>
        <v>0</v>
      </c>
      <c r="F449" s="10">
        <f t="shared" si="84"/>
        <v>0</v>
      </c>
      <c r="G449" s="10">
        <f t="shared" si="84"/>
        <v>0</v>
      </c>
      <c r="H449" s="10">
        <f t="shared" si="84"/>
        <v>0</v>
      </c>
      <c r="I449" s="10">
        <f t="shared" si="84"/>
        <v>0</v>
      </c>
      <c r="J449" s="10">
        <f t="shared" si="84"/>
        <v>0</v>
      </c>
      <c r="K449" s="10">
        <f t="shared" si="84"/>
        <v>0</v>
      </c>
      <c r="L449" s="10">
        <f t="shared" si="84"/>
        <v>1.4E-2</v>
      </c>
      <c r="M449" s="10">
        <f t="shared" si="84"/>
        <v>0</v>
      </c>
      <c r="N449" s="10">
        <f t="shared" si="84"/>
        <v>0</v>
      </c>
      <c r="O449" s="10">
        <f t="shared" si="84"/>
        <v>0</v>
      </c>
      <c r="P449" s="10">
        <f t="shared" si="84"/>
        <v>0</v>
      </c>
      <c r="Q449" s="10">
        <f t="shared" si="84"/>
        <v>0</v>
      </c>
      <c r="R449" s="10">
        <f t="shared" si="84"/>
        <v>0</v>
      </c>
      <c r="S449" s="10">
        <f t="shared" si="84"/>
        <v>0</v>
      </c>
      <c r="T449" s="10">
        <f t="shared" si="84"/>
        <v>0</v>
      </c>
      <c r="U449" s="10">
        <f t="shared" si="84"/>
        <v>0</v>
      </c>
      <c r="V449" s="10">
        <f t="shared" si="84"/>
        <v>0</v>
      </c>
      <c r="W449" s="10">
        <f t="shared" si="84"/>
        <v>0</v>
      </c>
      <c r="X449" s="10">
        <f t="shared" si="84"/>
        <v>0</v>
      </c>
      <c r="Y449" s="10">
        <f t="shared" si="84"/>
        <v>0</v>
      </c>
      <c r="Z449" s="10">
        <f t="shared" si="84"/>
        <v>0</v>
      </c>
      <c r="AA449" s="10">
        <f t="shared" si="84"/>
        <v>0</v>
      </c>
      <c r="AB449" s="10">
        <f t="shared" si="84"/>
        <v>0</v>
      </c>
      <c r="AC449" s="10">
        <f t="shared" si="84"/>
        <v>0</v>
      </c>
      <c r="AD449" s="10">
        <f t="shared" si="84"/>
        <v>0</v>
      </c>
      <c r="AE449" s="10">
        <f t="shared" si="84"/>
        <v>5.3999999999999999E-2</v>
      </c>
      <c r="AF449" s="10">
        <f t="shared" si="84"/>
        <v>0</v>
      </c>
    </row>
    <row r="450" spans="1:32">
      <c r="A450" s="10" t="s">
        <v>203</v>
      </c>
      <c r="B450" s="61" t="s">
        <v>301</v>
      </c>
      <c r="C450" s="10">
        <f t="shared" si="83"/>
        <v>7.1999999999999995E-2</v>
      </c>
      <c r="D450" s="10">
        <f t="shared" si="84"/>
        <v>2.7E-2</v>
      </c>
      <c r="E450" s="10">
        <f t="shared" si="84"/>
        <v>0</v>
      </c>
      <c r="F450" s="10">
        <f t="shared" si="84"/>
        <v>1.0999999999999999E-2</v>
      </c>
      <c r="G450" s="10">
        <f t="shared" si="84"/>
        <v>4.2000000000000003E-2</v>
      </c>
      <c r="H450" s="10">
        <f t="shared" si="84"/>
        <v>2.7E-2</v>
      </c>
      <c r="I450" s="10">
        <f t="shared" si="84"/>
        <v>3.9E-2</v>
      </c>
      <c r="J450" s="10">
        <f t="shared" si="84"/>
        <v>4.9000000000000002E-2</v>
      </c>
      <c r="K450" s="10">
        <f t="shared" si="84"/>
        <v>0</v>
      </c>
      <c r="L450" s="10">
        <f t="shared" si="84"/>
        <v>0</v>
      </c>
      <c r="M450" s="10">
        <f t="shared" si="84"/>
        <v>0</v>
      </c>
      <c r="N450" s="10">
        <f t="shared" si="84"/>
        <v>2.5000000000000001E-2</v>
      </c>
      <c r="O450" s="10">
        <f t="shared" si="84"/>
        <v>2.1999999999999999E-2</v>
      </c>
      <c r="P450" s="10">
        <f t="shared" si="84"/>
        <v>1.4999999999999999E-2</v>
      </c>
      <c r="Q450" s="10">
        <f t="shared" si="84"/>
        <v>0</v>
      </c>
      <c r="R450" s="10">
        <f t="shared" si="84"/>
        <v>3.5000000000000003E-2</v>
      </c>
      <c r="S450" s="10">
        <f t="shared" si="84"/>
        <v>3.4000000000000002E-2</v>
      </c>
      <c r="T450" s="10">
        <f t="shared" si="84"/>
        <v>0</v>
      </c>
      <c r="U450" s="10">
        <f t="shared" si="84"/>
        <v>3.9E-2</v>
      </c>
      <c r="V450" s="10">
        <f t="shared" si="84"/>
        <v>1.7999999999999999E-2</v>
      </c>
      <c r="W450" s="10">
        <f t="shared" si="84"/>
        <v>0</v>
      </c>
      <c r="X450" s="10">
        <f t="shared" si="84"/>
        <v>0</v>
      </c>
      <c r="Y450" s="10">
        <f t="shared" si="84"/>
        <v>2.5999999999999999E-2</v>
      </c>
      <c r="Z450" s="10">
        <f t="shared" si="84"/>
        <v>0</v>
      </c>
      <c r="AA450" s="10">
        <f t="shared" si="84"/>
        <v>0</v>
      </c>
      <c r="AB450" s="10">
        <f t="shared" si="84"/>
        <v>0</v>
      </c>
      <c r="AC450" s="10">
        <f t="shared" si="84"/>
        <v>2.5000000000000001E-2</v>
      </c>
      <c r="AD450" s="10">
        <f t="shared" si="84"/>
        <v>1.7000000000000001E-2</v>
      </c>
      <c r="AE450" s="10">
        <f t="shared" si="84"/>
        <v>0</v>
      </c>
      <c r="AF450" s="10">
        <f t="shared" si="84"/>
        <v>2.9000000000000001E-2</v>
      </c>
    </row>
    <row r="451" spans="1:32">
      <c r="A451" s="10" t="s">
        <v>203</v>
      </c>
      <c r="B451" s="61" t="s">
        <v>303</v>
      </c>
      <c r="C451" s="10">
        <f t="shared" si="83"/>
        <v>8.4000000000000005E-2</v>
      </c>
      <c r="D451" s="10">
        <f t="shared" si="84"/>
        <v>5.5E-2</v>
      </c>
      <c r="E451" s="10">
        <f t="shared" si="84"/>
        <v>4.9000000000000002E-2</v>
      </c>
      <c r="F451" s="10">
        <f t="shared" si="84"/>
        <v>0</v>
      </c>
      <c r="G451" s="10">
        <f t="shared" si="84"/>
        <v>0.06</v>
      </c>
      <c r="H451" s="10">
        <f t="shared" si="84"/>
        <v>4.7E-2</v>
      </c>
      <c r="I451" s="10">
        <f t="shared" si="84"/>
        <v>4.3999999999999997E-2</v>
      </c>
      <c r="J451" s="10">
        <f t="shared" si="84"/>
        <v>1.2999999999999999E-2</v>
      </c>
      <c r="K451" s="10">
        <f t="shared" si="84"/>
        <v>2.1000000000000001E-2</v>
      </c>
      <c r="L451" s="10">
        <f t="shared" si="84"/>
        <v>0</v>
      </c>
      <c r="M451" s="10">
        <f t="shared" si="84"/>
        <v>1.6E-2</v>
      </c>
      <c r="N451" s="10">
        <f t="shared" si="84"/>
        <v>0</v>
      </c>
      <c r="O451" s="10">
        <f t="shared" si="84"/>
        <v>6.3E-2</v>
      </c>
      <c r="P451" s="10">
        <f t="shared" si="84"/>
        <v>5.6000000000000001E-2</v>
      </c>
      <c r="Q451" s="10">
        <f t="shared" si="84"/>
        <v>0</v>
      </c>
      <c r="R451" s="10">
        <f t="shared" si="84"/>
        <v>7.1999999999999995E-2</v>
      </c>
      <c r="S451" s="10">
        <f t="shared" si="84"/>
        <v>0.03</v>
      </c>
      <c r="T451" s="10">
        <f t="shared" si="84"/>
        <v>5.0999999999999997E-2</v>
      </c>
      <c r="U451" s="10">
        <f t="shared" si="84"/>
        <v>2.5999999999999999E-2</v>
      </c>
      <c r="V451" s="10">
        <f t="shared" si="84"/>
        <v>0</v>
      </c>
      <c r="W451" s="10">
        <f t="shared" si="84"/>
        <v>4.2999999999999997E-2</v>
      </c>
      <c r="X451" s="10">
        <f t="shared" si="84"/>
        <v>7.0000000000000001E-3</v>
      </c>
      <c r="Y451" s="10">
        <f t="shared" si="84"/>
        <v>3.7999999999999999E-2</v>
      </c>
      <c r="Z451" s="10">
        <f t="shared" si="84"/>
        <v>0</v>
      </c>
      <c r="AA451" s="10">
        <f t="shared" si="84"/>
        <v>0</v>
      </c>
      <c r="AB451" s="10">
        <f t="shared" si="84"/>
        <v>0</v>
      </c>
      <c r="AC451" s="10">
        <f t="shared" si="84"/>
        <v>0.06</v>
      </c>
      <c r="AD451" s="10">
        <f t="shared" si="84"/>
        <v>5.0999999999999997E-2</v>
      </c>
      <c r="AE451" s="10">
        <f t="shared" si="84"/>
        <v>4.8000000000000001E-2</v>
      </c>
      <c r="AF451" s="10">
        <f t="shared" si="84"/>
        <v>0</v>
      </c>
    </row>
    <row r="452" spans="1:32">
      <c r="A452" s="10" t="s">
        <v>203</v>
      </c>
      <c r="B452" s="61" t="s">
        <v>304</v>
      </c>
      <c r="C452" s="10">
        <f t="shared" si="83"/>
        <v>4.7E-2</v>
      </c>
      <c r="D452" s="10">
        <f t="shared" si="84"/>
        <v>6.0000000000000001E-3</v>
      </c>
      <c r="E452" s="10">
        <f t="shared" si="84"/>
        <v>2.9000000000000001E-2</v>
      </c>
      <c r="F452" s="10">
        <f t="shared" si="84"/>
        <v>2.9000000000000001E-2</v>
      </c>
      <c r="G452" s="10">
        <f t="shared" si="84"/>
        <v>1.6E-2</v>
      </c>
      <c r="H452" s="10">
        <f t="shared" si="84"/>
        <v>1.2999999999999999E-2</v>
      </c>
      <c r="I452" s="10">
        <f t="shared" si="84"/>
        <v>2.1000000000000001E-2</v>
      </c>
      <c r="J452" s="10">
        <f t="shared" si="84"/>
        <v>3.6999999999999998E-2</v>
      </c>
      <c r="K452" s="10">
        <f t="shared" si="84"/>
        <v>0</v>
      </c>
      <c r="L452" s="10">
        <f t="shared" si="84"/>
        <v>5.2999999999999999E-2</v>
      </c>
      <c r="M452" s="10">
        <f t="shared" si="84"/>
        <v>0</v>
      </c>
      <c r="N452" s="10">
        <f t="shared" si="84"/>
        <v>3.3000000000000002E-2</v>
      </c>
      <c r="O452" s="10">
        <f t="shared" si="84"/>
        <v>6.0000000000000001E-3</v>
      </c>
      <c r="P452" s="10">
        <f t="shared" si="84"/>
        <v>1.2E-2</v>
      </c>
      <c r="Q452" s="10">
        <f t="shared" si="84"/>
        <v>0</v>
      </c>
      <c r="R452" s="10">
        <f t="shared" si="84"/>
        <v>1.4E-2</v>
      </c>
      <c r="S452" s="10">
        <f t="shared" si="84"/>
        <v>3.9E-2</v>
      </c>
      <c r="T452" s="10">
        <f t="shared" si="84"/>
        <v>2.5000000000000001E-2</v>
      </c>
      <c r="U452" s="10">
        <f t="shared" si="84"/>
        <v>0</v>
      </c>
      <c r="V452" s="10">
        <f t="shared" si="84"/>
        <v>1.6E-2</v>
      </c>
      <c r="W452" s="10">
        <f t="shared" si="84"/>
        <v>3.1E-2</v>
      </c>
      <c r="X452" s="10">
        <f t="shared" si="84"/>
        <v>0</v>
      </c>
      <c r="Y452" s="10">
        <f t="shared" si="84"/>
        <v>2.4E-2</v>
      </c>
      <c r="Z452" s="10">
        <f t="shared" si="84"/>
        <v>0</v>
      </c>
      <c r="AA452" s="10">
        <f t="shared" si="84"/>
        <v>2.5000000000000001E-2</v>
      </c>
      <c r="AB452" s="10">
        <f t="shared" si="84"/>
        <v>0.06</v>
      </c>
      <c r="AC452" s="10">
        <f t="shared" si="84"/>
        <v>0</v>
      </c>
      <c r="AD452" s="10">
        <f t="shared" ref="D452:AF455" si="85">ROUND(AD32*0.00003215271,3)</f>
        <v>1.4999999999999999E-2</v>
      </c>
      <c r="AE452" s="10">
        <f t="shared" si="85"/>
        <v>0</v>
      </c>
      <c r="AF452" s="10">
        <f t="shared" si="85"/>
        <v>0</v>
      </c>
    </row>
    <row r="453" spans="1:32">
      <c r="A453" s="10" t="s">
        <v>203</v>
      </c>
      <c r="B453" s="61" t="s">
        <v>305</v>
      </c>
      <c r="C453" s="10">
        <f t="shared" si="83"/>
        <v>0.06</v>
      </c>
      <c r="D453" s="10">
        <f t="shared" si="85"/>
        <v>1.2999999999999999E-2</v>
      </c>
      <c r="E453" s="10">
        <f t="shared" si="85"/>
        <v>3.5000000000000003E-2</v>
      </c>
      <c r="F453" s="10">
        <f t="shared" si="85"/>
        <v>2.5999999999999999E-2</v>
      </c>
      <c r="G453" s="10">
        <f t="shared" si="85"/>
        <v>2.8000000000000001E-2</v>
      </c>
      <c r="H453" s="10">
        <f t="shared" si="85"/>
        <v>0.01</v>
      </c>
      <c r="I453" s="10">
        <f t="shared" si="85"/>
        <v>2.3E-2</v>
      </c>
      <c r="J453" s="10">
        <f t="shared" si="85"/>
        <v>3.3000000000000002E-2</v>
      </c>
      <c r="K453" s="10">
        <f t="shared" si="85"/>
        <v>3.7999999999999999E-2</v>
      </c>
      <c r="L453" s="10">
        <f t="shared" si="85"/>
        <v>0</v>
      </c>
      <c r="M453" s="10">
        <f t="shared" si="85"/>
        <v>0</v>
      </c>
      <c r="N453" s="10">
        <f t="shared" si="85"/>
        <v>3.5999999999999997E-2</v>
      </c>
      <c r="O453" s="10">
        <f t="shared" si="85"/>
        <v>1.4999999999999999E-2</v>
      </c>
      <c r="P453" s="10">
        <f t="shared" si="85"/>
        <v>6.0000000000000001E-3</v>
      </c>
      <c r="Q453" s="10">
        <f t="shared" si="85"/>
        <v>0</v>
      </c>
      <c r="R453" s="10">
        <f t="shared" si="85"/>
        <v>2.8000000000000001E-2</v>
      </c>
      <c r="S453" s="10">
        <f t="shared" si="85"/>
        <v>2.5999999999999999E-2</v>
      </c>
      <c r="T453" s="10">
        <f t="shared" si="85"/>
        <v>3.2000000000000001E-2</v>
      </c>
      <c r="U453" s="10">
        <f t="shared" si="85"/>
        <v>3.1E-2</v>
      </c>
      <c r="V453" s="10">
        <f t="shared" si="85"/>
        <v>2.1000000000000001E-2</v>
      </c>
      <c r="W453" s="10">
        <f t="shared" si="85"/>
        <v>3.4000000000000002E-2</v>
      </c>
      <c r="X453" s="10">
        <f t="shared" si="85"/>
        <v>0</v>
      </c>
      <c r="Y453" s="10">
        <f t="shared" si="85"/>
        <v>1.2E-2</v>
      </c>
      <c r="Z453" s="10">
        <f t="shared" si="85"/>
        <v>0</v>
      </c>
      <c r="AA453" s="10">
        <f t="shared" si="85"/>
        <v>1.7000000000000001E-2</v>
      </c>
      <c r="AB453" s="10">
        <f t="shared" si="85"/>
        <v>5.0999999999999997E-2</v>
      </c>
      <c r="AC453" s="10">
        <f t="shared" si="85"/>
        <v>1.4999999999999999E-2</v>
      </c>
      <c r="AD453" s="10">
        <f t="shared" si="85"/>
        <v>0</v>
      </c>
      <c r="AE453" s="10">
        <f t="shared" si="85"/>
        <v>0</v>
      </c>
      <c r="AF453" s="10">
        <f t="shared" si="85"/>
        <v>0</v>
      </c>
    </row>
    <row r="454" spans="1:32">
      <c r="A454" s="10" t="s">
        <v>203</v>
      </c>
      <c r="B454" s="10" t="s">
        <v>356</v>
      </c>
      <c r="C454" s="10">
        <f t="shared" si="83"/>
        <v>0</v>
      </c>
      <c r="D454" s="10">
        <f t="shared" si="85"/>
        <v>0</v>
      </c>
      <c r="E454" s="10">
        <f t="shared" si="85"/>
        <v>0</v>
      </c>
      <c r="F454" s="10">
        <f t="shared" si="85"/>
        <v>1.4E-2</v>
      </c>
      <c r="G454" s="10">
        <f t="shared" si="85"/>
        <v>0</v>
      </c>
      <c r="H454" s="10">
        <f t="shared" si="85"/>
        <v>0</v>
      </c>
      <c r="I454" s="10">
        <f t="shared" si="85"/>
        <v>0</v>
      </c>
      <c r="J454" s="10">
        <f t="shared" si="85"/>
        <v>0</v>
      </c>
      <c r="K454" s="10">
        <f t="shared" si="85"/>
        <v>0</v>
      </c>
      <c r="L454" s="10">
        <f t="shared" si="85"/>
        <v>0</v>
      </c>
      <c r="M454" s="10">
        <f t="shared" si="85"/>
        <v>0</v>
      </c>
      <c r="N454" s="10">
        <f t="shared" si="85"/>
        <v>2.8000000000000001E-2</v>
      </c>
      <c r="O454" s="10">
        <f t="shared" si="85"/>
        <v>0</v>
      </c>
      <c r="P454" s="10">
        <f t="shared" si="85"/>
        <v>0</v>
      </c>
      <c r="Q454" s="10">
        <f t="shared" si="85"/>
        <v>0</v>
      </c>
      <c r="R454" s="10">
        <f t="shared" si="85"/>
        <v>0</v>
      </c>
      <c r="S454" s="10">
        <f t="shared" si="85"/>
        <v>0</v>
      </c>
      <c r="T454" s="10">
        <f t="shared" si="85"/>
        <v>0</v>
      </c>
      <c r="U454" s="10">
        <f t="shared" si="85"/>
        <v>0</v>
      </c>
      <c r="V454" s="10">
        <f t="shared" si="85"/>
        <v>0</v>
      </c>
      <c r="W454" s="10">
        <f t="shared" si="85"/>
        <v>0</v>
      </c>
      <c r="X454" s="10">
        <f t="shared" si="85"/>
        <v>0</v>
      </c>
      <c r="Y454" s="10">
        <f t="shared" si="85"/>
        <v>0</v>
      </c>
      <c r="Z454" s="10">
        <f t="shared" si="85"/>
        <v>0</v>
      </c>
      <c r="AA454" s="10">
        <f t="shared" si="85"/>
        <v>2.9000000000000001E-2</v>
      </c>
      <c r="AB454" s="10">
        <f t="shared" si="85"/>
        <v>0</v>
      </c>
      <c r="AC454" s="10">
        <f t="shared" si="85"/>
        <v>0</v>
      </c>
      <c r="AD454" s="10">
        <f t="shared" si="85"/>
        <v>0</v>
      </c>
      <c r="AE454" s="10">
        <f t="shared" si="85"/>
        <v>0</v>
      </c>
      <c r="AF454" s="10">
        <f t="shared" si="85"/>
        <v>0</v>
      </c>
    </row>
    <row r="455" spans="1:32">
      <c r="A455" s="10" t="s">
        <v>203</v>
      </c>
      <c r="B455" s="61" t="s">
        <v>307</v>
      </c>
      <c r="C455" s="10">
        <f t="shared" si="83"/>
        <v>1.9E-2</v>
      </c>
      <c r="D455" s="10">
        <f t="shared" si="85"/>
        <v>4.4999999999999998E-2</v>
      </c>
      <c r="E455" s="10">
        <f t="shared" si="85"/>
        <v>2.1000000000000001E-2</v>
      </c>
      <c r="F455" s="10">
        <f t="shared" si="85"/>
        <v>0</v>
      </c>
      <c r="G455" s="10">
        <f t="shared" si="85"/>
        <v>3.5999999999999997E-2</v>
      </c>
      <c r="H455" s="10">
        <f t="shared" si="85"/>
        <v>4.2999999999999997E-2</v>
      </c>
      <c r="I455" s="10">
        <f t="shared" si="85"/>
        <v>3.1E-2</v>
      </c>
      <c r="J455" s="10">
        <f t="shared" si="85"/>
        <v>2.7E-2</v>
      </c>
      <c r="K455" s="10">
        <f t="shared" si="85"/>
        <v>0</v>
      </c>
      <c r="L455" s="10">
        <f t="shared" si="85"/>
        <v>0.05</v>
      </c>
      <c r="M455" s="10">
        <f t="shared" si="85"/>
        <v>0</v>
      </c>
      <c r="N455" s="10">
        <f t="shared" si="85"/>
        <v>0</v>
      </c>
      <c r="O455" s="10">
        <f t="shared" si="85"/>
        <v>0</v>
      </c>
      <c r="P455" s="10">
        <f t="shared" si="85"/>
        <v>0</v>
      </c>
      <c r="Q455" s="10">
        <f t="shared" si="85"/>
        <v>1.2E-2</v>
      </c>
      <c r="R455" s="10">
        <f t="shared" si="85"/>
        <v>5.3999999999999999E-2</v>
      </c>
      <c r="S455" s="10">
        <f t="shared" si="85"/>
        <v>0</v>
      </c>
      <c r="T455" s="10">
        <f t="shared" si="85"/>
        <v>2.5000000000000001E-2</v>
      </c>
      <c r="U455" s="10">
        <f t="shared" si="85"/>
        <v>0</v>
      </c>
      <c r="V455" s="10">
        <f t="shared" si="85"/>
        <v>0</v>
      </c>
      <c r="W455" s="10">
        <f t="shared" si="85"/>
        <v>1.9E-2</v>
      </c>
      <c r="X455" s="10">
        <f t="shared" si="85"/>
        <v>4.8000000000000001E-2</v>
      </c>
      <c r="Y455" s="10">
        <f t="shared" si="85"/>
        <v>4.8000000000000001E-2</v>
      </c>
      <c r="Z455" s="10">
        <f t="shared" si="85"/>
        <v>5.3999999999999999E-2</v>
      </c>
      <c r="AA455" s="10">
        <f t="shared" si="85"/>
        <v>0</v>
      </c>
      <c r="AB455" s="10">
        <f t="shared" si="85"/>
        <v>4.8000000000000001E-2</v>
      </c>
      <c r="AC455" s="10">
        <f t="shared" si="85"/>
        <v>0</v>
      </c>
      <c r="AD455" s="10">
        <f t="shared" si="85"/>
        <v>0</v>
      </c>
      <c r="AE455" s="10">
        <f t="shared" si="85"/>
        <v>0</v>
      </c>
      <c r="AF455" s="10">
        <f t="shared" si="85"/>
        <v>0</v>
      </c>
    </row>
    <row r="456" spans="1:32">
      <c r="A456" s="10" t="s">
        <v>204</v>
      </c>
      <c r="B456" s="61" t="s">
        <v>278</v>
      </c>
      <c r="C456" s="10">
        <f>ROUND(C6*0.00003215271,3)</f>
        <v>4.7E-2</v>
      </c>
      <c r="D456" s="10">
        <f t="shared" ref="D456:AF465" si="86">ROUND(D6*0.00003215271,3)</f>
        <v>0</v>
      </c>
      <c r="E456" s="10">
        <f t="shared" si="86"/>
        <v>2.5000000000000001E-2</v>
      </c>
      <c r="F456" s="10">
        <f t="shared" si="86"/>
        <v>3.3000000000000002E-2</v>
      </c>
      <c r="G456" s="10">
        <f t="shared" si="86"/>
        <v>1.4999999999999999E-2</v>
      </c>
      <c r="H456" s="10">
        <f t="shared" si="86"/>
        <v>8.0000000000000002E-3</v>
      </c>
      <c r="I456" s="10">
        <f t="shared" si="86"/>
        <v>1.4999999999999999E-2</v>
      </c>
      <c r="J456" s="10">
        <f t="shared" si="86"/>
        <v>3.1E-2</v>
      </c>
      <c r="K456" s="10">
        <f t="shared" si="86"/>
        <v>0</v>
      </c>
      <c r="L456" s="10">
        <f t="shared" si="86"/>
        <v>5.2999999999999999E-2</v>
      </c>
      <c r="M456" s="10">
        <f t="shared" si="86"/>
        <v>0</v>
      </c>
      <c r="N456" s="10">
        <f t="shared" si="86"/>
        <v>3.7999999999999999E-2</v>
      </c>
      <c r="O456" s="10">
        <f t="shared" si="86"/>
        <v>1.0999999999999999E-2</v>
      </c>
      <c r="P456" s="10">
        <f t="shared" si="86"/>
        <v>1.2999999999999999E-2</v>
      </c>
      <c r="Q456" s="10">
        <f t="shared" si="86"/>
        <v>0</v>
      </c>
      <c r="R456" s="10">
        <f t="shared" si="86"/>
        <v>1.7999999999999999E-2</v>
      </c>
      <c r="S456" s="10">
        <f t="shared" si="86"/>
        <v>3.5000000000000003E-2</v>
      </c>
      <c r="T456" s="10">
        <f t="shared" si="86"/>
        <v>2.1000000000000001E-2</v>
      </c>
      <c r="U456" s="10">
        <f t="shared" si="86"/>
        <v>4.1000000000000002E-2</v>
      </c>
      <c r="V456" s="10">
        <f t="shared" si="86"/>
        <v>2.1000000000000001E-2</v>
      </c>
      <c r="W456" s="10">
        <f t="shared" si="86"/>
        <v>2.5999999999999999E-2</v>
      </c>
      <c r="X456" s="10">
        <f t="shared" si="86"/>
        <v>0</v>
      </c>
      <c r="Y456" s="10">
        <f t="shared" si="86"/>
        <v>0.02</v>
      </c>
      <c r="Z456" s="10">
        <f t="shared" si="86"/>
        <v>0</v>
      </c>
      <c r="AA456" s="10">
        <f t="shared" si="86"/>
        <v>2.7E-2</v>
      </c>
      <c r="AB456" s="10">
        <f t="shared" si="86"/>
        <v>5.5E-2</v>
      </c>
      <c r="AC456" s="10">
        <f t="shared" si="86"/>
        <v>6.0000000000000001E-3</v>
      </c>
      <c r="AD456" s="10">
        <f t="shared" si="86"/>
        <v>1.2999999999999999E-2</v>
      </c>
      <c r="AE456" s="10">
        <f t="shared" si="86"/>
        <v>4.4999999999999998E-2</v>
      </c>
      <c r="AF456" s="10">
        <f t="shared" si="86"/>
        <v>0</v>
      </c>
    </row>
    <row r="457" spans="1:32">
      <c r="A457" s="10" t="s">
        <v>204</v>
      </c>
      <c r="B457" s="61" t="s">
        <v>280</v>
      </c>
      <c r="C457" s="10">
        <f t="shared" ref="C457:R472" si="87">ROUND(C7*0.00003215271,3)</f>
        <v>0.01</v>
      </c>
      <c r="D457" s="10">
        <f t="shared" si="87"/>
        <v>2.5000000000000001E-2</v>
      </c>
      <c r="E457" s="10">
        <f t="shared" si="87"/>
        <v>0</v>
      </c>
      <c r="F457" s="10">
        <f t="shared" si="87"/>
        <v>0</v>
      </c>
      <c r="G457" s="10">
        <f t="shared" si="87"/>
        <v>1.6E-2</v>
      </c>
      <c r="H457" s="10">
        <f t="shared" si="87"/>
        <v>2.5000000000000001E-2</v>
      </c>
      <c r="I457" s="10">
        <f t="shared" si="87"/>
        <v>1.2999999999999999E-2</v>
      </c>
      <c r="J457" s="10">
        <f t="shared" si="87"/>
        <v>2.1999999999999999E-2</v>
      </c>
      <c r="K457" s="10">
        <f t="shared" si="87"/>
        <v>0</v>
      </c>
      <c r="L457" s="10">
        <f t="shared" si="87"/>
        <v>4.2999999999999997E-2</v>
      </c>
      <c r="M457" s="10">
        <f t="shared" si="87"/>
        <v>0</v>
      </c>
      <c r="N457" s="10">
        <f t="shared" si="87"/>
        <v>0</v>
      </c>
      <c r="O457" s="10">
        <f t="shared" si="87"/>
        <v>3.5000000000000003E-2</v>
      </c>
      <c r="P457" s="10">
        <f t="shared" si="87"/>
        <v>3.6999999999999998E-2</v>
      </c>
      <c r="Q457" s="10">
        <f t="shared" si="87"/>
        <v>0.03</v>
      </c>
      <c r="R457" s="10">
        <f t="shared" si="87"/>
        <v>3.3000000000000002E-2</v>
      </c>
      <c r="S457" s="10">
        <f t="shared" si="86"/>
        <v>0</v>
      </c>
      <c r="T457" s="10">
        <f t="shared" si="86"/>
        <v>5.0000000000000001E-3</v>
      </c>
      <c r="U457" s="10">
        <f t="shared" si="86"/>
        <v>0</v>
      </c>
      <c r="V457" s="10">
        <f t="shared" si="86"/>
        <v>0</v>
      </c>
      <c r="W457" s="10">
        <f t="shared" si="86"/>
        <v>6.0000000000000001E-3</v>
      </c>
      <c r="X457" s="10">
        <f t="shared" si="86"/>
        <v>5.2999999999999999E-2</v>
      </c>
      <c r="Y457" s="10">
        <f t="shared" si="86"/>
        <v>3.3000000000000002E-2</v>
      </c>
      <c r="Z457" s="10">
        <f t="shared" si="86"/>
        <v>0</v>
      </c>
      <c r="AA457" s="10">
        <f t="shared" si="86"/>
        <v>0</v>
      </c>
      <c r="AB457" s="10">
        <f t="shared" si="86"/>
        <v>4.9000000000000002E-2</v>
      </c>
      <c r="AC457" s="10">
        <f t="shared" si="86"/>
        <v>2.9000000000000001E-2</v>
      </c>
      <c r="AD457" s="10">
        <f t="shared" si="86"/>
        <v>3.5000000000000003E-2</v>
      </c>
      <c r="AE457" s="10">
        <f t="shared" si="86"/>
        <v>2.1000000000000001E-2</v>
      </c>
      <c r="AF457" s="10">
        <f t="shared" si="86"/>
        <v>0</v>
      </c>
    </row>
    <row r="458" spans="1:32">
      <c r="A458" s="10" t="s">
        <v>204</v>
      </c>
      <c r="B458" s="61" t="s">
        <v>281</v>
      </c>
      <c r="C458" s="10">
        <f t="shared" si="87"/>
        <v>0</v>
      </c>
      <c r="D458" s="10">
        <f t="shared" si="86"/>
        <v>3.3000000000000002E-2</v>
      </c>
      <c r="E458" s="10">
        <f t="shared" si="86"/>
        <v>0</v>
      </c>
      <c r="F458" s="10">
        <f t="shared" si="86"/>
        <v>0</v>
      </c>
      <c r="G458" s="10">
        <f t="shared" si="86"/>
        <v>4.5999999999999999E-2</v>
      </c>
      <c r="H458" s="10">
        <f t="shared" si="86"/>
        <v>3.5000000000000003E-2</v>
      </c>
      <c r="I458" s="10">
        <f t="shared" si="86"/>
        <v>4.7E-2</v>
      </c>
      <c r="J458" s="10">
        <f t="shared" si="86"/>
        <v>0</v>
      </c>
      <c r="K458" s="10">
        <f t="shared" si="86"/>
        <v>0</v>
      </c>
      <c r="L458" s="10">
        <f t="shared" si="86"/>
        <v>0</v>
      </c>
      <c r="M458" s="10">
        <f t="shared" si="86"/>
        <v>0</v>
      </c>
      <c r="N458" s="10">
        <f t="shared" si="86"/>
        <v>1.4999999999999999E-2</v>
      </c>
      <c r="O458" s="10">
        <f t="shared" si="86"/>
        <v>2.4E-2</v>
      </c>
      <c r="P458" s="10">
        <f t="shared" si="86"/>
        <v>2.1999999999999999E-2</v>
      </c>
      <c r="Q458" s="10">
        <f t="shared" si="86"/>
        <v>0</v>
      </c>
      <c r="R458" s="10">
        <f t="shared" si="86"/>
        <v>3.5000000000000003E-2</v>
      </c>
      <c r="S458" s="10">
        <f t="shared" si="86"/>
        <v>0</v>
      </c>
      <c r="T458" s="10">
        <f t="shared" si="86"/>
        <v>0</v>
      </c>
      <c r="U458" s="10">
        <f t="shared" si="86"/>
        <v>0</v>
      </c>
      <c r="V458" s="10">
        <f t="shared" si="86"/>
        <v>1.6E-2</v>
      </c>
      <c r="W458" s="10">
        <f t="shared" si="86"/>
        <v>0</v>
      </c>
      <c r="X458" s="10">
        <f t="shared" si="86"/>
        <v>0</v>
      </c>
      <c r="Y458" s="10">
        <f t="shared" si="86"/>
        <v>3.5999999999999997E-2</v>
      </c>
      <c r="Z458" s="10">
        <f t="shared" si="86"/>
        <v>0</v>
      </c>
      <c r="AA458" s="10">
        <f t="shared" si="86"/>
        <v>1.0999999999999999E-2</v>
      </c>
      <c r="AB458" s="10">
        <f t="shared" si="86"/>
        <v>0</v>
      </c>
      <c r="AC458" s="10">
        <f t="shared" si="86"/>
        <v>2.9000000000000001E-2</v>
      </c>
      <c r="AD458" s="10">
        <f t="shared" si="86"/>
        <v>2.5999999999999999E-2</v>
      </c>
      <c r="AE458" s="10">
        <f t="shared" si="86"/>
        <v>0</v>
      </c>
      <c r="AF458" s="10">
        <f t="shared" si="86"/>
        <v>1.4E-2</v>
      </c>
    </row>
    <row r="459" spans="1:32">
      <c r="A459" s="10" t="s">
        <v>204</v>
      </c>
      <c r="B459" s="61" t="s">
        <v>282</v>
      </c>
      <c r="C459" s="10">
        <f t="shared" si="87"/>
        <v>1.0999999999999999E-2</v>
      </c>
      <c r="D459" s="10">
        <f t="shared" si="86"/>
        <v>1.4999999999999999E-2</v>
      </c>
      <c r="E459" s="10">
        <f t="shared" si="86"/>
        <v>1.6E-2</v>
      </c>
      <c r="F459" s="10">
        <f t="shared" si="86"/>
        <v>4.5999999999999999E-2</v>
      </c>
      <c r="G459" s="10">
        <f t="shared" si="86"/>
        <v>0</v>
      </c>
      <c r="H459" s="10">
        <f t="shared" si="86"/>
        <v>0.02</v>
      </c>
      <c r="I459" s="10">
        <f t="shared" si="86"/>
        <v>1.6E-2</v>
      </c>
      <c r="J459" s="10">
        <f t="shared" si="86"/>
        <v>3.3000000000000002E-2</v>
      </c>
      <c r="K459" s="10">
        <f t="shared" si="86"/>
        <v>0</v>
      </c>
      <c r="L459" s="10">
        <f t="shared" si="86"/>
        <v>3.9E-2</v>
      </c>
      <c r="M459" s="10">
        <f t="shared" si="86"/>
        <v>0</v>
      </c>
      <c r="N459" s="10">
        <f t="shared" si="86"/>
        <v>0</v>
      </c>
      <c r="O459" s="10">
        <f t="shared" si="86"/>
        <v>2.1000000000000001E-2</v>
      </c>
      <c r="P459" s="10">
        <f t="shared" si="86"/>
        <v>2.7E-2</v>
      </c>
      <c r="Q459" s="10">
        <f t="shared" si="86"/>
        <v>0</v>
      </c>
      <c r="R459" s="10">
        <f t="shared" si="86"/>
        <v>1.7000000000000001E-2</v>
      </c>
      <c r="S459" s="10">
        <f t="shared" si="86"/>
        <v>0</v>
      </c>
      <c r="T459" s="10">
        <f t="shared" si="86"/>
        <v>1.2E-2</v>
      </c>
      <c r="U459" s="10">
        <f t="shared" si="86"/>
        <v>0</v>
      </c>
      <c r="V459" s="10">
        <f t="shared" si="86"/>
        <v>3.1E-2</v>
      </c>
      <c r="W459" s="10">
        <f t="shared" si="86"/>
        <v>0.02</v>
      </c>
      <c r="X459" s="10">
        <f t="shared" si="86"/>
        <v>0</v>
      </c>
      <c r="Y459" s="10">
        <f t="shared" si="86"/>
        <v>3.2000000000000001E-2</v>
      </c>
      <c r="Z459" s="10">
        <f t="shared" si="86"/>
        <v>0</v>
      </c>
      <c r="AA459" s="10">
        <f t="shared" si="86"/>
        <v>4.2000000000000003E-2</v>
      </c>
      <c r="AB459" s="10">
        <f t="shared" si="86"/>
        <v>0.06</v>
      </c>
      <c r="AC459" s="10">
        <f t="shared" si="86"/>
        <v>1.6E-2</v>
      </c>
      <c r="AD459" s="10">
        <f t="shared" si="86"/>
        <v>2.8000000000000001E-2</v>
      </c>
      <c r="AE459" s="10">
        <f t="shared" si="86"/>
        <v>3.5999999999999997E-2</v>
      </c>
      <c r="AF459" s="10">
        <f t="shared" si="86"/>
        <v>0</v>
      </c>
    </row>
    <row r="460" spans="1:32">
      <c r="A460" s="10" t="s">
        <v>204</v>
      </c>
      <c r="B460" s="61" t="s">
        <v>283</v>
      </c>
      <c r="C460" s="10">
        <f t="shared" si="87"/>
        <v>5.1999999999999998E-2</v>
      </c>
      <c r="D460" s="10">
        <f t="shared" si="86"/>
        <v>8.0000000000000002E-3</v>
      </c>
      <c r="E460" s="10">
        <f t="shared" si="86"/>
        <v>2.5000000000000001E-2</v>
      </c>
      <c r="F460" s="10">
        <f t="shared" si="86"/>
        <v>3.5000000000000003E-2</v>
      </c>
      <c r="G460" s="10">
        <f t="shared" si="86"/>
        <v>0.02</v>
      </c>
      <c r="H460" s="10">
        <f t="shared" si="86"/>
        <v>0</v>
      </c>
      <c r="I460" s="10">
        <f t="shared" si="86"/>
        <v>1.2E-2</v>
      </c>
      <c r="J460" s="10">
        <f t="shared" si="86"/>
        <v>2.5000000000000001E-2</v>
      </c>
      <c r="K460" s="10">
        <f t="shared" si="86"/>
        <v>3.7999999999999999E-2</v>
      </c>
      <c r="L460" s="10">
        <f t="shared" si="86"/>
        <v>0</v>
      </c>
      <c r="M460" s="10">
        <f t="shared" si="86"/>
        <v>0</v>
      </c>
      <c r="N460" s="10">
        <f t="shared" si="86"/>
        <v>4.2999999999999997E-2</v>
      </c>
      <c r="O460" s="10">
        <f t="shared" si="86"/>
        <v>1.7000000000000001E-2</v>
      </c>
      <c r="P460" s="10">
        <f t="shared" si="86"/>
        <v>1.2999999999999999E-2</v>
      </c>
      <c r="Q460" s="10">
        <f t="shared" si="86"/>
        <v>0</v>
      </c>
      <c r="R460" s="10">
        <f t="shared" si="86"/>
        <v>2.5999999999999999E-2</v>
      </c>
      <c r="S460" s="10">
        <f t="shared" si="86"/>
        <v>2.7E-2</v>
      </c>
      <c r="T460" s="10">
        <f t="shared" si="86"/>
        <v>2.1000000000000001E-2</v>
      </c>
      <c r="U460" s="10">
        <f t="shared" si="86"/>
        <v>3.3000000000000002E-2</v>
      </c>
      <c r="V460" s="10">
        <f t="shared" si="86"/>
        <v>2.7E-2</v>
      </c>
      <c r="W460" s="10">
        <f t="shared" si="86"/>
        <v>2.4E-2</v>
      </c>
      <c r="X460" s="10">
        <f t="shared" si="86"/>
        <v>5.2999999999999999E-2</v>
      </c>
      <c r="Y460" s="10">
        <f t="shared" si="86"/>
        <v>1.2999999999999999E-2</v>
      </c>
      <c r="Z460" s="10">
        <f t="shared" si="86"/>
        <v>0</v>
      </c>
      <c r="AA460" s="10">
        <f t="shared" si="86"/>
        <v>2.7E-2</v>
      </c>
      <c r="AB460" s="10">
        <f t="shared" si="86"/>
        <v>4.7E-2</v>
      </c>
      <c r="AC460" s="10">
        <f t="shared" si="86"/>
        <v>1.2999999999999999E-2</v>
      </c>
      <c r="AD460" s="10">
        <f t="shared" si="86"/>
        <v>0.01</v>
      </c>
      <c r="AE460" s="10">
        <f t="shared" si="86"/>
        <v>4.2999999999999997E-2</v>
      </c>
      <c r="AF460" s="10">
        <f t="shared" si="86"/>
        <v>0</v>
      </c>
    </row>
    <row r="461" spans="1:32">
      <c r="A461" s="10" t="s">
        <v>204</v>
      </c>
      <c r="B461" s="61" t="s">
        <v>284</v>
      </c>
      <c r="C461" s="10">
        <f t="shared" si="87"/>
        <v>1.6E-2</v>
      </c>
      <c r="D461" s="10">
        <f t="shared" si="86"/>
        <v>1.4999999999999999E-2</v>
      </c>
      <c r="E461" s="10">
        <f t="shared" si="86"/>
        <v>1.2999999999999999E-2</v>
      </c>
      <c r="F461" s="10">
        <f t="shared" si="86"/>
        <v>4.7E-2</v>
      </c>
      <c r="G461" s="10">
        <f t="shared" si="86"/>
        <v>1.6E-2</v>
      </c>
      <c r="H461" s="10">
        <f t="shared" si="86"/>
        <v>1.2E-2</v>
      </c>
      <c r="I461" s="10">
        <f t="shared" si="86"/>
        <v>0</v>
      </c>
      <c r="J461" s="10">
        <f t="shared" si="86"/>
        <v>1.7000000000000001E-2</v>
      </c>
      <c r="K461" s="10">
        <f t="shared" si="86"/>
        <v>4.1000000000000002E-2</v>
      </c>
      <c r="L461" s="10">
        <f t="shared" si="86"/>
        <v>5.1999999999999998E-2</v>
      </c>
      <c r="M461" s="10">
        <f t="shared" si="86"/>
        <v>5.6000000000000001E-2</v>
      </c>
      <c r="N461" s="10">
        <f t="shared" si="86"/>
        <v>5.2999999999999999E-2</v>
      </c>
      <c r="O461" s="10">
        <f t="shared" si="86"/>
        <v>2.5999999999999999E-2</v>
      </c>
      <c r="P461" s="10">
        <f t="shared" si="86"/>
        <v>2.5000000000000001E-2</v>
      </c>
      <c r="Q461" s="10">
        <f t="shared" si="86"/>
        <v>4.1000000000000002E-2</v>
      </c>
      <c r="R461" s="10">
        <f t="shared" si="86"/>
        <v>0.03</v>
      </c>
      <c r="S461" s="10">
        <f t="shared" si="86"/>
        <v>3.3000000000000002E-2</v>
      </c>
      <c r="T461" s="10">
        <f t="shared" si="86"/>
        <v>1.0999999999999999E-2</v>
      </c>
      <c r="U461" s="10">
        <f t="shared" si="86"/>
        <v>3.6999999999999998E-2</v>
      </c>
      <c r="V461" s="10">
        <f t="shared" si="86"/>
        <v>3.6999999999999998E-2</v>
      </c>
      <c r="W461" s="10">
        <f t="shared" si="86"/>
        <v>1.0999999999999999E-2</v>
      </c>
      <c r="X461" s="10">
        <f t="shared" si="86"/>
        <v>4.8000000000000001E-2</v>
      </c>
      <c r="Y461" s="10">
        <f t="shared" si="86"/>
        <v>0.02</v>
      </c>
      <c r="Z461" s="10">
        <f t="shared" si="86"/>
        <v>0</v>
      </c>
      <c r="AA461" s="10">
        <f t="shared" si="86"/>
        <v>3.9E-2</v>
      </c>
      <c r="AB461" s="10">
        <f t="shared" si="86"/>
        <v>4.3999999999999997E-2</v>
      </c>
      <c r="AC461" s="10">
        <f t="shared" si="86"/>
        <v>2.1000000000000001E-2</v>
      </c>
      <c r="AD461" s="10">
        <f t="shared" si="86"/>
        <v>2.3E-2</v>
      </c>
      <c r="AE461" s="10">
        <f t="shared" si="86"/>
        <v>3.1E-2</v>
      </c>
      <c r="AF461" s="10">
        <f t="shared" si="86"/>
        <v>0</v>
      </c>
    </row>
    <row r="462" spans="1:32">
      <c r="A462" s="10" t="s">
        <v>204</v>
      </c>
      <c r="B462" s="61" t="s">
        <v>285</v>
      </c>
      <c r="C462" s="10">
        <f t="shared" si="87"/>
        <v>5.8000000000000003E-2</v>
      </c>
      <c r="D462" s="10">
        <f t="shared" si="86"/>
        <v>3.1E-2</v>
      </c>
      <c r="E462" s="10">
        <f t="shared" si="86"/>
        <v>2.1999999999999999E-2</v>
      </c>
      <c r="F462" s="10">
        <f t="shared" si="86"/>
        <v>0</v>
      </c>
      <c r="G462" s="10">
        <f t="shared" si="86"/>
        <v>3.3000000000000002E-2</v>
      </c>
      <c r="H462" s="10">
        <f t="shared" si="86"/>
        <v>2.5000000000000001E-2</v>
      </c>
      <c r="I462" s="10">
        <f t="shared" si="86"/>
        <v>1.7000000000000001E-2</v>
      </c>
      <c r="J462" s="10">
        <f t="shared" si="86"/>
        <v>0</v>
      </c>
      <c r="K462" s="10">
        <f t="shared" si="86"/>
        <v>3.1E-2</v>
      </c>
      <c r="L462" s="10">
        <f t="shared" si="86"/>
        <v>0</v>
      </c>
      <c r="M462" s="10">
        <f t="shared" si="86"/>
        <v>4.2000000000000003E-2</v>
      </c>
      <c r="N462" s="10">
        <f t="shared" si="86"/>
        <v>0</v>
      </c>
      <c r="O462" s="10">
        <f t="shared" si="86"/>
        <v>4.2000000000000003E-2</v>
      </c>
      <c r="P462" s="10">
        <f t="shared" si="86"/>
        <v>3.7999999999999999E-2</v>
      </c>
      <c r="Q462" s="10">
        <f t="shared" si="86"/>
        <v>3.9E-2</v>
      </c>
      <c r="R462" s="10">
        <f t="shared" si="86"/>
        <v>4.7E-2</v>
      </c>
      <c r="S462" s="10">
        <f t="shared" si="86"/>
        <v>2.8000000000000001E-2</v>
      </c>
      <c r="T462" s="10">
        <f t="shared" si="86"/>
        <v>2.4E-2</v>
      </c>
      <c r="U462" s="10">
        <f t="shared" si="86"/>
        <v>0.03</v>
      </c>
      <c r="V462" s="10">
        <f t="shared" si="86"/>
        <v>0</v>
      </c>
      <c r="W462" s="10">
        <f t="shared" si="86"/>
        <v>1.6E-2</v>
      </c>
      <c r="X462" s="10">
        <f t="shared" si="86"/>
        <v>2.3E-2</v>
      </c>
      <c r="Y462" s="10">
        <f t="shared" si="86"/>
        <v>2.4E-2</v>
      </c>
      <c r="Z462" s="10">
        <f t="shared" si="86"/>
        <v>0</v>
      </c>
      <c r="AA462" s="10">
        <f t="shared" si="86"/>
        <v>4.9000000000000002E-2</v>
      </c>
      <c r="AB462" s="10">
        <f t="shared" si="86"/>
        <v>1.2999999999999999E-2</v>
      </c>
      <c r="AC462" s="10">
        <f t="shared" si="86"/>
        <v>3.6999999999999998E-2</v>
      </c>
      <c r="AD462" s="10">
        <f t="shared" si="86"/>
        <v>3.3000000000000002E-2</v>
      </c>
      <c r="AE462" s="10">
        <f t="shared" si="86"/>
        <v>2.7E-2</v>
      </c>
      <c r="AF462" s="10">
        <f t="shared" si="86"/>
        <v>0</v>
      </c>
    </row>
    <row r="463" spans="1:32">
      <c r="A463" s="10" t="s">
        <v>204</v>
      </c>
      <c r="B463" s="61" t="s">
        <v>308</v>
      </c>
      <c r="C463" s="10">
        <f t="shared" si="87"/>
        <v>0</v>
      </c>
      <c r="D463" s="10">
        <f t="shared" si="86"/>
        <v>0</v>
      </c>
      <c r="E463" s="10">
        <f t="shared" si="86"/>
        <v>0</v>
      </c>
      <c r="F463" s="10">
        <f t="shared" si="86"/>
        <v>0</v>
      </c>
      <c r="G463" s="10">
        <f t="shared" si="86"/>
        <v>0</v>
      </c>
      <c r="H463" s="10">
        <f t="shared" si="86"/>
        <v>3.7999999999999999E-2</v>
      </c>
      <c r="I463" s="10">
        <f t="shared" si="86"/>
        <v>4.1000000000000002E-2</v>
      </c>
      <c r="J463" s="10">
        <f t="shared" si="86"/>
        <v>3.1E-2</v>
      </c>
      <c r="K463" s="10">
        <f t="shared" si="86"/>
        <v>0</v>
      </c>
      <c r="L463" s="10">
        <f t="shared" si="86"/>
        <v>0</v>
      </c>
      <c r="M463" s="10">
        <f t="shared" si="86"/>
        <v>2.1000000000000001E-2</v>
      </c>
      <c r="N463" s="10">
        <f t="shared" si="86"/>
        <v>0</v>
      </c>
      <c r="O463" s="10">
        <f t="shared" si="86"/>
        <v>0</v>
      </c>
      <c r="P463" s="10">
        <f t="shared" si="86"/>
        <v>0</v>
      </c>
      <c r="Q463" s="10">
        <f t="shared" si="86"/>
        <v>0</v>
      </c>
      <c r="R463" s="10">
        <f t="shared" si="86"/>
        <v>0</v>
      </c>
      <c r="S463" s="10">
        <f t="shared" si="86"/>
        <v>1.2E-2</v>
      </c>
      <c r="T463" s="10">
        <f t="shared" si="86"/>
        <v>0</v>
      </c>
      <c r="U463" s="10">
        <f t="shared" si="86"/>
        <v>7.0000000000000001E-3</v>
      </c>
      <c r="V463" s="10">
        <f t="shared" si="86"/>
        <v>0</v>
      </c>
      <c r="W463" s="10">
        <f t="shared" si="86"/>
        <v>0</v>
      </c>
      <c r="X463" s="10">
        <f t="shared" si="86"/>
        <v>2.8000000000000001E-2</v>
      </c>
      <c r="Y463" s="10">
        <f t="shared" si="86"/>
        <v>2.7E-2</v>
      </c>
      <c r="Z463" s="10">
        <f t="shared" si="86"/>
        <v>0</v>
      </c>
      <c r="AA463" s="10">
        <f t="shared" si="86"/>
        <v>0</v>
      </c>
      <c r="AB463" s="10">
        <f t="shared" si="86"/>
        <v>2.1000000000000001E-2</v>
      </c>
      <c r="AC463" s="10">
        <f t="shared" si="86"/>
        <v>0</v>
      </c>
      <c r="AD463" s="10">
        <f t="shared" si="86"/>
        <v>3.7999999999999999E-2</v>
      </c>
      <c r="AE463" s="10">
        <f t="shared" si="86"/>
        <v>0</v>
      </c>
      <c r="AF463" s="10">
        <f t="shared" si="86"/>
        <v>0</v>
      </c>
    </row>
    <row r="464" spans="1:32">
      <c r="A464" s="10" t="s">
        <v>204</v>
      </c>
      <c r="B464" s="61" t="s">
        <v>286</v>
      </c>
      <c r="C464" s="10">
        <f>ROUND(C14*0.00003215271,3)</f>
        <v>7.0000000000000001E-3</v>
      </c>
      <c r="D464" s="10">
        <f t="shared" si="86"/>
        <v>5.2999999999999999E-2</v>
      </c>
      <c r="E464" s="10">
        <f t="shared" si="86"/>
        <v>4.2999999999999997E-2</v>
      </c>
      <c r="F464" s="10">
        <f t="shared" si="86"/>
        <v>0</v>
      </c>
      <c r="G464" s="10">
        <f t="shared" si="86"/>
        <v>3.9E-2</v>
      </c>
      <c r="H464" s="10">
        <f t="shared" si="86"/>
        <v>0</v>
      </c>
      <c r="I464" s="10">
        <f t="shared" si="86"/>
        <v>5.1999999999999998E-2</v>
      </c>
      <c r="J464" s="10">
        <f t="shared" si="86"/>
        <v>0</v>
      </c>
      <c r="K464" s="10">
        <f t="shared" si="86"/>
        <v>0</v>
      </c>
      <c r="L464" s="10">
        <f t="shared" si="86"/>
        <v>0</v>
      </c>
      <c r="M464" s="10">
        <f t="shared" si="86"/>
        <v>0</v>
      </c>
      <c r="N464" s="10">
        <f t="shared" si="86"/>
        <v>0</v>
      </c>
      <c r="O464" s="10">
        <f t="shared" si="86"/>
        <v>5.5E-2</v>
      </c>
      <c r="P464" s="10">
        <f t="shared" si="86"/>
        <v>0</v>
      </c>
      <c r="Q464" s="10">
        <f t="shared" si="86"/>
        <v>4.8000000000000001E-2</v>
      </c>
      <c r="R464" s="10">
        <f t="shared" si="86"/>
        <v>4.2999999999999997E-2</v>
      </c>
      <c r="S464" s="10">
        <f t="shared" si="86"/>
        <v>0</v>
      </c>
      <c r="T464" s="10">
        <f t="shared" si="86"/>
        <v>4.2000000000000003E-2</v>
      </c>
      <c r="U464" s="10">
        <f t="shared" si="86"/>
        <v>0</v>
      </c>
      <c r="V464" s="10">
        <f t="shared" si="86"/>
        <v>0</v>
      </c>
      <c r="W464" s="10">
        <f t="shared" si="86"/>
        <v>4.9000000000000002E-2</v>
      </c>
      <c r="X464" s="10">
        <f t="shared" si="86"/>
        <v>0</v>
      </c>
      <c r="Y464" s="10">
        <f t="shared" si="86"/>
        <v>0</v>
      </c>
      <c r="Z464" s="10">
        <f t="shared" si="86"/>
        <v>1.4E-2</v>
      </c>
      <c r="AA464" s="10">
        <f t="shared" si="86"/>
        <v>0</v>
      </c>
      <c r="AB464" s="10">
        <f t="shared" si="86"/>
        <v>0</v>
      </c>
      <c r="AC464" s="10">
        <f t="shared" si="86"/>
        <v>5.2999999999999999E-2</v>
      </c>
      <c r="AD464" s="10">
        <f t="shared" si="86"/>
        <v>0</v>
      </c>
      <c r="AE464" s="10">
        <f t="shared" si="86"/>
        <v>0.05</v>
      </c>
      <c r="AF464" s="10">
        <f t="shared" si="86"/>
        <v>0</v>
      </c>
    </row>
    <row r="465" spans="1:32">
      <c r="A465" s="10" t="s">
        <v>204</v>
      </c>
      <c r="B465" s="61" t="s">
        <v>287</v>
      </c>
      <c r="C465" s="10">
        <f t="shared" si="87"/>
        <v>0</v>
      </c>
      <c r="D465" s="10">
        <f t="shared" si="86"/>
        <v>0</v>
      </c>
      <c r="E465" s="10">
        <f t="shared" si="86"/>
        <v>0</v>
      </c>
      <c r="F465" s="10">
        <f t="shared" si="86"/>
        <v>0</v>
      </c>
      <c r="G465" s="10">
        <f t="shared" si="86"/>
        <v>0</v>
      </c>
      <c r="H465" s="10">
        <f t="shared" si="86"/>
        <v>0</v>
      </c>
      <c r="I465" s="10">
        <f t="shared" si="86"/>
        <v>5.6000000000000001E-2</v>
      </c>
      <c r="J465" s="10">
        <f t="shared" si="86"/>
        <v>4.2000000000000003E-2</v>
      </c>
      <c r="K465" s="10">
        <f t="shared" si="86"/>
        <v>2.1000000000000001E-2</v>
      </c>
      <c r="L465" s="10">
        <f t="shared" si="86"/>
        <v>0</v>
      </c>
      <c r="M465" s="10">
        <f t="shared" ref="D465:AF474" si="88">ROUND(M15*0.00003215271,3)</f>
        <v>0</v>
      </c>
      <c r="N465" s="10">
        <f t="shared" si="88"/>
        <v>0</v>
      </c>
      <c r="O465" s="10">
        <f t="shared" si="88"/>
        <v>0</v>
      </c>
      <c r="P465" s="10">
        <f t="shared" si="88"/>
        <v>0</v>
      </c>
      <c r="Q465" s="10">
        <f t="shared" si="88"/>
        <v>0</v>
      </c>
      <c r="R465" s="10">
        <f t="shared" si="88"/>
        <v>0</v>
      </c>
      <c r="S465" s="10">
        <f t="shared" si="88"/>
        <v>3.3000000000000002E-2</v>
      </c>
      <c r="T465" s="10">
        <f t="shared" si="88"/>
        <v>0</v>
      </c>
      <c r="U465" s="10">
        <f t="shared" si="88"/>
        <v>2.7E-2</v>
      </c>
      <c r="V465" s="10">
        <f t="shared" si="88"/>
        <v>0</v>
      </c>
      <c r="W465" s="10">
        <f t="shared" si="88"/>
        <v>0</v>
      </c>
      <c r="X465" s="10">
        <f t="shared" si="88"/>
        <v>3.2000000000000001E-2</v>
      </c>
      <c r="Y465" s="10">
        <f t="shared" si="88"/>
        <v>4.5999999999999999E-2</v>
      </c>
      <c r="Z465" s="10">
        <f t="shared" si="88"/>
        <v>0</v>
      </c>
      <c r="AA465" s="10">
        <f t="shared" si="88"/>
        <v>0</v>
      </c>
      <c r="AB465" s="10">
        <f t="shared" si="88"/>
        <v>1.6E-2</v>
      </c>
      <c r="AC465" s="10">
        <f t="shared" si="88"/>
        <v>0</v>
      </c>
      <c r="AD465" s="10">
        <f t="shared" si="88"/>
        <v>0</v>
      </c>
      <c r="AE465" s="10">
        <f t="shared" si="88"/>
        <v>0</v>
      </c>
      <c r="AF465" s="10">
        <f t="shared" si="88"/>
        <v>0</v>
      </c>
    </row>
    <row r="466" spans="1:32">
      <c r="A466" s="10" t="s">
        <v>204</v>
      </c>
      <c r="B466" s="61" t="s">
        <v>288</v>
      </c>
      <c r="C466" s="10">
        <f t="shared" si="87"/>
        <v>0</v>
      </c>
      <c r="D466" s="10">
        <f t="shared" si="88"/>
        <v>4.7E-2</v>
      </c>
      <c r="E466" s="10">
        <f t="shared" si="88"/>
        <v>0.01</v>
      </c>
      <c r="F466" s="10">
        <f t="shared" si="88"/>
        <v>0</v>
      </c>
      <c r="G466" s="10">
        <f t="shared" si="88"/>
        <v>1.0999999999999999E-2</v>
      </c>
      <c r="H466" s="10">
        <f t="shared" si="88"/>
        <v>5.1999999999999998E-2</v>
      </c>
      <c r="I466" s="10">
        <f t="shared" si="88"/>
        <v>1.6E-2</v>
      </c>
      <c r="J466" s="10">
        <f t="shared" si="88"/>
        <v>5.8000000000000003E-2</v>
      </c>
      <c r="K466" s="10">
        <f t="shared" si="88"/>
        <v>0</v>
      </c>
      <c r="L466" s="10">
        <f t="shared" si="88"/>
        <v>7.0000000000000001E-3</v>
      </c>
      <c r="M466" s="10">
        <f t="shared" si="88"/>
        <v>0</v>
      </c>
      <c r="N466" s="10">
        <f t="shared" si="88"/>
        <v>7.0999999999999994E-2</v>
      </c>
      <c r="O466" s="10">
        <f t="shared" si="88"/>
        <v>5.0999999999999997E-2</v>
      </c>
      <c r="P466" s="10">
        <f t="shared" si="88"/>
        <v>5.8999999999999997E-2</v>
      </c>
      <c r="Q466" s="10">
        <f t="shared" si="88"/>
        <v>4.1000000000000002E-2</v>
      </c>
      <c r="R466" s="10">
        <f t="shared" si="88"/>
        <v>3.2000000000000001E-2</v>
      </c>
      <c r="S466" s="10">
        <f t="shared" si="88"/>
        <v>0</v>
      </c>
      <c r="T466" s="10">
        <f t="shared" si="88"/>
        <v>3.5000000000000003E-2</v>
      </c>
      <c r="U466" s="10">
        <f t="shared" si="88"/>
        <v>0</v>
      </c>
      <c r="V466" s="10">
        <f t="shared" si="88"/>
        <v>5.8000000000000003E-2</v>
      </c>
      <c r="W466" s="10">
        <f t="shared" si="88"/>
        <v>4.1000000000000002E-2</v>
      </c>
      <c r="X466" s="10">
        <f t="shared" si="88"/>
        <v>8.6999999999999994E-2</v>
      </c>
      <c r="Y466" s="10">
        <f t="shared" si="88"/>
        <v>6.4000000000000001E-2</v>
      </c>
      <c r="Z466" s="10">
        <f t="shared" si="88"/>
        <v>1.7999999999999999E-2</v>
      </c>
      <c r="AA466" s="10">
        <f t="shared" si="88"/>
        <v>7.1999999999999995E-2</v>
      </c>
      <c r="AB466" s="10">
        <f t="shared" si="88"/>
        <v>8.4000000000000005E-2</v>
      </c>
      <c r="AC466" s="10">
        <f t="shared" si="88"/>
        <v>4.7E-2</v>
      </c>
      <c r="AD466" s="10">
        <f t="shared" si="88"/>
        <v>0.06</v>
      </c>
      <c r="AE466" s="10">
        <f t="shared" si="88"/>
        <v>1.9E-2</v>
      </c>
      <c r="AF466" s="10">
        <f t="shared" si="88"/>
        <v>0</v>
      </c>
    </row>
    <row r="467" spans="1:32">
      <c r="A467" s="10" t="s">
        <v>204</v>
      </c>
      <c r="B467" s="61" t="s">
        <v>289</v>
      </c>
      <c r="C467" s="10">
        <f t="shared" si="87"/>
        <v>7.0999999999999994E-2</v>
      </c>
      <c r="D467" s="10">
        <f t="shared" si="88"/>
        <v>3.7999999999999999E-2</v>
      </c>
      <c r="E467" s="10">
        <f t="shared" si="88"/>
        <v>0</v>
      </c>
      <c r="F467" s="10">
        <f t="shared" si="88"/>
        <v>1.4999999999999999E-2</v>
      </c>
      <c r="G467" s="10">
        <f t="shared" si="88"/>
        <v>0</v>
      </c>
      <c r="H467" s="10">
        <f t="shared" si="88"/>
        <v>4.2999999999999997E-2</v>
      </c>
      <c r="I467" s="10">
        <f t="shared" si="88"/>
        <v>5.2999999999999999E-2</v>
      </c>
      <c r="J467" s="10">
        <f t="shared" si="88"/>
        <v>0</v>
      </c>
      <c r="K467" s="10">
        <f t="shared" si="88"/>
        <v>0</v>
      </c>
      <c r="L467" s="10">
        <f t="shared" si="88"/>
        <v>0</v>
      </c>
      <c r="M467" s="10">
        <f t="shared" si="88"/>
        <v>0</v>
      </c>
      <c r="N467" s="10">
        <f t="shared" si="88"/>
        <v>0</v>
      </c>
      <c r="O467" s="10">
        <f t="shared" si="88"/>
        <v>2.8000000000000001E-2</v>
      </c>
      <c r="P467" s="10">
        <f t="shared" si="88"/>
        <v>0.03</v>
      </c>
      <c r="Q467" s="10">
        <f t="shared" si="88"/>
        <v>0</v>
      </c>
      <c r="R467" s="10">
        <f t="shared" si="88"/>
        <v>3.2000000000000001E-2</v>
      </c>
      <c r="S467" s="10">
        <f t="shared" si="88"/>
        <v>0</v>
      </c>
      <c r="T467" s="10">
        <f t="shared" si="88"/>
        <v>0</v>
      </c>
      <c r="U467" s="10">
        <f t="shared" si="88"/>
        <v>0</v>
      </c>
      <c r="V467" s="10">
        <f t="shared" si="88"/>
        <v>1.7000000000000001E-2</v>
      </c>
      <c r="W467" s="10">
        <f t="shared" si="88"/>
        <v>0</v>
      </c>
      <c r="X467" s="10">
        <f t="shared" si="88"/>
        <v>0</v>
      </c>
      <c r="Y467" s="10">
        <f t="shared" si="88"/>
        <v>4.8000000000000001E-2</v>
      </c>
      <c r="Z467" s="10">
        <f t="shared" si="88"/>
        <v>0</v>
      </c>
      <c r="AA467" s="10">
        <f t="shared" si="88"/>
        <v>2.5000000000000001E-2</v>
      </c>
      <c r="AB467" s="10">
        <f t="shared" si="88"/>
        <v>0</v>
      </c>
      <c r="AC467" s="10">
        <f t="shared" si="88"/>
        <v>3.3000000000000002E-2</v>
      </c>
      <c r="AD467" s="10">
        <f t="shared" si="88"/>
        <v>3.5999999999999997E-2</v>
      </c>
      <c r="AE467" s="10">
        <f t="shared" si="88"/>
        <v>0</v>
      </c>
      <c r="AF467" s="10">
        <f t="shared" si="88"/>
        <v>2.8000000000000001E-2</v>
      </c>
    </row>
    <row r="468" spans="1:32">
      <c r="A468" s="10" t="s">
        <v>204</v>
      </c>
      <c r="B468" s="61" t="s">
        <v>290</v>
      </c>
      <c r="C468" s="10">
        <f t="shared" si="87"/>
        <v>5.0999999999999997E-2</v>
      </c>
      <c r="D468" s="10">
        <f t="shared" si="88"/>
        <v>1.0999999999999999E-2</v>
      </c>
      <c r="E468" s="10">
        <f t="shared" si="88"/>
        <v>3.5000000000000003E-2</v>
      </c>
      <c r="F468" s="10">
        <f t="shared" si="88"/>
        <v>2.4E-2</v>
      </c>
      <c r="G468" s="10">
        <f t="shared" si="88"/>
        <v>2.1000000000000001E-2</v>
      </c>
      <c r="H468" s="10">
        <f t="shared" si="88"/>
        <v>1.7000000000000001E-2</v>
      </c>
      <c r="I468" s="10">
        <f t="shared" si="88"/>
        <v>2.5999999999999999E-2</v>
      </c>
      <c r="J468" s="10">
        <f t="shared" si="88"/>
        <v>4.2000000000000003E-2</v>
      </c>
      <c r="K468" s="10">
        <f t="shared" si="88"/>
        <v>0</v>
      </c>
      <c r="L468" s="10">
        <f t="shared" si="88"/>
        <v>5.5E-2</v>
      </c>
      <c r="M468" s="10">
        <f t="shared" si="88"/>
        <v>0</v>
      </c>
      <c r="N468" s="10">
        <f t="shared" si="88"/>
        <v>2.8000000000000001E-2</v>
      </c>
      <c r="O468" s="10">
        <f t="shared" si="88"/>
        <v>0</v>
      </c>
      <c r="P468" s="10">
        <f t="shared" si="88"/>
        <v>1.0999999999999999E-2</v>
      </c>
      <c r="Q468" s="10">
        <f t="shared" si="88"/>
        <v>0</v>
      </c>
      <c r="R468" s="10">
        <f t="shared" si="88"/>
        <v>1.4E-2</v>
      </c>
      <c r="S468" s="10">
        <f t="shared" si="88"/>
        <v>4.1000000000000002E-2</v>
      </c>
      <c r="T468" s="10">
        <f t="shared" si="88"/>
        <v>0.03</v>
      </c>
      <c r="U468" s="10">
        <f t="shared" si="88"/>
        <v>0</v>
      </c>
      <c r="V468" s="10">
        <f t="shared" si="88"/>
        <v>1.0999999999999999E-2</v>
      </c>
      <c r="W468" s="10">
        <f t="shared" si="88"/>
        <v>3.5999999999999997E-2</v>
      </c>
      <c r="X468" s="10">
        <f t="shared" si="88"/>
        <v>0</v>
      </c>
      <c r="Y468" s="10">
        <f t="shared" si="88"/>
        <v>2.5999999999999999E-2</v>
      </c>
      <c r="Z468" s="10">
        <f t="shared" si="88"/>
        <v>0</v>
      </c>
      <c r="AA468" s="10">
        <f t="shared" si="88"/>
        <v>2.1999999999999999E-2</v>
      </c>
      <c r="AB468" s="10">
        <f t="shared" si="88"/>
        <v>6.3E-2</v>
      </c>
      <c r="AC468" s="10">
        <f t="shared" si="88"/>
        <v>6.0000000000000001E-3</v>
      </c>
      <c r="AD468" s="10">
        <f t="shared" si="88"/>
        <v>1.4999999999999999E-2</v>
      </c>
      <c r="AE468" s="10">
        <f t="shared" si="88"/>
        <v>0</v>
      </c>
      <c r="AF468" s="10">
        <f t="shared" si="88"/>
        <v>0</v>
      </c>
    </row>
    <row r="469" spans="1:32">
      <c r="A469" s="10" t="s">
        <v>204</v>
      </c>
      <c r="B469" s="61" t="s">
        <v>291</v>
      </c>
      <c r="C469" s="10">
        <f t="shared" si="87"/>
        <v>5.8999999999999997E-2</v>
      </c>
      <c r="D469" s="10">
        <f t="shared" si="88"/>
        <v>1.2999999999999999E-2</v>
      </c>
      <c r="E469" s="10">
        <f t="shared" si="88"/>
        <v>3.6999999999999998E-2</v>
      </c>
      <c r="F469" s="10">
        <f t="shared" si="88"/>
        <v>2.1999999999999999E-2</v>
      </c>
      <c r="G469" s="10">
        <f t="shared" si="88"/>
        <v>2.7E-2</v>
      </c>
      <c r="H469" s="10">
        <f t="shared" si="88"/>
        <v>1.2999999999999999E-2</v>
      </c>
      <c r="I469" s="10">
        <f t="shared" si="88"/>
        <v>2.5000000000000001E-2</v>
      </c>
      <c r="J469" s="10">
        <f t="shared" si="88"/>
        <v>3.7999999999999999E-2</v>
      </c>
      <c r="K469" s="10">
        <f t="shared" si="88"/>
        <v>0</v>
      </c>
      <c r="L469" s="10">
        <f t="shared" si="88"/>
        <v>0</v>
      </c>
      <c r="M469" s="10">
        <f t="shared" si="88"/>
        <v>0</v>
      </c>
      <c r="N469" s="10">
        <f t="shared" si="88"/>
        <v>0.03</v>
      </c>
      <c r="O469" s="10">
        <f t="shared" si="88"/>
        <v>1.0999999999999999E-2</v>
      </c>
      <c r="P469" s="10">
        <f t="shared" si="88"/>
        <v>0</v>
      </c>
      <c r="Q469" s="10">
        <f t="shared" si="88"/>
        <v>0</v>
      </c>
      <c r="R469" s="10">
        <f t="shared" si="88"/>
        <v>2.4E-2</v>
      </c>
      <c r="S469" s="10">
        <f t="shared" si="88"/>
        <v>3.1E-2</v>
      </c>
      <c r="T469" s="10">
        <f t="shared" si="88"/>
        <v>3.3000000000000002E-2</v>
      </c>
      <c r="U469" s="10">
        <f t="shared" si="88"/>
        <v>3.6999999999999998E-2</v>
      </c>
      <c r="V469" s="10">
        <f t="shared" si="88"/>
        <v>1.6E-2</v>
      </c>
      <c r="W469" s="10">
        <f t="shared" si="88"/>
        <v>3.6999999999999998E-2</v>
      </c>
      <c r="X469" s="10">
        <f t="shared" si="88"/>
        <v>0</v>
      </c>
      <c r="Y469" s="10">
        <f t="shared" si="88"/>
        <v>1.7999999999999999E-2</v>
      </c>
      <c r="Z469" s="10">
        <f t="shared" si="88"/>
        <v>0</v>
      </c>
      <c r="AA469" s="10">
        <f t="shared" si="88"/>
        <v>1.4999999999999999E-2</v>
      </c>
      <c r="AB469" s="10">
        <f t="shared" si="88"/>
        <v>5.6000000000000001E-2</v>
      </c>
      <c r="AC469" s="10">
        <f t="shared" si="88"/>
        <v>1.2E-2</v>
      </c>
      <c r="AD469" s="10">
        <f t="shared" si="88"/>
        <v>6.0000000000000001E-3</v>
      </c>
      <c r="AE469" s="10">
        <f t="shared" si="88"/>
        <v>0</v>
      </c>
      <c r="AF469" s="10">
        <f t="shared" si="88"/>
        <v>0</v>
      </c>
    </row>
    <row r="470" spans="1:32">
      <c r="A470" s="10" t="s">
        <v>204</v>
      </c>
      <c r="B470" s="61" t="s">
        <v>292</v>
      </c>
      <c r="C470" s="10">
        <f t="shared" si="87"/>
        <v>4.1000000000000002E-2</v>
      </c>
      <c r="D470" s="10">
        <f t="shared" si="88"/>
        <v>0</v>
      </c>
      <c r="E470" s="10">
        <f t="shared" si="88"/>
        <v>0.03</v>
      </c>
      <c r="F470" s="10">
        <f t="shared" si="88"/>
        <v>0</v>
      </c>
      <c r="G470" s="10">
        <f t="shared" si="88"/>
        <v>0</v>
      </c>
      <c r="H470" s="10">
        <f t="shared" si="88"/>
        <v>0</v>
      </c>
      <c r="I470" s="10">
        <f t="shared" si="88"/>
        <v>4.1000000000000002E-2</v>
      </c>
      <c r="J470" s="10">
        <f t="shared" si="88"/>
        <v>3.9E-2</v>
      </c>
      <c r="K470" s="10">
        <f t="shared" si="88"/>
        <v>0</v>
      </c>
      <c r="L470" s="10">
        <f t="shared" si="88"/>
        <v>4.8000000000000001E-2</v>
      </c>
      <c r="M470" s="10">
        <f t="shared" si="88"/>
        <v>0</v>
      </c>
      <c r="N470" s="10">
        <f t="shared" si="88"/>
        <v>0</v>
      </c>
      <c r="O470" s="10">
        <f t="shared" si="88"/>
        <v>0</v>
      </c>
      <c r="P470" s="10">
        <f t="shared" si="88"/>
        <v>0</v>
      </c>
      <c r="Q470" s="10">
        <f t="shared" si="88"/>
        <v>0</v>
      </c>
      <c r="R470" s="10">
        <f t="shared" si="88"/>
        <v>0</v>
      </c>
      <c r="S470" s="10">
        <f t="shared" si="88"/>
        <v>0</v>
      </c>
      <c r="T470" s="10">
        <f t="shared" si="88"/>
        <v>3.4000000000000002E-2</v>
      </c>
      <c r="U470" s="10">
        <f t="shared" si="88"/>
        <v>0</v>
      </c>
      <c r="V470" s="10">
        <f t="shared" si="88"/>
        <v>0</v>
      </c>
      <c r="W470" s="10">
        <f t="shared" si="88"/>
        <v>0.03</v>
      </c>
      <c r="X470" s="10">
        <f t="shared" si="88"/>
        <v>5.7000000000000002E-2</v>
      </c>
      <c r="Y470" s="10">
        <f t="shared" si="88"/>
        <v>0</v>
      </c>
      <c r="Z470" s="10">
        <f t="shared" si="88"/>
        <v>0</v>
      </c>
      <c r="AA470" s="10">
        <f t="shared" si="88"/>
        <v>0</v>
      </c>
      <c r="AB470" s="10">
        <f t="shared" si="88"/>
        <v>0</v>
      </c>
      <c r="AC470" s="10">
        <f t="shared" si="88"/>
        <v>0</v>
      </c>
      <c r="AD470" s="10">
        <f t="shared" si="88"/>
        <v>0</v>
      </c>
      <c r="AE470" s="10">
        <f t="shared" si="88"/>
        <v>1.2E-2</v>
      </c>
      <c r="AF470" s="10">
        <f t="shared" si="88"/>
        <v>0</v>
      </c>
    </row>
    <row r="471" spans="1:32">
      <c r="A471" s="10" t="s">
        <v>204</v>
      </c>
      <c r="B471" s="61" t="s">
        <v>293</v>
      </c>
      <c r="C471" s="10">
        <f t="shared" si="87"/>
        <v>3.2000000000000001E-2</v>
      </c>
      <c r="D471" s="10">
        <f t="shared" si="88"/>
        <v>1.7999999999999999E-2</v>
      </c>
      <c r="E471" s="10">
        <f t="shared" si="88"/>
        <v>3.3000000000000002E-2</v>
      </c>
      <c r="F471" s="10">
        <f t="shared" si="88"/>
        <v>3.5000000000000003E-2</v>
      </c>
      <c r="G471" s="10">
        <f t="shared" si="88"/>
        <v>1.7000000000000001E-2</v>
      </c>
      <c r="H471" s="10">
        <f t="shared" si="88"/>
        <v>2.5999999999999999E-2</v>
      </c>
      <c r="I471" s="10">
        <f t="shared" si="88"/>
        <v>0.03</v>
      </c>
      <c r="J471" s="10">
        <f t="shared" si="88"/>
        <v>4.7E-2</v>
      </c>
      <c r="K471" s="10">
        <f t="shared" si="88"/>
        <v>0</v>
      </c>
      <c r="L471" s="10">
        <f t="shared" si="88"/>
        <v>4.2999999999999997E-2</v>
      </c>
      <c r="M471" s="10">
        <f t="shared" si="88"/>
        <v>0</v>
      </c>
      <c r="N471" s="10">
        <f t="shared" si="88"/>
        <v>3.2000000000000001E-2</v>
      </c>
      <c r="O471" s="10">
        <f t="shared" si="88"/>
        <v>1.4E-2</v>
      </c>
      <c r="P471" s="10">
        <f t="shared" si="88"/>
        <v>2.4E-2</v>
      </c>
      <c r="Q471" s="10">
        <f t="shared" si="88"/>
        <v>0</v>
      </c>
      <c r="R471" s="10">
        <f t="shared" si="88"/>
        <v>0</v>
      </c>
      <c r="S471" s="10">
        <f t="shared" si="88"/>
        <v>0</v>
      </c>
      <c r="T471" s="10">
        <f t="shared" si="88"/>
        <v>2.9000000000000001E-2</v>
      </c>
      <c r="U471" s="10">
        <f t="shared" si="88"/>
        <v>0</v>
      </c>
      <c r="V471" s="10">
        <f t="shared" si="88"/>
        <v>1.9E-2</v>
      </c>
      <c r="W471" s="10">
        <f t="shared" si="88"/>
        <v>3.6999999999999998E-2</v>
      </c>
      <c r="X471" s="10">
        <f t="shared" si="88"/>
        <v>0</v>
      </c>
      <c r="Y471" s="10">
        <f t="shared" si="88"/>
        <v>3.7999999999999999E-2</v>
      </c>
      <c r="Z471" s="10">
        <f t="shared" si="88"/>
        <v>0</v>
      </c>
      <c r="AA471" s="10">
        <f t="shared" si="88"/>
        <v>3.5000000000000003E-2</v>
      </c>
      <c r="AB471" s="10">
        <f t="shared" si="88"/>
        <v>7.1999999999999995E-2</v>
      </c>
      <c r="AC471" s="10">
        <f t="shared" si="88"/>
        <v>1.4E-2</v>
      </c>
      <c r="AD471" s="10">
        <f t="shared" si="88"/>
        <v>2.8000000000000001E-2</v>
      </c>
      <c r="AE471" s="10">
        <f t="shared" si="88"/>
        <v>5.3999999999999999E-2</v>
      </c>
      <c r="AF471" s="10">
        <f t="shared" si="88"/>
        <v>0</v>
      </c>
    </row>
    <row r="472" spans="1:32">
      <c r="A472" s="10" t="s">
        <v>204</v>
      </c>
      <c r="B472" s="61" t="s">
        <v>309</v>
      </c>
      <c r="C472" s="10">
        <f t="shared" si="87"/>
        <v>0</v>
      </c>
      <c r="D472" s="10">
        <f t="shared" si="88"/>
        <v>3.5000000000000003E-2</v>
      </c>
      <c r="E472" s="10">
        <f t="shared" si="88"/>
        <v>0</v>
      </c>
      <c r="F472" s="10">
        <f t="shared" si="88"/>
        <v>0</v>
      </c>
      <c r="G472" s="10">
        <f t="shared" si="88"/>
        <v>0</v>
      </c>
      <c r="H472" s="10">
        <f t="shared" si="88"/>
        <v>2.7E-2</v>
      </c>
      <c r="I472" s="10">
        <f t="shared" si="88"/>
        <v>3.3000000000000002E-2</v>
      </c>
      <c r="J472" s="10">
        <f t="shared" si="88"/>
        <v>2.8000000000000001E-2</v>
      </c>
      <c r="K472" s="10">
        <f t="shared" si="88"/>
        <v>1.2E-2</v>
      </c>
      <c r="L472" s="10">
        <f t="shared" si="88"/>
        <v>0</v>
      </c>
      <c r="M472" s="10">
        <f t="shared" si="88"/>
        <v>3.3000000000000002E-2</v>
      </c>
      <c r="N472" s="10">
        <f t="shared" si="88"/>
        <v>0</v>
      </c>
      <c r="O472" s="10">
        <f t="shared" si="88"/>
        <v>4.1000000000000002E-2</v>
      </c>
      <c r="P472" s="10">
        <f t="shared" si="88"/>
        <v>3.1E-2</v>
      </c>
      <c r="Q472" s="10">
        <f t="shared" si="88"/>
        <v>0</v>
      </c>
      <c r="R472" s="10">
        <f t="shared" si="88"/>
        <v>0</v>
      </c>
      <c r="S472" s="10">
        <f t="shared" si="88"/>
        <v>0</v>
      </c>
      <c r="T472" s="10">
        <f t="shared" si="88"/>
        <v>0</v>
      </c>
      <c r="U472" s="10">
        <f t="shared" si="88"/>
        <v>6.0000000000000001E-3</v>
      </c>
      <c r="V472" s="10">
        <f t="shared" si="88"/>
        <v>0</v>
      </c>
      <c r="W472" s="10">
        <f t="shared" si="88"/>
        <v>0.04</v>
      </c>
      <c r="X472" s="10">
        <f t="shared" si="88"/>
        <v>3.6999999999999998E-2</v>
      </c>
      <c r="Y472" s="10">
        <f t="shared" si="88"/>
        <v>1.4999999999999999E-2</v>
      </c>
      <c r="Z472" s="10">
        <f t="shared" si="88"/>
        <v>0</v>
      </c>
      <c r="AA472" s="10">
        <f t="shared" si="88"/>
        <v>3.4000000000000002E-2</v>
      </c>
      <c r="AB472" s="10">
        <f t="shared" si="88"/>
        <v>0.03</v>
      </c>
      <c r="AC472" s="10">
        <f t="shared" si="88"/>
        <v>3.9E-2</v>
      </c>
      <c r="AD472" s="10">
        <f t="shared" si="88"/>
        <v>2.5999999999999999E-2</v>
      </c>
      <c r="AE472" s="10">
        <f t="shared" si="88"/>
        <v>0</v>
      </c>
      <c r="AF472" s="10">
        <f t="shared" si="88"/>
        <v>0</v>
      </c>
    </row>
    <row r="473" spans="1:32">
      <c r="A473" s="10" t="s">
        <v>204</v>
      </c>
      <c r="B473" s="61" t="s">
        <v>294</v>
      </c>
      <c r="C473" s="10">
        <f t="shared" ref="C473:C485" si="89">ROUND(C23*0.00003215271,3)</f>
        <v>3.5000000000000003E-2</v>
      </c>
      <c r="D473" s="10">
        <f t="shared" si="88"/>
        <v>2.1000000000000001E-2</v>
      </c>
      <c r="E473" s="10">
        <f t="shared" si="88"/>
        <v>5.0000000000000001E-3</v>
      </c>
      <c r="F473" s="10">
        <f t="shared" si="88"/>
        <v>0</v>
      </c>
      <c r="G473" s="10">
        <f t="shared" si="88"/>
        <v>1.2E-2</v>
      </c>
      <c r="H473" s="10">
        <f t="shared" si="88"/>
        <v>2.1000000000000001E-2</v>
      </c>
      <c r="I473" s="10">
        <f t="shared" si="88"/>
        <v>1.0999999999999999E-2</v>
      </c>
      <c r="J473" s="10">
        <f t="shared" si="88"/>
        <v>2.4E-2</v>
      </c>
      <c r="K473" s="10">
        <f t="shared" si="88"/>
        <v>0</v>
      </c>
      <c r="L473" s="10">
        <f t="shared" si="88"/>
        <v>4.2000000000000003E-2</v>
      </c>
      <c r="M473" s="10">
        <f t="shared" si="88"/>
        <v>0</v>
      </c>
      <c r="N473" s="10">
        <f t="shared" si="88"/>
        <v>0</v>
      </c>
      <c r="O473" s="10">
        <f t="shared" si="88"/>
        <v>0.03</v>
      </c>
      <c r="P473" s="10">
        <f t="shared" si="88"/>
        <v>3.3000000000000002E-2</v>
      </c>
      <c r="Q473" s="10">
        <f t="shared" si="88"/>
        <v>3.4000000000000002E-2</v>
      </c>
      <c r="R473" s="10">
        <f t="shared" si="88"/>
        <v>2.9000000000000001E-2</v>
      </c>
      <c r="S473" s="10">
        <f t="shared" si="88"/>
        <v>0</v>
      </c>
      <c r="T473" s="10">
        <f t="shared" si="88"/>
        <v>0</v>
      </c>
      <c r="U473" s="10">
        <f t="shared" si="88"/>
        <v>0</v>
      </c>
      <c r="V473" s="10">
        <f t="shared" si="88"/>
        <v>0</v>
      </c>
      <c r="W473" s="10">
        <f t="shared" si="88"/>
        <v>8.9999999999999993E-3</v>
      </c>
      <c r="X473" s="10">
        <f t="shared" si="88"/>
        <v>5.5E-2</v>
      </c>
      <c r="Y473" s="10">
        <f t="shared" si="88"/>
        <v>3.1E-2</v>
      </c>
      <c r="Z473" s="10">
        <f t="shared" si="88"/>
        <v>0</v>
      </c>
      <c r="AA473" s="10">
        <f t="shared" si="88"/>
        <v>0</v>
      </c>
      <c r="AB473" s="10">
        <f t="shared" si="88"/>
        <v>5.0999999999999997E-2</v>
      </c>
      <c r="AC473" s="10">
        <f t="shared" si="88"/>
        <v>2.5000000000000001E-2</v>
      </c>
      <c r="AD473" s="10">
        <f t="shared" si="88"/>
        <v>3.2000000000000001E-2</v>
      </c>
      <c r="AE473" s="10">
        <f t="shared" si="88"/>
        <v>2.5000000000000001E-2</v>
      </c>
      <c r="AF473" s="10">
        <f t="shared" si="88"/>
        <v>0</v>
      </c>
    </row>
    <row r="474" spans="1:32">
      <c r="A474" s="10" t="s">
        <v>204</v>
      </c>
      <c r="B474" s="61" t="s">
        <v>310</v>
      </c>
      <c r="C474" s="10">
        <f t="shared" si="89"/>
        <v>0</v>
      </c>
      <c r="D474" s="10">
        <f t="shared" si="88"/>
        <v>4.1000000000000002E-2</v>
      </c>
      <c r="E474" s="10">
        <f t="shared" si="88"/>
        <v>0</v>
      </c>
      <c r="F474" s="10">
        <f t="shared" si="88"/>
        <v>0</v>
      </c>
      <c r="G474" s="10">
        <f t="shared" ref="D474:AF482" si="90">ROUND(G24*0.00003215271,3)</f>
        <v>0</v>
      </c>
      <c r="H474" s="10">
        <f t="shared" si="90"/>
        <v>3.3000000000000002E-2</v>
      </c>
      <c r="I474" s="10">
        <f t="shared" si="90"/>
        <v>3.6999999999999998E-2</v>
      </c>
      <c r="J474" s="10">
        <f t="shared" si="90"/>
        <v>0.03</v>
      </c>
      <c r="K474" s="10">
        <f t="shared" si="90"/>
        <v>7.0000000000000001E-3</v>
      </c>
      <c r="L474" s="10">
        <f t="shared" si="90"/>
        <v>0</v>
      </c>
      <c r="M474" s="10">
        <f t="shared" si="90"/>
        <v>2.7E-2</v>
      </c>
      <c r="N474" s="10">
        <f t="shared" si="90"/>
        <v>0</v>
      </c>
      <c r="O474" s="10">
        <f t="shared" si="90"/>
        <v>0</v>
      </c>
      <c r="P474" s="10">
        <f t="shared" si="90"/>
        <v>3.6999999999999998E-2</v>
      </c>
      <c r="Q474" s="10">
        <f t="shared" si="90"/>
        <v>0</v>
      </c>
      <c r="R474" s="10">
        <f t="shared" si="90"/>
        <v>0</v>
      </c>
      <c r="S474" s="10">
        <f t="shared" si="90"/>
        <v>6.0000000000000001E-3</v>
      </c>
      <c r="T474" s="10">
        <f t="shared" si="90"/>
        <v>0</v>
      </c>
      <c r="U474" s="10">
        <f t="shared" si="90"/>
        <v>0</v>
      </c>
      <c r="V474" s="10">
        <f t="shared" si="90"/>
        <v>0</v>
      </c>
      <c r="W474" s="10">
        <f t="shared" si="90"/>
        <v>4.2999999999999997E-2</v>
      </c>
      <c r="X474" s="10">
        <f t="shared" si="90"/>
        <v>3.3000000000000002E-2</v>
      </c>
      <c r="Y474" s="10">
        <f t="shared" si="90"/>
        <v>0.02</v>
      </c>
      <c r="Z474" s="10">
        <f t="shared" si="90"/>
        <v>0</v>
      </c>
      <c r="AA474" s="10">
        <f t="shared" si="90"/>
        <v>3.9E-2</v>
      </c>
      <c r="AB474" s="10">
        <f t="shared" si="90"/>
        <v>2.5999999999999999E-2</v>
      </c>
      <c r="AC474" s="10">
        <f t="shared" si="90"/>
        <v>0</v>
      </c>
      <c r="AD474" s="10">
        <f t="shared" si="90"/>
        <v>3.1E-2</v>
      </c>
      <c r="AE474" s="10">
        <f t="shared" si="90"/>
        <v>0</v>
      </c>
      <c r="AF474" s="10">
        <f t="shared" si="90"/>
        <v>0</v>
      </c>
    </row>
    <row r="475" spans="1:32">
      <c r="A475" s="10" t="s">
        <v>204</v>
      </c>
      <c r="B475" s="61" t="s">
        <v>297</v>
      </c>
      <c r="C475" s="10">
        <f t="shared" si="89"/>
        <v>4.1000000000000002E-2</v>
      </c>
      <c r="D475" s="10">
        <f t="shared" si="90"/>
        <v>2.5999999999999999E-2</v>
      </c>
      <c r="E475" s="10">
        <f t="shared" si="90"/>
        <v>6.0000000000000001E-3</v>
      </c>
      <c r="F475" s="10">
        <f t="shared" si="90"/>
        <v>0</v>
      </c>
      <c r="G475" s="10">
        <f t="shared" si="90"/>
        <v>0.02</v>
      </c>
      <c r="H475" s="10">
        <f t="shared" si="90"/>
        <v>2.4E-2</v>
      </c>
      <c r="I475" s="10">
        <f t="shared" si="90"/>
        <v>1.0999999999999999E-2</v>
      </c>
      <c r="J475" s="10">
        <f t="shared" si="90"/>
        <v>1.6E-2</v>
      </c>
      <c r="K475" s="10">
        <f t="shared" si="90"/>
        <v>0</v>
      </c>
      <c r="L475" s="10">
        <f t="shared" si="90"/>
        <v>4.9000000000000002E-2</v>
      </c>
      <c r="M475" s="10">
        <f t="shared" si="90"/>
        <v>0</v>
      </c>
      <c r="N475" s="10">
        <f t="shared" si="90"/>
        <v>0</v>
      </c>
      <c r="O475" s="10">
        <f t="shared" si="90"/>
        <v>3.5999999999999997E-2</v>
      </c>
      <c r="P475" s="10">
        <f t="shared" si="90"/>
        <v>3.6999999999999998E-2</v>
      </c>
      <c r="Q475" s="10">
        <f t="shared" si="90"/>
        <v>0.03</v>
      </c>
      <c r="R475" s="10">
        <f t="shared" si="90"/>
        <v>3.6999999999999998E-2</v>
      </c>
      <c r="S475" s="10">
        <f t="shared" si="90"/>
        <v>0.04</v>
      </c>
      <c r="T475" s="10">
        <f t="shared" si="90"/>
        <v>8.9999999999999993E-3</v>
      </c>
      <c r="U475" s="10">
        <f t="shared" si="90"/>
        <v>4.2999999999999997E-2</v>
      </c>
      <c r="V475" s="10">
        <f t="shared" si="90"/>
        <v>0</v>
      </c>
      <c r="W475" s="10">
        <f t="shared" si="90"/>
        <v>0</v>
      </c>
      <c r="X475" s="10">
        <f t="shared" si="90"/>
        <v>4.5999999999999999E-2</v>
      </c>
      <c r="Y475" s="10">
        <f t="shared" si="90"/>
        <v>0.03</v>
      </c>
      <c r="Z475" s="10">
        <f t="shared" si="90"/>
        <v>0</v>
      </c>
      <c r="AA475" s="10">
        <f t="shared" si="90"/>
        <v>0</v>
      </c>
      <c r="AB475" s="10">
        <f t="shared" si="90"/>
        <v>4.2999999999999997E-2</v>
      </c>
      <c r="AC475" s="10">
        <f t="shared" si="90"/>
        <v>3.1E-2</v>
      </c>
      <c r="AD475" s="10">
        <f t="shared" si="90"/>
        <v>3.4000000000000002E-2</v>
      </c>
      <c r="AE475" s="10">
        <f t="shared" si="90"/>
        <v>1.9E-2</v>
      </c>
      <c r="AF475" s="10">
        <f t="shared" si="90"/>
        <v>0</v>
      </c>
    </row>
    <row r="476" spans="1:32">
      <c r="A476" s="10" t="s">
        <v>204</v>
      </c>
      <c r="B476" s="61" t="s">
        <v>298</v>
      </c>
      <c r="C476" s="10">
        <f t="shared" si="89"/>
        <v>8.6999999999999994E-2</v>
      </c>
      <c r="D476" s="10">
        <f t="shared" si="90"/>
        <v>0</v>
      </c>
      <c r="E476" s="10">
        <f t="shared" si="90"/>
        <v>5.2999999999999999E-2</v>
      </c>
      <c r="F476" s="10">
        <f t="shared" si="90"/>
        <v>0</v>
      </c>
      <c r="G476" s="10">
        <f t="shared" si="90"/>
        <v>0</v>
      </c>
      <c r="H476" s="10">
        <f t="shared" si="90"/>
        <v>5.2999999999999999E-2</v>
      </c>
      <c r="I476" s="10">
        <f t="shared" si="90"/>
        <v>4.8000000000000001E-2</v>
      </c>
      <c r="J476" s="10">
        <f t="shared" si="90"/>
        <v>2.3E-2</v>
      </c>
      <c r="K476" s="10">
        <f t="shared" si="90"/>
        <v>2.8000000000000001E-2</v>
      </c>
      <c r="L476" s="10">
        <f t="shared" si="90"/>
        <v>0</v>
      </c>
      <c r="M476" s="10">
        <f t="shared" si="90"/>
        <v>3.2000000000000001E-2</v>
      </c>
      <c r="N476" s="10">
        <f t="shared" si="90"/>
        <v>0</v>
      </c>
      <c r="O476" s="10">
        <f t="shared" si="90"/>
        <v>0</v>
      </c>
      <c r="P476" s="10">
        <f t="shared" si="90"/>
        <v>0</v>
      </c>
      <c r="Q476" s="10">
        <f t="shared" si="90"/>
        <v>5.7000000000000002E-2</v>
      </c>
      <c r="R476" s="10">
        <f t="shared" si="90"/>
        <v>0</v>
      </c>
      <c r="S476" s="10">
        <f t="shared" si="90"/>
        <v>3.6999999999999998E-2</v>
      </c>
      <c r="T476" s="10">
        <f t="shared" si="90"/>
        <v>5.5E-2</v>
      </c>
      <c r="U476" s="10">
        <f t="shared" si="90"/>
        <v>3.3000000000000002E-2</v>
      </c>
      <c r="V476" s="10">
        <f t="shared" si="90"/>
        <v>0</v>
      </c>
      <c r="W476" s="10">
        <f t="shared" si="90"/>
        <v>4.5999999999999999E-2</v>
      </c>
      <c r="X476" s="10">
        <f t="shared" si="90"/>
        <v>0</v>
      </c>
      <c r="Y476" s="10">
        <f t="shared" si="90"/>
        <v>4.4999999999999998E-2</v>
      </c>
      <c r="Z476" s="10">
        <f t="shared" si="90"/>
        <v>0</v>
      </c>
      <c r="AA476" s="10">
        <f t="shared" si="90"/>
        <v>0</v>
      </c>
      <c r="AB476" s="10">
        <f t="shared" si="90"/>
        <v>7.0000000000000001E-3</v>
      </c>
      <c r="AC476" s="10">
        <f t="shared" si="90"/>
        <v>0</v>
      </c>
      <c r="AD476" s="10">
        <f t="shared" si="90"/>
        <v>0</v>
      </c>
      <c r="AE476" s="10">
        <f t="shared" si="90"/>
        <v>4.8000000000000001E-2</v>
      </c>
      <c r="AF476" s="10">
        <f t="shared" si="90"/>
        <v>0</v>
      </c>
    </row>
    <row r="477" spans="1:32">
      <c r="A477" s="10" t="s">
        <v>204</v>
      </c>
      <c r="B477" s="61" t="s">
        <v>357</v>
      </c>
      <c r="C477" s="10">
        <f t="shared" si="89"/>
        <v>5.8000000000000003E-2</v>
      </c>
      <c r="D477" s="10">
        <f t="shared" si="90"/>
        <v>2.1000000000000001E-2</v>
      </c>
      <c r="E477" s="10">
        <f t="shared" si="90"/>
        <v>0</v>
      </c>
      <c r="F477" s="10">
        <f t="shared" si="90"/>
        <v>1.6E-2</v>
      </c>
      <c r="G477" s="10">
        <f t="shared" si="90"/>
        <v>3.1E-2</v>
      </c>
      <c r="H477" s="10">
        <f t="shared" si="90"/>
        <v>2.7E-2</v>
      </c>
      <c r="I477" s="10">
        <f t="shared" si="90"/>
        <v>3.6999999999999998E-2</v>
      </c>
      <c r="J477" s="10">
        <f t="shared" si="90"/>
        <v>0</v>
      </c>
      <c r="K477" s="10">
        <f t="shared" si="90"/>
        <v>0</v>
      </c>
      <c r="L477" s="10">
        <f t="shared" si="90"/>
        <v>0</v>
      </c>
      <c r="M477" s="10">
        <f t="shared" si="90"/>
        <v>0</v>
      </c>
      <c r="N477" s="10">
        <f t="shared" si="90"/>
        <v>1.7000000000000001E-2</v>
      </c>
      <c r="O477" s="10">
        <f t="shared" si="90"/>
        <v>1.0999999999999999E-2</v>
      </c>
      <c r="P477" s="10">
        <f t="shared" si="90"/>
        <v>1.6E-2</v>
      </c>
      <c r="Q477" s="10">
        <f t="shared" si="90"/>
        <v>0</v>
      </c>
      <c r="R477" s="10">
        <f t="shared" si="90"/>
        <v>1.9E-2</v>
      </c>
      <c r="S477" s="10">
        <f t="shared" si="90"/>
        <v>0</v>
      </c>
      <c r="T477" s="10">
        <f t="shared" si="90"/>
        <v>0</v>
      </c>
      <c r="U477" s="10">
        <f t="shared" si="90"/>
        <v>0</v>
      </c>
      <c r="V477" s="10">
        <f t="shared" si="90"/>
        <v>0</v>
      </c>
      <c r="W477" s="10">
        <f t="shared" si="90"/>
        <v>0</v>
      </c>
      <c r="X477" s="10">
        <f t="shared" si="90"/>
        <v>0</v>
      </c>
      <c r="Y477" s="10">
        <f t="shared" si="90"/>
        <v>3.3000000000000002E-2</v>
      </c>
      <c r="Z477" s="10">
        <f t="shared" si="90"/>
        <v>0</v>
      </c>
      <c r="AA477" s="10">
        <f t="shared" si="90"/>
        <v>1.7999999999999999E-2</v>
      </c>
      <c r="AB477" s="10">
        <f t="shared" si="90"/>
        <v>0</v>
      </c>
      <c r="AC477" s="10">
        <f t="shared" si="90"/>
        <v>1.6E-2</v>
      </c>
      <c r="AD477" s="10">
        <f t="shared" si="90"/>
        <v>2.1000000000000001E-2</v>
      </c>
      <c r="AE477" s="10">
        <f t="shared" si="90"/>
        <v>0</v>
      </c>
      <c r="AF477" s="10">
        <f t="shared" si="90"/>
        <v>0</v>
      </c>
    </row>
    <row r="478" spans="1:32">
      <c r="A478" s="10" t="s">
        <v>204</v>
      </c>
      <c r="B478" s="61" t="s">
        <v>299</v>
      </c>
      <c r="C478" s="10">
        <f t="shared" si="89"/>
        <v>6.4000000000000001E-2</v>
      </c>
      <c r="D478" s="10">
        <f t="shared" si="90"/>
        <v>0.02</v>
      </c>
      <c r="E478" s="10">
        <f t="shared" si="90"/>
        <v>3.3000000000000002E-2</v>
      </c>
      <c r="F478" s="10">
        <f t="shared" si="90"/>
        <v>3.5999999999999997E-2</v>
      </c>
      <c r="G478" s="10">
        <f t="shared" si="90"/>
        <v>3.2000000000000001E-2</v>
      </c>
      <c r="H478" s="10">
        <f t="shared" si="90"/>
        <v>1.2999999999999999E-2</v>
      </c>
      <c r="I478" s="10">
        <f t="shared" si="90"/>
        <v>0.02</v>
      </c>
      <c r="J478" s="10">
        <f t="shared" si="90"/>
        <v>2.4E-2</v>
      </c>
      <c r="K478" s="10">
        <f t="shared" si="90"/>
        <v>2.7E-2</v>
      </c>
      <c r="L478" s="10">
        <f t="shared" si="90"/>
        <v>0</v>
      </c>
      <c r="M478" s="10">
        <f t="shared" si="90"/>
        <v>4.5999999999999999E-2</v>
      </c>
      <c r="N478" s="10">
        <f t="shared" si="90"/>
        <v>4.8000000000000001E-2</v>
      </c>
      <c r="O478" s="10">
        <f t="shared" si="90"/>
        <v>2.5999999999999999E-2</v>
      </c>
      <c r="P478" s="10">
        <f t="shared" si="90"/>
        <v>1.7999999999999999E-2</v>
      </c>
      <c r="Q478" s="10">
        <f t="shared" si="90"/>
        <v>0</v>
      </c>
      <c r="R478" s="10">
        <f t="shared" si="90"/>
        <v>3.7999999999999999E-2</v>
      </c>
      <c r="S478" s="10">
        <f t="shared" si="90"/>
        <v>1.4999999999999999E-2</v>
      </c>
      <c r="T478" s="10">
        <f t="shared" si="90"/>
        <v>3.1E-2</v>
      </c>
      <c r="U478" s="10">
        <f t="shared" si="90"/>
        <v>0.02</v>
      </c>
      <c r="V478" s="10">
        <f t="shared" si="90"/>
        <v>3.3000000000000002E-2</v>
      </c>
      <c r="W478" s="10">
        <f t="shared" si="90"/>
        <v>0.03</v>
      </c>
      <c r="X478" s="10">
        <f t="shared" si="90"/>
        <v>4.4999999999999998E-2</v>
      </c>
      <c r="Y478" s="10">
        <f t="shared" si="90"/>
        <v>0</v>
      </c>
      <c r="Z478" s="10">
        <f t="shared" si="90"/>
        <v>0</v>
      </c>
      <c r="AA478" s="10">
        <f t="shared" si="90"/>
        <v>2.5999999999999999E-2</v>
      </c>
      <c r="AB478" s="10">
        <f t="shared" si="90"/>
        <v>3.7999999999999999E-2</v>
      </c>
      <c r="AC478" s="10">
        <f t="shared" si="90"/>
        <v>2.4E-2</v>
      </c>
      <c r="AD478" s="10">
        <f t="shared" si="90"/>
        <v>1.2E-2</v>
      </c>
      <c r="AE478" s="10">
        <f t="shared" si="90"/>
        <v>4.8000000000000001E-2</v>
      </c>
      <c r="AF478" s="10">
        <f t="shared" si="90"/>
        <v>0</v>
      </c>
    </row>
    <row r="479" spans="1:32">
      <c r="A479" s="10" t="s">
        <v>204</v>
      </c>
      <c r="B479" s="61" t="s">
        <v>300</v>
      </c>
      <c r="C479" s="10">
        <f t="shared" si="89"/>
        <v>1.7999999999999999E-2</v>
      </c>
      <c r="D479" s="10">
        <f t="shared" si="90"/>
        <v>0</v>
      </c>
      <c r="E479" s="10">
        <f t="shared" si="90"/>
        <v>0</v>
      </c>
      <c r="F479" s="10">
        <f t="shared" si="90"/>
        <v>0</v>
      </c>
      <c r="G479" s="10">
        <f t="shared" si="90"/>
        <v>0</v>
      </c>
      <c r="H479" s="10">
        <f t="shared" si="90"/>
        <v>0</v>
      </c>
      <c r="I479" s="10">
        <f t="shared" si="90"/>
        <v>0</v>
      </c>
      <c r="J479" s="10">
        <f t="shared" si="90"/>
        <v>0</v>
      </c>
      <c r="K479" s="10">
        <f t="shared" si="90"/>
        <v>0</v>
      </c>
      <c r="L479" s="10">
        <f t="shared" si="90"/>
        <v>1.4E-2</v>
      </c>
      <c r="M479" s="10">
        <f t="shared" si="90"/>
        <v>0</v>
      </c>
      <c r="N479" s="10">
        <f t="shared" si="90"/>
        <v>0</v>
      </c>
      <c r="O479" s="10">
        <f t="shared" si="90"/>
        <v>0</v>
      </c>
      <c r="P479" s="10">
        <f t="shared" si="90"/>
        <v>0</v>
      </c>
      <c r="Q479" s="10">
        <f t="shared" si="90"/>
        <v>0</v>
      </c>
      <c r="R479" s="10">
        <f t="shared" si="90"/>
        <v>0</v>
      </c>
      <c r="S479" s="10">
        <f t="shared" si="90"/>
        <v>0</v>
      </c>
      <c r="T479" s="10">
        <f t="shared" si="90"/>
        <v>0</v>
      </c>
      <c r="U479" s="10">
        <f t="shared" si="90"/>
        <v>0</v>
      </c>
      <c r="V479" s="10">
        <f t="shared" si="90"/>
        <v>0</v>
      </c>
      <c r="W479" s="10">
        <f t="shared" si="90"/>
        <v>0</v>
      </c>
      <c r="X479" s="10">
        <f t="shared" si="90"/>
        <v>0</v>
      </c>
      <c r="Y479" s="10">
        <f t="shared" si="90"/>
        <v>0</v>
      </c>
      <c r="Z479" s="10">
        <f t="shared" si="90"/>
        <v>0</v>
      </c>
      <c r="AA479" s="10">
        <f t="shared" si="90"/>
        <v>0</v>
      </c>
      <c r="AB479" s="10">
        <f t="shared" si="90"/>
        <v>0</v>
      </c>
      <c r="AC479" s="10">
        <f t="shared" si="90"/>
        <v>0</v>
      </c>
      <c r="AD479" s="10">
        <f t="shared" si="90"/>
        <v>0</v>
      </c>
      <c r="AE479" s="10">
        <f t="shared" si="90"/>
        <v>5.3999999999999999E-2</v>
      </c>
      <c r="AF479" s="10">
        <f t="shared" si="90"/>
        <v>0</v>
      </c>
    </row>
    <row r="480" spans="1:32">
      <c r="A480" s="10" t="s">
        <v>204</v>
      </c>
      <c r="B480" s="61" t="s">
        <v>301</v>
      </c>
      <c r="C480" s="10">
        <f t="shared" si="89"/>
        <v>7.1999999999999995E-2</v>
      </c>
      <c r="D480" s="10">
        <f t="shared" si="90"/>
        <v>2.7E-2</v>
      </c>
      <c r="E480" s="10">
        <f t="shared" si="90"/>
        <v>0</v>
      </c>
      <c r="F480" s="10">
        <f t="shared" si="90"/>
        <v>1.0999999999999999E-2</v>
      </c>
      <c r="G480" s="10">
        <f t="shared" si="90"/>
        <v>4.2000000000000003E-2</v>
      </c>
      <c r="H480" s="10">
        <f t="shared" si="90"/>
        <v>2.7E-2</v>
      </c>
      <c r="I480" s="10">
        <f t="shared" si="90"/>
        <v>3.9E-2</v>
      </c>
      <c r="J480" s="10">
        <f t="shared" si="90"/>
        <v>4.9000000000000002E-2</v>
      </c>
      <c r="K480" s="10">
        <f t="shared" si="90"/>
        <v>0</v>
      </c>
      <c r="L480" s="10">
        <f t="shared" si="90"/>
        <v>0</v>
      </c>
      <c r="M480" s="10">
        <f t="shared" si="90"/>
        <v>0</v>
      </c>
      <c r="N480" s="10">
        <f t="shared" si="90"/>
        <v>2.5000000000000001E-2</v>
      </c>
      <c r="O480" s="10">
        <f t="shared" si="90"/>
        <v>2.1999999999999999E-2</v>
      </c>
      <c r="P480" s="10">
        <f t="shared" si="90"/>
        <v>1.4999999999999999E-2</v>
      </c>
      <c r="Q480" s="10">
        <f t="shared" si="90"/>
        <v>0</v>
      </c>
      <c r="R480" s="10">
        <f t="shared" si="90"/>
        <v>3.5000000000000003E-2</v>
      </c>
      <c r="S480" s="10">
        <f t="shared" si="90"/>
        <v>3.4000000000000002E-2</v>
      </c>
      <c r="T480" s="10">
        <f t="shared" si="90"/>
        <v>0</v>
      </c>
      <c r="U480" s="10">
        <f t="shared" si="90"/>
        <v>3.9E-2</v>
      </c>
      <c r="V480" s="10">
        <f t="shared" si="90"/>
        <v>1.7999999999999999E-2</v>
      </c>
      <c r="W480" s="10">
        <f t="shared" si="90"/>
        <v>0</v>
      </c>
      <c r="X480" s="10">
        <f t="shared" si="90"/>
        <v>0</v>
      </c>
      <c r="Y480" s="10">
        <f t="shared" si="90"/>
        <v>2.5999999999999999E-2</v>
      </c>
      <c r="Z480" s="10">
        <f t="shared" si="90"/>
        <v>0</v>
      </c>
      <c r="AA480" s="10">
        <f t="shared" si="90"/>
        <v>0</v>
      </c>
      <c r="AB480" s="10">
        <f t="shared" si="90"/>
        <v>0</v>
      </c>
      <c r="AC480" s="10">
        <f t="shared" si="90"/>
        <v>2.5000000000000001E-2</v>
      </c>
      <c r="AD480" s="10">
        <f t="shared" si="90"/>
        <v>1.7000000000000001E-2</v>
      </c>
      <c r="AE480" s="10">
        <f t="shared" si="90"/>
        <v>0</v>
      </c>
      <c r="AF480" s="10">
        <f t="shared" si="90"/>
        <v>2.9000000000000001E-2</v>
      </c>
    </row>
    <row r="481" spans="1:32">
      <c r="A481" s="10" t="s">
        <v>204</v>
      </c>
      <c r="B481" s="61" t="s">
        <v>303</v>
      </c>
      <c r="C481" s="10">
        <f t="shared" si="89"/>
        <v>8.4000000000000005E-2</v>
      </c>
      <c r="D481" s="10">
        <f t="shared" si="90"/>
        <v>5.5E-2</v>
      </c>
      <c r="E481" s="10">
        <f t="shared" si="90"/>
        <v>4.9000000000000002E-2</v>
      </c>
      <c r="F481" s="10">
        <f t="shared" si="90"/>
        <v>0</v>
      </c>
      <c r="G481" s="10">
        <f t="shared" si="90"/>
        <v>0.06</v>
      </c>
      <c r="H481" s="10">
        <f t="shared" si="90"/>
        <v>4.7E-2</v>
      </c>
      <c r="I481" s="10">
        <f t="shared" si="90"/>
        <v>4.3999999999999997E-2</v>
      </c>
      <c r="J481" s="10">
        <f t="shared" si="90"/>
        <v>1.2999999999999999E-2</v>
      </c>
      <c r="K481" s="10">
        <f t="shared" si="90"/>
        <v>2.1000000000000001E-2</v>
      </c>
      <c r="L481" s="10">
        <f t="shared" si="90"/>
        <v>0</v>
      </c>
      <c r="M481" s="10">
        <f t="shared" si="90"/>
        <v>1.6E-2</v>
      </c>
      <c r="N481" s="10">
        <f t="shared" si="90"/>
        <v>0</v>
      </c>
      <c r="O481" s="10">
        <f t="shared" si="90"/>
        <v>6.3E-2</v>
      </c>
      <c r="P481" s="10">
        <f t="shared" si="90"/>
        <v>5.6000000000000001E-2</v>
      </c>
      <c r="Q481" s="10">
        <f t="shared" si="90"/>
        <v>0</v>
      </c>
      <c r="R481" s="10">
        <f t="shared" si="90"/>
        <v>7.1999999999999995E-2</v>
      </c>
      <c r="S481" s="10">
        <f t="shared" si="90"/>
        <v>0.03</v>
      </c>
      <c r="T481" s="10">
        <f t="shared" si="90"/>
        <v>5.0999999999999997E-2</v>
      </c>
      <c r="U481" s="10">
        <f t="shared" si="90"/>
        <v>2.5999999999999999E-2</v>
      </c>
      <c r="V481" s="10">
        <f t="shared" si="90"/>
        <v>0</v>
      </c>
      <c r="W481" s="10">
        <f t="shared" si="90"/>
        <v>4.2999999999999997E-2</v>
      </c>
      <c r="X481" s="10">
        <f t="shared" si="90"/>
        <v>7.0000000000000001E-3</v>
      </c>
      <c r="Y481" s="10">
        <f t="shared" si="90"/>
        <v>3.7999999999999999E-2</v>
      </c>
      <c r="Z481" s="10">
        <f t="shared" si="90"/>
        <v>0</v>
      </c>
      <c r="AA481" s="10">
        <f t="shared" si="90"/>
        <v>0</v>
      </c>
      <c r="AB481" s="10">
        <f t="shared" si="90"/>
        <v>0</v>
      </c>
      <c r="AC481" s="10">
        <f t="shared" si="90"/>
        <v>0.06</v>
      </c>
      <c r="AD481" s="10">
        <f t="shared" si="90"/>
        <v>5.0999999999999997E-2</v>
      </c>
      <c r="AE481" s="10">
        <f t="shared" si="90"/>
        <v>4.8000000000000001E-2</v>
      </c>
      <c r="AF481" s="10">
        <f t="shared" si="90"/>
        <v>0</v>
      </c>
    </row>
    <row r="482" spans="1:32">
      <c r="A482" s="10" t="s">
        <v>204</v>
      </c>
      <c r="B482" s="61" t="s">
        <v>304</v>
      </c>
      <c r="C482" s="10">
        <f t="shared" si="89"/>
        <v>4.7E-2</v>
      </c>
      <c r="D482" s="10">
        <f t="shared" si="90"/>
        <v>6.0000000000000001E-3</v>
      </c>
      <c r="E482" s="10">
        <f t="shared" si="90"/>
        <v>2.9000000000000001E-2</v>
      </c>
      <c r="F482" s="10">
        <f t="shared" si="90"/>
        <v>2.9000000000000001E-2</v>
      </c>
      <c r="G482" s="10">
        <f t="shared" si="90"/>
        <v>1.6E-2</v>
      </c>
      <c r="H482" s="10">
        <f t="shared" si="90"/>
        <v>1.2999999999999999E-2</v>
      </c>
      <c r="I482" s="10">
        <f t="shared" si="90"/>
        <v>2.1000000000000001E-2</v>
      </c>
      <c r="J482" s="10">
        <f t="shared" si="90"/>
        <v>3.6999999999999998E-2</v>
      </c>
      <c r="K482" s="10">
        <f t="shared" si="90"/>
        <v>0</v>
      </c>
      <c r="L482" s="10">
        <f t="shared" si="90"/>
        <v>5.2999999999999999E-2</v>
      </c>
      <c r="M482" s="10">
        <f t="shared" si="90"/>
        <v>0</v>
      </c>
      <c r="N482" s="10">
        <f t="shared" si="90"/>
        <v>3.3000000000000002E-2</v>
      </c>
      <c r="O482" s="10">
        <f t="shared" si="90"/>
        <v>6.0000000000000001E-3</v>
      </c>
      <c r="P482" s="10">
        <f t="shared" si="90"/>
        <v>1.2E-2</v>
      </c>
      <c r="Q482" s="10">
        <f t="shared" si="90"/>
        <v>0</v>
      </c>
      <c r="R482" s="10">
        <f t="shared" si="90"/>
        <v>1.4E-2</v>
      </c>
      <c r="S482" s="10">
        <f t="shared" si="90"/>
        <v>3.9E-2</v>
      </c>
      <c r="T482" s="10">
        <f t="shared" si="90"/>
        <v>2.5000000000000001E-2</v>
      </c>
      <c r="U482" s="10">
        <f t="shared" si="90"/>
        <v>0</v>
      </c>
      <c r="V482" s="10">
        <f t="shared" si="90"/>
        <v>1.6E-2</v>
      </c>
      <c r="W482" s="10">
        <f t="shared" si="90"/>
        <v>3.1E-2</v>
      </c>
      <c r="X482" s="10">
        <f t="shared" si="90"/>
        <v>0</v>
      </c>
      <c r="Y482" s="10">
        <f t="shared" si="90"/>
        <v>2.4E-2</v>
      </c>
      <c r="Z482" s="10">
        <f t="shared" si="90"/>
        <v>0</v>
      </c>
      <c r="AA482" s="10">
        <f t="shared" si="90"/>
        <v>2.5000000000000001E-2</v>
      </c>
      <c r="AB482" s="10">
        <f t="shared" si="90"/>
        <v>0.06</v>
      </c>
      <c r="AC482" s="10">
        <f t="shared" si="90"/>
        <v>0</v>
      </c>
      <c r="AD482" s="10">
        <f t="shared" ref="D482:AF485" si="91">ROUND(AD32*0.00003215271,3)</f>
        <v>1.4999999999999999E-2</v>
      </c>
      <c r="AE482" s="10">
        <f t="shared" si="91"/>
        <v>0</v>
      </c>
      <c r="AF482" s="10">
        <f t="shared" si="91"/>
        <v>0</v>
      </c>
    </row>
    <row r="483" spans="1:32">
      <c r="A483" s="10" t="s">
        <v>204</v>
      </c>
      <c r="B483" s="61" t="s">
        <v>305</v>
      </c>
      <c r="C483" s="10">
        <f t="shared" si="89"/>
        <v>0.06</v>
      </c>
      <c r="D483" s="10">
        <f t="shared" si="91"/>
        <v>1.2999999999999999E-2</v>
      </c>
      <c r="E483" s="10">
        <f t="shared" si="91"/>
        <v>3.5000000000000003E-2</v>
      </c>
      <c r="F483" s="10">
        <f t="shared" si="91"/>
        <v>2.5999999999999999E-2</v>
      </c>
      <c r="G483" s="10">
        <f t="shared" si="91"/>
        <v>2.8000000000000001E-2</v>
      </c>
      <c r="H483" s="10">
        <f t="shared" si="91"/>
        <v>0.01</v>
      </c>
      <c r="I483" s="10">
        <f t="shared" si="91"/>
        <v>2.3E-2</v>
      </c>
      <c r="J483" s="10">
        <f t="shared" si="91"/>
        <v>3.3000000000000002E-2</v>
      </c>
      <c r="K483" s="10">
        <f t="shared" si="91"/>
        <v>3.7999999999999999E-2</v>
      </c>
      <c r="L483" s="10">
        <f t="shared" si="91"/>
        <v>0</v>
      </c>
      <c r="M483" s="10">
        <f t="shared" si="91"/>
        <v>0</v>
      </c>
      <c r="N483" s="10">
        <f t="shared" si="91"/>
        <v>3.5999999999999997E-2</v>
      </c>
      <c r="O483" s="10">
        <f t="shared" si="91"/>
        <v>1.4999999999999999E-2</v>
      </c>
      <c r="P483" s="10">
        <f t="shared" si="91"/>
        <v>6.0000000000000001E-3</v>
      </c>
      <c r="Q483" s="10">
        <f t="shared" si="91"/>
        <v>0</v>
      </c>
      <c r="R483" s="10">
        <f t="shared" si="91"/>
        <v>2.8000000000000001E-2</v>
      </c>
      <c r="S483" s="10">
        <f t="shared" si="91"/>
        <v>2.5999999999999999E-2</v>
      </c>
      <c r="T483" s="10">
        <f t="shared" si="91"/>
        <v>3.2000000000000001E-2</v>
      </c>
      <c r="U483" s="10">
        <f t="shared" si="91"/>
        <v>3.1E-2</v>
      </c>
      <c r="V483" s="10">
        <f t="shared" si="91"/>
        <v>2.1000000000000001E-2</v>
      </c>
      <c r="W483" s="10">
        <f t="shared" si="91"/>
        <v>3.4000000000000002E-2</v>
      </c>
      <c r="X483" s="10">
        <f t="shared" si="91"/>
        <v>0</v>
      </c>
      <c r="Y483" s="10">
        <f t="shared" si="91"/>
        <v>1.2E-2</v>
      </c>
      <c r="Z483" s="10">
        <f t="shared" si="91"/>
        <v>0</v>
      </c>
      <c r="AA483" s="10">
        <f t="shared" si="91"/>
        <v>1.7000000000000001E-2</v>
      </c>
      <c r="AB483" s="10">
        <f t="shared" si="91"/>
        <v>5.0999999999999997E-2</v>
      </c>
      <c r="AC483" s="10">
        <f t="shared" si="91"/>
        <v>1.4999999999999999E-2</v>
      </c>
      <c r="AD483" s="10">
        <f t="shared" si="91"/>
        <v>0</v>
      </c>
      <c r="AE483" s="10">
        <f t="shared" si="91"/>
        <v>0</v>
      </c>
      <c r="AF483" s="10">
        <f t="shared" si="91"/>
        <v>0</v>
      </c>
    </row>
    <row r="484" spans="1:32">
      <c r="A484" s="10" t="s">
        <v>204</v>
      </c>
      <c r="B484" s="10" t="s">
        <v>356</v>
      </c>
      <c r="C484" s="10">
        <f t="shared" si="89"/>
        <v>0</v>
      </c>
      <c r="D484" s="10">
        <f t="shared" si="91"/>
        <v>0</v>
      </c>
      <c r="E484" s="10">
        <f t="shared" si="91"/>
        <v>0</v>
      </c>
      <c r="F484" s="10">
        <f t="shared" si="91"/>
        <v>1.4E-2</v>
      </c>
      <c r="G484" s="10">
        <f t="shared" si="91"/>
        <v>0</v>
      </c>
      <c r="H484" s="10">
        <f t="shared" si="91"/>
        <v>0</v>
      </c>
      <c r="I484" s="10">
        <f t="shared" si="91"/>
        <v>0</v>
      </c>
      <c r="J484" s="10">
        <f t="shared" si="91"/>
        <v>0</v>
      </c>
      <c r="K484" s="10">
        <f t="shared" si="91"/>
        <v>0</v>
      </c>
      <c r="L484" s="10">
        <f t="shared" si="91"/>
        <v>0</v>
      </c>
      <c r="M484" s="10">
        <f t="shared" si="91"/>
        <v>0</v>
      </c>
      <c r="N484" s="10">
        <f t="shared" si="91"/>
        <v>2.8000000000000001E-2</v>
      </c>
      <c r="O484" s="10">
        <f t="shared" si="91"/>
        <v>0</v>
      </c>
      <c r="P484" s="10">
        <f t="shared" si="91"/>
        <v>0</v>
      </c>
      <c r="Q484" s="10">
        <f t="shared" si="91"/>
        <v>0</v>
      </c>
      <c r="R484" s="10">
        <f t="shared" si="91"/>
        <v>0</v>
      </c>
      <c r="S484" s="10">
        <f t="shared" si="91"/>
        <v>0</v>
      </c>
      <c r="T484" s="10">
        <f t="shared" si="91"/>
        <v>0</v>
      </c>
      <c r="U484" s="10">
        <f t="shared" si="91"/>
        <v>0</v>
      </c>
      <c r="V484" s="10">
        <f t="shared" si="91"/>
        <v>0</v>
      </c>
      <c r="W484" s="10">
        <f t="shared" si="91"/>
        <v>0</v>
      </c>
      <c r="X484" s="10">
        <f t="shared" si="91"/>
        <v>0</v>
      </c>
      <c r="Y484" s="10">
        <f t="shared" si="91"/>
        <v>0</v>
      </c>
      <c r="Z484" s="10">
        <f t="shared" si="91"/>
        <v>0</v>
      </c>
      <c r="AA484" s="10">
        <f t="shared" si="91"/>
        <v>2.9000000000000001E-2</v>
      </c>
      <c r="AB484" s="10">
        <f t="shared" si="91"/>
        <v>0</v>
      </c>
      <c r="AC484" s="10">
        <f t="shared" si="91"/>
        <v>0</v>
      </c>
      <c r="AD484" s="10">
        <f t="shared" si="91"/>
        <v>0</v>
      </c>
      <c r="AE484" s="10">
        <f t="shared" si="91"/>
        <v>0</v>
      </c>
      <c r="AF484" s="10">
        <f t="shared" si="91"/>
        <v>0</v>
      </c>
    </row>
    <row r="485" spans="1:32">
      <c r="A485" s="10" t="s">
        <v>204</v>
      </c>
      <c r="B485" s="61" t="s">
        <v>307</v>
      </c>
      <c r="C485" s="10">
        <f t="shared" si="89"/>
        <v>1.9E-2</v>
      </c>
      <c r="D485" s="10">
        <f t="shared" si="91"/>
        <v>4.4999999999999998E-2</v>
      </c>
      <c r="E485" s="10">
        <f t="shared" si="91"/>
        <v>2.1000000000000001E-2</v>
      </c>
      <c r="F485" s="10">
        <f t="shared" si="91"/>
        <v>0</v>
      </c>
      <c r="G485" s="10">
        <f t="shared" si="91"/>
        <v>3.5999999999999997E-2</v>
      </c>
      <c r="H485" s="10">
        <f t="shared" si="91"/>
        <v>4.2999999999999997E-2</v>
      </c>
      <c r="I485" s="10">
        <f t="shared" si="91"/>
        <v>3.1E-2</v>
      </c>
      <c r="J485" s="10">
        <f t="shared" si="91"/>
        <v>2.7E-2</v>
      </c>
      <c r="K485" s="10">
        <f t="shared" si="91"/>
        <v>0</v>
      </c>
      <c r="L485" s="10">
        <f t="shared" si="91"/>
        <v>0.05</v>
      </c>
      <c r="M485" s="10">
        <f t="shared" si="91"/>
        <v>0</v>
      </c>
      <c r="N485" s="10">
        <f t="shared" si="91"/>
        <v>0</v>
      </c>
      <c r="O485" s="10">
        <f t="shared" si="91"/>
        <v>0</v>
      </c>
      <c r="P485" s="10">
        <f t="shared" si="91"/>
        <v>0</v>
      </c>
      <c r="Q485" s="10">
        <f t="shared" si="91"/>
        <v>1.2E-2</v>
      </c>
      <c r="R485" s="10">
        <f t="shared" si="91"/>
        <v>5.3999999999999999E-2</v>
      </c>
      <c r="S485" s="10">
        <f t="shared" si="91"/>
        <v>0</v>
      </c>
      <c r="T485" s="10">
        <f t="shared" si="91"/>
        <v>2.5000000000000001E-2</v>
      </c>
      <c r="U485" s="10">
        <f t="shared" si="91"/>
        <v>0</v>
      </c>
      <c r="V485" s="10">
        <f t="shared" si="91"/>
        <v>0</v>
      </c>
      <c r="W485" s="10">
        <f t="shared" si="91"/>
        <v>1.9E-2</v>
      </c>
      <c r="X485" s="10">
        <f t="shared" si="91"/>
        <v>4.8000000000000001E-2</v>
      </c>
      <c r="Y485" s="10">
        <f t="shared" si="91"/>
        <v>4.8000000000000001E-2</v>
      </c>
      <c r="Z485" s="10">
        <f t="shared" si="91"/>
        <v>5.3999999999999999E-2</v>
      </c>
      <c r="AA485" s="10">
        <f t="shared" si="91"/>
        <v>0</v>
      </c>
      <c r="AB485" s="10">
        <f t="shared" si="91"/>
        <v>4.8000000000000001E-2</v>
      </c>
      <c r="AC485" s="10">
        <f t="shared" si="91"/>
        <v>0</v>
      </c>
      <c r="AD485" s="10">
        <f t="shared" si="91"/>
        <v>0</v>
      </c>
      <c r="AE485" s="10">
        <f t="shared" si="91"/>
        <v>0</v>
      </c>
      <c r="AF485" s="10">
        <f t="shared" si="91"/>
        <v>0</v>
      </c>
    </row>
    <row r="488" spans="1:32"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</row>
    <row r="489" spans="1:32">
      <c r="B489" s="61"/>
    </row>
    <row r="490" spans="1:32">
      <c r="B490" s="61"/>
    </row>
    <row r="491" spans="1:32">
      <c r="B491" s="61"/>
    </row>
    <row r="492" spans="1:32">
      <c r="B492" s="61"/>
    </row>
    <row r="493" spans="1:32">
      <c r="B493" s="61"/>
    </row>
    <row r="494" spans="1:32">
      <c r="B494" s="61"/>
    </row>
    <row r="495" spans="1:32">
      <c r="B495" s="61"/>
    </row>
    <row r="496" spans="1:32">
      <c r="B496" s="61"/>
    </row>
    <row r="497" spans="2:2">
      <c r="B497" s="61"/>
    </row>
    <row r="498" spans="2:2">
      <c r="B498" s="61"/>
    </row>
    <row r="499" spans="2:2">
      <c r="B499" s="61"/>
    </row>
    <row r="500" spans="2:2">
      <c r="B500" s="61"/>
    </row>
    <row r="501" spans="2:2">
      <c r="B501" s="61"/>
    </row>
    <row r="502" spans="2:2">
      <c r="B502" s="61"/>
    </row>
    <row r="503" spans="2:2">
      <c r="B503" s="61"/>
    </row>
    <row r="504" spans="2:2">
      <c r="B504" s="61"/>
    </row>
    <row r="505" spans="2:2">
      <c r="B505" s="61"/>
    </row>
    <row r="506" spans="2:2">
      <c r="B506" s="61"/>
    </row>
    <row r="507" spans="2:2">
      <c r="B507" s="61"/>
    </row>
    <row r="508" spans="2:2">
      <c r="B508" s="61"/>
    </row>
    <row r="509" spans="2:2">
      <c r="B509" s="61"/>
    </row>
    <row r="510" spans="2:2">
      <c r="B510" s="61"/>
    </row>
    <row r="511" spans="2:2">
      <c r="B511" s="61"/>
    </row>
    <row r="512" spans="2:2">
      <c r="B512" s="61"/>
    </row>
    <row r="513" spans="2:2">
      <c r="B513" s="61"/>
    </row>
    <row r="514" spans="2:2">
      <c r="B514" s="61"/>
    </row>
    <row r="515" spans="2:2">
      <c r="B515" s="61"/>
    </row>
    <row r="516" spans="2:2">
      <c r="B516" s="61"/>
    </row>
    <row r="518" spans="2:2">
      <c r="B518" s="61"/>
    </row>
    <row r="519" spans="2:2">
      <c r="B519" s="61"/>
    </row>
    <row r="520" spans="2:2">
      <c r="B520" s="61"/>
    </row>
    <row r="521" spans="2:2">
      <c r="B521" s="61"/>
    </row>
    <row r="522" spans="2:2">
      <c r="B522" s="61"/>
    </row>
    <row r="523" spans="2:2">
      <c r="B523" s="61"/>
    </row>
    <row r="524" spans="2:2">
      <c r="B524" s="61"/>
    </row>
    <row r="525" spans="2:2">
      <c r="B525" s="61"/>
    </row>
    <row r="526" spans="2:2">
      <c r="B526" s="61"/>
    </row>
    <row r="527" spans="2:2">
      <c r="B527" s="61"/>
    </row>
    <row r="528" spans="2:2">
      <c r="B528" s="61"/>
    </row>
    <row r="529" spans="2:2">
      <c r="B529" s="61"/>
    </row>
    <row r="530" spans="2:2">
      <c r="B530" s="61"/>
    </row>
    <row r="531" spans="2:2">
      <c r="B531" s="61"/>
    </row>
    <row r="532" spans="2:2">
      <c r="B532" s="61"/>
    </row>
    <row r="533" spans="2:2">
      <c r="B533" s="61"/>
    </row>
    <row r="534" spans="2:2">
      <c r="B534" s="61"/>
    </row>
    <row r="535" spans="2:2">
      <c r="B535" s="61"/>
    </row>
    <row r="536" spans="2:2">
      <c r="B536" s="61"/>
    </row>
    <row r="537" spans="2:2">
      <c r="B537" s="61"/>
    </row>
    <row r="538" spans="2:2">
      <c r="B538" s="61"/>
    </row>
    <row r="539" spans="2:2">
      <c r="B539" s="61"/>
    </row>
    <row r="540" spans="2:2">
      <c r="B540" s="61"/>
    </row>
    <row r="541" spans="2:2">
      <c r="B541" s="61"/>
    </row>
    <row r="542" spans="2:2">
      <c r="B542" s="61"/>
    </row>
    <row r="543" spans="2:2">
      <c r="B543" s="61"/>
    </row>
    <row r="544" spans="2:2">
      <c r="B544" s="61"/>
    </row>
    <row r="545" spans="2:2">
      <c r="B545" s="61"/>
    </row>
    <row r="546" spans="2:2">
      <c r="B546" s="61"/>
    </row>
    <row r="548" spans="2:2">
      <c r="B548" s="61"/>
    </row>
    <row r="549" spans="2:2">
      <c r="B549" s="61"/>
    </row>
    <row r="550" spans="2:2">
      <c r="B550" s="61"/>
    </row>
    <row r="551" spans="2:2">
      <c r="B551" s="61"/>
    </row>
    <row r="552" spans="2:2">
      <c r="B552" s="61"/>
    </row>
    <row r="553" spans="2:2">
      <c r="B553" s="61"/>
    </row>
    <row r="554" spans="2:2">
      <c r="B554" s="61"/>
    </row>
    <row r="555" spans="2:2">
      <c r="B555" s="61"/>
    </row>
    <row r="556" spans="2:2">
      <c r="B556" s="61"/>
    </row>
    <row r="557" spans="2:2">
      <c r="B557" s="61"/>
    </row>
    <row r="558" spans="2:2">
      <c r="B558" s="61"/>
    </row>
    <row r="559" spans="2:2">
      <c r="B559" s="61"/>
    </row>
    <row r="560" spans="2:2">
      <c r="B560" s="61"/>
    </row>
    <row r="561" spans="2:2">
      <c r="B561" s="61"/>
    </row>
    <row r="562" spans="2:2">
      <c r="B562" s="61"/>
    </row>
    <row r="563" spans="2:2">
      <c r="B563" s="61"/>
    </row>
    <row r="564" spans="2:2">
      <c r="B564" s="61"/>
    </row>
    <row r="565" spans="2:2">
      <c r="B565" s="61"/>
    </row>
    <row r="566" spans="2:2">
      <c r="B566" s="61"/>
    </row>
    <row r="567" spans="2:2">
      <c r="B567" s="61"/>
    </row>
    <row r="568" spans="2:2">
      <c r="B568" s="61"/>
    </row>
    <row r="569" spans="2:2">
      <c r="B569" s="61"/>
    </row>
    <row r="570" spans="2:2">
      <c r="B570" s="61"/>
    </row>
    <row r="571" spans="2:2">
      <c r="B571" s="61"/>
    </row>
    <row r="572" spans="2:2">
      <c r="B572" s="61"/>
    </row>
    <row r="573" spans="2:2">
      <c r="B573" s="61"/>
    </row>
    <row r="574" spans="2:2">
      <c r="B574" s="61"/>
    </row>
    <row r="575" spans="2:2">
      <c r="B575" s="61"/>
    </row>
    <row r="576" spans="2:2">
      <c r="B576" s="61"/>
    </row>
    <row r="578" spans="2:2">
      <c r="B578" s="61"/>
    </row>
    <row r="579" spans="2:2">
      <c r="B579" s="61"/>
    </row>
    <row r="580" spans="2:2">
      <c r="B580" s="61"/>
    </row>
    <row r="581" spans="2:2">
      <c r="B581" s="61"/>
    </row>
    <row r="582" spans="2:2">
      <c r="B582" s="61"/>
    </row>
    <row r="583" spans="2:2">
      <c r="B583" s="61"/>
    </row>
    <row r="584" spans="2:2">
      <c r="B584" s="61"/>
    </row>
    <row r="585" spans="2:2">
      <c r="B585" s="61"/>
    </row>
    <row r="586" spans="2:2">
      <c r="B586" s="61"/>
    </row>
    <row r="587" spans="2:2">
      <c r="B587" s="61"/>
    </row>
    <row r="588" spans="2:2">
      <c r="B588" s="61"/>
    </row>
    <row r="589" spans="2:2">
      <c r="B589" s="61"/>
    </row>
    <row r="590" spans="2:2">
      <c r="B590" s="61"/>
    </row>
    <row r="591" spans="2:2">
      <c r="B591" s="61"/>
    </row>
    <row r="592" spans="2:2">
      <c r="B592" s="61"/>
    </row>
    <row r="593" spans="2:2">
      <c r="B593" s="61"/>
    </row>
    <row r="594" spans="2:2">
      <c r="B594" s="61"/>
    </row>
    <row r="595" spans="2:2">
      <c r="B595" s="61"/>
    </row>
    <row r="596" spans="2:2">
      <c r="B596" s="61"/>
    </row>
    <row r="597" spans="2:2">
      <c r="B597" s="61"/>
    </row>
    <row r="598" spans="2:2">
      <c r="B598" s="61"/>
    </row>
    <row r="599" spans="2:2">
      <c r="B599" s="61"/>
    </row>
    <row r="600" spans="2:2">
      <c r="B600" s="61"/>
    </row>
    <row r="601" spans="2:2">
      <c r="B601" s="61"/>
    </row>
    <row r="602" spans="2:2">
      <c r="B602" s="61"/>
    </row>
    <row r="603" spans="2:2">
      <c r="B603" s="61"/>
    </row>
    <row r="604" spans="2:2">
      <c r="B604" s="61"/>
    </row>
    <row r="605" spans="2:2">
      <c r="B605" s="61"/>
    </row>
    <row r="606" spans="2:2">
      <c r="B606" s="61"/>
    </row>
    <row r="608" spans="2:2">
      <c r="B608" s="61"/>
    </row>
    <row r="609" spans="2:2">
      <c r="B609" s="61"/>
    </row>
    <row r="610" spans="2:2">
      <c r="B610" s="61"/>
    </row>
    <row r="611" spans="2:2">
      <c r="B611" s="61"/>
    </row>
    <row r="612" spans="2:2">
      <c r="B612" s="61"/>
    </row>
    <row r="613" spans="2:2">
      <c r="B613" s="61"/>
    </row>
    <row r="614" spans="2:2">
      <c r="B614" s="61"/>
    </row>
    <row r="615" spans="2:2">
      <c r="B615" s="61"/>
    </row>
    <row r="616" spans="2:2">
      <c r="B616" s="61"/>
    </row>
    <row r="617" spans="2:2">
      <c r="B617" s="61"/>
    </row>
    <row r="618" spans="2:2">
      <c r="B618" s="61"/>
    </row>
    <row r="619" spans="2:2">
      <c r="B619" s="61"/>
    </row>
    <row r="620" spans="2:2">
      <c r="B620" s="61"/>
    </row>
    <row r="621" spans="2:2">
      <c r="B621" s="61"/>
    </row>
    <row r="622" spans="2:2">
      <c r="B622" s="61"/>
    </row>
    <row r="623" spans="2:2">
      <c r="B623" s="61"/>
    </row>
    <row r="624" spans="2:2">
      <c r="B624" s="61"/>
    </row>
    <row r="625" spans="2:2">
      <c r="B625" s="61"/>
    </row>
    <row r="626" spans="2:2">
      <c r="B626" s="61"/>
    </row>
    <row r="627" spans="2:2">
      <c r="B627" s="61"/>
    </row>
    <row r="628" spans="2:2">
      <c r="B628" s="61"/>
    </row>
    <row r="629" spans="2:2">
      <c r="B629" s="61"/>
    </row>
    <row r="630" spans="2:2">
      <c r="B630" s="61"/>
    </row>
    <row r="631" spans="2:2">
      <c r="B631" s="61"/>
    </row>
    <row r="632" spans="2:2">
      <c r="B632" s="61"/>
    </row>
    <row r="633" spans="2:2">
      <c r="B633" s="61"/>
    </row>
    <row r="634" spans="2:2">
      <c r="B634" s="61"/>
    </row>
    <row r="635" spans="2:2">
      <c r="B635" s="61"/>
    </row>
    <row r="636" spans="2:2">
      <c r="B636" s="61"/>
    </row>
    <row r="638" spans="2:2">
      <c r="B638" s="61"/>
    </row>
    <row r="639" spans="2:2">
      <c r="B639" s="61"/>
    </row>
    <row r="640" spans="2:2">
      <c r="B640" s="61"/>
    </row>
    <row r="641" spans="2:2">
      <c r="B641" s="61"/>
    </row>
    <row r="642" spans="2:2">
      <c r="B642" s="61"/>
    </row>
    <row r="643" spans="2:2">
      <c r="B643" s="61"/>
    </row>
    <row r="644" spans="2:2">
      <c r="B644" s="61"/>
    </row>
    <row r="645" spans="2:2">
      <c r="B645" s="61"/>
    </row>
    <row r="646" spans="2:2">
      <c r="B646" s="61"/>
    </row>
    <row r="647" spans="2:2">
      <c r="B647" s="61"/>
    </row>
    <row r="648" spans="2:2">
      <c r="B648" s="61"/>
    </row>
    <row r="649" spans="2:2">
      <c r="B649" s="61"/>
    </row>
    <row r="650" spans="2:2">
      <c r="B650" s="61"/>
    </row>
    <row r="651" spans="2:2">
      <c r="B651" s="61"/>
    </row>
    <row r="652" spans="2:2">
      <c r="B652" s="61"/>
    </row>
    <row r="653" spans="2:2">
      <c r="B653" s="61"/>
    </row>
    <row r="654" spans="2:2">
      <c r="B654" s="61"/>
    </row>
    <row r="655" spans="2:2">
      <c r="B655" s="61"/>
    </row>
    <row r="656" spans="2:2">
      <c r="B656" s="61"/>
    </row>
    <row r="657" spans="2:2">
      <c r="B657" s="61"/>
    </row>
    <row r="658" spans="2:2">
      <c r="B658" s="61"/>
    </row>
    <row r="659" spans="2:2">
      <c r="B659" s="61"/>
    </row>
    <row r="660" spans="2:2">
      <c r="B660" s="61"/>
    </row>
    <row r="661" spans="2:2">
      <c r="B661" s="61"/>
    </row>
    <row r="662" spans="2:2">
      <c r="B662" s="61"/>
    </row>
    <row r="663" spans="2:2">
      <c r="B663" s="61"/>
    </row>
    <row r="664" spans="2:2">
      <c r="B664" s="61"/>
    </row>
    <row r="665" spans="2:2">
      <c r="B665" s="61"/>
    </row>
    <row r="666" spans="2:2">
      <c r="B666" s="61"/>
    </row>
    <row r="668" spans="2:2">
      <c r="B668" s="61"/>
    </row>
    <row r="669" spans="2:2">
      <c r="B669" s="61"/>
    </row>
    <row r="670" spans="2:2">
      <c r="B670" s="61"/>
    </row>
    <row r="671" spans="2:2">
      <c r="B671" s="61"/>
    </row>
    <row r="672" spans="2:2">
      <c r="B672" s="61"/>
    </row>
    <row r="673" spans="2:2">
      <c r="B673" s="61"/>
    </row>
    <row r="674" spans="2:2">
      <c r="B674" s="61"/>
    </row>
    <row r="675" spans="2:2">
      <c r="B675" s="61"/>
    </row>
    <row r="676" spans="2:2">
      <c r="B676" s="61"/>
    </row>
    <row r="677" spans="2:2">
      <c r="B677" s="61"/>
    </row>
    <row r="678" spans="2:2">
      <c r="B678" s="61"/>
    </row>
    <row r="679" spans="2:2">
      <c r="B679" s="61"/>
    </row>
    <row r="680" spans="2:2">
      <c r="B680" s="61"/>
    </row>
    <row r="681" spans="2:2">
      <c r="B681" s="61"/>
    </row>
    <row r="682" spans="2:2">
      <c r="B682" s="61"/>
    </row>
    <row r="683" spans="2:2">
      <c r="B683" s="61"/>
    </row>
    <row r="684" spans="2:2">
      <c r="B684" s="61"/>
    </row>
    <row r="685" spans="2:2">
      <c r="B685" s="61"/>
    </row>
    <row r="686" spans="2:2">
      <c r="B686" s="61"/>
    </row>
    <row r="687" spans="2:2">
      <c r="B687" s="61"/>
    </row>
    <row r="688" spans="2:2">
      <c r="B688" s="61"/>
    </row>
    <row r="689" spans="2:2">
      <c r="B689" s="61"/>
    </row>
    <row r="690" spans="2:2">
      <c r="B690" s="61"/>
    </row>
    <row r="691" spans="2:2">
      <c r="B691" s="61"/>
    </row>
    <row r="692" spans="2:2">
      <c r="B692" s="61"/>
    </row>
    <row r="693" spans="2:2">
      <c r="B693" s="61"/>
    </row>
    <row r="694" spans="2:2">
      <c r="B694" s="61"/>
    </row>
    <row r="695" spans="2:2">
      <c r="B695" s="61"/>
    </row>
    <row r="696" spans="2:2">
      <c r="B696" s="61"/>
    </row>
    <row r="698" spans="2:2">
      <c r="B698" s="61"/>
    </row>
    <row r="699" spans="2:2">
      <c r="B699" s="61"/>
    </row>
    <row r="700" spans="2:2">
      <c r="B700" s="61"/>
    </row>
    <row r="701" spans="2:2">
      <c r="B701" s="61"/>
    </row>
    <row r="702" spans="2:2">
      <c r="B702" s="61"/>
    </row>
    <row r="703" spans="2:2">
      <c r="B703" s="61"/>
    </row>
    <row r="704" spans="2:2">
      <c r="B704" s="61"/>
    </row>
    <row r="705" spans="2:2">
      <c r="B705" s="61"/>
    </row>
    <row r="706" spans="2:2">
      <c r="B706" s="61"/>
    </row>
    <row r="707" spans="2:2">
      <c r="B707" s="61"/>
    </row>
    <row r="708" spans="2:2">
      <c r="B708" s="61"/>
    </row>
    <row r="709" spans="2:2">
      <c r="B709" s="61"/>
    </row>
    <row r="710" spans="2:2">
      <c r="B710" s="61"/>
    </row>
    <row r="711" spans="2:2">
      <c r="B711" s="61"/>
    </row>
    <row r="712" spans="2:2">
      <c r="B712" s="61"/>
    </row>
    <row r="713" spans="2:2">
      <c r="B713" s="61"/>
    </row>
    <row r="714" spans="2:2">
      <c r="B714" s="61"/>
    </row>
    <row r="715" spans="2:2">
      <c r="B715" s="61"/>
    </row>
    <row r="716" spans="2:2">
      <c r="B716" s="61"/>
    </row>
    <row r="717" spans="2:2">
      <c r="B717" s="61"/>
    </row>
    <row r="718" spans="2:2">
      <c r="B718" s="61"/>
    </row>
    <row r="719" spans="2:2">
      <c r="B719" s="61"/>
    </row>
    <row r="720" spans="2:2">
      <c r="B720" s="61"/>
    </row>
    <row r="721" spans="2:2">
      <c r="B721" s="61"/>
    </row>
    <row r="722" spans="2:2">
      <c r="B722" s="61"/>
    </row>
    <row r="723" spans="2:2">
      <c r="B723" s="61"/>
    </row>
    <row r="724" spans="2:2">
      <c r="B724" s="61"/>
    </row>
    <row r="725" spans="2:2">
      <c r="B725" s="61"/>
    </row>
    <row r="726" spans="2:2">
      <c r="B726" s="61"/>
    </row>
    <row r="728" spans="2:2">
      <c r="B728" s="61"/>
    </row>
    <row r="729" spans="2:2">
      <c r="B729" s="61"/>
    </row>
    <row r="730" spans="2:2">
      <c r="B730" s="61"/>
    </row>
    <row r="731" spans="2:2">
      <c r="B731" s="61"/>
    </row>
    <row r="732" spans="2:2">
      <c r="B732" s="61"/>
    </row>
    <row r="733" spans="2:2">
      <c r="B733" s="61"/>
    </row>
    <row r="734" spans="2:2">
      <c r="B734" s="61"/>
    </row>
    <row r="735" spans="2:2">
      <c r="B735" s="61"/>
    </row>
    <row r="736" spans="2:2">
      <c r="B736" s="61"/>
    </row>
    <row r="737" spans="2:2">
      <c r="B737" s="61"/>
    </row>
    <row r="738" spans="2:2">
      <c r="B738" s="61"/>
    </row>
    <row r="739" spans="2:2">
      <c r="B739" s="61"/>
    </row>
    <row r="740" spans="2:2">
      <c r="B740" s="61"/>
    </row>
    <row r="741" spans="2:2">
      <c r="B741" s="61"/>
    </row>
    <row r="742" spans="2:2">
      <c r="B742" s="61"/>
    </row>
    <row r="743" spans="2:2">
      <c r="B743" s="61"/>
    </row>
    <row r="744" spans="2:2">
      <c r="B744" s="61"/>
    </row>
    <row r="745" spans="2:2">
      <c r="B745" s="61"/>
    </row>
    <row r="746" spans="2:2">
      <c r="B746" s="61"/>
    </row>
    <row r="747" spans="2:2">
      <c r="B747" s="61"/>
    </row>
    <row r="748" spans="2:2">
      <c r="B748" s="61"/>
    </row>
    <row r="749" spans="2:2">
      <c r="B749" s="61"/>
    </row>
    <row r="750" spans="2:2">
      <c r="B750" s="61"/>
    </row>
    <row r="751" spans="2:2">
      <c r="B751" s="61"/>
    </row>
    <row r="752" spans="2:2">
      <c r="B752" s="61"/>
    </row>
    <row r="753" spans="2:2">
      <c r="B753" s="61"/>
    </row>
    <row r="754" spans="2:2">
      <c r="B754" s="61"/>
    </row>
    <row r="755" spans="2:2">
      <c r="B755" s="61"/>
    </row>
    <row r="756" spans="2:2">
      <c r="B756" s="61"/>
    </row>
    <row r="758" spans="2:2">
      <c r="B758" s="61"/>
    </row>
    <row r="759" spans="2:2">
      <c r="B759" s="61"/>
    </row>
    <row r="760" spans="2:2">
      <c r="B760" s="61"/>
    </row>
    <row r="761" spans="2:2">
      <c r="B761" s="61"/>
    </row>
    <row r="762" spans="2:2">
      <c r="B762" s="61"/>
    </row>
    <row r="763" spans="2:2">
      <c r="B763" s="61"/>
    </row>
    <row r="764" spans="2:2">
      <c r="B764" s="61"/>
    </row>
    <row r="765" spans="2:2">
      <c r="B765" s="61"/>
    </row>
    <row r="766" spans="2:2">
      <c r="B766" s="61"/>
    </row>
    <row r="767" spans="2:2">
      <c r="B767" s="61"/>
    </row>
    <row r="768" spans="2:2">
      <c r="B768" s="61"/>
    </row>
    <row r="769" spans="2:2">
      <c r="B769" s="61"/>
    </row>
    <row r="770" spans="2:2">
      <c r="B770" s="61"/>
    </row>
    <row r="771" spans="2:2">
      <c r="B771" s="61"/>
    </row>
    <row r="772" spans="2:2">
      <c r="B772" s="61"/>
    </row>
    <row r="773" spans="2:2">
      <c r="B773" s="61"/>
    </row>
    <row r="774" spans="2:2">
      <c r="B774" s="61"/>
    </row>
    <row r="775" spans="2:2">
      <c r="B775" s="61"/>
    </row>
    <row r="776" spans="2:2">
      <c r="B776" s="61"/>
    </row>
    <row r="777" spans="2:2">
      <c r="B777" s="61"/>
    </row>
    <row r="778" spans="2:2">
      <c r="B778" s="61"/>
    </row>
    <row r="779" spans="2:2">
      <c r="B779" s="61"/>
    </row>
    <row r="780" spans="2:2">
      <c r="B780" s="61"/>
    </row>
    <row r="781" spans="2:2">
      <c r="B781" s="61"/>
    </row>
    <row r="782" spans="2:2">
      <c r="B782" s="61"/>
    </row>
    <row r="783" spans="2:2">
      <c r="B783" s="61"/>
    </row>
    <row r="784" spans="2:2">
      <c r="B784" s="61"/>
    </row>
    <row r="785" spans="2:2">
      <c r="B785" s="61"/>
    </row>
    <row r="786" spans="2:2">
      <c r="B786" s="61"/>
    </row>
    <row r="788" spans="2:2">
      <c r="B788" s="61"/>
    </row>
    <row r="789" spans="2:2">
      <c r="B789" s="61"/>
    </row>
    <row r="790" spans="2:2">
      <c r="B790" s="61"/>
    </row>
    <row r="791" spans="2:2">
      <c r="B791" s="61"/>
    </row>
    <row r="792" spans="2:2">
      <c r="B792" s="61"/>
    </row>
    <row r="793" spans="2:2">
      <c r="B793" s="61"/>
    </row>
    <row r="794" spans="2:2">
      <c r="B794" s="61"/>
    </row>
    <row r="795" spans="2:2">
      <c r="B795" s="61"/>
    </row>
    <row r="796" spans="2:2">
      <c r="B796" s="61"/>
    </row>
    <row r="797" spans="2:2">
      <c r="B797" s="61"/>
    </row>
    <row r="798" spans="2:2">
      <c r="B798" s="61"/>
    </row>
    <row r="799" spans="2:2">
      <c r="B799" s="61"/>
    </row>
    <row r="800" spans="2:2">
      <c r="B800" s="61"/>
    </row>
    <row r="801" spans="2:2">
      <c r="B801" s="61"/>
    </row>
    <row r="802" spans="2:2">
      <c r="B802" s="61"/>
    </row>
    <row r="803" spans="2:2">
      <c r="B803" s="61"/>
    </row>
    <row r="804" spans="2:2">
      <c r="B804" s="61"/>
    </row>
    <row r="805" spans="2:2">
      <c r="B805" s="61"/>
    </row>
    <row r="806" spans="2:2">
      <c r="B806" s="61"/>
    </row>
    <row r="807" spans="2:2">
      <c r="B807" s="61"/>
    </row>
    <row r="808" spans="2:2">
      <c r="B808" s="61"/>
    </row>
    <row r="809" spans="2:2">
      <c r="B809" s="61"/>
    </row>
    <row r="810" spans="2:2">
      <c r="B810" s="61"/>
    </row>
    <row r="811" spans="2:2">
      <c r="B811" s="61"/>
    </row>
    <row r="812" spans="2:2">
      <c r="B812" s="61"/>
    </row>
    <row r="813" spans="2:2">
      <c r="B813" s="61"/>
    </row>
    <row r="814" spans="2:2">
      <c r="B814" s="61"/>
    </row>
    <row r="815" spans="2:2">
      <c r="B815" s="61"/>
    </row>
    <row r="816" spans="2:2">
      <c r="B816" s="61"/>
    </row>
    <row r="818" spans="2:2">
      <c r="B818" s="61"/>
    </row>
    <row r="819" spans="2:2">
      <c r="B819" s="61"/>
    </row>
    <row r="820" spans="2:2">
      <c r="B820" s="61"/>
    </row>
    <row r="821" spans="2:2">
      <c r="B821" s="61"/>
    </row>
    <row r="822" spans="2:2">
      <c r="B822" s="61"/>
    </row>
    <row r="823" spans="2:2">
      <c r="B823" s="61"/>
    </row>
    <row r="824" spans="2:2">
      <c r="B824" s="61"/>
    </row>
    <row r="825" spans="2:2">
      <c r="B825" s="61"/>
    </row>
    <row r="826" spans="2:2">
      <c r="B826" s="61"/>
    </row>
    <row r="827" spans="2:2">
      <c r="B827" s="61"/>
    </row>
    <row r="828" spans="2:2">
      <c r="B828" s="61"/>
    </row>
    <row r="829" spans="2:2">
      <c r="B829" s="61"/>
    </row>
    <row r="830" spans="2:2">
      <c r="B830" s="61"/>
    </row>
    <row r="831" spans="2:2">
      <c r="B831" s="61"/>
    </row>
    <row r="832" spans="2:2">
      <c r="B832" s="61"/>
    </row>
    <row r="833" spans="2:2">
      <c r="B833" s="61"/>
    </row>
    <row r="834" spans="2:2">
      <c r="B834" s="61"/>
    </row>
    <row r="835" spans="2:2">
      <c r="B835" s="61"/>
    </row>
    <row r="836" spans="2:2">
      <c r="B836" s="61"/>
    </row>
    <row r="837" spans="2:2">
      <c r="B837" s="61"/>
    </row>
    <row r="838" spans="2:2">
      <c r="B838" s="61"/>
    </row>
    <row r="839" spans="2:2">
      <c r="B839" s="61"/>
    </row>
    <row r="840" spans="2:2">
      <c r="B840" s="61"/>
    </row>
    <row r="841" spans="2:2">
      <c r="B841" s="61"/>
    </row>
    <row r="842" spans="2:2">
      <c r="B842" s="61"/>
    </row>
    <row r="843" spans="2:2">
      <c r="B843" s="61"/>
    </row>
    <row r="844" spans="2:2">
      <c r="B844" s="61"/>
    </row>
    <row r="845" spans="2:2">
      <c r="B845" s="61"/>
    </row>
    <row r="846" spans="2:2">
      <c r="B846" s="61"/>
    </row>
    <row r="848" spans="2:2">
      <c r="B848" s="61"/>
    </row>
    <row r="849" spans="2:2">
      <c r="B849" s="61"/>
    </row>
    <row r="850" spans="2:2">
      <c r="B850" s="61"/>
    </row>
    <row r="851" spans="2:2">
      <c r="B851" s="61"/>
    </row>
    <row r="852" spans="2:2">
      <c r="B852" s="61"/>
    </row>
    <row r="853" spans="2:2">
      <c r="B853" s="61"/>
    </row>
    <row r="854" spans="2:2">
      <c r="B854" s="61"/>
    </row>
    <row r="855" spans="2:2">
      <c r="B855" s="61"/>
    </row>
    <row r="856" spans="2:2">
      <c r="B856" s="61"/>
    </row>
    <row r="857" spans="2:2">
      <c r="B857" s="61"/>
    </row>
    <row r="858" spans="2:2">
      <c r="B858" s="61"/>
    </row>
    <row r="859" spans="2:2">
      <c r="B859" s="61"/>
    </row>
    <row r="860" spans="2:2">
      <c r="B860" s="61"/>
    </row>
    <row r="861" spans="2:2">
      <c r="B861" s="61"/>
    </row>
    <row r="862" spans="2:2">
      <c r="B862" s="61"/>
    </row>
    <row r="863" spans="2:2">
      <c r="B863" s="61"/>
    </row>
    <row r="864" spans="2:2">
      <c r="B864" s="61"/>
    </row>
    <row r="865" spans="2:2">
      <c r="B865" s="61"/>
    </row>
    <row r="866" spans="2:2">
      <c r="B866" s="61"/>
    </row>
    <row r="867" spans="2:2">
      <c r="B867" s="61"/>
    </row>
    <row r="868" spans="2:2">
      <c r="B868" s="61"/>
    </row>
    <row r="869" spans="2:2">
      <c r="B869" s="61"/>
    </row>
    <row r="870" spans="2:2">
      <c r="B870" s="61"/>
    </row>
    <row r="871" spans="2:2">
      <c r="B871" s="61"/>
    </row>
    <row r="872" spans="2:2">
      <c r="B872" s="61"/>
    </row>
    <row r="873" spans="2:2">
      <c r="B873" s="61"/>
    </row>
    <row r="874" spans="2:2">
      <c r="B874" s="61"/>
    </row>
    <row r="875" spans="2:2">
      <c r="B875" s="61"/>
    </row>
    <row r="876" spans="2:2">
      <c r="B876" s="61"/>
    </row>
    <row r="878" spans="2:2">
      <c r="B878" s="61"/>
    </row>
    <row r="879" spans="2:2">
      <c r="B879" s="61"/>
    </row>
    <row r="880" spans="2:2">
      <c r="B880" s="61"/>
    </row>
    <row r="881" spans="2:2">
      <c r="B881" s="61"/>
    </row>
    <row r="882" spans="2:2">
      <c r="B882" s="61"/>
    </row>
    <row r="883" spans="2:2">
      <c r="B883" s="61"/>
    </row>
    <row r="884" spans="2:2">
      <c r="B884" s="61"/>
    </row>
    <row r="885" spans="2:2">
      <c r="B885" s="61"/>
    </row>
    <row r="886" spans="2:2">
      <c r="B886" s="61"/>
    </row>
    <row r="887" spans="2:2">
      <c r="B887" s="61"/>
    </row>
    <row r="888" spans="2:2">
      <c r="B888" s="61"/>
    </row>
    <row r="889" spans="2:2">
      <c r="B889" s="61"/>
    </row>
    <row r="890" spans="2:2">
      <c r="B890" s="61"/>
    </row>
    <row r="891" spans="2:2">
      <c r="B891" s="61"/>
    </row>
    <row r="892" spans="2:2">
      <c r="B892" s="61"/>
    </row>
    <row r="893" spans="2:2">
      <c r="B893" s="61"/>
    </row>
    <row r="894" spans="2:2">
      <c r="B894" s="61"/>
    </row>
    <row r="895" spans="2:2">
      <c r="B895" s="61"/>
    </row>
    <row r="896" spans="2:2">
      <c r="B896" s="61"/>
    </row>
    <row r="897" spans="2:2">
      <c r="B897" s="61"/>
    </row>
    <row r="898" spans="2:2">
      <c r="B898" s="61"/>
    </row>
    <row r="899" spans="2:2">
      <c r="B899" s="61"/>
    </row>
    <row r="900" spans="2:2">
      <c r="B900" s="61"/>
    </row>
    <row r="901" spans="2:2">
      <c r="B901" s="61"/>
    </row>
    <row r="902" spans="2:2">
      <c r="B902" s="61"/>
    </row>
    <row r="903" spans="2:2">
      <c r="B903" s="61"/>
    </row>
    <row r="904" spans="2:2">
      <c r="B904" s="61"/>
    </row>
    <row r="905" spans="2:2">
      <c r="B905" s="61"/>
    </row>
    <row r="906" spans="2:2">
      <c r="B906" s="61"/>
    </row>
    <row r="908" spans="2:2">
      <c r="B908" s="61"/>
    </row>
    <row r="909" spans="2:2">
      <c r="B909" s="61"/>
    </row>
    <row r="910" spans="2:2">
      <c r="B910" s="61"/>
    </row>
    <row r="911" spans="2:2">
      <c r="B911" s="61"/>
    </row>
    <row r="912" spans="2:2">
      <c r="B912" s="61"/>
    </row>
    <row r="913" spans="2:2">
      <c r="B913" s="61"/>
    </row>
    <row r="914" spans="2:2">
      <c r="B914" s="61"/>
    </row>
    <row r="915" spans="2:2">
      <c r="B915" s="61"/>
    </row>
    <row r="916" spans="2:2">
      <c r="B916" s="61"/>
    </row>
    <row r="917" spans="2:2">
      <c r="B917" s="61"/>
    </row>
    <row r="918" spans="2:2">
      <c r="B918" s="61"/>
    </row>
    <row r="919" spans="2:2">
      <c r="B919" s="61"/>
    </row>
    <row r="920" spans="2:2">
      <c r="B920" s="61"/>
    </row>
    <row r="921" spans="2:2">
      <c r="B921" s="61"/>
    </row>
    <row r="922" spans="2:2">
      <c r="B922" s="61"/>
    </row>
    <row r="923" spans="2:2">
      <c r="B923" s="61"/>
    </row>
    <row r="924" spans="2:2">
      <c r="B924" s="61"/>
    </row>
    <row r="925" spans="2:2">
      <c r="B925" s="61"/>
    </row>
    <row r="926" spans="2:2">
      <c r="B926" s="61"/>
    </row>
    <row r="927" spans="2:2">
      <c r="B927" s="61"/>
    </row>
    <row r="928" spans="2:2">
      <c r="B928" s="61"/>
    </row>
    <row r="929" spans="2:2">
      <c r="B929" s="61"/>
    </row>
    <row r="930" spans="2:2">
      <c r="B930" s="61"/>
    </row>
    <row r="931" spans="2:2">
      <c r="B931" s="61"/>
    </row>
    <row r="932" spans="2:2">
      <c r="B932" s="61"/>
    </row>
    <row r="933" spans="2:2">
      <c r="B933" s="61"/>
    </row>
    <row r="934" spans="2:2">
      <c r="B934" s="61"/>
    </row>
    <row r="935" spans="2:2">
      <c r="B935" s="61"/>
    </row>
    <row r="936" spans="2:2">
      <c r="B936" s="61"/>
    </row>
    <row r="938" spans="2:2">
      <c r="B938" s="61"/>
    </row>
    <row r="939" spans="2:2">
      <c r="B939" s="61"/>
    </row>
    <row r="940" spans="2:2">
      <c r="B940" s="61"/>
    </row>
    <row r="941" spans="2:2">
      <c r="B941" s="61"/>
    </row>
    <row r="942" spans="2:2">
      <c r="B942" s="61"/>
    </row>
    <row r="943" spans="2:2">
      <c r="B943" s="61"/>
    </row>
    <row r="944" spans="2:2">
      <c r="B944" s="61"/>
    </row>
    <row r="945" spans="2:2">
      <c r="B945" s="61"/>
    </row>
    <row r="946" spans="2:2">
      <c r="B946" s="61"/>
    </row>
    <row r="947" spans="2:2">
      <c r="B947" s="61"/>
    </row>
    <row r="948" spans="2:2">
      <c r="B948" s="61"/>
    </row>
    <row r="949" spans="2:2">
      <c r="B949" s="61"/>
    </row>
    <row r="950" spans="2:2">
      <c r="B950" s="61"/>
    </row>
    <row r="951" spans="2:2">
      <c r="B951" s="61"/>
    </row>
    <row r="952" spans="2:2">
      <c r="B952" s="61"/>
    </row>
    <row r="953" spans="2:2">
      <c r="B953" s="61"/>
    </row>
    <row r="954" spans="2:2">
      <c r="B954" s="61"/>
    </row>
    <row r="955" spans="2:2">
      <c r="B955" s="61"/>
    </row>
    <row r="956" spans="2:2">
      <c r="B956" s="61"/>
    </row>
    <row r="957" spans="2:2">
      <c r="B957" s="61"/>
    </row>
    <row r="958" spans="2:2">
      <c r="B958" s="61"/>
    </row>
    <row r="959" spans="2:2">
      <c r="B959" s="61"/>
    </row>
    <row r="960" spans="2:2">
      <c r="B960" s="61"/>
    </row>
    <row r="961" spans="2:2">
      <c r="B961" s="61"/>
    </row>
    <row r="962" spans="2:2">
      <c r="B962" s="61"/>
    </row>
    <row r="963" spans="2:2">
      <c r="B963" s="61"/>
    </row>
    <row r="964" spans="2:2">
      <c r="B964" s="61"/>
    </row>
    <row r="965" spans="2:2">
      <c r="B965" s="61"/>
    </row>
    <row r="966" spans="2:2">
      <c r="B966" s="61"/>
    </row>
    <row r="968" spans="2:2">
      <c r="B968" s="6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4"/>
  <dimension ref="A1:AH62"/>
  <sheetViews>
    <sheetView workbookViewId="0">
      <selection activeCell="J20" sqref="J20"/>
    </sheetView>
  </sheetViews>
  <sheetFormatPr defaultColWidth="11.42578125" defaultRowHeight="15"/>
  <cols>
    <col min="1" max="1" width="12.85546875" style="10" customWidth="1"/>
    <col min="2" max="2" width="7.42578125" style="10" bestFit="1" customWidth="1"/>
    <col min="3" max="3" width="9" style="10" customWidth="1"/>
    <col min="4" max="4" width="9.42578125" style="10" bestFit="1" customWidth="1"/>
    <col min="5" max="5" width="11.85546875" style="10" bestFit="1" customWidth="1"/>
    <col min="6" max="6" width="9.42578125" style="10" bestFit="1" customWidth="1"/>
    <col min="7" max="7" width="9.140625" style="10" bestFit="1" customWidth="1"/>
    <col min="8" max="9" width="9.42578125" style="10" bestFit="1" customWidth="1"/>
    <col min="10" max="10" width="9.140625" style="10" bestFit="1" customWidth="1"/>
    <col min="11" max="11" width="9.42578125" style="10" bestFit="1" customWidth="1"/>
    <col min="12" max="12" width="11.5703125" style="10" bestFit="1" customWidth="1"/>
    <col min="13" max="13" width="8.42578125" style="10" bestFit="1" customWidth="1"/>
    <col min="14" max="14" width="9.42578125" style="10" bestFit="1" customWidth="1"/>
    <col min="15" max="15" width="9" style="10" bestFit="1" customWidth="1"/>
    <col min="16" max="16" width="11.85546875" style="10" bestFit="1" customWidth="1"/>
    <col min="17" max="17" width="15" style="10" bestFit="1" customWidth="1"/>
    <col min="18" max="16384" width="11.42578125" style="10"/>
  </cols>
  <sheetData>
    <row r="1" spans="1:34">
      <c r="A1" s="10" t="s">
        <v>401</v>
      </c>
    </row>
    <row r="2" spans="1:34">
      <c r="A2" s="10" t="s">
        <v>182</v>
      </c>
    </row>
    <row r="3" spans="1:34">
      <c r="A3" s="10" t="s">
        <v>521</v>
      </c>
    </row>
    <row r="5" spans="1:34">
      <c r="C5" s="10" t="s">
        <v>278</v>
      </c>
      <c r="D5" s="73" t="s">
        <v>280</v>
      </c>
      <c r="E5" s="73" t="s">
        <v>281</v>
      </c>
      <c r="F5" s="73" t="s">
        <v>282</v>
      </c>
      <c r="G5" s="73" t="s">
        <v>283</v>
      </c>
      <c r="H5" s="73" t="s">
        <v>284</v>
      </c>
      <c r="I5" s="73" t="s">
        <v>285</v>
      </c>
      <c r="J5" s="73" t="s">
        <v>286</v>
      </c>
      <c r="K5" s="73" t="s">
        <v>287</v>
      </c>
      <c r="L5" s="73" t="s">
        <v>288</v>
      </c>
      <c r="M5" s="73" t="s">
        <v>289</v>
      </c>
      <c r="N5" s="73" t="s">
        <v>290</v>
      </c>
      <c r="O5" s="73" t="s">
        <v>291</v>
      </c>
      <c r="P5" s="73" t="s">
        <v>292</v>
      </c>
      <c r="Q5" s="73" t="s">
        <v>293</v>
      </c>
      <c r="R5" s="73" t="s">
        <v>294</v>
      </c>
      <c r="S5" s="73" t="s">
        <v>357</v>
      </c>
      <c r="T5" s="73" t="s">
        <v>297</v>
      </c>
      <c r="U5" s="73" t="s">
        <v>298</v>
      </c>
      <c r="V5" s="73" t="s">
        <v>299</v>
      </c>
      <c r="W5" s="73" t="s">
        <v>300</v>
      </c>
      <c r="X5" s="73" t="s">
        <v>301</v>
      </c>
      <c r="Y5" s="73" t="s">
        <v>303</v>
      </c>
      <c r="Z5" s="73" t="s">
        <v>304</v>
      </c>
      <c r="AA5" s="73" t="s">
        <v>305</v>
      </c>
      <c r="AB5" s="73" t="s">
        <v>307</v>
      </c>
      <c r="AC5" s="73" t="s">
        <v>308</v>
      </c>
      <c r="AD5" s="73" t="s">
        <v>309</v>
      </c>
      <c r="AE5" s="73" t="s">
        <v>310</v>
      </c>
      <c r="AF5" s="73" t="s">
        <v>356</v>
      </c>
      <c r="AG5" s="73"/>
      <c r="AH5" s="10" t="s">
        <v>356</v>
      </c>
    </row>
    <row r="6" spans="1:34">
      <c r="C6" s="73">
        <v>2018</v>
      </c>
      <c r="D6" s="10">
        <v>2018</v>
      </c>
      <c r="E6" s="10">
        <v>2018</v>
      </c>
      <c r="F6" s="10">
        <v>2018</v>
      </c>
      <c r="G6" s="10">
        <v>2018</v>
      </c>
      <c r="H6" s="10">
        <v>2018</v>
      </c>
      <c r="I6" s="10">
        <v>2018</v>
      </c>
      <c r="J6" s="10">
        <v>2018</v>
      </c>
      <c r="K6" s="10">
        <v>2018</v>
      </c>
      <c r="L6" s="10">
        <v>2018</v>
      </c>
      <c r="M6" s="10">
        <v>2018</v>
      </c>
      <c r="N6" s="10">
        <v>2018</v>
      </c>
      <c r="O6" s="10">
        <v>2018</v>
      </c>
      <c r="P6" s="10">
        <v>2018</v>
      </c>
      <c r="Q6" s="10">
        <v>2018</v>
      </c>
      <c r="R6" s="10">
        <v>2018</v>
      </c>
      <c r="S6" s="10">
        <v>2018</v>
      </c>
      <c r="T6" s="10">
        <v>2018</v>
      </c>
      <c r="U6" s="10">
        <v>2018</v>
      </c>
      <c r="V6" s="10">
        <v>2018</v>
      </c>
      <c r="W6" s="10">
        <v>2018</v>
      </c>
      <c r="X6" s="10">
        <v>2018</v>
      </c>
      <c r="Y6" s="10">
        <v>2018</v>
      </c>
      <c r="Z6" s="10">
        <v>2018</v>
      </c>
      <c r="AA6" s="10">
        <v>2018</v>
      </c>
      <c r="AB6" s="10">
        <v>2018</v>
      </c>
      <c r="AC6" s="10">
        <v>2018</v>
      </c>
      <c r="AD6" s="10">
        <v>2018</v>
      </c>
      <c r="AE6" s="10">
        <v>2018</v>
      </c>
      <c r="AF6" s="10">
        <v>2018</v>
      </c>
      <c r="AH6" s="10" t="s">
        <v>358</v>
      </c>
    </row>
    <row r="7" spans="1:34">
      <c r="A7" s="10" t="s">
        <v>24</v>
      </c>
      <c r="B7" s="10" t="s">
        <v>278</v>
      </c>
      <c r="C7" s="73">
        <v>0</v>
      </c>
      <c r="F7" s="10">
        <v>0.43425000000000002</v>
      </c>
      <c r="G7" s="10">
        <v>0.9</v>
      </c>
      <c r="H7" s="10">
        <v>2</v>
      </c>
      <c r="O7" s="10">
        <v>0.8</v>
      </c>
      <c r="Q7" s="10">
        <v>7.0999999999999994E-2</v>
      </c>
      <c r="Z7" s="10">
        <v>0.95008333300000003</v>
      </c>
      <c r="AH7" s="10" t="s">
        <v>358</v>
      </c>
    </row>
    <row r="8" spans="1:34">
      <c r="A8" s="10" t="s">
        <v>24</v>
      </c>
      <c r="B8" s="10" t="s">
        <v>280</v>
      </c>
      <c r="C8" s="73"/>
      <c r="D8" s="10">
        <v>0</v>
      </c>
      <c r="L8" s="10">
        <v>1.5</v>
      </c>
      <c r="T8" s="10">
        <v>1.4259999999999999</v>
      </c>
      <c r="AH8" s="10">
        <v>1</v>
      </c>
    </row>
    <row r="9" spans="1:34">
      <c r="A9" s="10" t="s">
        <v>24</v>
      </c>
      <c r="B9" s="10" t="s">
        <v>281</v>
      </c>
      <c r="C9" s="73"/>
      <c r="E9" s="10">
        <v>0</v>
      </c>
      <c r="M9" s="10">
        <v>0.35</v>
      </c>
      <c r="S9" s="10">
        <v>0.35</v>
      </c>
      <c r="X9" s="10">
        <v>0.15</v>
      </c>
      <c r="AF9" s="10">
        <v>1</v>
      </c>
      <c r="AH9" s="10" t="s">
        <v>358</v>
      </c>
    </row>
    <row r="10" spans="1:34">
      <c r="A10" s="10" t="s">
        <v>24</v>
      </c>
      <c r="B10" s="10" t="s">
        <v>282</v>
      </c>
      <c r="C10" s="73">
        <v>1.2</v>
      </c>
      <c r="F10" s="10">
        <v>0</v>
      </c>
      <c r="H10" s="10">
        <v>3.5</v>
      </c>
      <c r="L10" s="10">
        <v>1.1000000000000001</v>
      </c>
      <c r="Q10" s="10">
        <v>1.3360000000000001</v>
      </c>
      <c r="AH10" s="10" t="s">
        <v>358</v>
      </c>
    </row>
    <row r="11" spans="1:34">
      <c r="A11" s="10" t="s">
        <v>24</v>
      </c>
      <c r="B11" s="10" t="s">
        <v>283</v>
      </c>
      <c r="C11" s="73">
        <v>0.8</v>
      </c>
      <c r="G11" s="10">
        <v>0</v>
      </c>
      <c r="H11" s="10">
        <v>1.7749999999999999</v>
      </c>
      <c r="V11" s="10">
        <v>0.1</v>
      </c>
      <c r="AA11" s="10">
        <v>1.7</v>
      </c>
      <c r="AH11" s="10" t="s">
        <v>358</v>
      </c>
    </row>
    <row r="12" spans="1:34">
      <c r="A12" s="10" t="s">
        <v>24</v>
      </c>
      <c r="B12" s="10" t="s">
        <v>284</v>
      </c>
      <c r="C12" s="73">
        <v>2.2000000000000002</v>
      </c>
      <c r="F12" s="10">
        <v>3.5</v>
      </c>
      <c r="G12" s="10">
        <v>1.1000000000000001</v>
      </c>
      <c r="H12" s="10">
        <v>0</v>
      </c>
      <c r="I12" s="10">
        <v>3.1</v>
      </c>
      <c r="L12" s="10">
        <v>1.675</v>
      </c>
      <c r="R12" s="10">
        <v>0.98</v>
      </c>
      <c r="T12" s="10">
        <v>2.85</v>
      </c>
      <c r="U12" s="10">
        <v>1.444</v>
      </c>
      <c r="V12" s="10">
        <v>0.1</v>
      </c>
      <c r="Y12" s="10">
        <v>0.35395833300000001</v>
      </c>
      <c r="AH12" s="10" t="s">
        <v>358</v>
      </c>
    </row>
    <row r="13" spans="1:34">
      <c r="A13" s="10" t="s">
        <v>24</v>
      </c>
      <c r="B13" s="10" t="s">
        <v>285</v>
      </c>
      <c r="C13" s="73"/>
      <c r="H13" s="10">
        <v>3.1</v>
      </c>
      <c r="I13" s="10">
        <v>0</v>
      </c>
      <c r="T13" s="10">
        <v>0.7</v>
      </c>
      <c r="U13" s="10">
        <v>1.7</v>
      </c>
      <c r="Y13" s="10">
        <v>2.44</v>
      </c>
      <c r="AB13" s="10">
        <v>1.4</v>
      </c>
      <c r="AH13" s="10" t="s">
        <v>358</v>
      </c>
    </row>
    <row r="14" spans="1:34">
      <c r="A14" s="10" t="s">
        <v>24</v>
      </c>
      <c r="B14" s="10" t="s">
        <v>286</v>
      </c>
      <c r="C14" s="73"/>
      <c r="J14" s="10">
        <v>0</v>
      </c>
      <c r="L14" s="10">
        <v>2.9</v>
      </c>
      <c r="W14" s="10">
        <v>4.0999999999999996</v>
      </c>
      <c r="AH14" s="10" t="s">
        <v>358</v>
      </c>
    </row>
    <row r="15" spans="1:34">
      <c r="A15" s="10" t="s">
        <v>24</v>
      </c>
      <c r="B15" s="10" t="s">
        <v>287</v>
      </c>
      <c r="C15" s="73"/>
      <c r="K15" s="10">
        <v>0</v>
      </c>
      <c r="Y15" s="10">
        <v>1.95</v>
      </c>
      <c r="AC15" s="10">
        <v>0.36499999999999999</v>
      </c>
      <c r="AH15" s="10" t="s">
        <v>358</v>
      </c>
    </row>
    <row r="16" spans="1:34">
      <c r="A16" s="10" t="s">
        <v>24</v>
      </c>
      <c r="B16" s="10" t="s">
        <v>288</v>
      </c>
      <c r="C16" s="73"/>
      <c r="D16" s="10">
        <v>2.6</v>
      </c>
      <c r="F16" s="10">
        <v>3.2</v>
      </c>
      <c r="H16" s="10">
        <v>1.8</v>
      </c>
      <c r="J16" s="10">
        <v>2.8</v>
      </c>
      <c r="L16" s="10">
        <v>0</v>
      </c>
      <c r="Q16" s="10">
        <v>0.86599999999999999</v>
      </c>
      <c r="AB16" s="10">
        <v>2</v>
      </c>
      <c r="AH16" s="10">
        <v>1</v>
      </c>
    </row>
    <row r="17" spans="1:34">
      <c r="A17" s="10" t="s">
        <v>24</v>
      </c>
      <c r="B17" s="10" t="s">
        <v>289</v>
      </c>
      <c r="C17" s="73"/>
      <c r="E17" s="10">
        <v>0.5</v>
      </c>
      <c r="M17" s="10">
        <v>0</v>
      </c>
      <c r="Q17" s="10">
        <v>0.5</v>
      </c>
      <c r="S17" s="10">
        <v>0.3</v>
      </c>
      <c r="AF17" s="10">
        <v>1</v>
      </c>
    </row>
    <row r="18" spans="1:34">
      <c r="A18" s="10" t="s">
        <v>24</v>
      </c>
      <c r="B18" s="10" t="s">
        <v>290</v>
      </c>
      <c r="C18" s="73"/>
      <c r="N18" s="10">
        <v>0</v>
      </c>
      <c r="O18" s="10">
        <v>1</v>
      </c>
      <c r="S18" s="10">
        <v>1.1000000000000001</v>
      </c>
      <c r="Z18" s="10">
        <v>1</v>
      </c>
      <c r="AH18" s="10" t="s">
        <v>358</v>
      </c>
    </row>
    <row r="19" spans="1:34">
      <c r="A19" s="10" t="s">
        <v>24</v>
      </c>
      <c r="B19" s="10" t="s">
        <v>291</v>
      </c>
      <c r="C19" s="73">
        <v>0.8</v>
      </c>
      <c r="N19" s="10">
        <v>1.2</v>
      </c>
      <c r="O19" s="10">
        <v>0</v>
      </c>
      <c r="S19" s="10">
        <v>0.7</v>
      </c>
      <c r="X19" s="10">
        <v>0.4</v>
      </c>
      <c r="AA19" s="10">
        <v>0.8</v>
      </c>
      <c r="AH19" s="10" t="s">
        <v>358</v>
      </c>
    </row>
    <row r="20" spans="1:34">
      <c r="A20" s="10" t="s">
        <v>24</v>
      </c>
      <c r="B20" s="10" t="s">
        <v>292</v>
      </c>
      <c r="C20" s="73"/>
      <c r="P20" s="10">
        <v>0</v>
      </c>
      <c r="AB20" s="10">
        <v>0.45</v>
      </c>
      <c r="AH20" s="10" t="s">
        <v>358</v>
      </c>
    </row>
    <row r="21" spans="1:34">
      <c r="A21" s="10" t="s">
        <v>24</v>
      </c>
      <c r="B21" s="10" t="s">
        <v>293</v>
      </c>
      <c r="C21" s="73">
        <v>0.1</v>
      </c>
      <c r="F21" s="10">
        <v>1.91</v>
      </c>
      <c r="L21" s="10">
        <v>1.1599999999999999</v>
      </c>
      <c r="M21" s="10">
        <v>0.5</v>
      </c>
      <c r="Q21" s="10">
        <v>0</v>
      </c>
      <c r="Z21" s="10">
        <v>0.18</v>
      </c>
      <c r="AH21" s="10" t="s">
        <v>358</v>
      </c>
    </row>
    <row r="22" spans="1:34">
      <c r="A22" s="10" t="s">
        <v>24</v>
      </c>
      <c r="B22" s="10" t="s">
        <v>294</v>
      </c>
      <c r="C22" s="73"/>
      <c r="H22" s="10">
        <v>0.98</v>
      </c>
      <c r="R22" s="10">
        <v>0</v>
      </c>
      <c r="AH22" s="10" t="s">
        <v>358</v>
      </c>
    </row>
    <row r="23" spans="1:34">
      <c r="A23" s="10" t="s">
        <v>24</v>
      </c>
      <c r="B23" s="10" t="s">
        <v>357</v>
      </c>
      <c r="C23" s="73"/>
      <c r="E23" s="10">
        <v>0.35</v>
      </c>
      <c r="M23" s="10">
        <v>0.3</v>
      </c>
      <c r="N23" s="10">
        <v>1.1000000000000001</v>
      </c>
      <c r="O23" s="10">
        <v>0.7</v>
      </c>
      <c r="S23" s="10">
        <v>0</v>
      </c>
      <c r="X23" s="10">
        <v>0.2</v>
      </c>
      <c r="AH23" s="10" t="s">
        <v>358</v>
      </c>
    </row>
    <row r="24" spans="1:34">
      <c r="A24" s="10" t="s">
        <v>24</v>
      </c>
      <c r="B24" s="10" t="s">
        <v>297</v>
      </c>
      <c r="C24" s="73"/>
      <c r="D24" s="10">
        <v>1.4259999999999999</v>
      </c>
      <c r="H24" s="10">
        <v>2.4</v>
      </c>
      <c r="I24" s="10">
        <v>0.7</v>
      </c>
      <c r="T24" s="10">
        <v>0</v>
      </c>
      <c r="U24" s="10">
        <v>0.72299999999999998</v>
      </c>
      <c r="AB24" s="10">
        <v>1.016</v>
      </c>
      <c r="AH24" s="10" t="s">
        <v>358</v>
      </c>
    </row>
    <row r="25" spans="1:34">
      <c r="A25" s="10" t="s">
        <v>24</v>
      </c>
      <c r="B25" s="10" t="s">
        <v>298</v>
      </c>
      <c r="C25" s="73"/>
      <c r="H25" s="10">
        <v>1.444</v>
      </c>
      <c r="I25" s="10">
        <v>1.7</v>
      </c>
      <c r="T25" s="10">
        <v>0.72299999999999998</v>
      </c>
      <c r="U25" s="10">
        <v>0</v>
      </c>
      <c r="Y25" s="10">
        <v>3.4449999999999998</v>
      </c>
      <c r="AB25" s="10">
        <v>2.8</v>
      </c>
      <c r="AH25" s="10" t="s">
        <v>358</v>
      </c>
    </row>
    <row r="26" spans="1:34">
      <c r="A26" s="10" t="s">
        <v>24</v>
      </c>
      <c r="B26" s="10" t="s">
        <v>299</v>
      </c>
      <c r="C26" s="73"/>
      <c r="G26" s="10">
        <v>0.1</v>
      </c>
      <c r="H26" s="10">
        <v>0.22500000000000001</v>
      </c>
      <c r="V26" s="10">
        <v>0</v>
      </c>
      <c r="Y26" s="10">
        <v>0.265916667</v>
      </c>
      <c r="AA26" s="10">
        <v>0.6</v>
      </c>
      <c r="AH26" s="10" t="s">
        <v>358</v>
      </c>
    </row>
    <row r="27" spans="1:34">
      <c r="A27" s="10" t="s">
        <v>24</v>
      </c>
      <c r="B27" s="10" t="s">
        <v>300</v>
      </c>
      <c r="C27" s="73"/>
      <c r="J27" s="10">
        <v>4.5</v>
      </c>
      <c r="W27" s="10">
        <v>0</v>
      </c>
      <c r="AH27" s="10" t="s">
        <v>358</v>
      </c>
    </row>
    <row r="28" spans="1:34">
      <c r="A28" s="10" t="s">
        <v>24</v>
      </c>
      <c r="B28" s="10" t="s">
        <v>301</v>
      </c>
      <c r="C28" s="73"/>
      <c r="E28" s="10">
        <v>0.6</v>
      </c>
      <c r="O28" s="10">
        <v>0.7</v>
      </c>
      <c r="S28" s="10">
        <v>0.2</v>
      </c>
      <c r="X28" s="10">
        <v>0</v>
      </c>
      <c r="AH28" s="10" t="s">
        <v>358</v>
      </c>
    </row>
    <row r="29" spans="1:34">
      <c r="A29" s="10" t="s">
        <v>24</v>
      </c>
      <c r="B29" s="10" t="s">
        <v>303</v>
      </c>
      <c r="C29" s="73"/>
      <c r="H29" s="10">
        <v>0.61</v>
      </c>
      <c r="I29" s="10">
        <v>2.44</v>
      </c>
      <c r="K29" s="10">
        <v>2.25</v>
      </c>
      <c r="U29" s="10">
        <v>3.6949999999999998</v>
      </c>
      <c r="V29" s="10">
        <v>0.34166666699999998</v>
      </c>
      <c r="Y29" s="10">
        <v>0</v>
      </c>
      <c r="AH29" s="10" t="s">
        <v>358</v>
      </c>
    </row>
    <row r="30" spans="1:34">
      <c r="A30" s="10" t="s">
        <v>24</v>
      </c>
      <c r="B30" s="10" t="s">
        <v>304</v>
      </c>
      <c r="C30" s="73">
        <v>0.95</v>
      </c>
      <c r="N30" s="10">
        <v>1.2</v>
      </c>
      <c r="Q30" s="10">
        <v>0.20300000000000001</v>
      </c>
      <c r="Z30" s="10">
        <v>0</v>
      </c>
      <c r="AH30" s="10" t="s">
        <v>358</v>
      </c>
    </row>
    <row r="31" spans="1:34">
      <c r="A31" s="10" t="s">
        <v>24</v>
      </c>
      <c r="B31" s="10" t="s">
        <v>305</v>
      </c>
      <c r="C31" s="73"/>
      <c r="G31" s="10">
        <v>1.2</v>
      </c>
      <c r="O31" s="10">
        <v>1.3</v>
      </c>
      <c r="V31" s="10">
        <v>0.5</v>
      </c>
      <c r="AA31" s="10">
        <v>0</v>
      </c>
      <c r="AH31" s="10" t="s">
        <v>358</v>
      </c>
    </row>
    <row r="32" spans="1:34">
      <c r="A32" s="10" t="s">
        <v>24</v>
      </c>
      <c r="B32" s="10" t="s">
        <v>307</v>
      </c>
      <c r="C32" s="73"/>
      <c r="I32" s="10">
        <v>1.4</v>
      </c>
      <c r="L32" s="10">
        <v>2</v>
      </c>
      <c r="P32" s="10">
        <v>0.45</v>
      </c>
      <c r="T32" s="10">
        <v>1.016</v>
      </c>
      <c r="U32" s="10">
        <v>2.8</v>
      </c>
      <c r="AB32" s="10">
        <v>0</v>
      </c>
      <c r="AH32" s="10" t="s">
        <v>358</v>
      </c>
    </row>
    <row r="33" spans="1:34">
      <c r="A33" s="10" t="s">
        <v>24</v>
      </c>
      <c r="B33" s="10" t="s">
        <v>308</v>
      </c>
      <c r="C33" s="73"/>
      <c r="K33" s="10">
        <v>0.36499999999999999</v>
      </c>
      <c r="AC33" s="10">
        <v>0</v>
      </c>
      <c r="AE33" s="10">
        <v>0.8</v>
      </c>
      <c r="AH33" s="10" t="s">
        <v>358</v>
      </c>
    </row>
    <row r="34" spans="1:34">
      <c r="A34" s="10" t="s">
        <v>24</v>
      </c>
      <c r="B34" s="10" t="s">
        <v>309</v>
      </c>
      <c r="C34" s="73"/>
      <c r="AD34" s="10">
        <v>0</v>
      </c>
      <c r="AE34" s="10">
        <v>1.5</v>
      </c>
      <c r="AH34" s="10" t="s">
        <v>358</v>
      </c>
    </row>
    <row r="35" spans="1:34">
      <c r="A35" s="10" t="s">
        <v>24</v>
      </c>
      <c r="B35" s="10" t="s">
        <v>310</v>
      </c>
      <c r="AC35" s="10">
        <v>0.75</v>
      </c>
      <c r="AD35" s="10">
        <v>1.45</v>
      </c>
      <c r="AE35" s="10">
        <v>0</v>
      </c>
      <c r="AH35" s="10">
        <v>0</v>
      </c>
    </row>
    <row r="36" spans="1:34">
      <c r="A36" s="10" t="s">
        <v>24</v>
      </c>
      <c r="B36" s="10" t="s">
        <v>356</v>
      </c>
      <c r="E36" s="10">
        <v>1</v>
      </c>
      <c r="M36" s="10">
        <v>1</v>
      </c>
      <c r="AF36" s="10">
        <v>0</v>
      </c>
    </row>
    <row r="37" spans="1:34">
      <c r="A37" s="10" t="s">
        <v>360</v>
      </c>
      <c r="B37" s="10" t="s">
        <v>288</v>
      </c>
      <c r="D37" s="10">
        <v>0</v>
      </c>
      <c r="F37" s="10">
        <v>371.51678804627915</v>
      </c>
      <c r="H37" s="10">
        <v>0</v>
      </c>
      <c r="J37" s="10">
        <v>235.40810302471607</v>
      </c>
      <c r="AH37" s="10">
        <v>606.92489107099527</v>
      </c>
    </row>
    <row r="38" spans="1:34">
      <c r="A38" s="10" t="s">
        <v>360</v>
      </c>
      <c r="B38" s="10" t="s">
        <v>278</v>
      </c>
      <c r="H38" s="10">
        <v>568.68890827667769</v>
      </c>
      <c r="O38" s="10">
        <v>185.05787657716908</v>
      </c>
      <c r="Q38" s="10">
        <v>1633.0419656449774</v>
      </c>
      <c r="Z38" s="10">
        <v>160.50552478957914</v>
      </c>
      <c r="AA38" s="10">
        <v>353.14068885259223</v>
      </c>
      <c r="AH38" s="10">
        <v>2900.4349641409954</v>
      </c>
    </row>
    <row r="39" spans="1:34">
      <c r="A39" s="10" t="s">
        <v>360</v>
      </c>
      <c r="B39" s="10" t="s">
        <v>280</v>
      </c>
      <c r="H39" s="10">
        <v>446.66921274809295</v>
      </c>
      <c r="L39" s="10">
        <v>1241.2427250394119</v>
      </c>
      <c r="R39" s="10">
        <v>54.215199484480067</v>
      </c>
      <c r="T39" s="10">
        <v>560.98464308677785</v>
      </c>
      <c r="AB39" s="10">
        <v>1146.2234543639811</v>
      </c>
      <c r="AH39" s="10">
        <v>3449.3352347227442</v>
      </c>
    </row>
    <row r="40" spans="1:34">
      <c r="A40" s="10" t="s">
        <v>360</v>
      </c>
      <c r="B40" s="10" t="s">
        <v>281</v>
      </c>
      <c r="M40" s="10">
        <v>0</v>
      </c>
      <c r="S40" s="10">
        <v>0</v>
      </c>
      <c r="X40" s="10">
        <v>20.516172857547982</v>
      </c>
      <c r="AF40" s="10">
        <v>0</v>
      </c>
      <c r="AH40" s="10">
        <v>20.516172857547982</v>
      </c>
    </row>
    <row r="41" spans="1:34">
      <c r="A41" s="10" t="s">
        <v>360</v>
      </c>
      <c r="B41" s="10" t="s">
        <v>282</v>
      </c>
      <c r="Q41" s="10">
        <v>888.2223268740338</v>
      </c>
      <c r="AH41" s="10">
        <v>888.2223268740338</v>
      </c>
    </row>
    <row r="42" spans="1:34">
      <c r="A42" s="10" t="s">
        <v>360</v>
      </c>
      <c r="B42" s="10" t="s">
        <v>283</v>
      </c>
      <c r="H42" s="10">
        <v>1575.6649171792574</v>
      </c>
      <c r="V42" s="10">
        <v>39.948041725406362</v>
      </c>
      <c r="AA42" s="10">
        <v>994.13555265225546</v>
      </c>
      <c r="AH42" s="10">
        <v>2609.7485115569189</v>
      </c>
    </row>
    <row r="43" spans="1:34">
      <c r="A43" s="10" t="s">
        <v>360</v>
      </c>
      <c r="B43" s="10" t="s">
        <v>284</v>
      </c>
      <c r="C43" s="10">
        <v>517.04179718883086</v>
      </c>
      <c r="D43" s="10">
        <v>502.48929627457579</v>
      </c>
      <c r="F43" s="10">
        <v>830.33431442033032</v>
      </c>
      <c r="G43" s="10">
        <v>2641.1205504861882</v>
      </c>
      <c r="I43" s="10">
        <v>144.33341612651392</v>
      </c>
      <c r="L43" s="10">
        <v>823.35767427614326</v>
      </c>
      <c r="R43" s="10">
        <v>55.213900527615223</v>
      </c>
      <c r="T43" s="10">
        <v>1329.4266575011015</v>
      </c>
      <c r="V43" s="10">
        <v>303.91899458378793</v>
      </c>
      <c r="AH43" s="10">
        <v>7147.2366013850869</v>
      </c>
    </row>
    <row r="44" spans="1:34">
      <c r="A44" s="10" t="s">
        <v>360</v>
      </c>
      <c r="B44" s="10" t="s">
        <v>285</v>
      </c>
      <c r="H44" s="10">
        <v>129.87108364929608</v>
      </c>
      <c r="T44" s="10">
        <v>564.97944725931859</v>
      </c>
      <c r="Y44" s="10">
        <v>125.55098827984857</v>
      </c>
      <c r="AH44" s="10">
        <v>820.40151918846323</v>
      </c>
    </row>
    <row r="45" spans="1:34">
      <c r="A45" s="10" t="s">
        <v>360</v>
      </c>
      <c r="B45" s="10" t="s">
        <v>308</v>
      </c>
      <c r="AE45" s="10">
        <v>285.343155181474</v>
      </c>
      <c r="AH45" s="10">
        <v>285.343155181474</v>
      </c>
    </row>
    <row r="46" spans="1:34">
      <c r="A46" s="10" t="s">
        <v>360</v>
      </c>
      <c r="B46" s="10" t="s">
        <v>286</v>
      </c>
      <c r="L46" s="10">
        <v>321.01104957915828</v>
      </c>
      <c r="W46" s="10">
        <v>205.44707173066129</v>
      </c>
      <c r="AH46" s="10">
        <v>526.4581213098196</v>
      </c>
    </row>
    <row r="47" spans="1:34">
      <c r="A47" s="10" t="s">
        <v>360</v>
      </c>
      <c r="B47" s="10" t="s">
        <v>290</v>
      </c>
      <c r="O47" s="10">
        <v>108.43039896896013</v>
      </c>
      <c r="AH47" s="10">
        <v>108.43039896896013</v>
      </c>
    </row>
    <row r="48" spans="1:34">
      <c r="A48" s="10" t="s">
        <v>360</v>
      </c>
      <c r="B48" s="10" t="s">
        <v>291</v>
      </c>
      <c r="N48" s="10">
        <v>109.42910001209529</v>
      </c>
      <c r="S48" s="10">
        <v>202.68637670428052</v>
      </c>
      <c r="X48" s="10">
        <v>73.618534036820293</v>
      </c>
      <c r="AH48" s="10">
        <v>385.73401075319612</v>
      </c>
    </row>
    <row r="49" spans="1:34">
      <c r="A49" s="10" t="s">
        <v>360</v>
      </c>
      <c r="B49" s="10" t="s">
        <v>292</v>
      </c>
      <c r="AB49" s="10">
        <v>126.97770405575594</v>
      </c>
      <c r="AH49" s="10">
        <v>126.97770405575594</v>
      </c>
    </row>
    <row r="50" spans="1:34">
      <c r="A50" s="10" t="s">
        <v>360</v>
      </c>
      <c r="B50" s="10" t="s">
        <v>293</v>
      </c>
      <c r="C50" s="10">
        <v>1633.0419656449774</v>
      </c>
      <c r="F50" s="10">
        <v>0</v>
      </c>
      <c r="Z50" s="10">
        <v>40.376056458178574</v>
      </c>
      <c r="AH50" s="10">
        <v>1673.4180221031559</v>
      </c>
    </row>
    <row r="51" spans="1:34">
      <c r="A51" s="10" t="s">
        <v>360</v>
      </c>
      <c r="B51" s="10" t="s">
        <v>309</v>
      </c>
      <c r="AE51" s="10">
        <v>96.160643296156749</v>
      </c>
      <c r="AH51" s="10">
        <v>96.160643296156749</v>
      </c>
    </row>
    <row r="52" spans="1:34">
      <c r="A52" s="10" t="s">
        <v>360</v>
      </c>
      <c r="B52" s="10" t="s">
        <v>310</v>
      </c>
      <c r="AC52" s="10">
        <v>261.08898699104873</v>
      </c>
      <c r="AD52" s="10">
        <v>92.736525433979054</v>
      </c>
      <c r="AH52" s="10">
        <v>353.8255124250278</v>
      </c>
    </row>
    <row r="53" spans="1:34">
      <c r="A53" s="10" t="s">
        <v>360</v>
      </c>
      <c r="B53" s="10" t="s">
        <v>297</v>
      </c>
      <c r="D53" s="10">
        <v>1138.3765175964907</v>
      </c>
      <c r="H53" s="10">
        <v>2629.8277370142218</v>
      </c>
      <c r="AB53" s="10">
        <v>704.79759329824083</v>
      </c>
      <c r="AH53" s="10">
        <v>4473.0018479089531</v>
      </c>
    </row>
    <row r="54" spans="1:34">
      <c r="A54" s="10" t="s">
        <v>360</v>
      </c>
      <c r="B54" s="10" t="s">
        <v>298</v>
      </c>
      <c r="D54" s="10">
        <v>616.12</v>
      </c>
      <c r="H54" s="10">
        <v>2354.98</v>
      </c>
      <c r="L54" s="10">
        <v>800.08</v>
      </c>
      <c r="T54" s="10">
        <v>754.76117977051706</v>
      </c>
      <c r="AB54" s="10">
        <v>2576.8200000000002</v>
      </c>
      <c r="AH54" s="10">
        <v>6844.5524121847575</v>
      </c>
    </row>
    <row r="55" spans="1:34">
      <c r="A55" s="10" t="s">
        <v>360</v>
      </c>
      <c r="B55" s="10" t="s">
        <v>299</v>
      </c>
      <c r="H55" s="10">
        <v>1328.3294560007978</v>
      </c>
      <c r="AH55" s="10">
        <v>1328.3294560007978</v>
      </c>
    </row>
    <row r="56" spans="1:34">
      <c r="A56" s="10" t="s">
        <v>360</v>
      </c>
      <c r="B56" s="10" t="s">
        <v>300</v>
      </c>
      <c r="J56" s="10">
        <v>114.13726207258961</v>
      </c>
      <c r="AH56" s="10">
        <v>114.13726207258961</v>
      </c>
    </row>
    <row r="57" spans="1:34">
      <c r="A57" s="10" t="s">
        <v>360</v>
      </c>
      <c r="B57" s="10" t="s">
        <v>301</v>
      </c>
      <c r="E57" s="10">
        <v>0</v>
      </c>
      <c r="O57" s="10">
        <v>0</v>
      </c>
      <c r="AH57" s="10">
        <v>0</v>
      </c>
    </row>
    <row r="58" spans="1:34">
      <c r="A58" s="10" t="s">
        <v>360</v>
      </c>
      <c r="B58" s="10" t="s">
        <v>357</v>
      </c>
      <c r="S58" s="10">
        <v>20.259364017884653</v>
      </c>
      <c r="AH58" s="10">
        <v>20.259364017884653</v>
      </c>
    </row>
    <row r="59" spans="1:34">
      <c r="A59" s="10" t="s">
        <v>360</v>
      </c>
      <c r="B59" s="10" t="s">
        <v>304</v>
      </c>
      <c r="C59" s="10">
        <v>0</v>
      </c>
      <c r="N59" s="10">
        <v>76.614637166225776</v>
      </c>
      <c r="Q59" s="10">
        <v>30.52414887722653</v>
      </c>
      <c r="AH59" s="10">
        <v>107.13878604345231</v>
      </c>
    </row>
    <row r="60" spans="1:34">
      <c r="A60" s="10" t="s">
        <v>360</v>
      </c>
      <c r="B60" s="10" t="s">
        <v>305</v>
      </c>
      <c r="C60" s="10">
        <v>2196.0009222766239</v>
      </c>
      <c r="G60" s="10">
        <v>741.89220347183243</v>
      </c>
      <c r="O60" s="10">
        <v>181.14296848807925</v>
      </c>
      <c r="AH60" s="10">
        <v>3119.0360942365355</v>
      </c>
    </row>
    <row r="61" spans="1:34">
      <c r="A61" s="10" t="s">
        <v>360</v>
      </c>
      <c r="B61" s="10" t="s">
        <v>356</v>
      </c>
      <c r="M61" s="10">
        <v>0</v>
      </c>
      <c r="AH61" s="10">
        <v>0</v>
      </c>
    </row>
    <row r="62" spans="1:34">
      <c r="A62" s="10" t="s">
        <v>360</v>
      </c>
      <c r="B62" s="10" t="s">
        <v>307</v>
      </c>
      <c r="D62" s="10">
        <v>898.97361039923396</v>
      </c>
      <c r="P62" s="10">
        <v>487.93679536032056</v>
      </c>
      <c r="T62" s="10">
        <v>0</v>
      </c>
      <c r="AH62" s="10">
        <v>1386.9104057595546</v>
      </c>
    </row>
  </sheetData>
  <autoFilter ref="B5:I34" xr:uid="{00000000-0009-0000-0000-00000A000000}"/>
  <conditionalFormatting sqref="AH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:AH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9"/>
  <dimension ref="A1:AN43"/>
  <sheetViews>
    <sheetView topLeftCell="Y31" workbookViewId="0">
      <selection activeCell="C6" sqref="C6:AN43"/>
    </sheetView>
  </sheetViews>
  <sheetFormatPr defaultColWidth="11.42578125" defaultRowHeight="15"/>
  <cols>
    <col min="1" max="1" width="6.42578125" style="1" bestFit="1" customWidth="1"/>
    <col min="2" max="2" width="9" style="1" customWidth="1"/>
    <col min="3" max="3" width="15" style="1" bestFit="1" customWidth="1"/>
    <col min="4" max="4" width="9.42578125" style="1" bestFit="1" customWidth="1"/>
    <col min="5" max="5" width="10.42578125" style="1" bestFit="1" customWidth="1"/>
    <col min="6" max="6" width="11.85546875" style="1" bestFit="1" customWidth="1"/>
    <col min="7" max="7" width="9.42578125" style="1" bestFit="1" customWidth="1"/>
    <col min="8" max="8" width="9.140625" style="1" bestFit="1" customWidth="1"/>
    <col min="9" max="10" width="9.42578125" style="1" bestFit="1" customWidth="1"/>
    <col min="11" max="11" width="9.140625" style="1" bestFit="1" customWidth="1"/>
    <col min="12" max="12" width="9.42578125" style="1" bestFit="1" customWidth="1"/>
    <col min="13" max="13" width="11.5703125" style="1" bestFit="1" customWidth="1"/>
    <col min="14" max="14" width="8.42578125" style="1" bestFit="1" customWidth="1"/>
    <col min="15" max="15" width="9.42578125" style="1" bestFit="1" customWidth="1"/>
    <col min="16" max="16" width="9" style="1" bestFit="1" customWidth="1"/>
    <col min="17" max="17" width="11.85546875" style="1" bestFit="1" customWidth="1"/>
    <col min="18" max="18" width="15" style="1" bestFit="1" customWidth="1"/>
    <col min="19" max="16384" width="11.42578125" style="1"/>
  </cols>
  <sheetData>
    <row r="1" spans="1:40">
      <c r="A1" s="1" t="s">
        <v>403</v>
      </c>
    </row>
    <row r="2" spans="1:40">
      <c r="A2" s="1" t="s">
        <v>404</v>
      </c>
    </row>
    <row r="3" spans="1:40">
      <c r="A3" s="1" t="s">
        <v>405</v>
      </c>
    </row>
    <row r="5" spans="1:40">
      <c r="C5" s="28" t="s">
        <v>277</v>
      </c>
      <c r="D5" s="28" t="s">
        <v>278</v>
      </c>
      <c r="E5" s="28" t="s">
        <v>279</v>
      </c>
      <c r="F5" s="28" t="s">
        <v>280</v>
      </c>
      <c r="G5" s="28" t="s">
        <v>281</v>
      </c>
      <c r="H5" s="28" t="s">
        <v>282</v>
      </c>
      <c r="I5" s="28" t="s">
        <v>283</v>
      </c>
      <c r="J5" s="28" t="s">
        <v>284</v>
      </c>
      <c r="K5" s="28" t="s">
        <v>285</v>
      </c>
      <c r="L5" s="28" t="s">
        <v>286</v>
      </c>
      <c r="M5" s="28" t="s">
        <v>287</v>
      </c>
      <c r="N5" s="28" t="s">
        <v>288</v>
      </c>
      <c r="O5" s="28" t="s">
        <v>289</v>
      </c>
      <c r="P5" s="28" t="s">
        <v>290</v>
      </c>
      <c r="Q5" s="28" t="s">
        <v>291</v>
      </c>
      <c r="R5" s="28" t="s">
        <v>292</v>
      </c>
      <c r="S5" s="28" t="s">
        <v>293</v>
      </c>
      <c r="T5" s="28" t="s">
        <v>294</v>
      </c>
      <c r="U5" s="28" t="s">
        <v>295</v>
      </c>
      <c r="V5" s="28" t="s">
        <v>296</v>
      </c>
      <c r="W5" s="28" t="s">
        <v>297</v>
      </c>
      <c r="X5" s="28" t="s">
        <v>298</v>
      </c>
      <c r="Y5" s="28" t="s">
        <v>299</v>
      </c>
      <c r="Z5" s="28" t="s">
        <v>300</v>
      </c>
      <c r="AA5" s="28" t="s">
        <v>301</v>
      </c>
      <c r="AB5" s="28" t="s">
        <v>302</v>
      </c>
      <c r="AC5" s="28" t="s">
        <v>303</v>
      </c>
      <c r="AD5" s="28" t="s">
        <v>304</v>
      </c>
      <c r="AE5" s="28" t="s">
        <v>305</v>
      </c>
      <c r="AF5" s="28" t="s">
        <v>307</v>
      </c>
      <c r="AG5" s="28" t="s">
        <v>308</v>
      </c>
      <c r="AH5" s="28" t="s">
        <v>309</v>
      </c>
      <c r="AI5" s="28" t="s">
        <v>310</v>
      </c>
      <c r="AJ5" s="28" t="s">
        <v>306</v>
      </c>
      <c r="AK5" s="28" t="s">
        <v>311</v>
      </c>
      <c r="AL5" s="28" t="s">
        <v>312</v>
      </c>
      <c r="AM5" s="1" t="s">
        <v>357</v>
      </c>
      <c r="AN5" s="1" t="s">
        <v>356</v>
      </c>
    </row>
    <row r="6" spans="1:40">
      <c r="A6" s="1" t="s">
        <v>24</v>
      </c>
      <c r="B6" s="28" t="s">
        <v>277</v>
      </c>
      <c r="C6" s="1">
        <v>2.1425000000000001</v>
      </c>
      <c r="D6" s="1">
        <v>2.1425000000000001</v>
      </c>
      <c r="E6" s="1">
        <v>2.1425000000000001</v>
      </c>
      <c r="F6" s="1">
        <v>2.1425000000000001</v>
      </c>
      <c r="G6" s="1">
        <v>2.1425000000000001</v>
      </c>
      <c r="H6" s="1">
        <v>2.1425000000000001</v>
      </c>
      <c r="I6" s="1">
        <v>2.1425000000000001</v>
      </c>
      <c r="J6" s="1">
        <v>2.1425000000000001</v>
      </c>
      <c r="K6" s="1">
        <v>2.1425000000000001</v>
      </c>
      <c r="L6" s="1">
        <v>2.1425000000000001</v>
      </c>
      <c r="M6" s="1">
        <v>2.1425000000000001</v>
      </c>
      <c r="N6" s="1">
        <v>2.1425000000000001</v>
      </c>
      <c r="O6" s="1">
        <v>2.1425000000000001</v>
      </c>
      <c r="P6" s="1">
        <v>2.1425000000000001</v>
      </c>
      <c r="Q6" s="1">
        <v>2.1425000000000001</v>
      </c>
      <c r="R6" s="1">
        <v>2.1425000000000001</v>
      </c>
      <c r="S6" s="1">
        <v>2.1425000000000001</v>
      </c>
      <c r="T6" s="1">
        <v>2.1425000000000001</v>
      </c>
      <c r="U6" s="1">
        <v>2.1425000000000001</v>
      </c>
      <c r="V6" s="1">
        <v>2.1425000000000001</v>
      </c>
      <c r="W6" s="1">
        <v>2.1425000000000001</v>
      </c>
      <c r="X6" s="1">
        <v>2.1425000000000001</v>
      </c>
      <c r="Y6" s="1">
        <v>2.1425000000000001</v>
      </c>
      <c r="Z6" s="1">
        <v>2.1425000000000001</v>
      </c>
      <c r="AA6" s="1">
        <v>2.1425000000000001</v>
      </c>
      <c r="AB6" s="1">
        <v>2.1425000000000001</v>
      </c>
      <c r="AC6" s="1">
        <v>2.1425000000000001</v>
      </c>
      <c r="AD6" s="1">
        <v>2.1425000000000001</v>
      </c>
      <c r="AE6" s="1">
        <v>2.1425000000000001</v>
      </c>
      <c r="AF6" s="1">
        <v>2.1425000000000001</v>
      </c>
      <c r="AG6" s="1">
        <v>2.1425000000000001</v>
      </c>
      <c r="AH6" s="1">
        <v>2.1425000000000001</v>
      </c>
      <c r="AI6" s="1">
        <v>2.1425000000000001</v>
      </c>
      <c r="AJ6" s="1">
        <v>2.1425000000000001</v>
      </c>
      <c r="AK6" s="1">
        <v>2.1425000000000001</v>
      </c>
      <c r="AL6" s="1">
        <v>2.1425000000000001</v>
      </c>
      <c r="AM6" s="1">
        <v>2.1425000000000001</v>
      </c>
      <c r="AN6" s="1">
        <v>2.1425000000000001</v>
      </c>
    </row>
    <row r="7" spans="1:40">
      <c r="A7" s="1" t="s">
        <v>24</v>
      </c>
      <c r="B7" s="28" t="s">
        <v>278</v>
      </c>
      <c r="C7" s="1">
        <v>2.1425000000000001</v>
      </c>
      <c r="D7" s="1">
        <v>2.1425000000000001</v>
      </c>
      <c r="E7" s="1">
        <v>2.1425000000000001</v>
      </c>
      <c r="F7" s="1">
        <v>2.1425000000000001</v>
      </c>
      <c r="G7" s="1">
        <v>2.1425000000000001</v>
      </c>
      <c r="H7" s="1">
        <v>2.1425000000000001</v>
      </c>
      <c r="I7" s="1">
        <v>2.1425000000000001</v>
      </c>
      <c r="J7" s="1">
        <v>2.1425000000000001</v>
      </c>
      <c r="K7" s="1">
        <v>2.1425000000000001</v>
      </c>
      <c r="L7" s="1">
        <v>2.1425000000000001</v>
      </c>
      <c r="M7" s="1">
        <v>2.1425000000000001</v>
      </c>
      <c r="N7" s="1">
        <v>2.1425000000000001</v>
      </c>
      <c r="O7" s="1">
        <v>2.1425000000000001</v>
      </c>
      <c r="P7" s="1">
        <v>2.1425000000000001</v>
      </c>
      <c r="Q7" s="1">
        <v>2.1425000000000001</v>
      </c>
      <c r="R7" s="1">
        <v>2.1425000000000001</v>
      </c>
      <c r="S7" s="1">
        <v>2.1425000000000001</v>
      </c>
      <c r="T7" s="1">
        <v>2.1425000000000001</v>
      </c>
      <c r="U7" s="1">
        <v>2.1425000000000001</v>
      </c>
      <c r="V7" s="1">
        <v>2.1425000000000001</v>
      </c>
      <c r="W7" s="1">
        <v>2.1425000000000001</v>
      </c>
      <c r="X7" s="1">
        <v>2.1425000000000001</v>
      </c>
      <c r="Y7" s="1">
        <v>2.1425000000000001</v>
      </c>
      <c r="Z7" s="1">
        <v>2.1425000000000001</v>
      </c>
      <c r="AA7" s="1">
        <v>2.1425000000000001</v>
      </c>
      <c r="AB7" s="1">
        <v>2.1425000000000001</v>
      </c>
      <c r="AC7" s="1">
        <v>2.1425000000000001</v>
      </c>
      <c r="AD7" s="1">
        <v>2.1425000000000001</v>
      </c>
      <c r="AE7" s="1">
        <v>2.1425000000000001</v>
      </c>
      <c r="AF7" s="1">
        <v>2.1425000000000001</v>
      </c>
      <c r="AG7" s="1">
        <v>2.1425000000000001</v>
      </c>
      <c r="AH7" s="1">
        <v>2.1425000000000001</v>
      </c>
      <c r="AI7" s="1">
        <v>2.1425000000000001</v>
      </c>
      <c r="AJ7" s="1">
        <v>2.1425000000000001</v>
      </c>
      <c r="AK7" s="1">
        <v>2.1425000000000001</v>
      </c>
      <c r="AL7" s="1">
        <v>2.1425000000000001</v>
      </c>
      <c r="AM7" s="1">
        <v>2.1425000000000001</v>
      </c>
      <c r="AN7" s="1">
        <v>2.1425000000000001</v>
      </c>
    </row>
    <row r="8" spans="1:40">
      <c r="A8" s="1" t="s">
        <v>24</v>
      </c>
      <c r="B8" s="28" t="s">
        <v>279</v>
      </c>
      <c r="C8" s="1">
        <v>2.1425000000000001</v>
      </c>
      <c r="D8" s="1">
        <v>2.1425000000000001</v>
      </c>
      <c r="E8" s="1">
        <v>2.1425000000000001</v>
      </c>
      <c r="F8" s="1">
        <v>2.1425000000000001</v>
      </c>
      <c r="G8" s="1">
        <v>2.1425000000000001</v>
      </c>
      <c r="H8" s="1">
        <v>2.1425000000000001</v>
      </c>
      <c r="I8" s="1">
        <v>2.1425000000000001</v>
      </c>
      <c r="J8" s="1">
        <v>2.1425000000000001</v>
      </c>
      <c r="K8" s="1">
        <v>2.1425000000000001</v>
      </c>
      <c r="L8" s="1">
        <v>2.1425000000000001</v>
      </c>
      <c r="M8" s="1">
        <v>2.1425000000000001</v>
      </c>
      <c r="N8" s="1">
        <v>2.1425000000000001</v>
      </c>
      <c r="O8" s="1">
        <v>2.1425000000000001</v>
      </c>
      <c r="P8" s="1">
        <v>2.1425000000000001</v>
      </c>
      <c r="Q8" s="1">
        <v>2.1425000000000001</v>
      </c>
      <c r="R8" s="1">
        <v>2.1425000000000001</v>
      </c>
      <c r="S8" s="1">
        <v>2.1425000000000001</v>
      </c>
      <c r="T8" s="1">
        <v>2.1425000000000001</v>
      </c>
      <c r="U8" s="1">
        <v>2.1425000000000001</v>
      </c>
      <c r="V8" s="1">
        <v>2.1425000000000001</v>
      </c>
      <c r="W8" s="1">
        <v>2.1425000000000001</v>
      </c>
      <c r="X8" s="1">
        <v>2.1425000000000001</v>
      </c>
      <c r="Y8" s="1">
        <v>2.1425000000000001</v>
      </c>
      <c r="Z8" s="1">
        <v>2.1425000000000001</v>
      </c>
      <c r="AA8" s="1">
        <v>2.1425000000000001</v>
      </c>
      <c r="AB8" s="1">
        <v>2.1425000000000001</v>
      </c>
      <c r="AC8" s="1">
        <v>2.1425000000000001</v>
      </c>
      <c r="AD8" s="1">
        <v>2.1425000000000001</v>
      </c>
      <c r="AE8" s="1">
        <v>2.1425000000000001</v>
      </c>
      <c r="AF8" s="1">
        <v>2.1425000000000001</v>
      </c>
      <c r="AG8" s="1">
        <v>2.1425000000000001</v>
      </c>
      <c r="AH8" s="1">
        <v>2.1425000000000001</v>
      </c>
      <c r="AI8" s="1">
        <v>2.1425000000000001</v>
      </c>
      <c r="AJ8" s="1">
        <v>2.1425000000000001</v>
      </c>
      <c r="AK8" s="1">
        <v>2.1425000000000001</v>
      </c>
      <c r="AL8" s="1">
        <v>2.1425000000000001</v>
      </c>
      <c r="AM8" s="1">
        <v>2.1425000000000001</v>
      </c>
      <c r="AN8" s="1">
        <v>2.1425000000000001</v>
      </c>
    </row>
    <row r="9" spans="1:40">
      <c r="A9" s="1" t="s">
        <v>24</v>
      </c>
      <c r="B9" s="28" t="s">
        <v>280</v>
      </c>
      <c r="C9" s="1">
        <v>2.1425000000000001</v>
      </c>
      <c r="D9" s="1">
        <v>2.1425000000000001</v>
      </c>
      <c r="E9" s="1">
        <v>2.1425000000000001</v>
      </c>
      <c r="F9" s="1">
        <v>2.1425000000000001</v>
      </c>
      <c r="G9" s="1">
        <v>2.1425000000000001</v>
      </c>
      <c r="H9" s="1">
        <v>2.1425000000000001</v>
      </c>
      <c r="I9" s="1">
        <v>2.1425000000000001</v>
      </c>
      <c r="J9" s="1">
        <v>2.1425000000000001</v>
      </c>
      <c r="K9" s="1">
        <v>2.1425000000000001</v>
      </c>
      <c r="L9" s="1">
        <v>2.1425000000000001</v>
      </c>
      <c r="M9" s="1">
        <v>2.1425000000000001</v>
      </c>
      <c r="N9" s="1">
        <v>2.1425000000000001</v>
      </c>
      <c r="O9" s="1">
        <v>2.1425000000000001</v>
      </c>
      <c r="P9" s="1">
        <v>2.1425000000000001</v>
      </c>
      <c r="Q9" s="1">
        <v>2.1425000000000001</v>
      </c>
      <c r="R9" s="1">
        <v>2.1425000000000001</v>
      </c>
      <c r="S9" s="1">
        <v>2.1425000000000001</v>
      </c>
      <c r="T9" s="1">
        <v>2.1425000000000001</v>
      </c>
      <c r="U9" s="1">
        <v>2.1425000000000001</v>
      </c>
      <c r="V9" s="1">
        <v>2.1425000000000001</v>
      </c>
      <c r="W9" s="1">
        <v>2.1425000000000001</v>
      </c>
      <c r="X9" s="1">
        <v>2.1425000000000001</v>
      </c>
      <c r="Y9" s="1">
        <v>2.1425000000000001</v>
      </c>
      <c r="Z9" s="1">
        <v>2.1425000000000001</v>
      </c>
      <c r="AA9" s="1">
        <v>2.1425000000000001</v>
      </c>
      <c r="AB9" s="1">
        <v>2.1425000000000001</v>
      </c>
      <c r="AC9" s="1">
        <v>2.1425000000000001</v>
      </c>
      <c r="AD9" s="1">
        <v>2.1425000000000001</v>
      </c>
      <c r="AE9" s="1">
        <v>2.1425000000000001</v>
      </c>
      <c r="AF9" s="1">
        <v>2.1425000000000001</v>
      </c>
      <c r="AG9" s="1">
        <v>2.1425000000000001</v>
      </c>
      <c r="AH9" s="1">
        <v>2.1425000000000001</v>
      </c>
      <c r="AI9" s="1">
        <v>2.1425000000000001</v>
      </c>
      <c r="AJ9" s="1">
        <v>2.1425000000000001</v>
      </c>
      <c r="AK9" s="1">
        <v>2.1425000000000001</v>
      </c>
      <c r="AL9" s="1">
        <v>2.1425000000000001</v>
      </c>
      <c r="AM9" s="1">
        <v>2.1425000000000001</v>
      </c>
      <c r="AN9" s="1">
        <v>2.1425000000000001</v>
      </c>
    </row>
    <row r="10" spans="1:40">
      <c r="A10" s="1" t="s">
        <v>24</v>
      </c>
      <c r="B10" s="28" t="s">
        <v>281</v>
      </c>
      <c r="C10" s="1">
        <v>2.1425000000000001</v>
      </c>
      <c r="D10" s="1">
        <v>2.1425000000000001</v>
      </c>
      <c r="E10" s="1">
        <v>2.1425000000000001</v>
      </c>
      <c r="F10" s="1">
        <v>2.1425000000000001</v>
      </c>
      <c r="G10" s="1">
        <v>2.1425000000000001</v>
      </c>
      <c r="H10" s="1">
        <v>2.1425000000000001</v>
      </c>
      <c r="I10" s="1">
        <v>2.1425000000000001</v>
      </c>
      <c r="J10" s="1">
        <v>2.1425000000000001</v>
      </c>
      <c r="K10" s="1">
        <v>2.1425000000000001</v>
      </c>
      <c r="L10" s="1">
        <v>2.1425000000000001</v>
      </c>
      <c r="M10" s="1">
        <v>2.1425000000000001</v>
      </c>
      <c r="N10" s="1">
        <v>2.1425000000000001</v>
      </c>
      <c r="O10" s="1">
        <v>2.1425000000000001</v>
      </c>
      <c r="P10" s="1">
        <v>2.1425000000000001</v>
      </c>
      <c r="Q10" s="1">
        <v>2.1425000000000001</v>
      </c>
      <c r="R10" s="1">
        <v>2.1425000000000001</v>
      </c>
      <c r="S10" s="1">
        <v>2.1425000000000001</v>
      </c>
      <c r="T10" s="1">
        <v>2.1425000000000001</v>
      </c>
      <c r="U10" s="1">
        <v>2.1425000000000001</v>
      </c>
      <c r="V10" s="1">
        <v>2.1425000000000001</v>
      </c>
      <c r="W10" s="1">
        <v>2.1425000000000001</v>
      </c>
      <c r="X10" s="1">
        <v>2.1425000000000001</v>
      </c>
      <c r="Y10" s="1">
        <v>2.1425000000000001</v>
      </c>
      <c r="Z10" s="1">
        <v>2.1425000000000001</v>
      </c>
      <c r="AA10" s="1">
        <v>2.1425000000000001</v>
      </c>
      <c r="AB10" s="1">
        <v>2.1425000000000001</v>
      </c>
      <c r="AC10" s="1">
        <v>2.1425000000000001</v>
      </c>
      <c r="AD10" s="1">
        <v>2.1425000000000001</v>
      </c>
      <c r="AE10" s="1">
        <v>2.1425000000000001</v>
      </c>
      <c r="AF10" s="1">
        <v>2.1425000000000001</v>
      </c>
      <c r="AG10" s="1">
        <v>2.1425000000000001</v>
      </c>
      <c r="AH10" s="1">
        <v>2.1425000000000001</v>
      </c>
      <c r="AI10" s="1">
        <v>2.1425000000000001</v>
      </c>
      <c r="AJ10" s="1">
        <v>2.1425000000000001</v>
      </c>
      <c r="AK10" s="1">
        <v>2.1425000000000001</v>
      </c>
      <c r="AL10" s="1">
        <v>2.1425000000000001</v>
      </c>
      <c r="AM10" s="1">
        <v>2.1425000000000001</v>
      </c>
      <c r="AN10" s="1">
        <v>2.1425000000000001</v>
      </c>
    </row>
    <row r="11" spans="1:40">
      <c r="A11" s="1" t="s">
        <v>24</v>
      </c>
      <c r="B11" s="28" t="s">
        <v>282</v>
      </c>
      <c r="C11" s="1">
        <v>2.1425000000000001</v>
      </c>
      <c r="D11" s="1">
        <v>2.1425000000000001</v>
      </c>
      <c r="E11" s="1">
        <v>2.1425000000000001</v>
      </c>
      <c r="F11" s="1">
        <v>2.1425000000000001</v>
      </c>
      <c r="G11" s="1">
        <v>2.1425000000000001</v>
      </c>
      <c r="H11" s="1">
        <v>2.1425000000000001</v>
      </c>
      <c r="I11" s="1">
        <v>2.1425000000000001</v>
      </c>
      <c r="J11" s="1">
        <v>2.1425000000000001</v>
      </c>
      <c r="K11" s="1">
        <v>2.1425000000000001</v>
      </c>
      <c r="L11" s="1">
        <v>2.1425000000000001</v>
      </c>
      <c r="M11" s="1">
        <v>2.1425000000000001</v>
      </c>
      <c r="N11" s="1">
        <v>2.1425000000000001</v>
      </c>
      <c r="O11" s="1">
        <v>2.1425000000000001</v>
      </c>
      <c r="P11" s="1">
        <v>2.1425000000000001</v>
      </c>
      <c r="Q11" s="1">
        <v>2.1425000000000001</v>
      </c>
      <c r="R11" s="1">
        <v>2.1425000000000001</v>
      </c>
      <c r="S11" s="1">
        <v>2.1425000000000001</v>
      </c>
      <c r="T11" s="1">
        <v>2.1425000000000001</v>
      </c>
      <c r="U11" s="1">
        <v>2.1425000000000001</v>
      </c>
      <c r="V11" s="1">
        <v>2.1425000000000001</v>
      </c>
      <c r="W11" s="1">
        <v>2.1425000000000001</v>
      </c>
      <c r="X11" s="1">
        <v>2.1425000000000001</v>
      </c>
      <c r="Y11" s="1">
        <v>2.1425000000000001</v>
      </c>
      <c r="Z11" s="1">
        <v>2.1425000000000001</v>
      </c>
      <c r="AA11" s="1">
        <v>2.1425000000000001</v>
      </c>
      <c r="AB11" s="1">
        <v>2.1425000000000001</v>
      </c>
      <c r="AC11" s="1">
        <v>2.1425000000000001</v>
      </c>
      <c r="AD11" s="1">
        <v>2.1425000000000001</v>
      </c>
      <c r="AE11" s="1">
        <v>2.1425000000000001</v>
      </c>
      <c r="AF11" s="1">
        <v>2.1425000000000001</v>
      </c>
      <c r="AG11" s="1">
        <v>2.1425000000000001</v>
      </c>
      <c r="AH11" s="1">
        <v>2.1425000000000001</v>
      </c>
      <c r="AI11" s="1">
        <v>2.1425000000000001</v>
      </c>
      <c r="AJ11" s="1">
        <v>2.1425000000000001</v>
      </c>
      <c r="AK11" s="1">
        <v>2.1425000000000001</v>
      </c>
      <c r="AL11" s="1">
        <v>2.1425000000000001</v>
      </c>
      <c r="AM11" s="1">
        <v>2.1425000000000001</v>
      </c>
      <c r="AN11" s="1">
        <v>2.1425000000000001</v>
      </c>
    </row>
    <row r="12" spans="1:40">
      <c r="A12" s="1" t="s">
        <v>24</v>
      </c>
      <c r="B12" s="28" t="s">
        <v>283</v>
      </c>
      <c r="C12" s="1">
        <v>2.1425000000000001</v>
      </c>
      <c r="D12" s="1">
        <v>2.1425000000000001</v>
      </c>
      <c r="E12" s="1">
        <v>2.1425000000000001</v>
      </c>
      <c r="F12" s="1">
        <v>2.1425000000000001</v>
      </c>
      <c r="G12" s="1">
        <v>2.1425000000000001</v>
      </c>
      <c r="H12" s="1">
        <v>2.1425000000000001</v>
      </c>
      <c r="I12" s="1">
        <v>2.1425000000000001</v>
      </c>
      <c r="J12" s="1">
        <v>2.1425000000000001</v>
      </c>
      <c r="K12" s="1">
        <v>2.1425000000000001</v>
      </c>
      <c r="L12" s="1">
        <v>2.1425000000000001</v>
      </c>
      <c r="M12" s="1">
        <v>2.1425000000000001</v>
      </c>
      <c r="N12" s="1">
        <v>2.1425000000000001</v>
      </c>
      <c r="O12" s="1">
        <v>2.1425000000000001</v>
      </c>
      <c r="P12" s="1">
        <v>2.1425000000000001</v>
      </c>
      <c r="Q12" s="1">
        <v>2.1425000000000001</v>
      </c>
      <c r="R12" s="1">
        <v>2.1425000000000001</v>
      </c>
      <c r="S12" s="1">
        <v>2.1425000000000001</v>
      </c>
      <c r="T12" s="1">
        <v>2.1425000000000001</v>
      </c>
      <c r="U12" s="1">
        <v>2.1425000000000001</v>
      </c>
      <c r="V12" s="1">
        <v>2.1425000000000001</v>
      </c>
      <c r="W12" s="1">
        <v>2.1425000000000001</v>
      </c>
      <c r="X12" s="1">
        <v>2.1425000000000001</v>
      </c>
      <c r="Y12" s="1">
        <v>2.1425000000000001</v>
      </c>
      <c r="Z12" s="1">
        <v>2.1425000000000001</v>
      </c>
      <c r="AA12" s="1">
        <v>2.1425000000000001</v>
      </c>
      <c r="AB12" s="1">
        <v>2.1425000000000001</v>
      </c>
      <c r="AC12" s="1">
        <v>2.1425000000000001</v>
      </c>
      <c r="AD12" s="1">
        <v>2.1425000000000001</v>
      </c>
      <c r="AE12" s="1">
        <v>2.1425000000000001</v>
      </c>
      <c r="AF12" s="1">
        <v>2.1425000000000001</v>
      </c>
      <c r="AG12" s="1">
        <v>2.1425000000000001</v>
      </c>
      <c r="AH12" s="1">
        <v>2.1425000000000001</v>
      </c>
      <c r="AI12" s="1">
        <v>2.1425000000000001</v>
      </c>
      <c r="AJ12" s="1">
        <v>2.1425000000000001</v>
      </c>
      <c r="AK12" s="1">
        <v>2.1425000000000001</v>
      </c>
      <c r="AL12" s="1">
        <v>2.1425000000000001</v>
      </c>
      <c r="AM12" s="1">
        <v>2.1425000000000001</v>
      </c>
      <c r="AN12" s="1">
        <v>2.1425000000000001</v>
      </c>
    </row>
    <row r="13" spans="1:40">
      <c r="A13" s="1" t="s">
        <v>24</v>
      </c>
      <c r="B13" s="28" t="s">
        <v>284</v>
      </c>
      <c r="C13" s="1">
        <v>2.1425000000000001</v>
      </c>
      <c r="D13" s="1">
        <v>2.1425000000000001</v>
      </c>
      <c r="E13" s="1">
        <v>2.1425000000000001</v>
      </c>
      <c r="F13" s="1">
        <v>2.1425000000000001</v>
      </c>
      <c r="G13" s="1">
        <v>2.1425000000000001</v>
      </c>
      <c r="H13" s="1">
        <v>2.1425000000000001</v>
      </c>
      <c r="I13" s="1">
        <v>2.1425000000000001</v>
      </c>
      <c r="J13" s="1">
        <v>2.1425000000000001</v>
      </c>
      <c r="K13" s="1">
        <v>2.1425000000000001</v>
      </c>
      <c r="L13" s="1">
        <v>2.1425000000000001</v>
      </c>
      <c r="M13" s="1">
        <v>2.1425000000000001</v>
      </c>
      <c r="N13" s="1">
        <v>2.1425000000000001</v>
      </c>
      <c r="O13" s="1">
        <v>2.1425000000000001</v>
      </c>
      <c r="P13" s="1">
        <v>2.1425000000000001</v>
      </c>
      <c r="Q13" s="1">
        <v>2.1425000000000001</v>
      </c>
      <c r="R13" s="1">
        <v>2.1425000000000001</v>
      </c>
      <c r="S13" s="1">
        <v>2.1425000000000001</v>
      </c>
      <c r="T13" s="1">
        <v>2.1425000000000001</v>
      </c>
      <c r="U13" s="1">
        <v>2.1425000000000001</v>
      </c>
      <c r="V13" s="1">
        <v>2.1425000000000001</v>
      </c>
      <c r="W13" s="1">
        <v>2.1425000000000001</v>
      </c>
      <c r="X13" s="1">
        <v>2.1425000000000001</v>
      </c>
      <c r="Y13" s="1">
        <v>2.1425000000000001</v>
      </c>
      <c r="Z13" s="1">
        <v>2.1425000000000001</v>
      </c>
      <c r="AA13" s="1">
        <v>2.1425000000000001</v>
      </c>
      <c r="AB13" s="1">
        <v>2.1425000000000001</v>
      </c>
      <c r="AC13" s="1">
        <v>2.1425000000000001</v>
      </c>
      <c r="AD13" s="1">
        <v>2.1425000000000001</v>
      </c>
      <c r="AE13" s="1">
        <v>2.1425000000000001</v>
      </c>
      <c r="AF13" s="1">
        <v>2.1425000000000001</v>
      </c>
      <c r="AG13" s="1">
        <v>2.1425000000000001</v>
      </c>
      <c r="AH13" s="1">
        <v>2.1425000000000001</v>
      </c>
      <c r="AI13" s="1">
        <v>2.1425000000000001</v>
      </c>
      <c r="AJ13" s="1">
        <v>2.1425000000000001</v>
      </c>
      <c r="AK13" s="1">
        <v>2.1425000000000001</v>
      </c>
      <c r="AL13" s="1">
        <v>2.1425000000000001</v>
      </c>
      <c r="AM13" s="1">
        <v>2.1425000000000001</v>
      </c>
      <c r="AN13" s="1">
        <v>2.1425000000000001</v>
      </c>
    </row>
    <row r="14" spans="1:40">
      <c r="A14" s="1" t="s">
        <v>24</v>
      </c>
      <c r="B14" s="28" t="s">
        <v>285</v>
      </c>
      <c r="C14" s="1">
        <v>2.1425000000000001</v>
      </c>
      <c r="D14" s="1">
        <v>2.1425000000000001</v>
      </c>
      <c r="E14" s="1">
        <v>2.1425000000000001</v>
      </c>
      <c r="F14" s="1">
        <v>2.1425000000000001</v>
      </c>
      <c r="G14" s="1">
        <v>2.1425000000000001</v>
      </c>
      <c r="H14" s="1">
        <v>2.1425000000000001</v>
      </c>
      <c r="I14" s="1">
        <v>2.1425000000000001</v>
      </c>
      <c r="J14" s="1">
        <v>2.1425000000000001</v>
      </c>
      <c r="K14" s="1">
        <v>2.1425000000000001</v>
      </c>
      <c r="L14" s="1">
        <v>2.1425000000000001</v>
      </c>
      <c r="M14" s="1">
        <v>2.1425000000000001</v>
      </c>
      <c r="N14" s="1">
        <v>2.1425000000000001</v>
      </c>
      <c r="O14" s="1">
        <v>2.1425000000000001</v>
      </c>
      <c r="P14" s="1">
        <v>2.1425000000000001</v>
      </c>
      <c r="Q14" s="1">
        <v>2.1425000000000001</v>
      </c>
      <c r="R14" s="1">
        <v>2.1425000000000001</v>
      </c>
      <c r="S14" s="1">
        <v>2.1425000000000001</v>
      </c>
      <c r="T14" s="1">
        <v>2.1425000000000001</v>
      </c>
      <c r="U14" s="1">
        <v>2.1425000000000001</v>
      </c>
      <c r="V14" s="1">
        <v>2.1425000000000001</v>
      </c>
      <c r="W14" s="1">
        <v>2.1425000000000001</v>
      </c>
      <c r="X14" s="1">
        <v>2.1425000000000001</v>
      </c>
      <c r="Y14" s="1">
        <v>2.1425000000000001</v>
      </c>
      <c r="Z14" s="1">
        <v>2.1425000000000001</v>
      </c>
      <c r="AA14" s="1">
        <v>2.1425000000000001</v>
      </c>
      <c r="AB14" s="1">
        <v>2.1425000000000001</v>
      </c>
      <c r="AC14" s="1">
        <v>2.1425000000000001</v>
      </c>
      <c r="AD14" s="1">
        <v>2.1425000000000001</v>
      </c>
      <c r="AE14" s="1">
        <v>2.1425000000000001</v>
      </c>
      <c r="AF14" s="1">
        <v>2.1425000000000001</v>
      </c>
      <c r="AG14" s="1">
        <v>2.1425000000000001</v>
      </c>
      <c r="AH14" s="1">
        <v>2.1425000000000001</v>
      </c>
      <c r="AI14" s="1">
        <v>2.1425000000000001</v>
      </c>
      <c r="AJ14" s="1">
        <v>2.1425000000000001</v>
      </c>
      <c r="AK14" s="1">
        <v>2.1425000000000001</v>
      </c>
      <c r="AL14" s="1">
        <v>2.1425000000000001</v>
      </c>
      <c r="AM14" s="1">
        <v>2.1425000000000001</v>
      </c>
      <c r="AN14" s="1">
        <v>2.1425000000000001</v>
      </c>
    </row>
    <row r="15" spans="1:40">
      <c r="A15" s="1" t="s">
        <v>24</v>
      </c>
      <c r="B15" s="28" t="s">
        <v>286</v>
      </c>
      <c r="C15" s="1">
        <v>2.1425000000000001</v>
      </c>
      <c r="D15" s="1">
        <v>2.1425000000000001</v>
      </c>
      <c r="E15" s="1">
        <v>2.1425000000000001</v>
      </c>
      <c r="F15" s="1">
        <v>2.1425000000000001</v>
      </c>
      <c r="G15" s="1">
        <v>2.1425000000000001</v>
      </c>
      <c r="H15" s="1">
        <v>2.1425000000000001</v>
      </c>
      <c r="I15" s="1">
        <v>2.1425000000000001</v>
      </c>
      <c r="J15" s="1">
        <v>2.1425000000000001</v>
      </c>
      <c r="K15" s="1">
        <v>2.1425000000000001</v>
      </c>
      <c r="L15" s="1">
        <v>2.1425000000000001</v>
      </c>
      <c r="M15" s="1">
        <v>2.1425000000000001</v>
      </c>
      <c r="N15" s="1">
        <v>2.1425000000000001</v>
      </c>
      <c r="O15" s="1">
        <v>2.1425000000000001</v>
      </c>
      <c r="P15" s="1">
        <v>2.1425000000000001</v>
      </c>
      <c r="Q15" s="1">
        <v>2.1425000000000001</v>
      </c>
      <c r="R15" s="1">
        <v>2.1425000000000001</v>
      </c>
      <c r="S15" s="1">
        <v>2.1425000000000001</v>
      </c>
      <c r="T15" s="1">
        <v>2.1425000000000001</v>
      </c>
      <c r="U15" s="1">
        <v>2.1425000000000001</v>
      </c>
      <c r="V15" s="1">
        <v>2.1425000000000001</v>
      </c>
      <c r="W15" s="1">
        <v>2.1425000000000001</v>
      </c>
      <c r="X15" s="1">
        <v>2.1425000000000001</v>
      </c>
      <c r="Y15" s="1">
        <v>2.1425000000000001</v>
      </c>
      <c r="Z15" s="1">
        <v>2.1425000000000001</v>
      </c>
      <c r="AA15" s="1">
        <v>2.1425000000000001</v>
      </c>
      <c r="AB15" s="1">
        <v>2.1425000000000001</v>
      </c>
      <c r="AC15" s="1">
        <v>2.1425000000000001</v>
      </c>
      <c r="AD15" s="1">
        <v>2.1425000000000001</v>
      </c>
      <c r="AE15" s="1">
        <v>2.1425000000000001</v>
      </c>
      <c r="AF15" s="1">
        <v>2.1425000000000001</v>
      </c>
      <c r="AG15" s="1">
        <v>2.1425000000000001</v>
      </c>
      <c r="AH15" s="1">
        <v>2.1425000000000001</v>
      </c>
      <c r="AI15" s="1">
        <v>2.1425000000000001</v>
      </c>
      <c r="AJ15" s="1">
        <v>2.1425000000000001</v>
      </c>
      <c r="AK15" s="1">
        <v>2.1425000000000001</v>
      </c>
      <c r="AL15" s="1">
        <v>2.1425000000000001</v>
      </c>
      <c r="AM15" s="1">
        <v>2.1425000000000001</v>
      </c>
      <c r="AN15" s="1">
        <v>2.1425000000000001</v>
      </c>
    </row>
    <row r="16" spans="1:40">
      <c r="A16" s="1" t="s">
        <v>24</v>
      </c>
      <c r="B16" s="28" t="s">
        <v>287</v>
      </c>
      <c r="C16" s="1">
        <v>2.1425000000000001</v>
      </c>
      <c r="D16" s="1">
        <v>2.1425000000000001</v>
      </c>
      <c r="E16" s="1">
        <v>2.1425000000000001</v>
      </c>
      <c r="F16" s="1">
        <v>2.1425000000000001</v>
      </c>
      <c r="G16" s="1">
        <v>2.1425000000000001</v>
      </c>
      <c r="H16" s="1">
        <v>2.1425000000000001</v>
      </c>
      <c r="I16" s="1">
        <v>2.1425000000000001</v>
      </c>
      <c r="J16" s="1">
        <v>2.1425000000000001</v>
      </c>
      <c r="K16" s="1">
        <v>2.1425000000000001</v>
      </c>
      <c r="L16" s="1">
        <v>2.1425000000000001</v>
      </c>
      <c r="M16" s="1">
        <v>2.1425000000000001</v>
      </c>
      <c r="N16" s="1">
        <v>2.1425000000000001</v>
      </c>
      <c r="O16" s="1">
        <v>2.1425000000000001</v>
      </c>
      <c r="P16" s="1">
        <v>2.1425000000000001</v>
      </c>
      <c r="Q16" s="1">
        <v>2.1425000000000001</v>
      </c>
      <c r="R16" s="1">
        <v>2.1425000000000001</v>
      </c>
      <c r="S16" s="1">
        <v>2.1425000000000001</v>
      </c>
      <c r="T16" s="1">
        <v>2.1425000000000001</v>
      </c>
      <c r="U16" s="1">
        <v>2.1425000000000001</v>
      </c>
      <c r="V16" s="1">
        <v>2.1425000000000001</v>
      </c>
      <c r="W16" s="1">
        <v>2.1425000000000001</v>
      </c>
      <c r="X16" s="1">
        <v>2.1425000000000001</v>
      </c>
      <c r="Y16" s="1">
        <v>2.1425000000000001</v>
      </c>
      <c r="Z16" s="1">
        <v>2.1425000000000001</v>
      </c>
      <c r="AA16" s="1">
        <v>2.1425000000000001</v>
      </c>
      <c r="AB16" s="1">
        <v>2.1425000000000001</v>
      </c>
      <c r="AC16" s="1">
        <v>2.1425000000000001</v>
      </c>
      <c r="AD16" s="1">
        <v>2.1425000000000001</v>
      </c>
      <c r="AE16" s="1">
        <v>2.1425000000000001</v>
      </c>
      <c r="AF16" s="1">
        <v>2.1425000000000001</v>
      </c>
      <c r="AG16" s="1">
        <v>2.1425000000000001</v>
      </c>
      <c r="AH16" s="1">
        <v>2.1425000000000001</v>
      </c>
      <c r="AI16" s="1">
        <v>2.1425000000000001</v>
      </c>
      <c r="AJ16" s="1">
        <v>2.1425000000000001</v>
      </c>
      <c r="AK16" s="1">
        <v>2.1425000000000001</v>
      </c>
      <c r="AL16" s="1">
        <v>2.1425000000000001</v>
      </c>
      <c r="AM16" s="1">
        <v>2.1425000000000001</v>
      </c>
      <c r="AN16" s="1">
        <v>2.1425000000000001</v>
      </c>
    </row>
    <row r="17" spans="1:40">
      <c r="A17" s="1" t="s">
        <v>24</v>
      </c>
      <c r="B17" s="28" t="s">
        <v>288</v>
      </c>
      <c r="C17" s="1">
        <v>2.1425000000000001</v>
      </c>
      <c r="D17" s="1">
        <v>2.1425000000000001</v>
      </c>
      <c r="E17" s="1">
        <v>2.1425000000000001</v>
      </c>
      <c r="F17" s="1">
        <v>2.1425000000000001</v>
      </c>
      <c r="G17" s="1">
        <v>2.1425000000000001</v>
      </c>
      <c r="H17" s="1">
        <v>2.1425000000000001</v>
      </c>
      <c r="I17" s="1">
        <v>2.1425000000000001</v>
      </c>
      <c r="J17" s="1">
        <v>2.1425000000000001</v>
      </c>
      <c r="K17" s="1">
        <v>2.1425000000000001</v>
      </c>
      <c r="L17" s="1">
        <v>2.1425000000000001</v>
      </c>
      <c r="M17" s="1">
        <v>2.1425000000000001</v>
      </c>
      <c r="N17" s="1">
        <v>2.1425000000000001</v>
      </c>
      <c r="O17" s="1">
        <v>2.1425000000000001</v>
      </c>
      <c r="P17" s="1">
        <v>2.1425000000000001</v>
      </c>
      <c r="Q17" s="1">
        <v>2.1425000000000001</v>
      </c>
      <c r="R17" s="1">
        <v>2.1425000000000001</v>
      </c>
      <c r="S17" s="1">
        <v>2.1425000000000001</v>
      </c>
      <c r="T17" s="1">
        <v>2.1425000000000001</v>
      </c>
      <c r="U17" s="1">
        <v>2.1425000000000001</v>
      </c>
      <c r="V17" s="1">
        <v>2.1425000000000001</v>
      </c>
      <c r="W17" s="1">
        <v>2.1425000000000001</v>
      </c>
      <c r="X17" s="1">
        <v>2.1425000000000001</v>
      </c>
      <c r="Y17" s="1">
        <v>2.1425000000000001</v>
      </c>
      <c r="Z17" s="1">
        <v>2.1425000000000001</v>
      </c>
      <c r="AA17" s="1">
        <v>2.1425000000000001</v>
      </c>
      <c r="AB17" s="1">
        <v>2.1425000000000001</v>
      </c>
      <c r="AC17" s="1">
        <v>2.1425000000000001</v>
      </c>
      <c r="AD17" s="1">
        <v>2.1425000000000001</v>
      </c>
      <c r="AE17" s="1">
        <v>2.1425000000000001</v>
      </c>
      <c r="AF17" s="1">
        <v>2.1425000000000001</v>
      </c>
      <c r="AG17" s="1">
        <v>2.1425000000000001</v>
      </c>
      <c r="AH17" s="1">
        <v>2.1425000000000001</v>
      </c>
      <c r="AI17" s="1">
        <v>2.1425000000000001</v>
      </c>
      <c r="AJ17" s="1">
        <v>2.1425000000000001</v>
      </c>
      <c r="AK17" s="1">
        <v>2.1425000000000001</v>
      </c>
      <c r="AL17" s="1">
        <v>2.1425000000000001</v>
      </c>
      <c r="AM17" s="1">
        <v>2.1425000000000001</v>
      </c>
      <c r="AN17" s="1">
        <v>2.1425000000000001</v>
      </c>
    </row>
    <row r="18" spans="1:40">
      <c r="A18" s="1" t="s">
        <v>24</v>
      </c>
      <c r="B18" s="28" t="s">
        <v>289</v>
      </c>
      <c r="C18" s="1">
        <v>2.1425000000000001</v>
      </c>
      <c r="D18" s="1">
        <v>2.1425000000000001</v>
      </c>
      <c r="E18" s="1">
        <v>2.1425000000000001</v>
      </c>
      <c r="F18" s="1">
        <v>2.1425000000000001</v>
      </c>
      <c r="G18" s="1">
        <v>2.1425000000000001</v>
      </c>
      <c r="H18" s="1">
        <v>2.1425000000000001</v>
      </c>
      <c r="I18" s="1">
        <v>2.1425000000000001</v>
      </c>
      <c r="J18" s="1">
        <v>2.1425000000000001</v>
      </c>
      <c r="K18" s="1">
        <v>2.1425000000000001</v>
      </c>
      <c r="L18" s="1">
        <v>2.1425000000000001</v>
      </c>
      <c r="M18" s="1">
        <v>2.1425000000000001</v>
      </c>
      <c r="N18" s="1">
        <v>2.1425000000000001</v>
      </c>
      <c r="O18" s="1">
        <v>2.1425000000000001</v>
      </c>
      <c r="P18" s="1">
        <v>2.1425000000000001</v>
      </c>
      <c r="Q18" s="1">
        <v>2.1425000000000001</v>
      </c>
      <c r="R18" s="1">
        <v>2.1425000000000001</v>
      </c>
      <c r="S18" s="1">
        <v>2.1425000000000001</v>
      </c>
      <c r="T18" s="1">
        <v>2.1425000000000001</v>
      </c>
      <c r="U18" s="1">
        <v>2.1425000000000001</v>
      </c>
      <c r="V18" s="1">
        <v>2.1425000000000001</v>
      </c>
      <c r="W18" s="1">
        <v>2.1425000000000001</v>
      </c>
      <c r="X18" s="1">
        <v>2.1425000000000001</v>
      </c>
      <c r="Y18" s="1">
        <v>2.1425000000000001</v>
      </c>
      <c r="Z18" s="1">
        <v>2.1425000000000001</v>
      </c>
      <c r="AA18" s="1">
        <v>2.1425000000000001</v>
      </c>
      <c r="AB18" s="1">
        <v>2.1425000000000001</v>
      </c>
      <c r="AC18" s="1">
        <v>2.1425000000000001</v>
      </c>
      <c r="AD18" s="1">
        <v>2.1425000000000001</v>
      </c>
      <c r="AE18" s="1">
        <v>2.1425000000000001</v>
      </c>
      <c r="AF18" s="1">
        <v>2.1425000000000001</v>
      </c>
      <c r="AG18" s="1">
        <v>2.1425000000000001</v>
      </c>
      <c r="AH18" s="1">
        <v>2.1425000000000001</v>
      </c>
      <c r="AI18" s="1">
        <v>2.1425000000000001</v>
      </c>
      <c r="AJ18" s="1">
        <v>2.1425000000000001</v>
      </c>
      <c r="AK18" s="1">
        <v>2.1425000000000001</v>
      </c>
      <c r="AL18" s="1">
        <v>2.1425000000000001</v>
      </c>
      <c r="AM18" s="1">
        <v>2.1425000000000001</v>
      </c>
      <c r="AN18" s="1">
        <v>2.1425000000000001</v>
      </c>
    </row>
    <row r="19" spans="1:40">
      <c r="A19" s="1" t="s">
        <v>24</v>
      </c>
      <c r="B19" s="28" t="s">
        <v>290</v>
      </c>
      <c r="C19" s="1">
        <v>2.1425000000000001</v>
      </c>
      <c r="D19" s="1">
        <v>2.1425000000000001</v>
      </c>
      <c r="E19" s="1">
        <v>2.1425000000000001</v>
      </c>
      <c r="F19" s="1">
        <v>2.1425000000000001</v>
      </c>
      <c r="G19" s="1">
        <v>2.1425000000000001</v>
      </c>
      <c r="H19" s="1">
        <v>2.1425000000000001</v>
      </c>
      <c r="I19" s="1">
        <v>2.1425000000000001</v>
      </c>
      <c r="J19" s="1">
        <v>2.1425000000000001</v>
      </c>
      <c r="K19" s="1">
        <v>2.1425000000000001</v>
      </c>
      <c r="L19" s="1">
        <v>2.1425000000000001</v>
      </c>
      <c r="M19" s="1">
        <v>2.1425000000000001</v>
      </c>
      <c r="N19" s="1">
        <v>2.1425000000000001</v>
      </c>
      <c r="O19" s="1">
        <v>2.1425000000000001</v>
      </c>
      <c r="P19" s="1">
        <v>2.1425000000000001</v>
      </c>
      <c r="Q19" s="1">
        <v>2.1425000000000001</v>
      </c>
      <c r="R19" s="1">
        <v>2.1425000000000001</v>
      </c>
      <c r="S19" s="1">
        <v>2.1425000000000001</v>
      </c>
      <c r="T19" s="1">
        <v>2.1425000000000001</v>
      </c>
      <c r="U19" s="1">
        <v>2.1425000000000001</v>
      </c>
      <c r="V19" s="1">
        <v>2.1425000000000001</v>
      </c>
      <c r="W19" s="1">
        <v>2.1425000000000001</v>
      </c>
      <c r="X19" s="1">
        <v>2.1425000000000001</v>
      </c>
      <c r="Y19" s="1">
        <v>2.1425000000000001</v>
      </c>
      <c r="Z19" s="1">
        <v>2.1425000000000001</v>
      </c>
      <c r="AA19" s="1">
        <v>2.1425000000000001</v>
      </c>
      <c r="AB19" s="1">
        <v>2.1425000000000001</v>
      </c>
      <c r="AC19" s="1">
        <v>2.1425000000000001</v>
      </c>
      <c r="AD19" s="1">
        <v>2.1425000000000001</v>
      </c>
      <c r="AE19" s="1">
        <v>2.1425000000000001</v>
      </c>
      <c r="AF19" s="1">
        <v>2.1425000000000001</v>
      </c>
      <c r="AG19" s="1">
        <v>2.1425000000000001</v>
      </c>
      <c r="AH19" s="1">
        <v>2.1425000000000001</v>
      </c>
      <c r="AI19" s="1">
        <v>2.1425000000000001</v>
      </c>
      <c r="AJ19" s="1">
        <v>2.1425000000000001</v>
      </c>
      <c r="AK19" s="1">
        <v>2.1425000000000001</v>
      </c>
      <c r="AL19" s="1">
        <v>2.1425000000000001</v>
      </c>
      <c r="AM19" s="1">
        <v>2.1425000000000001</v>
      </c>
      <c r="AN19" s="1">
        <v>2.1425000000000001</v>
      </c>
    </row>
    <row r="20" spans="1:40">
      <c r="A20" s="1" t="s">
        <v>24</v>
      </c>
      <c r="B20" s="28" t="s">
        <v>291</v>
      </c>
      <c r="C20" s="1">
        <v>2.1425000000000001</v>
      </c>
      <c r="D20" s="1">
        <v>2.1425000000000001</v>
      </c>
      <c r="E20" s="1">
        <v>2.1425000000000001</v>
      </c>
      <c r="F20" s="1">
        <v>2.1425000000000001</v>
      </c>
      <c r="G20" s="1">
        <v>2.1425000000000001</v>
      </c>
      <c r="H20" s="1">
        <v>2.1425000000000001</v>
      </c>
      <c r="I20" s="1">
        <v>2.1425000000000001</v>
      </c>
      <c r="J20" s="1">
        <v>2.1425000000000001</v>
      </c>
      <c r="K20" s="1">
        <v>2.1425000000000001</v>
      </c>
      <c r="L20" s="1">
        <v>2.1425000000000001</v>
      </c>
      <c r="M20" s="1">
        <v>2.1425000000000001</v>
      </c>
      <c r="N20" s="1">
        <v>2.1425000000000001</v>
      </c>
      <c r="O20" s="1">
        <v>2.1425000000000001</v>
      </c>
      <c r="P20" s="1">
        <v>2.1425000000000001</v>
      </c>
      <c r="Q20" s="1">
        <v>2.1425000000000001</v>
      </c>
      <c r="R20" s="1">
        <v>2.1425000000000001</v>
      </c>
      <c r="S20" s="1">
        <v>2.1425000000000001</v>
      </c>
      <c r="T20" s="1">
        <v>2.1425000000000001</v>
      </c>
      <c r="U20" s="1">
        <v>2.1425000000000001</v>
      </c>
      <c r="V20" s="1">
        <v>2.1425000000000001</v>
      </c>
      <c r="W20" s="1">
        <v>2.1425000000000001</v>
      </c>
      <c r="X20" s="1">
        <v>2.1425000000000001</v>
      </c>
      <c r="Y20" s="1">
        <v>2.1425000000000001</v>
      </c>
      <c r="Z20" s="1">
        <v>2.1425000000000001</v>
      </c>
      <c r="AA20" s="1">
        <v>2.1425000000000001</v>
      </c>
      <c r="AB20" s="1">
        <v>2.1425000000000001</v>
      </c>
      <c r="AC20" s="1">
        <v>2.1425000000000001</v>
      </c>
      <c r="AD20" s="1">
        <v>2.1425000000000001</v>
      </c>
      <c r="AE20" s="1">
        <v>2.1425000000000001</v>
      </c>
      <c r="AF20" s="1">
        <v>2.1425000000000001</v>
      </c>
      <c r="AG20" s="1">
        <v>2.1425000000000001</v>
      </c>
      <c r="AH20" s="1">
        <v>2.1425000000000001</v>
      </c>
      <c r="AI20" s="1">
        <v>2.1425000000000001</v>
      </c>
      <c r="AJ20" s="1">
        <v>2.1425000000000001</v>
      </c>
      <c r="AK20" s="1">
        <v>2.1425000000000001</v>
      </c>
      <c r="AL20" s="1">
        <v>2.1425000000000001</v>
      </c>
      <c r="AM20" s="1">
        <v>2.1425000000000001</v>
      </c>
      <c r="AN20" s="1">
        <v>2.1425000000000001</v>
      </c>
    </row>
    <row r="21" spans="1:40">
      <c r="A21" s="1" t="s">
        <v>24</v>
      </c>
      <c r="B21" s="28" t="s">
        <v>292</v>
      </c>
      <c r="C21" s="1">
        <v>2.1425000000000001</v>
      </c>
      <c r="D21" s="1">
        <v>2.1425000000000001</v>
      </c>
      <c r="E21" s="1">
        <v>2.1425000000000001</v>
      </c>
      <c r="F21" s="1">
        <v>2.1425000000000001</v>
      </c>
      <c r="G21" s="1">
        <v>2.1425000000000001</v>
      </c>
      <c r="H21" s="1">
        <v>2.1425000000000001</v>
      </c>
      <c r="I21" s="1">
        <v>2.1425000000000001</v>
      </c>
      <c r="J21" s="1">
        <v>2.1425000000000001</v>
      </c>
      <c r="K21" s="1">
        <v>2.1425000000000001</v>
      </c>
      <c r="L21" s="1">
        <v>2.1425000000000001</v>
      </c>
      <c r="M21" s="1">
        <v>2.1425000000000001</v>
      </c>
      <c r="N21" s="1">
        <v>2.1425000000000001</v>
      </c>
      <c r="O21" s="1">
        <v>2.1425000000000001</v>
      </c>
      <c r="P21" s="1">
        <v>2.1425000000000001</v>
      </c>
      <c r="Q21" s="1">
        <v>2.1425000000000001</v>
      </c>
      <c r="R21" s="1">
        <v>2.1425000000000001</v>
      </c>
      <c r="S21" s="1">
        <v>2.1425000000000001</v>
      </c>
      <c r="T21" s="1">
        <v>2.1425000000000001</v>
      </c>
      <c r="U21" s="1">
        <v>2.1425000000000001</v>
      </c>
      <c r="V21" s="1">
        <v>2.1425000000000001</v>
      </c>
      <c r="W21" s="1">
        <v>2.1425000000000001</v>
      </c>
      <c r="X21" s="1">
        <v>2.1425000000000001</v>
      </c>
      <c r="Y21" s="1">
        <v>2.1425000000000001</v>
      </c>
      <c r="Z21" s="1">
        <v>2.1425000000000001</v>
      </c>
      <c r="AA21" s="1">
        <v>2.1425000000000001</v>
      </c>
      <c r="AB21" s="1">
        <v>2.1425000000000001</v>
      </c>
      <c r="AC21" s="1">
        <v>2.1425000000000001</v>
      </c>
      <c r="AD21" s="1">
        <v>2.1425000000000001</v>
      </c>
      <c r="AE21" s="1">
        <v>2.1425000000000001</v>
      </c>
      <c r="AF21" s="1">
        <v>2.1425000000000001</v>
      </c>
      <c r="AG21" s="1">
        <v>2.1425000000000001</v>
      </c>
      <c r="AH21" s="1">
        <v>2.1425000000000001</v>
      </c>
      <c r="AI21" s="1">
        <v>2.1425000000000001</v>
      </c>
      <c r="AJ21" s="1">
        <v>2.1425000000000001</v>
      </c>
      <c r="AK21" s="1">
        <v>2.1425000000000001</v>
      </c>
      <c r="AL21" s="1">
        <v>2.1425000000000001</v>
      </c>
      <c r="AM21" s="1">
        <v>2.1425000000000001</v>
      </c>
      <c r="AN21" s="1">
        <v>2.1425000000000001</v>
      </c>
    </row>
    <row r="22" spans="1:40">
      <c r="A22" s="1" t="s">
        <v>24</v>
      </c>
      <c r="B22" s="28" t="s">
        <v>293</v>
      </c>
      <c r="C22" s="1">
        <v>2.1425000000000001</v>
      </c>
      <c r="D22" s="1">
        <v>2.1425000000000001</v>
      </c>
      <c r="E22" s="1">
        <v>2.1425000000000001</v>
      </c>
      <c r="F22" s="1">
        <v>2.1425000000000001</v>
      </c>
      <c r="G22" s="1">
        <v>2.1425000000000001</v>
      </c>
      <c r="H22" s="1">
        <v>2.1425000000000001</v>
      </c>
      <c r="I22" s="1">
        <v>2.1425000000000001</v>
      </c>
      <c r="J22" s="1">
        <v>2.1425000000000001</v>
      </c>
      <c r="K22" s="1">
        <v>2.1425000000000001</v>
      </c>
      <c r="L22" s="1">
        <v>2.1425000000000001</v>
      </c>
      <c r="M22" s="1">
        <v>2.1425000000000001</v>
      </c>
      <c r="N22" s="1">
        <v>2.1425000000000001</v>
      </c>
      <c r="O22" s="1">
        <v>2.1425000000000001</v>
      </c>
      <c r="P22" s="1">
        <v>2.1425000000000001</v>
      </c>
      <c r="Q22" s="1">
        <v>2.1425000000000001</v>
      </c>
      <c r="R22" s="1">
        <v>2.1425000000000001</v>
      </c>
      <c r="S22" s="1">
        <v>2.1425000000000001</v>
      </c>
      <c r="T22" s="1">
        <v>2.1425000000000001</v>
      </c>
      <c r="U22" s="1">
        <v>2.1425000000000001</v>
      </c>
      <c r="V22" s="1">
        <v>2.1425000000000001</v>
      </c>
      <c r="W22" s="1">
        <v>2.1425000000000001</v>
      </c>
      <c r="X22" s="1">
        <v>2.1425000000000001</v>
      </c>
      <c r="Y22" s="1">
        <v>2.1425000000000001</v>
      </c>
      <c r="Z22" s="1">
        <v>2.1425000000000001</v>
      </c>
      <c r="AA22" s="1">
        <v>2.1425000000000001</v>
      </c>
      <c r="AB22" s="1">
        <v>2.1425000000000001</v>
      </c>
      <c r="AC22" s="1">
        <v>2.1425000000000001</v>
      </c>
      <c r="AD22" s="1">
        <v>2.1425000000000001</v>
      </c>
      <c r="AE22" s="1">
        <v>2.1425000000000001</v>
      </c>
      <c r="AF22" s="1">
        <v>2.1425000000000001</v>
      </c>
      <c r="AG22" s="1">
        <v>2.1425000000000001</v>
      </c>
      <c r="AH22" s="1">
        <v>2.1425000000000001</v>
      </c>
      <c r="AI22" s="1">
        <v>2.1425000000000001</v>
      </c>
      <c r="AJ22" s="1">
        <v>2.1425000000000001</v>
      </c>
      <c r="AK22" s="1">
        <v>2.1425000000000001</v>
      </c>
      <c r="AL22" s="1">
        <v>2.1425000000000001</v>
      </c>
      <c r="AM22" s="1">
        <v>2.1425000000000001</v>
      </c>
      <c r="AN22" s="1">
        <v>2.1425000000000001</v>
      </c>
    </row>
    <row r="23" spans="1:40">
      <c r="A23" s="1" t="s">
        <v>24</v>
      </c>
      <c r="B23" s="28" t="s">
        <v>294</v>
      </c>
      <c r="C23" s="1">
        <v>2.1425000000000001</v>
      </c>
      <c r="D23" s="1">
        <v>2.1425000000000001</v>
      </c>
      <c r="E23" s="1">
        <v>2.1425000000000001</v>
      </c>
      <c r="F23" s="1">
        <v>2.1425000000000001</v>
      </c>
      <c r="G23" s="1">
        <v>2.1425000000000001</v>
      </c>
      <c r="H23" s="1">
        <v>2.1425000000000001</v>
      </c>
      <c r="I23" s="1">
        <v>2.1425000000000001</v>
      </c>
      <c r="J23" s="1">
        <v>2.1425000000000001</v>
      </c>
      <c r="K23" s="1">
        <v>2.1425000000000001</v>
      </c>
      <c r="L23" s="1">
        <v>2.1425000000000001</v>
      </c>
      <c r="M23" s="1">
        <v>2.1425000000000001</v>
      </c>
      <c r="N23" s="1">
        <v>2.1425000000000001</v>
      </c>
      <c r="O23" s="1">
        <v>2.1425000000000001</v>
      </c>
      <c r="P23" s="1">
        <v>2.1425000000000001</v>
      </c>
      <c r="Q23" s="1">
        <v>2.1425000000000001</v>
      </c>
      <c r="R23" s="1">
        <v>2.1425000000000001</v>
      </c>
      <c r="S23" s="1">
        <v>2.1425000000000001</v>
      </c>
      <c r="T23" s="1">
        <v>2.1425000000000001</v>
      </c>
      <c r="U23" s="1">
        <v>2.1425000000000001</v>
      </c>
      <c r="V23" s="1">
        <v>2.1425000000000001</v>
      </c>
      <c r="W23" s="1">
        <v>2.1425000000000001</v>
      </c>
      <c r="X23" s="1">
        <v>2.1425000000000001</v>
      </c>
      <c r="Y23" s="1">
        <v>2.1425000000000001</v>
      </c>
      <c r="Z23" s="1">
        <v>2.1425000000000001</v>
      </c>
      <c r="AA23" s="1">
        <v>2.1425000000000001</v>
      </c>
      <c r="AB23" s="1">
        <v>2.1425000000000001</v>
      </c>
      <c r="AC23" s="1">
        <v>2.1425000000000001</v>
      </c>
      <c r="AD23" s="1">
        <v>2.1425000000000001</v>
      </c>
      <c r="AE23" s="1">
        <v>2.1425000000000001</v>
      </c>
      <c r="AF23" s="1">
        <v>2.1425000000000001</v>
      </c>
      <c r="AG23" s="1">
        <v>2.1425000000000001</v>
      </c>
      <c r="AH23" s="1">
        <v>2.1425000000000001</v>
      </c>
      <c r="AI23" s="1">
        <v>2.1425000000000001</v>
      </c>
      <c r="AJ23" s="1">
        <v>2.1425000000000001</v>
      </c>
      <c r="AK23" s="1">
        <v>2.1425000000000001</v>
      </c>
      <c r="AL23" s="1">
        <v>2.1425000000000001</v>
      </c>
      <c r="AM23" s="1">
        <v>2.1425000000000001</v>
      </c>
      <c r="AN23" s="1">
        <v>2.1425000000000001</v>
      </c>
    </row>
    <row r="24" spans="1:40">
      <c r="A24" s="1" t="s">
        <v>24</v>
      </c>
      <c r="B24" s="28" t="s">
        <v>295</v>
      </c>
      <c r="C24" s="1">
        <v>2.1425000000000001</v>
      </c>
      <c r="D24" s="1">
        <v>2.1425000000000001</v>
      </c>
      <c r="E24" s="1">
        <v>2.1425000000000001</v>
      </c>
      <c r="F24" s="1">
        <v>2.1425000000000001</v>
      </c>
      <c r="G24" s="1">
        <v>2.1425000000000001</v>
      </c>
      <c r="H24" s="1">
        <v>2.1425000000000001</v>
      </c>
      <c r="I24" s="1">
        <v>2.1425000000000001</v>
      </c>
      <c r="J24" s="1">
        <v>2.1425000000000001</v>
      </c>
      <c r="K24" s="1">
        <v>2.1425000000000001</v>
      </c>
      <c r="L24" s="1">
        <v>2.1425000000000001</v>
      </c>
      <c r="M24" s="1">
        <v>2.1425000000000001</v>
      </c>
      <c r="N24" s="1">
        <v>2.1425000000000001</v>
      </c>
      <c r="O24" s="1">
        <v>2.1425000000000001</v>
      </c>
      <c r="P24" s="1">
        <v>2.1425000000000001</v>
      </c>
      <c r="Q24" s="1">
        <v>2.1425000000000001</v>
      </c>
      <c r="R24" s="1">
        <v>2.1425000000000001</v>
      </c>
      <c r="S24" s="1">
        <v>2.1425000000000001</v>
      </c>
      <c r="T24" s="1">
        <v>2.1425000000000001</v>
      </c>
      <c r="U24" s="1">
        <v>2.1425000000000001</v>
      </c>
      <c r="V24" s="1">
        <v>2.1425000000000001</v>
      </c>
      <c r="W24" s="1">
        <v>2.1425000000000001</v>
      </c>
      <c r="X24" s="1">
        <v>2.1425000000000001</v>
      </c>
      <c r="Y24" s="1">
        <v>2.1425000000000001</v>
      </c>
      <c r="Z24" s="1">
        <v>2.1425000000000001</v>
      </c>
      <c r="AA24" s="1">
        <v>2.1425000000000001</v>
      </c>
      <c r="AB24" s="1">
        <v>2.1425000000000001</v>
      </c>
      <c r="AC24" s="1">
        <v>2.1425000000000001</v>
      </c>
      <c r="AD24" s="1">
        <v>2.1425000000000001</v>
      </c>
      <c r="AE24" s="1">
        <v>2.1425000000000001</v>
      </c>
      <c r="AF24" s="1">
        <v>2.1425000000000001</v>
      </c>
      <c r="AG24" s="1">
        <v>2.1425000000000001</v>
      </c>
      <c r="AH24" s="1">
        <v>2.1425000000000001</v>
      </c>
      <c r="AI24" s="1">
        <v>2.1425000000000001</v>
      </c>
      <c r="AJ24" s="1">
        <v>2.1425000000000001</v>
      </c>
      <c r="AK24" s="1">
        <v>2.1425000000000001</v>
      </c>
      <c r="AL24" s="1">
        <v>2.1425000000000001</v>
      </c>
      <c r="AM24" s="1">
        <v>2.1425000000000001</v>
      </c>
      <c r="AN24" s="1">
        <v>2.1425000000000001</v>
      </c>
    </row>
    <row r="25" spans="1:40">
      <c r="A25" s="1" t="s">
        <v>24</v>
      </c>
      <c r="B25" s="28" t="s">
        <v>296</v>
      </c>
      <c r="C25" s="1">
        <v>2.1425000000000001</v>
      </c>
      <c r="D25" s="1">
        <v>2.1425000000000001</v>
      </c>
      <c r="E25" s="1">
        <v>2.1425000000000001</v>
      </c>
      <c r="F25" s="1">
        <v>2.1425000000000001</v>
      </c>
      <c r="G25" s="1">
        <v>2.1425000000000001</v>
      </c>
      <c r="H25" s="1">
        <v>2.1425000000000001</v>
      </c>
      <c r="I25" s="1">
        <v>2.1425000000000001</v>
      </c>
      <c r="J25" s="1">
        <v>2.1425000000000001</v>
      </c>
      <c r="K25" s="1">
        <v>2.1425000000000001</v>
      </c>
      <c r="L25" s="1">
        <v>2.1425000000000001</v>
      </c>
      <c r="M25" s="1">
        <v>2.1425000000000001</v>
      </c>
      <c r="N25" s="1">
        <v>2.1425000000000001</v>
      </c>
      <c r="O25" s="1">
        <v>2.1425000000000001</v>
      </c>
      <c r="P25" s="1">
        <v>2.1425000000000001</v>
      </c>
      <c r="Q25" s="1">
        <v>2.1425000000000001</v>
      </c>
      <c r="R25" s="1">
        <v>2.1425000000000001</v>
      </c>
      <c r="S25" s="1">
        <v>2.1425000000000001</v>
      </c>
      <c r="T25" s="1">
        <v>2.1425000000000001</v>
      </c>
      <c r="U25" s="1">
        <v>2.1425000000000001</v>
      </c>
      <c r="V25" s="1">
        <v>2.1425000000000001</v>
      </c>
      <c r="W25" s="1">
        <v>2.1425000000000001</v>
      </c>
      <c r="X25" s="1">
        <v>2.1425000000000001</v>
      </c>
      <c r="Y25" s="1">
        <v>2.1425000000000001</v>
      </c>
      <c r="Z25" s="1">
        <v>2.1425000000000001</v>
      </c>
      <c r="AA25" s="1">
        <v>2.1425000000000001</v>
      </c>
      <c r="AB25" s="1">
        <v>2.1425000000000001</v>
      </c>
      <c r="AC25" s="1">
        <v>2.1425000000000001</v>
      </c>
      <c r="AD25" s="1">
        <v>2.1425000000000001</v>
      </c>
      <c r="AE25" s="1">
        <v>2.1425000000000001</v>
      </c>
      <c r="AF25" s="1">
        <v>2.1425000000000001</v>
      </c>
      <c r="AG25" s="1">
        <v>2.1425000000000001</v>
      </c>
      <c r="AH25" s="1">
        <v>2.1425000000000001</v>
      </c>
      <c r="AI25" s="1">
        <v>2.1425000000000001</v>
      </c>
      <c r="AJ25" s="1">
        <v>2.1425000000000001</v>
      </c>
      <c r="AK25" s="1">
        <v>2.1425000000000001</v>
      </c>
      <c r="AL25" s="1">
        <v>2.1425000000000001</v>
      </c>
      <c r="AM25" s="1">
        <v>2.1425000000000001</v>
      </c>
      <c r="AN25" s="1">
        <v>2.1425000000000001</v>
      </c>
    </row>
    <row r="26" spans="1:40">
      <c r="A26" s="1" t="s">
        <v>24</v>
      </c>
      <c r="B26" s="28" t="s">
        <v>297</v>
      </c>
      <c r="C26" s="1">
        <v>2.1425000000000001</v>
      </c>
      <c r="D26" s="1">
        <v>2.1425000000000001</v>
      </c>
      <c r="E26" s="1">
        <v>2.1425000000000001</v>
      </c>
      <c r="F26" s="1">
        <v>2.1425000000000001</v>
      </c>
      <c r="G26" s="1">
        <v>2.1425000000000001</v>
      </c>
      <c r="H26" s="1">
        <v>2.1425000000000001</v>
      </c>
      <c r="I26" s="1">
        <v>2.1425000000000001</v>
      </c>
      <c r="J26" s="1">
        <v>2.1425000000000001</v>
      </c>
      <c r="K26" s="1">
        <v>2.1425000000000001</v>
      </c>
      <c r="L26" s="1">
        <v>2.1425000000000001</v>
      </c>
      <c r="M26" s="1">
        <v>2.1425000000000001</v>
      </c>
      <c r="N26" s="1">
        <v>2.1425000000000001</v>
      </c>
      <c r="O26" s="1">
        <v>2.1425000000000001</v>
      </c>
      <c r="P26" s="1">
        <v>2.1425000000000001</v>
      </c>
      <c r="Q26" s="1">
        <v>2.1425000000000001</v>
      </c>
      <c r="R26" s="1">
        <v>2.1425000000000001</v>
      </c>
      <c r="S26" s="1">
        <v>2.1425000000000001</v>
      </c>
      <c r="T26" s="1">
        <v>2.1425000000000001</v>
      </c>
      <c r="U26" s="1">
        <v>2.1425000000000001</v>
      </c>
      <c r="V26" s="1">
        <v>2.1425000000000001</v>
      </c>
      <c r="W26" s="1">
        <v>2.1425000000000001</v>
      </c>
      <c r="X26" s="1">
        <v>2.1425000000000001</v>
      </c>
      <c r="Y26" s="1">
        <v>2.1425000000000001</v>
      </c>
      <c r="Z26" s="1">
        <v>2.1425000000000001</v>
      </c>
      <c r="AA26" s="1">
        <v>2.1425000000000001</v>
      </c>
      <c r="AB26" s="1">
        <v>2.1425000000000001</v>
      </c>
      <c r="AC26" s="1">
        <v>2.1425000000000001</v>
      </c>
      <c r="AD26" s="1">
        <v>2.1425000000000001</v>
      </c>
      <c r="AE26" s="1">
        <v>2.1425000000000001</v>
      </c>
      <c r="AF26" s="1">
        <v>2.1425000000000001</v>
      </c>
      <c r="AG26" s="1">
        <v>2.1425000000000001</v>
      </c>
      <c r="AH26" s="1">
        <v>2.1425000000000001</v>
      </c>
      <c r="AI26" s="1">
        <v>2.1425000000000001</v>
      </c>
      <c r="AJ26" s="1">
        <v>2.1425000000000001</v>
      </c>
      <c r="AK26" s="1">
        <v>2.1425000000000001</v>
      </c>
      <c r="AL26" s="1">
        <v>2.1425000000000001</v>
      </c>
      <c r="AM26" s="1">
        <v>2.1425000000000001</v>
      </c>
      <c r="AN26" s="1">
        <v>2.1425000000000001</v>
      </c>
    </row>
    <row r="27" spans="1:40">
      <c r="A27" s="1" t="s">
        <v>24</v>
      </c>
      <c r="B27" s="28" t="s">
        <v>298</v>
      </c>
      <c r="C27" s="1">
        <v>2.1425000000000001</v>
      </c>
      <c r="D27" s="1">
        <v>2.1425000000000001</v>
      </c>
      <c r="E27" s="1">
        <v>2.1425000000000001</v>
      </c>
      <c r="F27" s="1">
        <v>2.1425000000000001</v>
      </c>
      <c r="G27" s="1">
        <v>2.1425000000000001</v>
      </c>
      <c r="H27" s="1">
        <v>2.1425000000000001</v>
      </c>
      <c r="I27" s="1">
        <v>2.1425000000000001</v>
      </c>
      <c r="J27" s="1">
        <v>2.1425000000000001</v>
      </c>
      <c r="K27" s="1">
        <v>2.1425000000000001</v>
      </c>
      <c r="L27" s="1">
        <v>2.1425000000000001</v>
      </c>
      <c r="M27" s="1">
        <v>2.1425000000000001</v>
      </c>
      <c r="N27" s="1">
        <v>2.1425000000000001</v>
      </c>
      <c r="O27" s="1">
        <v>2.1425000000000001</v>
      </c>
      <c r="P27" s="1">
        <v>2.1425000000000001</v>
      </c>
      <c r="Q27" s="1">
        <v>2.1425000000000001</v>
      </c>
      <c r="R27" s="1">
        <v>2.1425000000000001</v>
      </c>
      <c r="S27" s="1">
        <v>2.1425000000000001</v>
      </c>
      <c r="T27" s="1">
        <v>2.1425000000000001</v>
      </c>
      <c r="U27" s="1">
        <v>2.1425000000000001</v>
      </c>
      <c r="V27" s="1">
        <v>2.1425000000000001</v>
      </c>
      <c r="W27" s="1">
        <v>2.1425000000000001</v>
      </c>
      <c r="X27" s="1">
        <v>2.1425000000000001</v>
      </c>
      <c r="Y27" s="1">
        <v>2.1425000000000001</v>
      </c>
      <c r="Z27" s="1">
        <v>2.1425000000000001</v>
      </c>
      <c r="AA27" s="1">
        <v>2.1425000000000001</v>
      </c>
      <c r="AB27" s="1">
        <v>2.1425000000000001</v>
      </c>
      <c r="AC27" s="1">
        <v>2.1425000000000001</v>
      </c>
      <c r="AD27" s="1">
        <v>2.1425000000000001</v>
      </c>
      <c r="AE27" s="1">
        <v>2.1425000000000001</v>
      </c>
      <c r="AF27" s="1">
        <v>2.1425000000000001</v>
      </c>
      <c r="AG27" s="1">
        <v>2.1425000000000001</v>
      </c>
      <c r="AH27" s="1">
        <v>2.1425000000000001</v>
      </c>
      <c r="AI27" s="1">
        <v>2.1425000000000001</v>
      </c>
      <c r="AJ27" s="1">
        <v>2.1425000000000001</v>
      </c>
      <c r="AK27" s="1">
        <v>2.1425000000000001</v>
      </c>
      <c r="AL27" s="1">
        <v>2.1425000000000001</v>
      </c>
      <c r="AM27" s="1">
        <v>2.1425000000000001</v>
      </c>
      <c r="AN27" s="1">
        <v>2.1425000000000001</v>
      </c>
    </row>
    <row r="28" spans="1:40">
      <c r="A28" s="1" t="s">
        <v>24</v>
      </c>
      <c r="B28" s="28" t="s">
        <v>299</v>
      </c>
      <c r="C28" s="1">
        <v>2.1425000000000001</v>
      </c>
      <c r="D28" s="1">
        <v>2.1425000000000001</v>
      </c>
      <c r="E28" s="1">
        <v>2.1425000000000001</v>
      </c>
      <c r="F28" s="1">
        <v>2.1425000000000001</v>
      </c>
      <c r="G28" s="1">
        <v>2.1425000000000001</v>
      </c>
      <c r="H28" s="1">
        <v>2.1425000000000001</v>
      </c>
      <c r="I28" s="1">
        <v>2.1425000000000001</v>
      </c>
      <c r="J28" s="1">
        <v>2.1425000000000001</v>
      </c>
      <c r="K28" s="1">
        <v>2.1425000000000001</v>
      </c>
      <c r="L28" s="1">
        <v>2.1425000000000001</v>
      </c>
      <c r="M28" s="1">
        <v>2.1425000000000001</v>
      </c>
      <c r="N28" s="1">
        <v>2.1425000000000001</v>
      </c>
      <c r="O28" s="1">
        <v>2.1425000000000001</v>
      </c>
      <c r="P28" s="1">
        <v>2.1425000000000001</v>
      </c>
      <c r="Q28" s="1">
        <v>2.1425000000000001</v>
      </c>
      <c r="R28" s="1">
        <v>2.1425000000000001</v>
      </c>
      <c r="S28" s="1">
        <v>2.1425000000000001</v>
      </c>
      <c r="T28" s="1">
        <v>2.1425000000000001</v>
      </c>
      <c r="U28" s="1">
        <v>2.1425000000000001</v>
      </c>
      <c r="V28" s="1">
        <v>2.1425000000000001</v>
      </c>
      <c r="W28" s="1">
        <v>2.1425000000000001</v>
      </c>
      <c r="X28" s="1">
        <v>2.1425000000000001</v>
      </c>
      <c r="Y28" s="1">
        <v>2.1425000000000001</v>
      </c>
      <c r="Z28" s="1">
        <v>2.1425000000000001</v>
      </c>
      <c r="AA28" s="1">
        <v>2.1425000000000001</v>
      </c>
      <c r="AB28" s="1">
        <v>2.1425000000000001</v>
      </c>
      <c r="AC28" s="1">
        <v>2.1425000000000001</v>
      </c>
      <c r="AD28" s="1">
        <v>2.1425000000000001</v>
      </c>
      <c r="AE28" s="1">
        <v>2.1425000000000001</v>
      </c>
      <c r="AF28" s="1">
        <v>2.1425000000000001</v>
      </c>
      <c r="AG28" s="1">
        <v>2.1425000000000001</v>
      </c>
      <c r="AH28" s="1">
        <v>2.1425000000000001</v>
      </c>
      <c r="AI28" s="1">
        <v>2.1425000000000001</v>
      </c>
      <c r="AJ28" s="1">
        <v>2.1425000000000001</v>
      </c>
      <c r="AK28" s="1">
        <v>2.1425000000000001</v>
      </c>
      <c r="AL28" s="1">
        <v>2.1425000000000001</v>
      </c>
      <c r="AM28" s="1">
        <v>2.1425000000000001</v>
      </c>
      <c r="AN28" s="1">
        <v>2.1425000000000001</v>
      </c>
    </row>
    <row r="29" spans="1:40">
      <c r="A29" s="1" t="s">
        <v>24</v>
      </c>
      <c r="B29" s="28" t="s">
        <v>300</v>
      </c>
      <c r="C29" s="1">
        <v>2.1425000000000001</v>
      </c>
      <c r="D29" s="1">
        <v>2.1425000000000001</v>
      </c>
      <c r="E29" s="1">
        <v>2.1425000000000001</v>
      </c>
      <c r="F29" s="1">
        <v>2.1425000000000001</v>
      </c>
      <c r="G29" s="1">
        <v>2.1425000000000001</v>
      </c>
      <c r="H29" s="1">
        <v>2.1425000000000001</v>
      </c>
      <c r="I29" s="1">
        <v>2.1425000000000001</v>
      </c>
      <c r="J29" s="1">
        <v>2.1425000000000001</v>
      </c>
      <c r="K29" s="1">
        <v>2.1425000000000001</v>
      </c>
      <c r="L29" s="1">
        <v>2.1425000000000001</v>
      </c>
      <c r="M29" s="1">
        <v>2.1425000000000001</v>
      </c>
      <c r="N29" s="1">
        <v>2.1425000000000001</v>
      </c>
      <c r="O29" s="1">
        <v>2.1425000000000001</v>
      </c>
      <c r="P29" s="1">
        <v>2.1425000000000001</v>
      </c>
      <c r="Q29" s="1">
        <v>2.1425000000000001</v>
      </c>
      <c r="R29" s="1">
        <v>2.1425000000000001</v>
      </c>
      <c r="S29" s="1">
        <v>2.1425000000000001</v>
      </c>
      <c r="T29" s="1">
        <v>2.1425000000000001</v>
      </c>
      <c r="U29" s="1">
        <v>2.1425000000000001</v>
      </c>
      <c r="V29" s="1">
        <v>2.1425000000000001</v>
      </c>
      <c r="W29" s="1">
        <v>2.1425000000000001</v>
      </c>
      <c r="X29" s="1">
        <v>2.1425000000000001</v>
      </c>
      <c r="Y29" s="1">
        <v>2.1425000000000001</v>
      </c>
      <c r="Z29" s="1">
        <v>2.1425000000000001</v>
      </c>
      <c r="AA29" s="1">
        <v>2.1425000000000001</v>
      </c>
      <c r="AB29" s="1">
        <v>2.1425000000000001</v>
      </c>
      <c r="AC29" s="1">
        <v>2.1425000000000001</v>
      </c>
      <c r="AD29" s="1">
        <v>2.1425000000000001</v>
      </c>
      <c r="AE29" s="1">
        <v>2.1425000000000001</v>
      </c>
      <c r="AF29" s="1">
        <v>2.1425000000000001</v>
      </c>
      <c r="AG29" s="1">
        <v>2.1425000000000001</v>
      </c>
      <c r="AH29" s="1">
        <v>2.1425000000000001</v>
      </c>
      <c r="AI29" s="1">
        <v>2.1425000000000001</v>
      </c>
      <c r="AJ29" s="1">
        <v>2.1425000000000001</v>
      </c>
      <c r="AK29" s="1">
        <v>2.1425000000000001</v>
      </c>
      <c r="AL29" s="1">
        <v>2.1425000000000001</v>
      </c>
      <c r="AM29" s="1">
        <v>2.1425000000000001</v>
      </c>
      <c r="AN29" s="1">
        <v>2.1425000000000001</v>
      </c>
    </row>
    <row r="30" spans="1:40">
      <c r="A30" s="1" t="s">
        <v>24</v>
      </c>
      <c r="B30" s="28" t="s">
        <v>301</v>
      </c>
      <c r="C30" s="1">
        <v>2.1425000000000001</v>
      </c>
      <c r="D30" s="1">
        <v>2.1425000000000001</v>
      </c>
      <c r="E30" s="1">
        <v>2.1425000000000001</v>
      </c>
      <c r="F30" s="1">
        <v>2.1425000000000001</v>
      </c>
      <c r="G30" s="1">
        <v>2.1425000000000001</v>
      </c>
      <c r="H30" s="1">
        <v>2.1425000000000001</v>
      </c>
      <c r="I30" s="1">
        <v>2.1425000000000001</v>
      </c>
      <c r="J30" s="1">
        <v>2.1425000000000001</v>
      </c>
      <c r="K30" s="1">
        <v>2.1425000000000001</v>
      </c>
      <c r="L30" s="1">
        <v>2.1425000000000001</v>
      </c>
      <c r="M30" s="1">
        <v>2.1425000000000001</v>
      </c>
      <c r="N30" s="1">
        <v>2.1425000000000001</v>
      </c>
      <c r="O30" s="1">
        <v>2.1425000000000001</v>
      </c>
      <c r="P30" s="1">
        <v>2.1425000000000001</v>
      </c>
      <c r="Q30" s="1">
        <v>2.1425000000000001</v>
      </c>
      <c r="R30" s="1">
        <v>2.1425000000000001</v>
      </c>
      <c r="S30" s="1">
        <v>2.1425000000000001</v>
      </c>
      <c r="T30" s="1">
        <v>2.1425000000000001</v>
      </c>
      <c r="U30" s="1">
        <v>2.1425000000000001</v>
      </c>
      <c r="V30" s="1">
        <v>2.1425000000000001</v>
      </c>
      <c r="W30" s="1">
        <v>2.1425000000000001</v>
      </c>
      <c r="X30" s="1">
        <v>2.1425000000000001</v>
      </c>
      <c r="Y30" s="1">
        <v>2.1425000000000001</v>
      </c>
      <c r="Z30" s="1">
        <v>2.1425000000000001</v>
      </c>
      <c r="AA30" s="1">
        <v>2.1425000000000001</v>
      </c>
      <c r="AB30" s="1">
        <v>2.1425000000000001</v>
      </c>
      <c r="AC30" s="1">
        <v>2.1425000000000001</v>
      </c>
      <c r="AD30" s="1">
        <v>2.1425000000000001</v>
      </c>
      <c r="AE30" s="1">
        <v>2.1425000000000001</v>
      </c>
      <c r="AF30" s="1">
        <v>2.1425000000000001</v>
      </c>
      <c r="AG30" s="1">
        <v>2.1425000000000001</v>
      </c>
      <c r="AH30" s="1">
        <v>2.1425000000000001</v>
      </c>
      <c r="AI30" s="1">
        <v>2.1425000000000001</v>
      </c>
      <c r="AJ30" s="1">
        <v>2.1425000000000001</v>
      </c>
      <c r="AK30" s="1">
        <v>2.1425000000000001</v>
      </c>
      <c r="AL30" s="1">
        <v>2.1425000000000001</v>
      </c>
      <c r="AM30" s="1">
        <v>2.1425000000000001</v>
      </c>
      <c r="AN30" s="1">
        <v>2.1425000000000001</v>
      </c>
    </row>
    <row r="31" spans="1:40">
      <c r="A31" s="1" t="s">
        <v>24</v>
      </c>
      <c r="B31" s="28" t="s">
        <v>302</v>
      </c>
      <c r="C31" s="1">
        <v>2.1425000000000001</v>
      </c>
      <c r="D31" s="1">
        <v>2.1425000000000001</v>
      </c>
      <c r="E31" s="1">
        <v>2.1425000000000001</v>
      </c>
      <c r="F31" s="1">
        <v>2.1425000000000001</v>
      </c>
      <c r="G31" s="1">
        <v>2.1425000000000001</v>
      </c>
      <c r="H31" s="1">
        <v>2.1425000000000001</v>
      </c>
      <c r="I31" s="1">
        <v>2.1425000000000001</v>
      </c>
      <c r="J31" s="1">
        <v>2.1425000000000001</v>
      </c>
      <c r="K31" s="1">
        <v>2.1425000000000001</v>
      </c>
      <c r="L31" s="1">
        <v>2.1425000000000001</v>
      </c>
      <c r="M31" s="1">
        <v>2.1425000000000001</v>
      </c>
      <c r="N31" s="1">
        <v>2.1425000000000001</v>
      </c>
      <c r="O31" s="1">
        <v>2.1425000000000001</v>
      </c>
      <c r="P31" s="1">
        <v>2.1425000000000001</v>
      </c>
      <c r="Q31" s="1">
        <v>2.1425000000000001</v>
      </c>
      <c r="R31" s="1">
        <v>2.1425000000000001</v>
      </c>
      <c r="S31" s="1">
        <v>2.1425000000000001</v>
      </c>
      <c r="T31" s="1">
        <v>2.1425000000000001</v>
      </c>
      <c r="U31" s="1">
        <v>2.1425000000000001</v>
      </c>
      <c r="V31" s="1">
        <v>2.1425000000000001</v>
      </c>
      <c r="W31" s="1">
        <v>2.1425000000000001</v>
      </c>
      <c r="X31" s="1">
        <v>2.1425000000000001</v>
      </c>
      <c r="Y31" s="1">
        <v>2.1425000000000001</v>
      </c>
      <c r="Z31" s="1">
        <v>2.1425000000000001</v>
      </c>
      <c r="AA31" s="1">
        <v>2.1425000000000001</v>
      </c>
      <c r="AB31" s="1">
        <v>2.1425000000000001</v>
      </c>
      <c r="AC31" s="1">
        <v>2.1425000000000001</v>
      </c>
      <c r="AD31" s="1">
        <v>2.1425000000000001</v>
      </c>
      <c r="AE31" s="1">
        <v>2.1425000000000001</v>
      </c>
      <c r="AF31" s="1">
        <v>2.1425000000000001</v>
      </c>
      <c r="AG31" s="1">
        <v>2.1425000000000001</v>
      </c>
      <c r="AH31" s="1">
        <v>2.1425000000000001</v>
      </c>
      <c r="AI31" s="1">
        <v>2.1425000000000001</v>
      </c>
      <c r="AJ31" s="1">
        <v>2.1425000000000001</v>
      </c>
      <c r="AK31" s="1">
        <v>2.1425000000000001</v>
      </c>
      <c r="AL31" s="1">
        <v>2.1425000000000001</v>
      </c>
      <c r="AM31" s="1">
        <v>2.1425000000000001</v>
      </c>
      <c r="AN31" s="1">
        <v>2.1425000000000001</v>
      </c>
    </row>
    <row r="32" spans="1:40">
      <c r="A32" s="1" t="s">
        <v>24</v>
      </c>
      <c r="B32" s="28" t="s">
        <v>303</v>
      </c>
      <c r="C32" s="1">
        <v>2.1425000000000001</v>
      </c>
      <c r="D32" s="1">
        <v>2.1425000000000001</v>
      </c>
      <c r="E32" s="1">
        <v>2.1425000000000001</v>
      </c>
      <c r="F32" s="1">
        <v>2.1425000000000001</v>
      </c>
      <c r="G32" s="1">
        <v>2.1425000000000001</v>
      </c>
      <c r="H32" s="1">
        <v>2.1425000000000001</v>
      </c>
      <c r="I32" s="1">
        <v>2.1425000000000001</v>
      </c>
      <c r="J32" s="1">
        <v>2.1425000000000001</v>
      </c>
      <c r="K32" s="1">
        <v>2.1425000000000001</v>
      </c>
      <c r="L32" s="1">
        <v>2.1425000000000001</v>
      </c>
      <c r="M32" s="1">
        <v>2.1425000000000001</v>
      </c>
      <c r="N32" s="1">
        <v>2.1425000000000001</v>
      </c>
      <c r="O32" s="1">
        <v>2.1425000000000001</v>
      </c>
      <c r="P32" s="1">
        <v>2.1425000000000001</v>
      </c>
      <c r="Q32" s="1">
        <v>2.1425000000000001</v>
      </c>
      <c r="R32" s="1">
        <v>2.1425000000000001</v>
      </c>
      <c r="S32" s="1">
        <v>2.1425000000000001</v>
      </c>
      <c r="T32" s="1">
        <v>2.1425000000000001</v>
      </c>
      <c r="U32" s="1">
        <v>2.1425000000000001</v>
      </c>
      <c r="V32" s="1">
        <v>2.1425000000000001</v>
      </c>
      <c r="W32" s="1">
        <v>2.1425000000000001</v>
      </c>
      <c r="X32" s="1">
        <v>2.1425000000000001</v>
      </c>
      <c r="Y32" s="1">
        <v>2.1425000000000001</v>
      </c>
      <c r="Z32" s="1">
        <v>2.1425000000000001</v>
      </c>
      <c r="AA32" s="1">
        <v>2.1425000000000001</v>
      </c>
      <c r="AB32" s="1">
        <v>2.1425000000000001</v>
      </c>
      <c r="AC32" s="1">
        <v>2.1425000000000001</v>
      </c>
      <c r="AD32" s="1">
        <v>2.1425000000000001</v>
      </c>
      <c r="AE32" s="1">
        <v>2.1425000000000001</v>
      </c>
      <c r="AF32" s="1">
        <v>2.1425000000000001</v>
      </c>
      <c r="AG32" s="1">
        <v>2.1425000000000001</v>
      </c>
      <c r="AH32" s="1">
        <v>2.1425000000000001</v>
      </c>
      <c r="AI32" s="1">
        <v>2.1425000000000001</v>
      </c>
      <c r="AJ32" s="1">
        <v>2.1425000000000001</v>
      </c>
      <c r="AK32" s="1">
        <v>2.1425000000000001</v>
      </c>
      <c r="AL32" s="1">
        <v>2.1425000000000001</v>
      </c>
      <c r="AM32" s="1">
        <v>2.1425000000000001</v>
      </c>
      <c r="AN32" s="1">
        <v>2.1425000000000001</v>
      </c>
    </row>
    <row r="33" spans="1:40">
      <c r="A33" s="1" t="s">
        <v>24</v>
      </c>
      <c r="B33" s="28" t="s">
        <v>304</v>
      </c>
      <c r="C33" s="1">
        <v>2.1425000000000001</v>
      </c>
      <c r="D33" s="1">
        <v>2.1425000000000001</v>
      </c>
      <c r="E33" s="1">
        <v>2.1425000000000001</v>
      </c>
      <c r="F33" s="1">
        <v>2.1425000000000001</v>
      </c>
      <c r="G33" s="1">
        <v>2.1425000000000001</v>
      </c>
      <c r="H33" s="1">
        <v>2.1425000000000001</v>
      </c>
      <c r="I33" s="1">
        <v>2.1425000000000001</v>
      </c>
      <c r="J33" s="1">
        <v>2.1425000000000001</v>
      </c>
      <c r="K33" s="1">
        <v>2.1425000000000001</v>
      </c>
      <c r="L33" s="1">
        <v>2.1425000000000001</v>
      </c>
      <c r="M33" s="1">
        <v>2.1425000000000001</v>
      </c>
      <c r="N33" s="1">
        <v>2.1425000000000001</v>
      </c>
      <c r="O33" s="1">
        <v>2.1425000000000001</v>
      </c>
      <c r="P33" s="1">
        <v>2.1425000000000001</v>
      </c>
      <c r="Q33" s="1">
        <v>2.1425000000000001</v>
      </c>
      <c r="R33" s="1">
        <v>2.1425000000000001</v>
      </c>
      <c r="S33" s="1">
        <v>2.1425000000000001</v>
      </c>
      <c r="T33" s="1">
        <v>2.1425000000000001</v>
      </c>
      <c r="U33" s="1">
        <v>2.1425000000000001</v>
      </c>
      <c r="V33" s="1">
        <v>2.1425000000000001</v>
      </c>
      <c r="W33" s="1">
        <v>2.1425000000000001</v>
      </c>
      <c r="X33" s="1">
        <v>2.1425000000000001</v>
      </c>
      <c r="Y33" s="1">
        <v>2.1425000000000001</v>
      </c>
      <c r="Z33" s="1">
        <v>2.1425000000000001</v>
      </c>
      <c r="AA33" s="1">
        <v>2.1425000000000001</v>
      </c>
      <c r="AB33" s="1">
        <v>2.1425000000000001</v>
      </c>
      <c r="AC33" s="1">
        <v>2.1425000000000001</v>
      </c>
      <c r="AD33" s="1">
        <v>2.1425000000000001</v>
      </c>
      <c r="AE33" s="1">
        <v>2.1425000000000001</v>
      </c>
      <c r="AF33" s="1">
        <v>2.1425000000000001</v>
      </c>
      <c r="AG33" s="1">
        <v>2.1425000000000001</v>
      </c>
      <c r="AH33" s="1">
        <v>2.1425000000000001</v>
      </c>
      <c r="AI33" s="1">
        <v>2.1425000000000001</v>
      </c>
      <c r="AJ33" s="1">
        <v>2.1425000000000001</v>
      </c>
      <c r="AK33" s="1">
        <v>2.1425000000000001</v>
      </c>
      <c r="AL33" s="1">
        <v>2.1425000000000001</v>
      </c>
      <c r="AM33" s="1">
        <v>2.1425000000000001</v>
      </c>
      <c r="AN33" s="1">
        <v>2.1425000000000001</v>
      </c>
    </row>
    <row r="34" spans="1:40">
      <c r="A34" s="1" t="s">
        <v>24</v>
      </c>
      <c r="B34" s="28" t="s">
        <v>305</v>
      </c>
      <c r="C34" s="1">
        <v>2.1425000000000001</v>
      </c>
      <c r="D34" s="1">
        <v>2.1425000000000001</v>
      </c>
      <c r="E34" s="1">
        <v>2.1425000000000001</v>
      </c>
      <c r="F34" s="1">
        <v>2.1425000000000001</v>
      </c>
      <c r="G34" s="1">
        <v>2.1425000000000001</v>
      </c>
      <c r="H34" s="1">
        <v>2.1425000000000001</v>
      </c>
      <c r="I34" s="1">
        <v>2.1425000000000001</v>
      </c>
      <c r="J34" s="1">
        <v>2.1425000000000001</v>
      </c>
      <c r="K34" s="1">
        <v>2.1425000000000001</v>
      </c>
      <c r="L34" s="1">
        <v>2.1425000000000001</v>
      </c>
      <c r="M34" s="1">
        <v>2.1425000000000001</v>
      </c>
      <c r="N34" s="1">
        <v>2.1425000000000001</v>
      </c>
      <c r="O34" s="1">
        <v>2.1425000000000001</v>
      </c>
      <c r="P34" s="1">
        <v>2.1425000000000001</v>
      </c>
      <c r="Q34" s="1">
        <v>2.1425000000000001</v>
      </c>
      <c r="R34" s="1">
        <v>2.1425000000000001</v>
      </c>
      <c r="S34" s="1">
        <v>2.1425000000000001</v>
      </c>
      <c r="T34" s="1">
        <v>2.1425000000000001</v>
      </c>
      <c r="U34" s="1">
        <v>2.1425000000000001</v>
      </c>
      <c r="V34" s="1">
        <v>2.1425000000000001</v>
      </c>
      <c r="W34" s="1">
        <v>2.1425000000000001</v>
      </c>
      <c r="X34" s="1">
        <v>2.1425000000000001</v>
      </c>
      <c r="Y34" s="1">
        <v>2.1425000000000001</v>
      </c>
      <c r="Z34" s="1">
        <v>2.1425000000000001</v>
      </c>
      <c r="AA34" s="1">
        <v>2.1425000000000001</v>
      </c>
      <c r="AB34" s="1">
        <v>2.1425000000000001</v>
      </c>
      <c r="AC34" s="1">
        <v>2.1425000000000001</v>
      </c>
      <c r="AD34" s="1">
        <v>2.1425000000000001</v>
      </c>
      <c r="AE34" s="1">
        <v>2.1425000000000001</v>
      </c>
      <c r="AF34" s="1">
        <v>2.1425000000000001</v>
      </c>
      <c r="AG34" s="1">
        <v>2.1425000000000001</v>
      </c>
      <c r="AH34" s="1">
        <v>2.1425000000000001</v>
      </c>
      <c r="AI34" s="1">
        <v>2.1425000000000001</v>
      </c>
      <c r="AJ34" s="1">
        <v>2.1425000000000001</v>
      </c>
      <c r="AK34" s="1">
        <v>2.1425000000000001</v>
      </c>
      <c r="AL34" s="1">
        <v>2.1425000000000001</v>
      </c>
      <c r="AM34" s="1">
        <v>2.1425000000000001</v>
      </c>
      <c r="AN34" s="1">
        <v>2.1425000000000001</v>
      </c>
    </row>
    <row r="35" spans="1:40">
      <c r="A35" s="1" t="s">
        <v>24</v>
      </c>
      <c r="B35" s="28" t="s">
        <v>307</v>
      </c>
      <c r="C35" s="1">
        <v>2.1425000000000001</v>
      </c>
      <c r="D35" s="1">
        <v>2.1425000000000001</v>
      </c>
      <c r="E35" s="1">
        <v>2.1425000000000001</v>
      </c>
      <c r="F35" s="1">
        <v>2.1425000000000001</v>
      </c>
      <c r="G35" s="1">
        <v>2.1425000000000001</v>
      </c>
      <c r="H35" s="1">
        <v>2.1425000000000001</v>
      </c>
      <c r="I35" s="1">
        <v>2.1425000000000001</v>
      </c>
      <c r="J35" s="1">
        <v>2.1425000000000001</v>
      </c>
      <c r="K35" s="1">
        <v>2.1425000000000001</v>
      </c>
      <c r="L35" s="1">
        <v>2.1425000000000001</v>
      </c>
      <c r="M35" s="1">
        <v>2.1425000000000001</v>
      </c>
      <c r="N35" s="1">
        <v>2.1425000000000001</v>
      </c>
      <c r="O35" s="1">
        <v>2.1425000000000001</v>
      </c>
      <c r="P35" s="1">
        <v>2.1425000000000001</v>
      </c>
      <c r="Q35" s="1">
        <v>2.1425000000000001</v>
      </c>
      <c r="R35" s="1">
        <v>2.1425000000000001</v>
      </c>
      <c r="S35" s="1">
        <v>2.1425000000000001</v>
      </c>
      <c r="T35" s="1">
        <v>2.1425000000000001</v>
      </c>
      <c r="U35" s="1">
        <v>2.1425000000000001</v>
      </c>
      <c r="V35" s="1">
        <v>2.1425000000000001</v>
      </c>
      <c r="W35" s="1">
        <v>2.1425000000000001</v>
      </c>
      <c r="X35" s="1">
        <v>2.1425000000000001</v>
      </c>
      <c r="Y35" s="1">
        <v>2.1425000000000001</v>
      </c>
      <c r="Z35" s="1">
        <v>2.1425000000000001</v>
      </c>
      <c r="AA35" s="1">
        <v>2.1425000000000001</v>
      </c>
      <c r="AB35" s="1">
        <v>2.1425000000000001</v>
      </c>
      <c r="AC35" s="1">
        <v>2.1425000000000001</v>
      </c>
      <c r="AD35" s="1">
        <v>2.1425000000000001</v>
      </c>
      <c r="AE35" s="1">
        <v>2.1425000000000001</v>
      </c>
      <c r="AF35" s="1">
        <v>2.1425000000000001</v>
      </c>
      <c r="AG35" s="1">
        <v>2.1425000000000001</v>
      </c>
      <c r="AH35" s="1">
        <v>2.1425000000000001</v>
      </c>
      <c r="AI35" s="1">
        <v>2.1425000000000001</v>
      </c>
      <c r="AJ35" s="1">
        <v>2.1425000000000001</v>
      </c>
      <c r="AK35" s="1">
        <v>2.1425000000000001</v>
      </c>
      <c r="AL35" s="1">
        <v>2.1425000000000001</v>
      </c>
      <c r="AM35" s="1">
        <v>2.1425000000000001</v>
      </c>
      <c r="AN35" s="1">
        <v>2.1425000000000001</v>
      </c>
    </row>
    <row r="36" spans="1:40">
      <c r="A36" s="1" t="s">
        <v>24</v>
      </c>
      <c r="B36" s="28" t="s">
        <v>308</v>
      </c>
      <c r="C36" s="1">
        <v>2.1425000000000001</v>
      </c>
      <c r="D36" s="1">
        <v>2.1425000000000001</v>
      </c>
      <c r="E36" s="1">
        <v>2.1425000000000001</v>
      </c>
      <c r="F36" s="1">
        <v>2.1425000000000001</v>
      </c>
      <c r="G36" s="1">
        <v>2.1425000000000001</v>
      </c>
      <c r="H36" s="1">
        <v>2.1425000000000001</v>
      </c>
      <c r="I36" s="1">
        <v>2.1425000000000001</v>
      </c>
      <c r="J36" s="1">
        <v>2.1425000000000001</v>
      </c>
      <c r="K36" s="1">
        <v>2.1425000000000001</v>
      </c>
      <c r="L36" s="1">
        <v>2.1425000000000001</v>
      </c>
      <c r="M36" s="1">
        <v>2.1425000000000001</v>
      </c>
      <c r="N36" s="1">
        <v>2.1425000000000001</v>
      </c>
      <c r="O36" s="1">
        <v>2.1425000000000001</v>
      </c>
      <c r="P36" s="1">
        <v>2.1425000000000001</v>
      </c>
      <c r="Q36" s="1">
        <v>2.1425000000000001</v>
      </c>
      <c r="R36" s="1">
        <v>2.1425000000000001</v>
      </c>
      <c r="S36" s="1">
        <v>2.1425000000000001</v>
      </c>
      <c r="T36" s="1">
        <v>2.1425000000000001</v>
      </c>
      <c r="U36" s="1">
        <v>2.1425000000000001</v>
      </c>
      <c r="V36" s="1">
        <v>2.1425000000000001</v>
      </c>
      <c r="W36" s="1">
        <v>2.1425000000000001</v>
      </c>
      <c r="X36" s="1">
        <v>2.1425000000000001</v>
      </c>
      <c r="Y36" s="1">
        <v>2.1425000000000001</v>
      </c>
      <c r="Z36" s="1">
        <v>2.1425000000000001</v>
      </c>
      <c r="AA36" s="1">
        <v>2.1425000000000001</v>
      </c>
      <c r="AB36" s="1">
        <v>2.1425000000000001</v>
      </c>
      <c r="AC36" s="1">
        <v>2.1425000000000001</v>
      </c>
      <c r="AD36" s="1">
        <v>2.1425000000000001</v>
      </c>
      <c r="AE36" s="1">
        <v>2.1425000000000001</v>
      </c>
      <c r="AF36" s="1">
        <v>2.1425000000000001</v>
      </c>
      <c r="AG36" s="1">
        <v>2.1425000000000001</v>
      </c>
      <c r="AH36" s="1">
        <v>2.1425000000000001</v>
      </c>
      <c r="AI36" s="1">
        <v>2.1425000000000001</v>
      </c>
      <c r="AJ36" s="1">
        <v>2.1425000000000001</v>
      </c>
      <c r="AK36" s="1">
        <v>2.1425000000000001</v>
      </c>
      <c r="AL36" s="1">
        <v>2.1425000000000001</v>
      </c>
      <c r="AM36" s="1">
        <v>2.1425000000000001</v>
      </c>
      <c r="AN36" s="1">
        <v>2.1425000000000001</v>
      </c>
    </row>
    <row r="37" spans="1:40">
      <c r="A37" s="1" t="s">
        <v>24</v>
      </c>
      <c r="B37" s="28" t="s">
        <v>309</v>
      </c>
      <c r="C37" s="1">
        <v>2.1425000000000001</v>
      </c>
      <c r="D37" s="1">
        <v>2.1425000000000001</v>
      </c>
      <c r="E37" s="1">
        <v>2.1425000000000001</v>
      </c>
      <c r="F37" s="1">
        <v>2.1425000000000001</v>
      </c>
      <c r="G37" s="1">
        <v>2.1425000000000001</v>
      </c>
      <c r="H37" s="1">
        <v>2.1425000000000001</v>
      </c>
      <c r="I37" s="1">
        <v>2.1425000000000001</v>
      </c>
      <c r="J37" s="1">
        <v>2.1425000000000001</v>
      </c>
      <c r="K37" s="1">
        <v>2.1425000000000001</v>
      </c>
      <c r="L37" s="1">
        <v>2.1425000000000001</v>
      </c>
      <c r="M37" s="1">
        <v>2.1425000000000001</v>
      </c>
      <c r="N37" s="1">
        <v>2.1425000000000001</v>
      </c>
      <c r="O37" s="1">
        <v>2.1425000000000001</v>
      </c>
      <c r="P37" s="1">
        <v>2.1425000000000001</v>
      </c>
      <c r="Q37" s="1">
        <v>2.1425000000000001</v>
      </c>
      <c r="R37" s="1">
        <v>2.1425000000000001</v>
      </c>
      <c r="S37" s="1">
        <v>2.1425000000000001</v>
      </c>
      <c r="T37" s="1">
        <v>2.1425000000000001</v>
      </c>
      <c r="U37" s="1">
        <v>2.1425000000000001</v>
      </c>
      <c r="V37" s="1">
        <v>2.1425000000000001</v>
      </c>
      <c r="W37" s="1">
        <v>2.1425000000000001</v>
      </c>
      <c r="X37" s="1">
        <v>2.1425000000000001</v>
      </c>
      <c r="Y37" s="1">
        <v>2.1425000000000001</v>
      </c>
      <c r="Z37" s="1">
        <v>2.1425000000000001</v>
      </c>
      <c r="AA37" s="1">
        <v>2.1425000000000001</v>
      </c>
      <c r="AB37" s="1">
        <v>2.1425000000000001</v>
      </c>
      <c r="AC37" s="1">
        <v>2.1425000000000001</v>
      </c>
      <c r="AD37" s="1">
        <v>2.1425000000000001</v>
      </c>
      <c r="AE37" s="1">
        <v>2.1425000000000001</v>
      </c>
      <c r="AF37" s="1">
        <v>2.1425000000000001</v>
      </c>
      <c r="AG37" s="1">
        <v>2.1425000000000001</v>
      </c>
      <c r="AH37" s="1">
        <v>2.1425000000000001</v>
      </c>
      <c r="AI37" s="1">
        <v>2.1425000000000001</v>
      </c>
      <c r="AJ37" s="1">
        <v>2.1425000000000001</v>
      </c>
      <c r="AK37" s="1">
        <v>2.1425000000000001</v>
      </c>
      <c r="AL37" s="1">
        <v>2.1425000000000001</v>
      </c>
      <c r="AM37" s="1">
        <v>2.1425000000000001</v>
      </c>
      <c r="AN37" s="1">
        <v>2.1425000000000001</v>
      </c>
    </row>
    <row r="38" spans="1:40">
      <c r="A38" s="1" t="s">
        <v>24</v>
      </c>
      <c r="B38" s="28" t="s">
        <v>310</v>
      </c>
      <c r="C38" s="1">
        <v>2.1425000000000001</v>
      </c>
      <c r="D38" s="1">
        <v>2.1425000000000001</v>
      </c>
      <c r="E38" s="1">
        <v>2.1425000000000001</v>
      </c>
      <c r="F38" s="1">
        <v>2.1425000000000001</v>
      </c>
      <c r="G38" s="1">
        <v>2.1425000000000001</v>
      </c>
      <c r="H38" s="1">
        <v>2.1425000000000001</v>
      </c>
      <c r="I38" s="1">
        <v>2.1425000000000001</v>
      </c>
      <c r="J38" s="1">
        <v>2.1425000000000001</v>
      </c>
      <c r="K38" s="1">
        <v>2.1425000000000001</v>
      </c>
      <c r="L38" s="1">
        <v>2.1425000000000001</v>
      </c>
      <c r="M38" s="1">
        <v>2.1425000000000001</v>
      </c>
      <c r="N38" s="1">
        <v>2.1425000000000001</v>
      </c>
      <c r="O38" s="1">
        <v>2.1425000000000001</v>
      </c>
      <c r="P38" s="1">
        <v>2.1425000000000001</v>
      </c>
      <c r="Q38" s="1">
        <v>2.1425000000000001</v>
      </c>
      <c r="R38" s="1">
        <v>2.1425000000000001</v>
      </c>
      <c r="S38" s="1">
        <v>2.1425000000000001</v>
      </c>
      <c r="T38" s="1">
        <v>2.1425000000000001</v>
      </c>
      <c r="U38" s="1">
        <v>2.1425000000000001</v>
      </c>
      <c r="V38" s="1">
        <v>2.1425000000000001</v>
      </c>
      <c r="W38" s="1">
        <v>2.1425000000000001</v>
      </c>
      <c r="X38" s="1">
        <v>2.1425000000000001</v>
      </c>
      <c r="Y38" s="1">
        <v>2.1425000000000001</v>
      </c>
      <c r="Z38" s="1">
        <v>2.1425000000000001</v>
      </c>
      <c r="AA38" s="1">
        <v>2.1425000000000001</v>
      </c>
      <c r="AB38" s="1">
        <v>2.1425000000000001</v>
      </c>
      <c r="AC38" s="1">
        <v>2.1425000000000001</v>
      </c>
      <c r="AD38" s="1">
        <v>2.1425000000000001</v>
      </c>
      <c r="AE38" s="1">
        <v>2.1425000000000001</v>
      </c>
      <c r="AF38" s="1">
        <v>2.1425000000000001</v>
      </c>
      <c r="AG38" s="1">
        <v>2.1425000000000001</v>
      </c>
      <c r="AH38" s="1">
        <v>2.1425000000000001</v>
      </c>
      <c r="AI38" s="1">
        <v>2.1425000000000001</v>
      </c>
      <c r="AJ38" s="1">
        <v>2.1425000000000001</v>
      </c>
      <c r="AK38" s="1">
        <v>2.1425000000000001</v>
      </c>
      <c r="AL38" s="1">
        <v>2.1425000000000001</v>
      </c>
      <c r="AM38" s="1">
        <v>2.1425000000000001</v>
      </c>
      <c r="AN38" s="1">
        <v>2.1425000000000001</v>
      </c>
    </row>
    <row r="39" spans="1:40">
      <c r="A39" s="1" t="s">
        <v>24</v>
      </c>
      <c r="B39" s="28" t="s">
        <v>306</v>
      </c>
      <c r="C39" s="1">
        <v>2.1425000000000001</v>
      </c>
      <c r="D39" s="1">
        <v>2.1425000000000001</v>
      </c>
      <c r="E39" s="1">
        <v>2.1425000000000001</v>
      </c>
      <c r="F39" s="1">
        <v>2.1425000000000001</v>
      </c>
      <c r="G39" s="1">
        <v>2.1425000000000001</v>
      </c>
      <c r="H39" s="1">
        <v>2.1425000000000001</v>
      </c>
      <c r="I39" s="1">
        <v>2.1425000000000001</v>
      </c>
      <c r="J39" s="1">
        <v>2.1425000000000001</v>
      </c>
      <c r="K39" s="1">
        <v>2.1425000000000001</v>
      </c>
      <c r="L39" s="1">
        <v>2.1425000000000001</v>
      </c>
      <c r="M39" s="1">
        <v>2.1425000000000001</v>
      </c>
      <c r="N39" s="1">
        <v>2.1425000000000001</v>
      </c>
      <c r="O39" s="1">
        <v>2.1425000000000001</v>
      </c>
      <c r="P39" s="1">
        <v>2.1425000000000001</v>
      </c>
      <c r="Q39" s="1">
        <v>2.1425000000000001</v>
      </c>
      <c r="R39" s="1">
        <v>2.1425000000000001</v>
      </c>
      <c r="S39" s="1">
        <v>2.1425000000000001</v>
      </c>
      <c r="T39" s="1">
        <v>2.1425000000000001</v>
      </c>
      <c r="U39" s="1">
        <v>2.1425000000000001</v>
      </c>
      <c r="V39" s="1">
        <v>2.1425000000000001</v>
      </c>
      <c r="W39" s="1">
        <v>2.1425000000000001</v>
      </c>
      <c r="X39" s="1">
        <v>2.1425000000000001</v>
      </c>
      <c r="Y39" s="1">
        <v>2.1425000000000001</v>
      </c>
      <c r="Z39" s="1">
        <v>2.1425000000000001</v>
      </c>
      <c r="AA39" s="1">
        <v>2.1425000000000001</v>
      </c>
      <c r="AB39" s="1">
        <v>2.1425000000000001</v>
      </c>
      <c r="AC39" s="1">
        <v>2.1425000000000001</v>
      </c>
      <c r="AD39" s="1">
        <v>2.1425000000000001</v>
      </c>
      <c r="AE39" s="1">
        <v>2.1425000000000001</v>
      </c>
      <c r="AF39" s="1">
        <v>2.1425000000000001</v>
      </c>
      <c r="AG39" s="1">
        <v>2.1425000000000001</v>
      </c>
      <c r="AH39" s="1">
        <v>2.1425000000000001</v>
      </c>
      <c r="AI39" s="1">
        <v>2.1425000000000001</v>
      </c>
      <c r="AJ39" s="1">
        <v>2.1425000000000001</v>
      </c>
      <c r="AK39" s="1">
        <v>2.1425000000000001</v>
      </c>
      <c r="AL39" s="1">
        <v>2.1425000000000001</v>
      </c>
      <c r="AM39" s="1">
        <v>2.1425000000000001</v>
      </c>
      <c r="AN39" s="1">
        <v>2.1425000000000001</v>
      </c>
    </row>
    <row r="40" spans="1:40">
      <c r="A40" s="1" t="s">
        <v>24</v>
      </c>
      <c r="B40" s="28" t="s">
        <v>311</v>
      </c>
      <c r="C40" s="1">
        <v>2.1425000000000001</v>
      </c>
      <c r="D40" s="1">
        <v>2.1425000000000001</v>
      </c>
      <c r="E40" s="1">
        <v>2.1425000000000001</v>
      </c>
      <c r="F40" s="1">
        <v>2.1425000000000001</v>
      </c>
      <c r="G40" s="1">
        <v>2.1425000000000001</v>
      </c>
      <c r="H40" s="1">
        <v>2.1425000000000001</v>
      </c>
      <c r="I40" s="1">
        <v>2.1425000000000001</v>
      </c>
      <c r="J40" s="1">
        <v>2.1425000000000001</v>
      </c>
      <c r="K40" s="1">
        <v>2.1425000000000001</v>
      </c>
      <c r="L40" s="1">
        <v>2.1425000000000001</v>
      </c>
      <c r="M40" s="1">
        <v>2.1425000000000001</v>
      </c>
      <c r="N40" s="1">
        <v>2.1425000000000001</v>
      </c>
      <c r="O40" s="1">
        <v>2.1425000000000001</v>
      </c>
      <c r="P40" s="1">
        <v>2.1425000000000001</v>
      </c>
      <c r="Q40" s="1">
        <v>2.1425000000000001</v>
      </c>
      <c r="R40" s="1">
        <v>2.1425000000000001</v>
      </c>
      <c r="S40" s="1">
        <v>2.1425000000000001</v>
      </c>
      <c r="T40" s="1">
        <v>2.1425000000000001</v>
      </c>
      <c r="U40" s="1">
        <v>2.1425000000000001</v>
      </c>
      <c r="V40" s="1">
        <v>2.1425000000000001</v>
      </c>
      <c r="W40" s="1">
        <v>2.1425000000000001</v>
      </c>
      <c r="X40" s="1">
        <v>2.1425000000000001</v>
      </c>
      <c r="Y40" s="1">
        <v>2.1425000000000001</v>
      </c>
      <c r="Z40" s="1">
        <v>2.1425000000000001</v>
      </c>
      <c r="AA40" s="1">
        <v>2.1425000000000001</v>
      </c>
      <c r="AB40" s="1">
        <v>2.1425000000000001</v>
      </c>
      <c r="AC40" s="1">
        <v>2.1425000000000001</v>
      </c>
      <c r="AD40" s="1">
        <v>2.1425000000000001</v>
      </c>
      <c r="AE40" s="1">
        <v>2.1425000000000001</v>
      </c>
      <c r="AF40" s="1">
        <v>2.1425000000000001</v>
      </c>
      <c r="AG40" s="1">
        <v>2.1425000000000001</v>
      </c>
      <c r="AH40" s="1">
        <v>2.1425000000000001</v>
      </c>
      <c r="AI40" s="1">
        <v>2.1425000000000001</v>
      </c>
      <c r="AJ40" s="1">
        <v>2.1425000000000001</v>
      </c>
      <c r="AK40" s="1">
        <v>2.1425000000000001</v>
      </c>
      <c r="AL40" s="1">
        <v>2.1425000000000001</v>
      </c>
      <c r="AM40" s="1">
        <v>2.1425000000000001</v>
      </c>
      <c r="AN40" s="1">
        <v>2.1425000000000001</v>
      </c>
    </row>
    <row r="41" spans="1:40">
      <c r="A41" s="1" t="s">
        <v>24</v>
      </c>
      <c r="B41" s="28" t="s">
        <v>312</v>
      </c>
      <c r="C41" s="1">
        <v>2.1425000000000001</v>
      </c>
      <c r="D41" s="1">
        <v>2.1425000000000001</v>
      </c>
      <c r="E41" s="1">
        <v>2.1425000000000001</v>
      </c>
      <c r="F41" s="1">
        <v>2.1425000000000001</v>
      </c>
      <c r="G41" s="1">
        <v>2.1425000000000001</v>
      </c>
      <c r="H41" s="1">
        <v>2.1425000000000001</v>
      </c>
      <c r="I41" s="1">
        <v>2.1425000000000001</v>
      </c>
      <c r="J41" s="1">
        <v>2.1425000000000001</v>
      </c>
      <c r="K41" s="1">
        <v>2.1425000000000001</v>
      </c>
      <c r="L41" s="1">
        <v>2.1425000000000001</v>
      </c>
      <c r="M41" s="1">
        <v>2.1425000000000001</v>
      </c>
      <c r="N41" s="1">
        <v>2.1425000000000001</v>
      </c>
      <c r="O41" s="1">
        <v>2.1425000000000001</v>
      </c>
      <c r="P41" s="1">
        <v>2.1425000000000001</v>
      </c>
      <c r="Q41" s="1">
        <v>2.1425000000000001</v>
      </c>
      <c r="R41" s="1">
        <v>2.1425000000000001</v>
      </c>
      <c r="S41" s="1">
        <v>2.1425000000000001</v>
      </c>
      <c r="T41" s="1">
        <v>2.1425000000000001</v>
      </c>
      <c r="U41" s="1">
        <v>2.1425000000000001</v>
      </c>
      <c r="V41" s="1">
        <v>2.1425000000000001</v>
      </c>
      <c r="W41" s="1">
        <v>2.1425000000000001</v>
      </c>
      <c r="X41" s="1">
        <v>2.1425000000000001</v>
      </c>
      <c r="Y41" s="1">
        <v>2.1425000000000001</v>
      </c>
      <c r="Z41" s="1">
        <v>2.1425000000000001</v>
      </c>
      <c r="AA41" s="1">
        <v>2.1425000000000001</v>
      </c>
      <c r="AB41" s="1">
        <v>2.1425000000000001</v>
      </c>
      <c r="AC41" s="1">
        <v>2.1425000000000001</v>
      </c>
      <c r="AD41" s="1">
        <v>2.1425000000000001</v>
      </c>
      <c r="AE41" s="1">
        <v>2.1425000000000001</v>
      </c>
      <c r="AF41" s="1">
        <v>2.1425000000000001</v>
      </c>
      <c r="AG41" s="1">
        <v>2.1425000000000001</v>
      </c>
      <c r="AH41" s="1">
        <v>2.1425000000000001</v>
      </c>
      <c r="AI41" s="1">
        <v>2.1425000000000001</v>
      </c>
      <c r="AJ41" s="1">
        <v>2.1425000000000001</v>
      </c>
      <c r="AK41" s="1">
        <v>2.1425000000000001</v>
      </c>
      <c r="AL41" s="1">
        <v>2.1425000000000001</v>
      </c>
      <c r="AM41" s="1">
        <v>2.1425000000000001</v>
      </c>
      <c r="AN41" s="1">
        <v>2.1425000000000001</v>
      </c>
    </row>
    <row r="42" spans="1:40">
      <c r="A42" s="1" t="s">
        <v>24</v>
      </c>
      <c r="B42" s="1" t="s">
        <v>357</v>
      </c>
      <c r="C42" s="1">
        <v>2.1425000000000001</v>
      </c>
      <c r="D42" s="1">
        <v>2.1425000000000001</v>
      </c>
      <c r="E42" s="1">
        <v>2.1425000000000001</v>
      </c>
      <c r="F42" s="1">
        <v>2.1425000000000001</v>
      </c>
      <c r="G42" s="1">
        <v>2.1425000000000001</v>
      </c>
      <c r="H42" s="1">
        <v>2.1425000000000001</v>
      </c>
      <c r="I42" s="1">
        <v>2.1425000000000001</v>
      </c>
      <c r="J42" s="1">
        <v>2.1425000000000001</v>
      </c>
      <c r="K42" s="1">
        <v>2.1425000000000001</v>
      </c>
      <c r="L42" s="1">
        <v>2.1425000000000001</v>
      </c>
      <c r="M42" s="1">
        <v>2.1425000000000001</v>
      </c>
      <c r="N42" s="1">
        <v>2.1425000000000001</v>
      </c>
      <c r="O42" s="1">
        <v>2.1425000000000001</v>
      </c>
      <c r="P42" s="1">
        <v>2.1425000000000001</v>
      </c>
      <c r="Q42" s="1">
        <v>2.1425000000000001</v>
      </c>
      <c r="R42" s="1">
        <v>2.1425000000000001</v>
      </c>
      <c r="S42" s="1">
        <v>2.1425000000000001</v>
      </c>
      <c r="T42" s="1">
        <v>2.1425000000000001</v>
      </c>
      <c r="U42" s="1">
        <v>2.1425000000000001</v>
      </c>
      <c r="V42" s="1">
        <v>2.1425000000000001</v>
      </c>
      <c r="W42" s="1">
        <v>2.1425000000000001</v>
      </c>
      <c r="X42" s="1">
        <v>2.1425000000000001</v>
      </c>
      <c r="Y42" s="1">
        <v>2.1425000000000001</v>
      </c>
      <c r="Z42" s="1">
        <v>2.1425000000000001</v>
      </c>
      <c r="AA42" s="1">
        <v>2.1425000000000001</v>
      </c>
      <c r="AB42" s="1">
        <v>2.1425000000000001</v>
      </c>
      <c r="AC42" s="1">
        <v>2.1425000000000001</v>
      </c>
      <c r="AD42" s="1">
        <v>2.1425000000000001</v>
      </c>
      <c r="AE42" s="1">
        <v>2.1425000000000001</v>
      </c>
      <c r="AF42" s="1">
        <v>2.1425000000000001</v>
      </c>
      <c r="AG42" s="1">
        <v>2.1425000000000001</v>
      </c>
      <c r="AH42" s="1">
        <v>2.1425000000000001</v>
      </c>
      <c r="AI42" s="1">
        <v>2.1425000000000001</v>
      </c>
      <c r="AJ42" s="1">
        <v>2.1425000000000001</v>
      </c>
      <c r="AK42" s="1">
        <v>2.1425000000000001</v>
      </c>
      <c r="AL42" s="1">
        <v>2.1425000000000001</v>
      </c>
      <c r="AM42" s="1">
        <v>2.1425000000000001</v>
      </c>
      <c r="AN42" s="1">
        <v>2.1425000000000001</v>
      </c>
    </row>
    <row r="43" spans="1:40">
      <c r="A43" s="1" t="s">
        <v>24</v>
      </c>
      <c r="B43" s="1" t="s">
        <v>356</v>
      </c>
      <c r="C43" s="1">
        <v>2.1425000000000001</v>
      </c>
      <c r="D43" s="1">
        <v>2.1425000000000001</v>
      </c>
      <c r="E43" s="1">
        <v>2.1425000000000001</v>
      </c>
      <c r="F43" s="1">
        <v>2.1425000000000001</v>
      </c>
      <c r="G43" s="1">
        <v>2.1425000000000001</v>
      </c>
      <c r="H43" s="1">
        <v>2.1425000000000001</v>
      </c>
      <c r="I43" s="1">
        <v>2.1425000000000001</v>
      </c>
      <c r="J43" s="1">
        <v>2.1425000000000001</v>
      </c>
      <c r="K43" s="1">
        <v>2.1425000000000001</v>
      </c>
      <c r="L43" s="1">
        <v>2.1425000000000001</v>
      </c>
      <c r="M43" s="1">
        <v>2.1425000000000001</v>
      </c>
      <c r="N43" s="1">
        <v>2.1425000000000001</v>
      </c>
      <c r="O43" s="1">
        <v>2.1425000000000001</v>
      </c>
      <c r="P43" s="1">
        <v>2.1425000000000001</v>
      </c>
      <c r="Q43" s="1">
        <v>2.1425000000000001</v>
      </c>
      <c r="R43" s="1">
        <v>2.1425000000000001</v>
      </c>
      <c r="S43" s="1">
        <v>2.1425000000000001</v>
      </c>
      <c r="T43" s="1">
        <v>2.1425000000000001</v>
      </c>
      <c r="U43" s="1">
        <v>2.1425000000000001</v>
      </c>
      <c r="V43" s="1">
        <v>2.1425000000000001</v>
      </c>
      <c r="W43" s="1">
        <v>2.1425000000000001</v>
      </c>
      <c r="X43" s="1">
        <v>2.1425000000000001</v>
      </c>
      <c r="Y43" s="1">
        <v>2.1425000000000001</v>
      </c>
      <c r="Z43" s="1">
        <v>2.1425000000000001</v>
      </c>
      <c r="AA43" s="1">
        <v>2.1425000000000001</v>
      </c>
      <c r="AB43" s="1">
        <v>2.1425000000000001</v>
      </c>
      <c r="AC43" s="1">
        <v>2.1425000000000001</v>
      </c>
      <c r="AD43" s="1">
        <v>2.1425000000000001</v>
      </c>
      <c r="AE43" s="1">
        <v>2.1425000000000001</v>
      </c>
      <c r="AF43" s="1">
        <v>2.1425000000000001</v>
      </c>
      <c r="AG43" s="1">
        <v>2.1425000000000001</v>
      </c>
      <c r="AH43" s="1">
        <v>2.1425000000000001</v>
      </c>
      <c r="AI43" s="1">
        <v>2.1425000000000001</v>
      </c>
      <c r="AJ43" s="1">
        <v>2.1425000000000001</v>
      </c>
      <c r="AK43" s="1">
        <v>2.1425000000000001</v>
      </c>
      <c r="AL43" s="1">
        <v>2.1425000000000001</v>
      </c>
      <c r="AM43" s="1">
        <v>2.1425000000000001</v>
      </c>
      <c r="AN43" s="1">
        <v>2.1425000000000001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0"/>
  <dimension ref="A1:AM41"/>
  <sheetViews>
    <sheetView workbookViewId="0">
      <selection activeCell="A2" sqref="A2"/>
    </sheetView>
  </sheetViews>
  <sheetFormatPr defaultColWidth="11.42578125" defaultRowHeight="15"/>
  <cols>
    <col min="1" max="1" width="5" style="1" bestFit="1" customWidth="1"/>
    <col min="2" max="2" width="9" style="1" customWidth="1"/>
    <col min="3" max="3" width="15" style="1" bestFit="1" customWidth="1"/>
    <col min="4" max="4" width="9.42578125" style="1" bestFit="1" customWidth="1"/>
    <col min="5" max="5" width="10.42578125" style="1" bestFit="1" customWidth="1"/>
    <col min="6" max="6" width="11.85546875" style="1" bestFit="1" customWidth="1"/>
    <col min="7" max="7" width="9.42578125" style="1" bestFit="1" customWidth="1"/>
    <col min="8" max="8" width="9.140625" style="1" bestFit="1" customWidth="1"/>
    <col min="9" max="10" width="9.42578125" style="1" bestFit="1" customWidth="1"/>
    <col min="11" max="11" width="9.140625" style="1" bestFit="1" customWidth="1"/>
    <col min="12" max="12" width="9.42578125" style="1" bestFit="1" customWidth="1"/>
    <col min="13" max="13" width="11.5703125" style="1" bestFit="1" customWidth="1"/>
    <col min="14" max="14" width="8.42578125" style="1" bestFit="1" customWidth="1"/>
    <col min="15" max="15" width="9.42578125" style="1" bestFit="1" customWidth="1"/>
    <col min="16" max="16" width="9" style="1" bestFit="1" customWidth="1"/>
    <col min="17" max="17" width="11.85546875" style="1" bestFit="1" customWidth="1"/>
    <col min="18" max="18" width="15" style="1" bestFit="1" customWidth="1"/>
    <col min="19" max="16384" width="11.42578125" style="1"/>
  </cols>
  <sheetData>
    <row r="1" spans="1:39">
      <c r="A1" s="1" t="s">
        <v>408</v>
      </c>
    </row>
    <row r="2" spans="1:39">
      <c r="A2" s="1" t="s">
        <v>407</v>
      </c>
    </row>
    <row r="3" spans="1:39">
      <c r="A3" s="1" t="s">
        <v>406</v>
      </c>
    </row>
    <row r="5" spans="1:39">
      <c r="D5" s="28" t="s">
        <v>277</v>
      </c>
      <c r="E5" s="28" t="s">
        <v>278</v>
      </c>
      <c r="F5" s="28" t="s">
        <v>279</v>
      </c>
      <c r="G5" s="28" t="s">
        <v>280</v>
      </c>
      <c r="H5" s="28" t="s">
        <v>281</v>
      </c>
      <c r="I5" s="28" t="s">
        <v>282</v>
      </c>
      <c r="J5" s="28" t="s">
        <v>283</v>
      </c>
      <c r="K5" s="28" t="s">
        <v>284</v>
      </c>
      <c r="L5" s="28" t="s">
        <v>285</v>
      </c>
      <c r="M5" s="28" t="s">
        <v>286</v>
      </c>
      <c r="N5" s="28" t="s">
        <v>287</v>
      </c>
      <c r="O5" s="28" t="s">
        <v>288</v>
      </c>
      <c r="P5" s="28" t="s">
        <v>289</v>
      </c>
      <c r="Q5" s="28" t="s">
        <v>290</v>
      </c>
      <c r="R5" s="28" t="s">
        <v>291</v>
      </c>
      <c r="S5" s="28" t="s">
        <v>292</v>
      </c>
      <c r="T5" s="28" t="s">
        <v>293</v>
      </c>
      <c r="U5" s="28" t="s">
        <v>294</v>
      </c>
      <c r="V5" s="28" t="s">
        <v>295</v>
      </c>
      <c r="W5" s="28" t="s">
        <v>296</v>
      </c>
      <c r="X5" s="28" t="s">
        <v>297</v>
      </c>
      <c r="Y5" s="28" t="s">
        <v>298</v>
      </c>
      <c r="Z5" s="28" t="s">
        <v>299</v>
      </c>
      <c r="AA5" s="28" t="s">
        <v>300</v>
      </c>
      <c r="AB5" s="28" t="s">
        <v>301</v>
      </c>
      <c r="AC5" s="28" t="s">
        <v>302</v>
      </c>
      <c r="AD5" s="28" t="s">
        <v>303</v>
      </c>
      <c r="AE5" s="28" t="s">
        <v>304</v>
      </c>
      <c r="AF5" s="28" t="s">
        <v>305</v>
      </c>
      <c r="AG5" s="28" t="s">
        <v>307</v>
      </c>
      <c r="AH5" s="28" t="s">
        <v>308</v>
      </c>
      <c r="AI5" s="28" t="s">
        <v>309</v>
      </c>
      <c r="AJ5" s="28" t="s">
        <v>310</v>
      </c>
      <c r="AK5" s="28" t="s">
        <v>306</v>
      </c>
      <c r="AL5" s="28" t="s">
        <v>311</v>
      </c>
      <c r="AM5" s="28" t="s">
        <v>312</v>
      </c>
    </row>
    <row r="6" spans="1:39">
      <c r="A6" s="1">
        <v>2018</v>
      </c>
      <c r="B6" s="1" t="s">
        <v>24</v>
      </c>
      <c r="C6" s="28" t="s">
        <v>277</v>
      </c>
      <c r="D6" s="1">
        <v>2</v>
      </c>
      <c r="E6" s="1">
        <v>2</v>
      </c>
      <c r="F6" s="1">
        <v>2</v>
      </c>
      <c r="G6" s="1">
        <v>2</v>
      </c>
      <c r="H6" s="1">
        <v>2</v>
      </c>
      <c r="I6" s="1">
        <v>2</v>
      </c>
      <c r="J6" s="1">
        <v>2</v>
      </c>
      <c r="K6" s="1">
        <v>2</v>
      </c>
      <c r="L6" s="1">
        <v>2</v>
      </c>
      <c r="M6" s="1">
        <v>2</v>
      </c>
      <c r="N6" s="1">
        <v>2</v>
      </c>
      <c r="O6" s="1">
        <v>2</v>
      </c>
      <c r="P6" s="1">
        <v>2</v>
      </c>
      <c r="Q6" s="1">
        <v>2</v>
      </c>
      <c r="R6" s="1">
        <v>2</v>
      </c>
      <c r="S6" s="1">
        <v>2</v>
      </c>
      <c r="T6" s="1">
        <v>2</v>
      </c>
      <c r="U6" s="1">
        <v>2</v>
      </c>
      <c r="V6" s="1">
        <v>2</v>
      </c>
      <c r="W6" s="1">
        <v>2</v>
      </c>
      <c r="X6" s="1">
        <v>2</v>
      </c>
      <c r="Y6" s="1">
        <v>2</v>
      </c>
      <c r="Z6" s="1">
        <v>2</v>
      </c>
      <c r="AA6" s="1">
        <v>2</v>
      </c>
      <c r="AB6" s="1">
        <v>2</v>
      </c>
      <c r="AC6" s="1">
        <v>2</v>
      </c>
      <c r="AD6" s="1">
        <v>2</v>
      </c>
      <c r="AE6" s="1">
        <v>2</v>
      </c>
      <c r="AF6" s="1">
        <v>2</v>
      </c>
      <c r="AG6" s="1">
        <v>2</v>
      </c>
      <c r="AH6" s="1">
        <v>2</v>
      </c>
      <c r="AI6" s="1">
        <v>2</v>
      </c>
      <c r="AJ6" s="1">
        <v>2</v>
      </c>
      <c r="AK6" s="1">
        <v>2</v>
      </c>
      <c r="AL6" s="1">
        <v>2</v>
      </c>
      <c r="AM6" s="1">
        <v>2</v>
      </c>
    </row>
    <row r="7" spans="1:39">
      <c r="A7" s="1">
        <v>2018</v>
      </c>
      <c r="B7" s="1" t="s">
        <v>24</v>
      </c>
      <c r="C7" s="28" t="s">
        <v>278</v>
      </c>
      <c r="D7" s="1">
        <v>2</v>
      </c>
      <c r="E7" s="1">
        <v>2</v>
      </c>
      <c r="F7" s="1">
        <v>2</v>
      </c>
      <c r="G7" s="1">
        <v>2</v>
      </c>
      <c r="H7" s="1">
        <v>2</v>
      </c>
      <c r="I7" s="1">
        <v>2</v>
      </c>
      <c r="J7" s="1">
        <v>2</v>
      </c>
      <c r="K7" s="1">
        <v>2</v>
      </c>
      <c r="L7" s="1">
        <v>2</v>
      </c>
      <c r="M7" s="1">
        <v>2</v>
      </c>
      <c r="N7" s="1">
        <v>2</v>
      </c>
      <c r="O7" s="1">
        <v>2</v>
      </c>
      <c r="P7" s="1">
        <v>2</v>
      </c>
      <c r="Q7" s="1">
        <v>2</v>
      </c>
      <c r="R7" s="1">
        <v>2</v>
      </c>
      <c r="S7" s="1">
        <v>2</v>
      </c>
      <c r="T7" s="1">
        <v>2</v>
      </c>
      <c r="U7" s="1">
        <v>2</v>
      </c>
      <c r="V7" s="1">
        <v>2</v>
      </c>
      <c r="W7" s="1">
        <v>2</v>
      </c>
      <c r="X7" s="1">
        <v>2</v>
      </c>
      <c r="Y7" s="1">
        <v>2</v>
      </c>
      <c r="Z7" s="1">
        <v>2</v>
      </c>
      <c r="AA7" s="1">
        <v>2</v>
      </c>
      <c r="AB7" s="1">
        <v>2</v>
      </c>
      <c r="AC7" s="1">
        <v>2</v>
      </c>
      <c r="AD7" s="1">
        <v>2</v>
      </c>
      <c r="AE7" s="1">
        <v>2</v>
      </c>
      <c r="AF7" s="1">
        <v>2</v>
      </c>
      <c r="AG7" s="1">
        <v>2</v>
      </c>
      <c r="AH7" s="1">
        <v>2</v>
      </c>
      <c r="AI7" s="1">
        <v>2</v>
      </c>
      <c r="AJ7" s="1">
        <v>2</v>
      </c>
      <c r="AK7" s="1">
        <v>2</v>
      </c>
      <c r="AL7" s="1">
        <v>2</v>
      </c>
      <c r="AM7" s="1">
        <v>2</v>
      </c>
    </row>
    <row r="8" spans="1:39">
      <c r="A8" s="1">
        <v>2018</v>
      </c>
      <c r="B8" s="1" t="s">
        <v>24</v>
      </c>
      <c r="C8" s="28" t="s">
        <v>279</v>
      </c>
      <c r="D8" s="1">
        <v>2</v>
      </c>
      <c r="E8" s="1">
        <v>2</v>
      </c>
      <c r="F8" s="1">
        <v>2</v>
      </c>
      <c r="G8" s="1">
        <v>2</v>
      </c>
      <c r="H8" s="1">
        <v>2</v>
      </c>
      <c r="I8" s="1">
        <v>2</v>
      </c>
      <c r="J8" s="1">
        <v>2</v>
      </c>
      <c r="K8" s="1">
        <v>2</v>
      </c>
      <c r="L8" s="1">
        <v>2</v>
      </c>
      <c r="M8" s="1">
        <v>2</v>
      </c>
      <c r="N8" s="1">
        <v>2</v>
      </c>
      <c r="O8" s="1">
        <v>2</v>
      </c>
      <c r="P8" s="1">
        <v>2</v>
      </c>
      <c r="Q8" s="1">
        <v>2</v>
      </c>
      <c r="R8" s="1">
        <v>2</v>
      </c>
      <c r="S8" s="1">
        <v>2</v>
      </c>
      <c r="T8" s="1">
        <v>2</v>
      </c>
      <c r="U8" s="1">
        <v>2</v>
      </c>
      <c r="V8" s="1">
        <v>2</v>
      </c>
      <c r="W8" s="1">
        <v>2</v>
      </c>
      <c r="X8" s="1">
        <v>2</v>
      </c>
      <c r="Y8" s="1">
        <v>2</v>
      </c>
      <c r="Z8" s="1">
        <v>2</v>
      </c>
      <c r="AA8" s="1">
        <v>2</v>
      </c>
      <c r="AB8" s="1">
        <v>2</v>
      </c>
      <c r="AC8" s="1">
        <v>2</v>
      </c>
      <c r="AD8" s="1">
        <v>2</v>
      </c>
      <c r="AE8" s="1">
        <v>2</v>
      </c>
      <c r="AF8" s="1">
        <v>2</v>
      </c>
      <c r="AG8" s="1">
        <v>2</v>
      </c>
      <c r="AH8" s="1">
        <v>2</v>
      </c>
      <c r="AI8" s="1">
        <v>2</v>
      </c>
      <c r="AJ8" s="1">
        <v>2</v>
      </c>
      <c r="AK8" s="1">
        <v>2</v>
      </c>
      <c r="AL8" s="1">
        <v>2</v>
      </c>
      <c r="AM8" s="1">
        <v>2</v>
      </c>
    </row>
    <row r="9" spans="1:39">
      <c r="A9" s="1">
        <v>2018</v>
      </c>
      <c r="B9" s="1" t="s">
        <v>24</v>
      </c>
      <c r="C9" s="28" t="s">
        <v>280</v>
      </c>
      <c r="D9" s="1">
        <v>2</v>
      </c>
      <c r="E9" s="1">
        <v>2</v>
      </c>
      <c r="F9" s="1">
        <v>2</v>
      </c>
      <c r="G9" s="1">
        <v>2</v>
      </c>
      <c r="H9" s="1">
        <v>2</v>
      </c>
      <c r="I9" s="1">
        <v>2</v>
      </c>
      <c r="J9" s="1">
        <v>2</v>
      </c>
      <c r="K9" s="1">
        <v>2</v>
      </c>
      <c r="L9" s="1">
        <v>2</v>
      </c>
      <c r="M9" s="1">
        <v>2</v>
      </c>
      <c r="N9" s="1">
        <v>2</v>
      </c>
      <c r="O9" s="1">
        <v>2</v>
      </c>
      <c r="P9" s="1">
        <v>2</v>
      </c>
      <c r="Q9" s="1">
        <v>2</v>
      </c>
      <c r="R9" s="1">
        <v>2</v>
      </c>
      <c r="S9" s="1">
        <v>2</v>
      </c>
      <c r="T9" s="1">
        <v>2</v>
      </c>
      <c r="U9" s="1">
        <v>2</v>
      </c>
      <c r="V9" s="1">
        <v>2</v>
      </c>
      <c r="W9" s="1">
        <v>2</v>
      </c>
      <c r="X9" s="1">
        <v>2</v>
      </c>
      <c r="Y9" s="1">
        <v>2</v>
      </c>
      <c r="Z9" s="1">
        <v>2</v>
      </c>
      <c r="AA9" s="1">
        <v>2</v>
      </c>
      <c r="AB9" s="1">
        <v>2</v>
      </c>
      <c r="AC9" s="1">
        <v>2</v>
      </c>
      <c r="AD9" s="1">
        <v>2</v>
      </c>
      <c r="AE9" s="1">
        <v>2</v>
      </c>
      <c r="AF9" s="1">
        <v>2</v>
      </c>
      <c r="AG9" s="1">
        <v>2</v>
      </c>
      <c r="AH9" s="1">
        <v>2</v>
      </c>
      <c r="AI9" s="1">
        <v>2</v>
      </c>
      <c r="AJ9" s="1">
        <v>2</v>
      </c>
      <c r="AK9" s="1">
        <v>2</v>
      </c>
      <c r="AL9" s="1">
        <v>2</v>
      </c>
      <c r="AM9" s="1">
        <v>2</v>
      </c>
    </row>
    <row r="10" spans="1:39">
      <c r="A10" s="1">
        <v>2018</v>
      </c>
      <c r="B10" s="1" t="s">
        <v>24</v>
      </c>
      <c r="C10" s="28" t="s">
        <v>281</v>
      </c>
      <c r="D10" s="1">
        <v>2</v>
      </c>
      <c r="E10" s="1">
        <v>2</v>
      </c>
      <c r="F10" s="1">
        <v>2</v>
      </c>
      <c r="G10" s="1">
        <v>2</v>
      </c>
      <c r="H10" s="1">
        <v>2</v>
      </c>
      <c r="I10" s="1">
        <v>2</v>
      </c>
      <c r="J10" s="1">
        <v>2</v>
      </c>
      <c r="K10" s="1">
        <v>2</v>
      </c>
      <c r="L10" s="1">
        <v>2</v>
      </c>
      <c r="M10" s="1">
        <v>2</v>
      </c>
      <c r="N10" s="1">
        <v>2</v>
      </c>
      <c r="O10" s="1">
        <v>2</v>
      </c>
      <c r="P10" s="1">
        <v>2</v>
      </c>
      <c r="Q10" s="1">
        <v>2</v>
      </c>
      <c r="R10" s="1">
        <v>2</v>
      </c>
      <c r="S10" s="1">
        <v>2</v>
      </c>
      <c r="T10" s="1">
        <v>2</v>
      </c>
      <c r="U10" s="1">
        <v>2</v>
      </c>
      <c r="V10" s="1">
        <v>2</v>
      </c>
      <c r="W10" s="1">
        <v>2</v>
      </c>
      <c r="X10" s="1">
        <v>2</v>
      </c>
      <c r="Y10" s="1">
        <v>2</v>
      </c>
      <c r="Z10" s="1">
        <v>2</v>
      </c>
      <c r="AA10" s="1">
        <v>2</v>
      </c>
      <c r="AB10" s="1">
        <v>2</v>
      </c>
      <c r="AC10" s="1">
        <v>2</v>
      </c>
      <c r="AD10" s="1">
        <v>2</v>
      </c>
      <c r="AE10" s="1">
        <v>2</v>
      </c>
      <c r="AF10" s="1">
        <v>2</v>
      </c>
      <c r="AG10" s="1">
        <v>2</v>
      </c>
      <c r="AH10" s="1">
        <v>2</v>
      </c>
      <c r="AI10" s="1">
        <v>2</v>
      </c>
      <c r="AJ10" s="1">
        <v>2</v>
      </c>
      <c r="AK10" s="1">
        <v>2</v>
      </c>
      <c r="AL10" s="1">
        <v>2</v>
      </c>
      <c r="AM10" s="1">
        <v>2</v>
      </c>
    </row>
    <row r="11" spans="1:39">
      <c r="A11" s="1">
        <v>2018</v>
      </c>
      <c r="B11" s="1" t="s">
        <v>24</v>
      </c>
      <c r="C11" s="28" t="s">
        <v>282</v>
      </c>
      <c r="D11" s="1">
        <v>2</v>
      </c>
      <c r="E11" s="1">
        <v>2</v>
      </c>
      <c r="F11" s="1">
        <v>2</v>
      </c>
      <c r="G11" s="1">
        <v>2</v>
      </c>
      <c r="H11" s="1">
        <v>2</v>
      </c>
      <c r="I11" s="1">
        <v>2</v>
      </c>
      <c r="J11" s="1">
        <v>2</v>
      </c>
      <c r="K11" s="1">
        <v>2</v>
      </c>
      <c r="L11" s="1">
        <v>2</v>
      </c>
      <c r="M11" s="1">
        <v>2</v>
      </c>
      <c r="N11" s="1">
        <v>2</v>
      </c>
      <c r="O11" s="1">
        <v>2</v>
      </c>
      <c r="P11" s="1">
        <v>2</v>
      </c>
      <c r="Q11" s="1">
        <v>2</v>
      </c>
      <c r="R11" s="1">
        <v>2</v>
      </c>
      <c r="S11" s="1">
        <v>2</v>
      </c>
      <c r="T11" s="1">
        <v>2</v>
      </c>
      <c r="U11" s="1">
        <v>2</v>
      </c>
      <c r="V11" s="1">
        <v>2</v>
      </c>
      <c r="W11" s="1">
        <v>2</v>
      </c>
      <c r="X11" s="1">
        <v>2</v>
      </c>
      <c r="Y11" s="1">
        <v>2</v>
      </c>
      <c r="Z11" s="1">
        <v>2</v>
      </c>
      <c r="AA11" s="1">
        <v>2</v>
      </c>
      <c r="AB11" s="1">
        <v>2</v>
      </c>
      <c r="AC11" s="1">
        <v>2</v>
      </c>
      <c r="AD11" s="1">
        <v>2</v>
      </c>
      <c r="AE11" s="1">
        <v>2</v>
      </c>
      <c r="AF11" s="1">
        <v>2</v>
      </c>
      <c r="AG11" s="1">
        <v>2</v>
      </c>
      <c r="AH11" s="1">
        <v>2</v>
      </c>
      <c r="AI11" s="1">
        <v>2</v>
      </c>
      <c r="AJ11" s="1">
        <v>2</v>
      </c>
      <c r="AK11" s="1">
        <v>2</v>
      </c>
      <c r="AL11" s="1">
        <v>2</v>
      </c>
      <c r="AM11" s="1">
        <v>2</v>
      </c>
    </row>
    <row r="12" spans="1:39">
      <c r="A12" s="1">
        <v>2018</v>
      </c>
      <c r="B12" s="1" t="s">
        <v>24</v>
      </c>
      <c r="C12" s="28" t="s">
        <v>283</v>
      </c>
      <c r="D12" s="1">
        <v>2</v>
      </c>
      <c r="E12" s="1">
        <v>2</v>
      </c>
      <c r="F12" s="1">
        <v>2</v>
      </c>
      <c r="G12" s="1">
        <v>2</v>
      </c>
      <c r="H12" s="1">
        <v>2</v>
      </c>
      <c r="I12" s="1">
        <v>2</v>
      </c>
      <c r="J12" s="1">
        <v>2</v>
      </c>
      <c r="K12" s="1">
        <v>2</v>
      </c>
      <c r="L12" s="1">
        <v>2</v>
      </c>
      <c r="M12" s="1">
        <v>2</v>
      </c>
      <c r="N12" s="1">
        <v>2</v>
      </c>
      <c r="O12" s="1">
        <v>2</v>
      </c>
      <c r="P12" s="1">
        <v>2</v>
      </c>
      <c r="Q12" s="1">
        <v>2</v>
      </c>
      <c r="R12" s="1">
        <v>2</v>
      </c>
      <c r="S12" s="1">
        <v>2</v>
      </c>
      <c r="T12" s="1">
        <v>2</v>
      </c>
      <c r="U12" s="1">
        <v>2</v>
      </c>
      <c r="V12" s="1">
        <v>2</v>
      </c>
      <c r="W12" s="1">
        <v>2</v>
      </c>
      <c r="X12" s="1">
        <v>2</v>
      </c>
      <c r="Y12" s="1">
        <v>2</v>
      </c>
      <c r="Z12" s="1">
        <v>2</v>
      </c>
      <c r="AA12" s="1">
        <v>2</v>
      </c>
      <c r="AB12" s="1">
        <v>2</v>
      </c>
      <c r="AC12" s="1">
        <v>2</v>
      </c>
      <c r="AD12" s="1">
        <v>2</v>
      </c>
      <c r="AE12" s="1">
        <v>2</v>
      </c>
      <c r="AF12" s="1">
        <v>2</v>
      </c>
      <c r="AG12" s="1">
        <v>2</v>
      </c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</row>
    <row r="13" spans="1:39">
      <c r="A13" s="1">
        <v>2018</v>
      </c>
      <c r="B13" s="1" t="s">
        <v>24</v>
      </c>
      <c r="C13" s="28" t="s">
        <v>284</v>
      </c>
      <c r="D13" s="1">
        <v>2</v>
      </c>
      <c r="E13" s="1">
        <v>2</v>
      </c>
      <c r="F13" s="1">
        <v>2</v>
      </c>
      <c r="G13" s="1">
        <v>2</v>
      </c>
      <c r="H13" s="1">
        <v>2</v>
      </c>
      <c r="I13" s="1">
        <v>2</v>
      </c>
      <c r="J13" s="1">
        <v>2</v>
      </c>
      <c r="K13" s="1">
        <v>2</v>
      </c>
      <c r="L13" s="1">
        <v>2</v>
      </c>
      <c r="M13" s="1">
        <v>2</v>
      </c>
      <c r="N13" s="1">
        <v>2</v>
      </c>
      <c r="O13" s="1">
        <v>2</v>
      </c>
      <c r="P13" s="1">
        <v>2</v>
      </c>
      <c r="Q13" s="1">
        <v>2</v>
      </c>
      <c r="R13" s="1">
        <v>2</v>
      </c>
      <c r="S13" s="1">
        <v>2</v>
      </c>
      <c r="T13" s="1">
        <v>2</v>
      </c>
      <c r="U13" s="1">
        <v>2</v>
      </c>
      <c r="V13" s="1">
        <v>2</v>
      </c>
      <c r="W13" s="1">
        <v>2</v>
      </c>
      <c r="X13" s="1">
        <v>2</v>
      </c>
      <c r="Y13" s="1">
        <v>2</v>
      </c>
      <c r="Z13" s="1">
        <v>2</v>
      </c>
      <c r="AA13" s="1">
        <v>2</v>
      </c>
      <c r="AB13" s="1">
        <v>2</v>
      </c>
      <c r="AC13" s="1">
        <v>2</v>
      </c>
      <c r="AD13" s="1">
        <v>2</v>
      </c>
      <c r="AE13" s="1">
        <v>2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2</v>
      </c>
      <c r="AM13" s="1">
        <v>2</v>
      </c>
    </row>
    <row r="14" spans="1:39">
      <c r="A14" s="1">
        <v>2018</v>
      </c>
      <c r="B14" s="1" t="s">
        <v>24</v>
      </c>
      <c r="C14" s="28" t="s">
        <v>285</v>
      </c>
      <c r="D14" s="1">
        <v>2</v>
      </c>
      <c r="E14" s="1">
        <v>2</v>
      </c>
      <c r="F14" s="1">
        <v>2</v>
      </c>
      <c r="G14" s="1">
        <v>2</v>
      </c>
      <c r="H14" s="1">
        <v>2</v>
      </c>
      <c r="I14" s="1">
        <v>2</v>
      </c>
      <c r="J14" s="1">
        <v>2</v>
      </c>
      <c r="K14" s="1">
        <v>2</v>
      </c>
      <c r="L14" s="1">
        <v>2</v>
      </c>
      <c r="M14" s="1">
        <v>2</v>
      </c>
      <c r="N14" s="1">
        <v>2</v>
      </c>
      <c r="O14" s="1">
        <v>2</v>
      </c>
      <c r="P14" s="1">
        <v>2</v>
      </c>
      <c r="Q14" s="1">
        <v>2</v>
      </c>
      <c r="R14" s="1">
        <v>2</v>
      </c>
      <c r="S14" s="1">
        <v>2</v>
      </c>
      <c r="T14" s="1">
        <v>2</v>
      </c>
      <c r="U14" s="1">
        <v>2</v>
      </c>
      <c r="V14" s="1">
        <v>2</v>
      </c>
      <c r="W14" s="1">
        <v>2</v>
      </c>
      <c r="X14" s="1">
        <v>2</v>
      </c>
      <c r="Y14" s="1">
        <v>2</v>
      </c>
      <c r="Z14" s="1">
        <v>2</v>
      </c>
      <c r="AA14" s="1">
        <v>2</v>
      </c>
      <c r="AB14" s="1">
        <v>2</v>
      </c>
      <c r="AC14" s="1">
        <v>2</v>
      </c>
      <c r="AD14" s="1">
        <v>2</v>
      </c>
      <c r="AE14" s="1">
        <v>2</v>
      </c>
      <c r="AF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</row>
    <row r="15" spans="1:39">
      <c r="A15" s="1">
        <v>2018</v>
      </c>
      <c r="B15" s="1" t="s">
        <v>24</v>
      </c>
      <c r="C15" s="28" t="s">
        <v>286</v>
      </c>
      <c r="D15" s="1">
        <v>2</v>
      </c>
      <c r="E15" s="1">
        <v>2</v>
      </c>
      <c r="F15" s="1">
        <v>2</v>
      </c>
      <c r="G15" s="1">
        <v>2</v>
      </c>
      <c r="H15" s="1">
        <v>2</v>
      </c>
      <c r="I15" s="1">
        <v>2</v>
      </c>
      <c r="J15" s="1">
        <v>2</v>
      </c>
      <c r="K15" s="1">
        <v>2</v>
      </c>
      <c r="L15" s="1">
        <v>2</v>
      </c>
      <c r="M15" s="1">
        <v>2</v>
      </c>
      <c r="N15" s="1">
        <v>2</v>
      </c>
      <c r="O15" s="1">
        <v>2</v>
      </c>
      <c r="P15" s="1">
        <v>2</v>
      </c>
      <c r="Q15" s="1">
        <v>2</v>
      </c>
      <c r="R15" s="1">
        <v>2</v>
      </c>
      <c r="S15" s="1">
        <v>2</v>
      </c>
      <c r="T15" s="1">
        <v>2</v>
      </c>
      <c r="U15" s="1">
        <v>2</v>
      </c>
      <c r="V15" s="1">
        <v>2</v>
      </c>
      <c r="W15" s="1">
        <v>2</v>
      </c>
      <c r="X15" s="1">
        <v>2</v>
      </c>
      <c r="Y15" s="1">
        <v>2</v>
      </c>
      <c r="Z15" s="1">
        <v>2</v>
      </c>
      <c r="AA15" s="1">
        <v>2</v>
      </c>
      <c r="AB15" s="1">
        <v>2</v>
      </c>
      <c r="AC15" s="1">
        <v>2</v>
      </c>
      <c r="AD15" s="1">
        <v>2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</row>
    <row r="16" spans="1:39">
      <c r="A16" s="1">
        <v>2018</v>
      </c>
      <c r="B16" s="1" t="s">
        <v>24</v>
      </c>
      <c r="C16" s="28" t="s">
        <v>287</v>
      </c>
      <c r="D16" s="1">
        <v>2</v>
      </c>
      <c r="E16" s="1">
        <v>2</v>
      </c>
      <c r="F16" s="1">
        <v>2</v>
      </c>
      <c r="G16" s="1">
        <v>2</v>
      </c>
      <c r="H16" s="1">
        <v>2</v>
      </c>
      <c r="I16" s="1">
        <v>2</v>
      </c>
      <c r="J16" s="1">
        <v>2</v>
      </c>
      <c r="K16" s="1">
        <v>2</v>
      </c>
      <c r="L16" s="1">
        <v>2</v>
      </c>
      <c r="M16" s="1">
        <v>2</v>
      </c>
      <c r="N16" s="1">
        <v>2</v>
      </c>
      <c r="O16" s="1">
        <v>2</v>
      </c>
      <c r="P16" s="1">
        <v>2</v>
      </c>
      <c r="Q16" s="1">
        <v>2</v>
      </c>
      <c r="R16" s="1">
        <v>2</v>
      </c>
      <c r="S16" s="1">
        <v>2</v>
      </c>
      <c r="T16" s="1">
        <v>2</v>
      </c>
      <c r="U16" s="1">
        <v>2</v>
      </c>
      <c r="V16" s="1">
        <v>2</v>
      </c>
      <c r="W16" s="1">
        <v>2</v>
      </c>
      <c r="X16" s="1">
        <v>2</v>
      </c>
      <c r="Y16" s="1">
        <v>2</v>
      </c>
      <c r="Z16" s="1">
        <v>2</v>
      </c>
      <c r="AA16" s="1">
        <v>2</v>
      </c>
      <c r="AB16" s="1">
        <v>2</v>
      </c>
      <c r="AC16" s="1">
        <v>2</v>
      </c>
      <c r="AD16" s="1">
        <v>2</v>
      </c>
      <c r="AE16" s="1">
        <v>2</v>
      </c>
      <c r="AF16" s="1">
        <v>2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</row>
    <row r="17" spans="1:39">
      <c r="A17" s="1">
        <v>2018</v>
      </c>
      <c r="B17" s="1" t="s">
        <v>24</v>
      </c>
      <c r="C17" s="28" t="s">
        <v>288</v>
      </c>
      <c r="D17" s="1">
        <v>2</v>
      </c>
      <c r="E17" s="1">
        <v>2</v>
      </c>
      <c r="F17" s="1">
        <v>2</v>
      </c>
      <c r="G17" s="1">
        <v>2</v>
      </c>
      <c r="H17" s="1">
        <v>2</v>
      </c>
      <c r="I17" s="1">
        <v>2</v>
      </c>
      <c r="J17" s="1">
        <v>2</v>
      </c>
      <c r="K17" s="1">
        <v>2</v>
      </c>
      <c r="L17" s="1">
        <v>2</v>
      </c>
      <c r="M17" s="1">
        <v>2</v>
      </c>
      <c r="N17" s="1">
        <v>2</v>
      </c>
      <c r="O17" s="1">
        <v>2</v>
      </c>
      <c r="P17" s="1">
        <v>2</v>
      </c>
      <c r="Q17" s="1">
        <v>2</v>
      </c>
      <c r="R17" s="1">
        <v>2</v>
      </c>
      <c r="S17" s="1">
        <v>2</v>
      </c>
      <c r="T17" s="1">
        <v>2</v>
      </c>
      <c r="U17" s="1">
        <v>2</v>
      </c>
      <c r="V17" s="1">
        <v>2</v>
      </c>
      <c r="W17" s="1">
        <v>2</v>
      </c>
      <c r="X17" s="1">
        <v>2</v>
      </c>
      <c r="Y17" s="1">
        <v>2</v>
      </c>
      <c r="Z17" s="1">
        <v>2</v>
      </c>
      <c r="AA17" s="1">
        <v>2</v>
      </c>
      <c r="AB17" s="1">
        <v>2</v>
      </c>
      <c r="AC17" s="1">
        <v>2</v>
      </c>
      <c r="AD17" s="1">
        <v>2</v>
      </c>
      <c r="AE17" s="1">
        <v>2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</row>
    <row r="18" spans="1:39">
      <c r="A18" s="1">
        <v>2018</v>
      </c>
      <c r="B18" s="1" t="s">
        <v>24</v>
      </c>
      <c r="C18" s="28" t="s">
        <v>289</v>
      </c>
      <c r="D18" s="1">
        <v>2</v>
      </c>
      <c r="E18" s="1">
        <v>2</v>
      </c>
      <c r="F18" s="1">
        <v>2</v>
      </c>
      <c r="G18" s="1">
        <v>2</v>
      </c>
      <c r="H18" s="1">
        <v>2</v>
      </c>
      <c r="I18" s="1">
        <v>2</v>
      </c>
      <c r="J18" s="1">
        <v>2</v>
      </c>
      <c r="K18" s="1">
        <v>2</v>
      </c>
      <c r="L18" s="1">
        <v>2</v>
      </c>
      <c r="M18" s="1">
        <v>2</v>
      </c>
      <c r="N18" s="1">
        <v>2</v>
      </c>
      <c r="O18" s="1">
        <v>2</v>
      </c>
      <c r="P18" s="1">
        <v>2</v>
      </c>
      <c r="Q18" s="1">
        <v>2</v>
      </c>
      <c r="R18" s="1">
        <v>2</v>
      </c>
      <c r="S18" s="1">
        <v>2</v>
      </c>
      <c r="T18" s="1">
        <v>2</v>
      </c>
      <c r="U18" s="1">
        <v>2</v>
      </c>
      <c r="V18" s="1">
        <v>2</v>
      </c>
      <c r="W18" s="1">
        <v>2</v>
      </c>
      <c r="X18" s="1">
        <v>2</v>
      </c>
      <c r="Y18" s="1">
        <v>2</v>
      </c>
      <c r="Z18" s="1">
        <v>2</v>
      </c>
      <c r="AA18" s="1">
        <v>2</v>
      </c>
      <c r="AB18" s="1">
        <v>2</v>
      </c>
      <c r="AC18" s="1">
        <v>2</v>
      </c>
      <c r="AD18" s="1">
        <v>2</v>
      </c>
      <c r="AE18" s="1">
        <v>2</v>
      </c>
      <c r="AF18" s="1">
        <v>2</v>
      </c>
      <c r="AG18" s="1">
        <v>2</v>
      </c>
      <c r="AH18" s="1">
        <v>2</v>
      </c>
      <c r="AI18" s="1">
        <v>2</v>
      </c>
      <c r="AJ18" s="1">
        <v>2</v>
      </c>
      <c r="AK18" s="1">
        <v>2</v>
      </c>
      <c r="AL18" s="1">
        <v>2</v>
      </c>
      <c r="AM18" s="1">
        <v>2</v>
      </c>
    </row>
    <row r="19" spans="1:39">
      <c r="A19" s="1">
        <v>2018</v>
      </c>
      <c r="B19" s="1" t="s">
        <v>24</v>
      </c>
      <c r="C19" s="28" t="s">
        <v>290</v>
      </c>
      <c r="D19" s="1">
        <v>2</v>
      </c>
      <c r="E19" s="1">
        <v>2</v>
      </c>
      <c r="F19" s="1">
        <v>2</v>
      </c>
      <c r="G19" s="1">
        <v>2</v>
      </c>
      <c r="H19" s="1">
        <v>2</v>
      </c>
      <c r="I19" s="1">
        <v>2</v>
      </c>
      <c r="J19" s="1">
        <v>2</v>
      </c>
      <c r="K19" s="1">
        <v>2</v>
      </c>
      <c r="L19" s="1">
        <v>2</v>
      </c>
      <c r="M19" s="1">
        <v>2</v>
      </c>
      <c r="N19" s="1">
        <v>2</v>
      </c>
      <c r="O19" s="1">
        <v>2</v>
      </c>
      <c r="P19" s="1">
        <v>2</v>
      </c>
      <c r="Q19" s="1">
        <v>2</v>
      </c>
      <c r="R19" s="1">
        <v>2</v>
      </c>
      <c r="S19" s="1">
        <v>2</v>
      </c>
      <c r="T19" s="1">
        <v>2</v>
      </c>
      <c r="U19" s="1">
        <v>2</v>
      </c>
      <c r="V19" s="1">
        <v>2</v>
      </c>
      <c r="W19" s="1">
        <v>2</v>
      </c>
      <c r="X19" s="1">
        <v>2</v>
      </c>
      <c r="Y19" s="1">
        <v>2</v>
      </c>
      <c r="Z19" s="1">
        <v>2</v>
      </c>
      <c r="AA19" s="1">
        <v>2</v>
      </c>
      <c r="AB19" s="1">
        <v>2</v>
      </c>
      <c r="AC19" s="1">
        <v>2</v>
      </c>
      <c r="AD19" s="1">
        <v>2</v>
      </c>
      <c r="AE19" s="1">
        <v>2</v>
      </c>
      <c r="AF19" s="1">
        <v>2</v>
      </c>
      <c r="AG19" s="1">
        <v>2</v>
      </c>
      <c r="AH19" s="1">
        <v>2</v>
      </c>
      <c r="AI19" s="1">
        <v>2</v>
      </c>
      <c r="AJ19" s="1">
        <v>2</v>
      </c>
      <c r="AK19" s="1">
        <v>2</v>
      </c>
      <c r="AL19" s="1">
        <v>2</v>
      </c>
      <c r="AM19" s="1">
        <v>2</v>
      </c>
    </row>
    <row r="20" spans="1:39">
      <c r="A20" s="1">
        <v>2018</v>
      </c>
      <c r="B20" s="1" t="s">
        <v>24</v>
      </c>
      <c r="C20" s="28" t="s">
        <v>291</v>
      </c>
      <c r="D20" s="1">
        <v>2</v>
      </c>
      <c r="E20" s="1">
        <v>2</v>
      </c>
      <c r="F20" s="1">
        <v>2</v>
      </c>
      <c r="G20" s="1">
        <v>2</v>
      </c>
      <c r="H20" s="1">
        <v>2</v>
      </c>
      <c r="I20" s="1">
        <v>2</v>
      </c>
      <c r="J20" s="1">
        <v>2</v>
      </c>
      <c r="K20" s="1">
        <v>2</v>
      </c>
      <c r="L20" s="1">
        <v>2</v>
      </c>
      <c r="M20" s="1">
        <v>2</v>
      </c>
      <c r="N20" s="1">
        <v>2</v>
      </c>
      <c r="O20" s="1">
        <v>2</v>
      </c>
      <c r="P20" s="1">
        <v>2</v>
      </c>
      <c r="Q20" s="1">
        <v>2</v>
      </c>
      <c r="R20" s="1">
        <v>2</v>
      </c>
      <c r="S20" s="1">
        <v>2</v>
      </c>
      <c r="T20" s="1">
        <v>2</v>
      </c>
      <c r="U20" s="1">
        <v>2</v>
      </c>
      <c r="V20" s="1">
        <v>2</v>
      </c>
      <c r="W20" s="1">
        <v>2</v>
      </c>
      <c r="X20" s="1">
        <v>2</v>
      </c>
      <c r="Y20" s="1">
        <v>2</v>
      </c>
      <c r="Z20" s="1">
        <v>2</v>
      </c>
      <c r="AA20" s="1">
        <v>2</v>
      </c>
      <c r="AB20" s="1">
        <v>2</v>
      </c>
      <c r="AC20" s="1">
        <v>2</v>
      </c>
      <c r="AD20" s="1">
        <v>2</v>
      </c>
      <c r="AE20" s="1">
        <v>2</v>
      </c>
      <c r="AF20" s="1">
        <v>2</v>
      </c>
      <c r="AG20" s="1">
        <v>2</v>
      </c>
      <c r="AH20" s="1">
        <v>2</v>
      </c>
      <c r="AI20" s="1">
        <v>2</v>
      </c>
      <c r="AJ20" s="1">
        <v>2</v>
      </c>
      <c r="AK20" s="1">
        <v>2</v>
      </c>
      <c r="AL20" s="1">
        <v>2</v>
      </c>
      <c r="AM20" s="1">
        <v>2</v>
      </c>
    </row>
    <row r="21" spans="1:39">
      <c r="A21" s="1">
        <v>2018</v>
      </c>
      <c r="B21" s="1" t="s">
        <v>24</v>
      </c>
      <c r="C21" s="28" t="s">
        <v>292</v>
      </c>
      <c r="D21" s="1">
        <v>2</v>
      </c>
      <c r="E21" s="1">
        <v>2</v>
      </c>
      <c r="F21" s="1">
        <v>2</v>
      </c>
      <c r="G21" s="1">
        <v>2</v>
      </c>
      <c r="H21" s="1">
        <v>2</v>
      </c>
      <c r="I21" s="1">
        <v>2</v>
      </c>
      <c r="J21" s="1">
        <v>2</v>
      </c>
      <c r="K21" s="1">
        <v>2</v>
      </c>
      <c r="L21" s="1">
        <v>2</v>
      </c>
      <c r="M21" s="1">
        <v>2</v>
      </c>
      <c r="N21" s="1">
        <v>2</v>
      </c>
      <c r="O21" s="1">
        <v>2</v>
      </c>
      <c r="P21" s="1">
        <v>2</v>
      </c>
      <c r="Q21" s="1">
        <v>2</v>
      </c>
      <c r="R21" s="1">
        <v>2</v>
      </c>
      <c r="S21" s="1">
        <v>2</v>
      </c>
      <c r="T21" s="1">
        <v>2</v>
      </c>
      <c r="U21" s="1">
        <v>2</v>
      </c>
      <c r="V21" s="1">
        <v>2</v>
      </c>
      <c r="W21" s="1">
        <v>2</v>
      </c>
      <c r="X21" s="1">
        <v>2</v>
      </c>
      <c r="Y21" s="1">
        <v>2</v>
      </c>
      <c r="Z21" s="1">
        <v>2</v>
      </c>
      <c r="AA21" s="1">
        <v>2</v>
      </c>
      <c r="AB21" s="1">
        <v>2</v>
      </c>
      <c r="AC21" s="1">
        <v>2</v>
      </c>
      <c r="AD21" s="1">
        <v>2</v>
      </c>
      <c r="AE21" s="1">
        <v>2</v>
      </c>
      <c r="AF21" s="1">
        <v>2</v>
      </c>
      <c r="AG21" s="1">
        <v>2</v>
      </c>
      <c r="AH21" s="1">
        <v>2</v>
      </c>
      <c r="AI21" s="1">
        <v>2</v>
      </c>
      <c r="AJ21" s="1">
        <v>2</v>
      </c>
      <c r="AK21" s="1">
        <v>2</v>
      </c>
      <c r="AL21" s="1">
        <v>2</v>
      </c>
      <c r="AM21" s="1">
        <v>2</v>
      </c>
    </row>
    <row r="22" spans="1:39">
      <c r="A22" s="1">
        <v>2018</v>
      </c>
      <c r="B22" s="1" t="s">
        <v>24</v>
      </c>
      <c r="C22" s="28" t="s">
        <v>293</v>
      </c>
      <c r="D22" s="1">
        <v>2</v>
      </c>
      <c r="E22" s="1">
        <v>2</v>
      </c>
      <c r="F22" s="1">
        <v>2</v>
      </c>
      <c r="G22" s="1">
        <v>2</v>
      </c>
      <c r="H22" s="1">
        <v>2</v>
      </c>
      <c r="I22" s="1">
        <v>2</v>
      </c>
      <c r="J22" s="1">
        <v>2</v>
      </c>
      <c r="K22" s="1">
        <v>2</v>
      </c>
      <c r="L22" s="1">
        <v>2</v>
      </c>
      <c r="M22" s="1">
        <v>2</v>
      </c>
      <c r="N22" s="1">
        <v>2</v>
      </c>
      <c r="O22" s="1">
        <v>2</v>
      </c>
      <c r="P22" s="1">
        <v>2</v>
      </c>
      <c r="Q22" s="1">
        <v>2</v>
      </c>
      <c r="R22" s="1">
        <v>2</v>
      </c>
      <c r="S22" s="1">
        <v>2</v>
      </c>
      <c r="T22" s="1">
        <v>2</v>
      </c>
      <c r="U22" s="1">
        <v>2</v>
      </c>
      <c r="V22" s="1">
        <v>2</v>
      </c>
      <c r="W22" s="1">
        <v>2</v>
      </c>
      <c r="X22" s="1">
        <v>2</v>
      </c>
      <c r="Y22" s="1">
        <v>2</v>
      </c>
      <c r="Z22" s="1">
        <v>2</v>
      </c>
      <c r="AA22" s="1">
        <v>2</v>
      </c>
      <c r="AB22" s="1">
        <v>2</v>
      </c>
      <c r="AC22" s="1">
        <v>2</v>
      </c>
      <c r="AD22" s="1">
        <v>2</v>
      </c>
      <c r="AE22" s="1">
        <v>2</v>
      </c>
      <c r="AF22" s="1">
        <v>2</v>
      </c>
      <c r="AG22" s="1">
        <v>2</v>
      </c>
      <c r="AH22" s="1">
        <v>2</v>
      </c>
      <c r="AI22" s="1">
        <v>2</v>
      </c>
      <c r="AJ22" s="1">
        <v>2</v>
      </c>
      <c r="AK22" s="1">
        <v>2</v>
      </c>
      <c r="AL22" s="1">
        <v>2</v>
      </c>
      <c r="AM22" s="1">
        <v>2</v>
      </c>
    </row>
    <row r="23" spans="1:39">
      <c r="A23" s="1">
        <v>2018</v>
      </c>
      <c r="B23" s="1" t="s">
        <v>24</v>
      </c>
      <c r="C23" s="28" t="s">
        <v>294</v>
      </c>
      <c r="D23" s="1">
        <v>2</v>
      </c>
      <c r="E23" s="1">
        <v>2</v>
      </c>
      <c r="F23" s="1">
        <v>2</v>
      </c>
      <c r="G23" s="1">
        <v>2</v>
      </c>
      <c r="H23" s="1">
        <v>2</v>
      </c>
      <c r="I23" s="1">
        <v>2</v>
      </c>
      <c r="J23" s="1">
        <v>2</v>
      </c>
      <c r="K23" s="1">
        <v>2</v>
      </c>
      <c r="L23" s="1">
        <v>2</v>
      </c>
      <c r="M23" s="1">
        <v>2</v>
      </c>
      <c r="N23" s="1">
        <v>2</v>
      </c>
      <c r="O23" s="1">
        <v>2</v>
      </c>
      <c r="P23" s="1">
        <v>2</v>
      </c>
      <c r="Q23" s="1">
        <v>2</v>
      </c>
      <c r="R23" s="1">
        <v>2</v>
      </c>
      <c r="S23" s="1">
        <v>2</v>
      </c>
      <c r="T23" s="1">
        <v>2</v>
      </c>
      <c r="U23" s="1">
        <v>2</v>
      </c>
      <c r="V23" s="1">
        <v>2</v>
      </c>
      <c r="W23" s="1">
        <v>2</v>
      </c>
      <c r="X23" s="1">
        <v>2</v>
      </c>
      <c r="Y23" s="1">
        <v>2</v>
      </c>
      <c r="Z23" s="1">
        <v>2</v>
      </c>
      <c r="AA23" s="1">
        <v>2</v>
      </c>
      <c r="AB23" s="1">
        <v>2</v>
      </c>
      <c r="AC23" s="1">
        <v>2</v>
      </c>
      <c r="AD23" s="1">
        <v>2</v>
      </c>
      <c r="AE23" s="1">
        <v>2</v>
      </c>
      <c r="AF23" s="1">
        <v>2</v>
      </c>
      <c r="AG23" s="1">
        <v>2</v>
      </c>
      <c r="AH23" s="1">
        <v>2</v>
      </c>
      <c r="AI23" s="1">
        <v>2</v>
      </c>
      <c r="AJ23" s="1">
        <v>2</v>
      </c>
      <c r="AK23" s="1">
        <v>2</v>
      </c>
      <c r="AL23" s="1">
        <v>2</v>
      </c>
      <c r="AM23" s="1">
        <v>2</v>
      </c>
    </row>
    <row r="24" spans="1:39">
      <c r="A24" s="1">
        <v>2018</v>
      </c>
      <c r="B24" s="1" t="s">
        <v>24</v>
      </c>
      <c r="C24" s="28" t="s">
        <v>295</v>
      </c>
      <c r="D24" s="1">
        <v>2</v>
      </c>
      <c r="E24" s="1">
        <v>2</v>
      </c>
      <c r="F24" s="1">
        <v>2</v>
      </c>
      <c r="G24" s="1">
        <v>2</v>
      </c>
      <c r="H24" s="1">
        <v>2</v>
      </c>
      <c r="I24" s="1">
        <v>2</v>
      </c>
      <c r="J24" s="1">
        <v>2</v>
      </c>
      <c r="K24" s="1">
        <v>2</v>
      </c>
      <c r="L24" s="1">
        <v>2</v>
      </c>
      <c r="M24" s="1">
        <v>2</v>
      </c>
      <c r="N24" s="1">
        <v>2</v>
      </c>
      <c r="O24" s="1">
        <v>2</v>
      </c>
      <c r="P24" s="1">
        <v>2</v>
      </c>
      <c r="Q24" s="1">
        <v>2</v>
      </c>
      <c r="R24" s="1">
        <v>2</v>
      </c>
      <c r="S24" s="1">
        <v>2</v>
      </c>
      <c r="T24" s="1">
        <v>2</v>
      </c>
      <c r="U24" s="1">
        <v>2</v>
      </c>
      <c r="V24" s="1">
        <v>2</v>
      </c>
      <c r="W24" s="1">
        <v>2</v>
      </c>
      <c r="X24" s="1">
        <v>2</v>
      </c>
      <c r="Y24" s="1">
        <v>2</v>
      </c>
      <c r="Z24" s="1">
        <v>2</v>
      </c>
      <c r="AA24" s="1">
        <v>2</v>
      </c>
      <c r="AB24" s="1">
        <v>2</v>
      </c>
      <c r="AC24" s="1">
        <v>2</v>
      </c>
      <c r="AD24" s="1">
        <v>2</v>
      </c>
      <c r="AE24" s="1">
        <v>2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</row>
    <row r="25" spans="1:39">
      <c r="A25" s="1">
        <v>2018</v>
      </c>
      <c r="B25" s="1" t="s">
        <v>24</v>
      </c>
      <c r="C25" s="28" t="s">
        <v>296</v>
      </c>
      <c r="D25" s="1">
        <v>2</v>
      </c>
      <c r="E25" s="1">
        <v>2</v>
      </c>
      <c r="F25" s="1">
        <v>2</v>
      </c>
      <c r="G25" s="1">
        <v>2</v>
      </c>
      <c r="H25" s="1">
        <v>2</v>
      </c>
      <c r="I25" s="1">
        <v>2</v>
      </c>
      <c r="J25" s="1">
        <v>2</v>
      </c>
      <c r="K25" s="1">
        <v>2</v>
      </c>
      <c r="L25" s="1">
        <v>2</v>
      </c>
      <c r="M25" s="1">
        <v>2</v>
      </c>
      <c r="N25" s="1">
        <v>2</v>
      </c>
      <c r="O25" s="1">
        <v>2</v>
      </c>
      <c r="P25" s="1">
        <v>2</v>
      </c>
      <c r="Q25" s="1">
        <v>2</v>
      </c>
      <c r="R25" s="1">
        <v>2</v>
      </c>
      <c r="S25" s="1">
        <v>2</v>
      </c>
      <c r="T25" s="1">
        <v>2</v>
      </c>
      <c r="U25" s="1">
        <v>2</v>
      </c>
      <c r="V25" s="1">
        <v>2</v>
      </c>
      <c r="W25" s="1">
        <v>2</v>
      </c>
      <c r="X25" s="1">
        <v>2</v>
      </c>
      <c r="Y25" s="1">
        <v>2</v>
      </c>
      <c r="Z25" s="1">
        <v>2</v>
      </c>
      <c r="AA25" s="1">
        <v>2</v>
      </c>
      <c r="AB25" s="1">
        <v>2</v>
      </c>
      <c r="AC25" s="1">
        <v>2</v>
      </c>
      <c r="AD25" s="1">
        <v>2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</row>
    <row r="26" spans="1:39">
      <c r="A26" s="1">
        <v>2018</v>
      </c>
      <c r="B26" s="1" t="s">
        <v>24</v>
      </c>
      <c r="C26" s="28" t="s">
        <v>297</v>
      </c>
      <c r="D26" s="1">
        <v>2</v>
      </c>
      <c r="E26" s="1">
        <v>2</v>
      </c>
      <c r="F26" s="1">
        <v>2</v>
      </c>
      <c r="G26" s="1">
        <v>2</v>
      </c>
      <c r="H26" s="1">
        <v>2</v>
      </c>
      <c r="I26" s="1">
        <v>2</v>
      </c>
      <c r="J26" s="1">
        <v>2</v>
      </c>
      <c r="K26" s="1">
        <v>2</v>
      </c>
      <c r="L26" s="1">
        <v>2</v>
      </c>
      <c r="M26" s="1">
        <v>2</v>
      </c>
      <c r="N26" s="1">
        <v>2</v>
      </c>
      <c r="O26" s="1">
        <v>2</v>
      </c>
      <c r="P26" s="1">
        <v>2</v>
      </c>
      <c r="Q26" s="1">
        <v>2</v>
      </c>
      <c r="R26" s="1">
        <v>2</v>
      </c>
      <c r="S26" s="1">
        <v>2</v>
      </c>
      <c r="T26" s="1">
        <v>2</v>
      </c>
      <c r="U26" s="1">
        <v>2</v>
      </c>
      <c r="V26" s="1">
        <v>2</v>
      </c>
      <c r="W26" s="1">
        <v>2</v>
      </c>
      <c r="X26" s="1">
        <v>2</v>
      </c>
      <c r="Y26" s="1">
        <v>2</v>
      </c>
      <c r="Z26" s="1">
        <v>2</v>
      </c>
      <c r="AA26" s="1">
        <v>2</v>
      </c>
      <c r="AB26" s="1">
        <v>2</v>
      </c>
      <c r="AC26" s="1">
        <v>2</v>
      </c>
      <c r="AD26" s="1">
        <v>2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</row>
    <row r="27" spans="1:39">
      <c r="A27" s="1">
        <v>2018</v>
      </c>
      <c r="B27" s="1" t="s">
        <v>24</v>
      </c>
      <c r="C27" s="28" t="s">
        <v>298</v>
      </c>
      <c r="D27" s="1">
        <v>2</v>
      </c>
      <c r="E27" s="1">
        <v>2</v>
      </c>
      <c r="F27" s="1">
        <v>2</v>
      </c>
      <c r="G27" s="1">
        <v>2</v>
      </c>
      <c r="H27" s="1">
        <v>2</v>
      </c>
      <c r="I27" s="1">
        <v>2</v>
      </c>
      <c r="J27" s="1">
        <v>2</v>
      </c>
      <c r="K27" s="1">
        <v>2</v>
      </c>
      <c r="L27" s="1">
        <v>2</v>
      </c>
      <c r="M27" s="1">
        <v>2</v>
      </c>
      <c r="N27" s="1">
        <v>2</v>
      </c>
      <c r="O27" s="1">
        <v>2</v>
      </c>
      <c r="P27" s="1">
        <v>2</v>
      </c>
      <c r="Q27" s="1">
        <v>2</v>
      </c>
      <c r="R27" s="1">
        <v>2</v>
      </c>
      <c r="S27" s="1">
        <v>2</v>
      </c>
      <c r="T27" s="1">
        <v>2</v>
      </c>
      <c r="U27" s="1">
        <v>2</v>
      </c>
      <c r="V27" s="1">
        <v>2</v>
      </c>
      <c r="W27" s="1">
        <v>2</v>
      </c>
      <c r="X27" s="1">
        <v>2</v>
      </c>
      <c r="Y27" s="1">
        <v>2</v>
      </c>
      <c r="Z27" s="1">
        <v>2</v>
      </c>
      <c r="AA27" s="1">
        <v>2</v>
      </c>
      <c r="AB27" s="1">
        <v>2</v>
      </c>
      <c r="AC27" s="1">
        <v>2</v>
      </c>
      <c r="AD27" s="1">
        <v>2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</row>
    <row r="28" spans="1:39">
      <c r="A28" s="1">
        <v>2018</v>
      </c>
      <c r="B28" s="1" t="s">
        <v>24</v>
      </c>
      <c r="C28" s="28" t="s">
        <v>299</v>
      </c>
      <c r="D28" s="1">
        <v>2</v>
      </c>
      <c r="E28" s="1">
        <v>2</v>
      </c>
      <c r="F28" s="1">
        <v>2</v>
      </c>
      <c r="G28" s="1">
        <v>2</v>
      </c>
      <c r="H28" s="1">
        <v>2</v>
      </c>
      <c r="I28" s="1">
        <v>2</v>
      </c>
      <c r="J28" s="1">
        <v>2</v>
      </c>
      <c r="K28" s="1">
        <v>2</v>
      </c>
      <c r="L28" s="1">
        <v>2</v>
      </c>
      <c r="M28" s="1">
        <v>2</v>
      </c>
      <c r="N28" s="1">
        <v>2</v>
      </c>
      <c r="O28" s="1">
        <v>2</v>
      </c>
      <c r="P28" s="1">
        <v>2</v>
      </c>
      <c r="Q28" s="1">
        <v>2</v>
      </c>
      <c r="R28" s="1">
        <v>2</v>
      </c>
      <c r="S28" s="1">
        <v>2</v>
      </c>
      <c r="T28" s="1">
        <v>2</v>
      </c>
      <c r="U28" s="1">
        <v>2</v>
      </c>
      <c r="V28" s="1">
        <v>2</v>
      </c>
      <c r="W28" s="1">
        <v>2</v>
      </c>
      <c r="X28" s="1">
        <v>2</v>
      </c>
      <c r="Y28" s="1">
        <v>2</v>
      </c>
      <c r="Z28" s="1">
        <v>2</v>
      </c>
      <c r="AA28" s="1">
        <v>2</v>
      </c>
      <c r="AB28" s="1">
        <v>2</v>
      </c>
      <c r="AC28" s="1">
        <v>2</v>
      </c>
      <c r="AD28" s="1">
        <v>2</v>
      </c>
      <c r="AE28" s="1">
        <v>2</v>
      </c>
      <c r="AF28" s="1">
        <v>2</v>
      </c>
      <c r="AG28" s="1">
        <v>2</v>
      </c>
      <c r="AH28" s="1">
        <v>2</v>
      </c>
      <c r="AI28" s="1">
        <v>2</v>
      </c>
      <c r="AJ28" s="1">
        <v>2</v>
      </c>
      <c r="AK28" s="1">
        <v>2</v>
      </c>
      <c r="AL28" s="1">
        <v>2</v>
      </c>
      <c r="AM28" s="1">
        <v>2</v>
      </c>
    </row>
    <row r="29" spans="1:39">
      <c r="A29" s="1">
        <v>2018</v>
      </c>
      <c r="B29" s="1" t="s">
        <v>24</v>
      </c>
      <c r="C29" s="28" t="s">
        <v>300</v>
      </c>
      <c r="D29" s="1">
        <v>2</v>
      </c>
      <c r="E29" s="1">
        <v>2</v>
      </c>
      <c r="F29" s="1">
        <v>2</v>
      </c>
      <c r="G29" s="1">
        <v>2</v>
      </c>
      <c r="H29" s="1">
        <v>2</v>
      </c>
      <c r="I29" s="1">
        <v>2</v>
      </c>
      <c r="J29" s="1">
        <v>2</v>
      </c>
      <c r="K29" s="1">
        <v>2</v>
      </c>
      <c r="L29" s="1">
        <v>2</v>
      </c>
      <c r="M29" s="1">
        <v>2</v>
      </c>
      <c r="N29" s="1">
        <v>2</v>
      </c>
      <c r="O29" s="1">
        <v>2</v>
      </c>
      <c r="P29" s="1">
        <v>2</v>
      </c>
      <c r="Q29" s="1">
        <v>2</v>
      </c>
      <c r="R29" s="1">
        <v>2</v>
      </c>
      <c r="S29" s="1">
        <v>2</v>
      </c>
      <c r="T29" s="1">
        <v>2</v>
      </c>
      <c r="U29" s="1">
        <v>2</v>
      </c>
      <c r="V29" s="1">
        <v>2</v>
      </c>
      <c r="W29" s="1">
        <v>2</v>
      </c>
      <c r="X29" s="1">
        <v>2</v>
      </c>
      <c r="Y29" s="1">
        <v>2</v>
      </c>
      <c r="Z29" s="1">
        <v>2</v>
      </c>
      <c r="AA29" s="1">
        <v>2</v>
      </c>
      <c r="AB29" s="1">
        <v>2</v>
      </c>
      <c r="AC29" s="1">
        <v>2</v>
      </c>
      <c r="AD29" s="1">
        <v>2</v>
      </c>
      <c r="AE29" s="1">
        <v>2</v>
      </c>
      <c r="AF29" s="1">
        <v>2</v>
      </c>
      <c r="AG29" s="1">
        <v>2</v>
      </c>
      <c r="AH29" s="1">
        <v>2</v>
      </c>
      <c r="AI29" s="1">
        <v>2</v>
      </c>
      <c r="AJ29" s="1">
        <v>2</v>
      </c>
      <c r="AK29" s="1">
        <v>2</v>
      </c>
      <c r="AL29" s="1">
        <v>2</v>
      </c>
      <c r="AM29" s="1">
        <v>2</v>
      </c>
    </row>
    <row r="30" spans="1:39">
      <c r="A30" s="1">
        <v>2018</v>
      </c>
      <c r="B30" s="1" t="s">
        <v>24</v>
      </c>
      <c r="C30" s="28" t="s">
        <v>301</v>
      </c>
      <c r="D30" s="1">
        <v>2</v>
      </c>
      <c r="E30" s="1">
        <v>2</v>
      </c>
      <c r="F30" s="1">
        <v>2</v>
      </c>
      <c r="G30" s="1">
        <v>2</v>
      </c>
      <c r="H30" s="1">
        <v>2</v>
      </c>
      <c r="I30" s="1">
        <v>2</v>
      </c>
      <c r="J30" s="1">
        <v>2</v>
      </c>
      <c r="K30" s="1">
        <v>2</v>
      </c>
      <c r="L30" s="1">
        <v>2</v>
      </c>
      <c r="M30" s="1">
        <v>2</v>
      </c>
      <c r="N30" s="1">
        <v>2</v>
      </c>
      <c r="O30" s="1">
        <v>2</v>
      </c>
      <c r="P30" s="1">
        <v>2</v>
      </c>
      <c r="Q30" s="1">
        <v>2</v>
      </c>
      <c r="R30" s="1">
        <v>2</v>
      </c>
      <c r="S30" s="1">
        <v>2</v>
      </c>
      <c r="T30" s="1">
        <v>2</v>
      </c>
      <c r="U30" s="1">
        <v>2</v>
      </c>
      <c r="V30" s="1">
        <v>2</v>
      </c>
      <c r="W30" s="1">
        <v>2</v>
      </c>
      <c r="X30" s="1">
        <v>2</v>
      </c>
      <c r="Y30" s="1">
        <v>2</v>
      </c>
      <c r="Z30" s="1">
        <v>2</v>
      </c>
      <c r="AA30" s="1">
        <v>2</v>
      </c>
      <c r="AB30" s="1">
        <v>2</v>
      </c>
      <c r="AC30" s="1">
        <v>2</v>
      </c>
      <c r="AD30" s="1">
        <v>2</v>
      </c>
      <c r="AE30" s="1">
        <v>2</v>
      </c>
      <c r="AF30" s="1">
        <v>2</v>
      </c>
      <c r="AG30" s="1">
        <v>2</v>
      </c>
      <c r="AH30" s="1">
        <v>2</v>
      </c>
      <c r="AI30" s="1">
        <v>2</v>
      </c>
      <c r="AJ30" s="1">
        <v>2</v>
      </c>
      <c r="AK30" s="1">
        <v>2</v>
      </c>
      <c r="AL30" s="1">
        <v>2</v>
      </c>
      <c r="AM30" s="1">
        <v>2</v>
      </c>
    </row>
    <row r="31" spans="1:39">
      <c r="A31" s="1">
        <v>2018</v>
      </c>
      <c r="B31" s="1" t="s">
        <v>24</v>
      </c>
      <c r="C31" s="28" t="s">
        <v>302</v>
      </c>
      <c r="D31" s="1">
        <v>2</v>
      </c>
      <c r="E31" s="1">
        <v>2</v>
      </c>
      <c r="F31" s="1">
        <v>2</v>
      </c>
      <c r="G31" s="1">
        <v>2</v>
      </c>
      <c r="H31" s="1">
        <v>2</v>
      </c>
      <c r="I31" s="1">
        <v>2</v>
      </c>
      <c r="J31" s="1">
        <v>2</v>
      </c>
      <c r="K31" s="1">
        <v>2</v>
      </c>
      <c r="L31" s="1">
        <v>2</v>
      </c>
      <c r="M31" s="1">
        <v>2</v>
      </c>
      <c r="N31" s="1">
        <v>2</v>
      </c>
      <c r="O31" s="1">
        <v>2</v>
      </c>
      <c r="P31" s="1">
        <v>2</v>
      </c>
      <c r="Q31" s="1">
        <v>2</v>
      </c>
      <c r="R31" s="1">
        <v>2</v>
      </c>
      <c r="S31" s="1">
        <v>2</v>
      </c>
      <c r="T31" s="1">
        <v>2</v>
      </c>
      <c r="U31" s="1">
        <v>2</v>
      </c>
      <c r="V31" s="1">
        <v>2</v>
      </c>
      <c r="W31" s="1">
        <v>2</v>
      </c>
      <c r="X31" s="1">
        <v>2</v>
      </c>
      <c r="Y31" s="1">
        <v>2</v>
      </c>
      <c r="Z31" s="1">
        <v>2</v>
      </c>
      <c r="AA31" s="1">
        <v>2</v>
      </c>
      <c r="AB31" s="1">
        <v>2</v>
      </c>
      <c r="AC31" s="1">
        <v>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2</v>
      </c>
      <c r="AJ31" s="1">
        <v>2</v>
      </c>
      <c r="AK31" s="1">
        <v>2</v>
      </c>
      <c r="AL31" s="1">
        <v>2</v>
      </c>
      <c r="AM31" s="1">
        <v>2</v>
      </c>
    </row>
    <row r="32" spans="1:39">
      <c r="A32" s="1">
        <v>2018</v>
      </c>
      <c r="B32" s="1" t="s">
        <v>24</v>
      </c>
      <c r="C32" s="28" t="s">
        <v>303</v>
      </c>
      <c r="D32" s="1">
        <v>2</v>
      </c>
      <c r="E32" s="1">
        <v>2</v>
      </c>
      <c r="F32" s="1">
        <v>2</v>
      </c>
      <c r="G32" s="1">
        <v>2</v>
      </c>
      <c r="H32" s="1">
        <v>2</v>
      </c>
      <c r="I32" s="1">
        <v>2</v>
      </c>
      <c r="J32" s="1">
        <v>2</v>
      </c>
      <c r="K32" s="1">
        <v>2</v>
      </c>
      <c r="L32" s="1">
        <v>2</v>
      </c>
      <c r="M32" s="1">
        <v>2</v>
      </c>
      <c r="N32" s="1">
        <v>2</v>
      </c>
      <c r="O32" s="1">
        <v>2</v>
      </c>
      <c r="P32" s="1">
        <v>2</v>
      </c>
      <c r="Q32" s="1">
        <v>2</v>
      </c>
      <c r="R32" s="1">
        <v>2</v>
      </c>
      <c r="S32" s="1">
        <v>2</v>
      </c>
      <c r="T32" s="1">
        <v>2</v>
      </c>
      <c r="U32" s="1">
        <v>2</v>
      </c>
      <c r="V32" s="1">
        <v>2</v>
      </c>
      <c r="W32" s="1">
        <v>2</v>
      </c>
      <c r="X32" s="1">
        <v>2</v>
      </c>
      <c r="Y32" s="1">
        <v>2</v>
      </c>
      <c r="Z32" s="1">
        <v>2</v>
      </c>
      <c r="AA32" s="1">
        <v>2</v>
      </c>
      <c r="AB32" s="1">
        <v>2</v>
      </c>
      <c r="AC32" s="1">
        <v>2</v>
      </c>
      <c r="AD32" s="1">
        <v>2</v>
      </c>
      <c r="AE32" s="1">
        <v>2</v>
      </c>
      <c r="AF32" s="1">
        <v>2</v>
      </c>
      <c r="AG32" s="1">
        <v>2</v>
      </c>
      <c r="AH32" s="1">
        <v>2</v>
      </c>
      <c r="AI32" s="1">
        <v>2</v>
      </c>
      <c r="AJ32" s="1">
        <v>2</v>
      </c>
      <c r="AK32" s="1">
        <v>2</v>
      </c>
      <c r="AL32" s="1">
        <v>2</v>
      </c>
      <c r="AM32" s="1">
        <v>2</v>
      </c>
    </row>
    <row r="33" spans="1:39">
      <c r="A33" s="1">
        <v>2018</v>
      </c>
      <c r="B33" s="1" t="s">
        <v>24</v>
      </c>
      <c r="C33" s="28" t="s">
        <v>304</v>
      </c>
      <c r="D33" s="1">
        <v>2</v>
      </c>
      <c r="E33" s="1">
        <v>2</v>
      </c>
      <c r="F33" s="1">
        <v>2</v>
      </c>
      <c r="G33" s="1">
        <v>2</v>
      </c>
      <c r="H33" s="1">
        <v>2</v>
      </c>
      <c r="I33" s="1">
        <v>2</v>
      </c>
      <c r="J33" s="1">
        <v>2</v>
      </c>
      <c r="K33" s="1">
        <v>2</v>
      </c>
      <c r="L33" s="1">
        <v>2</v>
      </c>
      <c r="M33" s="1">
        <v>2</v>
      </c>
      <c r="N33" s="1">
        <v>2</v>
      </c>
      <c r="O33" s="1">
        <v>2</v>
      </c>
      <c r="P33" s="1">
        <v>2</v>
      </c>
      <c r="Q33" s="1">
        <v>2</v>
      </c>
      <c r="R33" s="1">
        <v>2</v>
      </c>
      <c r="S33" s="1">
        <v>2</v>
      </c>
      <c r="T33" s="1">
        <v>2</v>
      </c>
      <c r="U33" s="1">
        <v>2</v>
      </c>
      <c r="V33" s="1">
        <v>2</v>
      </c>
      <c r="W33" s="1">
        <v>2</v>
      </c>
      <c r="X33" s="1">
        <v>2</v>
      </c>
      <c r="Y33" s="1">
        <v>2</v>
      </c>
      <c r="Z33" s="1">
        <v>2</v>
      </c>
      <c r="AA33" s="1">
        <v>2</v>
      </c>
      <c r="AB33" s="1">
        <v>2</v>
      </c>
      <c r="AC33" s="1">
        <v>2</v>
      </c>
      <c r="AD33" s="1">
        <v>2</v>
      </c>
      <c r="AE33" s="1">
        <v>2</v>
      </c>
      <c r="AF33" s="1">
        <v>2</v>
      </c>
      <c r="AG33" s="1">
        <v>2</v>
      </c>
      <c r="AH33" s="1">
        <v>2</v>
      </c>
      <c r="AI33" s="1">
        <v>2</v>
      </c>
      <c r="AJ33" s="1">
        <v>2</v>
      </c>
      <c r="AK33" s="1">
        <v>2</v>
      </c>
      <c r="AL33" s="1">
        <v>2</v>
      </c>
      <c r="AM33" s="1">
        <v>2</v>
      </c>
    </row>
    <row r="34" spans="1:39">
      <c r="A34" s="1">
        <v>2018</v>
      </c>
      <c r="B34" s="1" t="s">
        <v>24</v>
      </c>
      <c r="C34" s="28" t="s">
        <v>305</v>
      </c>
      <c r="D34" s="1">
        <v>2</v>
      </c>
      <c r="E34" s="1">
        <v>2</v>
      </c>
      <c r="F34" s="1">
        <v>2</v>
      </c>
      <c r="G34" s="1">
        <v>2</v>
      </c>
      <c r="H34" s="1">
        <v>2</v>
      </c>
      <c r="I34" s="1">
        <v>2</v>
      </c>
      <c r="J34" s="1">
        <v>2</v>
      </c>
      <c r="K34" s="1">
        <v>2</v>
      </c>
      <c r="L34" s="1">
        <v>2</v>
      </c>
      <c r="M34" s="1">
        <v>2</v>
      </c>
      <c r="N34" s="1">
        <v>2</v>
      </c>
      <c r="O34" s="1">
        <v>2</v>
      </c>
      <c r="P34" s="1">
        <v>2</v>
      </c>
      <c r="Q34" s="1">
        <v>2</v>
      </c>
      <c r="R34" s="1">
        <v>2</v>
      </c>
      <c r="S34" s="1">
        <v>2</v>
      </c>
      <c r="T34" s="1">
        <v>2</v>
      </c>
      <c r="U34" s="1">
        <v>2</v>
      </c>
      <c r="V34" s="1">
        <v>2</v>
      </c>
      <c r="W34" s="1">
        <v>2</v>
      </c>
      <c r="X34" s="1">
        <v>2</v>
      </c>
      <c r="Y34" s="1">
        <v>2</v>
      </c>
      <c r="Z34" s="1">
        <v>2</v>
      </c>
      <c r="AA34" s="1">
        <v>2</v>
      </c>
      <c r="AB34" s="1">
        <v>2</v>
      </c>
      <c r="AC34" s="1">
        <v>2</v>
      </c>
      <c r="AD34" s="1">
        <v>2</v>
      </c>
      <c r="AE34" s="1">
        <v>2</v>
      </c>
      <c r="AF34" s="1">
        <v>2</v>
      </c>
      <c r="AG34" s="1">
        <v>2</v>
      </c>
      <c r="AH34" s="1">
        <v>2</v>
      </c>
      <c r="AI34" s="1">
        <v>2</v>
      </c>
      <c r="AJ34" s="1">
        <v>2</v>
      </c>
      <c r="AK34" s="1">
        <v>2</v>
      </c>
      <c r="AL34" s="1">
        <v>2</v>
      </c>
      <c r="AM34" s="1">
        <v>2</v>
      </c>
    </row>
    <row r="35" spans="1:39">
      <c r="A35" s="1">
        <v>2018</v>
      </c>
      <c r="B35" s="1" t="s">
        <v>24</v>
      </c>
      <c r="C35" s="28" t="s">
        <v>307</v>
      </c>
      <c r="D35" s="1">
        <v>2</v>
      </c>
      <c r="E35" s="1">
        <v>2</v>
      </c>
      <c r="F35" s="1">
        <v>2</v>
      </c>
      <c r="G35" s="1">
        <v>2</v>
      </c>
      <c r="H35" s="1">
        <v>2</v>
      </c>
      <c r="I35" s="1">
        <v>2</v>
      </c>
      <c r="J35" s="1">
        <v>2</v>
      </c>
      <c r="K35" s="1">
        <v>2</v>
      </c>
      <c r="L35" s="1">
        <v>2</v>
      </c>
      <c r="M35" s="1">
        <v>2</v>
      </c>
      <c r="N35" s="1">
        <v>2</v>
      </c>
      <c r="O35" s="1">
        <v>2</v>
      </c>
      <c r="P35" s="1">
        <v>2</v>
      </c>
      <c r="Q35" s="1">
        <v>2</v>
      </c>
      <c r="R35" s="1">
        <v>2</v>
      </c>
      <c r="S35" s="1">
        <v>2</v>
      </c>
      <c r="T35" s="1">
        <v>2</v>
      </c>
      <c r="U35" s="1">
        <v>2</v>
      </c>
      <c r="V35" s="1">
        <v>2</v>
      </c>
      <c r="W35" s="1">
        <v>2</v>
      </c>
      <c r="X35" s="1">
        <v>2</v>
      </c>
      <c r="Y35" s="1">
        <v>2</v>
      </c>
      <c r="Z35" s="1">
        <v>2</v>
      </c>
      <c r="AA35" s="1">
        <v>2</v>
      </c>
      <c r="AB35" s="1">
        <v>2</v>
      </c>
      <c r="AC35" s="1">
        <v>2</v>
      </c>
      <c r="AD35" s="1">
        <v>2</v>
      </c>
      <c r="AE35" s="1">
        <v>2</v>
      </c>
      <c r="AF35" s="1">
        <v>2</v>
      </c>
      <c r="AG35" s="1">
        <v>2</v>
      </c>
      <c r="AH35" s="1">
        <v>2</v>
      </c>
      <c r="AI35" s="1">
        <v>2</v>
      </c>
      <c r="AJ35" s="1">
        <v>2</v>
      </c>
      <c r="AK35" s="1">
        <v>2</v>
      </c>
      <c r="AL35" s="1">
        <v>2</v>
      </c>
      <c r="AM35" s="1">
        <v>2</v>
      </c>
    </row>
    <row r="36" spans="1:39">
      <c r="A36" s="1">
        <v>2018</v>
      </c>
      <c r="B36" s="1" t="s">
        <v>24</v>
      </c>
      <c r="C36" s="28" t="s">
        <v>308</v>
      </c>
      <c r="D36" s="1">
        <v>2</v>
      </c>
      <c r="E36" s="1">
        <v>2</v>
      </c>
      <c r="F36" s="1">
        <v>2</v>
      </c>
      <c r="G36" s="1">
        <v>2</v>
      </c>
      <c r="H36" s="1">
        <v>2</v>
      </c>
      <c r="I36" s="1">
        <v>2</v>
      </c>
      <c r="J36" s="1">
        <v>2</v>
      </c>
      <c r="K36" s="1">
        <v>2</v>
      </c>
      <c r="L36" s="1">
        <v>2</v>
      </c>
      <c r="M36" s="1">
        <v>2</v>
      </c>
      <c r="N36" s="1">
        <v>2</v>
      </c>
      <c r="O36" s="1">
        <v>2</v>
      </c>
      <c r="P36" s="1">
        <v>2</v>
      </c>
      <c r="Q36" s="1">
        <v>2</v>
      </c>
      <c r="R36" s="1">
        <v>2</v>
      </c>
      <c r="S36" s="1">
        <v>2</v>
      </c>
      <c r="T36" s="1">
        <v>2</v>
      </c>
      <c r="U36" s="1">
        <v>2</v>
      </c>
      <c r="V36" s="1">
        <v>2</v>
      </c>
      <c r="W36" s="1">
        <v>2</v>
      </c>
      <c r="X36" s="1">
        <v>2</v>
      </c>
      <c r="Y36" s="1">
        <v>2</v>
      </c>
      <c r="Z36" s="1">
        <v>2</v>
      </c>
      <c r="AA36" s="1">
        <v>2</v>
      </c>
      <c r="AB36" s="1">
        <v>2</v>
      </c>
      <c r="AC36" s="1">
        <v>2</v>
      </c>
      <c r="AD36" s="1">
        <v>2</v>
      </c>
      <c r="AE36" s="1">
        <v>2</v>
      </c>
      <c r="AF36" s="1">
        <v>2</v>
      </c>
      <c r="AG36" s="1">
        <v>2</v>
      </c>
      <c r="AH36" s="1">
        <v>2</v>
      </c>
      <c r="AI36" s="1">
        <v>2</v>
      </c>
      <c r="AJ36" s="1">
        <v>2</v>
      </c>
      <c r="AK36" s="1">
        <v>2</v>
      </c>
      <c r="AL36" s="1">
        <v>2</v>
      </c>
      <c r="AM36" s="1">
        <v>2</v>
      </c>
    </row>
    <row r="37" spans="1:39">
      <c r="A37" s="1">
        <v>2018</v>
      </c>
      <c r="B37" s="1" t="s">
        <v>24</v>
      </c>
      <c r="C37" s="28" t="s">
        <v>309</v>
      </c>
      <c r="D37" s="1">
        <v>2</v>
      </c>
      <c r="E37" s="1">
        <v>2</v>
      </c>
      <c r="F37" s="1">
        <v>2</v>
      </c>
      <c r="G37" s="1">
        <v>2</v>
      </c>
      <c r="H37" s="1">
        <v>2</v>
      </c>
      <c r="I37" s="1">
        <v>2</v>
      </c>
      <c r="J37" s="1">
        <v>2</v>
      </c>
      <c r="K37" s="1">
        <v>2</v>
      </c>
      <c r="L37" s="1">
        <v>2</v>
      </c>
      <c r="M37" s="1">
        <v>2</v>
      </c>
      <c r="N37" s="1">
        <v>2</v>
      </c>
      <c r="O37" s="1">
        <v>2</v>
      </c>
      <c r="P37" s="1">
        <v>2</v>
      </c>
      <c r="Q37" s="1">
        <v>2</v>
      </c>
      <c r="R37" s="1">
        <v>2</v>
      </c>
      <c r="S37" s="1">
        <v>2</v>
      </c>
      <c r="T37" s="1">
        <v>2</v>
      </c>
      <c r="U37" s="1">
        <v>2</v>
      </c>
      <c r="V37" s="1">
        <v>2</v>
      </c>
      <c r="W37" s="1">
        <v>2</v>
      </c>
      <c r="X37" s="1">
        <v>2</v>
      </c>
      <c r="Y37" s="1">
        <v>2</v>
      </c>
      <c r="Z37" s="1">
        <v>2</v>
      </c>
      <c r="AA37" s="1">
        <v>2</v>
      </c>
      <c r="AB37" s="1">
        <v>2</v>
      </c>
      <c r="AC37" s="1">
        <v>2</v>
      </c>
      <c r="AD37" s="1">
        <v>2</v>
      </c>
      <c r="AE37" s="1">
        <v>2</v>
      </c>
      <c r="AF37" s="1">
        <v>2</v>
      </c>
      <c r="AG37" s="1">
        <v>2</v>
      </c>
      <c r="AH37" s="1">
        <v>2</v>
      </c>
      <c r="AI37" s="1">
        <v>2</v>
      </c>
      <c r="AJ37" s="1">
        <v>2</v>
      </c>
      <c r="AK37" s="1">
        <v>2</v>
      </c>
      <c r="AL37" s="1">
        <v>2</v>
      </c>
      <c r="AM37" s="1">
        <v>2</v>
      </c>
    </row>
    <row r="38" spans="1:39">
      <c r="A38" s="1">
        <v>2018</v>
      </c>
      <c r="B38" s="1" t="s">
        <v>24</v>
      </c>
      <c r="C38" s="28" t="s">
        <v>310</v>
      </c>
      <c r="D38" s="1">
        <v>2</v>
      </c>
      <c r="E38" s="1">
        <v>2</v>
      </c>
      <c r="F38" s="1">
        <v>2</v>
      </c>
      <c r="G38" s="1">
        <v>2</v>
      </c>
      <c r="H38" s="1">
        <v>2</v>
      </c>
      <c r="I38" s="1">
        <v>2</v>
      </c>
      <c r="J38" s="1">
        <v>2</v>
      </c>
      <c r="K38" s="1">
        <v>2</v>
      </c>
      <c r="L38" s="1">
        <v>2</v>
      </c>
      <c r="M38" s="1">
        <v>2</v>
      </c>
      <c r="N38" s="1">
        <v>2</v>
      </c>
      <c r="O38" s="1">
        <v>2</v>
      </c>
      <c r="P38" s="1">
        <v>2</v>
      </c>
      <c r="Q38" s="1">
        <v>2</v>
      </c>
      <c r="R38" s="1">
        <v>2</v>
      </c>
      <c r="S38" s="1">
        <v>2</v>
      </c>
      <c r="T38" s="1">
        <v>2</v>
      </c>
      <c r="U38" s="1">
        <v>2</v>
      </c>
      <c r="V38" s="1">
        <v>2</v>
      </c>
      <c r="W38" s="1">
        <v>2</v>
      </c>
      <c r="X38" s="1">
        <v>2</v>
      </c>
      <c r="Y38" s="1">
        <v>2</v>
      </c>
      <c r="Z38" s="1">
        <v>2</v>
      </c>
      <c r="AA38" s="1">
        <v>2</v>
      </c>
      <c r="AB38" s="1">
        <v>2</v>
      </c>
      <c r="AC38" s="1">
        <v>2</v>
      </c>
      <c r="AD38" s="1">
        <v>2</v>
      </c>
      <c r="AE38" s="1">
        <v>2</v>
      </c>
      <c r="AF38" s="1">
        <v>2</v>
      </c>
      <c r="AG38" s="1">
        <v>2</v>
      </c>
      <c r="AH38" s="1">
        <v>2</v>
      </c>
      <c r="AI38" s="1">
        <v>2</v>
      </c>
      <c r="AJ38" s="1">
        <v>2</v>
      </c>
      <c r="AK38" s="1">
        <v>2</v>
      </c>
      <c r="AL38" s="1">
        <v>2</v>
      </c>
      <c r="AM38" s="1">
        <v>2</v>
      </c>
    </row>
    <row r="39" spans="1:39">
      <c r="A39" s="1">
        <v>2018</v>
      </c>
      <c r="B39" s="1" t="s">
        <v>24</v>
      </c>
      <c r="C39" s="28" t="s">
        <v>306</v>
      </c>
      <c r="D39" s="1">
        <v>2</v>
      </c>
      <c r="E39" s="1">
        <v>2</v>
      </c>
      <c r="F39" s="1">
        <v>2</v>
      </c>
      <c r="G39" s="1">
        <v>2</v>
      </c>
      <c r="H39" s="1">
        <v>2</v>
      </c>
      <c r="I39" s="1">
        <v>2</v>
      </c>
      <c r="J39" s="1">
        <v>2</v>
      </c>
      <c r="K39" s="1">
        <v>2</v>
      </c>
      <c r="L39" s="1">
        <v>2</v>
      </c>
      <c r="M39" s="1">
        <v>2</v>
      </c>
      <c r="N39" s="1">
        <v>2</v>
      </c>
      <c r="O39" s="1">
        <v>2</v>
      </c>
      <c r="P39" s="1">
        <v>2</v>
      </c>
      <c r="Q39" s="1">
        <v>2</v>
      </c>
      <c r="R39" s="1">
        <v>2</v>
      </c>
      <c r="S39" s="1">
        <v>2</v>
      </c>
      <c r="T39" s="1">
        <v>2</v>
      </c>
      <c r="U39" s="1">
        <v>2</v>
      </c>
      <c r="V39" s="1">
        <v>2</v>
      </c>
      <c r="W39" s="1">
        <v>2</v>
      </c>
      <c r="X39" s="1">
        <v>2</v>
      </c>
      <c r="Y39" s="1">
        <v>2</v>
      </c>
      <c r="Z39" s="1">
        <v>2</v>
      </c>
      <c r="AA39" s="1">
        <v>2</v>
      </c>
      <c r="AB39" s="1">
        <v>2</v>
      </c>
      <c r="AC39" s="1">
        <v>2</v>
      </c>
      <c r="AD39" s="1">
        <v>2</v>
      </c>
      <c r="AE39" s="1">
        <v>2</v>
      </c>
      <c r="AF39" s="1">
        <v>2</v>
      </c>
      <c r="AG39" s="1">
        <v>2</v>
      </c>
      <c r="AH39" s="1">
        <v>2</v>
      </c>
      <c r="AI39" s="1">
        <v>2</v>
      </c>
      <c r="AJ39" s="1">
        <v>2</v>
      </c>
      <c r="AK39" s="1">
        <v>2</v>
      </c>
      <c r="AL39" s="1">
        <v>2</v>
      </c>
      <c r="AM39" s="1">
        <v>2</v>
      </c>
    </row>
    <row r="40" spans="1:39">
      <c r="A40" s="1">
        <v>2018</v>
      </c>
      <c r="B40" s="1" t="s">
        <v>24</v>
      </c>
      <c r="C40" s="28" t="s">
        <v>311</v>
      </c>
      <c r="D40" s="1">
        <v>2</v>
      </c>
      <c r="E40" s="1">
        <v>2</v>
      </c>
      <c r="F40" s="1">
        <v>2</v>
      </c>
      <c r="G40" s="1">
        <v>2</v>
      </c>
      <c r="H40" s="1">
        <v>2</v>
      </c>
      <c r="I40" s="1">
        <v>2</v>
      </c>
      <c r="J40" s="1">
        <v>2</v>
      </c>
      <c r="K40" s="1">
        <v>2</v>
      </c>
      <c r="L40" s="1">
        <v>2</v>
      </c>
      <c r="M40" s="1">
        <v>2</v>
      </c>
      <c r="N40" s="1">
        <v>2</v>
      </c>
      <c r="O40" s="1">
        <v>2</v>
      </c>
      <c r="P40" s="1">
        <v>2</v>
      </c>
      <c r="Q40" s="1">
        <v>2</v>
      </c>
      <c r="R40" s="1">
        <v>2</v>
      </c>
      <c r="S40" s="1">
        <v>2</v>
      </c>
      <c r="T40" s="1">
        <v>2</v>
      </c>
      <c r="U40" s="1">
        <v>2</v>
      </c>
      <c r="V40" s="1">
        <v>2</v>
      </c>
      <c r="W40" s="1">
        <v>2</v>
      </c>
      <c r="X40" s="1">
        <v>2</v>
      </c>
      <c r="Y40" s="1">
        <v>2</v>
      </c>
      <c r="Z40" s="1">
        <v>2</v>
      </c>
      <c r="AA40" s="1">
        <v>2</v>
      </c>
      <c r="AB40" s="1">
        <v>2</v>
      </c>
      <c r="AC40" s="1">
        <v>2</v>
      </c>
      <c r="AD40" s="1">
        <v>2</v>
      </c>
      <c r="AE40" s="1">
        <v>2</v>
      </c>
      <c r="AF40" s="1">
        <v>2</v>
      </c>
      <c r="AG40" s="1">
        <v>2</v>
      </c>
      <c r="AH40" s="1">
        <v>2</v>
      </c>
      <c r="AI40" s="1">
        <v>2</v>
      </c>
      <c r="AJ40" s="1">
        <v>2</v>
      </c>
      <c r="AK40" s="1">
        <v>2</v>
      </c>
      <c r="AL40" s="1">
        <v>2</v>
      </c>
      <c r="AM40" s="1">
        <v>2</v>
      </c>
    </row>
    <row r="41" spans="1:39">
      <c r="A41" s="1">
        <v>2018</v>
      </c>
      <c r="B41" s="1" t="s">
        <v>24</v>
      </c>
      <c r="C41" s="28" t="s">
        <v>312</v>
      </c>
      <c r="D41" s="1">
        <v>2</v>
      </c>
      <c r="E41" s="1">
        <v>2</v>
      </c>
      <c r="F41" s="1">
        <v>2</v>
      </c>
      <c r="G41" s="1">
        <v>2</v>
      </c>
      <c r="H41" s="1">
        <v>2</v>
      </c>
      <c r="I41" s="1">
        <v>2</v>
      </c>
      <c r="J41" s="1">
        <v>2</v>
      </c>
      <c r="K41" s="1">
        <v>2</v>
      </c>
      <c r="L41" s="1">
        <v>2</v>
      </c>
      <c r="M41" s="1">
        <v>2</v>
      </c>
      <c r="N41" s="1">
        <v>2</v>
      </c>
      <c r="O41" s="1">
        <v>2</v>
      </c>
      <c r="P41" s="1">
        <v>2</v>
      </c>
      <c r="Q41" s="1">
        <v>2</v>
      </c>
      <c r="R41" s="1">
        <v>2</v>
      </c>
      <c r="S41" s="1">
        <v>2</v>
      </c>
      <c r="T41" s="1">
        <v>2</v>
      </c>
      <c r="U41" s="1">
        <v>2</v>
      </c>
      <c r="V41" s="1">
        <v>2</v>
      </c>
      <c r="W41" s="1">
        <v>2</v>
      </c>
      <c r="X41" s="1">
        <v>2</v>
      </c>
      <c r="Y41" s="1">
        <v>2</v>
      </c>
      <c r="Z41" s="1">
        <v>2</v>
      </c>
      <c r="AA41" s="1">
        <v>2</v>
      </c>
      <c r="AB41" s="1">
        <v>2</v>
      </c>
      <c r="AC41" s="1">
        <v>2</v>
      </c>
      <c r="AD41" s="1">
        <v>2</v>
      </c>
      <c r="AE41" s="1">
        <v>2</v>
      </c>
      <c r="AF41" s="1">
        <v>2</v>
      </c>
      <c r="AG41" s="1">
        <v>2</v>
      </c>
      <c r="AH41" s="1">
        <v>2</v>
      </c>
      <c r="AI41" s="1">
        <v>2</v>
      </c>
      <c r="AJ41" s="1">
        <v>2</v>
      </c>
      <c r="AK41" s="1">
        <v>2</v>
      </c>
      <c r="AL41" s="1">
        <v>2</v>
      </c>
      <c r="AM41" s="1">
        <v>2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34"/>
  <dimension ref="A1:K5"/>
  <sheetViews>
    <sheetView workbookViewId="0">
      <selection activeCell="A4" sqref="A4"/>
    </sheetView>
  </sheetViews>
  <sheetFormatPr defaultColWidth="11.42578125" defaultRowHeight="15"/>
  <cols>
    <col min="1" max="1" width="24.42578125" style="1" customWidth="1"/>
    <col min="2" max="16384" width="11.42578125" style="1"/>
  </cols>
  <sheetData>
    <row r="1" spans="1:11">
      <c r="A1" s="1" t="s">
        <v>409</v>
      </c>
    </row>
    <row r="2" spans="1:11">
      <c r="A2" s="1" t="s">
        <v>66</v>
      </c>
    </row>
    <row r="3" spans="1:11">
      <c r="A3" s="1" t="s">
        <v>412</v>
      </c>
    </row>
    <row r="4" spans="1:11"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1:11">
      <c r="A5" s="1" t="s">
        <v>20</v>
      </c>
      <c r="B5" s="1" t="s">
        <v>25</v>
      </c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3"/>
  <dimension ref="A1:N6"/>
  <sheetViews>
    <sheetView workbookViewId="0">
      <selection activeCell="L36" sqref="L36"/>
    </sheetView>
  </sheetViews>
  <sheetFormatPr defaultColWidth="11.42578125" defaultRowHeight="15"/>
  <cols>
    <col min="1" max="1" width="25.42578125" style="1" customWidth="1"/>
    <col min="2" max="3" width="11.42578125" style="1"/>
    <col min="4" max="4" width="11.42578125" style="1" customWidth="1"/>
    <col min="5" max="8" width="11.42578125" style="1"/>
    <col min="9" max="10" width="11.42578125" style="1" customWidth="1"/>
    <col min="11" max="16384" width="11.42578125" style="1"/>
  </cols>
  <sheetData>
    <row r="1" spans="1:14">
      <c r="A1" s="1" t="s">
        <v>410</v>
      </c>
    </row>
    <row r="2" spans="1:14">
      <c r="A2" s="1" t="s">
        <v>411</v>
      </c>
    </row>
    <row r="3" spans="1:14">
      <c r="A3" s="1" t="s">
        <v>412</v>
      </c>
    </row>
    <row r="4" spans="1:14">
      <c r="L4" s="87"/>
      <c r="M4" s="87"/>
      <c r="N4" s="87"/>
    </row>
    <row r="5" spans="1:14">
      <c r="B5" s="1">
        <v>2018</v>
      </c>
      <c r="C5" s="1">
        <v>2020</v>
      </c>
      <c r="D5" s="1">
        <v>2025</v>
      </c>
      <c r="E5" s="1">
        <v>2030</v>
      </c>
      <c r="F5" s="1">
        <v>2035</v>
      </c>
      <c r="G5" s="1">
        <v>2040</v>
      </c>
      <c r="H5" s="1">
        <v>2045</v>
      </c>
      <c r="I5" s="1">
        <v>2050</v>
      </c>
    </row>
    <row r="6" spans="1:14">
      <c r="A6" s="1" t="s">
        <v>0</v>
      </c>
      <c r="B6" s="1">
        <v>99999</v>
      </c>
      <c r="C6" s="1">
        <v>99999</v>
      </c>
      <c r="D6" s="1">
        <v>99999</v>
      </c>
      <c r="E6" s="1">
        <v>99999</v>
      </c>
      <c r="F6" s="1">
        <v>99999</v>
      </c>
      <c r="G6" s="1">
        <v>99999</v>
      </c>
      <c r="H6" s="1">
        <v>99999</v>
      </c>
      <c r="I6" s="1">
        <v>99999</v>
      </c>
    </row>
  </sheetData>
  <mergeCells count="1">
    <mergeCell ref="L4:N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selection activeCell="A13" sqref="A13:J13"/>
    </sheetView>
  </sheetViews>
  <sheetFormatPr defaultColWidth="11.42578125" defaultRowHeight="15"/>
  <cols>
    <col min="1" max="2" width="25.42578125" style="1" customWidth="1"/>
    <col min="3" max="4" width="11.42578125" style="1"/>
    <col min="5" max="5" width="11.42578125" style="1" customWidth="1"/>
    <col min="6" max="9" width="11.42578125" style="1"/>
    <col min="10" max="11" width="11.42578125" style="1" customWidth="1"/>
    <col min="12" max="16384" width="11.42578125" style="1"/>
  </cols>
  <sheetData>
    <row r="1" spans="1:10">
      <c r="A1" s="1" t="s">
        <v>413</v>
      </c>
    </row>
    <row r="2" spans="1:10">
      <c r="A2" s="1" t="s">
        <v>370</v>
      </c>
    </row>
    <row r="3" spans="1:10">
      <c r="A3" s="1" t="s">
        <v>412</v>
      </c>
    </row>
    <row r="5" spans="1:10">
      <c r="A5" s="1" t="s">
        <v>25</v>
      </c>
      <c r="B5" s="1" t="s">
        <v>354</v>
      </c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  <row r="6" spans="1:10">
      <c r="A6" s="1" t="s">
        <v>0</v>
      </c>
      <c r="B6" s="1" t="s">
        <v>24</v>
      </c>
      <c r="C6" s="1">
        <v>999999</v>
      </c>
      <c r="D6" s="1">
        <v>999999</v>
      </c>
      <c r="E6" s="1">
        <v>999999</v>
      </c>
      <c r="F6" s="1">
        <v>999999</v>
      </c>
      <c r="G6" s="1">
        <v>999999</v>
      </c>
      <c r="H6" s="1">
        <v>999999</v>
      </c>
      <c r="I6" s="1">
        <v>999999</v>
      </c>
      <c r="J6" s="1">
        <v>999999</v>
      </c>
    </row>
    <row r="7" spans="1:10">
      <c r="A7" s="1" t="s">
        <v>0</v>
      </c>
      <c r="B7" s="1" t="s">
        <v>313</v>
      </c>
      <c r="C7" s="1">
        <v>999999</v>
      </c>
      <c r="D7" s="1">
        <v>999999</v>
      </c>
      <c r="E7" s="1">
        <v>999999</v>
      </c>
      <c r="F7" s="1">
        <v>999999</v>
      </c>
      <c r="G7" s="1">
        <v>999999</v>
      </c>
      <c r="H7" s="1">
        <v>999999</v>
      </c>
      <c r="I7" s="1">
        <v>999999</v>
      </c>
      <c r="J7" s="1">
        <v>999999</v>
      </c>
    </row>
    <row r="8" spans="1:10">
      <c r="A8" s="1" t="s">
        <v>0</v>
      </c>
      <c r="B8" s="1" t="s">
        <v>348</v>
      </c>
      <c r="C8" s="1">
        <v>999999</v>
      </c>
      <c r="D8" s="1">
        <v>999999</v>
      </c>
      <c r="E8" s="1">
        <v>999999</v>
      </c>
      <c r="F8" s="1">
        <v>999999</v>
      </c>
      <c r="G8" s="1">
        <v>999999</v>
      </c>
      <c r="H8" s="1">
        <v>999999</v>
      </c>
      <c r="I8" s="1">
        <v>999999</v>
      </c>
      <c r="J8" s="1">
        <v>999999</v>
      </c>
    </row>
    <row r="9" spans="1:10">
      <c r="A9" s="1" t="s">
        <v>0</v>
      </c>
      <c r="B9" s="1" t="s">
        <v>349</v>
      </c>
      <c r="C9" s="1">
        <v>999999</v>
      </c>
      <c r="D9" s="1">
        <v>999999</v>
      </c>
      <c r="E9" s="1">
        <v>999999</v>
      </c>
      <c r="F9" s="1">
        <v>999999</v>
      </c>
      <c r="G9" s="1">
        <v>999999</v>
      </c>
      <c r="H9" s="1">
        <v>999999</v>
      </c>
      <c r="I9" s="1">
        <v>999999</v>
      </c>
      <c r="J9" s="1">
        <v>999999</v>
      </c>
    </row>
    <row r="10" spans="1:10">
      <c r="A10" s="1" t="s">
        <v>0</v>
      </c>
      <c r="B10" s="1" t="s">
        <v>350</v>
      </c>
      <c r="C10" s="1">
        <v>999999</v>
      </c>
      <c r="D10" s="1">
        <v>999999</v>
      </c>
      <c r="E10" s="1">
        <v>999999</v>
      </c>
      <c r="F10" s="1">
        <v>999999</v>
      </c>
      <c r="G10" s="1">
        <v>999999</v>
      </c>
      <c r="H10" s="1">
        <v>999999</v>
      </c>
      <c r="I10" s="1">
        <v>999999</v>
      </c>
      <c r="J10" s="1">
        <v>999999</v>
      </c>
    </row>
    <row r="11" spans="1:10">
      <c r="A11" s="1" t="s">
        <v>0</v>
      </c>
      <c r="B11" s="1" t="s">
        <v>351</v>
      </c>
      <c r="C11" s="1">
        <v>999999</v>
      </c>
      <c r="D11" s="1">
        <v>999999</v>
      </c>
      <c r="E11" s="1">
        <v>999999</v>
      </c>
      <c r="F11" s="1">
        <v>999999</v>
      </c>
      <c r="G11" s="1">
        <v>999999</v>
      </c>
      <c r="H11" s="1">
        <v>999999</v>
      </c>
      <c r="I11" s="1">
        <v>999999</v>
      </c>
      <c r="J11" s="1">
        <v>999999</v>
      </c>
    </row>
    <row r="12" spans="1:10">
      <c r="A12" s="1" t="s">
        <v>0</v>
      </c>
      <c r="B12" s="1" t="s">
        <v>352</v>
      </c>
      <c r="C12" s="1">
        <v>999999</v>
      </c>
      <c r="D12" s="1">
        <v>999999</v>
      </c>
      <c r="E12" s="1">
        <v>999999</v>
      </c>
      <c r="F12" s="1">
        <v>999999</v>
      </c>
      <c r="G12" s="1">
        <v>999999</v>
      </c>
      <c r="H12" s="1">
        <v>999999</v>
      </c>
      <c r="I12" s="1">
        <v>999999</v>
      </c>
      <c r="J12" s="1">
        <v>999999</v>
      </c>
    </row>
    <row r="13" spans="1:10">
      <c r="A13" s="10" t="s">
        <v>0</v>
      </c>
      <c r="B13" s="10" t="s">
        <v>474</v>
      </c>
      <c r="C13" s="10">
        <v>999999</v>
      </c>
      <c r="D13" s="10">
        <v>999999</v>
      </c>
      <c r="E13" s="10">
        <v>999999</v>
      </c>
      <c r="F13" s="10">
        <v>999999</v>
      </c>
      <c r="G13" s="10">
        <v>999999</v>
      </c>
      <c r="H13" s="10">
        <v>999999</v>
      </c>
      <c r="I13" s="10">
        <v>999999</v>
      </c>
      <c r="J13" s="10">
        <v>999999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5"/>
  <dimension ref="A1:J43"/>
  <sheetViews>
    <sheetView workbookViewId="0">
      <selection activeCell="A6" sqref="A6"/>
    </sheetView>
  </sheetViews>
  <sheetFormatPr defaultColWidth="11.42578125" defaultRowHeight="15"/>
  <cols>
    <col min="1" max="1" width="25.42578125" style="1" customWidth="1"/>
    <col min="2" max="3" width="11.42578125" style="1"/>
    <col min="4" max="4" width="11.42578125" style="1" customWidth="1"/>
    <col min="5" max="8" width="11.42578125" style="1"/>
    <col min="9" max="10" width="11.42578125" style="1" customWidth="1"/>
    <col min="11" max="16384" width="11.42578125" style="1"/>
  </cols>
  <sheetData>
    <row r="1" spans="1:10">
      <c r="A1" s="1" t="s">
        <v>414</v>
      </c>
    </row>
    <row r="2" spans="1:10">
      <c r="A2" s="1" t="s">
        <v>67</v>
      </c>
    </row>
    <row r="3" spans="1:10">
      <c r="A3" s="1" t="s">
        <v>412</v>
      </c>
    </row>
    <row r="5" spans="1:10">
      <c r="A5" s="1" t="s">
        <v>20</v>
      </c>
      <c r="B5" s="1" t="s">
        <v>25</v>
      </c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  <row r="6" spans="1:10">
      <c r="A6" s="28" t="s">
        <v>277</v>
      </c>
      <c r="B6" s="1" t="s">
        <v>0</v>
      </c>
      <c r="C6" s="1">
        <v>999999</v>
      </c>
      <c r="D6" s="1">
        <v>999999</v>
      </c>
      <c r="E6" s="1">
        <v>999999</v>
      </c>
      <c r="F6" s="1">
        <v>999999</v>
      </c>
      <c r="G6" s="1">
        <v>999999</v>
      </c>
      <c r="H6" s="1">
        <v>999999</v>
      </c>
      <c r="I6" s="1">
        <v>999999</v>
      </c>
      <c r="J6" s="1">
        <v>999999</v>
      </c>
    </row>
    <row r="7" spans="1:10">
      <c r="A7" s="28" t="s">
        <v>278</v>
      </c>
      <c r="B7" s="1" t="s">
        <v>0</v>
      </c>
      <c r="C7" s="1">
        <v>999999</v>
      </c>
      <c r="D7" s="1">
        <v>999999</v>
      </c>
      <c r="E7" s="1">
        <v>999999</v>
      </c>
      <c r="F7" s="1">
        <v>999999</v>
      </c>
      <c r="G7" s="1">
        <v>999999</v>
      </c>
      <c r="H7" s="1">
        <v>999999</v>
      </c>
      <c r="I7" s="1">
        <v>999999</v>
      </c>
      <c r="J7" s="1">
        <v>999999</v>
      </c>
    </row>
    <row r="8" spans="1:10">
      <c r="A8" s="28" t="s">
        <v>279</v>
      </c>
      <c r="B8" s="1" t="s">
        <v>0</v>
      </c>
      <c r="C8" s="1">
        <v>999999</v>
      </c>
      <c r="D8" s="1">
        <v>999999</v>
      </c>
      <c r="E8" s="1">
        <v>999999</v>
      </c>
      <c r="F8" s="1">
        <v>999999</v>
      </c>
      <c r="G8" s="1">
        <v>999999</v>
      </c>
      <c r="H8" s="1">
        <v>999999</v>
      </c>
      <c r="I8" s="1">
        <v>999999</v>
      </c>
      <c r="J8" s="1">
        <v>999999</v>
      </c>
    </row>
    <row r="9" spans="1:10">
      <c r="A9" s="28" t="s">
        <v>280</v>
      </c>
      <c r="B9" s="1" t="s">
        <v>0</v>
      </c>
      <c r="C9" s="1">
        <v>999999</v>
      </c>
      <c r="D9" s="1">
        <v>999999</v>
      </c>
      <c r="E9" s="1">
        <v>999999</v>
      </c>
      <c r="F9" s="1">
        <v>999999</v>
      </c>
      <c r="G9" s="1">
        <v>999999</v>
      </c>
      <c r="H9" s="1">
        <v>999999</v>
      </c>
      <c r="I9" s="1">
        <v>999999</v>
      </c>
      <c r="J9" s="1">
        <v>999999</v>
      </c>
    </row>
    <row r="10" spans="1:10">
      <c r="A10" s="28" t="s">
        <v>281</v>
      </c>
      <c r="B10" s="1" t="s">
        <v>0</v>
      </c>
      <c r="C10" s="1">
        <v>999999</v>
      </c>
      <c r="D10" s="1">
        <v>999999</v>
      </c>
      <c r="E10" s="1">
        <v>999999</v>
      </c>
      <c r="F10" s="1">
        <v>999999</v>
      </c>
      <c r="G10" s="1">
        <v>999999</v>
      </c>
      <c r="H10" s="1">
        <v>999999</v>
      </c>
      <c r="I10" s="1">
        <v>999999</v>
      </c>
      <c r="J10" s="1">
        <v>999999</v>
      </c>
    </row>
    <row r="11" spans="1:10">
      <c r="A11" s="28" t="s">
        <v>282</v>
      </c>
      <c r="B11" s="1" t="s">
        <v>0</v>
      </c>
      <c r="C11" s="1">
        <v>999999</v>
      </c>
      <c r="D11" s="1">
        <v>999999</v>
      </c>
      <c r="E11" s="1">
        <v>999999</v>
      </c>
      <c r="F11" s="1">
        <v>999999</v>
      </c>
      <c r="G11" s="1">
        <v>999999</v>
      </c>
      <c r="H11" s="1">
        <v>999999</v>
      </c>
      <c r="I11" s="1">
        <v>999999</v>
      </c>
      <c r="J11" s="1">
        <v>999999</v>
      </c>
    </row>
    <row r="12" spans="1:10">
      <c r="A12" s="28" t="s">
        <v>283</v>
      </c>
      <c r="B12" s="1" t="s">
        <v>0</v>
      </c>
      <c r="C12" s="1">
        <v>999999</v>
      </c>
      <c r="D12" s="1">
        <v>999999</v>
      </c>
      <c r="E12" s="1">
        <v>999999</v>
      </c>
      <c r="F12" s="1">
        <v>999999</v>
      </c>
      <c r="G12" s="1">
        <v>999999</v>
      </c>
      <c r="H12" s="1">
        <v>999999</v>
      </c>
      <c r="I12" s="1">
        <v>999999</v>
      </c>
      <c r="J12" s="1">
        <v>999999</v>
      </c>
    </row>
    <row r="13" spans="1:10">
      <c r="A13" s="28" t="s">
        <v>284</v>
      </c>
      <c r="B13" s="1" t="s">
        <v>0</v>
      </c>
      <c r="C13" s="1">
        <v>999999</v>
      </c>
      <c r="D13" s="1">
        <v>999999</v>
      </c>
      <c r="E13" s="1">
        <v>999999</v>
      </c>
      <c r="F13" s="1">
        <v>999999</v>
      </c>
      <c r="G13" s="1">
        <v>999999</v>
      </c>
      <c r="H13" s="1">
        <v>999999</v>
      </c>
      <c r="I13" s="1">
        <v>999999</v>
      </c>
      <c r="J13" s="1">
        <v>999999</v>
      </c>
    </row>
    <row r="14" spans="1:10">
      <c r="A14" s="28" t="s">
        <v>285</v>
      </c>
      <c r="B14" s="1" t="s">
        <v>0</v>
      </c>
      <c r="C14" s="1">
        <v>999999</v>
      </c>
      <c r="D14" s="1">
        <v>999999</v>
      </c>
      <c r="E14" s="1">
        <v>999999</v>
      </c>
      <c r="F14" s="1">
        <v>999999</v>
      </c>
      <c r="G14" s="1">
        <v>999999</v>
      </c>
      <c r="H14" s="1">
        <v>999999</v>
      </c>
      <c r="I14" s="1">
        <v>999999</v>
      </c>
      <c r="J14" s="1">
        <v>999999</v>
      </c>
    </row>
    <row r="15" spans="1:10">
      <c r="A15" s="28" t="s">
        <v>286</v>
      </c>
      <c r="B15" s="1" t="s">
        <v>0</v>
      </c>
      <c r="C15" s="1">
        <v>999999</v>
      </c>
      <c r="D15" s="1">
        <v>999999</v>
      </c>
      <c r="E15" s="1">
        <v>999999</v>
      </c>
      <c r="F15" s="1">
        <v>999999</v>
      </c>
      <c r="G15" s="1">
        <v>999999</v>
      </c>
      <c r="H15" s="1">
        <v>999999</v>
      </c>
      <c r="I15" s="1">
        <v>999999</v>
      </c>
      <c r="J15" s="1">
        <v>999999</v>
      </c>
    </row>
    <row r="16" spans="1:10">
      <c r="A16" s="28" t="s">
        <v>287</v>
      </c>
      <c r="B16" s="1" t="s">
        <v>0</v>
      </c>
      <c r="C16" s="1">
        <v>999999</v>
      </c>
      <c r="D16" s="1">
        <v>999999</v>
      </c>
      <c r="E16" s="1">
        <v>999999</v>
      </c>
      <c r="F16" s="1">
        <v>999999</v>
      </c>
      <c r="G16" s="1">
        <v>999999</v>
      </c>
      <c r="H16" s="1">
        <v>999999</v>
      </c>
      <c r="I16" s="1">
        <v>999999</v>
      </c>
      <c r="J16" s="1">
        <v>999999</v>
      </c>
    </row>
    <row r="17" spans="1:10">
      <c r="A17" s="28" t="s">
        <v>288</v>
      </c>
      <c r="B17" s="1" t="s">
        <v>0</v>
      </c>
      <c r="C17" s="1">
        <v>999999</v>
      </c>
      <c r="D17" s="1">
        <v>999999</v>
      </c>
      <c r="E17" s="1">
        <v>999999</v>
      </c>
      <c r="F17" s="1">
        <v>999999</v>
      </c>
      <c r="G17" s="1">
        <v>999999</v>
      </c>
      <c r="H17" s="1">
        <v>999999</v>
      </c>
      <c r="I17" s="1">
        <v>999999</v>
      </c>
      <c r="J17" s="1">
        <v>999999</v>
      </c>
    </row>
    <row r="18" spans="1:10">
      <c r="A18" s="28" t="s">
        <v>289</v>
      </c>
      <c r="B18" s="1" t="s">
        <v>0</v>
      </c>
      <c r="C18" s="1">
        <v>999999</v>
      </c>
      <c r="D18" s="1">
        <v>999999</v>
      </c>
      <c r="E18" s="1">
        <v>999999</v>
      </c>
      <c r="F18" s="1">
        <v>999999</v>
      </c>
      <c r="G18" s="1">
        <v>999999</v>
      </c>
      <c r="H18" s="1">
        <v>999999</v>
      </c>
      <c r="I18" s="1">
        <v>999999</v>
      </c>
      <c r="J18" s="1">
        <v>999999</v>
      </c>
    </row>
    <row r="19" spans="1:10">
      <c r="A19" s="28" t="s">
        <v>290</v>
      </c>
      <c r="B19" s="1" t="s">
        <v>0</v>
      </c>
      <c r="C19" s="1">
        <v>999999</v>
      </c>
      <c r="D19" s="1">
        <v>999999</v>
      </c>
      <c r="E19" s="1">
        <v>999999</v>
      </c>
      <c r="F19" s="1">
        <v>999999</v>
      </c>
      <c r="G19" s="1">
        <v>999999</v>
      </c>
      <c r="H19" s="1">
        <v>999999</v>
      </c>
      <c r="I19" s="1">
        <v>999999</v>
      </c>
      <c r="J19" s="1">
        <v>999999</v>
      </c>
    </row>
    <row r="20" spans="1:10">
      <c r="A20" s="28" t="s">
        <v>291</v>
      </c>
      <c r="B20" s="1" t="s">
        <v>0</v>
      </c>
      <c r="C20" s="1">
        <v>999999</v>
      </c>
      <c r="D20" s="1">
        <v>999999</v>
      </c>
      <c r="E20" s="1">
        <v>999999</v>
      </c>
      <c r="F20" s="1">
        <v>999999</v>
      </c>
      <c r="G20" s="1">
        <v>999999</v>
      </c>
      <c r="H20" s="1">
        <v>999999</v>
      </c>
      <c r="I20" s="1">
        <v>999999</v>
      </c>
      <c r="J20" s="1">
        <v>999999</v>
      </c>
    </row>
    <row r="21" spans="1:10">
      <c r="A21" s="28" t="s">
        <v>292</v>
      </c>
      <c r="B21" s="1" t="s">
        <v>0</v>
      </c>
      <c r="C21" s="1">
        <v>999999</v>
      </c>
      <c r="D21" s="1">
        <v>999999</v>
      </c>
      <c r="E21" s="1">
        <v>999999</v>
      </c>
      <c r="F21" s="1">
        <v>999999</v>
      </c>
      <c r="G21" s="1">
        <v>999999</v>
      </c>
      <c r="H21" s="1">
        <v>999999</v>
      </c>
      <c r="I21" s="1">
        <v>999999</v>
      </c>
      <c r="J21" s="1">
        <v>999999</v>
      </c>
    </row>
    <row r="22" spans="1:10">
      <c r="A22" s="28" t="s">
        <v>293</v>
      </c>
      <c r="B22" s="1" t="s">
        <v>0</v>
      </c>
      <c r="C22" s="1">
        <v>999999</v>
      </c>
      <c r="D22" s="1">
        <v>999999</v>
      </c>
      <c r="E22" s="1">
        <v>999999</v>
      </c>
      <c r="F22" s="1">
        <v>999999</v>
      </c>
      <c r="G22" s="1">
        <v>999999</v>
      </c>
      <c r="H22" s="1">
        <v>999999</v>
      </c>
      <c r="I22" s="1">
        <v>999999</v>
      </c>
      <c r="J22" s="1">
        <v>999999</v>
      </c>
    </row>
    <row r="23" spans="1:10">
      <c r="A23" s="28" t="s">
        <v>294</v>
      </c>
      <c r="B23" s="1" t="s">
        <v>0</v>
      </c>
      <c r="C23" s="1">
        <v>999999</v>
      </c>
      <c r="D23" s="1">
        <v>999999</v>
      </c>
      <c r="E23" s="1">
        <v>999999</v>
      </c>
      <c r="F23" s="1">
        <v>999999</v>
      </c>
      <c r="G23" s="1">
        <v>999999</v>
      </c>
      <c r="H23" s="1">
        <v>999999</v>
      </c>
      <c r="I23" s="1">
        <v>999999</v>
      </c>
      <c r="J23" s="1">
        <v>999999</v>
      </c>
    </row>
    <row r="24" spans="1:10">
      <c r="A24" s="28" t="s">
        <v>295</v>
      </c>
      <c r="B24" s="1" t="s">
        <v>0</v>
      </c>
      <c r="C24" s="1">
        <v>999999</v>
      </c>
      <c r="D24" s="1">
        <v>999999</v>
      </c>
      <c r="E24" s="1">
        <v>999999</v>
      </c>
      <c r="F24" s="1">
        <v>999999</v>
      </c>
      <c r="G24" s="1">
        <v>999999</v>
      </c>
      <c r="H24" s="1">
        <v>999999</v>
      </c>
      <c r="I24" s="1">
        <v>999999</v>
      </c>
      <c r="J24" s="1">
        <v>999999</v>
      </c>
    </row>
    <row r="25" spans="1:10">
      <c r="A25" s="28" t="s">
        <v>296</v>
      </c>
      <c r="B25" s="1" t="s">
        <v>0</v>
      </c>
      <c r="C25" s="1">
        <v>999999</v>
      </c>
      <c r="D25" s="1">
        <v>999999</v>
      </c>
      <c r="E25" s="1">
        <v>999999</v>
      </c>
      <c r="F25" s="1">
        <v>999999</v>
      </c>
      <c r="G25" s="1">
        <v>999999</v>
      </c>
      <c r="H25" s="1">
        <v>999999</v>
      </c>
      <c r="I25" s="1">
        <v>999999</v>
      </c>
      <c r="J25" s="1">
        <v>999999</v>
      </c>
    </row>
    <row r="26" spans="1:10">
      <c r="A26" s="28" t="s">
        <v>297</v>
      </c>
      <c r="B26" s="1" t="s">
        <v>0</v>
      </c>
      <c r="C26" s="1">
        <v>999999</v>
      </c>
      <c r="D26" s="1">
        <v>999999</v>
      </c>
      <c r="E26" s="1">
        <v>999999</v>
      </c>
      <c r="F26" s="1">
        <v>999999</v>
      </c>
      <c r="G26" s="1">
        <v>999999</v>
      </c>
      <c r="H26" s="1">
        <v>999999</v>
      </c>
      <c r="I26" s="1">
        <v>999999</v>
      </c>
      <c r="J26" s="1">
        <v>999999</v>
      </c>
    </row>
    <row r="27" spans="1:10">
      <c r="A27" s="28" t="s">
        <v>298</v>
      </c>
      <c r="B27" s="1" t="s">
        <v>0</v>
      </c>
      <c r="C27" s="1">
        <v>999999</v>
      </c>
      <c r="D27" s="1">
        <v>999999</v>
      </c>
      <c r="E27" s="1">
        <v>999999</v>
      </c>
      <c r="F27" s="1">
        <v>999999</v>
      </c>
      <c r="G27" s="1">
        <v>999999</v>
      </c>
      <c r="H27" s="1">
        <v>999999</v>
      </c>
      <c r="I27" s="1">
        <v>999999</v>
      </c>
      <c r="J27" s="1">
        <v>999999</v>
      </c>
    </row>
    <row r="28" spans="1:10">
      <c r="A28" s="28" t="s">
        <v>299</v>
      </c>
      <c r="B28" s="1" t="s">
        <v>0</v>
      </c>
      <c r="C28" s="1">
        <v>999999</v>
      </c>
      <c r="D28" s="1">
        <v>999999</v>
      </c>
      <c r="E28" s="1">
        <v>999999</v>
      </c>
      <c r="F28" s="1">
        <v>999999</v>
      </c>
      <c r="G28" s="1">
        <v>999999</v>
      </c>
      <c r="H28" s="1">
        <v>999999</v>
      </c>
      <c r="I28" s="1">
        <v>999999</v>
      </c>
      <c r="J28" s="1">
        <v>999999</v>
      </c>
    </row>
    <row r="29" spans="1:10">
      <c r="A29" s="28" t="s">
        <v>300</v>
      </c>
      <c r="B29" s="1" t="s">
        <v>0</v>
      </c>
      <c r="C29" s="1">
        <v>999999</v>
      </c>
      <c r="D29" s="1">
        <v>999999</v>
      </c>
      <c r="E29" s="1">
        <v>999999</v>
      </c>
      <c r="F29" s="1">
        <v>999999</v>
      </c>
      <c r="G29" s="1">
        <v>999999</v>
      </c>
      <c r="H29" s="1">
        <v>999999</v>
      </c>
      <c r="I29" s="1">
        <v>999999</v>
      </c>
      <c r="J29" s="1">
        <v>999999</v>
      </c>
    </row>
    <row r="30" spans="1:10">
      <c r="A30" s="28" t="s">
        <v>301</v>
      </c>
      <c r="B30" s="1" t="s">
        <v>0</v>
      </c>
      <c r="C30" s="1">
        <v>999999</v>
      </c>
      <c r="D30" s="1">
        <v>999999</v>
      </c>
      <c r="E30" s="1">
        <v>999999</v>
      </c>
      <c r="F30" s="1">
        <v>999999</v>
      </c>
      <c r="G30" s="1">
        <v>999999</v>
      </c>
      <c r="H30" s="1">
        <v>999999</v>
      </c>
      <c r="I30" s="1">
        <v>999999</v>
      </c>
      <c r="J30" s="1">
        <v>999999</v>
      </c>
    </row>
    <row r="31" spans="1:10">
      <c r="A31" s="28" t="s">
        <v>302</v>
      </c>
      <c r="B31" s="1" t="s">
        <v>0</v>
      </c>
      <c r="C31" s="1">
        <v>999999</v>
      </c>
      <c r="D31" s="1">
        <v>999999</v>
      </c>
      <c r="E31" s="1">
        <v>999999</v>
      </c>
      <c r="F31" s="1">
        <v>999999</v>
      </c>
      <c r="G31" s="1">
        <v>999999</v>
      </c>
      <c r="H31" s="1">
        <v>999999</v>
      </c>
      <c r="I31" s="1">
        <v>999999</v>
      </c>
      <c r="J31" s="1">
        <v>999999</v>
      </c>
    </row>
    <row r="32" spans="1:10">
      <c r="A32" s="28" t="s">
        <v>303</v>
      </c>
      <c r="B32" s="1" t="s">
        <v>0</v>
      </c>
      <c r="C32" s="1">
        <v>999999</v>
      </c>
      <c r="D32" s="1">
        <v>999999</v>
      </c>
      <c r="E32" s="1">
        <v>999999</v>
      </c>
      <c r="F32" s="1">
        <v>999999</v>
      </c>
      <c r="G32" s="1">
        <v>999999</v>
      </c>
      <c r="H32" s="1">
        <v>999999</v>
      </c>
      <c r="I32" s="1">
        <v>999999</v>
      </c>
      <c r="J32" s="1">
        <v>999999</v>
      </c>
    </row>
    <row r="33" spans="1:10">
      <c r="A33" s="28" t="s">
        <v>304</v>
      </c>
      <c r="B33" s="1" t="s">
        <v>0</v>
      </c>
      <c r="C33" s="1">
        <v>999999</v>
      </c>
      <c r="D33" s="1">
        <v>999999</v>
      </c>
      <c r="E33" s="1">
        <v>999999</v>
      </c>
      <c r="F33" s="1">
        <v>999999</v>
      </c>
      <c r="G33" s="1">
        <v>999999</v>
      </c>
      <c r="H33" s="1">
        <v>999999</v>
      </c>
      <c r="I33" s="1">
        <v>999999</v>
      </c>
      <c r="J33" s="1">
        <v>999999</v>
      </c>
    </row>
    <row r="34" spans="1:10">
      <c r="A34" s="28" t="s">
        <v>305</v>
      </c>
      <c r="B34" s="1" t="s">
        <v>0</v>
      </c>
      <c r="C34" s="1">
        <v>999999</v>
      </c>
      <c r="D34" s="1">
        <v>999999</v>
      </c>
      <c r="E34" s="1">
        <v>999999</v>
      </c>
      <c r="F34" s="1">
        <v>999999</v>
      </c>
      <c r="G34" s="1">
        <v>999999</v>
      </c>
      <c r="H34" s="1">
        <v>999999</v>
      </c>
      <c r="I34" s="1">
        <v>999999</v>
      </c>
      <c r="J34" s="1">
        <v>999999</v>
      </c>
    </row>
    <row r="35" spans="1:10">
      <c r="A35" s="28" t="s">
        <v>307</v>
      </c>
      <c r="B35" s="1" t="s">
        <v>0</v>
      </c>
      <c r="C35" s="1">
        <v>999999</v>
      </c>
      <c r="D35" s="1">
        <v>999999</v>
      </c>
      <c r="E35" s="1">
        <v>999999</v>
      </c>
      <c r="F35" s="1">
        <v>999999</v>
      </c>
      <c r="G35" s="1">
        <v>999999</v>
      </c>
      <c r="H35" s="1">
        <v>999999</v>
      </c>
      <c r="I35" s="1">
        <v>999999</v>
      </c>
      <c r="J35" s="1">
        <v>999999</v>
      </c>
    </row>
    <row r="36" spans="1:10">
      <c r="A36" s="28" t="s">
        <v>308</v>
      </c>
      <c r="B36" s="1" t="s">
        <v>0</v>
      </c>
      <c r="C36" s="1">
        <v>999999</v>
      </c>
      <c r="D36" s="1">
        <v>999999</v>
      </c>
      <c r="E36" s="1">
        <v>999999</v>
      </c>
      <c r="F36" s="1">
        <v>999999</v>
      </c>
      <c r="G36" s="1">
        <v>999999</v>
      </c>
      <c r="H36" s="1">
        <v>999999</v>
      </c>
      <c r="I36" s="1">
        <v>999999</v>
      </c>
      <c r="J36" s="1">
        <v>999999</v>
      </c>
    </row>
    <row r="37" spans="1:10">
      <c r="A37" s="28" t="s">
        <v>309</v>
      </c>
      <c r="B37" s="1" t="s">
        <v>0</v>
      </c>
      <c r="C37" s="1">
        <v>999999</v>
      </c>
      <c r="D37" s="1">
        <v>999999</v>
      </c>
      <c r="E37" s="1">
        <v>999999</v>
      </c>
      <c r="F37" s="1">
        <v>999999</v>
      </c>
      <c r="G37" s="1">
        <v>999999</v>
      </c>
      <c r="H37" s="1">
        <v>999999</v>
      </c>
      <c r="I37" s="1">
        <v>999999</v>
      </c>
      <c r="J37" s="1">
        <v>999999</v>
      </c>
    </row>
    <row r="38" spans="1:10">
      <c r="A38" s="28" t="s">
        <v>310</v>
      </c>
      <c r="B38" s="1" t="s">
        <v>0</v>
      </c>
      <c r="C38" s="1">
        <v>999999</v>
      </c>
      <c r="D38" s="1">
        <v>999999</v>
      </c>
      <c r="E38" s="1">
        <v>999999</v>
      </c>
      <c r="F38" s="1">
        <v>999999</v>
      </c>
      <c r="G38" s="1">
        <v>999999</v>
      </c>
      <c r="H38" s="1">
        <v>999999</v>
      </c>
      <c r="I38" s="1">
        <v>999999</v>
      </c>
      <c r="J38" s="1">
        <v>999999</v>
      </c>
    </row>
    <row r="39" spans="1:10">
      <c r="A39" s="28" t="s">
        <v>306</v>
      </c>
      <c r="B39" s="1" t="s">
        <v>0</v>
      </c>
      <c r="C39" s="1">
        <v>999999</v>
      </c>
      <c r="D39" s="1">
        <v>999999</v>
      </c>
      <c r="E39" s="1">
        <v>999999</v>
      </c>
      <c r="F39" s="1">
        <v>999999</v>
      </c>
      <c r="G39" s="1">
        <v>999999</v>
      </c>
      <c r="H39" s="1">
        <v>999999</v>
      </c>
      <c r="I39" s="1">
        <v>999999</v>
      </c>
      <c r="J39" s="1">
        <v>999999</v>
      </c>
    </row>
    <row r="40" spans="1:10">
      <c r="A40" s="28" t="s">
        <v>311</v>
      </c>
      <c r="B40" s="1" t="s">
        <v>0</v>
      </c>
      <c r="C40" s="1">
        <v>999999</v>
      </c>
      <c r="D40" s="1">
        <v>999999</v>
      </c>
      <c r="E40" s="1">
        <v>999999</v>
      </c>
      <c r="F40" s="1">
        <v>999999</v>
      </c>
      <c r="G40" s="1">
        <v>999999</v>
      </c>
      <c r="H40" s="1">
        <v>999999</v>
      </c>
      <c r="I40" s="1">
        <v>999999</v>
      </c>
      <c r="J40" s="1">
        <v>999999</v>
      </c>
    </row>
    <row r="41" spans="1:10">
      <c r="A41" s="28" t="s">
        <v>312</v>
      </c>
      <c r="B41" s="1" t="s">
        <v>0</v>
      </c>
      <c r="C41" s="1">
        <v>999999</v>
      </c>
      <c r="D41" s="1">
        <v>999999</v>
      </c>
      <c r="E41" s="1">
        <v>999999</v>
      </c>
      <c r="F41" s="1">
        <v>999999</v>
      </c>
      <c r="G41" s="1">
        <v>999999</v>
      </c>
      <c r="H41" s="1">
        <v>999999</v>
      </c>
      <c r="I41" s="1">
        <v>999999</v>
      </c>
      <c r="J41" s="1">
        <v>999999</v>
      </c>
    </row>
    <row r="42" spans="1:10">
      <c r="A42" s="1" t="s">
        <v>356</v>
      </c>
      <c r="B42" s="1" t="s">
        <v>0</v>
      </c>
      <c r="C42" s="1">
        <v>999999</v>
      </c>
      <c r="D42" s="1">
        <v>999999</v>
      </c>
      <c r="E42" s="1">
        <v>999999</v>
      </c>
      <c r="F42" s="1">
        <v>999999</v>
      </c>
      <c r="G42" s="1">
        <v>999999</v>
      </c>
      <c r="H42" s="1">
        <v>999999</v>
      </c>
      <c r="I42" s="1">
        <v>999999</v>
      </c>
      <c r="J42" s="1">
        <v>999999</v>
      </c>
    </row>
    <row r="43" spans="1:10">
      <c r="A43" s="1" t="s">
        <v>357</v>
      </c>
      <c r="B43" s="1" t="s">
        <v>0</v>
      </c>
      <c r="C43" s="1">
        <v>999999</v>
      </c>
      <c r="D43" s="1">
        <v>999999</v>
      </c>
      <c r="E43" s="1">
        <v>999999</v>
      </c>
      <c r="F43" s="1">
        <v>999999</v>
      </c>
      <c r="G43" s="1">
        <v>999999</v>
      </c>
      <c r="H43" s="1">
        <v>999999</v>
      </c>
      <c r="I43" s="1">
        <v>999999</v>
      </c>
      <c r="J43" s="1">
        <v>999999</v>
      </c>
    </row>
  </sheetData>
  <phoneticPr fontId="28" type="noConversion"/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L113"/>
  <sheetViews>
    <sheetView topLeftCell="A59" zoomScale="90" zoomScaleNormal="90" zoomScalePageLayoutView="90" workbookViewId="0">
      <selection activeCell="Q85" sqref="Q85"/>
    </sheetView>
  </sheetViews>
  <sheetFormatPr defaultColWidth="11.42578125" defaultRowHeight="15"/>
  <cols>
    <col min="1" max="1" width="11.42578125" style="1"/>
    <col min="2" max="2" width="23.42578125" style="1" customWidth="1"/>
    <col min="3" max="16384" width="11.42578125" style="1"/>
  </cols>
  <sheetData>
    <row r="1" spans="1:12">
      <c r="A1" s="1" t="s">
        <v>418</v>
      </c>
    </row>
    <row r="2" spans="1:12">
      <c r="A2" s="1" t="s">
        <v>7</v>
      </c>
    </row>
    <row r="3" spans="1:12">
      <c r="A3" s="1" t="s">
        <v>417</v>
      </c>
    </row>
    <row r="5" spans="1:12">
      <c r="E5" s="1">
        <v>2018</v>
      </c>
      <c r="F5" s="1">
        <v>2020</v>
      </c>
      <c r="G5" s="1">
        <v>2025</v>
      </c>
      <c r="H5" s="1">
        <v>2030</v>
      </c>
      <c r="I5" s="1">
        <v>2035</v>
      </c>
      <c r="J5" s="1">
        <v>2040</v>
      </c>
      <c r="K5" s="1">
        <v>2045</v>
      </c>
      <c r="L5" s="1">
        <v>2050</v>
      </c>
    </row>
    <row r="6" spans="1:12">
      <c r="A6" s="26" t="s">
        <v>284</v>
      </c>
      <c r="B6" s="1" t="s">
        <v>108</v>
      </c>
      <c r="C6" s="1" t="s">
        <v>0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</row>
    <row r="7" spans="1:12">
      <c r="A7" s="26" t="s">
        <v>284</v>
      </c>
      <c r="B7" s="1" t="s">
        <v>109</v>
      </c>
      <c r="C7" s="1" t="s">
        <v>0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</row>
    <row r="8" spans="1:12">
      <c r="A8" s="26" t="s">
        <v>284</v>
      </c>
      <c r="B8" s="1" t="s">
        <v>110</v>
      </c>
      <c r="C8" s="1" t="s">
        <v>0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</row>
    <row r="9" spans="1:12">
      <c r="A9" s="26" t="s">
        <v>284</v>
      </c>
      <c r="B9" s="24" t="s">
        <v>134</v>
      </c>
      <c r="C9" s="1" t="s">
        <v>0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</row>
    <row r="10" spans="1:12">
      <c r="A10" s="26" t="s">
        <v>284</v>
      </c>
      <c r="B10" s="24" t="s">
        <v>130</v>
      </c>
      <c r="C10" s="1" t="s">
        <v>0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</row>
    <row r="11" spans="1:12">
      <c r="A11" s="26" t="s">
        <v>284</v>
      </c>
      <c r="B11" s="24" t="s">
        <v>130</v>
      </c>
      <c r="C11" s="1" t="s">
        <v>0</v>
      </c>
      <c r="D11" s="1">
        <v>2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2">
      <c r="A12" s="26" t="s">
        <v>284</v>
      </c>
      <c r="B12" s="24" t="s">
        <v>131</v>
      </c>
      <c r="C12" s="1" t="s">
        <v>0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</row>
    <row r="13" spans="1:12">
      <c r="A13" s="26" t="s">
        <v>284</v>
      </c>
      <c r="B13" s="24" t="s">
        <v>131</v>
      </c>
      <c r="C13" s="1" t="s">
        <v>0</v>
      </c>
      <c r="D13" s="1">
        <v>2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2">
      <c r="A14" s="26" t="s">
        <v>284</v>
      </c>
      <c r="B14" s="24" t="s">
        <v>59</v>
      </c>
      <c r="C14" s="1" t="s">
        <v>0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</row>
    <row r="15" spans="1:12">
      <c r="A15" s="26" t="s">
        <v>284</v>
      </c>
      <c r="B15" s="1" t="s">
        <v>113</v>
      </c>
      <c r="C15" s="1" t="s">
        <v>0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</row>
    <row r="16" spans="1:12">
      <c r="A16" s="26" t="s">
        <v>284</v>
      </c>
      <c r="B16" s="1" t="s">
        <v>114</v>
      </c>
      <c r="C16" s="1" t="s">
        <v>0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</row>
    <row r="17" spans="1:12">
      <c r="A17" s="26" t="s">
        <v>284</v>
      </c>
      <c r="B17" s="1" t="s">
        <v>116</v>
      </c>
      <c r="C17" s="1" t="s">
        <v>0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</row>
    <row r="18" spans="1:12">
      <c r="A18" s="26" t="s">
        <v>284</v>
      </c>
      <c r="B18" s="1" t="s">
        <v>161</v>
      </c>
      <c r="C18" s="1" t="s">
        <v>0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</row>
    <row r="19" spans="1:12">
      <c r="A19" s="26" t="s">
        <v>284</v>
      </c>
      <c r="B19" s="1" t="s">
        <v>119</v>
      </c>
      <c r="C19" s="1" t="s">
        <v>0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</row>
    <row r="20" spans="1:12">
      <c r="A20" s="26" t="s">
        <v>284</v>
      </c>
      <c r="B20" s="1" t="s">
        <v>120</v>
      </c>
      <c r="C20" s="1" t="s">
        <v>0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</row>
    <row r="21" spans="1:12">
      <c r="A21" s="26" t="s">
        <v>284</v>
      </c>
      <c r="B21" s="1" t="s">
        <v>122</v>
      </c>
      <c r="C21" s="1" t="s">
        <v>0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</row>
    <row r="22" spans="1:12">
      <c r="A22" s="26" t="s">
        <v>284</v>
      </c>
      <c r="B22" s="1" t="s">
        <v>160</v>
      </c>
      <c r="C22" s="1" t="s">
        <v>0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</row>
    <row r="23" spans="1:12">
      <c r="A23" s="26" t="s">
        <v>284</v>
      </c>
      <c r="B23" s="1" t="s">
        <v>107</v>
      </c>
      <c r="C23" s="1" t="s">
        <v>0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</row>
    <row r="24" spans="1:12">
      <c r="A24" s="26" t="s">
        <v>284</v>
      </c>
      <c r="B24" s="1" t="s">
        <v>106</v>
      </c>
      <c r="C24" s="1" t="s">
        <v>0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</row>
    <row r="25" spans="1:12">
      <c r="A25" s="26" t="s">
        <v>284</v>
      </c>
      <c r="B25" s="1" t="s">
        <v>22</v>
      </c>
      <c r="C25" s="1" t="s">
        <v>0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</row>
    <row r="26" spans="1:12">
      <c r="A26" s="26" t="s">
        <v>284</v>
      </c>
      <c r="B26" s="1" t="s">
        <v>58</v>
      </c>
      <c r="C26" s="1" t="s">
        <v>0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</row>
    <row r="27" spans="1:12">
      <c r="A27" s="26" t="s">
        <v>284</v>
      </c>
      <c r="B27" s="24" t="s">
        <v>62</v>
      </c>
      <c r="C27" s="1" t="s">
        <v>0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</row>
    <row r="28" spans="1:12">
      <c r="A28" s="26" t="s">
        <v>284</v>
      </c>
      <c r="B28" s="24" t="s">
        <v>132</v>
      </c>
      <c r="C28" s="1" t="s">
        <v>0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</row>
    <row r="29" spans="1:12">
      <c r="A29" s="26" t="s">
        <v>284</v>
      </c>
      <c r="B29" s="24" t="s">
        <v>63</v>
      </c>
      <c r="C29" s="1" t="s">
        <v>0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</row>
    <row r="30" spans="1:12">
      <c r="A30" s="26" t="s">
        <v>284</v>
      </c>
      <c r="B30" s="24" t="s">
        <v>63</v>
      </c>
      <c r="C30" s="1" t="s">
        <v>0</v>
      </c>
      <c r="D30" s="1">
        <v>2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>
      <c r="A31" s="26" t="s">
        <v>284</v>
      </c>
      <c r="B31" s="24" t="s">
        <v>128</v>
      </c>
      <c r="C31" s="1" t="s">
        <v>0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</row>
    <row r="32" spans="1:12">
      <c r="A32" s="26" t="s">
        <v>284</v>
      </c>
      <c r="B32" s="24" t="s">
        <v>128</v>
      </c>
      <c r="C32" s="1" t="s">
        <v>0</v>
      </c>
      <c r="D32" s="1">
        <v>2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>
      <c r="A33" s="26" t="s">
        <v>284</v>
      </c>
      <c r="B33" s="1" t="s">
        <v>198</v>
      </c>
      <c r="C33" s="1" t="s">
        <v>0</v>
      </c>
      <c r="D33" s="1">
        <v>1</v>
      </c>
      <c r="E33" s="1">
        <v>-0.7</v>
      </c>
      <c r="F33" s="25">
        <v>-0.69999999999999984</v>
      </c>
      <c r="G33" s="25">
        <v>-0.69999999999999984</v>
      </c>
      <c r="H33" s="25">
        <v>-0.7</v>
      </c>
      <c r="I33" s="25">
        <v>-0.7</v>
      </c>
      <c r="J33" s="25">
        <v>-0.7</v>
      </c>
      <c r="K33" s="25">
        <v>-0.7</v>
      </c>
      <c r="L33" s="1">
        <v>-0.7</v>
      </c>
    </row>
    <row r="34" spans="1:12">
      <c r="A34" s="26" t="s">
        <v>284</v>
      </c>
      <c r="B34" s="1" t="s">
        <v>199</v>
      </c>
      <c r="C34" s="1" t="s">
        <v>0</v>
      </c>
      <c r="D34" s="1">
        <v>1</v>
      </c>
      <c r="E34" s="1">
        <v>-0.7</v>
      </c>
      <c r="F34" s="25">
        <v>-0.69999999999999984</v>
      </c>
      <c r="G34" s="25">
        <v>-0.69999999999999984</v>
      </c>
      <c r="H34" s="25">
        <v>-0.7</v>
      </c>
      <c r="I34" s="25">
        <v>-0.7</v>
      </c>
      <c r="J34" s="25">
        <v>-0.7</v>
      </c>
      <c r="K34" s="25">
        <v>-0.7</v>
      </c>
      <c r="L34" s="1">
        <v>-0.7</v>
      </c>
    </row>
    <row r="35" spans="1:12">
      <c r="A35" s="26" t="s">
        <v>284</v>
      </c>
      <c r="B35" s="1" t="s">
        <v>224</v>
      </c>
      <c r="C35" s="1" t="s">
        <v>0</v>
      </c>
      <c r="D35" s="1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</row>
    <row r="36" spans="1:12">
      <c r="A36" s="26" t="s">
        <v>284</v>
      </c>
      <c r="B36" s="1" t="s">
        <v>211</v>
      </c>
      <c r="C36" s="1" t="s">
        <v>0</v>
      </c>
      <c r="D36" s="1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</row>
    <row r="37" spans="1:12">
      <c r="A37" s="26" t="s">
        <v>284</v>
      </c>
      <c r="B37" s="1" t="s">
        <v>207</v>
      </c>
      <c r="C37" s="1" t="s">
        <v>0</v>
      </c>
      <c r="D37" s="1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</row>
    <row r="38" spans="1:12">
      <c r="A38" s="26" t="s">
        <v>284</v>
      </c>
      <c r="B38" s="1" t="s">
        <v>208</v>
      </c>
      <c r="C38" s="1" t="s">
        <v>0</v>
      </c>
      <c r="D38" s="1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</row>
    <row r="39" spans="1:12">
      <c r="A39" s="26" t="s">
        <v>284</v>
      </c>
      <c r="B39" s="1" t="s">
        <v>209</v>
      </c>
      <c r="C39" s="1" t="s">
        <v>0</v>
      </c>
      <c r="D39" s="1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</row>
    <row r="40" spans="1:12">
      <c r="A40" s="26" t="s">
        <v>284</v>
      </c>
      <c r="B40" s="1" t="s">
        <v>232</v>
      </c>
      <c r="C40" s="1" t="s">
        <v>0</v>
      </c>
      <c r="D40" s="1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</row>
    <row r="41" spans="1:12">
      <c r="A41" s="26" t="s">
        <v>284</v>
      </c>
      <c r="B41" s="1" t="s">
        <v>225</v>
      </c>
      <c r="C41" s="1" t="s">
        <v>0</v>
      </c>
      <c r="D41" s="1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</row>
    <row r="42" spans="1:12">
      <c r="A42" s="26" t="s">
        <v>284</v>
      </c>
      <c r="B42" s="1" t="s">
        <v>226</v>
      </c>
      <c r="C42" s="1" t="s">
        <v>0</v>
      </c>
      <c r="D42" s="1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</row>
    <row r="43" spans="1:12">
      <c r="A43" s="26" t="s">
        <v>284</v>
      </c>
      <c r="B43" s="1" t="s">
        <v>216</v>
      </c>
      <c r="C43" s="1" t="s">
        <v>0</v>
      </c>
      <c r="D43" s="1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</row>
    <row r="44" spans="1:12">
      <c r="A44" s="26" t="s">
        <v>284</v>
      </c>
      <c r="B44" s="1" t="s">
        <v>219</v>
      </c>
      <c r="C44" s="1" t="s">
        <v>0</v>
      </c>
      <c r="D44" s="1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</row>
    <row r="45" spans="1:12">
      <c r="A45" s="26" t="s">
        <v>284</v>
      </c>
      <c r="B45" s="1" t="s">
        <v>220</v>
      </c>
      <c r="C45" s="1" t="s">
        <v>0</v>
      </c>
      <c r="D45" s="1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</row>
    <row r="46" spans="1:12">
      <c r="A46" s="26" t="s">
        <v>284</v>
      </c>
      <c r="B46" s="1" t="s">
        <v>221</v>
      </c>
      <c r="C46" s="1" t="s">
        <v>0</v>
      </c>
      <c r="D46" s="1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</row>
    <row r="47" spans="1:12">
      <c r="A47" s="26" t="s">
        <v>284</v>
      </c>
      <c r="B47" s="1" t="s">
        <v>249</v>
      </c>
      <c r="C47" s="1" t="s">
        <v>0</v>
      </c>
      <c r="D47" s="1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</row>
    <row r="48" spans="1:12">
      <c r="A48" s="26" t="s">
        <v>284</v>
      </c>
      <c r="B48" s="1" t="s">
        <v>227</v>
      </c>
      <c r="C48" s="1" t="s">
        <v>0</v>
      </c>
      <c r="D48" s="1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</row>
    <row r="49" spans="1:12">
      <c r="A49" s="26" t="s">
        <v>284</v>
      </c>
      <c r="B49" s="1" t="s">
        <v>223</v>
      </c>
      <c r="C49" s="1" t="s">
        <v>0</v>
      </c>
      <c r="D49" s="1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</row>
    <row r="50" spans="1:12">
      <c r="A50" s="26" t="s">
        <v>284</v>
      </c>
      <c r="B50" s="1" t="s">
        <v>230</v>
      </c>
      <c r="C50" s="1" t="s">
        <v>0</v>
      </c>
      <c r="D50" s="1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</row>
    <row r="51" spans="1:12">
      <c r="A51" s="26" t="s">
        <v>284</v>
      </c>
      <c r="B51" s="1" t="s">
        <v>229</v>
      </c>
      <c r="C51" s="1" t="s">
        <v>0</v>
      </c>
      <c r="D51" s="1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</row>
    <row r="52" spans="1:12">
      <c r="A52" s="26" t="s">
        <v>284</v>
      </c>
      <c r="B52" s="1" t="s">
        <v>231</v>
      </c>
      <c r="C52" s="1" t="s">
        <v>0</v>
      </c>
      <c r="D52" s="1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</row>
    <row r="53" spans="1:12">
      <c r="A53" s="26" t="s">
        <v>284</v>
      </c>
      <c r="B53" s="1" t="s">
        <v>243</v>
      </c>
      <c r="C53" s="1" t="s">
        <v>0</v>
      </c>
      <c r="D53" s="11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</row>
    <row r="54" spans="1:12">
      <c r="A54" s="26" t="s">
        <v>284</v>
      </c>
      <c r="B54" s="1" t="s">
        <v>243</v>
      </c>
      <c r="C54" s="1" t="s">
        <v>0</v>
      </c>
      <c r="D54" s="11">
        <v>2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</row>
    <row r="55" spans="1:12">
      <c r="A55" s="26" t="s">
        <v>284</v>
      </c>
      <c r="B55" s="1" t="s">
        <v>243</v>
      </c>
      <c r="C55" s="1" t="s">
        <v>0</v>
      </c>
      <c r="D55" s="11">
        <v>3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</row>
    <row r="56" spans="1:12">
      <c r="A56" s="26" t="s">
        <v>284</v>
      </c>
      <c r="B56" s="1" t="s">
        <v>243</v>
      </c>
      <c r="C56" s="1" t="s">
        <v>0</v>
      </c>
      <c r="D56" s="11">
        <v>4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</row>
    <row r="57" spans="1:12">
      <c r="A57" s="26" t="s">
        <v>284</v>
      </c>
      <c r="B57" s="1" t="s">
        <v>244</v>
      </c>
      <c r="C57" s="1" t="s">
        <v>0</v>
      </c>
      <c r="D57" s="1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</row>
    <row r="58" spans="1:12">
      <c r="A58" s="26" t="s">
        <v>284</v>
      </c>
      <c r="B58" s="1" t="s">
        <v>248</v>
      </c>
      <c r="C58" s="1" t="s">
        <v>0</v>
      </c>
      <c r="D58" s="1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</row>
    <row r="59" spans="1:12">
      <c r="A59" s="26" t="s">
        <v>284</v>
      </c>
      <c r="B59" s="1" t="s">
        <v>254</v>
      </c>
      <c r="C59" s="1" t="s">
        <v>0</v>
      </c>
      <c r="D59" s="11">
        <v>1</v>
      </c>
      <c r="E59" s="1">
        <v>0.12</v>
      </c>
      <c r="F59" s="25">
        <v>0.12</v>
      </c>
      <c r="G59" s="25">
        <v>0.12</v>
      </c>
      <c r="H59" s="25">
        <v>0.12</v>
      </c>
      <c r="I59" s="25">
        <v>0.12</v>
      </c>
      <c r="J59" s="25">
        <v>0.12</v>
      </c>
      <c r="K59" s="25">
        <v>0.12</v>
      </c>
      <c r="L59" s="1">
        <v>0.12</v>
      </c>
    </row>
    <row r="60" spans="1:12">
      <c r="A60" s="26" t="s">
        <v>284</v>
      </c>
      <c r="B60" s="1" t="s">
        <v>254</v>
      </c>
      <c r="C60" s="1" t="s">
        <v>0</v>
      </c>
      <c r="D60" s="11">
        <v>2</v>
      </c>
      <c r="E60" s="1">
        <v>0.12</v>
      </c>
      <c r="F60" s="25">
        <v>0.12</v>
      </c>
      <c r="G60" s="25">
        <v>0.12</v>
      </c>
      <c r="H60" s="25">
        <v>0.12</v>
      </c>
      <c r="I60" s="25">
        <v>0.12</v>
      </c>
      <c r="J60" s="25">
        <v>0.12</v>
      </c>
      <c r="K60" s="25">
        <v>0.12</v>
      </c>
      <c r="L60" s="1">
        <v>0.12</v>
      </c>
    </row>
    <row r="61" spans="1:12">
      <c r="A61" s="26" t="s">
        <v>284</v>
      </c>
      <c r="B61" s="1" t="s">
        <v>254</v>
      </c>
      <c r="C61" s="1" t="s">
        <v>0</v>
      </c>
      <c r="D61" s="11">
        <v>3</v>
      </c>
      <c r="E61" s="1">
        <v>0.12</v>
      </c>
      <c r="F61" s="25">
        <v>0.12</v>
      </c>
      <c r="G61" s="25">
        <v>0.12</v>
      </c>
      <c r="H61" s="25">
        <v>0.12</v>
      </c>
      <c r="I61" s="25">
        <v>0.12</v>
      </c>
      <c r="J61" s="25">
        <v>0.12</v>
      </c>
      <c r="K61" s="25">
        <v>0.12</v>
      </c>
      <c r="L61" s="1">
        <v>0.12</v>
      </c>
    </row>
    <row r="62" spans="1:12">
      <c r="A62" s="26" t="s">
        <v>284</v>
      </c>
      <c r="B62" s="1" t="s">
        <v>254</v>
      </c>
      <c r="C62" s="1" t="s">
        <v>0</v>
      </c>
      <c r="D62" s="11">
        <v>4</v>
      </c>
      <c r="E62" s="1">
        <v>0.12</v>
      </c>
      <c r="F62" s="25">
        <v>0.12</v>
      </c>
      <c r="G62" s="25">
        <v>0.12</v>
      </c>
      <c r="H62" s="25">
        <v>0.12</v>
      </c>
      <c r="I62" s="25">
        <v>0.12</v>
      </c>
      <c r="J62" s="25">
        <v>0.12</v>
      </c>
      <c r="K62" s="25">
        <v>0.12</v>
      </c>
      <c r="L62" s="1">
        <v>0.12</v>
      </c>
    </row>
    <row r="63" spans="1:12">
      <c r="A63" s="26" t="s">
        <v>284</v>
      </c>
      <c r="B63" s="1" t="s">
        <v>255</v>
      </c>
      <c r="C63" s="1" t="s">
        <v>0</v>
      </c>
      <c r="D63" s="11">
        <v>1</v>
      </c>
      <c r="E63" s="1">
        <v>0.12</v>
      </c>
      <c r="F63" s="25">
        <v>0.12</v>
      </c>
      <c r="G63" s="25">
        <v>0.12</v>
      </c>
      <c r="H63" s="25">
        <v>0.12</v>
      </c>
      <c r="I63" s="25">
        <v>0.12</v>
      </c>
      <c r="J63" s="25">
        <v>0.12</v>
      </c>
      <c r="K63" s="25">
        <v>0.12</v>
      </c>
      <c r="L63" s="1">
        <v>0.12</v>
      </c>
    </row>
    <row r="64" spans="1:12">
      <c r="A64" s="26" t="s">
        <v>284</v>
      </c>
      <c r="B64" s="1" t="s">
        <v>267</v>
      </c>
      <c r="C64" s="1" t="s">
        <v>0</v>
      </c>
      <c r="D64" s="11">
        <v>1</v>
      </c>
      <c r="E64" s="1">
        <v>-0.7</v>
      </c>
      <c r="F64" s="25">
        <v>-0.69999999999999984</v>
      </c>
      <c r="G64" s="25">
        <v>-0.69999999999999984</v>
      </c>
      <c r="H64" s="25">
        <v>-0.7</v>
      </c>
      <c r="I64" s="25">
        <v>-0.7</v>
      </c>
      <c r="J64" s="25">
        <v>-0.7</v>
      </c>
      <c r="K64" s="25">
        <v>-0.7</v>
      </c>
      <c r="L64" s="1">
        <v>-0.7</v>
      </c>
    </row>
    <row r="65" spans="1:12">
      <c r="A65" s="26" t="s">
        <v>284</v>
      </c>
      <c r="B65" s="1" t="s">
        <v>261</v>
      </c>
      <c r="C65" s="1" t="s">
        <v>0</v>
      </c>
      <c r="D65" s="11">
        <v>1</v>
      </c>
      <c r="E65" s="1">
        <v>0.12</v>
      </c>
      <c r="F65" s="25">
        <v>0.12</v>
      </c>
      <c r="G65" s="25">
        <v>0.12</v>
      </c>
      <c r="H65" s="25">
        <v>0.12</v>
      </c>
      <c r="I65" s="25">
        <v>0.12</v>
      </c>
      <c r="J65" s="25">
        <v>0.12</v>
      </c>
      <c r="K65" s="25">
        <v>0.12</v>
      </c>
      <c r="L65" s="1">
        <v>0.12</v>
      </c>
    </row>
    <row r="66" spans="1:12">
      <c r="A66" s="26" t="s">
        <v>284</v>
      </c>
      <c r="B66" s="1" t="s">
        <v>262</v>
      </c>
      <c r="C66" s="1" t="s">
        <v>0</v>
      </c>
      <c r="D66" s="11">
        <v>1</v>
      </c>
      <c r="E66" s="1">
        <v>0.12</v>
      </c>
      <c r="F66" s="25">
        <v>0.12</v>
      </c>
      <c r="G66" s="25">
        <v>0.12</v>
      </c>
      <c r="H66" s="25">
        <v>0.12</v>
      </c>
      <c r="I66" s="25">
        <v>0.12</v>
      </c>
      <c r="J66" s="25">
        <v>0.12</v>
      </c>
      <c r="K66" s="25">
        <v>0.12</v>
      </c>
      <c r="L66" s="1">
        <v>0.12</v>
      </c>
    </row>
    <row r="67" spans="1:12">
      <c r="A67" s="26" t="s">
        <v>284</v>
      </c>
      <c r="B67" s="1" t="s">
        <v>268</v>
      </c>
      <c r="C67" s="1" t="s">
        <v>0</v>
      </c>
      <c r="D67" s="11">
        <v>1</v>
      </c>
      <c r="E67" s="1">
        <v>-0.7</v>
      </c>
      <c r="F67" s="25">
        <v>-0.69999999999999984</v>
      </c>
      <c r="G67" s="25">
        <v>-0.69999999999999984</v>
      </c>
      <c r="H67" s="25">
        <v>-0.7</v>
      </c>
      <c r="I67" s="25">
        <v>-0.7</v>
      </c>
      <c r="J67" s="25">
        <v>-0.7</v>
      </c>
      <c r="K67" s="25">
        <v>-0.7</v>
      </c>
      <c r="L67" s="1">
        <v>-0.7</v>
      </c>
    </row>
    <row r="68" spans="1:12">
      <c r="A68" s="26" t="s">
        <v>284</v>
      </c>
      <c r="B68" s="1" t="s">
        <v>259</v>
      </c>
      <c r="C68" s="1" t="s">
        <v>0</v>
      </c>
      <c r="D68" s="11">
        <v>1</v>
      </c>
      <c r="E68" s="1">
        <v>0.12</v>
      </c>
      <c r="F68" s="25">
        <v>0.12</v>
      </c>
      <c r="G68" s="25">
        <v>0.12</v>
      </c>
      <c r="H68" s="25">
        <v>0.12</v>
      </c>
      <c r="I68" s="25">
        <v>0.12</v>
      </c>
      <c r="J68" s="25">
        <v>0.12</v>
      </c>
      <c r="K68" s="25">
        <v>0.12</v>
      </c>
      <c r="L68" s="1">
        <v>0.12</v>
      </c>
    </row>
    <row r="69" spans="1:12">
      <c r="A69" s="26" t="s">
        <v>284</v>
      </c>
      <c r="B69" s="1" t="s">
        <v>260</v>
      </c>
      <c r="C69" s="1" t="s">
        <v>0</v>
      </c>
      <c r="D69" s="11">
        <v>1</v>
      </c>
      <c r="E69" s="1">
        <v>0.12</v>
      </c>
      <c r="F69" s="25">
        <v>0.12</v>
      </c>
      <c r="G69" s="25">
        <v>0.12</v>
      </c>
      <c r="H69" s="25">
        <v>0.12</v>
      </c>
      <c r="I69" s="25">
        <v>0.12</v>
      </c>
      <c r="J69" s="25">
        <v>0.12</v>
      </c>
      <c r="K69" s="25">
        <v>0.12</v>
      </c>
      <c r="L69" s="1">
        <v>0.12</v>
      </c>
    </row>
    <row r="70" spans="1:12">
      <c r="A70" s="26" t="s">
        <v>284</v>
      </c>
      <c r="B70" s="1" t="s">
        <v>263</v>
      </c>
      <c r="C70" s="1" t="s">
        <v>0</v>
      </c>
      <c r="D70" s="11">
        <v>1</v>
      </c>
      <c r="E70" s="1">
        <v>0.12</v>
      </c>
      <c r="F70" s="25">
        <v>0.12</v>
      </c>
      <c r="G70" s="25">
        <v>0.12</v>
      </c>
      <c r="H70" s="25">
        <v>0.12</v>
      </c>
      <c r="I70" s="25">
        <v>0.12</v>
      </c>
      <c r="J70" s="25">
        <v>0.12</v>
      </c>
      <c r="K70" s="25">
        <v>0.12</v>
      </c>
      <c r="L70" s="1">
        <v>0.12</v>
      </c>
    </row>
    <row r="71" spans="1:12">
      <c r="A71" s="26" t="s">
        <v>284</v>
      </c>
      <c r="B71" s="1" t="s">
        <v>264</v>
      </c>
      <c r="C71" s="1" t="s">
        <v>0</v>
      </c>
      <c r="D71" s="11">
        <v>1</v>
      </c>
      <c r="E71" s="1">
        <v>0.12</v>
      </c>
      <c r="F71" s="25">
        <v>0.12</v>
      </c>
      <c r="G71" s="25">
        <v>0.12</v>
      </c>
      <c r="H71" s="25">
        <v>0.12</v>
      </c>
      <c r="I71" s="25">
        <v>0.12</v>
      </c>
      <c r="J71" s="25">
        <v>0.12</v>
      </c>
      <c r="K71" s="25">
        <v>0.12</v>
      </c>
      <c r="L71" s="1">
        <v>0.12</v>
      </c>
    </row>
    <row r="72" spans="1:12">
      <c r="A72" s="26" t="s">
        <v>284</v>
      </c>
      <c r="B72" s="1" t="s">
        <v>256</v>
      </c>
      <c r="C72" s="1" t="s">
        <v>0</v>
      </c>
      <c r="D72" s="11">
        <v>1</v>
      </c>
      <c r="E72" s="1">
        <v>0.12</v>
      </c>
      <c r="F72" s="25">
        <v>0.12</v>
      </c>
      <c r="G72" s="25">
        <v>0.12</v>
      </c>
      <c r="H72" s="25">
        <v>0.12</v>
      </c>
      <c r="I72" s="25">
        <v>0.12</v>
      </c>
      <c r="J72" s="25">
        <v>0.12</v>
      </c>
      <c r="K72" s="25">
        <v>0.12</v>
      </c>
      <c r="L72" s="1">
        <v>0.12</v>
      </c>
    </row>
    <row r="73" spans="1:12">
      <c r="A73" s="26" t="s">
        <v>284</v>
      </c>
      <c r="B73" s="1" t="s">
        <v>257</v>
      </c>
      <c r="C73" s="1" t="s">
        <v>0</v>
      </c>
      <c r="D73" s="11">
        <v>1</v>
      </c>
      <c r="E73" s="1">
        <v>0.12</v>
      </c>
      <c r="F73" s="25">
        <v>0.12</v>
      </c>
      <c r="G73" s="25">
        <v>0.12</v>
      </c>
      <c r="H73" s="25">
        <v>0.12</v>
      </c>
      <c r="I73" s="25">
        <v>0.12</v>
      </c>
      <c r="J73" s="25">
        <v>0.12</v>
      </c>
      <c r="K73" s="25">
        <v>0.12</v>
      </c>
      <c r="L73" s="1">
        <v>0.12</v>
      </c>
    </row>
    <row r="74" spans="1:12">
      <c r="A74" s="26" t="s">
        <v>284</v>
      </c>
      <c r="B74" s="1" t="s">
        <v>258</v>
      </c>
      <c r="C74" s="1" t="s">
        <v>0</v>
      </c>
      <c r="D74" s="11">
        <v>1</v>
      </c>
      <c r="E74" s="1">
        <v>0.12</v>
      </c>
      <c r="F74" s="25">
        <v>0.12</v>
      </c>
      <c r="G74" s="25">
        <v>0.12</v>
      </c>
      <c r="H74" s="25">
        <v>0.12</v>
      </c>
      <c r="I74" s="25">
        <v>0.12</v>
      </c>
      <c r="J74" s="25">
        <v>0.12</v>
      </c>
      <c r="K74" s="25">
        <v>0.12</v>
      </c>
      <c r="L74" s="1">
        <v>0.12</v>
      </c>
    </row>
    <row r="75" spans="1:12">
      <c r="A75" s="26" t="s">
        <v>284</v>
      </c>
      <c r="B75" s="1" t="s">
        <v>265</v>
      </c>
      <c r="C75" s="1" t="s">
        <v>0</v>
      </c>
      <c r="D75" s="1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</row>
    <row r="76" spans="1:12">
      <c r="A76" s="26" t="s">
        <v>284</v>
      </c>
      <c r="B76" s="1" t="s">
        <v>266</v>
      </c>
      <c r="C76" s="1" t="s">
        <v>0</v>
      </c>
      <c r="D76" s="11">
        <v>1</v>
      </c>
      <c r="E76" s="1">
        <v>0.12</v>
      </c>
      <c r="F76" s="25">
        <v>0.12</v>
      </c>
      <c r="G76" s="25">
        <v>0.12</v>
      </c>
      <c r="H76" s="25">
        <v>0.12</v>
      </c>
      <c r="I76" s="25">
        <v>0.12</v>
      </c>
      <c r="J76" s="25">
        <v>0.12</v>
      </c>
      <c r="K76" s="25">
        <v>0.12</v>
      </c>
      <c r="L76" s="1">
        <v>0.12</v>
      </c>
    </row>
    <row r="77" spans="1:12">
      <c r="A77" s="26" t="s">
        <v>284</v>
      </c>
      <c r="B77" s="1" t="s">
        <v>269</v>
      </c>
      <c r="C77" s="1" t="s">
        <v>0</v>
      </c>
      <c r="D77" s="1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</row>
    <row r="78" spans="1:12">
      <c r="A78" s="26" t="s">
        <v>284</v>
      </c>
      <c r="B78" s="24" t="s">
        <v>345</v>
      </c>
      <c r="C78" s="1" t="s">
        <v>0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</row>
    <row r="79" spans="1:12">
      <c r="A79" s="26" t="s">
        <v>284</v>
      </c>
      <c r="B79" s="24" t="s">
        <v>346</v>
      </c>
      <c r="C79" s="1" t="s">
        <v>0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</row>
    <row r="80" spans="1:12">
      <c r="A80" s="26" t="s">
        <v>284</v>
      </c>
      <c r="B80" s="24" t="s">
        <v>347</v>
      </c>
      <c r="C80" s="1" t="s">
        <v>0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</row>
    <row r="81" spans="1:12">
      <c r="A81" s="26" t="s">
        <v>284</v>
      </c>
      <c r="B81" s="11" t="s">
        <v>363</v>
      </c>
      <c r="C81" s="1" t="s">
        <v>0</v>
      </c>
      <c r="D81" s="1">
        <v>1</v>
      </c>
      <c r="E81" s="1">
        <v>-1</v>
      </c>
      <c r="F81" s="1">
        <v>-1</v>
      </c>
      <c r="G81" s="1">
        <v>-1</v>
      </c>
      <c r="H81" s="1">
        <v>-1</v>
      </c>
      <c r="I81" s="1">
        <v>-1</v>
      </c>
      <c r="J81" s="1">
        <v>-1</v>
      </c>
      <c r="K81" s="1">
        <v>-1</v>
      </c>
      <c r="L81" s="1">
        <v>-1</v>
      </c>
    </row>
    <row r="82" spans="1:12">
      <c r="A82" s="26" t="s">
        <v>284</v>
      </c>
      <c r="B82" s="1" t="s">
        <v>364</v>
      </c>
      <c r="C82" s="1" t="s">
        <v>0</v>
      </c>
      <c r="D82" s="1">
        <v>1</v>
      </c>
      <c r="E82" s="1">
        <v>-1</v>
      </c>
      <c r="F82" s="1">
        <v>-1</v>
      </c>
      <c r="G82" s="1">
        <v>-1</v>
      </c>
      <c r="H82" s="1">
        <v>-1</v>
      </c>
      <c r="I82" s="1">
        <v>-1</v>
      </c>
      <c r="J82" s="1">
        <v>-1</v>
      </c>
      <c r="K82" s="1">
        <v>-1</v>
      </c>
      <c r="L82" s="1">
        <v>-1</v>
      </c>
    </row>
    <row r="83" spans="1:12">
      <c r="A83" s="1" t="s">
        <v>284</v>
      </c>
      <c r="B83" s="1" t="s">
        <v>367</v>
      </c>
      <c r="C83" s="1" t="s">
        <v>0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</row>
    <row r="84" spans="1:12">
      <c r="A84" s="1" t="s">
        <v>284</v>
      </c>
      <c r="B84" s="1" t="s">
        <v>366</v>
      </c>
      <c r="C84" s="1" t="s">
        <v>0</v>
      </c>
      <c r="D84" s="1">
        <v>1</v>
      </c>
      <c r="E84" s="1">
        <v>-1</v>
      </c>
      <c r="F84" s="1">
        <v>-1</v>
      </c>
      <c r="G84" s="1">
        <v>-1</v>
      </c>
      <c r="H84" s="1">
        <v>-1</v>
      </c>
      <c r="I84" s="1">
        <v>-1</v>
      </c>
      <c r="J84" s="1">
        <v>-1</v>
      </c>
      <c r="K84" s="1">
        <v>-1</v>
      </c>
      <c r="L84" s="1">
        <v>-1</v>
      </c>
    </row>
    <row r="85" spans="1:12">
      <c r="A85" s="1" t="s">
        <v>284</v>
      </c>
      <c r="B85" s="1" t="s">
        <v>475</v>
      </c>
      <c r="C85" s="1" t="s">
        <v>0</v>
      </c>
      <c r="D85" s="1">
        <v>1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>
      <c r="A86" s="1" t="s">
        <v>284</v>
      </c>
      <c r="B86" s="1" t="s">
        <v>108</v>
      </c>
      <c r="C86" s="1" t="s">
        <v>0</v>
      </c>
      <c r="D86" s="1">
        <v>1</v>
      </c>
      <c r="E86" s="1">
        <v>1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</row>
    <row r="87" spans="1:12">
      <c r="A87" s="1" t="s">
        <v>284</v>
      </c>
      <c r="B87" s="1" t="s">
        <v>109</v>
      </c>
      <c r="C87" s="1" t="s">
        <v>0</v>
      </c>
      <c r="D87" s="1">
        <v>1</v>
      </c>
      <c r="E87" s="1">
        <v>1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</row>
    <row r="88" spans="1:12">
      <c r="A88" s="1" t="s">
        <v>284</v>
      </c>
      <c r="B88" s="1" t="s">
        <v>481</v>
      </c>
      <c r="C88" s="1" t="s">
        <v>0</v>
      </c>
      <c r="D88" s="1">
        <v>1</v>
      </c>
      <c r="E88" s="1">
        <v>1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</row>
    <row r="89" spans="1:12">
      <c r="A89" s="1" t="s">
        <v>284</v>
      </c>
      <c r="B89" s="1" t="s">
        <v>479</v>
      </c>
      <c r="C89" s="1" t="s">
        <v>0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>
      <c r="A90" s="1" t="s">
        <v>284</v>
      </c>
      <c r="B90" s="1" t="s">
        <v>483</v>
      </c>
      <c r="C90" s="1" t="s">
        <v>0</v>
      </c>
      <c r="D90" s="1">
        <v>1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>
      <c r="A91" s="1" t="s">
        <v>284</v>
      </c>
      <c r="B91" s="1" t="s">
        <v>484</v>
      </c>
      <c r="C91" s="1" t="s">
        <v>0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>
      <c r="A92" s="1" t="s">
        <v>284</v>
      </c>
      <c r="B92" s="1" t="s">
        <v>476</v>
      </c>
      <c r="C92" s="1" t="s">
        <v>0</v>
      </c>
      <c r="D92" s="1">
        <v>1</v>
      </c>
      <c r="E92" s="1">
        <v>-0.88</v>
      </c>
      <c r="F92" s="1">
        <v>-0.88</v>
      </c>
      <c r="G92" s="1">
        <v>-0.88</v>
      </c>
      <c r="H92" s="1">
        <v>-0.88</v>
      </c>
      <c r="I92" s="1">
        <v>-0.88</v>
      </c>
      <c r="J92" s="1">
        <v>-0.88</v>
      </c>
      <c r="K92" s="1">
        <v>-0.88</v>
      </c>
      <c r="L92" s="1">
        <v>-0.88</v>
      </c>
    </row>
    <row r="93" spans="1:12">
      <c r="A93" s="1" t="s">
        <v>284</v>
      </c>
      <c r="B93" s="1" t="s">
        <v>477</v>
      </c>
      <c r="C93" s="1" t="s">
        <v>0</v>
      </c>
      <c r="D93" s="1">
        <v>1</v>
      </c>
      <c r="E93" s="1">
        <v>0.12</v>
      </c>
      <c r="F93" s="1">
        <v>0.12</v>
      </c>
      <c r="G93" s="1">
        <v>0.12</v>
      </c>
      <c r="H93" s="1">
        <v>0.12</v>
      </c>
      <c r="I93" s="1">
        <v>0.12</v>
      </c>
      <c r="J93" s="1">
        <v>0.12</v>
      </c>
      <c r="K93" s="1">
        <v>0.12</v>
      </c>
      <c r="L93" s="1">
        <v>0.12</v>
      </c>
    </row>
    <row r="94" spans="1:12">
      <c r="A94" s="1" t="s">
        <v>284</v>
      </c>
      <c r="B94" s="1" t="s">
        <v>478</v>
      </c>
      <c r="C94" s="1" t="s">
        <v>0</v>
      </c>
      <c r="D94" s="1">
        <v>1</v>
      </c>
      <c r="E94" s="1">
        <v>0.12</v>
      </c>
      <c r="F94" s="1">
        <v>0.12</v>
      </c>
      <c r="G94" s="1">
        <v>0.12</v>
      </c>
      <c r="H94" s="1">
        <v>0.12</v>
      </c>
      <c r="I94" s="1">
        <v>0.12</v>
      </c>
      <c r="J94" s="1">
        <v>0.12</v>
      </c>
      <c r="K94" s="1">
        <v>0.12</v>
      </c>
      <c r="L94" s="1">
        <v>0.12</v>
      </c>
    </row>
    <row r="95" spans="1:12">
      <c r="A95" s="1" t="s">
        <v>284</v>
      </c>
      <c r="B95" s="1" t="s">
        <v>482</v>
      </c>
      <c r="C95" s="1" t="s">
        <v>0</v>
      </c>
      <c r="D95" s="1">
        <v>1</v>
      </c>
      <c r="E95" s="1">
        <v>0.12</v>
      </c>
      <c r="F95" s="1">
        <v>0.12</v>
      </c>
      <c r="G95" s="1">
        <v>0.12</v>
      </c>
      <c r="H95" s="1">
        <v>0.12</v>
      </c>
      <c r="I95" s="1">
        <v>0.12</v>
      </c>
      <c r="J95" s="1">
        <v>0.12</v>
      </c>
      <c r="K95" s="1">
        <v>0.12</v>
      </c>
      <c r="L95" s="1">
        <v>0.12</v>
      </c>
    </row>
    <row r="96" spans="1:12">
      <c r="A96" s="1" t="s">
        <v>284</v>
      </c>
      <c r="B96" s="1" t="s">
        <v>480</v>
      </c>
      <c r="C96" s="1" t="s">
        <v>0</v>
      </c>
      <c r="D96" s="1">
        <v>1</v>
      </c>
      <c r="E96" s="1">
        <v>-0.88</v>
      </c>
      <c r="F96" s="1">
        <v>-0.88</v>
      </c>
      <c r="G96" s="1">
        <v>-0.88</v>
      </c>
      <c r="H96" s="1">
        <v>-0.88</v>
      </c>
      <c r="I96" s="1">
        <v>-0.88</v>
      </c>
      <c r="J96" s="1">
        <v>-0.88</v>
      </c>
      <c r="K96" s="1">
        <v>-0.88</v>
      </c>
      <c r="L96" s="1">
        <v>-0.88</v>
      </c>
    </row>
    <row r="97" spans="1:12">
      <c r="A97" s="1" t="s">
        <v>284</v>
      </c>
      <c r="B97" s="1" t="s">
        <v>475</v>
      </c>
      <c r="C97" s="1" t="s">
        <v>0</v>
      </c>
      <c r="D97" s="1">
        <v>2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>
      <c r="A98" s="1" t="s">
        <v>284</v>
      </c>
      <c r="B98" s="1" t="s">
        <v>108</v>
      </c>
      <c r="C98" s="1" t="s">
        <v>0</v>
      </c>
      <c r="D98" s="1">
        <v>2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</row>
    <row r="99" spans="1:12">
      <c r="A99" s="1" t="s">
        <v>284</v>
      </c>
      <c r="B99" s="1" t="s">
        <v>109</v>
      </c>
      <c r="C99" s="1" t="s">
        <v>0</v>
      </c>
      <c r="D99" s="1">
        <v>2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</row>
    <row r="100" spans="1:12">
      <c r="A100" s="1" t="s">
        <v>284</v>
      </c>
      <c r="B100" s="1" t="s">
        <v>481</v>
      </c>
      <c r="C100" s="1" t="s">
        <v>0</v>
      </c>
      <c r="D100" s="1">
        <v>2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</row>
    <row r="101" spans="1:12">
      <c r="A101" s="1" t="s">
        <v>284</v>
      </c>
      <c r="B101" s="1" t="s">
        <v>479</v>
      </c>
      <c r="C101" s="1" t="s">
        <v>0</v>
      </c>
      <c r="D101" s="1">
        <v>2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>
      <c r="A102" s="1" t="s">
        <v>284</v>
      </c>
      <c r="B102" s="1" t="s">
        <v>483</v>
      </c>
      <c r="C102" s="1" t="s">
        <v>0</v>
      </c>
      <c r="D102" s="1">
        <v>2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>
      <c r="A103" s="1" t="s">
        <v>284</v>
      </c>
      <c r="B103" s="1" t="s">
        <v>484</v>
      </c>
      <c r="C103" s="1" t="s">
        <v>0</v>
      </c>
      <c r="D103" s="1">
        <v>2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>
      <c r="A104" s="1" t="s">
        <v>284</v>
      </c>
      <c r="B104" s="1" t="s">
        <v>476</v>
      </c>
      <c r="C104" s="1" t="s">
        <v>0</v>
      </c>
      <c r="D104" s="1">
        <v>2</v>
      </c>
      <c r="E104" s="1">
        <v>-0.88</v>
      </c>
      <c r="F104" s="1">
        <v>-0.88</v>
      </c>
      <c r="G104" s="1">
        <v>-0.88</v>
      </c>
      <c r="H104" s="1">
        <v>-0.88</v>
      </c>
      <c r="I104" s="1">
        <v>-0.88</v>
      </c>
      <c r="J104" s="1">
        <v>-0.88</v>
      </c>
      <c r="K104" s="1">
        <v>-0.88</v>
      </c>
      <c r="L104" s="1">
        <v>-0.88</v>
      </c>
    </row>
    <row r="105" spans="1:12">
      <c r="A105" s="1" t="s">
        <v>284</v>
      </c>
      <c r="B105" s="1" t="s">
        <v>477</v>
      </c>
      <c r="C105" s="1" t="s">
        <v>0</v>
      </c>
      <c r="D105" s="1">
        <v>2</v>
      </c>
      <c r="E105" s="1">
        <v>0.12</v>
      </c>
      <c r="F105" s="1">
        <v>0.12</v>
      </c>
      <c r="G105" s="1">
        <v>0.12</v>
      </c>
      <c r="H105" s="1">
        <v>0.12</v>
      </c>
      <c r="I105" s="1">
        <v>0.12</v>
      </c>
      <c r="J105" s="1">
        <v>0.12</v>
      </c>
      <c r="K105" s="1">
        <v>0.12</v>
      </c>
      <c r="L105" s="1">
        <v>0.12</v>
      </c>
    </row>
    <row r="106" spans="1:12">
      <c r="A106" s="1" t="s">
        <v>284</v>
      </c>
      <c r="B106" s="1" t="s">
        <v>478</v>
      </c>
      <c r="C106" s="1" t="s">
        <v>0</v>
      </c>
      <c r="D106" s="1">
        <v>2</v>
      </c>
      <c r="E106" s="1">
        <v>0.12</v>
      </c>
      <c r="F106" s="1">
        <v>0.12</v>
      </c>
      <c r="G106" s="1">
        <v>0.12</v>
      </c>
      <c r="H106" s="1">
        <v>0.12</v>
      </c>
      <c r="I106" s="1">
        <v>0.12</v>
      </c>
      <c r="J106" s="1">
        <v>0.12</v>
      </c>
      <c r="K106" s="1">
        <v>0.12</v>
      </c>
      <c r="L106" s="1">
        <v>0.12</v>
      </c>
    </row>
    <row r="107" spans="1:12">
      <c r="A107" s="1" t="s">
        <v>284</v>
      </c>
      <c r="B107" s="1" t="s">
        <v>482</v>
      </c>
      <c r="C107" s="1" t="s">
        <v>0</v>
      </c>
      <c r="D107" s="1">
        <v>2</v>
      </c>
      <c r="E107" s="1">
        <v>0.12</v>
      </c>
      <c r="F107" s="1">
        <v>0.12</v>
      </c>
      <c r="G107" s="1">
        <v>0.12</v>
      </c>
      <c r="H107" s="1">
        <v>0.12</v>
      </c>
      <c r="I107" s="1">
        <v>0.12</v>
      </c>
      <c r="J107" s="1">
        <v>0.12</v>
      </c>
      <c r="K107" s="1">
        <v>0.12</v>
      </c>
      <c r="L107" s="1">
        <v>0.12</v>
      </c>
    </row>
    <row r="108" spans="1:12">
      <c r="A108" s="1" t="s">
        <v>284</v>
      </c>
      <c r="B108" s="1" t="s">
        <v>480</v>
      </c>
      <c r="C108" s="1" t="s">
        <v>0</v>
      </c>
      <c r="D108" s="1">
        <v>2</v>
      </c>
      <c r="E108" s="1">
        <v>-0.88</v>
      </c>
      <c r="F108" s="1">
        <v>-0.88</v>
      </c>
      <c r="G108" s="1">
        <v>-0.88</v>
      </c>
      <c r="H108" s="1">
        <v>-0.88</v>
      </c>
      <c r="I108" s="1">
        <v>-0.88</v>
      </c>
      <c r="J108" s="1">
        <v>-0.88</v>
      </c>
      <c r="K108" s="1">
        <v>-0.88</v>
      </c>
      <c r="L108" s="1">
        <v>-0.88</v>
      </c>
    </row>
    <row r="109" spans="1:12">
      <c r="A109" s="1" t="s">
        <v>284</v>
      </c>
      <c r="B109" s="1" t="s">
        <v>485</v>
      </c>
      <c r="C109" s="1" t="s">
        <v>0</v>
      </c>
      <c r="D109" s="1">
        <v>1</v>
      </c>
      <c r="E109" s="1">
        <v>1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</row>
    <row r="110" spans="1:12">
      <c r="A110" s="1" t="s">
        <v>284</v>
      </c>
      <c r="B110" s="1" t="s">
        <v>485</v>
      </c>
      <c r="C110" s="1" t="s">
        <v>0</v>
      </c>
      <c r="D110" s="1">
        <v>2</v>
      </c>
      <c r="E110" s="1">
        <v>1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</row>
    <row r="111" spans="1:12">
      <c r="A111" s="1" t="s">
        <v>284</v>
      </c>
      <c r="B111" s="1" t="s">
        <v>488</v>
      </c>
      <c r="C111" s="1" t="s">
        <v>0</v>
      </c>
      <c r="D111" s="1">
        <v>1</v>
      </c>
      <c r="E111" s="1">
        <v>1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</row>
    <row r="112" spans="1:12">
      <c r="A112" s="1" t="s">
        <v>284</v>
      </c>
      <c r="B112" s="1" t="s">
        <v>490</v>
      </c>
      <c r="C112" s="1" t="s">
        <v>0</v>
      </c>
      <c r="D112" s="1">
        <v>1</v>
      </c>
      <c r="E112" s="1">
        <v>1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</row>
    <row r="113" spans="1:12">
      <c r="A113" s="1" t="s">
        <v>284</v>
      </c>
      <c r="B113" s="1" t="s">
        <v>489</v>
      </c>
      <c r="C113" s="1" t="s">
        <v>0</v>
      </c>
      <c r="D113" s="1">
        <v>1</v>
      </c>
      <c r="E113" s="1">
        <v>1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</row>
  </sheetData>
  <dataValidations count="2">
    <dataValidation type="list" allowBlank="1" showInputMessage="1" showErrorMessage="1" sqref="C85:C113 B12:B20 C6:D34 D59:D68 C35:C78 B79:C79 C80:C82 C83:D84" xr:uid="{00000000-0002-0000-1100-000000000000}">
      <formula1>Technologies</formula1>
    </dataValidation>
    <dataValidation type="list" allowBlank="1" showInputMessage="1" showErrorMessage="1" sqref="A6:A82" xr:uid="{00000000-0002-0000-1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6"/>
  <dimension ref="A1:K101"/>
  <sheetViews>
    <sheetView topLeftCell="A63" zoomScale="90" zoomScaleNormal="90" zoomScalePageLayoutView="90" workbookViewId="0">
      <selection activeCell="A86" sqref="A86:K101"/>
    </sheetView>
  </sheetViews>
  <sheetFormatPr defaultColWidth="11.42578125" defaultRowHeight="15"/>
  <cols>
    <col min="1" max="1" width="11.42578125" style="1"/>
    <col min="2" max="2" width="23.42578125" style="1" customWidth="1"/>
    <col min="3" max="16384" width="11.42578125" style="1"/>
  </cols>
  <sheetData>
    <row r="1" spans="1:11">
      <c r="A1" s="1" t="s">
        <v>415</v>
      </c>
    </row>
    <row r="2" spans="1:11">
      <c r="A2" s="1" t="s">
        <v>371</v>
      </c>
    </row>
    <row r="3" spans="1:11">
      <c r="A3" s="1" t="s">
        <v>416</v>
      </c>
    </row>
    <row r="5" spans="1:11">
      <c r="A5" s="1" t="s">
        <v>20</v>
      </c>
      <c r="B5" s="1" t="s">
        <v>26</v>
      </c>
      <c r="C5" s="1" t="s">
        <v>25</v>
      </c>
      <c r="D5" s="1">
        <v>2018</v>
      </c>
      <c r="E5" s="1">
        <v>2020</v>
      </c>
      <c r="F5" s="1">
        <v>2025</v>
      </c>
      <c r="G5" s="1">
        <v>2030</v>
      </c>
      <c r="H5" s="1">
        <v>2035</v>
      </c>
      <c r="I5" s="1">
        <v>2040</v>
      </c>
      <c r="J5" s="1">
        <v>2045</v>
      </c>
      <c r="K5" s="1">
        <v>2050</v>
      </c>
    </row>
    <row r="6" spans="1:11">
      <c r="A6" s="26" t="s">
        <v>284</v>
      </c>
      <c r="B6" s="1" t="s">
        <v>108</v>
      </c>
      <c r="C6" s="1" t="s">
        <v>0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</row>
    <row r="7" spans="1:11">
      <c r="A7" s="26" t="s">
        <v>284</v>
      </c>
      <c r="B7" s="1" t="s">
        <v>109</v>
      </c>
      <c r="C7" s="1" t="s">
        <v>0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</row>
    <row r="8" spans="1:11">
      <c r="A8" s="26" t="s">
        <v>284</v>
      </c>
      <c r="B8" s="1" t="s">
        <v>110</v>
      </c>
      <c r="C8" s="1" t="s">
        <v>0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</row>
    <row r="9" spans="1:11">
      <c r="A9" s="26" t="s">
        <v>284</v>
      </c>
      <c r="B9" s="24" t="s">
        <v>134</v>
      </c>
      <c r="C9" s="1" t="s">
        <v>0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</row>
    <row r="10" spans="1:11">
      <c r="A10" s="26" t="s">
        <v>284</v>
      </c>
      <c r="B10" s="24" t="s">
        <v>130</v>
      </c>
      <c r="C10" s="1" t="s">
        <v>0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</row>
    <row r="11" spans="1:11">
      <c r="A11" s="26" t="s">
        <v>284</v>
      </c>
      <c r="B11" s="24" t="s">
        <v>131</v>
      </c>
      <c r="C11" s="1" t="s">
        <v>0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</row>
    <row r="12" spans="1:11">
      <c r="A12" s="26" t="s">
        <v>284</v>
      </c>
      <c r="B12" s="24" t="s">
        <v>59</v>
      </c>
      <c r="C12" s="1" t="s">
        <v>0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</row>
    <row r="13" spans="1:11">
      <c r="A13" s="26" t="s">
        <v>284</v>
      </c>
      <c r="B13" s="1" t="s">
        <v>107</v>
      </c>
      <c r="C13" s="1" t="s">
        <v>0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</row>
    <row r="14" spans="1:11">
      <c r="A14" s="26" t="s">
        <v>284</v>
      </c>
      <c r="B14" s="1" t="s">
        <v>106</v>
      </c>
      <c r="C14" s="1" t="s">
        <v>0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</row>
    <row r="15" spans="1:11">
      <c r="A15" s="26" t="s">
        <v>284</v>
      </c>
      <c r="B15" s="1" t="s">
        <v>22</v>
      </c>
      <c r="C15" s="1" t="s">
        <v>0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</row>
    <row r="16" spans="1:11">
      <c r="A16" s="26" t="s">
        <v>284</v>
      </c>
      <c r="B16" s="1" t="s">
        <v>58</v>
      </c>
      <c r="C16" s="1" t="s">
        <v>0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</row>
    <row r="17" spans="1:11">
      <c r="A17" s="26" t="s">
        <v>284</v>
      </c>
      <c r="B17" s="24" t="s">
        <v>62</v>
      </c>
      <c r="C17" s="1" t="s">
        <v>0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</row>
    <row r="18" spans="1:11">
      <c r="A18" s="26" t="s">
        <v>284</v>
      </c>
      <c r="B18" s="24" t="s">
        <v>132</v>
      </c>
      <c r="C18" s="1" t="s">
        <v>0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</row>
    <row r="19" spans="1:11">
      <c r="A19" s="26" t="s">
        <v>284</v>
      </c>
      <c r="B19" s="24" t="s">
        <v>63</v>
      </c>
      <c r="C19" s="1" t="s">
        <v>0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</row>
    <row r="20" spans="1:11">
      <c r="A20" s="26" t="s">
        <v>284</v>
      </c>
      <c r="B20" s="24" t="s">
        <v>128</v>
      </c>
      <c r="C20" s="1" t="s">
        <v>0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</row>
    <row r="21" spans="1:11">
      <c r="A21" s="26" t="s">
        <v>284</v>
      </c>
      <c r="B21" s="1" t="s">
        <v>198</v>
      </c>
      <c r="C21" s="1" t="s">
        <v>0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</row>
    <row r="22" spans="1:11">
      <c r="A22" s="26" t="s">
        <v>284</v>
      </c>
      <c r="B22" s="1" t="s">
        <v>199</v>
      </c>
      <c r="C22" s="1" t="s">
        <v>0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</row>
    <row r="23" spans="1:11">
      <c r="A23" s="26" t="s">
        <v>284</v>
      </c>
      <c r="B23" s="1" t="s">
        <v>224</v>
      </c>
      <c r="C23" s="1" t="s">
        <v>0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</row>
    <row r="24" spans="1:11">
      <c r="A24" s="26" t="s">
        <v>284</v>
      </c>
      <c r="B24" s="1" t="s">
        <v>211</v>
      </c>
      <c r="C24" s="1" t="s">
        <v>0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</row>
    <row r="25" spans="1:11">
      <c r="A25" s="26" t="s">
        <v>284</v>
      </c>
      <c r="B25" s="1" t="s">
        <v>206</v>
      </c>
      <c r="C25" s="1" t="s">
        <v>0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</row>
    <row r="26" spans="1:11">
      <c r="A26" s="26" t="s">
        <v>284</v>
      </c>
      <c r="B26" s="1" t="s">
        <v>210</v>
      </c>
      <c r="C26" s="1" t="s">
        <v>0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</row>
    <row r="27" spans="1:11">
      <c r="A27" s="26" t="s">
        <v>284</v>
      </c>
      <c r="B27" s="1" t="s">
        <v>207</v>
      </c>
      <c r="C27" s="1" t="s">
        <v>0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</row>
    <row r="28" spans="1:11">
      <c r="A28" s="26" t="s">
        <v>284</v>
      </c>
      <c r="B28" s="1" t="s">
        <v>208</v>
      </c>
      <c r="C28" s="1" t="s">
        <v>0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</row>
    <row r="29" spans="1:11">
      <c r="A29" s="26" t="s">
        <v>284</v>
      </c>
      <c r="B29" s="1" t="s">
        <v>209</v>
      </c>
      <c r="C29" s="1" t="s">
        <v>0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</row>
    <row r="30" spans="1:11">
      <c r="A30" s="26" t="s">
        <v>284</v>
      </c>
      <c r="B30" s="1" t="s">
        <v>232</v>
      </c>
      <c r="C30" s="1" t="s">
        <v>0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</row>
    <row r="31" spans="1:11">
      <c r="A31" s="26" t="s">
        <v>284</v>
      </c>
      <c r="B31" s="1" t="s">
        <v>233</v>
      </c>
      <c r="C31" s="1" t="s">
        <v>0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</row>
    <row r="32" spans="1:11">
      <c r="A32" s="26" t="s">
        <v>284</v>
      </c>
      <c r="B32" s="1" t="s">
        <v>234</v>
      </c>
      <c r="C32" s="1" t="s">
        <v>0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</row>
    <row r="33" spans="1:11">
      <c r="A33" s="26" t="s">
        <v>284</v>
      </c>
      <c r="B33" s="1" t="s">
        <v>235</v>
      </c>
      <c r="C33" s="1" t="s">
        <v>0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</row>
    <row r="34" spans="1:11">
      <c r="A34" s="26" t="s">
        <v>284</v>
      </c>
      <c r="B34" s="1" t="s">
        <v>236</v>
      </c>
      <c r="C34" s="1" t="s">
        <v>0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</row>
    <row r="35" spans="1:11">
      <c r="A35" s="26" t="s">
        <v>284</v>
      </c>
      <c r="B35" s="1" t="s">
        <v>215</v>
      </c>
      <c r="C35" s="1" t="s">
        <v>0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</row>
    <row r="36" spans="1:11">
      <c r="A36" s="26" t="s">
        <v>284</v>
      </c>
      <c r="B36" s="1" t="s">
        <v>225</v>
      </c>
      <c r="C36" s="1" t="s">
        <v>0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</row>
    <row r="37" spans="1:11">
      <c r="A37" s="26" t="s">
        <v>284</v>
      </c>
      <c r="B37" s="1" t="s">
        <v>226</v>
      </c>
      <c r="C37" s="1" t="s">
        <v>0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</row>
    <row r="38" spans="1:11">
      <c r="A38" s="26" t="s">
        <v>284</v>
      </c>
      <c r="B38" s="1" t="s">
        <v>216</v>
      </c>
      <c r="C38" s="1" t="s">
        <v>0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</row>
    <row r="39" spans="1:11">
      <c r="A39" s="26" t="s">
        <v>284</v>
      </c>
      <c r="B39" s="1" t="s">
        <v>217</v>
      </c>
      <c r="C39" s="1" t="s">
        <v>0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</row>
    <row r="40" spans="1:11">
      <c r="A40" s="26" t="s">
        <v>284</v>
      </c>
      <c r="B40" s="1" t="s">
        <v>218</v>
      </c>
      <c r="C40" s="1" t="s">
        <v>0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</row>
    <row r="41" spans="1:11">
      <c r="A41" s="26" t="s">
        <v>284</v>
      </c>
      <c r="B41" s="1" t="s">
        <v>219</v>
      </c>
      <c r="C41" s="1" t="s">
        <v>0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</row>
    <row r="42" spans="1:11">
      <c r="A42" s="26" t="s">
        <v>284</v>
      </c>
      <c r="B42" s="1" t="s">
        <v>220</v>
      </c>
      <c r="C42" s="1" t="s">
        <v>0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</row>
    <row r="43" spans="1:11">
      <c r="A43" s="26" t="s">
        <v>284</v>
      </c>
      <c r="B43" s="1" t="s">
        <v>221</v>
      </c>
      <c r="C43" s="1" t="s">
        <v>0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</row>
    <row r="44" spans="1:11">
      <c r="A44" s="26" t="s">
        <v>284</v>
      </c>
      <c r="B44" s="1" t="s">
        <v>249</v>
      </c>
      <c r="C44" s="1" t="s">
        <v>0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</row>
    <row r="45" spans="1:11">
      <c r="A45" s="26" t="s">
        <v>284</v>
      </c>
      <c r="B45" s="1" t="s">
        <v>237</v>
      </c>
      <c r="C45" s="1" t="s">
        <v>0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</row>
    <row r="46" spans="1:11">
      <c r="A46" s="26" t="s">
        <v>284</v>
      </c>
      <c r="B46" s="1" t="s">
        <v>238</v>
      </c>
      <c r="C46" s="1" t="s">
        <v>0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</row>
    <row r="47" spans="1:11">
      <c r="A47" s="26" t="s">
        <v>284</v>
      </c>
      <c r="B47" s="1" t="s">
        <v>239</v>
      </c>
      <c r="C47" s="1" t="s">
        <v>0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</row>
    <row r="48" spans="1:11">
      <c r="A48" s="26" t="s">
        <v>284</v>
      </c>
      <c r="B48" s="1" t="s">
        <v>222</v>
      </c>
      <c r="C48" s="1" t="s">
        <v>0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</row>
    <row r="49" spans="1:11">
      <c r="A49" s="26" t="s">
        <v>284</v>
      </c>
      <c r="B49" s="1" t="s">
        <v>227</v>
      </c>
      <c r="C49" s="1" t="s">
        <v>0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</row>
    <row r="50" spans="1:11">
      <c r="A50" s="26" t="s">
        <v>284</v>
      </c>
      <c r="B50" s="1" t="s">
        <v>223</v>
      </c>
      <c r="C50" s="1" t="s">
        <v>0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</row>
    <row r="51" spans="1:11">
      <c r="A51" s="26" t="s">
        <v>284</v>
      </c>
      <c r="B51" s="1" t="s">
        <v>230</v>
      </c>
      <c r="C51" s="1" t="s">
        <v>0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</row>
    <row r="52" spans="1:11">
      <c r="A52" s="26" t="s">
        <v>284</v>
      </c>
      <c r="B52" s="1" t="s">
        <v>228</v>
      </c>
      <c r="C52" s="1" t="s">
        <v>0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</row>
    <row r="53" spans="1:11">
      <c r="A53" s="26" t="s">
        <v>284</v>
      </c>
      <c r="B53" s="1" t="s">
        <v>229</v>
      </c>
      <c r="C53" s="1" t="s">
        <v>0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</row>
    <row r="54" spans="1:11">
      <c r="A54" s="26" t="s">
        <v>284</v>
      </c>
      <c r="B54" s="1" t="s">
        <v>240</v>
      </c>
      <c r="C54" s="1" t="s">
        <v>0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</row>
    <row r="55" spans="1:11">
      <c r="A55" s="26" t="s">
        <v>284</v>
      </c>
      <c r="B55" s="1" t="s">
        <v>231</v>
      </c>
      <c r="C55" s="1" t="s">
        <v>0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</row>
    <row r="56" spans="1:11">
      <c r="A56" s="26" t="s">
        <v>284</v>
      </c>
      <c r="B56" s="1" t="s">
        <v>243</v>
      </c>
      <c r="C56" s="1" t="s">
        <v>0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</row>
    <row r="57" spans="1:11">
      <c r="A57" s="26" t="s">
        <v>284</v>
      </c>
      <c r="B57" s="1" t="s">
        <v>244</v>
      </c>
      <c r="C57" s="1" t="s">
        <v>0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</row>
    <row r="58" spans="1:11">
      <c r="A58" s="26" t="s">
        <v>284</v>
      </c>
      <c r="B58" s="1" t="s">
        <v>245</v>
      </c>
      <c r="C58" s="1" t="s">
        <v>0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</row>
    <row r="59" spans="1:11">
      <c r="A59" s="26" t="s">
        <v>284</v>
      </c>
      <c r="B59" s="1" t="s">
        <v>246</v>
      </c>
      <c r="C59" s="1" t="s">
        <v>0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</row>
    <row r="60" spans="1:11">
      <c r="A60" s="26" t="s">
        <v>284</v>
      </c>
      <c r="B60" s="1" t="s">
        <v>247</v>
      </c>
      <c r="C60" s="1" t="s">
        <v>0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</row>
    <row r="61" spans="1:11">
      <c r="A61" s="26" t="s">
        <v>284</v>
      </c>
      <c r="B61" s="1" t="s">
        <v>248</v>
      </c>
      <c r="C61" s="1" t="s">
        <v>0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</row>
    <row r="62" spans="1:11">
      <c r="A62" s="26" t="s">
        <v>284</v>
      </c>
      <c r="B62" s="1" t="s">
        <v>254</v>
      </c>
      <c r="C62" s="1" t="s">
        <v>0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</row>
    <row r="63" spans="1:11">
      <c r="A63" s="26" t="s">
        <v>284</v>
      </c>
      <c r="B63" s="1" t="s">
        <v>254</v>
      </c>
      <c r="C63" s="1" t="s">
        <v>0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</row>
    <row r="64" spans="1:11">
      <c r="A64" s="26" t="s">
        <v>284</v>
      </c>
      <c r="B64" s="1" t="s">
        <v>254</v>
      </c>
      <c r="C64" s="1" t="s">
        <v>0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</row>
    <row r="65" spans="1:11">
      <c r="A65" s="26" t="s">
        <v>284</v>
      </c>
      <c r="B65" s="1" t="s">
        <v>254</v>
      </c>
      <c r="C65" s="1" t="s">
        <v>0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</row>
    <row r="66" spans="1:11">
      <c r="A66" s="26" t="s">
        <v>284</v>
      </c>
      <c r="B66" s="1" t="s">
        <v>255</v>
      </c>
      <c r="C66" s="1" t="s">
        <v>0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</row>
    <row r="67" spans="1:11">
      <c r="A67" s="26" t="s">
        <v>284</v>
      </c>
      <c r="B67" s="1" t="s">
        <v>267</v>
      </c>
      <c r="C67" s="1" t="s">
        <v>0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</row>
    <row r="68" spans="1:11">
      <c r="A68" s="26" t="s">
        <v>284</v>
      </c>
      <c r="B68" s="1" t="s">
        <v>261</v>
      </c>
      <c r="C68" s="1" t="s">
        <v>0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</row>
    <row r="69" spans="1:11">
      <c r="A69" s="26" t="s">
        <v>284</v>
      </c>
      <c r="B69" s="1" t="s">
        <v>262</v>
      </c>
      <c r="C69" s="1" t="s">
        <v>0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</row>
    <row r="70" spans="1:11">
      <c r="A70" s="26" t="s">
        <v>284</v>
      </c>
      <c r="B70" s="1" t="s">
        <v>268</v>
      </c>
      <c r="C70" s="1" t="s">
        <v>0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</row>
    <row r="71" spans="1:11">
      <c r="A71" s="26" t="s">
        <v>284</v>
      </c>
      <c r="B71" s="1" t="s">
        <v>259</v>
      </c>
      <c r="C71" s="1" t="s">
        <v>0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</row>
    <row r="72" spans="1:11">
      <c r="A72" s="26" t="s">
        <v>284</v>
      </c>
      <c r="B72" s="1" t="s">
        <v>260</v>
      </c>
      <c r="C72" s="1" t="s">
        <v>0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</row>
    <row r="73" spans="1:11">
      <c r="A73" s="26" t="s">
        <v>284</v>
      </c>
      <c r="B73" s="1" t="s">
        <v>263</v>
      </c>
      <c r="C73" s="1" t="s">
        <v>0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</row>
    <row r="74" spans="1:11">
      <c r="A74" s="26" t="s">
        <v>284</v>
      </c>
      <c r="B74" s="1" t="s">
        <v>264</v>
      </c>
      <c r="C74" s="1" t="s">
        <v>0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</row>
    <row r="75" spans="1:11">
      <c r="A75" s="26" t="s">
        <v>284</v>
      </c>
      <c r="B75" s="1" t="s">
        <v>256</v>
      </c>
      <c r="C75" s="1" t="s">
        <v>0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</row>
    <row r="76" spans="1:11">
      <c r="A76" s="26" t="s">
        <v>284</v>
      </c>
      <c r="B76" s="1" t="s">
        <v>257</v>
      </c>
      <c r="C76" s="1" t="s">
        <v>0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</row>
    <row r="77" spans="1:11">
      <c r="A77" s="26" t="s">
        <v>284</v>
      </c>
      <c r="B77" s="1" t="s">
        <v>258</v>
      </c>
      <c r="C77" s="1" t="s">
        <v>0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</row>
    <row r="78" spans="1:11">
      <c r="A78" s="26" t="s">
        <v>284</v>
      </c>
      <c r="B78" s="1" t="s">
        <v>265</v>
      </c>
      <c r="C78" s="1" t="s">
        <v>0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</row>
    <row r="79" spans="1:11">
      <c r="A79" s="26" t="s">
        <v>284</v>
      </c>
      <c r="B79" s="1" t="s">
        <v>266</v>
      </c>
      <c r="C79" s="1" t="s">
        <v>0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</row>
    <row r="80" spans="1:11">
      <c r="A80" s="26" t="s">
        <v>284</v>
      </c>
      <c r="B80" s="1" t="s">
        <v>269</v>
      </c>
      <c r="C80" s="1" t="s">
        <v>0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</row>
    <row r="81" spans="1:11">
      <c r="A81" s="26" t="s">
        <v>284</v>
      </c>
      <c r="B81" s="24" t="s">
        <v>345</v>
      </c>
      <c r="C81" s="1" t="s">
        <v>0</v>
      </c>
      <c r="D81" s="1">
        <v>1</v>
      </c>
      <c r="E81" s="1">
        <v>1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</row>
    <row r="82" spans="1:11">
      <c r="A82" s="26" t="s">
        <v>284</v>
      </c>
      <c r="B82" s="24" t="s">
        <v>346</v>
      </c>
      <c r="C82" s="1" t="s">
        <v>0</v>
      </c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</row>
    <row r="83" spans="1:11">
      <c r="A83" s="26" t="s">
        <v>284</v>
      </c>
      <c r="B83" s="24" t="s">
        <v>347</v>
      </c>
      <c r="C83" s="1" t="s">
        <v>0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</row>
    <row r="84" spans="1:11">
      <c r="A84" s="26" t="s">
        <v>284</v>
      </c>
      <c r="B84" s="11" t="s">
        <v>363</v>
      </c>
      <c r="C84" s="1" t="s">
        <v>0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</row>
    <row r="85" spans="1:11">
      <c r="A85" s="26" t="s">
        <v>284</v>
      </c>
      <c r="B85" s="1" t="s">
        <v>364</v>
      </c>
      <c r="C85" s="1" t="s">
        <v>0</v>
      </c>
      <c r="D85" s="1">
        <v>1</v>
      </c>
      <c r="E85" s="1">
        <v>1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</row>
    <row r="86" spans="1:11">
      <c r="A86" s="70" t="s">
        <v>284</v>
      </c>
      <c r="B86" s="10" t="s">
        <v>475</v>
      </c>
      <c r="C86" s="10" t="s">
        <v>0</v>
      </c>
      <c r="D86" s="10">
        <v>1</v>
      </c>
      <c r="E86" s="10">
        <v>1</v>
      </c>
      <c r="F86" s="10">
        <v>1</v>
      </c>
      <c r="G86" s="10">
        <v>1</v>
      </c>
      <c r="H86" s="10">
        <v>1</v>
      </c>
      <c r="I86" s="10">
        <v>1</v>
      </c>
      <c r="J86" s="10">
        <v>1</v>
      </c>
      <c r="K86" s="10">
        <v>1</v>
      </c>
    </row>
    <row r="87" spans="1:11">
      <c r="A87" s="70" t="s">
        <v>284</v>
      </c>
      <c r="B87" s="10" t="s">
        <v>108</v>
      </c>
      <c r="C87" s="10" t="s">
        <v>0</v>
      </c>
      <c r="D87" s="10">
        <v>1</v>
      </c>
      <c r="E87" s="10">
        <v>1</v>
      </c>
      <c r="F87" s="10">
        <v>1</v>
      </c>
      <c r="G87" s="10">
        <v>1</v>
      </c>
      <c r="H87" s="10">
        <v>1</v>
      </c>
      <c r="I87" s="10">
        <v>1</v>
      </c>
      <c r="J87" s="10">
        <v>1</v>
      </c>
      <c r="K87" s="10">
        <v>1</v>
      </c>
    </row>
    <row r="88" spans="1:11">
      <c r="A88" s="70" t="s">
        <v>284</v>
      </c>
      <c r="B88" s="10" t="s">
        <v>109</v>
      </c>
      <c r="C88" s="10" t="s">
        <v>0</v>
      </c>
      <c r="D88" s="10">
        <v>1</v>
      </c>
      <c r="E88" s="10">
        <v>1</v>
      </c>
      <c r="F88" s="10">
        <v>1</v>
      </c>
      <c r="G88" s="10">
        <v>1</v>
      </c>
      <c r="H88" s="10">
        <v>1</v>
      </c>
      <c r="I88" s="10">
        <v>1</v>
      </c>
      <c r="J88" s="10">
        <v>1</v>
      </c>
      <c r="K88" s="10">
        <v>1</v>
      </c>
    </row>
    <row r="89" spans="1:11">
      <c r="A89" s="70" t="s">
        <v>284</v>
      </c>
      <c r="B89" s="10" t="s">
        <v>481</v>
      </c>
      <c r="C89" s="10" t="s">
        <v>0</v>
      </c>
      <c r="D89" s="10">
        <v>1</v>
      </c>
      <c r="E89" s="10">
        <v>1</v>
      </c>
      <c r="F89" s="10">
        <v>1</v>
      </c>
      <c r="G89" s="10">
        <v>1</v>
      </c>
      <c r="H89" s="10">
        <v>1</v>
      </c>
      <c r="I89" s="10">
        <v>1</v>
      </c>
      <c r="J89" s="10">
        <v>1</v>
      </c>
      <c r="K89" s="10">
        <v>1</v>
      </c>
    </row>
    <row r="90" spans="1:11">
      <c r="A90" s="70" t="s">
        <v>284</v>
      </c>
      <c r="B90" s="10" t="s">
        <v>479</v>
      </c>
      <c r="C90" s="10" t="s">
        <v>0</v>
      </c>
      <c r="D90" s="10">
        <v>1</v>
      </c>
      <c r="E90" s="10">
        <v>1</v>
      </c>
      <c r="F90" s="10">
        <v>1</v>
      </c>
      <c r="G90" s="10">
        <v>1</v>
      </c>
      <c r="H90" s="10">
        <v>1</v>
      </c>
      <c r="I90" s="10">
        <v>1</v>
      </c>
      <c r="J90" s="10">
        <v>1</v>
      </c>
      <c r="K90" s="10">
        <v>1</v>
      </c>
    </row>
    <row r="91" spans="1:11">
      <c r="A91" s="70" t="s">
        <v>284</v>
      </c>
      <c r="B91" s="10" t="s">
        <v>483</v>
      </c>
      <c r="C91" s="10" t="s">
        <v>0</v>
      </c>
      <c r="D91" s="10">
        <v>1</v>
      </c>
      <c r="E91" s="10">
        <v>1</v>
      </c>
      <c r="F91" s="10">
        <v>1</v>
      </c>
      <c r="G91" s="10">
        <v>1</v>
      </c>
      <c r="H91" s="10">
        <v>1</v>
      </c>
      <c r="I91" s="10">
        <v>1</v>
      </c>
      <c r="J91" s="10">
        <v>1</v>
      </c>
      <c r="K91" s="10">
        <v>1</v>
      </c>
    </row>
    <row r="92" spans="1:11">
      <c r="A92" s="70" t="s">
        <v>284</v>
      </c>
      <c r="B92" s="10" t="s">
        <v>484</v>
      </c>
      <c r="C92" s="10" t="s">
        <v>0</v>
      </c>
      <c r="D92" s="10">
        <v>1</v>
      </c>
      <c r="E92" s="10">
        <v>1</v>
      </c>
      <c r="F92" s="10">
        <v>1</v>
      </c>
      <c r="G92" s="10">
        <v>1</v>
      </c>
      <c r="H92" s="10">
        <v>1</v>
      </c>
      <c r="I92" s="10">
        <v>1</v>
      </c>
      <c r="J92" s="10">
        <v>1</v>
      </c>
      <c r="K92" s="10">
        <v>1</v>
      </c>
    </row>
    <row r="93" spans="1:11">
      <c r="A93" s="70" t="s">
        <v>284</v>
      </c>
      <c r="B93" s="10" t="s">
        <v>476</v>
      </c>
      <c r="C93" s="10" t="s">
        <v>0</v>
      </c>
      <c r="D93" s="10">
        <v>1</v>
      </c>
      <c r="E93" s="10">
        <v>1</v>
      </c>
      <c r="F93" s="10">
        <v>1</v>
      </c>
      <c r="G93" s="10">
        <v>1</v>
      </c>
      <c r="H93" s="10">
        <v>1</v>
      </c>
      <c r="I93" s="10">
        <v>1</v>
      </c>
      <c r="J93" s="10">
        <v>1</v>
      </c>
      <c r="K93" s="10">
        <v>1</v>
      </c>
    </row>
    <row r="94" spans="1:11">
      <c r="A94" s="70" t="s">
        <v>284</v>
      </c>
      <c r="B94" s="10" t="s">
        <v>477</v>
      </c>
      <c r="C94" s="10" t="s">
        <v>0</v>
      </c>
      <c r="D94" s="10">
        <v>1</v>
      </c>
      <c r="E94" s="10">
        <v>1</v>
      </c>
      <c r="F94" s="10">
        <v>1</v>
      </c>
      <c r="G94" s="10">
        <v>1</v>
      </c>
      <c r="H94" s="10">
        <v>1</v>
      </c>
      <c r="I94" s="10">
        <v>1</v>
      </c>
      <c r="J94" s="10">
        <v>1</v>
      </c>
      <c r="K94" s="10">
        <v>1</v>
      </c>
    </row>
    <row r="95" spans="1:11">
      <c r="A95" s="70" t="s">
        <v>284</v>
      </c>
      <c r="B95" s="10" t="s">
        <v>478</v>
      </c>
      <c r="C95" s="10" t="s">
        <v>0</v>
      </c>
      <c r="D95" s="10">
        <v>1</v>
      </c>
      <c r="E95" s="10">
        <v>1</v>
      </c>
      <c r="F95" s="10">
        <v>1</v>
      </c>
      <c r="G95" s="10">
        <v>1</v>
      </c>
      <c r="H95" s="10">
        <v>1</v>
      </c>
      <c r="I95" s="10">
        <v>1</v>
      </c>
      <c r="J95" s="10">
        <v>1</v>
      </c>
      <c r="K95" s="10">
        <v>1</v>
      </c>
    </row>
    <row r="96" spans="1:11">
      <c r="A96" s="70" t="s">
        <v>284</v>
      </c>
      <c r="B96" s="10" t="s">
        <v>482</v>
      </c>
      <c r="C96" s="10" t="s">
        <v>0</v>
      </c>
      <c r="D96" s="10">
        <v>1</v>
      </c>
      <c r="E96" s="10">
        <v>1</v>
      </c>
      <c r="F96" s="10">
        <v>1</v>
      </c>
      <c r="G96" s="10">
        <v>1</v>
      </c>
      <c r="H96" s="10">
        <v>1</v>
      </c>
      <c r="I96" s="10">
        <v>1</v>
      </c>
      <c r="J96" s="10">
        <v>1</v>
      </c>
      <c r="K96" s="10">
        <v>1</v>
      </c>
    </row>
    <row r="97" spans="1:11">
      <c r="A97" s="70" t="s">
        <v>284</v>
      </c>
      <c r="B97" s="10" t="s">
        <v>480</v>
      </c>
      <c r="C97" s="10" t="s">
        <v>0</v>
      </c>
      <c r="D97" s="10">
        <v>1</v>
      </c>
      <c r="E97" s="10">
        <v>1</v>
      </c>
      <c r="F97" s="10">
        <v>1</v>
      </c>
      <c r="G97" s="10">
        <v>1</v>
      </c>
      <c r="H97" s="10">
        <v>1</v>
      </c>
      <c r="I97" s="10">
        <v>1</v>
      </c>
      <c r="J97" s="10">
        <v>1</v>
      </c>
      <c r="K97" s="10">
        <v>1</v>
      </c>
    </row>
    <row r="98" spans="1:11">
      <c r="A98" s="70" t="s">
        <v>284</v>
      </c>
      <c r="B98" s="10" t="s">
        <v>485</v>
      </c>
      <c r="C98" s="10" t="s">
        <v>0</v>
      </c>
      <c r="D98" s="10">
        <v>1</v>
      </c>
      <c r="E98" s="10">
        <v>1</v>
      </c>
      <c r="F98" s="10">
        <v>1</v>
      </c>
      <c r="G98" s="10">
        <v>1</v>
      </c>
      <c r="H98" s="10">
        <v>1</v>
      </c>
      <c r="I98" s="10">
        <v>1</v>
      </c>
      <c r="J98" s="10">
        <v>1</v>
      </c>
      <c r="K98" s="10">
        <v>1</v>
      </c>
    </row>
    <row r="99" spans="1:11">
      <c r="A99" s="70" t="s">
        <v>284</v>
      </c>
      <c r="B99" s="10" t="s">
        <v>488</v>
      </c>
      <c r="C99" s="10" t="s">
        <v>0</v>
      </c>
      <c r="D99" s="10">
        <v>1</v>
      </c>
      <c r="E99" s="10">
        <v>1</v>
      </c>
      <c r="F99" s="10">
        <v>1</v>
      </c>
      <c r="G99" s="10">
        <v>1</v>
      </c>
      <c r="H99" s="10">
        <v>1</v>
      </c>
      <c r="I99" s="10">
        <v>1</v>
      </c>
      <c r="J99" s="10">
        <v>1</v>
      </c>
      <c r="K99" s="10">
        <v>1</v>
      </c>
    </row>
    <row r="100" spans="1:11">
      <c r="A100" s="70" t="s">
        <v>284</v>
      </c>
      <c r="B100" s="10" t="s">
        <v>490</v>
      </c>
      <c r="C100" s="10" t="s">
        <v>0</v>
      </c>
      <c r="D100" s="10">
        <v>1</v>
      </c>
      <c r="E100" s="10">
        <v>1</v>
      </c>
      <c r="F100" s="10">
        <v>1</v>
      </c>
      <c r="G100" s="10">
        <v>1</v>
      </c>
      <c r="H100" s="10">
        <v>1</v>
      </c>
      <c r="I100" s="10">
        <v>1</v>
      </c>
      <c r="J100" s="10">
        <v>1</v>
      </c>
      <c r="K100" s="10">
        <v>1</v>
      </c>
    </row>
    <row r="101" spans="1:11">
      <c r="A101" s="70" t="s">
        <v>284</v>
      </c>
      <c r="B101" s="10" t="s">
        <v>489</v>
      </c>
      <c r="C101" s="10" t="s">
        <v>0</v>
      </c>
      <c r="D101" s="10">
        <v>1</v>
      </c>
      <c r="E101" s="10">
        <v>1</v>
      </c>
      <c r="F101" s="10">
        <v>1</v>
      </c>
      <c r="G101" s="10">
        <v>1</v>
      </c>
      <c r="H101" s="10">
        <v>1</v>
      </c>
      <c r="I101" s="10">
        <v>1</v>
      </c>
      <c r="J101" s="10">
        <v>1</v>
      </c>
      <c r="K101" s="10">
        <v>1</v>
      </c>
    </row>
  </sheetData>
  <dataValidations count="2">
    <dataValidation type="list" allowBlank="1" showInputMessage="1" showErrorMessage="1" sqref="B12 B82:C82 C6:C81 C83:C102" xr:uid="{00000000-0002-0000-1200-000000000000}">
      <formula1>Technologies</formula1>
    </dataValidation>
    <dataValidation type="list" allowBlank="1" showInputMessage="1" showErrorMessage="1" sqref="A6:A101" xr:uid="{00000000-0002-0000-12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37"/>
  <dimension ref="A1:C13"/>
  <sheetViews>
    <sheetView workbookViewId="0">
      <selection activeCell="B18" sqref="B18"/>
    </sheetView>
  </sheetViews>
  <sheetFormatPr defaultColWidth="11.42578125" defaultRowHeight="15"/>
  <cols>
    <col min="1" max="1" width="17.5703125" style="1" customWidth="1"/>
    <col min="2" max="16384" width="11.42578125" style="1"/>
  </cols>
  <sheetData>
    <row r="1" spans="1:3">
      <c r="A1" s="1" t="s">
        <v>420</v>
      </c>
    </row>
    <row r="2" spans="1:3">
      <c r="A2" s="1" t="s">
        <v>372</v>
      </c>
    </row>
    <row r="3" spans="1:3">
      <c r="A3" s="1" t="s">
        <v>421</v>
      </c>
    </row>
    <row r="5" spans="1:3">
      <c r="A5" s="1" t="s">
        <v>156</v>
      </c>
      <c r="B5" s="1" t="s">
        <v>0</v>
      </c>
      <c r="C5" s="1">
        <f>0.0946</f>
        <v>9.4600000000000004E-2</v>
      </c>
    </row>
    <row r="6" spans="1:3">
      <c r="A6" s="1" t="s">
        <v>157</v>
      </c>
      <c r="B6" s="1" t="s">
        <v>0</v>
      </c>
      <c r="C6" s="1">
        <f>101000/1000000</f>
        <v>0.10100000000000001</v>
      </c>
    </row>
    <row r="7" spans="1:3">
      <c r="A7" s="1" t="s">
        <v>202</v>
      </c>
      <c r="B7" s="1" t="s">
        <v>0</v>
      </c>
      <c r="C7" s="1">
        <f>0.0561</f>
        <v>5.6099999999999997E-2</v>
      </c>
    </row>
    <row r="8" spans="1:3">
      <c r="A8" s="1" t="s">
        <v>143</v>
      </c>
      <c r="B8" s="1" t="s">
        <v>0</v>
      </c>
      <c r="C8" s="1">
        <f>73300/1000000</f>
        <v>7.3300000000000004E-2</v>
      </c>
    </row>
    <row r="9" spans="1:3">
      <c r="A9" s="1" t="s">
        <v>146</v>
      </c>
      <c r="B9" s="1" t="s">
        <v>0</v>
      </c>
      <c r="C9" s="1">
        <v>0.11</v>
      </c>
    </row>
    <row r="10" spans="1:3">
      <c r="A10" s="1" t="s">
        <v>271</v>
      </c>
      <c r="B10" s="1" t="s">
        <v>0</v>
      </c>
      <c r="C10" s="1">
        <v>1</v>
      </c>
    </row>
    <row r="11" spans="1:3">
      <c r="A11" s="1" t="s">
        <v>341</v>
      </c>
      <c r="B11" s="1" t="s">
        <v>0</v>
      </c>
      <c r="C11" s="1">
        <f>C7</f>
        <v>5.6099999999999997E-2</v>
      </c>
    </row>
    <row r="12" spans="1:3">
      <c r="A12" s="1" t="s">
        <v>368</v>
      </c>
      <c r="B12" s="1" t="s">
        <v>0</v>
      </c>
      <c r="C12" s="1">
        <v>1</v>
      </c>
    </row>
    <row r="13" spans="1:3">
      <c r="A13" s="1" t="s">
        <v>369</v>
      </c>
      <c r="B13" s="1" t="s">
        <v>0</v>
      </c>
      <c r="C13" s="1">
        <v>1</v>
      </c>
    </row>
  </sheetData>
  <dataValidations count="1">
    <dataValidation type="list" allowBlank="1" showInputMessage="1" showErrorMessage="1" sqref="A12:A16 A22:A24 B12:B14 A18:A20 B18:B25 B5:B8 A10:B10 A5:A7" xr:uid="{00000000-0002-0000-1300-000000000000}">
      <formula1>Technologies</formula1>
    </dataValidation>
  </dataValidation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8"/>
  <dimension ref="A1:J41"/>
  <sheetViews>
    <sheetView workbookViewId="0">
      <selection activeCell="A5" sqref="A5"/>
    </sheetView>
  </sheetViews>
  <sheetFormatPr defaultColWidth="11.42578125" defaultRowHeight="15"/>
  <cols>
    <col min="1" max="1" width="42.42578125" style="1" customWidth="1"/>
    <col min="2" max="2" width="21.42578125" style="1" customWidth="1"/>
    <col min="3" max="3" width="17.42578125" style="1" customWidth="1"/>
    <col min="4" max="4" width="20.42578125" style="1" customWidth="1"/>
    <col min="5" max="5" width="17.42578125" style="1" customWidth="1"/>
    <col min="6" max="6" width="20.42578125" style="1" customWidth="1"/>
    <col min="7" max="7" width="17.42578125" style="1" customWidth="1"/>
    <col min="8" max="8" width="20.42578125" style="1" customWidth="1"/>
    <col min="9" max="9" width="17.42578125" style="1" customWidth="1"/>
    <col min="10" max="10" width="20.42578125" style="1" customWidth="1"/>
    <col min="11" max="11" width="5" style="1" customWidth="1"/>
    <col min="12" max="12" width="23.42578125" style="1" customWidth="1"/>
    <col min="13" max="14" width="16.42578125" style="1" customWidth="1"/>
    <col min="15" max="15" width="13.42578125" style="1" customWidth="1"/>
    <col min="16" max="16384" width="11.42578125" style="1"/>
  </cols>
  <sheetData>
    <row r="1" spans="1:10">
      <c r="A1" s="1" t="s">
        <v>423</v>
      </c>
    </row>
    <row r="2" spans="1:10">
      <c r="A2" s="1" t="s">
        <v>8</v>
      </c>
      <c r="B2" s="47"/>
    </row>
    <row r="3" spans="1:10">
      <c r="A3" s="1" t="s">
        <v>422</v>
      </c>
    </row>
    <row r="5" spans="1:10"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  <row r="6" spans="1:10">
      <c r="A6" s="1" t="s">
        <v>278</v>
      </c>
      <c r="B6" s="1" t="s">
        <v>0</v>
      </c>
      <c r="C6" s="1">
        <v>15.06</v>
      </c>
      <c r="D6" s="1">
        <v>30</v>
      </c>
      <c r="E6" s="1">
        <v>325</v>
      </c>
      <c r="F6" s="1">
        <v>577.85714285714289</v>
      </c>
      <c r="G6" s="1">
        <v>830.71428571428578</v>
      </c>
      <c r="H6" s="1">
        <v>1184.7142857142858</v>
      </c>
      <c r="I6" s="1">
        <v>1492.5403726708075</v>
      </c>
      <c r="J6" s="1">
        <v>1800</v>
      </c>
    </row>
    <row r="7" spans="1:10">
      <c r="A7" s="1" t="s">
        <v>280</v>
      </c>
      <c r="B7" s="1" t="s">
        <v>0</v>
      </c>
      <c r="C7" s="1">
        <v>15.06</v>
      </c>
      <c r="D7" s="1">
        <v>30</v>
      </c>
      <c r="E7" s="1">
        <v>325</v>
      </c>
      <c r="F7" s="1">
        <v>577.85714285714289</v>
      </c>
      <c r="G7" s="1">
        <v>830.71428571428578</v>
      </c>
      <c r="H7" s="1">
        <v>1184.7142857142858</v>
      </c>
      <c r="I7" s="1">
        <v>1492.5403726708075</v>
      </c>
      <c r="J7" s="1">
        <v>1800</v>
      </c>
    </row>
    <row r="8" spans="1:10">
      <c r="A8" s="1" t="s">
        <v>281</v>
      </c>
      <c r="B8" s="1" t="s">
        <v>0</v>
      </c>
      <c r="C8" s="1">
        <v>15.06</v>
      </c>
      <c r="D8" s="1">
        <v>30</v>
      </c>
      <c r="E8" s="1">
        <v>325</v>
      </c>
      <c r="F8" s="1">
        <v>577.85714285714289</v>
      </c>
      <c r="G8" s="1">
        <v>830.71428571428578</v>
      </c>
      <c r="H8" s="1">
        <v>1184.7142857142858</v>
      </c>
      <c r="I8" s="1">
        <v>1492.5403726708075</v>
      </c>
      <c r="J8" s="1">
        <v>1800</v>
      </c>
    </row>
    <row r="9" spans="1:10">
      <c r="A9" s="1" t="s">
        <v>282</v>
      </c>
      <c r="B9" s="1" t="s">
        <v>0</v>
      </c>
      <c r="C9" s="1">
        <v>15.06</v>
      </c>
      <c r="D9" s="1">
        <v>30</v>
      </c>
      <c r="E9" s="1">
        <v>325</v>
      </c>
      <c r="F9" s="1">
        <v>577.85714285714289</v>
      </c>
      <c r="G9" s="1">
        <v>830.71428571428578</v>
      </c>
      <c r="H9" s="1">
        <v>1184.7142857142858</v>
      </c>
      <c r="I9" s="1">
        <v>1492.5403726708075</v>
      </c>
      <c r="J9" s="1">
        <v>1800</v>
      </c>
    </row>
    <row r="10" spans="1:10">
      <c r="A10" s="1" t="s">
        <v>283</v>
      </c>
      <c r="B10" s="1" t="s">
        <v>0</v>
      </c>
      <c r="C10" s="1">
        <v>15.06</v>
      </c>
      <c r="D10" s="1">
        <v>30</v>
      </c>
      <c r="E10" s="1">
        <v>325</v>
      </c>
      <c r="F10" s="1">
        <v>577.85714285714289</v>
      </c>
      <c r="G10" s="1">
        <v>830.71428571428578</v>
      </c>
      <c r="H10" s="1">
        <v>1184.7142857142858</v>
      </c>
      <c r="I10" s="1">
        <v>1492.5403726708075</v>
      </c>
      <c r="J10" s="1">
        <v>1800</v>
      </c>
    </row>
    <row r="11" spans="1:10">
      <c r="A11" s="1" t="s">
        <v>284</v>
      </c>
      <c r="B11" s="1" t="s">
        <v>0</v>
      </c>
      <c r="C11" s="1">
        <v>15.06</v>
      </c>
      <c r="D11" s="1">
        <v>30</v>
      </c>
      <c r="E11" s="1">
        <v>325</v>
      </c>
      <c r="F11" s="1">
        <v>577.85714285714289</v>
      </c>
      <c r="G11" s="1">
        <v>830.71428571428578</v>
      </c>
      <c r="H11" s="1">
        <v>1184.7142857142858</v>
      </c>
      <c r="I11" s="1">
        <v>1492.5403726708075</v>
      </c>
      <c r="J11" s="1">
        <v>1800</v>
      </c>
    </row>
    <row r="12" spans="1:10">
      <c r="A12" s="1" t="s">
        <v>285</v>
      </c>
      <c r="B12" s="1" t="s">
        <v>0</v>
      </c>
      <c r="C12" s="1">
        <v>15.06</v>
      </c>
      <c r="D12" s="1">
        <v>30</v>
      </c>
      <c r="E12" s="1">
        <v>325</v>
      </c>
      <c r="F12" s="1">
        <v>577.85714285714289</v>
      </c>
      <c r="G12" s="1">
        <v>830.71428571428578</v>
      </c>
      <c r="H12" s="1">
        <v>1184.7142857142858</v>
      </c>
      <c r="I12" s="1">
        <v>1492.5403726708075</v>
      </c>
      <c r="J12" s="1">
        <v>1800</v>
      </c>
    </row>
    <row r="13" spans="1:10">
      <c r="A13" s="1" t="s">
        <v>308</v>
      </c>
      <c r="B13" s="1" t="s">
        <v>0</v>
      </c>
      <c r="C13" s="1">
        <v>15.06</v>
      </c>
      <c r="D13" s="1">
        <v>30</v>
      </c>
      <c r="E13" s="1">
        <v>325</v>
      </c>
      <c r="F13" s="1">
        <v>577.85714285714289</v>
      </c>
      <c r="G13" s="1">
        <v>830.71428571428578</v>
      </c>
      <c r="H13" s="1">
        <v>1184.7142857142858</v>
      </c>
      <c r="I13" s="1">
        <v>1492.5403726708075</v>
      </c>
      <c r="J13" s="1">
        <v>1800</v>
      </c>
    </row>
    <row r="14" spans="1:10">
      <c r="A14" s="1" t="s">
        <v>286</v>
      </c>
      <c r="B14" s="1" t="s">
        <v>0</v>
      </c>
      <c r="C14" s="1">
        <v>15.06</v>
      </c>
      <c r="D14" s="1">
        <v>30</v>
      </c>
      <c r="E14" s="1">
        <v>325</v>
      </c>
      <c r="F14" s="1">
        <v>577.85714285714289</v>
      </c>
      <c r="G14" s="1">
        <v>830.71428571428578</v>
      </c>
      <c r="H14" s="1">
        <v>1184.7142857142858</v>
      </c>
      <c r="I14" s="1">
        <v>1492.5403726708075</v>
      </c>
      <c r="J14" s="1">
        <v>1800</v>
      </c>
    </row>
    <row r="15" spans="1:10">
      <c r="A15" s="1" t="s">
        <v>287</v>
      </c>
      <c r="B15" s="1" t="s">
        <v>0</v>
      </c>
      <c r="C15" s="1">
        <v>15.06</v>
      </c>
      <c r="D15" s="1">
        <v>30</v>
      </c>
      <c r="E15" s="1">
        <v>325</v>
      </c>
      <c r="F15" s="1">
        <v>577.85714285714289</v>
      </c>
      <c r="G15" s="1">
        <v>830.71428571428578</v>
      </c>
      <c r="H15" s="1">
        <v>1184.7142857142858</v>
      </c>
      <c r="I15" s="1">
        <v>1492.5403726708075</v>
      </c>
      <c r="J15" s="1">
        <v>1800</v>
      </c>
    </row>
    <row r="16" spans="1:10">
      <c r="A16" s="1" t="s">
        <v>288</v>
      </c>
      <c r="B16" s="1" t="s">
        <v>0</v>
      </c>
      <c r="C16" s="1">
        <v>15.06</v>
      </c>
      <c r="D16" s="1">
        <v>30</v>
      </c>
      <c r="E16" s="1">
        <v>325</v>
      </c>
      <c r="F16" s="1">
        <v>577.85714285714289</v>
      </c>
      <c r="G16" s="1">
        <v>830.71428571428578</v>
      </c>
      <c r="H16" s="1">
        <v>1184.7142857142858</v>
      </c>
      <c r="I16" s="1">
        <v>1492.5403726708075</v>
      </c>
      <c r="J16" s="1">
        <v>1800</v>
      </c>
    </row>
    <row r="17" spans="1:10">
      <c r="A17" s="1" t="s">
        <v>289</v>
      </c>
      <c r="B17" s="1" t="s">
        <v>0</v>
      </c>
      <c r="C17" s="1">
        <v>15.06</v>
      </c>
      <c r="D17" s="1">
        <v>30</v>
      </c>
      <c r="E17" s="1">
        <v>325</v>
      </c>
      <c r="F17" s="1">
        <v>577.85714285714289</v>
      </c>
      <c r="G17" s="1">
        <v>830.71428571428578</v>
      </c>
      <c r="H17" s="1">
        <v>1184.7142857142858</v>
      </c>
      <c r="I17" s="1">
        <v>1492.5403726708075</v>
      </c>
      <c r="J17" s="1">
        <v>1800</v>
      </c>
    </row>
    <row r="18" spans="1:10">
      <c r="A18" s="1" t="s">
        <v>290</v>
      </c>
      <c r="B18" s="1" t="s">
        <v>0</v>
      </c>
      <c r="C18" s="1">
        <v>15.06</v>
      </c>
      <c r="D18" s="1">
        <v>30</v>
      </c>
      <c r="E18" s="1">
        <v>325</v>
      </c>
      <c r="F18" s="1">
        <v>577.85714285714289</v>
      </c>
      <c r="G18" s="1">
        <v>830.71428571428578</v>
      </c>
      <c r="H18" s="1">
        <v>1184.7142857142858</v>
      </c>
      <c r="I18" s="1">
        <v>1492.5403726708075</v>
      </c>
      <c r="J18" s="1">
        <v>1800</v>
      </c>
    </row>
    <row r="19" spans="1:10">
      <c r="A19" s="1" t="s">
        <v>291</v>
      </c>
      <c r="B19" s="1" t="s">
        <v>0</v>
      </c>
      <c r="C19" s="1">
        <v>15.06</v>
      </c>
      <c r="D19" s="1">
        <v>30</v>
      </c>
      <c r="E19" s="1">
        <v>325</v>
      </c>
      <c r="F19" s="1">
        <v>577.85714285714289</v>
      </c>
      <c r="G19" s="1">
        <v>830.71428571428578</v>
      </c>
      <c r="H19" s="1">
        <v>1184.7142857142858</v>
      </c>
      <c r="I19" s="1">
        <v>1492.5403726708075</v>
      </c>
      <c r="J19" s="1">
        <v>1800</v>
      </c>
    </row>
    <row r="20" spans="1:10">
      <c r="A20" s="1" t="s">
        <v>292</v>
      </c>
      <c r="B20" s="1" t="s">
        <v>0</v>
      </c>
      <c r="C20" s="1">
        <v>15.06</v>
      </c>
      <c r="D20" s="1">
        <v>30</v>
      </c>
      <c r="E20" s="1">
        <v>325</v>
      </c>
      <c r="F20" s="1">
        <v>577.85714285714289</v>
      </c>
      <c r="G20" s="1">
        <v>830.71428571428578</v>
      </c>
      <c r="H20" s="1">
        <v>1184.7142857142858</v>
      </c>
      <c r="I20" s="1">
        <v>1492.5403726708075</v>
      </c>
      <c r="J20" s="1">
        <v>1800</v>
      </c>
    </row>
    <row r="21" spans="1:10">
      <c r="A21" s="1" t="s">
        <v>293</v>
      </c>
      <c r="B21" s="1" t="s">
        <v>0</v>
      </c>
      <c r="C21" s="1">
        <v>15.06</v>
      </c>
      <c r="D21" s="1">
        <v>30</v>
      </c>
      <c r="E21" s="1">
        <v>325</v>
      </c>
      <c r="F21" s="1">
        <v>577.85714285714289</v>
      </c>
      <c r="G21" s="1">
        <v>830.71428571428578</v>
      </c>
      <c r="H21" s="1">
        <v>1184.7142857142858</v>
      </c>
      <c r="I21" s="1">
        <v>1492.5403726708075</v>
      </c>
      <c r="J21" s="1">
        <v>1800</v>
      </c>
    </row>
    <row r="22" spans="1:10">
      <c r="A22" s="1" t="s">
        <v>309</v>
      </c>
      <c r="B22" s="1" t="s">
        <v>0</v>
      </c>
      <c r="C22" s="1">
        <v>15.06</v>
      </c>
      <c r="D22" s="1">
        <v>30</v>
      </c>
      <c r="E22" s="1">
        <v>325</v>
      </c>
      <c r="F22" s="1">
        <v>577.85714285714289</v>
      </c>
      <c r="G22" s="1">
        <v>830.71428571428578</v>
      </c>
      <c r="H22" s="1">
        <v>1184.7142857142858</v>
      </c>
      <c r="I22" s="1">
        <v>1492.5403726708075</v>
      </c>
      <c r="J22" s="1">
        <v>1800</v>
      </c>
    </row>
    <row r="23" spans="1:10">
      <c r="A23" s="1" t="s">
        <v>294</v>
      </c>
      <c r="B23" s="1" t="s">
        <v>0</v>
      </c>
      <c r="C23" s="1">
        <v>15.06</v>
      </c>
      <c r="D23" s="1">
        <v>30</v>
      </c>
      <c r="E23" s="1">
        <v>325</v>
      </c>
      <c r="F23" s="1">
        <v>577.85714285714289</v>
      </c>
      <c r="G23" s="1">
        <v>830.71428571428578</v>
      </c>
      <c r="H23" s="1">
        <v>1184.7142857142858</v>
      </c>
      <c r="I23" s="1">
        <v>1492.5403726708075</v>
      </c>
      <c r="J23" s="1">
        <v>1800</v>
      </c>
    </row>
    <row r="24" spans="1:10">
      <c r="A24" s="1" t="s">
        <v>310</v>
      </c>
      <c r="B24" s="1" t="s">
        <v>0</v>
      </c>
      <c r="C24" s="1">
        <v>15.06</v>
      </c>
      <c r="D24" s="1">
        <v>30</v>
      </c>
      <c r="E24" s="1">
        <v>325</v>
      </c>
      <c r="F24" s="1">
        <v>577.85714285714289</v>
      </c>
      <c r="G24" s="1">
        <v>830.71428571428578</v>
      </c>
      <c r="H24" s="1">
        <v>1184.7142857142858</v>
      </c>
      <c r="I24" s="1">
        <v>1492.5403726708075</v>
      </c>
      <c r="J24" s="1">
        <v>1800</v>
      </c>
    </row>
    <row r="25" spans="1:10">
      <c r="A25" s="1" t="s">
        <v>297</v>
      </c>
      <c r="B25" s="1" t="s">
        <v>0</v>
      </c>
      <c r="C25" s="1">
        <v>15.06</v>
      </c>
      <c r="D25" s="1">
        <v>30</v>
      </c>
      <c r="E25" s="1">
        <v>325</v>
      </c>
      <c r="F25" s="1">
        <v>577.85714285714289</v>
      </c>
      <c r="G25" s="1">
        <v>830.71428571428578</v>
      </c>
      <c r="H25" s="1">
        <v>1184.7142857142858</v>
      </c>
      <c r="I25" s="1">
        <v>1492.5403726708075</v>
      </c>
      <c r="J25" s="1">
        <v>1800</v>
      </c>
    </row>
    <row r="26" spans="1:10">
      <c r="A26" s="1" t="s">
        <v>298</v>
      </c>
      <c r="B26" s="1" t="s">
        <v>0</v>
      </c>
      <c r="C26" s="1">
        <v>15.06</v>
      </c>
      <c r="D26" s="1">
        <v>30</v>
      </c>
      <c r="E26" s="1">
        <v>325</v>
      </c>
      <c r="F26" s="1">
        <v>577.85714285714289</v>
      </c>
      <c r="G26" s="1">
        <v>830.71428571428578</v>
      </c>
      <c r="H26" s="1">
        <v>1184.7142857142858</v>
      </c>
      <c r="I26" s="1">
        <v>1492.5403726708075</v>
      </c>
      <c r="J26" s="1">
        <v>1800</v>
      </c>
    </row>
    <row r="27" spans="1:10">
      <c r="A27" s="1" t="s">
        <v>299</v>
      </c>
      <c r="B27" s="1" t="s">
        <v>0</v>
      </c>
      <c r="C27" s="1">
        <v>15.06</v>
      </c>
      <c r="D27" s="1">
        <v>30</v>
      </c>
      <c r="E27" s="1">
        <v>325</v>
      </c>
      <c r="F27" s="1">
        <v>577.85714285714289</v>
      </c>
      <c r="G27" s="1">
        <v>830.71428571428578</v>
      </c>
      <c r="H27" s="1">
        <v>1184.7142857142858</v>
      </c>
      <c r="I27" s="1">
        <v>1492.5403726708075</v>
      </c>
      <c r="J27" s="1">
        <v>1800</v>
      </c>
    </row>
    <row r="28" spans="1:10">
      <c r="A28" s="1" t="s">
        <v>300</v>
      </c>
      <c r="B28" s="1" t="s">
        <v>0</v>
      </c>
      <c r="C28" s="1">
        <v>15.06</v>
      </c>
      <c r="D28" s="1">
        <v>30</v>
      </c>
      <c r="E28" s="1">
        <v>325</v>
      </c>
      <c r="F28" s="1">
        <v>577.85714285714289</v>
      </c>
      <c r="G28" s="1">
        <v>830.71428571428578</v>
      </c>
      <c r="H28" s="1">
        <v>1184.7142857142858</v>
      </c>
      <c r="I28" s="1">
        <v>1492.5403726708075</v>
      </c>
      <c r="J28" s="1">
        <v>1800</v>
      </c>
    </row>
    <row r="29" spans="1:10">
      <c r="A29" s="1" t="s">
        <v>301</v>
      </c>
      <c r="B29" s="1" t="s">
        <v>0</v>
      </c>
      <c r="C29" s="1">
        <v>15.06</v>
      </c>
      <c r="D29" s="1">
        <v>30</v>
      </c>
      <c r="E29" s="1">
        <v>325</v>
      </c>
      <c r="F29" s="1">
        <v>577.85714285714289</v>
      </c>
      <c r="G29" s="1">
        <v>830.71428571428578</v>
      </c>
      <c r="H29" s="1">
        <v>1184.7142857142858</v>
      </c>
      <c r="I29" s="1">
        <v>1492.5403726708075</v>
      </c>
      <c r="J29" s="1">
        <v>1800</v>
      </c>
    </row>
    <row r="30" spans="1:10">
      <c r="A30" s="1" t="s">
        <v>303</v>
      </c>
      <c r="B30" s="1" t="s">
        <v>0</v>
      </c>
      <c r="C30" s="1">
        <v>15.06</v>
      </c>
      <c r="D30" s="1">
        <v>30</v>
      </c>
      <c r="E30" s="1">
        <v>325</v>
      </c>
      <c r="F30" s="1">
        <v>577.85714285714289</v>
      </c>
      <c r="G30" s="1">
        <v>830.71428571428578</v>
      </c>
      <c r="H30" s="1">
        <v>1184.7142857142858</v>
      </c>
      <c r="I30" s="1">
        <v>1492.5403726708075</v>
      </c>
      <c r="J30" s="1">
        <v>1800</v>
      </c>
    </row>
    <row r="31" spans="1:10">
      <c r="A31" s="1" t="s">
        <v>304</v>
      </c>
      <c r="B31" s="1" t="s">
        <v>0</v>
      </c>
      <c r="C31" s="1">
        <v>15.06</v>
      </c>
      <c r="D31" s="1">
        <v>30</v>
      </c>
      <c r="E31" s="1">
        <v>325</v>
      </c>
      <c r="F31" s="1">
        <v>577.85714285714289</v>
      </c>
      <c r="G31" s="1">
        <v>830.71428571428578</v>
      </c>
      <c r="H31" s="1">
        <v>1184.7142857142858</v>
      </c>
      <c r="I31" s="1">
        <v>1492.5403726708075</v>
      </c>
      <c r="J31" s="1">
        <v>1800</v>
      </c>
    </row>
    <row r="32" spans="1:10">
      <c r="A32" s="1" t="s">
        <v>305</v>
      </c>
      <c r="B32" s="1" t="s">
        <v>0</v>
      </c>
      <c r="C32" s="1">
        <v>15.06</v>
      </c>
      <c r="D32" s="1">
        <v>30</v>
      </c>
      <c r="E32" s="1">
        <v>325</v>
      </c>
      <c r="F32" s="1">
        <v>577.85714285714289</v>
      </c>
      <c r="G32" s="1">
        <v>830.71428571428578</v>
      </c>
      <c r="H32" s="1">
        <v>1184.7142857142858</v>
      </c>
      <c r="I32" s="1">
        <v>1492.5403726708075</v>
      </c>
      <c r="J32" s="1">
        <v>1800</v>
      </c>
    </row>
    <row r="33" spans="1:10">
      <c r="A33" s="1" t="s">
        <v>356</v>
      </c>
      <c r="B33" s="1" t="s">
        <v>0</v>
      </c>
      <c r="C33" s="1">
        <v>15.06</v>
      </c>
      <c r="D33" s="1">
        <v>30</v>
      </c>
      <c r="E33" s="1">
        <v>325</v>
      </c>
      <c r="F33" s="1">
        <v>577.85714285714289</v>
      </c>
      <c r="G33" s="1">
        <v>830.71428571428578</v>
      </c>
      <c r="H33" s="1">
        <v>1184.7142857142858</v>
      </c>
      <c r="I33" s="1">
        <v>1492.5403726708075</v>
      </c>
      <c r="J33" s="1">
        <v>1800</v>
      </c>
    </row>
    <row r="34" spans="1:10">
      <c r="A34" s="1" t="s">
        <v>307</v>
      </c>
      <c r="B34" s="1" t="s">
        <v>0</v>
      </c>
      <c r="C34" s="1">
        <v>15.06</v>
      </c>
      <c r="D34" s="1">
        <v>30</v>
      </c>
      <c r="E34" s="1">
        <v>325</v>
      </c>
      <c r="F34" s="1">
        <v>577.85714285714289</v>
      </c>
      <c r="G34" s="1">
        <v>830.71428571428578</v>
      </c>
      <c r="H34" s="1">
        <v>1184.7142857142858</v>
      </c>
      <c r="I34" s="1">
        <v>1492.5403726708075</v>
      </c>
      <c r="J34" s="1">
        <v>1800</v>
      </c>
    </row>
    <row r="35" spans="1:10">
      <c r="A35" s="1" t="s">
        <v>357</v>
      </c>
      <c r="B35" s="1" t="s">
        <v>0</v>
      </c>
      <c r="C35" s="1">
        <v>15.06</v>
      </c>
      <c r="D35" s="1">
        <v>30</v>
      </c>
      <c r="E35" s="1">
        <v>325</v>
      </c>
      <c r="F35" s="1">
        <v>577.85714285714289</v>
      </c>
      <c r="G35" s="1">
        <v>830.71428571428578</v>
      </c>
      <c r="H35" s="1">
        <v>1184.7142857142858</v>
      </c>
      <c r="I35" s="1">
        <v>1492.5403726708075</v>
      </c>
      <c r="J35" s="1">
        <v>1800</v>
      </c>
    </row>
    <row r="36" spans="1:10">
      <c r="A36" s="28"/>
    </row>
    <row r="37" spans="1:10">
      <c r="A37" s="28"/>
    </row>
    <row r="38" spans="1:10">
      <c r="A38" s="28"/>
    </row>
    <row r="39" spans="1:10">
      <c r="A39" s="28"/>
    </row>
    <row r="40" spans="1:10">
      <c r="A40" s="28"/>
    </row>
    <row r="41" spans="1:10">
      <c r="A41" s="28"/>
    </row>
  </sheetData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6" filterMode="1"/>
  <dimension ref="A1:BH390"/>
  <sheetViews>
    <sheetView zoomScale="90" zoomScaleNormal="90" zoomScalePageLayoutView="90" workbookViewId="0">
      <selection activeCell="K217" sqref="K217"/>
    </sheetView>
  </sheetViews>
  <sheetFormatPr defaultColWidth="11.42578125" defaultRowHeight="15"/>
  <cols>
    <col min="1" max="1" width="17.42578125" style="4" customWidth="1"/>
    <col min="2" max="2" width="25.42578125" style="4" customWidth="1"/>
    <col min="3" max="3" width="14.42578125" style="4" customWidth="1"/>
    <col min="4" max="5" width="11.42578125" style="4"/>
    <col min="6" max="13" width="13.42578125" style="4" customWidth="1"/>
    <col min="14" max="26" width="11.42578125" style="4"/>
    <col min="27" max="31" width="11.42578125" style="14"/>
    <col min="32" max="16384" width="11.42578125" style="4"/>
  </cols>
  <sheetData>
    <row r="1" spans="1:60">
      <c r="A1" s="10" t="s">
        <v>426</v>
      </c>
      <c r="B1" s="10"/>
      <c r="C1" s="10"/>
      <c r="D1" s="10"/>
      <c r="E1" s="10"/>
      <c r="F1" s="10"/>
      <c r="G1" s="10"/>
      <c r="H1" s="10"/>
      <c r="I1" s="10"/>
      <c r="J1" s="10"/>
      <c r="K1" s="27"/>
      <c r="L1" s="27"/>
      <c r="M1" s="27"/>
      <c r="N1" s="27"/>
    </row>
    <row r="2" spans="1:60">
      <c r="A2" s="10" t="s">
        <v>373</v>
      </c>
      <c r="B2" s="10"/>
      <c r="C2" s="10"/>
      <c r="D2" s="10"/>
      <c r="E2" s="10"/>
      <c r="F2" s="10"/>
      <c r="G2" s="10"/>
      <c r="H2" s="10"/>
      <c r="I2" s="10"/>
      <c r="J2" s="10"/>
      <c r="K2" s="27"/>
      <c r="L2" s="27"/>
      <c r="M2" s="27"/>
      <c r="N2" s="27"/>
    </row>
    <row r="3" spans="1:60">
      <c r="A3" s="10" t="s">
        <v>425</v>
      </c>
      <c r="B3" s="10"/>
      <c r="C3" s="10"/>
      <c r="D3" s="10"/>
      <c r="E3" s="10"/>
      <c r="F3" s="10"/>
      <c r="G3" s="10"/>
      <c r="H3" s="10"/>
      <c r="I3" s="10"/>
      <c r="J3" s="10"/>
      <c r="K3" s="27"/>
      <c r="L3" s="27"/>
      <c r="M3" s="27"/>
      <c r="N3" s="27"/>
    </row>
    <row r="4" spans="1:60">
      <c r="A4" s="10"/>
      <c r="B4" s="10"/>
      <c r="C4" s="10"/>
      <c r="D4" s="10"/>
      <c r="E4" s="10"/>
      <c r="F4" s="10"/>
      <c r="G4" s="10"/>
      <c r="H4" s="10"/>
      <c r="I4" s="10"/>
      <c r="J4" s="10"/>
      <c r="K4" s="27"/>
      <c r="L4" s="27"/>
      <c r="M4" s="27"/>
      <c r="N4" s="27"/>
    </row>
    <row r="5" spans="1:60">
      <c r="A5" s="10" t="s">
        <v>20</v>
      </c>
      <c r="B5" s="10" t="s">
        <v>21</v>
      </c>
      <c r="C5" s="10">
        <v>2018</v>
      </c>
      <c r="D5" s="10">
        <v>2020</v>
      </c>
      <c r="E5" s="10">
        <v>2025</v>
      </c>
      <c r="F5" s="10">
        <v>2030</v>
      </c>
      <c r="G5" s="10">
        <v>2035</v>
      </c>
      <c r="H5" s="10">
        <v>2040</v>
      </c>
      <c r="I5" s="10">
        <v>2045</v>
      </c>
      <c r="J5" s="10">
        <v>2050</v>
      </c>
      <c r="K5" s="27"/>
      <c r="L5" s="27"/>
      <c r="M5" s="27"/>
      <c r="N5" s="27"/>
    </row>
    <row r="6" spans="1:60" hidden="1">
      <c r="A6" s="10" t="s">
        <v>278</v>
      </c>
      <c r="B6" s="10" t="s">
        <v>214</v>
      </c>
      <c r="C6" s="64">
        <v>54.695610929386312</v>
      </c>
      <c r="D6" s="64">
        <v>51.433065534751627</v>
      </c>
      <c r="E6" s="64">
        <v>47.977353595725937</v>
      </c>
      <c r="F6" s="64">
        <v>44.103118003790364</v>
      </c>
      <c r="G6" s="64">
        <v>39.940240542920669</v>
      </c>
      <c r="H6" s="64">
        <v>35.771695115996515</v>
      </c>
      <c r="I6" s="64">
        <v>32.024874398677802</v>
      </c>
      <c r="J6" s="64">
        <v>28.408770207877932</v>
      </c>
      <c r="K6" s="27"/>
      <c r="L6" s="27"/>
      <c r="M6" s="27"/>
      <c r="N6" s="27"/>
      <c r="V6" s="18"/>
      <c r="W6" s="18"/>
      <c r="X6" s="18"/>
      <c r="Y6" s="18"/>
      <c r="AA6" s="16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6"/>
      <c r="AM6" s="14"/>
      <c r="AN6" s="14"/>
      <c r="AO6" s="14"/>
      <c r="AP6" s="14"/>
      <c r="AQ6" s="14"/>
      <c r="AR6" s="14"/>
      <c r="AS6" s="14"/>
      <c r="AT6" s="14"/>
      <c r="AU6" s="14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</row>
    <row r="7" spans="1:60" hidden="1">
      <c r="A7" s="10" t="s">
        <v>280</v>
      </c>
      <c r="B7" s="10" t="s">
        <v>214</v>
      </c>
      <c r="C7" s="64">
        <v>142.61126822091961</v>
      </c>
      <c r="D7" s="64">
        <v>130.30308094971363</v>
      </c>
      <c r="E7" s="64">
        <v>117.36922976345808</v>
      </c>
      <c r="F7" s="64">
        <v>104.81484429234129</v>
      </c>
      <c r="G7" s="64">
        <v>93.947321021829467</v>
      </c>
      <c r="H7" s="64">
        <v>84.507815732613807</v>
      </c>
      <c r="I7" s="64">
        <v>76.010519324067289</v>
      </c>
      <c r="J7" s="64">
        <v>68.75274250415967</v>
      </c>
      <c r="V7" s="18"/>
      <c r="W7" s="18"/>
      <c r="X7" s="18"/>
      <c r="Y7" s="18"/>
      <c r="AA7" s="16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6"/>
      <c r="AM7" s="14"/>
      <c r="AN7" s="14"/>
      <c r="AO7" s="14"/>
      <c r="AP7" s="14"/>
      <c r="AQ7" s="14"/>
      <c r="AR7" s="14"/>
      <c r="AS7" s="14"/>
      <c r="AT7" s="14"/>
      <c r="AU7" s="14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</row>
    <row r="8" spans="1:60" hidden="1">
      <c r="A8" s="10" t="s">
        <v>281</v>
      </c>
      <c r="B8" s="10" t="s">
        <v>214</v>
      </c>
      <c r="C8" s="64">
        <v>23.316060301272255</v>
      </c>
      <c r="D8" s="64">
        <v>23.882827042784481</v>
      </c>
      <c r="E8" s="64">
        <v>24.045981076450634</v>
      </c>
      <c r="F8" s="64">
        <v>23.665366456032842</v>
      </c>
      <c r="G8" s="64">
        <v>23.110984432540313</v>
      </c>
      <c r="H8" s="64">
        <v>22.843441046180146</v>
      </c>
      <c r="I8" s="64">
        <v>22.404888554682579</v>
      </c>
      <c r="J8" s="64">
        <v>22.151870801380618</v>
      </c>
      <c r="V8" s="18"/>
      <c r="W8" s="18"/>
      <c r="X8" s="18"/>
      <c r="Y8" s="18"/>
      <c r="AA8" s="16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6"/>
      <c r="AM8" s="14"/>
      <c r="AN8" s="14"/>
      <c r="AO8" s="14"/>
      <c r="AP8" s="14"/>
      <c r="AQ8" s="14"/>
      <c r="AR8" s="14"/>
      <c r="AS8" s="14"/>
      <c r="AT8" s="14"/>
      <c r="AU8" s="14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</row>
    <row r="9" spans="1:60" hidden="1">
      <c r="A9" s="10" t="s">
        <v>282</v>
      </c>
      <c r="B9" s="10" t="s">
        <v>214</v>
      </c>
      <c r="C9" s="64">
        <v>24.71893289904644</v>
      </c>
      <c r="D9" s="64">
        <v>24.338903156917599</v>
      </c>
      <c r="E9" s="64">
        <v>24.08457544769394</v>
      </c>
      <c r="F9" s="64">
        <v>23.897910473135777</v>
      </c>
      <c r="G9" s="64">
        <v>23.103505816615392</v>
      </c>
      <c r="H9" s="64">
        <v>22.202265662729431</v>
      </c>
      <c r="I9" s="64">
        <v>21.458626191975494</v>
      </c>
      <c r="J9" s="64">
        <v>21.243507597697672</v>
      </c>
      <c r="V9" s="18"/>
      <c r="W9" s="18"/>
      <c r="X9" s="18"/>
      <c r="Y9" s="18"/>
      <c r="AA9" s="16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"/>
      <c r="AM9" s="14"/>
      <c r="AN9" s="14"/>
      <c r="AO9" s="14"/>
      <c r="AP9" s="14"/>
      <c r="AQ9" s="14"/>
      <c r="AR9" s="14"/>
      <c r="AS9" s="14"/>
      <c r="AT9" s="14"/>
      <c r="AU9" s="14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</row>
    <row r="10" spans="1:60" hidden="1">
      <c r="A10" s="10" t="s">
        <v>283</v>
      </c>
      <c r="B10" s="10" t="s">
        <v>214</v>
      </c>
      <c r="C10" s="64">
        <v>92.015737627214818</v>
      </c>
      <c r="D10" s="64">
        <v>84.592409112047832</v>
      </c>
      <c r="E10" s="64">
        <v>76.570809036894616</v>
      </c>
      <c r="F10" s="64">
        <v>68.920401794215735</v>
      </c>
      <c r="G10" s="64">
        <v>61.512515400077774</v>
      </c>
      <c r="H10" s="64">
        <v>53.477979593559439</v>
      </c>
      <c r="I10" s="64">
        <v>45.971586806935491</v>
      </c>
      <c r="J10" s="64">
        <v>39.293852550480246</v>
      </c>
    </row>
    <row r="11" spans="1:60" hidden="1">
      <c r="A11" s="10" t="s">
        <v>284</v>
      </c>
      <c r="B11" s="10" t="s">
        <v>214</v>
      </c>
      <c r="C11" s="64">
        <v>750.09953039624327</v>
      </c>
      <c r="D11" s="64">
        <v>715.77324723371771</v>
      </c>
      <c r="E11" s="64">
        <v>671.46540039656838</v>
      </c>
      <c r="F11" s="64">
        <v>620.70097023424614</v>
      </c>
      <c r="G11" s="64">
        <v>565.44756173938606</v>
      </c>
      <c r="H11" s="64">
        <v>507.595309056019</v>
      </c>
      <c r="I11" s="64">
        <v>459.46983234054795</v>
      </c>
      <c r="J11" s="64">
        <v>420.72265332199174</v>
      </c>
    </row>
    <row r="12" spans="1:60" hidden="1">
      <c r="A12" s="10" t="s">
        <v>285</v>
      </c>
      <c r="B12" s="10" t="s">
        <v>214</v>
      </c>
      <c r="C12" s="64">
        <v>9.0995283973532022</v>
      </c>
      <c r="D12" s="64">
        <v>8.8957921210389514</v>
      </c>
      <c r="E12" s="64">
        <v>8.3889506732505499</v>
      </c>
      <c r="F12" s="64">
        <v>7.888885207779686</v>
      </c>
      <c r="G12" s="64">
        <v>7.4404630745631826</v>
      </c>
      <c r="H12" s="64">
        <v>7.0114352559573074</v>
      </c>
      <c r="I12" s="64">
        <v>6.5898455451948008</v>
      </c>
      <c r="J12" s="64">
        <v>6.3134819505707487</v>
      </c>
    </row>
    <row r="13" spans="1:60" hidden="1">
      <c r="A13" s="10" t="s">
        <v>308</v>
      </c>
      <c r="B13" s="10" t="s">
        <v>214</v>
      </c>
      <c r="C13" s="64">
        <v>1.7581847785415117</v>
      </c>
      <c r="D13" s="64">
        <v>1.3970122458123344</v>
      </c>
      <c r="E13" s="64">
        <v>1.1119949349708036</v>
      </c>
      <c r="F13" s="64">
        <v>0.96186762606031506</v>
      </c>
      <c r="G13" s="64">
        <v>0.87320869226282238</v>
      </c>
      <c r="H13" s="64">
        <v>0.81849206093095195</v>
      </c>
      <c r="I13" s="64">
        <v>0.78104142319286007</v>
      </c>
      <c r="J13" s="64">
        <v>0.7527552082867065</v>
      </c>
    </row>
    <row r="14" spans="1:60" hidden="1">
      <c r="A14" s="10" t="s">
        <v>286</v>
      </c>
      <c r="B14" s="10" t="s">
        <v>214</v>
      </c>
      <c r="C14" s="64">
        <v>225.0720440066639</v>
      </c>
      <c r="D14" s="64">
        <v>220.5017562436507</v>
      </c>
      <c r="E14" s="64">
        <v>212.88898419370011</v>
      </c>
      <c r="F14" s="64">
        <v>204.64266758263807</v>
      </c>
      <c r="G14" s="64">
        <v>195.77164747665603</v>
      </c>
      <c r="H14" s="64">
        <v>185.74610268677694</v>
      </c>
      <c r="I14" s="64">
        <v>175.94315528103178</v>
      </c>
      <c r="J14" s="64">
        <v>168.72296378825135</v>
      </c>
    </row>
    <row r="15" spans="1:60" hidden="1">
      <c r="A15" s="10" t="s">
        <v>287</v>
      </c>
      <c r="B15" s="10" t="s">
        <v>214</v>
      </c>
      <c r="C15" s="64">
        <v>24.552803632205816</v>
      </c>
      <c r="D15" s="64">
        <v>23.340317837099896</v>
      </c>
      <c r="E15" s="64">
        <v>21.676755775246701</v>
      </c>
      <c r="F15" s="64">
        <v>20.073220781519321</v>
      </c>
      <c r="G15" s="64">
        <v>18.737236726873803</v>
      </c>
      <c r="H15" s="64">
        <v>17.733385490604302</v>
      </c>
      <c r="I15" s="64">
        <v>16.868211278896034</v>
      </c>
      <c r="J15" s="64">
        <v>16.189695289286323</v>
      </c>
    </row>
    <row r="16" spans="1:60" hidden="1">
      <c r="A16" s="10" t="s">
        <v>288</v>
      </c>
      <c r="B16" s="10" t="s">
        <v>214</v>
      </c>
      <c r="C16" s="64">
        <v>290.46787179097987</v>
      </c>
      <c r="D16" s="64">
        <v>270.65085356409543</v>
      </c>
      <c r="E16" s="64">
        <v>240.73941120802039</v>
      </c>
      <c r="F16" s="64">
        <v>212.38854011358004</v>
      </c>
      <c r="G16" s="64">
        <v>188.27763633393769</v>
      </c>
      <c r="H16" s="64">
        <v>167.6697390194025</v>
      </c>
      <c r="I16" s="64">
        <v>150.68944962889034</v>
      </c>
      <c r="J16" s="64">
        <v>136.9028920198233</v>
      </c>
    </row>
    <row r="17" spans="1:20" hidden="1">
      <c r="A17" s="10" t="s">
        <v>289</v>
      </c>
      <c r="B17" s="10" t="s">
        <v>214</v>
      </c>
      <c r="C17" s="64">
        <v>17.308711118026444</v>
      </c>
      <c r="D17" s="64">
        <v>16.903010553671347</v>
      </c>
      <c r="E17" s="64">
        <v>16.699171620114281</v>
      </c>
      <c r="F17" s="64">
        <v>16.774545216293767</v>
      </c>
      <c r="G17" s="64">
        <v>17.104693060055215</v>
      </c>
      <c r="H17" s="64">
        <v>17.373086339921812</v>
      </c>
      <c r="I17" s="64">
        <v>17.298812044684084</v>
      </c>
      <c r="J17" s="64">
        <v>17.145252160902697</v>
      </c>
    </row>
    <row r="18" spans="1:20" hidden="1">
      <c r="A18" s="10" t="s">
        <v>290</v>
      </c>
      <c r="B18" s="10" t="s">
        <v>214</v>
      </c>
      <c r="C18" s="64">
        <v>10.690912107178551</v>
      </c>
      <c r="D18" s="64">
        <v>10.650115928730679</v>
      </c>
      <c r="E18" s="64">
        <v>9.9434044483160999</v>
      </c>
      <c r="F18" s="64">
        <v>9.3392202368668862</v>
      </c>
      <c r="G18" s="64">
        <v>9.0074410055220149</v>
      </c>
      <c r="H18" s="64">
        <v>8.6652813188703899</v>
      </c>
      <c r="I18" s="64">
        <v>8.2913972569599625</v>
      </c>
      <c r="J18" s="64">
        <v>7.9773365968754844</v>
      </c>
    </row>
    <row r="19" spans="1:20" hidden="1">
      <c r="A19" s="10" t="s">
        <v>291</v>
      </c>
      <c r="B19" s="10" t="s">
        <v>214</v>
      </c>
      <c r="C19" s="64">
        <v>38.048056529746184</v>
      </c>
      <c r="D19" s="64">
        <v>36.290227994091786</v>
      </c>
      <c r="E19" s="64">
        <v>36.342897978346627</v>
      </c>
      <c r="F19" s="64">
        <v>35.523436606734549</v>
      </c>
      <c r="G19" s="64">
        <v>33.080898736018902</v>
      </c>
      <c r="H19" s="64">
        <v>29.799468354042112</v>
      </c>
      <c r="I19" s="64">
        <v>26.622540968224303</v>
      </c>
      <c r="J19" s="64">
        <v>24.156524809979505</v>
      </c>
    </row>
    <row r="20" spans="1:20" hidden="1">
      <c r="A20" s="10" t="s">
        <v>292</v>
      </c>
      <c r="B20" s="10" t="s">
        <v>214</v>
      </c>
      <c r="C20" s="64">
        <v>14.944302211733797</v>
      </c>
      <c r="D20" s="64">
        <v>11.988963259065589</v>
      </c>
      <c r="E20" s="64">
        <v>10.509850282241446</v>
      </c>
      <c r="F20" s="64">
        <v>9.6940525279665586</v>
      </c>
      <c r="G20" s="64">
        <v>9.3556987403541019</v>
      </c>
      <c r="H20" s="64">
        <v>9.1162132375740406</v>
      </c>
      <c r="I20" s="64">
        <v>8.9581793069701714</v>
      </c>
      <c r="J20" s="64">
        <v>9.0319858722726529</v>
      </c>
    </row>
    <row r="21" spans="1:20" hidden="1">
      <c r="A21" s="10" t="s">
        <v>293</v>
      </c>
      <c r="B21" s="10" t="s">
        <v>214</v>
      </c>
      <c r="C21" s="64">
        <v>319.12264145745064</v>
      </c>
      <c r="D21" s="64">
        <v>301.40229084137854</v>
      </c>
      <c r="E21" s="64">
        <v>279.18845356909446</v>
      </c>
      <c r="F21" s="64">
        <v>256.16457174998897</v>
      </c>
      <c r="G21" s="64">
        <v>237.8188185967889</v>
      </c>
      <c r="H21" s="64">
        <v>221.81247754754028</v>
      </c>
      <c r="I21" s="64">
        <v>207.81584162348841</v>
      </c>
      <c r="J21" s="64">
        <v>198.66134204450728</v>
      </c>
    </row>
    <row r="22" spans="1:20" hidden="1">
      <c r="A22" s="10" t="s">
        <v>309</v>
      </c>
      <c r="B22" s="10" t="s">
        <v>214</v>
      </c>
      <c r="C22" s="64">
        <v>8.7000754171808055</v>
      </c>
      <c r="D22" s="64">
        <v>9.7358693917303487</v>
      </c>
      <c r="E22" s="64">
        <v>9.8416433202465736</v>
      </c>
      <c r="F22" s="64">
        <v>9.546750286732653</v>
      </c>
      <c r="G22" s="64">
        <v>9.3044142866288535</v>
      </c>
      <c r="H22" s="64">
        <v>9.1704211248852836</v>
      </c>
      <c r="I22" s="64">
        <v>9.0566368120121936</v>
      </c>
      <c r="J22" s="64">
        <v>8.9364139695515661</v>
      </c>
    </row>
    <row r="23" spans="1:20" hidden="1">
      <c r="A23" s="10" t="s">
        <v>294</v>
      </c>
      <c r="B23" s="10" t="s">
        <v>214</v>
      </c>
      <c r="C23" s="64">
        <v>13.555330751034843</v>
      </c>
      <c r="D23" s="64">
        <v>13.951266352453223</v>
      </c>
      <c r="E23" s="64">
        <v>14.168243618993644</v>
      </c>
      <c r="F23" s="64">
        <v>13.630357798286248</v>
      </c>
      <c r="G23" s="64">
        <v>12.824559701408548</v>
      </c>
      <c r="H23" s="64">
        <v>11.719610611317202</v>
      </c>
      <c r="I23" s="64">
        <v>10.56535181096821</v>
      </c>
      <c r="J23" s="64">
        <v>9.5499912830213276</v>
      </c>
    </row>
    <row r="24" spans="1:20" hidden="1">
      <c r="A24" s="10" t="s">
        <v>310</v>
      </c>
      <c r="B24" s="10" t="s">
        <v>214</v>
      </c>
      <c r="C24" s="64">
        <v>7.0417466208296071</v>
      </c>
      <c r="D24" s="64">
        <v>7.0002766578468965</v>
      </c>
      <c r="E24" s="64">
        <v>6.7680628158811587</v>
      </c>
      <c r="F24" s="64">
        <v>6.3801306798601303</v>
      </c>
      <c r="G24" s="64">
        <v>5.9655522610420144</v>
      </c>
      <c r="H24" s="64">
        <v>5.4980220557085122</v>
      </c>
      <c r="I24" s="64">
        <v>4.9244903793410444</v>
      </c>
      <c r="J24" s="64">
        <v>4.4937097935053449</v>
      </c>
    </row>
    <row r="25" spans="1:20" hidden="1">
      <c r="A25" s="10" t="s">
        <v>297</v>
      </c>
      <c r="B25" s="10" t="s">
        <v>214</v>
      </c>
      <c r="C25" s="64">
        <v>156.5117644911889</v>
      </c>
      <c r="D25" s="64">
        <v>152.20722211910376</v>
      </c>
      <c r="E25" s="64">
        <v>144.67389198922055</v>
      </c>
      <c r="F25" s="64">
        <v>133.43492008210256</v>
      </c>
      <c r="G25" s="64">
        <v>118.36803003355233</v>
      </c>
      <c r="H25" s="64">
        <v>105.06393369568023</v>
      </c>
      <c r="I25" s="64">
        <v>94.32391310871742</v>
      </c>
      <c r="J25" s="64">
        <v>85.533243913058385</v>
      </c>
    </row>
    <row r="26" spans="1:20">
      <c r="A26" s="10" t="s">
        <v>298</v>
      </c>
      <c r="B26" s="10" t="s">
        <v>214</v>
      </c>
      <c r="C26" s="64">
        <v>37.610160806510223</v>
      </c>
      <c r="D26" s="64">
        <v>34.882866978975308</v>
      </c>
      <c r="E26" s="64">
        <v>33.452802343966511</v>
      </c>
      <c r="F26" s="64">
        <v>31.78031566511202</v>
      </c>
      <c r="G26" s="64">
        <v>29.487538617654717</v>
      </c>
      <c r="H26" s="64">
        <v>27.382513493610215</v>
      </c>
      <c r="I26" s="64">
        <v>25.517327901106565</v>
      </c>
      <c r="J26" s="64">
        <v>24.416462765992183</v>
      </c>
      <c r="O26" s="20"/>
      <c r="P26" s="20"/>
      <c r="Q26" s="20"/>
      <c r="R26" s="20"/>
      <c r="S26" s="21"/>
      <c r="T26" s="22"/>
    </row>
    <row r="27" spans="1:20" hidden="1">
      <c r="A27" s="10" t="s">
        <v>357</v>
      </c>
      <c r="B27" s="10" t="s">
        <v>214</v>
      </c>
      <c r="C27" s="64">
        <v>34.796546579345659</v>
      </c>
      <c r="D27" s="64">
        <v>34.757242437959846</v>
      </c>
      <c r="E27" s="64">
        <v>34.588265861177767</v>
      </c>
      <c r="F27" s="64">
        <v>33.926065624878866</v>
      </c>
      <c r="G27" s="64">
        <v>33.200872744006453</v>
      </c>
      <c r="H27" s="64">
        <v>32.547092058747609</v>
      </c>
      <c r="I27" s="64">
        <v>31.775049926585424</v>
      </c>
      <c r="J27" s="64">
        <v>31.184835748460543</v>
      </c>
    </row>
    <row r="28" spans="1:20" hidden="1">
      <c r="A28" s="10" t="s">
        <v>299</v>
      </c>
      <c r="B28" s="10" t="s">
        <v>214</v>
      </c>
      <c r="C28" s="64">
        <v>221.40261095261152</v>
      </c>
      <c r="D28" s="64">
        <v>223.29411905630576</v>
      </c>
      <c r="E28" s="64">
        <v>217.44277794417883</v>
      </c>
      <c r="F28" s="64">
        <v>202.48089727401333</v>
      </c>
      <c r="G28" s="64">
        <v>183.78531457468827</v>
      </c>
      <c r="H28" s="64">
        <v>163.89535796722987</v>
      </c>
      <c r="I28" s="64">
        <v>145.23709703248281</v>
      </c>
      <c r="J28" s="64">
        <v>131.70154170444002</v>
      </c>
    </row>
    <row r="29" spans="1:20" hidden="1">
      <c r="A29" s="10" t="s">
        <v>300</v>
      </c>
      <c r="B29" s="10" t="s">
        <v>214</v>
      </c>
      <c r="C29" s="64">
        <v>33.259874393378212</v>
      </c>
      <c r="D29" s="64">
        <v>33.755186216088504</v>
      </c>
      <c r="E29" s="64">
        <v>32.561147399458591</v>
      </c>
      <c r="F29" s="64">
        <v>30.386742689395057</v>
      </c>
      <c r="G29" s="64">
        <v>28.189655732654039</v>
      </c>
      <c r="H29" s="64">
        <v>26.103379619494319</v>
      </c>
      <c r="I29" s="64">
        <v>24.118974969160014</v>
      </c>
      <c r="J29" s="64">
        <v>22.722429300120094</v>
      </c>
    </row>
    <row r="30" spans="1:20" hidden="1">
      <c r="A30" s="10" t="s">
        <v>301</v>
      </c>
      <c r="B30" s="10" t="s">
        <v>214</v>
      </c>
      <c r="C30" s="64">
        <v>98.584099259820377</v>
      </c>
      <c r="D30" s="64">
        <v>96.306000099143219</v>
      </c>
      <c r="E30" s="64">
        <v>93.482284461362568</v>
      </c>
      <c r="F30" s="64">
        <v>89.955568977190623</v>
      </c>
      <c r="G30" s="64">
        <v>86.056383943248818</v>
      </c>
      <c r="H30" s="64">
        <v>82.346895400116168</v>
      </c>
      <c r="I30" s="64">
        <v>79.004094253321327</v>
      </c>
      <c r="J30" s="64">
        <v>75.795034485119729</v>
      </c>
    </row>
    <row r="31" spans="1:20" hidden="1">
      <c r="A31" s="10" t="s">
        <v>303</v>
      </c>
      <c r="B31" s="10" t="s">
        <v>214</v>
      </c>
      <c r="C31" s="64">
        <v>39.108360529853307</v>
      </c>
      <c r="D31" s="64">
        <v>38.149978620342409</v>
      </c>
      <c r="E31" s="64">
        <v>35.633506914492827</v>
      </c>
      <c r="F31" s="64">
        <v>32.016117369593786</v>
      </c>
      <c r="G31" s="64">
        <v>28.594056308518581</v>
      </c>
      <c r="H31" s="64">
        <v>25.671901610076336</v>
      </c>
      <c r="I31" s="64">
        <v>23.14535525830712</v>
      </c>
      <c r="J31" s="64">
        <v>21.168801399035431</v>
      </c>
    </row>
    <row r="32" spans="1:20" hidden="1">
      <c r="A32" s="10" t="s">
        <v>304</v>
      </c>
      <c r="B32" s="10" t="s">
        <v>214</v>
      </c>
      <c r="C32" s="64">
        <v>12.3419051056462</v>
      </c>
      <c r="D32" s="64">
        <v>12.327964412361119</v>
      </c>
      <c r="E32" s="64">
        <v>12.268030508547824</v>
      </c>
      <c r="F32" s="64">
        <v>12.033156267257779</v>
      </c>
      <c r="G32" s="64">
        <v>11.775939313310685</v>
      </c>
      <c r="H32" s="64">
        <v>11.544051382737758</v>
      </c>
      <c r="I32" s="64">
        <v>11.270217578254345</v>
      </c>
      <c r="J32" s="64">
        <v>11.060875902297681</v>
      </c>
    </row>
    <row r="33" spans="1:60" hidden="1">
      <c r="A33" s="10" t="s">
        <v>305</v>
      </c>
      <c r="B33" s="10" t="s">
        <v>214</v>
      </c>
      <c r="C33" s="64">
        <v>78.520478299577718</v>
      </c>
      <c r="D33" s="64">
        <v>77.517452615453678</v>
      </c>
      <c r="E33" s="64">
        <v>74.494111083144446</v>
      </c>
      <c r="F33" s="64">
        <v>70.123680059474921</v>
      </c>
      <c r="G33" s="64">
        <v>64.93798774202368</v>
      </c>
      <c r="H33" s="64">
        <v>59.063435997636759</v>
      </c>
      <c r="I33" s="64">
        <v>52.422330018872479</v>
      </c>
      <c r="J33" s="64">
        <v>46.415341838908702</v>
      </c>
    </row>
    <row r="34" spans="1:60" hidden="1">
      <c r="A34" s="10" t="s">
        <v>356</v>
      </c>
      <c r="B34" s="10" t="s">
        <v>214</v>
      </c>
      <c r="C34" s="64">
        <v>205.60217976290141</v>
      </c>
      <c r="D34" s="64">
        <v>205.36994358037666</v>
      </c>
      <c r="E34" s="64">
        <v>204.37151253101814</v>
      </c>
      <c r="F34" s="64">
        <v>200.45877332535864</v>
      </c>
      <c r="G34" s="64">
        <v>196.1738297975314</v>
      </c>
      <c r="H34" s="64">
        <v>192.31083915075587</v>
      </c>
      <c r="I34" s="64">
        <v>187.74907768746272</v>
      </c>
      <c r="J34" s="64">
        <v>184.26168214167956</v>
      </c>
    </row>
    <row r="35" spans="1:60" hidden="1">
      <c r="A35" s="10" t="s">
        <v>307</v>
      </c>
      <c r="B35" s="10" t="s">
        <v>214</v>
      </c>
      <c r="C35" s="64">
        <v>298.756844592942</v>
      </c>
      <c r="D35" s="64">
        <v>261.21526081169202</v>
      </c>
      <c r="E35" s="64">
        <v>222.156014845226</v>
      </c>
      <c r="F35" s="64">
        <v>191.71087068120923</v>
      </c>
      <c r="G35" s="64">
        <v>164.93558196038296</v>
      </c>
      <c r="H35" s="64">
        <v>141.69691491344764</v>
      </c>
      <c r="I35" s="64">
        <v>121.95477464384754</v>
      </c>
      <c r="J35" s="64">
        <v>105.42464368505175</v>
      </c>
    </row>
    <row r="36" spans="1:60" hidden="1">
      <c r="A36" s="10" t="s">
        <v>278</v>
      </c>
      <c r="B36" s="10" t="s">
        <v>212</v>
      </c>
      <c r="C36" s="64">
        <v>8.307558395730684</v>
      </c>
      <c r="D36" s="64">
        <v>8.1798377013243488</v>
      </c>
      <c r="E36" s="64">
        <v>8.0943630449280963</v>
      </c>
      <c r="F36" s="64">
        <v>8.0316285335754909</v>
      </c>
      <c r="G36" s="64">
        <v>7.7646443922763311</v>
      </c>
      <c r="H36" s="64">
        <v>7.4617548930587594</v>
      </c>
      <c r="I36" s="64">
        <v>7.2118319552891883</v>
      </c>
      <c r="J36" s="64">
        <v>7.1395347290590294</v>
      </c>
      <c r="K36" s="27"/>
      <c r="L36" s="27"/>
      <c r="M36" s="27"/>
      <c r="N36" s="27"/>
      <c r="V36" s="18"/>
      <c r="W36" s="18"/>
      <c r="X36" s="18"/>
      <c r="Y36" s="18"/>
      <c r="AA36" s="16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6"/>
      <c r="AM36" s="14"/>
      <c r="AN36" s="14"/>
      <c r="AO36" s="14"/>
      <c r="AP36" s="14"/>
      <c r="AQ36" s="14"/>
      <c r="AR36" s="14"/>
      <c r="AS36" s="14"/>
      <c r="AT36" s="14"/>
      <c r="AU36" s="14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</row>
    <row r="37" spans="1:60" hidden="1">
      <c r="A37" s="10" t="s">
        <v>280</v>
      </c>
      <c r="B37" s="10" t="s">
        <v>212</v>
      </c>
      <c r="C37" s="64">
        <v>29.429070808314137</v>
      </c>
      <c r="D37" s="64">
        <v>27.617515096805128</v>
      </c>
      <c r="E37" s="64">
        <v>27.675960862480558</v>
      </c>
      <c r="F37" s="64">
        <v>28.291254418760307</v>
      </c>
      <c r="G37" s="64">
        <v>29.279771428835101</v>
      </c>
      <c r="H37" s="64">
        <v>30.440086631507608</v>
      </c>
      <c r="I37" s="64">
        <v>31.792659714897308</v>
      </c>
      <c r="J37" s="64">
        <v>33.769897726027651</v>
      </c>
      <c r="V37" s="18"/>
      <c r="W37" s="18"/>
      <c r="X37" s="18"/>
      <c r="Y37" s="18"/>
      <c r="AA37" s="16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"/>
      <c r="AM37" s="14"/>
      <c r="AN37" s="14"/>
      <c r="AO37" s="14"/>
      <c r="AP37" s="14"/>
      <c r="AQ37" s="14"/>
      <c r="AR37" s="14"/>
      <c r="AS37" s="14"/>
      <c r="AT37" s="14"/>
      <c r="AU37" s="14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</row>
    <row r="38" spans="1:60" hidden="1">
      <c r="A38" s="10" t="s">
        <v>281</v>
      </c>
      <c r="B38" s="10" t="s">
        <v>212</v>
      </c>
      <c r="C38" s="64">
        <v>21.829014988199276</v>
      </c>
      <c r="D38" s="64">
        <v>22.796040095449797</v>
      </c>
      <c r="E38" s="64">
        <v>23.260025095779589</v>
      </c>
      <c r="F38" s="64">
        <v>23.601454097528134</v>
      </c>
      <c r="G38" s="64">
        <v>23.81494051430078</v>
      </c>
      <c r="H38" s="64">
        <v>23.781812683357067</v>
      </c>
      <c r="I38" s="64">
        <v>23.812311233529268</v>
      </c>
      <c r="J38" s="64">
        <v>24.153609970248013</v>
      </c>
      <c r="V38" s="18"/>
      <c r="W38" s="18"/>
      <c r="X38" s="18"/>
      <c r="Y38" s="18"/>
      <c r="AA38" s="16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6"/>
      <c r="AM38" s="14"/>
      <c r="AN38" s="14"/>
      <c r="AO38" s="14"/>
      <c r="AP38" s="14"/>
      <c r="AQ38" s="14"/>
      <c r="AR38" s="14"/>
      <c r="AS38" s="14"/>
      <c r="AT38" s="14"/>
      <c r="AU38" s="14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</row>
    <row r="39" spans="1:60" hidden="1">
      <c r="A39" s="10" t="s">
        <v>282</v>
      </c>
      <c r="B39" s="10" t="s">
        <v>212</v>
      </c>
      <c r="C39" s="64">
        <v>10.289505640881154</v>
      </c>
      <c r="D39" s="64">
        <v>9.6757456211774837</v>
      </c>
      <c r="E39" s="64">
        <v>9.0256465202501541</v>
      </c>
      <c r="F39" s="64">
        <v>8.2968134694814335</v>
      </c>
      <c r="G39" s="64">
        <v>7.5136802273787779</v>
      </c>
      <c r="H39" s="64">
        <v>6.7294807101637559</v>
      </c>
      <c r="I39" s="64">
        <v>6.0246173353676626</v>
      </c>
      <c r="J39" s="64">
        <v>5.3443447533996906</v>
      </c>
      <c r="V39" s="18"/>
      <c r="W39" s="18"/>
      <c r="X39" s="18"/>
      <c r="Y39" s="18"/>
      <c r="AA39" s="16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"/>
      <c r="AM39" s="14"/>
      <c r="AN39" s="14"/>
      <c r="AO39" s="14"/>
      <c r="AP39" s="14"/>
      <c r="AQ39" s="14"/>
      <c r="AR39" s="14"/>
      <c r="AS39" s="14"/>
      <c r="AT39" s="14"/>
      <c r="AU39" s="14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</row>
    <row r="40" spans="1:60" hidden="1">
      <c r="A40" s="10" t="s">
        <v>283</v>
      </c>
      <c r="B40" s="10" t="s">
        <v>212</v>
      </c>
      <c r="C40" s="64">
        <v>23.52462569410276</v>
      </c>
      <c r="D40" s="64">
        <v>23.574234919643015</v>
      </c>
      <c r="E40" s="64">
        <v>23.296995160059499</v>
      </c>
      <c r="F40" s="64">
        <v>23.036500966623173</v>
      </c>
      <c r="G40" s="64">
        <v>22.886728524664026</v>
      </c>
      <c r="H40" s="64">
        <v>22.623371942071056</v>
      </c>
      <c r="I40" s="64">
        <v>22.622433903402957</v>
      </c>
      <c r="J40" s="64">
        <v>22.978872777810615</v>
      </c>
    </row>
    <row r="41" spans="1:60" hidden="1">
      <c r="A41" s="10" t="s">
        <v>284</v>
      </c>
      <c r="B41" s="10" t="s">
        <v>212</v>
      </c>
      <c r="C41" s="64">
        <v>234.66916066721126</v>
      </c>
      <c r="D41" s="64">
        <v>214.67479341773347</v>
      </c>
      <c r="E41" s="64">
        <v>204.19076757784921</v>
      </c>
      <c r="F41" s="64">
        <v>197.2432470512575</v>
      </c>
      <c r="G41" s="64">
        <v>190.58558705498339</v>
      </c>
      <c r="H41" s="64">
        <v>182.15113638089122</v>
      </c>
      <c r="I41" s="64">
        <v>175.7349920917888</v>
      </c>
      <c r="J41" s="64">
        <v>173.22253920500333</v>
      </c>
    </row>
    <row r="42" spans="1:60" hidden="1">
      <c r="A42" s="10" t="s">
        <v>285</v>
      </c>
      <c r="B42" s="10" t="s">
        <v>212</v>
      </c>
      <c r="C42" s="64">
        <v>12.251558495351208</v>
      </c>
      <c r="D42" s="64">
        <v>12.455876933786937</v>
      </c>
      <c r="E42" s="64">
        <v>12.500646296188576</v>
      </c>
      <c r="F42" s="64">
        <v>12.587636120492943</v>
      </c>
      <c r="G42" s="64">
        <v>12.729776073113827</v>
      </c>
      <c r="H42" s="64">
        <v>13.077762830126337</v>
      </c>
      <c r="I42" s="64">
        <v>13.547555029088883</v>
      </c>
      <c r="J42" s="64">
        <v>14.391286387989464</v>
      </c>
    </row>
    <row r="43" spans="1:60" hidden="1">
      <c r="A43" s="10" t="s">
        <v>308</v>
      </c>
      <c r="B43" s="10" t="s">
        <v>212</v>
      </c>
      <c r="C43" s="64">
        <v>1.3806246373489335</v>
      </c>
      <c r="D43" s="64">
        <v>1.4257015763441814</v>
      </c>
      <c r="E43" s="64">
        <v>1.4244962267200416</v>
      </c>
      <c r="F43" s="64">
        <v>1.3990722930934469</v>
      </c>
      <c r="G43" s="64">
        <v>1.3779882805344035</v>
      </c>
      <c r="H43" s="64">
        <v>1.3417449577128189</v>
      </c>
      <c r="I43" s="64">
        <v>1.3187812110084431</v>
      </c>
      <c r="J43" s="64">
        <v>1.3218031308299609</v>
      </c>
    </row>
    <row r="44" spans="1:60" hidden="1">
      <c r="A44" s="10" t="s">
        <v>286</v>
      </c>
      <c r="B44" s="10" t="s">
        <v>212</v>
      </c>
      <c r="C44" s="64">
        <v>12.235375316340095</v>
      </c>
      <c r="D44" s="64">
        <v>11.625869007475801</v>
      </c>
      <c r="E44" s="64">
        <v>11.086255036571989</v>
      </c>
      <c r="F44" s="64">
        <v>10.626400286455763</v>
      </c>
      <c r="G44" s="64">
        <v>10.173416932700972</v>
      </c>
      <c r="H44" s="64">
        <v>9.628208177984769</v>
      </c>
      <c r="I44" s="64">
        <v>9.1472753388371864</v>
      </c>
      <c r="J44" s="64">
        <v>8.9709845037068945</v>
      </c>
    </row>
    <row r="45" spans="1:60" hidden="1">
      <c r="A45" s="10" t="s">
        <v>287</v>
      </c>
      <c r="B45" s="10" t="s">
        <v>212</v>
      </c>
      <c r="C45" s="64">
        <v>39.389418336896448</v>
      </c>
      <c r="D45" s="64">
        <v>38.814524459027986</v>
      </c>
      <c r="E45" s="64">
        <v>37.800857112171485</v>
      </c>
      <c r="F45" s="64">
        <v>36.871428905572628</v>
      </c>
      <c r="G45" s="64">
        <v>35.881027999514203</v>
      </c>
      <c r="H45" s="64">
        <v>34.11466617879254</v>
      </c>
      <c r="I45" s="64">
        <v>32.378725192296642</v>
      </c>
      <c r="J45" s="64">
        <v>31.307564804702906</v>
      </c>
    </row>
    <row r="46" spans="1:60" hidden="1">
      <c r="A46" s="10" t="s">
        <v>288</v>
      </c>
      <c r="B46" s="10" t="s">
        <v>212</v>
      </c>
      <c r="C46" s="64">
        <v>39.601484688988563</v>
      </c>
      <c r="D46" s="64">
        <v>38.170131150162206</v>
      </c>
      <c r="E46" s="64">
        <v>36.768530037207064</v>
      </c>
      <c r="F46" s="64">
        <v>35.739392808243949</v>
      </c>
      <c r="G46" s="64">
        <v>35.534491673659602</v>
      </c>
      <c r="H46" s="64">
        <v>36.231000547257146</v>
      </c>
      <c r="I46" s="64">
        <v>37.386536502038574</v>
      </c>
      <c r="J46" s="64">
        <v>39.451073317662846</v>
      </c>
    </row>
    <row r="47" spans="1:60" hidden="1">
      <c r="A47" s="10" t="s">
        <v>289</v>
      </c>
      <c r="B47" s="10" t="s">
        <v>212</v>
      </c>
      <c r="C47" s="64">
        <v>7.365852727905243</v>
      </c>
      <c r="D47" s="64">
        <v>7.2550630261931355</v>
      </c>
      <c r="E47" s="64">
        <v>7.1694826234249325</v>
      </c>
      <c r="F47" s="64">
        <v>7.16606759379835</v>
      </c>
      <c r="G47" s="64">
        <v>7.3812544202068198</v>
      </c>
      <c r="H47" s="64">
        <v>7.6358882207749028</v>
      </c>
      <c r="I47" s="64">
        <v>7.8506612533811255</v>
      </c>
      <c r="J47" s="64">
        <v>8.2468759538794405</v>
      </c>
    </row>
    <row r="48" spans="1:60" hidden="1">
      <c r="A48" s="10" t="s">
        <v>290</v>
      </c>
      <c r="B48" s="10" t="s">
        <v>212</v>
      </c>
      <c r="C48" s="64">
        <v>4.6946592859905261</v>
      </c>
      <c r="D48" s="64">
        <v>4.664682869505782</v>
      </c>
      <c r="E48" s="64">
        <v>4.4608916458895163</v>
      </c>
      <c r="F48" s="64">
        <v>4.301079132470246</v>
      </c>
      <c r="G48" s="64">
        <v>4.1615500045247602</v>
      </c>
      <c r="H48" s="64">
        <v>3.9263694377590266</v>
      </c>
      <c r="I48" s="64">
        <v>3.7399295888928954</v>
      </c>
      <c r="J48" s="64">
        <v>3.6917038156634505</v>
      </c>
    </row>
    <row r="49" spans="1:10" hidden="1">
      <c r="A49" s="10" t="s">
        <v>291</v>
      </c>
      <c r="B49" s="10" t="s">
        <v>212</v>
      </c>
      <c r="C49" s="64">
        <v>21.67001260421182</v>
      </c>
      <c r="D49" s="64">
        <v>18.300137653967937</v>
      </c>
      <c r="E49" s="64">
        <v>18.331616264013547</v>
      </c>
      <c r="F49" s="64">
        <v>18.858995187350242</v>
      </c>
      <c r="G49" s="64">
        <v>19.397029578074477</v>
      </c>
      <c r="H49" s="64">
        <v>19.743855397925714</v>
      </c>
      <c r="I49" s="64">
        <v>20.03936886617662</v>
      </c>
      <c r="J49" s="64">
        <v>20.747658507074807</v>
      </c>
    </row>
    <row r="50" spans="1:10" hidden="1">
      <c r="A50" s="10" t="s">
        <v>292</v>
      </c>
      <c r="B50" s="10" t="s">
        <v>212</v>
      </c>
      <c r="C50" s="64">
        <v>5.9048746004946446</v>
      </c>
      <c r="D50" s="64">
        <v>5.8882333233934014</v>
      </c>
      <c r="E50" s="64">
        <v>5.7573508384509751</v>
      </c>
      <c r="F50" s="64">
        <v>5.6545351654935931</v>
      </c>
      <c r="G50" s="64">
        <v>5.6738379715895402</v>
      </c>
      <c r="H50" s="64">
        <v>5.7053276533820263</v>
      </c>
      <c r="I50" s="64">
        <v>5.7855302818117398</v>
      </c>
      <c r="J50" s="64">
        <v>6.0201453892335506</v>
      </c>
    </row>
    <row r="51" spans="1:10" hidden="1">
      <c r="A51" s="10" t="s">
        <v>293</v>
      </c>
      <c r="B51" s="10" t="s">
        <v>212</v>
      </c>
      <c r="C51" s="64">
        <v>100.88596935474177</v>
      </c>
      <c r="D51" s="64">
        <v>90.297145640317197</v>
      </c>
      <c r="E51" s="64">
        <v>87.957904042931133</v>
      </c>
      <c r="F51" s="64">
        <v>87.35516767481144</v>
      </c>
      <c r="G51" s="64">
        <v>89.019956810327969</v>
      </c>
      <c r="H51" s="64">
        <v>90.532363060914122</v>
      </c>
      <c r="I51" s="64">
        <v>92.179260237050173</v>
      </c>
      <c r="J51" s="64">
        <v>95.859625957901045</v>
      </c>
    </row>
    <row r="52" spans="1:10" hidden="1">
      <c r="A52" s="10" t="s">
        <v>309</v>
      </c>
      <c r="B52" s="10" t="s">
        <v>212</v>
      </c>
      <c r="C52" s="64">
        <v>10.265511865672231</v>
      </c>
      <c r="D52" s="64">
        <v>10.090946464411951</v>
      </c>
      <c r="E52" s="64">
        <v>9.441132550029538</v>
      </c>
      <c r="F52" s="64">
        <v>8.6694766191805464</v>
      </c>
      <c r="G52" s="64">
        <v>8.1180065319606385</v>
      </c>
      <c r="H52" s="64">
        <v>7.8835647465100642</v>
      </c>
      <c r="I52" s="64">
        <v>7.8455643000754058</v>
      </c>
      <c r="J52" s="64">
        <v>7.8677930050892195</v>
      </c>
    </row>
    <row r="53" spans="1:10" hidden="1">
      <c r="A53" s="10" t="s">
        <v>294</v>
      </c>
      <c r="B53" s="10" t="s">
        <v>212</v>
      </c>
      <c r="C53" s="64">
        <v>0.27741959983746606</v>
      </c>
      <c r="D53" s="64">
        <v>0.30119713369817763</v>
      </c>
      <c r="E53" s="64">
        <v>0.30801518713952036</v>
      </c>
      <c r="F53" s="64">
        <v>0.30968089019971862</v>
      </c>
      <c r="G53" s="64">
        <v>0.31154888299291716</v>
      </c>
      <c r="H53" s="64">
        <v>0.31522466585524772</v>
      </c>
      <c r="I53" s="64">
        <v>0.31874456798241052</v>
      </c>
      <c r="J53" s="64">
        <v>0.32392689896576671</v>
      </c>
    </row>
    <row r="54" spans="1:10" hidden="1">
      <c r="A54" s="10" t="s">
        <v>310</v>
      </c>
      <c r="B54" s="10" t="s">
        <v>212</v>
      </c>
      <c r="C54" s="64">
        <v>1.6779896140850623</v>
      </c>
      <c r="D54" s="64">
        <v>1.7366639617283779</v>
      </c>
      <c r="E54" s="64">
        <v>1.6650415330001043</v>
      </c>
      <c r="F54" s="64">
        <v>1.5828431382078971</v>
      </c>
      <c r="G54" s="64">
        <v>1.5026841567455274</v>
      </c>
      <c r="H54" s="64">
        <v>1.4550805333941561</v>
      </c>
      <c r="I54" s="64">
        <v>1.4084793094251109</v>
      </c>
      <c r="J54" s="64">
        <v>1.3709202544577475</v>
      </c>
    </row>
    <row r="55" spans="1:10" hidden="1">
      <c r="A55" s="10" t="s">
        <v>297</v>
      </c>
      <c r="B55" s="10" t="s">
        <v>212</v>
      </c>
      <c r="C55" s="64">
        <v>58.423865217958166</v>
      </c>
      <c r="D55" s="64">
        <v>58.612187387283548</v>
      </c>
      <c r="E55" s="64">
        <v>58.351962629965172</v>
      </c>
      <c r="F55" s="64">
        <v>57.721557949807163</v>
      </c>
      <c r="G55" s="64">
        <v>56.813951059599333</v>
      </c>
      <c r="H55" s="64">
        <v>56.263421409741738</v>
      </c>
      <c r="I55" s="64">
        <v>56.67037337051211</v>
      </c>
      <c r="J55" s="64">
        <v>59.101484107127163</v>
      </c>
    </row>
    <row r="56" spans="1:10">
      <c r="A56" s="10" t="s">
        <v>298</v>
      </c>
      <c r="B56" s="10" t="s">
        <v>212</v>
      </c>
      <c r="C56" s="64">
        <v>68.400000000000006</v>
      </c>
      <c r="D56" s="64">
        <v>66.723802846183943</v>
      </c>
      <c r="E56" s="64">
        <v>62.322527457799531</v>
      </c>
      <c r="F56" s="64">
        <v>55.995761479404173</v>
      </c>
      <c r="G56" s="64">
        <v>50.010622409233505</v>
      </c>
      <c r="H56" s="64">
        <v>44.899812887548997</v>
      </c>
      <c r="I56" s="64">
        <v>40.480917078068586</v>
      </c>
      <c r="J56" s="64">
        <v>37.023950788955482</v>
      </c>
    </row>
    <row r="57" spans="1:10" hidden="1">
      <c r="A57" s="10" t="s">
        <v>357</v>
      </c>
      <c r="B57" s="10" t="s">
        <v>212</v>
      </c>
      <c r="C57" s="64">
        <v>7.8150121112737745</v>
      </c>
      <c r="D57" s="64">
        <v>7.8911553635452591</v>
      </c>
      <c r="E57" s="64">
        <v>7.9081594005523099</v>
      </c>
      <c r="F57" s="64">
        <v>7.9163711349087711</v>
      </c>
      <c r="G57" s="64">
        <v>7.7472818522982099</v>
      </c>
      <c r="H57" s="64">
        <v>7.1796244801330378</v>
      </c>
      <c r="I57" s="64">
        <v>6.6942859992429486</v>
      </c>
      <c r="J57" s="64">
        <v>6.5110680358733868</v>
      </c>
    </row>
    <row r="58" spans="1:10" hidden="1">
      <c r="A58" s="10" t="s">
        <v>299</v>
      </c>
      <c r="B58" s="10" t="s">
        <v>212</v>
      </c>
      <c r="C58" s="64">
        <v>71.662021217518273</v>
      </c>
      <c r="D58" s="64">
        <v>73.115911080639876</v>
      </c>
      <c r="E58" s="64">
        <v>74.555257833863365</v>
      </c>
      <c r="F58" s="64">
        <v>75.239523982962609</v>
      </c>
      <c r="G58" s="64">
        <v>75.710388608553856</v>
      </c>
      <c r="H58" s="64">
        <v>75.347584013667003</v>
      </c>
      <c r="I58" s="64">
        <v>75.000475946194342</v>
      </c>
      <c r="J58" s="64">
        <v>75.65765026361214</v>
      </c>
    </row>
    <row r="59" spans="1:10" hidden="1">
      <c r="A59" s="10" t="s">
        <v>300</v>
      </c>
      <c r="B59" s="10" t="s">
        <v>212</v>
      </c>
      <c r="C59" s="64">
        <v>13.117871814203131</v>
      </c>
      <c r="D59" s="64">
        <v>12.677684666659815</v>
      </c>
      <c r="E59" s="64">
        <v>12.363829714866903</v>
      </c>
      <c r="F59" s="64">
        <v>12.062194297743577</v>
      </c>
      <c r="G59" s="64">
        <v>11.768490418069071</v>
      </c>
      <c r="H59" s="64">
        <v>11.321291596607329</v>
      </c>
      <c r="I59" s="64">
        <v>10.908278163372634</v>
      </c>
      <c r="J59" s="64">
        <v>10.685080608822062</v>
      </c>
    </row>
    <row r="60" spans="1:10" hidden="1">
      <c r="A60" s="10" t="s">
        <v>301</v>
      </c>
      <c r="B60" s="10" t="s">
        <v>212</v>
      </c>
      <c r="C60" s="64">
        <v>12.923771823346723</v>
      </c>
      <c r="D60" s="64">
        <v>13.255937393091875</v>
      </c>
      <c r="E60" s="64">
        <v>13.26622828885273</v>
      </c>
      <c r="F60" s="64">
        <v>13.234555388457464</v>
      </c>
      <c r="G60" s="64">
        <v>13.036910089562056</v>
      </c>
      <c r="H60" s="64">
        <v>12.721365132091167</v>
      </c>
      <c r="I60" s="64">
        <v>12.530409086407245</v>
      </c>
      <c r="J60" s="64">
        <v>12.591873105229507</v>
      </c>
    </row>
    <row r="61" spans="1:10" hidden="1">
      <c r="A61" s="10" t="s">
        <v>303</v>
      </c>
      <c r="B61" s="10" t="s">
        <v>212</v>
      </c>
      <c r="C61" s="64">
        <v>18.023300310934722</v>
      </c>
      <c r="D61" s="64">
        <v>16.716344035403139</v>
      </c>
      <c r="E61" s="64">
        <v>16.031037622771443</v>
      </c>
      <c r="F61" s="64">
        <v>15.229559271372995</v>
      </c>
      <c r="G61" s="64">
        <v>14.130829343443832</v>
      </c>
      <c r="H61" s="64">
        <v>13.122072689413535</v>
      </c>
      <c r="I61" s="64">
        <v>12.228250399148214</v>
      </c>
      <c r="J61" s="64">
        <v>11.700700861828242</v>
      </c>
    </row>
    <row r="62" spans="1:10" hidden="1">
      <c r="A62" s="10" t="s">
        <v>304</v>
      </c>
      <c r="B62" s="10" t="s">
        <v>212</v>
      </c>
      <c r="C62" s="64">
        <v>2.5007598563462583</v>
      </c>
      <c r="D62" s="64">
        <v>2.5251252681845178</v>
      </c>
      <c r="E62" s="64">
        <v>2.530566464248913</v>
      </c>
      <c r="F62" s="64">
        <v>2.5331941729891199</v>
      </c>
      <c r="G62" s="64">
        <v>2.4790865549752099</v>
      </c>
      <c r="H62" s="64">
        <v>2.2974393933000767</v>
      </c>
      <c r="I62" s="64">
        <v>2.1421338131591154</v>
      </c>
      <c r="J62" s="64">
        <v>2.0835050968842999</v>
      </c>
    </row>
    <row r="63" spans="1:10" hidden="1">
      <c r="A63" s="10" t="s">
        <v>305</v>
      </c>
      <c r="B63" s="10" t="s">
        <v>212</v>
      </c>
      <c r="C63" s="64">
        <v>5.6608974343976497</v>
      </c>
      <c r="D63" s="64">
        <v>5.3378235781190995</v>
      </c>
      <c r="E63" s="64">
        <v>5.6240734631454705</v>
      </c>
      <c r="F63" s="64">
        <v>5.9756445662054354</v>
      </c>
      <c r="G63" s="64">
        <v>6.1990717615417124</v>
      </c>
      <c r="H63" s="64">
        <v>6.1935519647193535</v>
      </c>
      <c r="I63" s="64">
        <v>6.151561058012387</v>
      </c>
      <c r="J63" s="64">
        <v>6.1331896440645561</v>
      </c>
    </row>
    <row r="64" spans="1:10" hidden="1">
      <c r="A64" s="10" t="s">
        <v>356</v>
      </c>
      <c r="B64" s="10" t="s">
        <v>212</v>
      </c>
      <c r="C64" s="64">
        <v>36.012208756266794</v>
      </c>
      <c r="D64" s="64">
        <v>36.363083029670165</v>
      </c>
      <c r="E64" s="64">
        <v>36.441439009376694</v>
      </c>
      <c r="F64" s="64">
        <v>36.479279346369808</v>
      </c>
      <c r="G64" s="64">
        <v>35.700102237349761</v>
      </c>
      <c r="H64" s="64">
        <v>33.084291091138489</v>
      </c>
      <c r="I64" s="64">
        <v>30.847812063031835</v>
      </c>
      <c r="J64" s="64">
        <v>30.003528848774955</v>
      </c>
    </row>
    <row r="65" spans="1:60" hidden="1">
      <c r="A65" s="10" t="s">
        <v>307</v>
      </c>
      <c r="B65" s="10" t="s">
        <v>212</v>
      </c>
      <c r="C65" s="64">
        <v>231.04259799527301</v>
      </c>
      <c r="D65" s="64">
        <v>215.82299708294033</v>
      </c>
      <c r="E65" s="64">
        <v>203.33452328098161</v>
      </c>
      <c r="F65" s="64">
        <v>194.74495978560068</v>
      </c>
      <c r="G65" s="64">
        <v>189.00941748270338</v>
      </c>
      <c r="H65" s="64">
        <v>184.1025504681316</v>
      </c>
      <c r="I65" s="64">
        <v>180.06358744976049</v>
      </c>
      <c r="J65" s="64">
        <v>178.60347282169352</v>
      </c>
    </row>
    <row r="66" spans="1:60" hidden="1">
      <c r="A66" s="10" t="s">
        <v>278</v>
      </c>
      <c r="B66" s="10" t="s">
        <v>276</v>
      </c>
      <c r="C66" s="64">
        <v>322.26569599910283</v>
      </c>
      <c r="D66" s="64">
        <v>311.14243593982502</v>
      </c>
      <c r="E66" s="64">
        <v>290.67080485139286</v>
      </c>
      <c r="F66" s="64">
        <v>266.79830686535809</v>
      </c>
      <c r="G66" s="64">
        <v>245.23515709157482</v>
      </c>
      <c r="H66" s="64">
        <v>224.75772722545616</v>
      </c>
      <c r="I66" s="64">
        <v>207.972715367609</v>
      </c>
      <c r="J66" s="64">
        <v>194.26426315028942</v>
      </c>
      <c r="V66" s="18"/>
      <c r="W66" s="18"/>
      <c r="X66" s="18"/>
      <c r="Y66" s="18"/>
      <c r="AA66" s="16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6"/>
      <c r="AM66" s="14"/>
      <c r="AN66" s="14"/>
      <c r="AO66" s="14"/>
      <c r="AP66" s="14"/>
      <c r="AQ66" s="14"/>
      <c r="AR66" s="14"/>
      <c r="AS66" s="14"/>
      <c r="AT66" s="14"/>
      <c r="AU66" s="14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</row>
    <row r="67" spans="1:60" hidden="1">
      <c r="A67" s="10" t="s">
        <v>280</v>
      </c>
      <c r="B67" s="10" t="s">
        <v>276</v>
      </c>
      <c r="C67" s="64">
        <v>383.92125999896524</v>
      </c>
      <c r="D67" s="64">
        <v>364.22414092397975</v>
      </c>
      <c r="E67" s="64">
        <v>330.61469292942866</v>
      </c>
      <c r="F67" s="64">
        <v>299.14333023347899</v>
      </c>
      <c r="G67" s="64">
        <v>280.94712218433659</v>
      </c>
      <c r="H67" s="64">
        <v>262.79400242158169</v>
      </c>
      <c r="I67" s="64">
        <v>238.09555048853389</v>
      </c>
      <c r="J67" s="64">
        <v>215.32946551039629</v>
      </c>
      <c r="V67" s="18"/>
      <c r="W67" s="18"/>
      <c r="X67" s="18"/>
      <c r="Y67" s="18"/>
      <c r="AA67" s="16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"/>
      <c r="AM67" s="14"/>
      <c r="AN67" s="14"/>
      <c r="AO67" s="14"/>
      <c r="AP67" s="14"/>
      <c r="AQ67" s="14"/>
      <c r="AR67" s="14"/>
      <c r="AS67" s="14"/>
      <c r="AT67" s="14"/>
      <c r="AU67" s="14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</row>
    <row r="68" spans="1:60" hidden="1">
      <c r="A68" s="10" t="s">
        <v>281</v>
      </c>
      <c r="B68" s="10" t="s">
        <v>276</v>
      </c>
      <c r="C68" s="64">
        <v>102.01674994704939</v>
      </c>
      <c r="D68" s="64">
        <v>97.26871280240637</v>
      </c>
      <c r="E68" s="64">
        <v>89.715756109197514</v>
      </c>
      <c r="F68" s="64">
        <v>83.719280340124385</v>
      </c>
      <c r="G68" s="64">
        <v>79.286695611843726</v>
      </c>
      <c r="H68" s="64">
        <v>73.834674293000617</v>
      </c>
      <c r="I68" s="64">
        <v>68.670812258651679</v>
      </c>
      <c r="J68" s="64">
        <v>64.1904009638193</v>
      </c>
      <c r="V68" s="18"/>
      <c r="W68" s="18"/>
      <c r="X68" s="18"/>
      <c r="Y68" s="18"/>
      <c r="AA68" s="16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6"/>
      <c r="AM68" s="14"/>
      <c r="AN68" s="14"/>
      <c r="AO68" s="14"/>
      <c r="AP68" s="14"/>
      <c r="AQ68" s="14"/>
      <c r="AR68" s="14"/>
      <c r="AS68" s="14"/>
      <c r="AT68" s="14"/>
      <c r="AU68" s="14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</row>
    <row r="69" spans="1:60" hidden="1">
      <c r="A69" s="10" t="s">
        <v>282</v>
      </c>
      <c r="B69" s="10" t="s">
        <v>276</v>
      </c>
      <c r="C69" s="64">
        <v>237.85779762963324</v>
      </c>
      <c r="D69" s="64">
        <v>229.64794416707653</v>
      </c>
      <c r="E69" s="64">
        <v>214.53824696680621</v>
      </c>
      <c r="F69" s="64">
        <v>196.91843863668876</v>
      </c>
      <c r="G69" s="64">
        <v>181.00311355299044</v>
      </c>
      <c r="H69" s="64">
        <v>165.88913639209576</v>
      </c>
      <c r="I69" s="64">
        <v>153.50045834394908</v>
      </c>
      <c r="J69" s="64">
        <v>143.38252679304713</v>
      </c>
      <c r="V69" s="18"/>
      <c r="W69" s="18"/>
      <c r="X69" s="18"/>
      <c r="Y69" s="18"/>
      <c r="AA69" s="16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"/>
      <c r="AM69" s="14"/>
      <c r="AN69" s="14"/>
      <c r="AO69" s="14"/>
      <c r="AP69" s="14"/>
      <c r="AQ69" s="14"/>
      <c r="AR69" s="14"/>
      <c r="AS69" s="14"/>
      <c r="AT69" s="14"/>
      <c r="AU69" s="14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</row>
    <row r="70" spans="1:60" hidden="1">
      <c r="A70" s="10" t="s">
        <v>283</v>
      </c>
      <c r="B70" s="10" t="s">
        <v>276</v>
      </c>
      <c r="C70" s="64">
        <v>315.79457220686476</v>
      </c>
      <c r="D70" s="64">
        <v>313.16289193727454</v>
      </c>
      <c r="E70" s="64">
        <v>298.73489013369482</v>
      </c>
      <c r="F70" s="64">
        <v>278.91535360325543</v>
      </c>
      <c r="G70" s="64">
        <v>266.58786768696513</v>
      </c>
      <c r="H70" s="64">
        <v>252.89540364662892</v>
      </c>
      <c r="I70" s="64">
        <v>233.69753199650097</v>
      </c>
      <c r="J70" s="64">
        <v>214.85413153543735</v>
      </c>
    </row>
    <row r="71" spans="1:60" hidden="1">
      <c r="A71" s="10" t="s">
        <v>284</v>
      </c>
      <c r="B71" s="10" t="s">
        <v>276</v>
      </c>
      <c r="C71" s="64">
        <v>2477.6424313198363</v>
      </c>
      <c r="D71" s="64">
        <v>2254.4304511695937</v>
      </c>
      <c r="E71" s="64">
        <v>2041.0415070597842</v>
      </c>
      <c r="F71" s="64">
        <v>1868.1565806642948</v>
      </c>
      <c r="G71" s="64">
        <v>1674.4470207418146</v>
      </c>
      <c r="H71" s="64">
        <v>1588.6523141441498</v>
      </c>
      <c r="I71" s="64">
        <v>1498.1991066345477</v>
      </c>
      <c r="J71" s="64">
        <v>1399.7115964251172</v>
      </c>
    </row>
    <row r="72" spans="1:60" hidden="1">
      <c r="A72" s="10" t="s">
        <v>285</v>
      </c>
      <c r="B72" s="10" t="s">
        <v>276</v>
      </c>
      <c r="C72" s="64">
        <v>181.78680663692654</v>
      </c>
      <c r="D72" s="64">
        <v>174.1442833981273</v>
      </c>
      <c r="E72" s="64">
        <v>162.59851314707717</v>
      </c>
      <c r="F72" s="64">
        <v>152.15983142602613</v>
      </c>
      <c r="G72" s="64">
        <v>146.51966461436166</v>
      </c>
      <c r="H72" s="64">
        <v>141.06892272021835</v>
      </c>
      <c r="I72" s="64">
        <v>135.55742420422331</v>
      </c>
      <c r="J72" s="64">
        <v>130.01238369283928</v>
      </c>
    </row>
    <row r="73" spans="1:60" hidden="1">
      <c r="A73" s="10" t="s">
        <v>308</v>
      </c>
      <c r="B73" s="10" t="s">
        <v>276</v>
      </c>
      <c r="C73" s="64">
        <v>50.969742027219574</v>
      </c>
      <c r="D73" s="64">
        <v>49.040266017925617</v>
      </c>
      <c r="E73" s="64">
        <v>46.360009747614136</v>
      </c>
      <c r="F73" s="64">
        <v>43.451649993723656</v>
      </c>
      <c r="G73" s="64">
        <v>40.934681870819944</v>
      </c>
      <c r="H73" s="64">
        <v>37.880740985629458</v>
      </c>
      <c r="I73" s="64">
        <v>34.845921364271554</v>
      </c>
      <c r="J73" s="64">
        <v>31.998766653401443</v>
      </c>
    </row>
    <row r="74" spans="1:60" hidden="1">
      <c r="A74" s="10" t="s">
        <v>286</v>
      </c>
      <c r="B74" s="10" t="s">
        <v>276</v>
      </c>
      <c r="C74" s="64">
        <v>531.09398457178872</v>
      </c>
      <c r="D74" s="64">
        <v>526.41103286104624</v>
      </c>
      <c r="E74" s="64">
        <v>510.31715444314102</v>
      </c>
      <c r="F74" s="64">
        <v>490.76633916965443</v>
      </c>
      <c r="G74" s="64">
        <v>479.97304640528989</v>
      </c>
      <c r="H74" s="64">
        <v>465.68687436128016</v>
      </c>
      <c r="I74" s="64">
        <v>441.3308429866363</v>
      </c>
      <c r="J74" s="64">
        <v>416.66540185768923</v>
      </c>
    </row>
    <row r="75" spans="1:60" hidden="1">
      <c r="A75" s="10" t="s">
        <v>287</v>
      </c>
      <c r="B75" s="10" t="s">
        <v>276</v>
      </c>
      <c r="C75" s="64">
        <v>318.6630719039598</v>
      </c>
      <c r="D75" s="64">
        <v>309.87785860074177</v>
      </c>
      <c r="E75" s="64">
        <v>297.65451003089055</v>
      </c>
      <c r="F75" s="64">
        <v>285.03113606894311</v>
      </c>
      <c r="G75" s="64">
        <v>277.23626834041977</v>
      </c>
      <c r="H75" s="64">
        <v>268.9242290887492</v>
      </c>
      <c r="I75" s="64">
        <v>259.52147998787109</v>
      </c>
      <c r="J75" s="64">
        <v>249.70025400811176</v>
      </c>
    </row>
    <row r="76" spans="1:60" hidden="1">
      <c r="A76" s="10" t="s">
        <v>288</v>
      </c>
      <c r="B76" s="10" t="s">
        <v>276</v>
      </c>
      <c r="C76" s="64">
        <v>1567.1257265600732</v>
      </c>
      <c r="D76" s="64">
        <v>1522.7522038107097</v>
      </c>
      <c r="E76" s="64">
        <v>1431.0971044955907</v>
      </c>
      <c r="F76" s="64">
        <v>1338.3495202159008</v>
      </c>
      <c r="G76" s="64">
        <v>1274.3722618535633</v>
      </c>
      <c r="H76" s="64">
        <v>1212.6822002345159</v>
      </c>
      <c r="I76" s="64">
        <v>1128.4345791721328</v>
      </c>
      <c r="J76" s="64">
        <v>1053.5546781905841</v>
      </c>
    </row>
    <row r="77" spans="1:60" hidden="1">
      <c r="A77" s="10" t="s">
        <v>289</v>
      </c>
      <c r="B77" s="10" t="s">
        <v>276</v>
      </c>
      <c r="C77" s="64">
        <v>139.95629401563943</v>
      </c>
      <c r="D77" s="64">
        <v>136.64659995872179</v>
      </c>
      <c r="E77" s="64">
        <v>127.52079548394684</v>
      </c>
      <c r="F77" s="64">
        <v>119.32455050092649</v>
      </c>
      <c r="G77" s="64">
        <v>114.06474031707705</v>
      </c>
      <c r="H77" s="64">
        <v>108.51263934515478</v>
      </c>
      <c r="I77" s="64">
        <v>102.42457350175717</v>
      </c>
      <c r="J77" s="64">
        <v>96.990509327332916</v>
      </c>
    </row>
    <row r="78" spans="1:60" hidden="1">
      <c r="A78" s="10" t="s">
        <v>290</v>
      </c>
      <c r="B78" s="10" t="s">
        <v>276</v>
      </c>
      <c r="C78" s="64">
        <v>62.839313647319635</v>
      </c>
      <c r="D78" s="64">
        <v>62.639581237900991</v>
      </c>
      <c r="E78" s="64">
        <v>60.31885350879427</v>
      </c>
      <c r="F78" s="64">
        <v>57.537642924116881</v>
      </c>
      <c r="G78" s="64">
        <v>56.898488952173707</v>
      </c>
      <c r="H78" s="64">
        <v>55.57670223783029</v>
      </c>
      <c r="I78" s="64">
        <v>53.902725556774698</v>
      </c>
      <c r="J78" s="64">
        <v>52.567067752895341</v>
      </c>
    </row>
    <row r="79" spans="1:60" hidden="1">
      <c r="A79" s="10" t="s">
        <v>291</v>
      </c>
      <c r="B79" s="10" t="s">
        <v>276</v>
      </c>
      <c r="C79" s="64">
        <v>205.74189474230158</v>
      </c>
      <c r="D79" s="64">
        <v>200.33993417856686</v>
      </c>
      <c r="E79" s="64">
        <v>185.54972909935077</v>
      </c>
      <c r="F79" s="64">
        <v>170.63749872158468</v>
      </c>
      <c r="G79" s="64">
        <v>164.9321639166169</v>
      </c>
      <c r="H79" s="64">
        <v>156.16905276724887</v>
      </c>
      <c r="I79" s="64">
        <v>147.49756733516267</v>
      </c>
      <c r="J79" s="64">
        <v>139.60578044177618</v>
      </c>
    </row>
    <row r="80" spans="1:60" hidden="1">
      <c r="A80" s="10" t="s">
        <v>292</v>
      </c>
      <c r="B80" s="10" t="s">
        <v>276</v>
      </c>
      <c r="C80" s="64">
        <v>137.48166273732929</v>
      </c>
      <c r="D80" s="64">
        <v>131.34307191861549</v>
      </c>
      <c r="E80" s="64">
        <v>122.72003601162416</v>
      </c>
      <c r="F80" s="64">
        <v>114.31722268345253</v>
      </c>
      <c r="G80" s="64">
        <v>109.46020220468831</v>
      </c>
      <c r="H80" s="64">
        <v>104.75026136281014</v>
      </c>
      <c r="I80" s="64">
        <v>100.11903833829297</v>
      </c>
      <c r="J80" s="64">
        <v>94.825818629089582</v>
      </c>
    </row>
    <row r="81" spans="1:60" hidden="1">
      <c r="A81" s="10" t="s">
        <v>293</v>
      </c>
      <c r="B81" s="10" t="s">
        <v>276</v>
      </c>
      <c r="C81" s="64">
        <v>1763.3699764174933</v>
      </c>
      <c r="D81" s="64">
        <v>1682.2285669284138</v>
      </c>
      <c r="E81" s="64">
        <v>1565.3350264304729</v>
      </c>
      <c r="F81" s="64">
        <v>1460.8528570408187</v>
      </c>
      <c r="G81" s="64">
        <v>1415.4530290607897</v>
      </c>
      <c r="H81" s="64">
        <v>1353.6675819931666</v>
      </c>
      <c r="I81" s="64">
        <v>1303.7542808097219</v>
      </c>
      <c r="J81" s="64">
        <v>1240.6582594544868</v>
      </c>
    </row>
    <row r="82" spans="1:60" hidden="1">
      <c r="A82" s="10" t="s">
        <v>309</v>
      </c>
      <c r="B82" s="10" t="s">
        <v>276</v>
      </c>
      <c r="C82" s="64">
        <v>64.857388259942823</v>
      </c>
      <c r="D82" s="64">
        <v>62.391350754454052</v>
      </c>
      <c r="E82" s="64">
        <v>59.294412683272839</v>
      </c>
      <c r="F82" s="64">
        <v>56.482435189823903</v>
      </c>
      <c r="G82" s="64">
        <v>54.779459257794265</v>
      </c>
      <c r="H82" s="64">
        <v>52.284297588904458</v>
      </c>
      <c r="I82" s="64">
        <v>49.795680862100554</v>
      </c>
      <c r="J82" s="64">
        <v>47.394326470607496</v>
      </c>
    </row>
    <row r="83" spans="1:60" hidden="1">
      <c r="A83" s="10" t="s">
        <v>294</v>
      </c>
      <c r="B83" s="10" t="s">
        <v>276</v>
      </c>
      <c r="C83" s="64">
        <v>33.995504689753389</v>
      </c>
      <c r="D83" s="64">
        <v>33.947051122624423</v>
      </c>
      <c r="E83" s="64">
        <v>32.751177936445671</v>
      </c>
      <c r="F83" s="64">
        <v>31.54356819704017</v>
      </c>
      <c r="G83" s="64">
        <v>30.828312409745614</v>
      </c>
      <c r="H83" s="64">
        <v>29.940161692946006</v>
      </c>
      <c r="I83" s="64">
        <v>28.615568124978573</v>
      </c>
      <c r="J83" s="64">
        <v>26.939069635213649</v>
      </c>
    </row>
    <row r="84" spans="1:60" hidden="1">
      <c r="A84" s="10" t="s">
        <v>310</v>
      </c>
      <c r="B84" s="10" t="s">
        <v>276</v>
      </c>
      <c r="C84" s="64">
        <v>59.748952744119251</v>
      </c>
      <c r="D84" s="64">
        <v>57.478720743915552</v>
      </c>
      <c r="E84" s="64">
        <v>54.146781358292301</v>
      </c>
      <c r="F84" s="64">
        <v>50.812408597347861</v>
      </c>
      <c r="G84" s="64">
        <v>48.596779426859392</v>
      </c>
      <c r="H84" s="64">
        <v>45.641822046965309</v>
      </c>
      <c r="I84" s="64">
        <v>42.829276771881261</v>
      </c>
      <c r="J84" s="64">
        <v>40.215419854261754</v>
      </c>
    </row>
    <row r="85" spans="1:60" hidden="1">
      <c r="A85" s="10" t="s">
        <v>297</v>
      </c>
      <c r="B85" s="10" t="s">
        <v>276</v>
      </c>
      <c r="C85" s="64">
        <v>507.50496174150709</v>
      </c>
      <c r="D85" s="64">
        <v>483.80809094302907</v>
      </c>
      <c r="E85" s="64">
        <v>448.36423557960245</v>
      </c>
      <c r="F85" s="64">
        <v>414.93883169717117</v>
      </c>
      <c r="G85" s="64">
        <v>395.74627161936519</v>
      </c>
      <c r="H85" s="64">
        <v>368.89748614926714</v>
      </c>
      <c r="I85" s="64">
        <v>341.65616211540748</v>
      </c>
      <c r="J85" s="64">
        <v>317.14453286923504</v>
      </c>
    </row>
    <row r="86" spans="1:60">
      <c r="A86" s="10" t="s">
        <v>298</v>
      </c>
      <c r="B86" s="10" t="s">
        <v>276</v>
      </c>
      <c r="C86" s="64">
        <v>194.53511148267424</v>
      </c>
      <c r="D86" s="64">
        <v>187.82057542579147</v>
      </c>
      <c r="E86" s="64">
        <v>175.46291190323205</v>
      </c>
      <c r="F86" s="64">
        <v>161.05232115547798</v>
      </c>
      <c r="G86" s="64">
        <v>148.03576432911254</v>
      </c>
      <c r="H86" s="64">
        <v>135.67460038476543</v>
      </c>
      <c r="I86" s="64">
        <v>125.54235797254978</v>
      </c>
      <c r="J86" s="64">
        <v>117.26727528935103</v>
      </c>
    </row>
    <row r="87" spans="1:60" hidden="1">
      <c r="A87" s="10" t="s">
        <v>357</v>
      </c>
      <c r="B87" s="10" t="s">
        <v>276</v>
      </c>
      <c r="C87" s="64">
        <v>92.234810112675163</v>
      </c>
      <c r="D87" s="64">
        <v>89.386782410267188</v>
      </c>
      <c r="E87" s="64">
        <v>85.408796243825904</v>
      </c>
      <c r="F87" s="64">
        <v>81.331179710688147</v>
      </c>
      <c r="G87" s="64">
        <v>78.996724792253943</v>
      </c>
      <c r="H87" s="64">
        <v>76.539923518263336</v>
      </c>
      <c r="I87" s="64">
        <v>73.430204616053516</v>
      </c>
      <c r="J87" s="64">
        <v>70.389741054535165</v>
      </c>
    </row>
    <row r="88" spans="1:60" hidden="1">
      <c r="A88" s="10" t="s">
        <v>299</v>
      </c>
      <c r="B88" s="10" t="s">
        <v>276</v>
      </c>
      <c r="C88" s="64">
        <v>746.25315317492959</v>
      </c>
      <c r="D88" s="64">
        <v>708.46285044875799</v>
      </c>
      <c r="E88" s="64">
        <v>668.56541493039367</v>
      </c>
      <c r="F88" s="64">
        <v>623.7089123496819</v>
      </c>
      <c r="G88" s="64">
        <v>590.73295275698399</v>
      </c>
      <c r="H88" s="64">
        <v>547.7957588008677</v>
      </c>
      <c r="I88" s="64">
        <v>506.95744474454199</v>
      </c>
      <c r="J88" s="64">
        <v>466.9817211117832</v>
      </c>
    </row>
    <row r="89" spans="1:60" hidden="1">
      <c r="A89" s="10" t="s">
        <v>300</v>
      </c>
      <c r="B89" s="10" t="s">
        <v>276</v>
      </c>
      <c r="C89" s="64">
        <v>72.185600444267806</v>
      </c>
      <c r="D89" s="64">
        <v>71.400182660739944</v>
      </c>
      <c r="E89" s="64">
        <v>69.373185289067479</v>
      </c>
      <c r="F89" s="64">
        <v>67.444526463140576</v>
      </c>
      <c r="G89" s="64">
        <v>67.537848932940506</v>
      </c>
      <c r="H89" s="64">
        <v>67.513487174986622</v>
      </c>
      <c r="I89" s="64">
        <v>67.301276216162663</v>
      </c>
      <c r="J89" s="64">
        <v>66.994363446332386</v>
      </c>
    </row>
    <row r="90" spans="1:60" hidden="1">
      <c r="A90" s="10" t="s">
        <v>301</v>
      </c>
      <c r="B90" s="10" t="s">
        <v>276</v>
      </c>
      <c r="C90" s="64">
        <v>294.37749122412941</v>
      </c>
      <c r="D90" s="64">
        <v>284.9125190653865</v>
      </c>
      <c r="E90" s="64">
        <v>270.57755034260333</v>
      </c>
      <c r="F90" s="64">
        <v>253.79468777083218</v>
      </c>
      <c r="G90" s="64">
        <v>239.47175999531046</v>
      </c>
      <c r="H90" s="64">
        <v>223.12286469690434</v>
      </c>
      <c r="I90" s="64">
        <v>205.57427137147297</v>
      </c>
      <c r="J90" s="64">
        <v>191.427987019895</v>
      </c>
    </row>
    <row r="91" spans="1:60" hidden="1">
      <c r="A91" s="10" t="s">
        <v>303</v>
      </c>
      <c r="B91" s="10" t="s">
        <v>276</v>
      </c>
      <c r="C91" s="64">
        <v>292.81674252988205</v>
      </c>
      <c r="D91" s="64">
        <v>283.87287242001929</v>
      </c>
      <c r="E91" s="64">
        <v>271.37582194109075</v>
      </c>
      <c r="F91" s="64">
        <v>258.05798226821616</v>
      </c>
      <c r="G91" s="64">
        <v>250.32981164119806</v>
      </c>
      <c r="H91" s="64">
        <v>242.74423281341805</v>
      </c>
      <c r="I91" s="64">
        <v>234.76850228967936</v>
      </c>
      <c r="J91" s="64">
        <v>226.99836215956873</v>
      </c>
    </row>
    <row r="92" spans="1:60" hidden="1">
      <c r="A92" s="10" t="s">
        <v>304</v>
      </c>
      <c r="B92" s="10" t="s">
        <v>276</v>
      </c>
      <c r="C92" s="64">
        <v>39.761159467103973</v>
      </c>
      <c r="D92" s="64">
        <v>39.764731754293656</v>
      </c>
      <c r="E92" s="64">
        <v>38.694983937272383</v>
      </c>
      <c r="F92" s="64">
        <v>37.269917070219989</v>
      </c>
      <c r="G92" s="64">
        <v>37.256355663984422</v>
      </c>
      <c r="H92" s="64">
        <v>36.977073853913375</v>
      </c>
      <c r="I92" s="64">
        <v>36.134537923645958</v>
      </c>
      <c r="J92" s="64">
        <v>35.308863847144451</v>
      </c>
    </row>
    <row r="93" spans="1:60" hidden="1">
      <c r="A93" s="10" t="s">
        <v>305</v>
      </c>
      <c r="B93" s="10" t="s">
        <v>276</v>
      </c>
      <c r="C93" s="64">
        <v>136.93363988367344</v>
      </c>
      <c r="D93" s="64">
        <v>132.70540111672804</v>
      </c>
      <c r="E93" s="64">
        <v>126.79960346275911</v>
      </c>
      <c r="F93" s="64">
        <v>120.74589257800427</v>
      </c>
      <c r="G93" s="64">
        <v>117.2801142158541</v>
      </c>
      <c r="H93" s="64">
        <v>113.63269801249869</v>
      </c>
      <c r="I93" s="64">
        <v>109.01594726758513</v>
      </c>
      <c r="J93" s="64">
        <v>104.50201438363625</v>
      </c>
    </row>
    <row r="94" spans="1:60" hidden="1">
      <c r="A94" s="10" t="s">
        <v>356</v>
      </c>
      <c r="B94" s="10" t="s">
        <v>276</v>
      </c>
      <c r="C94" s="64">
        <v>1634.4825217621799</v>
      </c>
      <c r="D94" s="64">
        <v>1584.0129485566442</v>
      </c>
      <c r="E94" s="64">
        <v>1513.5195106353522</v>
      </c>
      <c r="F94" s="64">
        <v>1441.2605343798543</v>
      </c>
      <c r="G94" s="64">
        <v>1399.8919257454218</v>
      </c>
      <c r="H94" s="64">
        <v>1356.3552313360638</v>
      </c>
      <c r="I94" s="64">
        <v>1301.248258306616</v>
      </c>
      <c r="J94" s="64">
        <v>1247.3685512493169</v>
      </c>
    </row>
    <row r="95" spans="1:60" hidden="1">
      <c r="A95" s="10" t="s">
        <v>307</v>
      </c>
      <c r="B95" s="10" t="s">
        <v>276</v>
      </c>
      <c r="C95" s="64">
        <v>887.29999999999905</v>
      </c>
      <c r="D95" s="64">
        <v>856.67412584358647</v>
      </c>
      <c r="E95" s="64">
        <v>800.30921176717038</v>
      </c>
      <c r="F95" s="64">
        <v>734.58062902944198</v>
      </c>
      <c r="G95" s="64">
        <v>675.21041671143234</v>
      </c>
      <c r="H95" s="64">
        <v>618.82953675498288</v>
      </c>
      <c r="I95" s="64">
        <v>572.61505843362522</v>
      </c>
      <c r="J95" s="64">
        <v>534.87132770635139</v>
      </c>
    </row>
    <row r="96" spans="1:60" hidden="1">
      <c r="A96" s="10" t="s">
        <v>278</v>
      </c>
      <c r="B96" s="10" t="s">
        <v>213</v>
      </c>
      <c r="C96" s="64">
        <v>59.021519015841847</v>
      </c>
      <c r="D96" s="64">
        <v>57.810437269798769</v>
      </c>
      <c r="E96" s="64">
        <v>56.612413293429093</v>
      </c>
      <c r="F96" s="64">
        <v>55.172014613297755</v>
      </c>
      <c r="G96" s="64">
        <v>53.792836831066005</v>
      </c>
      <c r="H96" s="64">
        <v>52.633163551880919</v>
      </c>
      <c r="I96" s="64">
        <v>51.880339390088615</v>
      </c>
      <c r="J96" s="64">
        <v>50.983533220047775</v>
      </c>
      <c r="V96" s="18"/>
      <c r="W96" s="18"/>
      <c r="X96" s="18"/>
      <c r="Y96" s="18"/>
      <c r="AA96" s="16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6"/>
      <c r="AM96" s="14"/>
      <c r="AN96" s="14"/>
      <c r="AO96" s="14"/>
      <c r="AP96" s="14"/>
      <c r="AQ96" s="14"/>
      <c r="AR96" s="14"/>
      <c r="AS96" s="14"/>
      <c r="AT96" s="14"/>
      <c r="AU96" s="14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</row>
    <row r="97" spans="1:60" hidden="1">
      <c r="A97" s="10" t="s">
        <v>280</v>
      </c>
      <c r="B97" s="10" t="s">
        <v>213</v>
      </c>
      <c r="C97" s="64">
        <v>86.363307836026976</v>
      </c>
      <c r="D97" s="64">
        <v>95.45985280777839</v>
      </c>
      <c r="E97" s="64">
        <v>92.993469321152105</v>
      </c>
      <c r="F97" s="64">
        <v>89.688570855765036</v>
      </c>
      <c r="G97" s="64">
        <v>85.976462955555959</v>
      </c>
      <c r="H97" s="64">
        <v>81.882866885209651</v>
      </c>
      <c r="I97" s="64">
        <v>77.571280526538146</v>
      </c>
      <c r="J97" s="64">
        <v>72.13963295183818</v>
      </c>
      <c r="V97" s="18"/>
      <c r="W97" s="18"/>
      <c r="X97" s="18"/>
      <c r="Y97" s="18"/>
      <c r="AA97" s="16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"/>
      <c r="AM97" s="14"/>
      <c r="AN97" s="14"/>
      <c r="AO97" s="14"/>
      <c r="AP97" s="14"/>
      <c r="AQ97" s="14"/>
      <c r="AR97" s="14"/>
      <c r="AS97" s="14"/>
      <c r="AT97" s="14"/>
      <c r="AU97" s="14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</row>
    <row r="98" spans="1:60" hidden="1">
      <c r="A98" s="10" t="s">
        <v>281</v>
      </c>
      <c r="B98" s="10" t="s">
        <v>213</v>
      </c>
      <c r="C98" s="64">
        <v>20.380617202670628</v>
      </c>
      <c r="D98" s="64">
        <v>20.063767701404956</v>
      </c>
      <c r="E98" s="64">
        <v>19.527351834384124</v>
      </c>
      <c r="F98" s="64">
        <v>18.81526695340537</v>
      </c>
      <c r="G98" s="64">
        <v>18.046385544431402</v>
      </c>
      <c r="H98" s="64">
        <v>17.300173884858022</v>
      </c>
      <c r="I98" s="64">
        <v>16.600831118014241</v>
      </c>
      <c r="J98" s="64">
        <v>15.872135493405786</v>
      </c>
      <c r="V98" s="18"/>
      <c r="W98" s="18"/>
      <c r="X98" s="18"/>
      <c r="Y98" s="18"/>
      <c r="AA98" s="16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6"/>
      <c r="AM98" s="14"/>
      <c r="AN98" s="14"/>
      <c r="AO98" s="14"/>
      <c r="AP98" s="14"/>
      <c r="AQ98" s="14"/>
      <c r="AR98" s="14"/>
      <c r="AS98" s="14"/>
      <c r="AT98" s="14"/>
      <c r="AU98" s="14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</row>
    <row r="99" spans="1:60" hidden="1">
      <c r="A99" s="10" t="s">
        <v>282</v>
      </c>
      <c r="B99" s="10" t="s">
        <v>213</v>
      </c>
      <c r="C99" s="64">
        <v>29.976157240223483</v>
      </c>
      <c r="D99" s="64">
        <v>29.361066719757421</v>
      </c>
      <c r="E99" s="64">
        <v>28.75260804753016</v>
      </c>
      <c r="F99" s="64">
        <v>28.021050845272487</v>
      </c>
      <c r="G99" s="64">
        <v>27.320586832285887</v>
      </c>
      <c r="H99" s="64">
        <v>26.731605912380939</v>
      </c>
      <c r="I99" s="64">
        <v>26.349257646453246</v>
      </c>
      <c r="J99" s="64">
        <v>25.893783046419131</v>
      </c>
      <c r="AA99" s="16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"/>
      <c r="AM99" s="14"/>
      <c r="AN99" s="14"/>
      <c r="AO99" s="14"/>
      <c r="AP99" s="14"/>
      <c r="AQ99" s="14"/>
      <c r="AR99" s="14"/>
      <c r="AS99" s="14"/>
      <c r="AT99" s="14"/>
      <c r="AU99" s="14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</row>
    <row r="100" spans="1:60" hidden="1">
      <c r="A100" s="10" t="s">
        <v>283</v>
      </c>
      <c r="B100" s="10" t="s">
        <v>213</v>
      </c>
      <c r="C100" s="64">
        <v>54.923729935107794</v>
      </c>
      <c r="D100" s="64">
        <v>53.972844550401803</v>
      </c>
      <c r="E100" s="64">
        <v>53.118722210842989</v>
      </c>
      <c r="F100" s="64">
        <v>52.54181319528886</v>
      </c>
      <c r="G100" s="64">
        <v>52.024591790048142</v>
      </c>
      <c r="H100" s="64">
        <v>51.557435205862788</v>
      </c>
      <c r="I100" s="64">
        <v>51.631480370397213</v>
      </c>
      <c r="J100" s="64">
        <v>51.626748630939097</v>
      </c>
    </row>
    <row r="101" spans="1:60" hidden="1">
      <c r="A101" s="10" t="s">
        <v>284</v>
      </c>
      <c r="B101" s="10" t="s">
        <v>213</v>
      </c>
      <c r="C101" s="64">
        <v>514.1795012383493</v>
      </c>
      <c r="D101" s="64">
        <v>499.45183487167037</v>
      </c>
      <c r="E101" s="64">
        <v>482.73292134738233</v>
      </c>
      <c r="F101" s="64">
        <v>463.23519262975384</v>
      </c>
      <c r="G101" s="64">
        <v>442.06771917932667</v>
      </c>
      <c r="H101" s="64">
        <v>418.90062440203366</v>
      </c>
      <c r="I101" s="64">
        <v>397.75165685471285</v>
      </c>
      <c r="J101" s="64">
        <v>376.03240429325973</v>
      </c>
    </row>
    <row r="102" spans="1:60" hidden="1">
      <c r="A102" s="10" t="s">
        <v>285</v>
      </c>
      <c r="B102" s="10" t="s">
        <v>213</v>
      </c>
      <c r="C102" s="64">
        <v>28.732409496120489</v>
      </c>
      <c r="D102" s="64">
        <v>27.889204432647517</v>
      </c>
      <c r="E102" s="64">
        <v>27.003729398457519</v>
      </c>
      <c r="F102" s="64">
        <v>26.185183818495524</v>
      </c>
      <c r="G102" s="64">
        <v>25.630792253779994</v>
      </c>
      <c r="H102" s="64">
        <v>25.468307289226743</v>
      </c>
      <c r="I102" s="64">
        <v>25.695348054585679</v>
      </c>
      <c r="J102" s="64">
        <v>26.410899610938156</v>
      </c>
    </row>
    <row r="103" spans="1:60" hidden="1">
      <c r="A103" s="10" t="s">
        <v>308</v>
      </c>
      <c r="B103" s="10" t="s">
        <v>213</v>
      </c>
      <c r="C103" s="64">
        <v>8.2098218283834399</v>
      </c>
      <c r="D103" s="64">
        <v>8.246824136241349</v>
      </c>
      <c r="E103" s="64">
        <v>8.1562613662960111</v>
      </c>
      <c r="F103" s="64">
        <v>8.0409931883727221</v>
      </c>
      <c r="G103" s="64">
        <v>8.0121834526351012</v>
      </c>
      <c r="H103" s="64">
        <v>8.0345968717189553</v>
      </c>
      <c r="I103" s="64">
        <v>8.0733754969313125</v>
      </c>
      <c r="J103" s="64">
        <v>8.1931169979053617</v>
      </c>
    </row>
    <row r="104" spans="1:60" hidden="1">
      <c r="A104" s="10" t="s">
        <v>286</v>
      </c>
      <c r="B104" s="10" t="s">
        <v>213</v>
      </c>
      <c r="C104" s="64">
        <v>237.74366119931122</v>
      </c>
      <c r="D104" s="64">
        <v>226.35709863582758</v>
      </c>
      <c r="E104" s="64">
        <v>218.91081221074691</v>
      </c>
      <c r="F104" s="64">
        <v>210.74285575832903</v>
      </c>
      <c r="G104" s="64">
        <v>201.2704144758666</v>
      </c>
      <c r="H104" s="64">
        <v>192.39450401377883</v>
      </c>
      <c r="I104" s="64">
        <v>183.90218378162774</v>
      </c>
      <c r="J104" s="64">
        <v>177.32164725702611</v>
      </c>
    </row>
    <row r="105" spans="1:60" hidden="1">
      <c r="A105" s="10" t="s">
        <v>287</v>
      </c>
      <c r="B105" s="10" t="s">
        <v>213</v>
      </c>
      <c r="C105" s="64">
        <v>196.8703934885115</v>
      </c>
      <c r="D105" s="64">
        <v>194.16254803103217</v>
      </c>
      <c r="E105" s="64">
        <v>188.90339487957576</v>
      </c>
      <c r="F105" s="64">
        <v>182.63673095159859</v>
      </c>
      <c r="G105" s="64">
        <v>177.34906135854027</v>
      </c>
      <c r="H105" s="64">
        <v>173.33075307843683</v>
      </c>
      <c r="I105" s="64">
        <v>169.64378514109023</v>
      </c>
      <c r="J105" s="64">
        <v>166.61107160302058</v>
      </c>
    </row>
    <row r="106" spans="1:60" hidden="1">
      <c r="A106" s="10" t="s">
        <v>288</v>
      </c>
      <c r="B106" s="10" t="s">
        <v>213</v>
      </c>
      <c r="C106" s="64">
        <v>220.1435954389456</v>
      </c>
      <c r="D106" s="64">
        <v>230.13172359829889</v>
      </c>
      <c r="E106" s="64">
        <v>221.03076848020308</v>
      </c>
      <c r="F106" s="64">
        <v>210.9292441634428</v>
      </c>
      <c r="G106" s="64">
        <v>202.12394064172554</v>
      </c>
      <c r="H106" s="64">
        <v>195.58190459182816</v>
      </c>
      <c r="I106" s="64">
        <v>189.60821521751112</v>
      </c>
      <c r="J106" s="64">
        <v>184.96742693738847</v>
      </c>
    </row>
    <row r="107" spans="1:60" hidden="1">
      <c r="A107" s="10" t="s">
        <v>289</v>
      </c>
      <c r="B107" s="10" t="s">
        <v>213</v>
      </c>
      <c r="C107" s="64">
        <v>21.942707940739208</v>
      </c>
      <c r="D107" s="64">
        <v>20.411138645050958</v>
      </c>
      <c r="E107" s="64">
        <v>18.981442235520273</v>
      </c>
      <c r="F107" s="64">
        <v>17.713447820319097</v>
      </c>
      <c r="G107" s="64">
        <v>16.73112352361796</v>
      </c>
      <c r="H107" s="64">
        <v>15.821129250376964</v>
      </c>
      <c r="I107" s="64">
        <v>14.892297466305861</v>
      </c>
      <c r="J107" s="64">
        <v>14.092536213692226</v>
      </c>
    </row>
    <row r="108" spans="1:60" hidden="1">
      <c r="A108" s="10" t="s">
        <v>290</v>
      </c>
      <c r="B108" s="10" t="s">
        <v>213</v>
      </c>
      <c r="C108" s="64">
        <v>13.987687997720677</v>
      </c>
      <c r="D108" s="64">
        <v>13.46931460605135</v>
      </c>
      <c r="E108" s="64">
        <v>12.623155259045047</v>
      </c>
      <c r="F108" s="64">
        <v>11.61221612528481</v>
      </c>
      <c r="G108" s="64">
        <v>10.686302932051648</v>
      </c>
      <c r="H108" s="64">
        <v>10.077568926522435</v>
      </c>
      <c r="I108" s="64">
        <v>9.6157832688722316</v>
      </c>
      <c r="J108" s="64">
        <v>9.3477751479501325</v>
      </c>
    </row>
    <row r="109" spans="1:60" hidden="1">
      <c r="A109" s="10" t="s">
        <v>291</v>
      </c>
      <c r="B109" s="10" t="s">
        <v>213</v>
      </c>
      <c r="C109" s="64">
        <v>17.826843457476773</v>
      </c>
      <c r="D109" s="64">
        <v>17.116636896640195</v>
      </c>
      <c r="E109" s="64">
        <v>17.006918603263571</v>
      </c>
      <c r="F109" s="64">
        <v>16.751817448180532</v>
      </c>
      <c r="G109" s="64">
        <v>16.311676429788942</v>
      </c>
      <c r="H109" s="64">
        <v>15.770618158280049</v>
      </c>
      <c r="I109" s="64">
        <v>15.170138671869713</v>
      </c>
      <c r="J109" s="64">
        <v>14.602681286483184</v>
      </c>
    </row>
    <row r="110" spans="1:60" hidden="1">
      <c r="A110" s="10" t="s">
        <v>292</v>
      </c>
      <c r="B110" s="10" t="s">
        <v>213</v>
      </c>
      <c r="C110" s="64">
        <v>33.982772248812189</v>
      </c>
      <c r="D110" s="64">
        <v>33.273070302262433</v>
      </c>
      <c r="E110" s="64">
        <v>32.532100455188122</v>
      </c>
      <c r="F110" s="64">
        <v>32.275055772287551</v>
      </c>
      <c r="G110" s="64">
        <v>32.760168097963557</v>
      </c>
      <c r="H110" s="64">
        <v>33.215948411797214</v>
      </c>
      <c r="I110" s="64">
        <v>33.682080496306895</v>
      </c>
      <c r="J110" s="64">
        <v>34.888609876862162</v>
      </c>
    </row>
    <row r="111" spans="1:60" hidden="1">
      <c r="A111" s="10" t="s">
        <v>293</v>
      </c>
      <c r="B111" s="10" t="s">
        <v>213</v>
      </c>
      <c r="C111" s="64">
        <v>171.35652842804751</v>
      </c>
      <c r="D111" s="64">
        <v>162.72157191400385</v>
      </c>
      <c r="E111" s="64">
        <v>154.47098044915739</v>
      </c>
      <c r="F111" s="64">
        <v>145.42045119981992</v>
      </c>
      <c r="G111" s="64">
        <v>136.74476111616218</v>
      </c>
      <c r="H111" s="64">
        <v>130.11613410183145</v>
      </c>
      <c r="I111" s="64">
        <v>125.17209703484035</v>
      </c>
      <c r="J111" s="64">
        <v>121.55069912933334</v>
      </c>
    </row>
    <row r="112" spans="1:60" hidden="1">
      <c r="A112" s="10" t="s">
        <v>309</v>
      </c>
      <c r="B112" s="10" t="s">
        <v>213</v>
      </c>
      <c r="C112" s="64">
        <v>8.903506155874279</v>
      </c>
      <c r="D112" s="64">
        <v>8.6007106868477408</v>
      </c>
      <c r="E112" s="64">
        <v>8.1117183469786553</v>
      </c>
      <c r="F112" s="64">
        <v>7.5153512700219052</v>
      </c>
      <c r="G112" s="64">
        <v>6.9661906247001166</v>
      </c>
      <c r="H112" s="64">
        <v>6.5976575343881612</v>
      </c>
      <c r="I112" s="64">
        <v>6.3733726359836886</v>
      </c>
      <c r="J112" s="64">
        <v>6.2628541460010458</v>
      </c>
    </row>
    <row r="113" spans="1:60" hidden="1">
      <c r="A113" s="10" t="s">
        <v>294</v>
      </c>
      <c r="B113" s="10" t="s">
        <v>213</v>
      </c>
      <c r="C113" s="64">
        <v>3.8537083142163744</v>
      </c>
      <c r="D113" s="64">
        <v>3.7805509739006471</v>
      </c>
      <c r="E113" s="64">
        <v>3.6719955454223605</v>
      </c>
      <c r="F113" s="64">
        <v>3.5786968026282904</v>
      </c>
      <c r="G113" s="64">
        <v>3.5866366053641969</v>
      </c>
      <c r="H113" s="64">
        <v>3.7490467521822231</v>
      </c>
      <c r="I113" s="64">
        <v>4.0031303616989318</v>
      </c>
      <c r="J113" s="64">
        <v>4.2919972290336856</v>
      </c>
    </row>
    <row r="114" spans="1:60" hidden="1">
      <c r="A114" s="10" t="s">
        <v>310</v>
      </c>
      <c r="B114" s="10" t="s">
        <v>213</v>
      </c>
      <c r="C114" s="64">
        <v>16.307714822068423</v>
      </c>
      <c r="D114" s="64">
        <v>16.704493642567456</v>
      </c>
      <c r="E114" s="64">
        <v>17.257375400978209</v>
      </c>
      <c r="F114" s="64">
        <v>17.379617593616004</v>
      </c>
      <c r="G114" s="64">
        <v>17.212971899375066</v>
      </c>
      <c r="H114" s="64">
        <v>17.403622968346411</v>
      </c>
      <c r="I114" s="64">
        <v>17.440105196944831</v>
      </c>
      <c r="J114" s="64">
        <v>17.57510288369286</v>
      </c>
    </row>
    <row r="115" spans="1:60" hidden="1">
      <c r="A115" s="10" t="s">
        <v>297</v>
      </c>
      <c r="B115" s="10" t="s">
        <v>213</v>
      </c>
      <c r="C115" s="64">
        <v>88.462132059580611</v>
      </c>
      <c r="D115" s="64">
        <v>92.019393498232844</v>
      </c>
      <c r="E115" s="64">
        <v>89.641838618626451</v>
      </c>
      <c r="F115" s="64">
        <v>86.113175795820879</v>
      </c>
      <c r="G115" s="64">
        <v>82.274164553201913</v>
      </c>
      <c r="H115" s="64">
        <v>78.534011283070527</v>
      </c>
      <c r="I115" s="64">
        <v>75.042002133559464</v>
      </c>
      <c r="J115" s="64">
        <v>71.261034578029452</v>
      </c>
    </row>
    <row r="116" spans="1:60">
      <c r="A116" s="10" t="s">
        <v>298</v>
      </c>
      <c r="B116" s="10" t="s">
        <v>213</v>
      </c>
      <c r="C116" s="64">
        <v>29.090802865147722</v>
      </c>
      <c r="D116" s="64">
        <v>29.440037871257292</v>
      </c>
      <c r="E116" s="64">
        <v>29.325799047782965</v>
      </c>
      <c r="F116" s="64">
        <v>29.030382993026013</v>
      </c>
      <c r="G116" s="64">
        <v>28.746447657194864</v>
      </c>
      <c r="H116" s="64">
        <v>28.691389803349495</v>
      </c>
      <c r="I116" s="64">
        <v>28.887810767716633</v>
      </c>
      <c r="J116" s="64">
        <v>29.400124214358939</v>
      </c>
    </row>
    <row r="117" spans="1:60" hidden="1">
      <c r="A117" s="10" t="s">
        <v>357</v>
      </c>
      <c r="B117" s="10" t="s">
        <v>213</v>
      </c>
      <c r="C117" s="64">
        <v>12.260839273589909</v>
      </c>
      <c r="D117" s="64">
        <v>12.221380851375143</v>
      </c>
      <c r="E117" s="64">
        <v>12.37531255419313</v>
      </c>
      <c r="F117" s="64">
        <v>12.290470808110619</v>
      </c>
      <c r="G117" s="64">
        <v>12.195792636746583</v>
      </c>
      <c r="H117" s="64">
        <v>12.262773555310023</v>
      </c>
      <c r="I117" s="64">
        <v>12.462304357370618</v>
      </c>
      <c r="J117" s="64">
        <v>12.858130980260308</v>
      </c>
    </row>
    <row r="118" spans="1:60" hidden="1">
      <c r="A118" s="10" t="s">
        <v>299</v>
      </c>
      <c r="B118" s="10" t="s">
        <v>213</v>
      </c>
      <c r="C118" s="64">
        <v>181.83223095043505</v>
      </c>
      <c r="D118" s="64">
        <v>180.36667219991216</v>
      </c>
      <c r="E118" s="64">
        <v>179.66757960860863</v>
      </c>
      <c r="F118" s="64">
        <v>177.12921906480045</v>
      </c>
      <c r="G118" s="64">
        <v>174.40735270154116</v>
      </c>
      <c r="H118" s="64">
        <v>171.84815576179381</v>
      </c>
      <c r="I118" s="64">
        <v>169.68273814013273</v>
      </c>
      <c r="J118" s="64">
        <v>168.34093657835001</v>
      </c>
    </row>
    <row r="119" spans="1:60" hidden="1">
      <c r="A119" s="10" t="s">
        <v>300</v>
      </c>
      <c r="B119" s="10" t="s">
        <v>213</v>
      </c>
      <c r="C119" s="64">
        <v>63.338147552344068</v>
      </c>
      <c r="D119" s="64">
        <v>61.500333167419129</v>
      </c>
      <c r="E119" s="64">
        <v>59.170227282668129</v>
      </c>
      <c r="F119" s="64">
        <v>56.577828928557878</v>
      </c>
      <c r="G119" s="64">
        <v>53.186207770927581</v>
      </c>
      <c r="H119" s="64">
        <v>49.836320237378764</v>
      </c>
      <c r="I119" s="64">
        <v>46.82080273443821</v>
      </c>
      <c r="J119" s="64">
        <v>44.000888556669771</v>
      </c>
    </row>
    <row r="120" spans="1:60" hidden="1">
      <c r="A120" s="10" t="s">
        <v>301</v>
      </c>
      <c r="B120" s="10" t="s">
        <v>213</v>
      </c>
      <c r="C120" s="64">
        <v>37.177855525106317</v>
      </c>
      <c r="D120" s="64">
        <v>37.074840222719267</v>
      </c>
      <c r="E120" s="64">
        <v>36.283738936379727</v>
      </c>
      <c r="F120" s="64">
        <v>34.954346615202688</v>
      </c>
      <c r="G120" s="64">
        <v>33.461635067931418</v>
      </c>
      <c r="H120" s="64">
        <v>31.947213380876672</v>
      </c>
      <c r="I120" s="64">
        <v>30.582575018634031</v>
      </c>
      <c r="J120" s="64">
        <v>29.027366738670743</v>
      </c>
    </row>
    <row r="121" spans="1:60" hidden="1">
      <c r="A121" s="10" t="s">
        <v>303</v>
      </c>
      <c r="B121" s="10" t="s">
        <v>213</v>
      </c>
      <c r="C121" s="64">
        <v>213.12766876889708</v>
      </c>
      <c r="D121" s="64">
        <v>215.68626582961269</v>
      </c>
      <c r="E121" s="64">
        <v>214.84931903777442</v>
      </c>
      <c r="F121" s="64">
        <v>212.68501524185942</v>
      </c>
      <c r="G121" s="64">
        <v>210.6048225264048</v>
      </c>
      <c r="H121" s="64">
        <v>210.20145270220721</v>
      </c>
      <c r="I121" s="64">
        <v>211.64048972112224</v>
      </c>
      <c r="J121" s="64">
        <v>215.39384678960815</v>
      </c>
    </row>
    <row r="122" spans="1:60" hidden="1">
      <c r="A122" s="10" t="s">
        <v>304</v>
      </c>
      <c r="B122" s="10" t="s">
        <v>213</v>
      </c>
      <c r="C122" s="64">
        <v>12.17943498372075</v>
      </c>
      <c r="D122" s="64">
        <v>12.140238540703988</v>
      </c>
      <c r="E122" s="64">
        <v>12.293148233472204</v>
      </c>
      <c r="F122" s="64">
        <v>12.208869783420003</v>
      </c>
      <c r="G122" s="64">
        <v>12.114820215786432</v>
      </c>
      <c r="H122" s="64">
        <v>12.181356423022303</v>
      </c>
      <c r="I122" s="64">
        <v>12.379562465587538</v>
      </c>
      <c r="J122" s="64">
        <v>12.772761047734773</v>
      </c>
    </row>
    <row r="123" spans="1:60" hidden="1">
      <c r="A123" s="10" t="s">
        <v>305</v>
      </c>
      <c r="B123" s="10" t="s">
        <v>213</v>
      </c>
      <c r="C123" s="64">
        <v>22.834094344204772</v>
      </c>
      <c r="D123" s="64">
        <v>23.505614621184368</v>
      </c>
      <c r="E123" s="64">
        <v>23.550026794263555</v>
      </c>
      <c r="F123" s="64">
        <v>23.157127772789302</v>
      </c>
      <c r="G123" s="64">
        <v>22.508072426765747</v>
      </c>
      <c r="H123" s="64">
        <v>21.544999578451392</v>
      </c>
      <c r="I123" s="64">
        <v>20.615922879464126</v>
      </c>
      <c r="J123" s="64">
        <v>19.948361371418457</v>
      </c>
    </row>
    <row r="124" spans="1:60" hidden="1">
      <c r="A124" s="10" t="s">
        <v>356</v>
      </c>
      <c r="B124" s="10" t="s">
        <v>213</v>
      </c>
      <c r="C124" s="64">
        <v>241.49133693882538</v>
      </c>
      <c r="D124" s="64">
        <v>240.71415791204655</v>
      </c>
      <c r="E124" s="64">
        <v>243.74601991441838</v>
      </c>
      <c r="F124" s="64">
        <v>242.07496410555359</v>
      </c>
      <c r="G124" s="64">
        <v>240.21016858287891</v>
      </c>
      <c r="H124" s="64">
        <v>241.52943484290711</v>
      </c>
      <c r="I124" s="64">
        <v>245.45942357164614</v>
      </c>
      <c r="J124" s="64">
        <v>253.25568435156774</v>
      </c>
    </row>
    <row r="125" spans="1:60" hidden="1">
      <c r="A125" s="10" t="s">
        <v>307</v>
      </c>
      <c r="B125" s="10" t="s">
        <v>213</v>
      </c>
      <c r="C125" s="64">
        <v>688.56055741178295</v>
      </c>
      <c r="D125" s="64">
        <v>637.42624249482708</v>
      </c>
      <c r="E125" s="64">
        <v>608.72535434915358</v>
      </c>
      <c r="F125" s="64">
        <v>584.01289908413901</v>
      </c>
      <c r="G125" s="64">
        <v>566.81962272222847</v>
      </c>
      <c r="H125" s="64">
        <v>553.53162439787422</v>
      </c>
      <c r="I125" s="64">
        <v>542.55381957718805</v>
      </c>
      <c r="J125" s="64">
        <v>530.12033211779533</v>
      </c>
    </row>
    <row r="126" spans="1:60" hidden="1">
      <c r="A126" s="10" t="s">
        <v>278</v>
      </c>
      <c r="B126" s="10" t="s">
        <v>150</v>
      </c>
      <c r="C126" s="64">
        <v>83.028172993386093</v>
      </c>
      <c r="D126" s="64">
        <v>85.519018183187669</v>
      </c>
      <c r="E126" s="64">
        <v>88.084588728683286</v>
      </c>
      <c r="F126" s="64">
        <v>90.727126390543788</v>
      </c>
      <c r="G126" s="64">
        <v>93.44894018226006</v>
      </c>
      <c r="H126" s="64">
        <v>96.252408387727897</v>
      </c>
      <c r="I126" s="64">
        <v>99.139980639359734</v>
      </c>
      <c r="J126" s="64">
        <v>102.11418005854051</v>
      </c>
      <c r="V126" s="18"/>
      <c r="W126" s="18"/>
      <c r="X126" s="18"/>
      <c r="Y126" s="18"/>
      <c r="AA126" s="16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6"/>
      <c r="AM126" s="14"/>
      <c r="AN126" s="14"/>
      <c r="AO126" s="14"/>
      <c r="AP126" s="14"/>
      <c r="AQ126" s="14"/>
      <c r="AR126" s="14"/>
      <c r="AS126" s="14"/>
      <c r="AT126" s="14"/>
      <c r="AU126" s="14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</row>
    <row r="127" spans="1:60" hidden="1">
      <c r="A127" s="10" t="s">
        <v>280</v>
      </c>
      <c r="B127" s="10" t="s">
        <v>150</v>
      </c>
      <c r="C127" s="64">
        <v>75.324306891502758</v>
      </c>
      <c r="D127" s="64">
        <v>77.584036098247822</v>
      </c>
      <c r="E127" s="64">
        <v>79.911557181195263</v>
      </c>
      <c r="F127" s="64">
        <v>82.308903896631108</v>
      </c>
      <c r="G127" s="64">
        <v>84.778171013530027</v>
      </c>
      <c r="H127" s="64">
        <v>87.321516143935966</v>
      </c>
      <c r="I127" s="64">
        <v>89.941161628254036</v>
      </c>
      <c r="J127" s="64">
        <v>92.639396477101641</v>
      </c>
      <c r="V127" s="18"/>
      <c r="W127" s="18"/>
      <c r="X127" s="18"/>
      <c r="Y127" s="18"/>
      <c r="AA127" s="16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"/>
      <c r="AM127" s="14"/>
      <c r="AN127" s="14"/>
      <c r="AO127" s="14"/>
      <c r="AP127" s="14"/>
      <c r="AQ127" s="14"/>
      <c r="AR127" s="14"/>
      <c r="AS127" s="14"/>
      <c r="AT127" s="14"/>
      <c r="AU127" s="14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</row>
    <row r="128" spans="1:60" hidden="1">
      <c r="A128" s="10" t="s">
        <v>281</v>
      </c>
      <c r="B128" s="10" t="s">
        <v>150</v>
      </c>
      <c r="C128" s="64">
        <v>21.725801020350467</v>
      </c>
      <c r="D128" s="64">
        <v>22.377575050960978</v>
      </c>
      <c r="E128" s="64">
        <v>23.048902302489807</v>
      </c>
      <c r="F128" s="64">
        <v>23.740369371564501</v>
      </c>
      <c r="G128" s="64">
        <v>24.452580452711427</v>
      </c>
      <c r="H128" s="64">
        <v>25.186157866292781</v>
      </c>
      <c r="I128" s="64">
        <v>25.941742602281565</v>
      </c>
      <c r="J128" s="64">
        <v>26.719994880350015</v>
      </c>
      <c r="V128" s="18"/>
      <c r="W128" s="18"/>
      <c r="X128" s="18"/>
      <c r="Y128" s="18"/>
      <c r="AA128" s="16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6"/>
      <c r="AM128" s="14"/>
      <c r="AN128" s="14"/>
      <c r="AO128" s="14"/>
      <c r="AP128" s="14"/>
      <c r="AQ128" s="14"/>
      <c r="AR128" s="14"/>
      <c r="AS128" s="14"/>
      <c r="AT128" s="14"/>
      <c r="AU128" s="14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</row>
    <row r="129" spans="1:60" hidden="1">
      <c r="A129" s="10" t="s">
        <v>282</v>
      </c>
      <c r="B129" s="10" t="s">
        <v>150</v>
      </c>
      <c r="C129" s="64">
        <v>36.061401041652793</v>
      </c>
      <c r="D129" s="64">
        <v>37.143243072902372</v>
      </c>
      <c r="E129" s="64">
        <v>38.257540365089454</v>
      </c>
      <c r="F129" s="64">
        <v>39.405266576042138</v>
      </c>
      <c r="G129" s="64">
        <v>40.587424573323389</v>
      </c>
      <c r="H129" s="64">
        <v>41.805047310523108</v>
      </c>
      <c r="I129" s="64">
        <v>43.059198729838798</v>
      </c>
      <c r="J129" s="64">
        <v>44.350974691733946</v>
      </c>
      <c r="AA129" s="17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"/>
      <c r="AM129" s="14"/>
      <c r="AN129" s="14"/>
      <c r="AO129" s="14"/>
      <c r="AP129" s="14"/>
      <c r="AQ129" s="14"/>
      <c r="AR129" s="14"/>
      <c r="AS129" s="14"/>
      <c r="AT129" s="14"/>
      <c r="AU129" s="14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</row>
    <row r="130" spans="1:60" hidden="1">
      <c r="A130" s="10" t="s">
        <v>283</v>
      </c>
      <c r="B130" s="10" t="s">
        <v>150</v>
      </c>
      <c r="C130" s="64">
        <v>65.874460014046434</v>
      </c>
      <c r="D130" s="64">
        <v>67.850693814467817</v>
      </c>
      <c r="E130" s="64">
        <v>69.886214628901854</v>
      </c>
      <c r="F130" s="64">
        <v>71.982801067768889</v>
      </c>
      <c r="G130" s="64">
        <v>74.142285099801953</v>
      </c>
      <c r="H130" s="64">
        <v>76.366553652796028</v>
      </c>
      <c r="I130" s="64">
        <v>78.657550262379885</v>
      </c>
      <c r="J130" s="64">
        <v>81.017276770251286</v>
      </c>
    </row>
    <row r="131" spans="1:60" hidden="1">
      <c r="A131" s="10" t="s">
        <v>284</v>
      </c>
      <c r="B131" s="10" t="s">
        <v>150</v>
      </c>
      <c r="C131" s="64">
        <v>686.14193430567104</v>
      </c>
      <c r="D131" s="64">
        <v>706.72619233484102</v>
      </c>
      <c r="E131" s="64">
        <v>727.92797810488605</v>
      </c>
      <c r="F131" s="64">
        <v>749.76581744803286</v>
      </c>
      <c r="G131" s="64">
        <v>772.25879197147344</v>
      </c>
      <c r="H131" s="64">
        <v>795.42655573061813</v>
      </c>
      <c r="I131" s="64">
        <v>819.28935240253657</v>
      </c>
      <c r="J131" s="64">
        <v>843.86803297461256</v>
      </c>
    </row>
    <row r="132" spans="1:60" hidden="1">
      <c r="A132" s="10" t="s">
        <v>285</v>
      </c>
      <c r="B132" s="10" t="s">
        <v>150</v>
      </c>
      <c r="C132" s="64">
        <v>25.331717791149295</v>
      </c>
      <c r="D132" s="64">
        <v>26.091669324883771</v>
      </c>
      <c r="E132" s="64">
        <v>26.874419404630284</v>
      </c>
      <c r="F132" s="64">
        <v>27.680651986769195</v>
      </c>
      <c r="G132" s="64">
        <v>28.511071546372264</v>
      </c>
      <c r="H132" s="64">
        <v>29.366403692763448</v>
      </c>
      <c r="I132" s="64">
        <v>30.24739580354635</v>
      </c>
      <c r="J132" s="64">
        <v>31.154817677652737</v>
      </c>
    </row>
    <row r="133" spans="1:60" hidden="1">
      <c r="A133" s="10" t="s">
        <v>308</v>
      </c>
      <c r="B133" s="10" t="s">
        <v>150</v>
      </c>
      <c r="C133" s="64">
        <v>5.9382170258028735</v>
      </c>
      <c r="D133" s="64">
        <v>6.1163635365769595</v>
      </c>
      <c r="E133" s="64">
        <v>6.299854442674266</v>
      </c>
      <c r="F133" s="64">
        <v>6.4888500759544954</v>
      </c>
      <c r="G133" s="64">
        <v>6.6835155782331279</v>
      </c>
      <c r="H133" s="64">
        <v>6.8840210455801261</v>
      </c>
      <c r="I133" s="64">
        <v>7.09054167694753</v>
      </c>
      <c r="J133" s="64">
        <v>7.3032579272559541</v>
      </c>
    </row>
    <row r="134" spans="1:60" hidden="1">
      <c r="A134" s="10" t="s">
        <v>286</v>
      </c>
      <c r="B134" s="10" t="s">
        <v>150</v>
      </c>
      <c r="C134" s="64">
        <v>237.69311941417888</v>
      </c>
      <c r="D134" s="64">
        <v>244.82391299660418</v>
      </c>
      <c r="E134" s="64">
        <v>252.16863038650231</v>
      </c>
      <c r="F134" s="64">
        <v>259.73368929809743</v>
      </c>
      <c r="G134" s="64">
        <v>267.52569997704023</v>
      </c>
      <c r="H134" s="64">
        <v>275.5514709763516</v>
      </c>
      <c r="I134" s="64">
        <v>283.81801510564213</v>
      </c>
      <c r="J134" s="64">
        <v>292.33255555881135</v>
      </c>
    </row>
    <row r="135" spans="1:60" hidden="1">
      <c r="A135" s="10" t="s">
        <v>287</v>
      </c>
      <c r="B135" s="10" t="s">
        <v>150</v>
      </c>
      <c r="C135" s="64">
        <v>40.861789160445767</v>
      </c>
      <c r="D135" s="64">
        <v>42.087642835259125</v>
      </c>
      <c r="E135" s="64">
        <v>43.350272120316902</v>
      </c>
      <c r="F135" s="64">
        <v>44.650780283926402</v>
      </c>
      <c r="G135" s="64">
        <v>45.990303692444186</v>
      </c>
      <c r="H135" s="64">
        <v>47.370012803217541</v>
      </c>
      <c r="I135" s="64">
        <v>48.791113187314053</v>
      </c>
      <c r="J135" s="64">
        <v>50.254846582933475</v>
      </c>
    </row>
    <row r="136" spans="1:60" hidden="1">
      <c r="A136" s="10" t="s">
        <v>288</v>
      </c>
      <c r="B136" s="10" t="s">
        <v>150</v>
      </c>
      <c r="C136" s="64">
        <v>355.24921559293449</v>
      </c>
      <c r="D136" s="64">
        <v>365.90669206072243</v>
      </c>
      <c r="E136" s="64">
        <v>376.883892822544</v>
      </c>
      <c r="F136" s="64">
        <v>388.19040960722037</v>
      </c>
      <c r="G136" s="64">
        <v>399.8361218954368</v>
      </c>
      <c r="H136" s="64">
        <v>411.8312055523001</v>
      </c>
      <c r="I136" s="64">
        <v>424.18614171886907</v>
      </c>
      <c r="J136" s="64">
        <v>436.91172597043504</v>
      </c>
    </row>
    <row r="137" spans="1:60" hidden="1">
      <c r="A137" s="10" t="s">
        <v>289</v>
      </c>
      <c r="B137" s="10" t="s">
        <v>150</v>
      </c>
      <c r="C137" s="64">
        <v>21.00265111818031</v>
      </c>
      <c r="D137" s="64">
        <v>21.632730651725716</v>
      </c>
      <c r="E137" s="64">
        <v>22.281712571277488</v>
      </c>
      <c r="F137" s="64">
        <v>22.95016394841581</v>
      </c>
      <c r="G137" s="64">
        <v>23.638668866868272</v>
      </c>
      <c r="H137" s="64">
        <v>24.347828932874332</v>
      </c>
      <c r="I137" s="64">
        <v>25.078263800860558</v>
      </c>
      <c r="J137" s="64">
        <v>25.83061171488637</v>
      </c>
    </row>
    <row r="138" spans="1:60" hidden="1">
      <c r="A138" s="10" t="s">
        <v>290</v>
      </c>
      <c r="B138" s="10" t="s">
        <v>150</v>
      </c>
      <c r="C138" s="64">
        <v>15.82302381238037</v>
      </c>
      <c r="D138" s="64">
        <v>16.297714526751779</v>
      </c>
      <c r="E138" s="64">
        <v>16.786645962554331</v>
      </c>
      <c r="F138" s="64">
        <v>17.290245341430964</v>
      </c>
      <c r="G138" s="64">
        <v>17.808952701673885</v>
      </c>
      <c r="H138" s="64">
        <v>18.343221282724112</v>
      </c>
      <c r="I138" s="64">
        <v>18.893517921205831</v>
      </c>
      <c r="J138" s="64">
        <v>19.460323458842002</v>
      </c>
    </row>
    <row r="139" spans="1:60" hidden="1">
      <c r="A139" s="10" t="s">
        <v>291</v>
      </c>
      <c r="B139" s="10" t="s">
        <v>150</v>
      </c>
      <c r="C139" s="64">
        <v>44.18566602088687</v>
      </c>
      <c r="D139" s="64">
        <v>45.511236001513467</v>
      </c>
      <c r="E139" s="64">
        <v>46.87657308155886</v>
      </c>
      <c r="F139" s="64">
        <v>48.282870274005631</v>
      </c>
      <c r="G139" s="64">
        <v>49.731356382225783</v>
      </c>
      <c r="H139" s="64">
        <v>51.223297073692578</v>
      </c>
      <c r="I139" s="64">
        <v>52.759995985903359</v>
      </c>
      <c r="J139" s="64">
        <v>54.342795865480454</v>
      </c>
    </row>
    <row r="140" spans="1:60" hidden="1">
      <c r="A140" s="10" t="s">
        <v>292</v>
      </c>
      <c r="B140" s="10" t="s">
        <v>150</v>
      </c>
      <c r="C140" s="64">
        <v>11.567135473822798</v>
      </c>
      <c r="D140" s="64">
        <v>11.91414953803748</v>
      </c>
      <c r="E140" s="64">
        <v>12.271574024178603</v>
      </c>
      <c r="F140" s="64">
        <v>12.63972124490396</v>
      </c>
      <c r="G140" s="64">
        <v>13.018912882251076</v>
      </c>
      <c r="H140" s="64">
        <v>13.409480268718612</v>
      </c>
      <c r="I140" s="64">
        <v>13.81176467678017</v>
      </c>
      <c r="J140" s="64">
        <v>14.226117617083574</v>
      </c>
    </row>
    <row r="141" spans="1:60" hidden="1">
      <c r="A141" s="10" t="s">
        <v>293</v>
      </c>
      <c r="B141" s="10" t="s">
        <v>150</v>
      </c>
      <c r="C141" s="64">
        <v>189.26021524649164</v>
      </c>
      <c r="D141" s="64">
        <v>194.93802170388636</v>
      </c>
      <c r="E141" s="64">
        <v>200.78616235500294</v>
      </c>
      <c r="F141" s="64">
        <v>206.80974722565304</v>
      </c>
      <c r="G141" s="64">
        <v>213.0140396424226</v>
      </c>
      <c r="H141" s="64">
        <v>219.40446083169542</v>
      </c>
      <c r="I141" s="64">
        <v>225.98659465664625</v>
      </c>
      <c r="J141" s="64">
        <v>232.76619249634561</v>
      </c>
    </row>
    <row r="142" spans="1:60" hidden="1">
      <c r="A142" s="10" t="s">
        <v>309</v>
      </c>
      <c r="B142" s="10" t="s">
        <v>150</v>
      </c>
      <c r="C142" s="64">
        <v>26.700468024594464</v>
      </c>
      <c r="D142" s="64">
        <v>27.501482065332294</v>
      </c>
      <c r="E142" s="64">
        <v>28.326526527292263</v>
      </c>
      <c r="F142" s="64">
        <v>29.176322323111034</v>
      </c>
      <c r="G142" s="64">
        <v>30.051611992804357</v>
      </c>
      <c r="H142" s="64">
        <v>30.953160352588501</v>
      </c>
      <c r="I142" s="64">
        <v>31.881755163166158</v>
      </c>
      <c r="J142" s="64">
        <v>32.838207818061136</v>
      </c>
    </row>
    <row r="143" spans="1:60" hidden="1">
      <c r="A143" s="10" t="s">
        <v>294</v>
      </c>
      <c r="B143" s="10" t="s">
        <v>150</v>
      </c>
      <c r="C143" s="64">
        <v>2.896001976090858</v>
      </c>
      <c r="D143" s="64">
        <v>2.9828820353735828</v>
      </c>
      <c r="E143" s="64">
        <v>3.0723684964347902</v>
      </c>
      <c r="F143" s="64">
        <v>3.164539551327834</v>
      </c>
      <c r="G143" s="64">
        <v>3.2594757378676684</v>
      </c>
      <c r="H143" s="64">
        <v>3.3572600100036998</v>
      </c>
      <c r="I143" s="64">
        <v>3.4579778103038104</v>
      </c>
      <c r="J143" s="64">
        <v>3.5617171446129241</v>
      </c>
    </row>
    <row r="144" spans="1:60" hidden="1">
      <c r="A144" s="10" t="s">
        <v>310</v>
      </c>
      <c r="B144" s="10" t="s">
        <v>150</v>
      </c>
      <c r="C144" s="64">
        <v>26.134645065833752</v>
      </c>
      <c r="D144" s="64">
        <v>26.918684417808759</v>
      </c>
      <c r="E144" s="64">
        <v>27.72624495034302</v>
      </c>
      <c r="F144" s="64">
        <v>28.558032298853316</v>
      </c>
      <c r="G144" s="64">
        <v>29.414773267818898</v>
      </c>
      <c r="H144" s="64">
        <v>30.297216465853488</v>
      </c>
      <c r="I144" s="64">
        <v>31.206132959829084</v>
      </c>
      <c r="J144" s="64">
        <v>32.142316948623957</v>
      </c>
    </row>
    <row r="145" spans="1:60" hidden="1">
      <c r="A145" s="10" t="s">
        <v>297</v>
      </c>
      <c r="B145" s="10" t="s">
        <v>150</v>
      </c>
      <c r="C145" s="64">
        <v>121.80412228391458</v>
      </c>
      <c r="D145" s="64">
        <v>125.45824595243199</v>
      </c>
      <c r="E145" s="64">
        <v>129.22199333100494</v>
      </c>
      <c r="F145" s="64">
        <v>133.09865313093511</v>
      </c>
      <c r="G145" s="64">
        <v>137.09161272486315</v>
      </c>
      <c r="H145" s="64">
        <v>141.2043611066091</v>
      </c>
      <c r="I145" s="64">
        <v>145.44049193980737</v>
      </c>
      <c r="J145" s="64">
        <v>149.80370669800155</v>
      </c>
    </row>
    <row r="146" spans="1:60">
      <c r="A146" s="10" t="s">
        <v>298</v>
      </c>
      <c r="B146" s="10" t="s">
        <v>150</v>
      </c>
      <c r="C146" s="64">
        <v>31.691263677603402</v>
      </c>
      <c r="D146" s="64">
        <v>32.642001587931496</v>
      </c>
      <c r="E146" s="64">
        <v>33.621261635569432</v>
      </c>
      <c r="F146" s="64">
        <v>34.629899484636525</v>
      </c>
      <c r="G146" s="64">
        <v>35.668796469175604</v>
      </c>
      <c r="H146" s="64">
        <v>36.738860363250886</v>
      </c>
      <c r="I146" s="64">
        <v>37.841026174148411</v>
      </c>
      <c r="J146" s="64">
        <v>38.976256959372854</v>
      </c>
    </row>
    <row r="147" spans="1:60" hidden="1">
      <c r="A147" s="10" t="s">
        <v>357</v>
      </c>
      <c r="B147" s="10" t="s">
        <v>150</v>
      </c>
      <c r="C147" s="64">
        <v>59.049774863579565</v>
      </c>
      <c r="D147" s="64">
        <v>60.821268109486937</v>
      </c>
      <c r="E147" s="64">
        <v>62.645906152771545</v>
      </c>
      <c r="F147" s="64">
        <v>64.525283337354693</v>
      </c>
      <c r="G147" s="64">
        <v>66.461041837475307</v>
      </c>
      <c r="H147" s="64">
        <v>68.454873092599584</v>
      </c>
      <c r="I147" s="64">
        <v>70.508519285377574</v>
      </c>
      <c r="J147" s="64">
        <v>72.623774863938877</v>
      </c>
    </row>
    <row r="148" spans="1:60" hidden="1">
      <c r="A148" s="10" t="s">
        <v>299</v>
      </c>
      <c r="B148" s="10" t="s">
        <v>150</v>
      </c>
      <c r="C148" s="64">
        <v>257.31379319667479</v>
      </c>
      <c r="D148" s="64">
        <v>265.03320699257495</v>
      </c>
      <c r="E148" s="64">
        <v>272.98420320235221</v>
      </c>
      <c r="F148" s="64">
        <v>281.17372929842276</v>
      </c>
      <c r="G148" s="64">
        <v>289.60894117737536</v>
      </c>
      <c r="H148" s="64">
        <v>298.2972094126967</v>
      </c>
      <c r="I148" s="64">
        <v>307.24612569507758</v>
      </c>
      <c r="J148" s="64">
        <v>316.4635094659298</v>
      </c>
    </row>
    <row r="149" spans="1:60" hidden="1">
      <c r="A149" s="10" t="s">
        <v>300</v>
      </c>
      <c r="B149" s="10" t="s">
        <v>150</v>
      </c>
      <c r="C149" s="64">
        <v>21.063605007301597</v>
      </c>
      <c r="D149" s="64">
        <v>21.69551315752064</v>
      </c>
      <c r="E149" s="64">
        <v>22.346378552246261</v>
      </c>
      <c r="F149" s="64">
        <v>23.01676990881365</v>
      </c>
      <c r="G149" s="64">
        <v>23.707273006078051</v>
      </c>
      <c r="H149" s="64">
        <v>24.418491196260408</v>
      </c>
      <c r="I149" s="64">
        <v>25.151045932148218</v>
      </c>
      <c r="J149" s="64">
        <v>25.905577310112665</v>
      </c>
    </row>
    <row r="150" spans="1:60" hidden="1">
      <c r="A150" s="10" t="s">
        <v>301</v>
      </c>
      <c r="B150" s="10" t="s">
        <v>150</v>
      </c>
      <c r="C150" s="64">
        <v>49.147160452318325</v>
      </c>
      <c r="D150" s="64">
        <v>50.621575265887863</v>
      </c>
      <c r="E150" s="64">
        <v>52.140222523864502</v>
      </c>
      <c r="F150" s="64">
        <v>53.704429199580431</v>
      </c>
      <c r="G150" s="64">
        <v>55.315562075567833</v>
      </c>
      <c r="H150" s="64">
        <v>56.975028937834892</v>
      </c>
      <c r="I150" s="64">
        <v>58.684279805969943</v>
      </c>
      <c r="J150" s="64">
        <v>60.444808200149033</v>
      </c>
    </row>
    <row r="151" spans="1:60" hidden="1">
      <c r="A151" s="10" t="s">
        <v>303</v>
      </c>
      <c r="B151" s="10" t="s">
        <v>150</v>
      </c>
      <c r="C151" s="64">
        <v>80.77845345528587</v>
      </c>
      <c r="D151" s="64">
        <v>83.201807058944425</v>
      </c>
      <c r="E151" s="64">
        <v>85.697861270712764</v>
      </c>
      <c r="F151" s="64">
        <v>88.26879710883415</v>
      </c>
      <c r="G151" s="64">
        <v>90.916861022099155</v>
      </c>
      <c r="H151" s="64">
        <v>93.644366852762175</v>
      </c>
      <c r="I151" s="64">
        <v>96.453697858345024</v>
      </c>
      <c r="J151" s="64">
        <v>99.347308794095355</v>
      </c>
    </row>
    <row r="152" spans="1:60" hidden="1">
      <c r="A152" s="10" t="s">
        <v>304</v>
      </c>
      <c r="B152" s="10" t="s">
        <v>150</v>
      </c>
      <c r="C152" s="64">
        <v>15.487942440391604</v>
      </c>
      <c r="D152" s="64">
        <v>15.95258071360335</v>
      </c>
      <c r="E152" s="64">
        <v>16.431158135011451</v>
      </c>
      <c r="F152" s="64">
        <v>16.924092879061796</v>
      </c>
      <c r="G152" s="64">
        <v>17.431815665433643</v>
      </c>
      <c r="H152" s="64">
        <v>17.954770135396664</v>
      </c>
      <c r="I152" s="64">
        <v>18.493413239458562</v>
      </c>
      <c r="J152" s="64">
        <v>19.048215636642311</v>
      </c>
    </row>
    <row r="153" spans="1:60" hidden="1">
      <c r="A153" s="10" t="s">
        <v>305</v>
      </c>
      <c r="B153" s="10" t="s">
        <v>150</v>
      </c>
      <c r="C153" s="64">
        <v>32.288247581870017</v>
      </c>
      <c r="D153" s="64">
        <v>33.256895009326108</v>
      </c>
      <c r="E153" s="64">
        <v>34.254601859605899</v>
      </c>
      <c r="F153" s="64">
        <v>35.282239915394072</v>
      </c>
      <c r="G153" s="64">
        <v>36.340707112855881</v>
      </c>
      <c r="H153" s="64">
        <v>37.43092832624157</v>
      </c>
      <c r="I153" s="64">
        <v>38.553856176028816</v>
      </c>
      <c r="J153" s="64">
        <v>39.710471861309678</v>
      </c>
    </row>
    <row r="154" spans="1:60" hidden="1">
      <c r="A154" s="10" t="s">
        <v>356</v>
      </c>
      <c r="B154" s="10" t="s">
        <v>150</v>
      </c>
      <c r="C154" s="64">
        <v>204.12599059519508</v>
      </c>
      <c r="D154" s="64">
        <v>210.24977031305087</v>
      </c>
      <c r="E154" s="64">
        <v>216.55726342244242</v>
      </c>
      <c r="F154" s="64">
        <v>223.05398132511573</v>
      </c>
      <c r="G154" s="64">
        <v>229.74560076486907</v>
      </c>
      <c r="H154" s="64">
        <v>236.63796878781528</v>
      </c>
      <c r="I154" s="64">
        <v>243.73710785144976</v>
      </c>
      <c r="J154" s="64">
        <v>251.04922108699324</v>
      </c>
    </row>
    <row r="155" spans="1:60" hidden="1">
      <c r="A155" s="10" t="s">
        <v>307</v>
      </c>
      <c r="B155" s="10" t="s">
        <v>150</v>
      </c>
      <c r="C155" s="64">
        <v>269.77000000000004</v>
      </c>
      <c r="D155" s="64">
        <v>277.86309999999992</v>
      </c>
      <c r="E155" s="64">
        <v>286.19899299999992</v>
      </c>
      <c r="F155" s="64">
        <v>294.78496278999995</v>
      </c>
      <c r="G155" s="64">
        <v>303.6285116736999</v>
      </c>
      <c r="H155" s="64">
        <v>312.73736702391108</v>
      </c>
      <c r="I155" s="64">
        <v>322.11948803462838</v>
      </c>
      <c r="J155" s="64">
        <v>331.78307267566714</v>
      </c>
    </row>
    <row r="156" spans="1:60" hidden="1">
      <c r="A156" s="10" t="s">
        <v>278</v>
      </c>
      <c r="B156" s="10" t="s">
        <v>151</v>
      </c>
      <c r="C156" s="64">
        <v>109.20249628906583</v>
      </c>
      <c r="D156" s="64">
        <v>108.98409129648768</v>
      </c>
      <c r="E156" s="64">
        <v>108.76612311389475</v>
      </c>
      <c r="F156" s="64">
        <v>108.22229249832529</v>
      </c>
      <c r="G156" s="64">
        <v>107.68118103583363</v>
      </c>
      <c r="H156" s="64">
        <v>107.1427751306545</v>
      </c>
      <c r="I156" s="64">
        <v>106.60706125500114</v>
      </c>
      <c r="J156" s="64">
        <v>106.07402594872622</v>
      </c>
      <c r="V156" s="18"/>
      <c r="W156" s="18"/>
      <c r="X156" s="18"/>
      <c r="Y156" s="18"/>
      <c r="AA156" s="16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6"/>
      <c r="AM156" s="14"/>
      <c r="AN156" s="14"/>
      <c r="AO156" s="14"/>
      <c r="AP156" s="14"/>
      <c r="AQ156" s="14"/>
      <c r="AR156" s="14"/>
      <c r="AS156" s="14"/>
      <c r="AT156" s="14"/>
      <c r="AU156" s="14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</row>
    <row r="157" spans="1:60" hidden="1">
      <c r="A157" s="10" t="s">
        <v>280</v>
      </c>
      <c r="B157" s="10" t="s">
        <v>151</v>
      </c>
      <c r="C157" s="64">
        <v>132.94869732877947</v>
      </c>
      <c r="D157" s="64">
        <v>132.68279993412187</v>
      </c>
      <c r="E157" s="64">
        <v>132.4174343342537</v>
      </c>
      <c r="F157" s="64">
        <v>131.75534716258241</v>
      </c>
      <c r="G157" s="64">
        <v>131.09657042676946</v>
      </c>
      <c r="H157" s="64">
        <v>130.44108757463562</v>
      </c>
      <c r="I157" s="64">
        <v>129.78888213676237</v>
      </c>
      <c r="J157" s="64">
        <v>129.13993772607867</v>
      </c>
      <c r="V157" s="18"/>
      <c r="W157" s="18"/>
      <c r="X157" s="18"/>
      <c r="Y157" s="18"/>
      <c r="AA157" s="16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"/>
      <c r="AM157" s="14"/>
      <c r="AN157" s="14"/>
      <c r="AO157" s="14"/>
      <c r="AP157" s="14"/>
      <c r="AQ157" s="14"/>
      <c r="AR157" s="14"/>
      <c r="AS157" s="14"/>
      <c r="AT157" s="14"/>
      <c r="AU157" s="14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</row>
    <row r="158" spans="1:60" hidden="1">
      <c r="A158" s="10" t="s">
        <v>281</v>
      </c>
      <c r="B158" s="10" t="s">
        <v>151</v>
      </c>
      <c r="C158" s="64">
        <v>69.695256975896953</v>
      </c>
      <c r="D158" s="64">
        <v>69.555866461945129</v>
      </c>
      <c r="E158" s="64">
        <v>69.416754729021278</v>
      </c>
      <c r="F158" s="64">
        <v>69.069670955376182</v>
      </c>
      <c r="G158" s="64">
        <v>68.72432260059928</v>
      </c>
      <c r="H158" s="64">
        <v>68.380700987596285</v>
      </c>
      <c r="I158" s="64">
        <v>68.038797482658268</v>
      </c>
      <c r="J158" s="64">
        <v>67.698603495245038</v>
      </c>
      <c r="V158" s="18"/>
      <c r="W158" s="18"/>
      <c r="X158" s="18"/>
      <c r="Y158" s="18"/>
      <c r="AA158" s="16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6"/>
      <c r="AM158" s="14"/>
      <c r="AN158" s="14"/>
      <c r="AO158" s="14"/>
      <c r="AP158" s="14"/>
      <c r="AQ158" s="14"/>
      <c r="AR158" s="14"/>
      <c r="AS158" s="14"/>
      <c r="AT158" s="14"/>
      <c r="AU158" s="14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</row>
    <row r="159" spans="1:60" hidden="1">
      <c r="A159" s="10" t="s">
        <v>282</v>
      </c>
      <c r="B159" s="10" t="s">
        <v>151</v>
      </c>
      <c r="C159" s="64">
        <v>124.92200000000001</v>
      </c>
      <c r="D159" s="64">
        <v>124.67215599999997</v>
      </c>
      <c r="E159" s="64">
        <v>124.42281168800002</v>
      </c>
      <c r="F159" s="64">
        <v>123.80069762956003</v>
      </c>
      <c r="G159" s="64">
        <v>123.18169414141219</v>
      </c>
      <c r="H159" s="64">
        <v>122.56578567070517</v>
      </c>
      <c r="I159" s="64">
        <v>121.95295674235155</v>
      </c>
      <c r="J159" s="64">
        <v>121.34319195863988</v>
      </c>
      <c r="AA159" s="17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"/>
      <c r="AM159" s="14"/>
      <c r="AN159" s="14"/>
      <c r="AO159" s="14"/>
      <c r="AP159" s="14"/>
      <c r="AQ159" s="14"/>
      <c r="AR159" s="14"/>
      <c r="AS159" s="14"/>
      <c r="AT159" s="14"/>
      <c r="AU159" s="14"/>
    </row>
    <row r="160" spans="1:60" hidden="1">
      <c r="A160" s="10" t="s">
        <v>283</v>
      </c>
      <c r="B160" s="10" t="s">
        <v>151</v>
      </c>
      <c r="C160" s="64">
        <v>117.04740000000001</v>
      </c>
      <c r="D160" s="64">
        <v>116.81330519999997</v>
      </c>
      <c r="E160" s="64">
        <v>116.57967858960002</v>
      </c>
      <c r="F160" s="64">
        <v>115.99678019665201</v>
      </c>
      <c r="G160" s="64">
        <v>115.41679629566873</v>
      </c>
      <c r="H160" s="64">
        <v>114.83971231419042</v>
      </c>
      <c r="I160" s="64">
        <v>114.2655137526194</v>
      </c>
      <c r="J160" s="64">
        <v>113.69418618385642</v>
      </c>
    </row>
    <row r="161" spans="1:10" hidden="1">
      <c r="A161" s="10" t="s">
        <v>284</v>
      </c>
      <c r="B161" s="10" t="s">
        <v>151</v>
      </c>
      <c r="C161" s="64">
        <v>1098.4000000000001</v>
      </c>
      <c r="D161" s="64">
        <v>1096.2031999999999</v>
      </c>
      <c r="E161" s="64">
        <v>1094.0107936000004</v>
      </c>
      <c r="F161" s="64">
        <v>1088.5407396320004</v>
      </c>
      <c r="G161" s="64">
        <v>1083.09803593384</v>
      </c>
      <c r="H161" s="64">
        <v>1077.6825457541711</v>
      </c>
      <c r="I161" s="64">
        <v>1072.2941330253998</v>
      </c>
      <c r="J161" s="64">
        <v>1066.9326623602738</v>
      </c>
    </row>
    <row r="162" spans="1:10" hidden="1">
      <c r="A162" s="10" t="s">
        <v>285</v>
      </c>
      <c r="B162" s="10" t="s">
        <v>151</v>
      </c>
      <c r="C162" s="64">
        <v>74.388000000000005</v>
      </c>
      <c r="D162" s="64">
        <v>74.239223999999993</v>
      </c>
      <c r="E162" s="64">
        <v>74.090745552000016</v>
      </c>
      <c r="F162" s="64">
        <v>73.720291824240022</v>
      </c>
      <c r="G162" s="64">
        <v>73.351690365118813</v>
      </c>
      <c r="H162" s="64">
        <v>72.984931913293224</v>
      </c>
      <c r="I162" s="64">
        <v>72.620007253726712</v>
      </c>
      <c r="J162" s="64">
        <v>72.256907217458149</v>
      </c>
    </row>
    <row r="163" spans="1:10" hidden="1">
      <c r="A163" s="10" t="s">
        <v>308</v>
      </c>
      <c r="B163" s="10" t="s">
        <v>151</v>
      </c>
      <c r="C163" s="64">
        <v>16.681118722661719</v>
      </c>
      <c r="D163" s="64">
        <v>16.647756485216391</v>
      </c>
      <c r="E163" s="64">
        <v>16.614460972245968</v>
      </c>
      <c r="F163" s="64">
        <v>16.531388667384736</v>
      </c>
      <c r="G163" s="64">
        <v>16.448731724047807</v>
      </c>
      <c r="H163" s="64">
        <v>16.366488065427575</v>
      </c>
      <c r="I163" s="64">
        <v>16.284655625100427</v>
      </c>
      <c r="J163" s="64">
        <v>16.203232346974939</v>
      </c>
    </row>
    <row r="164" spans="1:10" hidden="1">
      <c r="A164" s="10" t="s">
        <v>286</v>
      </c>
      <c r="B164" s="10" t="s">
        <v>151</v>
      </c>
      <c r="C164" s="64">
        <v>409.89299999999997</v>
      </c>
      <c r="D164" s="64">
        <v>409.07321399999995</v>
      </c>
      <c r="E164" s="64">
        <v>408.25506757200009</v>
      </c>
      <c r="F164" s="64">
        <v>406.21379223414004</v>
      </c>
      <c r="G164" s="64">
        <v>404.18272327296921</v>
      </c>
      <c r="H164" s="64">
        <v>402.16180965660448</v>
      </c>
      <c r="I164" s="64">
        <v>400.15100060832117</v>
      </c>
      <c r="J164" s="64">
        <v>398.15024560527991</v>
      </c>
    </row>
    <row r="165" spans="1:10" hidden="1">
      <c r="A165" s="10" t="s">
        <v>287</v>
      </c>
      <c r="B165" s="10" t="s">
        <v>151</v>
      </c>
      <c r="C165" s="64">
        <v>79.989721297836937</v>
      </c>
      <c r="D165" s="64">
        <v>79.829741855241238</v>
      </c>
      <c r="E165" s="64">
        <v>79.67008237153081</v>
      </c>
      <c r="F165" s="64">
        <v>79.271731959673147</v>
      </c>
      <c r="G165" s="64">
        <v>78.875373299874767</v>
      </c>
      <c r="H165" s="64">
        <v>78.48099643337541</v>
      </c>
      <c r="I165" s="64">
        <v>78.088591451208501</v>
      </c>
      <c r="J165" s="64">
        <v>77.698148493952516</v>
      </c>
    </row>
    <row r="166" spans="1:10" hidden="1">
      <c r="A166" s="10" t="s">
        <v>288</v>
      </c>
      <c r="B166" s="10" t="s">
        <v>151</v>
      </c>
      <c r="C166" s="64">
        <v>922.5434133904497</v>
      </c>
      <c r="D166" s="64">
        <v>920.6983265636685</v>
      </c>
      <c r="E166" s="64">
        <v>918.85692991054157</v>
      </c>
      <c r="F166" s="64">
        <v>914.26264526098896</v>
      </c>
      <c r="G166" s="64">
        <v>909.6913320346838</v>
      </c>
      <c r="H166" s="64">
        <v>905.1428753745106</v>
      </c>
      <c r="I166" s="64">
        <v>900.61716099763748</v>
      </c>
      <c r="J166" s="64">
        <v>896.11407519265015</v>
      </c>
    </row>
    <row r="167" spans="1:10" hidden="1">
      <c r="A167" s="10" t="s">
        <v>289</v>
      </c>
      <c r="B167" s="10" t="s">
        <v>151</v>
      </c>
      <c r="C167" s="64">
        <v>126.73666556178799</v>
      </c>
      <c r="D167" s="64">
        <v>126.4831922306644</v>
      </c>
      <c r="E167" s="64">
        <v>126.2302258462031</v>
      </c>
      <c r="F167" s="64">
        <v>125.59907471697211</v>
      </c>
      <c r="G167" s="64">
        <v>124.9710793433872</v>
      </c>
      <c r="H167" s="64">
        <v>124.34622394667031</v>
      </c>
      <c r="I167" s="64">
        <v>123.72449282693687</v>
      </c>
      <c r="J167" s="64">
        <v>123.10587036280229</v>
      </c>
    </row>
    <row r="168" spans="1:10" hidden="1">
      <c r="A168" s="10" t="s">
        <v>290</v>
      </c>
      <c r="B168" s="10" t="s">
        <v>151</v>
      </c>
      <c r="C168" s="64">
        <v>30.760165000000001</v>
      </c>
      <c r="D168" s="64">
        <v>30.69864466999999</v>
      </c>
      <c r="E168" s="64">
        <v>30.637247380660007</v>
      </c>
      <c r="F168" s="64">
        <v>30.484061143756708</v>
      </c>
      <c r="G168" s="64">
        <v>30.331640838037913</v>
      </c>
      <c r="H168" s="64">
        <v>30.179982633847729</v>
      </c>
      <c r="I168" s="64">
        <v>30.029082720678474</v>
      </c>
      <c r="J168" s="64">
        <v>29.878937307075109</v>
      </c>
    </row>
    <row r="169" spans="1:10" hidden="1">
      <c r="A169" s="10" t="s">
        <v>291</v>
      </c>
      <c r="B169" s="10" t="s">
        <v>151</v>
      </c>
      <c r="C169" s="64">
        <v>93.292200000000008</v>
      </c>
      <c r="D169" s="64">
        <v>93.105615599999979</v>
      </c>
      <c r="E169" s="64">
        <v>92.919404368800016</v>
      </c>
      <c r="F169" s="64">
        <v>92.454807346956017</v>
      </c>
      <c r="G169" s="64">
        <v>91.992533310221219</v>
      </c>
      <c r="H169" s="64">
        <v>91.532570643670113</v>
      </c>
      <c r="I169" s="64">
        <v>91.074907790451718</v>
      </c>
      <c r="J169" s="64">
        <v>90.619533251499519</v>
      </c>
    </row>
    <row r="170" spans="1:10" hidden="1">
      <c r="A170" s="10" t="s">
        <v>292</v>
      </c>
      <c r="B170" s="10" t="s">
        <v>151</v>
      </c>
      <c r="C170" s="64">
        <v>70.260262450440479</v>
      </c>
      <c r="D170" s="64">
        <v>70.119741925539572</v>
      </c>
      <c r="E170" s="64">
        <v>69.979502441688524</v>
      </c>
      <c r="F170" s="64">
        <v>69.629604929480095</v>
      </c>
      <c r="G170" s="64">
        <v>69.28145690483268</v>
      </c>
      <c r="H170" s="64">
        <v>68.935049620308533</v>
      </c>
      <c r="I170" s="64">
        <v>68.590374372206938</v>
      </c>
      <c r="J170" s="64">
        <v>68.247422500345976</v>
      </c>
    </row>
    <row r="171" spans="1:10" hidden="1">
      <c r="A171" s="10" t="s">
        <v>293</v>
      </c>
      <c r="B171" s="10" t="s">
        <v>151</v>
      </c>
      <c r="C171" s="64">
        <v>888.2170000000001</v>
      </c>
      <c r="D171" s="64">
        <v>886.44056599999976</v>
      </c>
      <c r="E171" s="64">
        <v>884.66768486800015</v>
      </c>
      <c r="F171" s="64">
        <v>880.24434644366022</v>
      </c>
      <c r="G171" s="64">
        <v>875.84312471144165</v>
      </c>
      <c r="H171" s="64">
        <v>871.46390908788464</v>
      </c>
      <c r="I171" s="64">
        <v>867.10658954244479</v>
      </c>
      <c r="J171" s="64">
        <v>862.77105659473318</v>
      </c>
    </row>
    <row r="172" spans="1:10" hidden="1">
      <c r="A172" s="10" t="s">
        <v>309</v>
      </c>
      <c r="B172" s="10" t="s">
        <v>151</v>
      </c>
      <c r="C172" s="64">
        <v>33.311999999999998</v>
      </c>
      <c r="D172" s="64">
        <v>33.245375999999993</v>
      </c>
      <c r="E172" s="64">
        <v>33.178885248</v>
      </c>
      <c r="F172" s="64">
        <v>33.012990821760006</v>
      </c>
      <c r="G172" s="64">
        <v>32.847925867651192</v>
      </c>
      <c r="H172" s="64">
        <v>32.683686238312937</v>
      </c>
      <c r="I172" s="64">
        <v>32.520267807121364</v>
      </c>
      <c r="J172" s="64">
        <v>32.357666468085782</v>
      </c>
    </row>
    <row r="173" spans="1:10" hidden="1">
      <c r="A173" s="10" t="s">
        <v>294</v>
      </c>
      <c r="B173" s="10" t="s">
        <v>151</v>
      </c>
      <c r="C173" s="64">
        <v>9.6390825718313344</v>
      </c>
      <c r="D173" s="64">
        <v>9.6198044066876705</v>
      </c>
      <c r="E173" s="64">
        <v>9.6005647978742985</v>
      </c>
      <c r="F173" s="64">
        <v>9.5525619738849272</v>
      </c>
      <c r="G173" s="64">
        <v>9.5047991640154983</v>
      </c>
      <c r="H173" s="64">
        <v>9.4572751681954248</v>
      </c>
      <c r="I173" s="64">
        <v>9.4099887923544401</v>
      </c>
      <c r="J173" s="64">
        <v>9.3629388483926768</v>
      </c>
    </row>
    <row r="174" spans="1:10" hidden="1">
      <c r="A174" s="10" t="s">
        <v>310</v>
      </c>
      <c r="B174" s="10" t="s">
        <v>151</v>
      </c>
      <c r="C174" s="64">
        <v>18.162743999999996</v>
      </c>
      <c r="D174" s="64">
        <v>18.12641851199999</v>
      </c>
      <c r="E174" s="64">
        <v>18.090165674975996</v>
      </c>
      <c r="F174" s="64">
        <v>17.999714846601119</v>
      </c>
      <c r="G174" s="64">
        <v>17.909716272368104</v>
      </c>
      <c r="H174" s="64">
        <v>17.820167691006269</v>
      </c>
      <c r="I174" s="64">
        <v>17.731066852551226</v>
      </c>
      <c r="J174" s="64">
        <v>17.642411518288487</v>
      </c>
    </row>
    <row r="175" spans="1:10" hidden="1">
      <c r="A175" s="10" t="s">
        <v>297</v>
      </c>
      <c r="B175" s="10" t="s">
        <v>151</v>
      </c>
      <c r="C175" s="64">
        <v>169.89400000000001</v>
      </c>
      <c r="D175" s="64">
        <v>169.55421199999995</v>
      </c>
      <c r="E175" s="64">
        <v>169.21510357600005</v>
      </c>
      <c r="F175" s="64">
        <v>168.36902805812005</v>
      </c>
      <c r="G175" s="64">
        <v>167.52718291782938</v>
      </c>
      <c r="H175" s="64">
        <v>166.68954700324031</v>
      </c>
      <c r="I175" s="64">
        <v>165.856099268224</v>
      </c>
      <c r="J175" s="64">
        <v>165.02681877188303</v>
      </c>
    </row>
    <row r="176" spans="1:10">
      <c r="A176" s="10" t="s">
        <v>298</v>
      </c>
      <c r="B176" s="10" t="s">
        <v>151</v>
      </c>
      <c r="C176" s="64">
        <v>75.954999999999984</v>
      </c>
      <c r="D176" s="64">
        <v>75.803089999999969</v>
      </c>
      <c r="E176" s="64">
        <v>75.651483819999982</v>
      </c>
      <c r="F176" s="64">
        <v>75.273226400899986</v>
      </c>
      <c r="G176" s="64">
        <v>74.896860268895466</v>
      </c>
      <c r="H176" s="64">
        <v>74.522375967550985</v>
      </c>
      <c r="I176" s="64">
        <v>74.149764087713166</v>
      </c>
      <c r="J176" s="64">
        <v>73.779015267274673</v>
      </c>
    </row>
    <row r="177" spans="1:60" hidden="1">
      <c r="A177" s="10" t="s">
        <v>357</v>
      </c>
      <c r="B177" s="10" t="s">
        <v>151</v>
      </c>
      <c r="C177" s="64">
        <v>50.632770496914034</v>
      </c>
      <c r="D177" s="64">
        <v>50.531504955920184</v>
      </c>
      <c r="E177" s="64">
        <v>50.430441946008365</v>
      </c>
      <c r="F177" s="64">
        <v>50.17828973627833</v>
      </c>
      <c r="G177" s="64">
        <v>49.927398287596915</v>
      </c>
      <c r="H177" s="64">
        <v>49.677761296158927</v>
      </c>
      <c r="I177" s="64">
        <v>49.429372489678101</v>
      </c>
      <c r="J177" s="64">
        <v>49.182225627229755</v>
      </c>
    </row>
    <row r="178" spans="1:60" hidden="1">
      <c r="A178" s="10" t="s">
        <v>299</v>
      </c>
      <c r="B178" s="10" t="s">
        <v>151</v>
      </c>
      <c r="C178" s="64">
        <v>272.35521593118915</v>
      </c>
      <c r="D178" s="64">
        <v>271.81050549932667</v>
      </c>
      <c r="E178" s="64">
        <v>271.26688448832817</v>
      </c>
      <c r="F178" s="64">
        <v>269.91055006588653</v>
      </c>
      <c r="G178" s="64">
        <v>268.56099731555702</v>
      </c>
      <c r="H178" s="64">
        <v>267.21819232897923</v>
      </c>
      <c r="I178" s="64">
        <v>265.8821013673342</v>
      </c>
      <c r="J178" s="64">
        <v>264.55269086049776</v>
      </c>
    </row>
    <row r="179" spans="1:60" hidden="1">
      <c r="A179" s="10" t="s">
        <v>300</v>
      </c>
      <c r="B179" s="10" t="s">
        <v>151</v>
      </c>
      <c r="C179" s="64">
        <v>109.13247753521688</v>
      </c>
      <c r="D179" s="64">
        <v>108.91421258014641</v>
      </c>
      <c r="E179" s="64">
        <v>108.69638415498618</v>
      </c>
      <c r="F179" s="64">
        <v>108.15290223421125</v>
      </c>
      <c r="G179" s="64">
        <v>107.61213772304016</v>
      </c>
      <c r="H179" s="64">
        <v>107.074077034425</v>
      </c>
      <c r="I179" s="64">
        <v>106.53870664925282</v>
      </c>
      <c r="J179" s="64">
        <v>106.00601311600664</v>
      </c>
    </row>
    <row r="180" spans="1:60" hidden="1">
      <c r="A180" s="10" t="s">
        <v>301</v>
      </c>
      <c r="B180" s="10" t="s">
        <v>151</v>
      </c>
      <c r="C180" s="64">
        <v>138.02220531412331</v>
      </c>
      <c r="D180" s="64">
        <v>137.74616090349502</v>
      </c>
      <c r="E180" s="64">
        <v>137.47066858168807</v>
      </c>
      <c r="F180" s="64">
        <v>136.78331523877964</v>
      </c>
      <c r="G180" s="64">
        <v>136.09939866258571</v>
      </c>
      <c r="H180" s="64">
        <v>135.4189016692728</v>
      </c>
      <c r="I180" s="64">
        <v>134.74180716092638</v>
      </c>
      <c r="J180" s="64">
        <v>134.06809812512188</v>
      </c>
    </row>
    <row r="181" spans="1:60" hidden="1">
      <c r="A181" s="10" t="s">
        <v>303</v>
      </c>
      <c r="B181" s="10" t="s">
        <v>151</v>
      </c>
      <c r="C181" s="64">
        <v>142.268</v>
      </c>
      <c r="D181" s="64">
        <v>141.98346399999997</v>
      </c>
      <c r="E181" s="64">
        <v>141.69949707200001</v>
      </c>
      <c r="F181" s="64">
        <v>140.99099958664004</v>
      </c>
      <c r="G181" s="64">
        <v>140.2860445887068</v>
      </c>
      <c r="H181" s="64">
        <v>139.58461436576329</v>
      </c>
      <c r="I181" s="64">
        <v>138.88669129393438</v>
      </c>
      <c r="J181" s="64">
        <v>138.19225783746487</v>
      </c>
    </row>
    <row r="182" spans="1:60" hidden="1">
      <c r="A182" s="10" t="s">
        <v>304</v>
      </c>
      <c r="B182" s="10" t="s">
        <v>151</v>
      </c>
      <c r="C182" s="64">
        <v>31.833900946020091</v>
      </c>
      <c r="D182" s="64">
        <v>31.770233144128039</v>
      </c>
      <c r="E182" s="64">
        <v>31.706692677839794</v>
      </c>
      <c r="F182" s="64">
        <v>31.5481592144506</v>
      </c>
      <c r="G182" s="64">
        <v>31.390418418378335</v>
      </c>
      <c r="H182" s="64">
        <v>31.23346632628645</v>
      </c>
      <c r="I182" s="64">
        <v>31.077298994655003</v>
      </c>
      <c r="J182" s="64">
        <v>30.921912499681749</v>
      </c>
    </row>
    <row r="183" spans="1:60" hidden="1">
      <c r="A183" s="10" t="s">
        <v>305</v>
      </c>
      <c r="B183" s="10" t="s">
        <v>151</v>
      </c>
      <c r="C183" s="64">
        <v>38.771749</v>
      </c>
      <c r="D183" s="64">
        <v>38.694205501999988</v>
      </c>
      <c r="E183" s="64">
        <v>38.616817090996001</v>
      </c>
      <c r="F183" s="64">
        <v>38.423733005541024</v>
      </c>
      <c r="G183" s="64">
        <v>38.231614340513318</v>
      </c>
      <c r="H183" s="64">
        <v>38.04045626881075</v>
      </c>
      <c r="I183" s="64">
        <v>37.850253987466679</v>
      </c>
      <c r="J183" s="64">
        <v>37.661002717529378</v>
      </c>
    </row>
    <row r="184" spans="1:60" hidden="1">
      <c r="A184" s="10" t="s">
        <v>356</v>
      </c>
      <c r="B184" s="10" t="s">
        <v>151</v>
      </c>
      <c r="C184" s="64">
        <v>793.23890000000006</v>
      </c>
      <c r="D184" s="64">
        <v>791.65242219999982</v>
      </c>
      <c r="E184" s="64">
        <v>790.06911735560016</v>
      </c>
      <c r="F184" s="64">
        <v>786.11877176882217</v>
      </c>
      <c r="G184" s="64">
        <v>782.18817790997775</v>
      </c>
      <c r="H184" s="64">
        <v>778.27723702042795</v>
      </c>
      <c r="I184" s="64">
        <v>774.3858508353253</v>
      </c>
      <c r="J184" s="64">
        <v>770.51392158114936</v>
      </c>
    </row>
    <row r="185" spans="1:60" hidden="1">
      <c r="A185" s="10" t="s">
        <v>307</v>
      </c>
      <c r="B185" s="10" t="s">
        <v>151</v>
      </c>
      <c r="C185" s="64">
        <v>295.5</v>
      </c>
      <c r="D185" s="64">
        <v>294.90899999999988</v>
      </c>
      <c r="E185" s="64">
        <v>294.31918200000001</v>
      </c>
      <c r="F185" s="64">
        <v>292.84758608999999</v>
      </c>
      <c r="G185" s="64">
        <v>291.38334815954988</v>
      </c>
      <c r="H185" s="64">
        <v>289.92643141875226</v>
      </c>
      <c r="I185" s="64">
        <v>288.4767992616583</v>
      </c>
      <c r="J185" s="64">
        <v>287.03441526535028</v>
      </c>
    </row>
    <row r="186" spans="1:60" hidden="1">
      <c r="A186" s="10" t="s">
        <v>278</v>
      </c>
      <c r="B186" s="10" t="s">
        <v>24</v>
      </c>
      <c r="C186" s="64">
        <v>199.51343388164045</v>
      </c>
      <c r="D186" s="64">
        <v>197.51829954282405</v>
      </c>
      <c r="E186" s="64">
        <v>195.54311654739581</v>
      </c>
      <c r="F186" s="64">
        <v>193.58768538192186</v>
      </c>
      <c r="G186" s="64">
        <v>191.65180852810261</v>
      </c>
      <c r="H186" s="64">
        <v>189.73529044282157</v>
      </c>
      <c r="I186" s="64">
        <v>187.83793753839336</v>
      </c>
      <c r="J186" s="64">
        <v>185.9595581630094</v>
      </c>
      <c r="V186" s="18"/>
      <c r="W186" s="18"/>
      <c r="X186" s="18"/>
      <c r="Y186" s="18"/>
      <c r="AA186" s="16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6"/>
      <c r="AM186" s="14"/>
      <c r="AN186" s="14"/>
      <c r="AO186" s="14"/>
      <c r="AP186" s="14"/>
      <c r="AQ186" s="14"/>
      <c r="AR186" s="14"/>
      <c r="AS186" s="14"/>
      <c r="AT186" s="14"/>
      <c r="AU186" s="14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</row>
    <row r="187" spans="1:60" hidden="1">
      <c r="A187" s="10" t="s">
        <v>280</v>
      </c>
      <c r="B187" s="10" t="s">
        <v>24</v>
      </c>
      <c r="C187" s="64">
        <v>207.69975335801269</v>
      </c>
      <c r="D187" s="64">
        <v>205.62275582443255</v>
      </c>
      <c r="E187" s="64">
        <v>203.56652826618821</v>
      </c>
      <c r="F187" s="64">
        <v>201.5308629835263</v>
      </c>
      <c r="G187" s="64">
        <v>199.51555435369104</v>
      </c>
      <c r="H187" s="64">
        <v>197.52039881015412</v>
      </c>
      <c r="I187" s="64">
        <v>195.54519482205259</v>
      </c>
      <c r="J187" s="64">
        <v>193.58974287383208</v>
      </c>
      <c r="V187" s="18"/>
      <c r="W187" s="18"/>
      <c r="X187" s="18"/>
      <c r="Y187" s="18"/>
      <c r="AA187" s="16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"/>
      <c r="AM187" s="14"/>
      <c r="AN187" s="14"/>
      <c r="AO187" s="14"/>
      <c r="AP187" s="14"/>
      <c r="AQ187" s="14"/>
      <c r="AR187" s="14"/>
      <c r="AS187" s="14"/>
      <c r="AT187" s="14"/>
      <c r="AU187" s="14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</row>
    <row r="188" spans="1:60" hidden="1">
      <c r="A188" s="10" t="s">
        <v>281</v>
      </c>
      <c r="B188" s="10" t="s">
        <v>24</v>
      </c>
      <c r="C188" s="64">
        <v>133.65782633146156</v>
      </c>
      <c r="D188" s="64">
        <v>132.32124806814696</v>
      </c>
      <c r="E188" s="64">
        <v>130.99803558746549</v>
      </c>
      <c r="F188" s="64">
        <v>129.68805523159085</v>
      </c>
      <c r="G188" s="64">
        <v>128.39117467927494</v>
      </c>
      <c r="H188" s="64">
        <v>127.10726293248219</v>
      </c>
      <c r="I188" s="64">
        <v>125.83619030315737</v>
      </c>
      <c r="J188" s="64">
        <v>124.5778284001258</v>
      </c>
      <c r="V188" s="18"/>
      <c r="W188" s="18"/>
      <c r="X188" s="18"/>
      <c r="Y188" s="18"/>
      <c r="AA188" s="16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6"/>
      <c r="AM188" s="14"/>
      <c r="AN188" s="14"/>
      <c r="AO188" s="14"/>
      <c r="AP188" s="14"/>
      <c r="AQ188" s="14"/>
      <c r="AR188" s="14"/>
      <c r="AS188" s="14"/>
      <c r="AT188" s="14"/>
      <c r="AU188" s="14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</row>
    <row r="189" spans="1:60" hidden="1">
      <c r="A189" s="10" t="s">
        <v>282</v>
      </c>
      <c r="B189" s="10" t="s">
        <v>24</v>
      </c>
      <c r="C189" s="64">
        <v>189.32504599163633</v>
      </c>
      <c r="D189" s="64">
        <v>187.43179553171996</v>
      </c>
      <c r="E189" s="64">
        <v>185.55747757640273</v>
      </c>
      <c r="F189" s="64">
        <v>183.70190280063869</v>
      </c>
      <c r="G189" s="64">
        <v>181.86488377263231</v>
      </c>
      <c r="H189" s="64">
        <v>180.04623493490601</v>
      </c>
      <c r="I189" s="64">
        <v>178.24577258555698</v>
      </c>
      <c r="J189" s="64">
        <v>176.4633148597014</v>
      </c>
      <c r="AA189" s="17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"/>
      <c r="AM189" s="14"/>
      <c r="AN189" s="14"/>
      <c r="AO189" s="14"/>
      <c r="AP189" s="14"/>
      <c r="AQ189" s="14"/>
      <c r="AR189" s="14"/>
      <c r="AS189" s="14"/>
      <c r="AT189" s="14"/>
      <c r="AU189" s="14"/>
    </row>
    <row r="190" spans="1:60" hidden="1">
      <c r="A190" s="10" t="s">
        <v>283</v>
      </c>
      <c r="B190" s="10" t="s">
        <v>24</v>
      </c>
      <c r="C190" s="64">
        <v>267.54848310317391</v>
      </c>
      <c r="D190" s="64">
        <v>264.87299827214218</v>
      </c>
      <c r="E190" s="64">
        <v>262.22426828942076</v>
      </c>
      <c r="F190" s="64">
        <v>259.60202560652652</v>
      </c>
      <c r="G190" s="64">
        <v>257.00600535046124</v>
      </c>
      <c r="H190" s="64">
        <v>254.43594529695662</v>
      </c>
      <c r="I190" s="64">
        <v>251.89158584398706</v>
      </c>
      <c r="J190" s="64">
        <v>249.37266998554716</v>
      </c>
    </row>
    <row r="191" spans="1:60" hidden="1">
      <c r="A191" s="10" t="s">
        <v>284</v>
      </c>
      <c r="B191" s="10" t="s">
        <v>24</v>
      </c>
      <c r="C191" s="64">
        <v>1784.6968324579668</v>
      </c>
      <c r="D191" s="64">
        <v>1765.481864133387</v>
      </c>
      <c r="E191" s="64">
        <v>1746.4590454920531</v>
      </c>
      <c r="F191" s="64">
        <v>1727.6264550371327</v>
      </c>
      <c r="G191" s="64">
        <v>1708.9821904867615</v>
      </c>
      <c r="H191" s="64">
        <v>1690.5243685818939</v>
      </c>
      <c r="I191" s="64">
        <v>1672.2511248960752</v>
      </c>
      <c r="J191" s="64">
        <v>1654.1606136471146</v>
      </c>
    </row>
    <row r="192" spans="1:60" hidden="1">
      <c r="A192" s="10" t="s">
        <v>285</v>
      </c>
      <c r="B192" s="10" t="s">
        <v>24</v>
      </c>
      <c r="C192" s="64">
        <v>84.966400400727522</v>
      </c>
      <c r="D192" s="64">
        <v>84.116736396720242</v>
      </c>
      <c r="E192" s="64">
        <v>83.27556903275304</v>
      </c>
      <c r="F192" s="64">
        <v>82.442813342425495</v>
      </c>
      <c r="G192" s="64">
        <v>81.618385209001246</v>
      </c>
      <c r="H192" s="64">
        <v>80.80220135691124</v>
      </c>
      <c r="I192" s="64">
        <v>79.994179343342125</v>
      </c>
      <c r="J192" s="64">
        <v>79.194237549908692</v>
      </c>
    </row>
    <row r="193" spans="1:20" hidden="1">
      <c r="A193" s="10" t="s">
        <v>308</v>
      </c>
      <c r="B193" s="10" t="s">
        <v>24</v>
      </c>
      <c r="C193" s="64">
        <v>38.78901243040324</v>
      </c>
      <c r="D193" s="64">
        <v>38.401122306099204</v>
      </c>
      <c r="E193" s="64">
        <v>38.017111083038209</v>
      </c>
      <c r="F193" s="64">
        <v>37.63693997220782</v>
      </c>
      <c r="G193" s="64">
        <v>37.26057057248574</v>
      </c>
      <c r="H193" s="64">
        <v>36.887964866760882</v>
      </c>
      <c r="I193" s="64">
        <v>36.519085218093274</v>
      </c>
      <c r="J193" s="64">
        <v>36.153894365912343</v>
      </c>
    </row>
    <row r="194" spans="1:20" hidden="1">
      <c r="A194" s="10" t="s">
        <v>286</v>
      </c>
      <c r="B194" s="10" t="s">
        <v>24</v>
      </c>
      <c r="C194" s="64">
        <v>717.31173438262203</v>
      </c>
      <c r="D194" s="64">
        <v>710.13861703879581</v>
      </c>
      <c r="E194" s="64">
        <v>703.03723086840785</v>
      </c>
      <c r="F194" s="64">
        <v>696.0068585597237</v>
      </c>
      <c r="G194" s="64">
        <v>689.04678997412645</v>
      </c>
      <c r="H194" s="64">
        <v>682.15632207438512</v>
      </c>
      <c r="I194" s="64">
        <v>675.33475885364112</v>
      </c>
      <c r="J194" s="64">
        <v>668.58141126510463</v>
      </c>
    </row>
    <row r="195" spans="1:20" hidden="1">
      <c r="A195" s="10" t="s">
        <v>287</v>
      </c>
      <c r="B195" s="10" t="s">
        <v>24</v>
      </c>
      <c r="C195" s="64">
        <v>146.68873785002961</v>
      </c>
      <c r="D195" s="64">
        <v>145.22185047152931</v>
      </c>
      <c r="E195" s="64">
        <v>143.76963196681402</v>
      </c>
      <c r="F195" s="64">
        <v>142.33193564714588</v>
      </c>
      <c r="G195" s="64">
        <v>140.90861629067442</v>
      </c>
      <c r="H195" s="64">
        <v>139.49953012776766</v>
      </c>
      <c r="I195" s="64">
        <v>138.10453482648998</v>
      </c>
      <c r="J195" s="64">
        <v>136.72348947822508</v>
      </c>
    </row>
    <row r="196" spans="1:20" hidden="1">
      <c r="A196" s="10" t="s">
        <v>288</v>
      </c>
      <c r="B196" s="10" t="s">
        <v>24</v>
      </c>
      <c r="C196" s="64">
        <v>1579.4873658435961</v>
      </c>
      <c r="D196" s="64">
        <v>1563.6924921851603</v>
      </c>
      <c r="E196" s="64">
        <v>1548.0555672633086</v>
      </c>
      <c r="F196" s="64">
        <v>1532.5750115906756</v>
      </c>
      <c r="G196" s="64">
        <v>1517.2492614747689</v>
      </c>
      <c r="H196" s="64">
        <v>1502.0767688600213</v>
      </c>
      <c r="I196" s="64">
        <v>1487.056001171421</v>
      </c>
      <c r="J196" s="64">
        <v>1472.1854411597069</v>
      </c>
    </row>
    <row r="197" spans="1:20" hidden="1">
      <c r="A197" s="10" t="s">
        <v>289</v>
      </c>
      <c r="B197" s="10" t="s">
        <v>24</v>
      </c>
      <c r="C197" s="64">
        <v>164.43308456500276</v>
      </c>
      <c r="D197" s="64">
        <v>162.78875371935274</v>
      </c>
      <c r="E197" s="64">
        <v>161.16086618215922</v>
      </c>
      <c r="F197" s="64">
        <v>159.54925752033762</v>
      </c>
      <c r="G197" s="64">
        <v>157.95376494513425</v>
      </c>
      <c r="H197" s="64">
        <v>156.37422729568291</v>
      </c>
      <c r="I197" s="64">
        <v>154.81048502272608</v>
      </c>
      <c r="J197" s="64">
        <v>153.26238017249881</v>
      </c>
    </row>
    <row r="198" spans="1:20" hidden="1">
      <c r="A198" s="10" t="s">
        <v>290</v>
      </c>
      <c r="B198" s="10" t="s">
        <v>24</v>
      </c>
      <c r="C198" s="64">
        <v>29.64725470691231</v>
      </c>
      <c r="D198" s="64">
        <v>29.350782159843192</v>
      </c>
      <c r="E198" s="64">
        <v>29.05727433824476</v>
      </c>
      <c r="F198" s="64">
        <v>28.766701594862308</v>
      </c>
      <c r="G198" s="64">
        <v>28.479034578913684</v>
      </c>
      <c r="H198" s="64">
        <v>28.194244233124543</v>
      </c>
      <c r="I198" s="64">
        <v>27.912301790793297</v>
      </c>
      <c r="J198" s="64">
        <v>27.633178772885362</v>
      </c>
    </row>
    <row r="199" spans="1:20" hidden="1">
      <c r="A199" s="10" t="s">
        <v>291</v>
      </c>
      <c r="B199" s="10" t="s">
        <v>24</v>
      </c>
      <c r="C199" s="64">
        <v>86.254828627707013</v>
      </c>
      <c r="D199" s="64">
        <v>85.392280341429938</v>
      </c>
      <c r="E199" s="64">
        <v>84.538357538015632</v>
      </c>
      <c r="F199" s="64">
        <v>83.692973962635477</v>
      </c>
      <c r="G199" s="64">
        <v>82.856044223009121</v>
      </c>
      <c r="H199" s="64">
        <v>82.027483780779036</v>
      </c>
      <c r="I199" s="64">
        <v>81.207208942971249</v>
      </c>
      <c r="J199" s="64">
        <v>80.39513685354153</v>
      </c>
    </row>
    <row r="200" spans="1:20" hidden="1">
      <c r="A200" s="10" t="s">
        <v>292</v>
      </c>
      <c r="B200" s="10" t="s">
        <v>24</v>
      </c>
      <c r="C200" s="64">
        <v>86.928470772776578</v>
      </c>
      <c r="D200" s="64">
        <v>86.059186065048806</v>
      </c>
      <c r="E200" s="64">
        <v>85.198594204398333</v>
      </c>
      <c r="F200" s="64">
        <v>84.346608262354351</v>
      </c>
      <c r="G200" s="64">
        <v>83.503142179730801</v>
      </c>
      <c r="H200" s="64">
        <v>82.668110757933505</v>
      </c>
      <c r="I200" s="64">
        <v>81.841429650354172</v>
      </c>
      <c r="J200" s="64">
        <v>81.023015353850639</v>
      </c>
    </row>
    <row r="201" spans="1:20" hidden="1">
      <c r="A201" s="10" t="s">
        <v>293</v>
      </c>
      <c r="B201" s="10" t="s">
        <v>24</v>
      </c>
      <c r="C201" s="64">
        <v>688.89601302865026</v>
      </c>
      <c r="D201" s="64">
        <v>682.00705289836378</v>
      </c>
      <c r="E201" s="64">
        <v>675.18698236938019</v>
      </c>
      <c r="F201" s="64">
        <v>668.43511254568637</v>
      </c>
      <c r="G201" s="64">
        <v>661.75076142022954</v>
      </c>
      <c r="H201" s="64">
        <v>655.13325380602726</v>
      </c>
      <c r="I201" s="64">
        <v>648.581921267967</v>
      </c>
      <c r="J201" s="64">
        <v>642.09610205528736</v>
      </c>
    </row>
    <row r="202" spans="1:20" hidden="1">
      <c r="A202" s="10" t="s">
        <v>309</v>
      </c>
      <c r="B202" s="10" t="s">
        <v>24</v>
      </c>
      <c r="C202" s="64">
        <v>8.020022872300073</v>
      </c>
      <c r="D202" s="64">
        <v>7.939822643577072</v>
      </c>
      <c r="E202" s="64">
        <v>7.8604244171413011</v>
      </c>
      <c r="F202" s="64">
        <v>7.781820172969887</v>
      </c>
      <c r="G202" s="64">
        <v>7.7040019712401877</v>
      </c>
      <c r="H202" s="64">
        <v>7.6269619515277869</v>
      </c>
      <c r="I202" s="64">
        <v>7.5506923320125088</v>
      </c>
      <c r="J202" s="64">
        <v>7.4751854086923837</v>
      </c>
    </row>
    <row r="203" spans="1:20" hidden="1">
      <c r="A203" s="10" t="s">
        <v>294</v>
      </c>
      <c r="B203" s="10" t="s">
        <v>24</v>
      </c>
      <c r="C203" s="64">
        <v>2.9218718753144004</v>
      </c>
      <c r="D203" s="64">
        <v>2.8926531565612565</v>
      </c>
      <c r="E203" s="64">
        <v>2.8637266249956439</v>
      </c>
      <c r="F203" s="64">
        <v>2.8350893587456873</v>
      </c>
      <c r="G203" s="64">
        <v>2.8067384651582303</v>
      </c>
      <c r="H203" s="64">
        <v>2.7786710805066481</v>
      </c>
      <c r="I203" s="64">
        <v>2.7508843697015815</v>
      </c>
      <c r="J203" s="64">
        <v>2.7233755260045656</v>
      </c>
    </row>
    <row r="204" spans="1:20" hidden="1">
      <c r="A204" s="10" t="s">
        <v>310</v>
      </c>
      <c r="B204" s="10" t="s">
        <v>24</v>
      </c>
      <c r="C204" s="64">
        <v>16.782569117647729</v>
      </c>
      <c r="D204" s="64">
        <v>16.61474342647125</v>
      </c>
      <c r="E204" s="64">
        <v>16.448595992206538</v>
      </c>
      <c r="F204" s="64">
        <v>16.284110032284474</v>
      </c>
      <c r="G204" s="64">
        <v>16.12126893196163</v>
      </c>
      <c r="H204" s="64">
        <v>15.960056242642015</v>
      </c>
      <c r="I204" s="64">
        <v>15.800455680215595</v>
      </c>
      <c r="J204" s="64">
        <v>15.642451123413439</v>
      </c>
    </row>
    <row r="205" spans="1:20" hidden="1">
      <c r="A205" s="10" t="s">
        <v>297</v>
      </c>
      <c r="B205" s="10" t="s">
        <v>24</v>
      </c>
      <c r="C205" s="64">
        <v>324.40361534940217</v>
      </c>
      <c r="D205" s="64">
        <v>321.15957919590812</v>
      </c>
      <c r="E205" s="64">
        <v>317.94798340394908</v>
      </c>
      <c r="F205" s="64">
        <v>314.76850356990957</v>
      </c>
      <c r="G205" s="64">
        <v>311.62081853421051</v>
      </c>
      <c r="H205" s="64">
        <v>308.50461034886837</v>
      </c>
      <c r="I205" s="64">
        <v>305.41956424537972</v>
      </c>
      <c r="J205" s="64">
        <v>302.36536860292591</v>
      </c>
      <c r="O205" s="20"/>
      <c r="P205" s="20"/>
      <c r="Q205" s="20"/>
      <c r="R205" s="20"/>
      <c r="S205" s="21"/>
      <c r="T205" s="22"/>
    </row>
    <row r="206" spans="1:20">
      <c r="A206" s="10" t="s">
        <v>298</v>
      </c>
      <c r="B206" s="10" t="s">
        <v>24</v>
      </c>
      <c r="C206" s="64">
        <v>306.17149901455372</v>
      </c>
      <c r="D206" s="64">
        <v>303.10978402440816</v>
      </c>
      <c r="E206" s="64">
        <v>300.0786861841641</v>
      </c>
      <c r="F206" s="64">
        <v>297.07789932232242</v>
      </c>
      <c r="G206" s="64">
        <v>294.10712032909919</v>
      </c>
      <c r="H206" s="64">
        <v>291.16604912580829</v>
      </c>
      <c r="I206" s="64">
        <v>288.2543886345502</v>
      </c>
      <c r="J206" s="64">
        <v>285.37184474820475</v>
      </c>
    </row>
    <row r="207" spans="1:20" hidden="1">
      <c r="A207" s="10" t="s">
        <v>357</v>
      </c>
      <c r="B207" s="10" t="s">
        <v>24</v>
      </c>
      <c r="C207" s="64">
        <v>174.09414127069678</v>
      </c>
      <c r="D207" s="64">
        <v>175.92924324517446</v>
      </c>
      <c r="E207" s="64">
        <v>178.13624092029315</v>
      </c>
      <c r="F207" s="64">
        <v>171.24373114721706</v>
      </c>
      <c r="G207" s="64">
        <v>172.50827384817779</v>
      </c>
      <c r="H207" s="64">
        <v>174.80686473770112</v>
      </c>
      <c r="I207" s="64">
        <v>175.92415265982274</v>
      </c>
      <c r="J207" s="64">
        <v>177.26273525750113</v>
      </c>
    </row>
    <row r="208" spans="1:20" hidden="1">
      <c r="A208" s="10" t="s">
        <v>299</v>
      </c>
      <c r="B208" s="10" t="s">
        <v>24</v>
      </c>
      <c r="C208" s="64">
        <v>496.79694800619848</v>
      </c>
      <c r="D208" s="64">
        <v>491.8289785261365</v>
      </c>
      <c r="E208" s="64">
        <v>486.91068874087512</v>
      </c>
      <c r="F208" s="64">
        <v>482.04158185346637</v>
      </c>
      <c r="G208" s="64">
        <v>477.22116603493163</v>
      </c>
      <c r="H208" s="64">
        <v>472.44895437458229</v>
      </c>
      <c r="I208" s="64">
        <v>467.72446483083644</v>
      </c>
      <c r="J208" s="64">
        <v>463.04722018252801</v>
      </c>
    </row>
    <row r="209" spans="1:20" hidden="1">
      <c r="A209" s="10" t="s">
        <v>300</v>
      </c>
      <c r="B209" s="10" t="s">
        <v>24</v>
      </c>
      <c r="C209" s="64">
        <v>157.08615276172361</v>
      </c>
      <c r="D209" s="64">
        <v>155.5152912341064</v>
      </c>
      <c r="E209" s="64">
        <v>153.96013832176533</v>
      </c>
      <c r="F209" s="64">
        <v>152.42053693854768</v>
      </c>
      <c r="G209" s="64">
        <v>150.89633156916221</v>
      </c>
      <c r="H209" s="64">
        <v>149.38736825347058</v>
      </c>
      <c r="I209" s="64">
        <v>147.89349457093587</v>
      </c>
      <c r="J209" s="64">
        <v>146.4145596252265</v>
      </c>
    </row>
    <row r="210" spans="1:20" hidden="1">
      <c r="A210" s="10" t="s">
        <v>301</v>
      </c>
      <c r="B210" s="10" t="s">
        <v>24</v>
      </c>
      <c r="C210" s="64">
        <v>204.46484767719832</v>
      </c>
      <c r="D210" s="64">
        <v>202.42019920042634</v>
      </c>
      <c r="E210" s="64">
        <v>200.39599720842207</v>
      </c>
      <c r="F210" s="64">
        <v>198.39203723633787</v>
      </c>
      <c r="G210" s="64">
        <v>196.4081168639745</v>
      </c>
      <c r="H210" s="64">
        <v>194.44403569533478</v>
      </c>
      <c r="I210" s="64">
        <v>192.49959533838143</v>
      </c>
      <c r="J210" s="64">
        <v>190.57459938499761</v>
      </c>
    </row>
    <row r="211" spans="1:20" hidden="1">
      <c r="A211" s="10" t="s">
        <v>303</v>
      </c>
      <c r="B211" s="10" t="s">
        <v>24</v>
      </c>
      <c r="C211" s="64">
        <v>483.52535644572384</v>
      </c>
      <c r="D211" s="64">
        <v>478.69010288126663</v>
      </c>
      <c r="E211" s="64">
        <v>473.903201852454</v>
      </c>
      <c r="F211" s="64">
        <v>469.16416983392952</v>
      </c>
      <c r="G211" s="64">
        <v>464.47252813559021</v>
      </c>
      <c r="H211" s="64">
        <v>459.82780285423428</v>
      </c>
      <c r="I211" s="64">
        <v>455.22952482569195</v>
      </c>
      <c r="J211" s="64">
        <v>450.67722957743501</v>
      </c>
      <c r="M211" s="10"/>
    </row>
    <row r="212" spans="1:20" hidden="1">
      <c r="A212" s="10" t="s">
        <v>304</v>
      </c>
      <c r="B212" s="10" t="s">
        <v>24</v>
      </c>
      <c r="C212" s="64">
        <v>47.243661691036579</v>
      </c>
      <c r="D212" s="64">
        <v>46.771225074126207</v>
      </c>
      <c r="E212" s="64">
        <v>46.303512823384942</v>
      </c>
      <c r="F212" s="64">
        <v>45.840477695151094</v>
      </c>
      <c r="G212" s="64">
        <v>45.382072918199583</v>
      </c>
      <c r="H212" s="64">
        <v>44.928252189017584</v>
      </c>
      <c r="I212" s="64">
        <v>44.478969667127409</v>
      </c>
      <c r="J212" s="64">
        <v>44.034179970456137</v>
      </c>
      <c r="M212" s="64"/>
      <c r="N212" s="64"/>
      <c r="O212" s="64"/>
      <c r="P212" s="64"/>
      <c r="Q212" s="64"/>
      <c r="R212" s="64"/>
      <c r="S212" s="64"/>
      <c r="T212" s="64"/>
    </row>
    <row r="213" spans="1:20" hidden="1">
      <c r="A213" s="10" t="s">
        <v>305</v>
      </c>
      <c r="B213" s="10" t="s">
        <v>24</v>
      </c>
      <c r="C213" s="64">
        <v>78.93553454176967</v>
      </c>
      <c r="D213" s="64">
        <v>78.14617919635198</v>
      </c>
      <c r="E213" s="64">
        <v>77.364717404388458</v>
      </c>
      <c r="F213" s="64">
        <v>76.591070230344585</v>
      </c>
      <c r="G213" s="64">
        <v>75.825159528041127</v>
      </c>
      <c r="H213" s="64">
        <v>75.066907932760714</v>
      </c>
      <c r="I213" s="64">
        <v>74.316238853433106</v>
      </c>
      <c r="J213" s="64">
        <v>73.573076464898776</v>
      </c>
    </row>
    <row r="214" spans="1:20" hidden="1">
      <c r="A214" s="10" t="s">
        <v>356</v>
      </c>
      <c r="B214" s="10" t="s">
        <v>24</v>
      </c>
      <c r="C214" s="64">
        <v>974.1652565681776</v>
      </c>
      <c r="D214" s="64">
        <v>1032.6151719622683</v>
      </c>
      <c r="E214" s="64">
        <v>1094.5720822800045</v>
      </c>
      <c r="F214" s="64">
        <v>1160.2464072168048</v>
      </c>
      <c r="G214" s="64">
        <v>1229.861191649813</v>
      </c>
      <c r="H214" s="64">
        <v>1303.6528631488018</v>
      </c>
      <c r="I214" s="64">
        <v>1381.8720349377299</v>
      </c>
      <c r="J214" s="64">
        <v>1464.7843570339937</v>
      </c>
    </row>
    <row r="215" spans="1:20" hidden="1">
      <c r="A215" s="10" t="s">
        <v>307</v>
      </c>
      <c r="B215" s="10" t="s">
        <v>24</v>
      </c>
      <c r="C215" s="64">
        <v>798.4</v>
      </c>
      <c r="D215" s="64">
        <v>790.41600000000005</v>
      </c>
      <c r="E215" s="64">
        <v>782.51184000000012</v>
      </c>
      <c r="F215" s="64">
        <v>774.68672160000017</v>
      </c>
      <c r="G215" s="64">
        <v>766.93985438400011</v>
      </c>
      <c r="H215" s="64">
        <v>759.27045584016003</v>
      </c>
      <c r="I215" s="64">
        <v>751.67775128175845</v>
      </c>
      <c r="J215" s="64">
        <v>744.16097376894083</v>
      </c>
    </row>
    <row r="216" spans="1:20">
      <c r="C216" s="64"/>
      <c r="D216" s="64"/>
      <c r="E216" s="64"/>
      <c r="F216" s="64"/>
      <c r="G216" s="64"/>
      <c r="H216" s="64"/>
      <c r="I216" s="64"/>
      <c r="J216" s="64"/>
    </row>
    <row r="218" spans="1:20">
      <c r="A218" s="10"/>
      <c r="B218" s="10" t="s">
        <v>516</v>
      </c>
      <c r="C218" s="64">
        <f>SUM(C126:C155)</f>
        <v>3113.3202955435372</v>
      </c>
      <c r="D218" s="64">
        <f t="shared" ref="D218:J218" si="0">SUM(D126:D155)</f>
        <v>3206.719904409842</v>
      </c>
      <c r="E218" s="64">
        <f t="shared" si="0"/>
        <v>3302.9215015421364</v>
      </c>
      <c r="F218" s="64">
        <f t="shared" si="0"/>
        <v>3402.0091465884016</v>
      </c>
      <c r="G218" s="64">
        <f t="shared" si="0"/>
        <v>3504.0694209860526</v>
      </c>
      <c r="H218" s="64">
        <f t="shared" si="0"/>
        <v>3609.1915036156356</v>
      </c>
      <c r="I218" s="64">
        <f t="shared" si="0"/>
        <v>3717.4672487241046</v>
      </c>
      <c r="J218" s="64">
        <f t="shared" si="0"/>
        <v>3828.9912661858266</v>
      </c>
    </row>
    <row r="219" spans="1:20">
      <c r="A219" s="10"/>
      <c r="B219" s="10" t="s">
        <v>516</v>
      </c>
      <c r="C219" s="10">
        <v>1.06</v>
      </c>
      <c r="D219" s="10">
        <v>1.03</v>
      </c>
      <c r="E219" s="10">
        <v>1.03</v>
      </c>
      <c r="F219" s="10">
        <v>1.03</v>
      </c>
      <c r="G219" s="10">
        <v>1.03</v>
      </c>
      <c r="H219" s="10">
        <v>1.03</v>
      </c>
      <c r="I219" s="10">
        <v>1.03</v>
      </c>
      <c r="J219" s="10">
        <v>1.03</v>
      </c>
    </row>
    <row r="220" spans="1:20">
      <c r="A220" s="10"/>
      <c r="B220" s="10" t="s">
        <v>516</v>
      </c>
      <c r="C220" s="64">
        <f>C218*C219</f>
        <v>3300.1195132761495</v>
      </c>
      <c r="D220" s="10">
        <f>C220*D219</f>
        <v>3399.123098674434</v>
      </c>
      <c r="E220" s="10">
        <f>D220*E219</f>
        <v>3501.0967916346672</v>
      </c>
      <c r="F220" s="10">
        <f t="shared" ref="F220:J220" si="1">E220*F219</f>
        <v>3606.1296953837073</v>
      </c>
      <c r="G220" s="10">
        <f t="shared" si="1"/>
        <v>3714.3135862452186</v>
      </c>
      <c r="H220" s="10">
        <f t="shared" si="1"/>
        <v>3825.7429938325754</v>
      </c>
      <c r="I220" s="10">
        <f t="shared" si="1"/>
        <v>3940.5152836475527</v>
      </c>
      <c r="J220" s="10">
        <f t="shared" si="1"/>
        <v>4058.7307421569794</v>
      </c>
    </row>
    <row r="221" spans="1:20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 spans="1:20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 spans="1:20">
      <c r="A223" s="10"/>
      <c r="B223" s="10" t="s">
        <v>517</v>
      </c>
      <c r="C223" s="64">
        <f>SUM(C156:C185)</f>
        <v>6543.6954428122153</v>
      </c>
      <c r="D223" s="64">
        <f t="shared" ref="D223:J223" si="2">SUM(D156:D185)</f>
        <v>6530.6080519265879</v>
      </c>
      <c r="E223" s="64">
        <f t="shared" si="2"/>
        <v>6517.5468358227381</v>
      </c>
      <c r="F223" s="64">
        <f t="shared" si="2"/>
        <v>6484.9591016436225</v>
      </c>
      <c r="G223" s="64">
        <f t="shared" si="2"/>
        <v>6452.5343061354051</v>
      </c>
      <c r="H223" s="64">
        <f t="shared" si="2"/>
        <v>6420.27163460473</v>
      </c>
      <c r="I223" s="64">
        <f t="shared" si="2"/>
        <v>6388.1702764317024</v>
      </c>
      <c r="J223" s="64">
        <f t="shared" si="2"/>
        <v>6356.2294250495479</v>
      </c>
    </row>
    <row r="224" spans="1:20">
      <c r="A224" s="10"/>
      <c r="B224" s="10" t="s">
        <v>517</v>
      </c>
      <c r="C224" s="10">
        <v>1</v>
      </c>
      <c r="D224" s="10">
        <v>0.998</v>
      </c>
      <c r="E224" s="10">
        <v>0.998</v>
      </c>
      <c r="F224" s="10">
        <v>0.995</v>
      </c>
      <c r="G224" s="10">
        <v>0.995</v>
      </c>
      <c r="H224" s="10">
        <v>0.995</v>
      </c>
      <c r="I224" s="10">
        <v>0.995</v>
      </c>
      <c r="J224" s="10">
        <v>0.995</v>
      </c>
    </row>
    <row r="225" spans="1:10">
      <c r="A225" s="10"/>
      <c r="B225" s="10" t="s">
        <v>517</v>
      </c>
      <c r="C225" s="64">
        <f>C223*C224</f>
        <v>6543.6954428122153</v>
      </c>
      <c r="D225" s="10">
        <f>C225*D224</f>
        <v>6530.6080519265906</v>
      </c>
      <c r="E225" s="10">
        <f t="shared" ref="E225:J225" si="3">D225*E224</f>
        <v>6517.5468358227372</v>
      </c>
      <c r="F225" s="10">
        <f t="shared" si="3"/>
        <v>6484.9591016436234</v>
      </c>
      <c r="G225" s="10">
        <f t="shared" si="3"/>
        <v>6452.5343061354051</v>
      </c>
      <c r="H225" s="10">
        <f t="shared" si="3"/>
        <v>6420.2716346047282</v>
      </c>
      <c r="I225" s="10">
        <f t="shared" si="3"/>
        <v>6388.1702764317042</v>
      </c>
      <c r="J225" s="10">
        <f t="shared" si="3"/>
        <v>6356.2294250495461</v>
      </c>
    </row>
    <row r="228" spans="1:10">
      <c r="C228" s="64"/>
    </row>
    <row r="374" spans="4:4">
      <c r="D374"/>
    </row>
    <row r="375" spans="4:4">
      <c r="D375"/>
    </row>
    <row r="376" spans="4:4">
      <c r="D376"/>
    </row>
    <row r="377" spans="4:4">
      <c r="D377"/>
    </row>
    <row r="378" spans="4:4">
      <c r="D378"/>
    </row>
    <row r="379" spans="4:4">
      <c r="D379"/>
    </row>
    <row r="380" spans="4:4">
      <c r="D380"/>
    </row>
    <row r="381" spans="4:4">
      <c r="D381"/>
    </row>
    <row r="382" spans="4:4">
      <c r="D382"/>
    </row>
    <row r="383" spans="4:4">
      <c r="D383"/>
    </row>
    <row r="384" spans="4:4">
      <c r="D384"/>
    </row>
    <row r="385" spans="4:4">
      <c r="D385"/>
    </row>
    <row r="386" spans="4:4">
      <c r="D386"/>
    </row>
    <row r="387" spans="4:4">
      <c r="D387"/>
    </row>
    <row r="388" spans="4:4">
      <c r="D388"/>
    </row>
    <row r="389" spans="4:4">
      <c r="D389"/>
    </row>
    <row r="390" spans="4:4">
      <c r="D390"/>
    </row>
  </sheetData>
  <autoFilter ref="A5:BH215" xr:uid="{00000000-0009-0000-0000-000015000000}">
    <filterColumn colId="0">
      <filters>
        <filter val="NO"/>
      </filters>
    </filterColumn>
    <sortState xmlns:xlrd2="http://schemas.microsoft.com/office/spreadsheetml/2017/richdata2" ref="A6:BH215">
      <sortCondition ref="B5"/>
    </sortState>
  </autoFilter>
  <conditionalFormatting sqref="A34:A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39"/>
  <dimension ref="A1:I43"/>
  <sheetViews>
    <sheetView workbookViewId="0">
      <selection activeCell="M20" sqref="M20"/>
    </sheetView>
  </sheetViews>
  <sheetFormatPr defaultColWidth="11.42578125" defaultRowHeight="15"/>
  <cols>
    <col min="1" max="1" width="17.42578125" style="1" customWidth="1"/>
    <col min="2" max="16384" width="11.42578125" style="1"/>
  </cols>
  <sheetData>
    <row r="1" spans="1:9">
      <c r="A1" s="1" t="s">
        <v>428</v>
      </c>
    </row>
    <row r="2" spans="1:9">
      <c r="A2" s="1" t="s">
        <v>374</v>
      </c>
    </row>
    <row r="3" spans="1:9">
      <c r="A3" s="1" t="s">
        <v>427</v>
      </c>
    </row>
    <row r="5" spans="1:9">
      <c r="A5" s="1" t="s">
        <v>20</v>
      </c>
      <c r="B5" s="1">
        <v>2018</v>
      </c>
      <c r="C5" s="1">
        <v>2020</v>
      </c>
      <c r="D5" s="1">
        <v>2025</v>
      </c>
      <c r="E5" s="1">
        <v>2030</v>
      </c>
      <c r="F5" s="1">
        <v>2035</v>
      </c>
      <c r="G5" s="1">
        <v>2040</v>
      </c>
      <c r="H5" s="1">
        <v>2045</v>
      </c>
      <c r="I5" s="1">
        <v>2050</v>
      </c>
    </row>
    <row r="6" spans="1:9">
      <c r="A6" s="28" t="s">
        <v>277</v>
      </c>
      <c r="B6" s="1">
        <v>0.1</v>
      </c>
      <c r="C6" s="1">
        <v>0.105</v>
      </c>
      <c r="D6" s="1">
        <v>0.11</v>
      </c>
      <c r="E6" s="1">
        <v>0.115</v>
      </c>
      <c r="F6" s="1">
        <v>0.11</v>
      </c>
      <c r="G6" s="1">
        <v>0.1</v>
      </c>
      <c r="H6" s="1">
        <v>8.5000000000000006E-2</v>
      </c>
      <c r="I6" s="1">
        <v>7.0000000000000007E-2</v>
      </c>
    </row>
    <row r="7" spans="1:9">
      <c r="A7" s="28" t="s">
        <v>278</v>
      </c>
      <c r="B7" s="1">
        <v>0.1</v>
      </c>
      <c r="C7" s="1">
        <v>0.105</v>
      </c>
      <c r="D7" s="1">
        <v>0.11</v>
      </c>
      <c r="E7" s="1">
        <v>0.115</v>
      </c>
      <c r="F7" s="1">
        <v>0.11</v>
      </c>
      <c r="G7" s="1">
        <v>0.1</v>
      </c>
      <c r="H7" s="1">
        <v>8.5000000000000006E-2</v>
      </c>
      <c r="I7" s="1">
        <v>7.0000000000000007E-2</v>
      </c>
    </row>
    <row r="8" spans="1:9">
      <c r="A8" s="28" t="s">
        <v>279</v>
      </c>
      <c r="B8" s="1">
        <v>0.1</v>
      </c>
      <c r="C8" s="1">
        <v>0.105</v>
      </c>
      <c r="D8" s="1">
        <v>0.11</v>
      </c>
      <c r="E8" s="1">
        <v>0.115</v>
      </c>
      <c r="F8" s="1">
        <v>0.11</v>
      </c>
      <c r="G8" s="1">
        <v>0.1</v>
      </c>
      <c r="H8" s="1">
        <v>8.5000000000000006E-2</v>
      </c>
      <c r="I8" s="1">
        <v>7.0000000000000007E-2</v>
      </c>
    </row>
    <row r="9" spans="1:9">
      <c r="A9" s="28" t="s">
        <v>280</v>
      </c>
      <c r="B9" s="1">
        <v>0.1</v>
      </c>
      <c r="C9" s="1">
        <v>0.105</v>
      </c>
      <c r="D9" s="1">
        <v>0.11</v>
      </c>
      <c r="E9" s="1">
        <v>0.115</v>
      </c>
      <c r="F9" s="1">
        <v>0.11</v>
      </c>
      <c r="G9" s="1">
        <v>0.1</v>
      </c>
      <c r="H9" s="1">
        <v>8.5000000000000006E-2</v>
      </c>
      <c r="I9" s="1">
        <v>7.0000000000000007E-2</v>
      </c>
    </row>
    <row r="10" spans="1:9">
      <c r="A10" s="28" t="s">
        <v>281</v>
      </c>
      <c r="B10" s="1">
        <v>0.1</v>
      </c>
      <c r="C10" s="1">
        <v>0.105</v>
      </c>
      <c r="D10" s="1">
        <v>0.11</v>
      </c>
      <c r="E10" s="1">
        <v>0.115</v>
      </c>
      <c r="F10" s="1">
        <v>0.11</v>
      </c>
      <c r="G10" s="1">
        <v>0.1</v>
      </c>
      <c r="H10" s="1">
        <v>8.5000000000000006E-2</v>
      </c>
      <c r="I10" s="1">
        <v>7.0000000000000007E-2</v>
      </c>
    </row>
    <row r="11" spans="1:9">
      <c r="A11" s="28" t="s">
        <v>282</v>
      </c>
      <c r="B11" s="1">
        <v>0.1</v>
      </c>
      <c r="C11" s="1">
        <v>0.105</v>
      </c>
      <c r="D11" s="1">
        <v>0.11</v>
      </c>
      <c r="E11" s="1">
        <v>0.115</v>
      </c>
      <c r="F11" s="1">
        <v>0.11</v>
      </c>
      <c r="G11" s="1">
        <v>0.1</v>
      </c>
      <c r="H11" s="1">
        <v>8.5000000000000006E-2</v>
      </c>
      <c r="I11" s="1">
        <v>7.0000000000000007E-2</v>
      </c>
    </row>
    <row r="12" spans="1:9">
      <c r="A12" s="28" t="s">
        <v>283</v>
      </c>
      <c r="B12" s="1">
        <v>0.1</v>
      </c>
      <c r="C12" s="1">
        <v>0.105</v>
      </c>
      <c r="D12" s="1">
        <v>0.11</v>
      </c>
      <c r="E12" s="1">
        <v>0.115</v>
      </c>
      <c r="F12" s="1">
        <v>0.11</v>
      </c>
      <c r="G12" s="1">
        <v>0.1</v>
      </c>
      <c r="H12" s="1">
        <v>8.5000000000000006E-2</v>
      </c>
      <c r="I12" s="1">
        <v>7.0000000000000007E-2</v>
      </c>
    </row>
    <row r="13" spans="1:9">
      <c r="A13" s="28" t="s">
        <v>284</v>
      </c>
      <c r="B13" s="1">
        <v>0.1</v>
      </c>
      <c r="C13" s="1">
        <v>0.105</v>
      </c>
      <c r="D13" s="1">
        <v>0.11</v>
      </c>
      <c r="E13" s="1">
        <v>0.115</v>
      </c>
      <c r="F13" s="1">
        <v>0.11</v>
      </c>
      <c r="G13" s="1">
        <v>0.1</v>
      </c>
      <c r="H13" s="1">
        <v>8.5000000000000006E-2</v>
      </c>
      <c r="I13" s="1">
        <v>7.0000000000000007E-2</v>
      </c>
    </row>
    <row r="14" spans="1:9">
      <c r="A14" s="28" t="s">
        <v>285</v>
      </c>
      <c r="B14" s="1">
        <v>0.1</v>
      </c>
      <c r="C14" s="1">
        <v>0.105</v>
      </c>
      <c r="D14" s="1">
        <v>0.11</v>
      </c>
      <c r="E14" s="1">
        <v>0.115</v>
      </c>
      <c r="F14" s="1">
        <v>0.11</v>
      </c>
      <c r="G14" s="1">
        <v>0.1</v>
      </c>
      <c r="H14" s="1">
        <v>8.5000000000000006E-2</v>
      </c>
      <c r="I14" s="1">
        <v>7.0000000000000007E-2</v>
      </c>
    </row>
    <row r="15" spans="1:9">
      <c r="A15" s="28" t="s">
        <v>286</v>
      </c>
      <c r="B15" s="1">
        <v>0.1</v>
      </c>
      <c r="C15" s="1">
        <v>0.105</v>
      </c>
      <c r="D15" s="1">
        <v>0.11</v>
      </c>
      <c r="E15" s="1">
        <v>0.115</v>
      </c>
      <c r="F15" s="1">
        <v>0.11</v>
      </c>
      <c r="G15" s="1">
        <v>0.1</v>
      </c>
      <c r="H15" s="1">
        <v>8.5000000000000006E-2</v>
      </c>
      <c r="I15" s="1">
        <v>7.0000000000000007E-2</v>
      </c>
    </row>
    <row r="16" spans="1:9">
      <c r="A16" s="28" t="s">
        <v>287</v>
      </c>
      <c r="B16" s="1">
        <v>0.1</v>
      </c>
      <c r="C16" s="1">
        <v>0.105</v>
      </c>
      <c r="D16" s="1">
        <v>0.11</v>
      </c>
      <c r="E16" s="1">
        <v>0.115</v>
      </c>
      <c r="F16" s="1">
        <v>0.11</v>
      </c>
      <c r="G16" s="1">
        <v>0.1</v>
      </c>
      <c r="H16" s="1">
        <v>8.5000000000000006E-2</v>
      </c>
      <c r="I16" s="1">
        <v>7.0000000000000007E-2</v>
      </c>
    </row>
    <row r="17" spans="1:9">
      <c r="A17" s="28" t="s">
        <v>288</v>
      </c>
      <c r="B17" s="1">
        <v>0.1</v>
      </c>
      <c r="C17" s="1">
        <v>0.105</v>
      </c>
      <c r="D17" s="1">
        <v>0.11</v>
      </c>
      <c r="E17" s="1">
        <v>0.115</v>
      </c>
      <c r="F17" s="1">
        <v>0.11</v>
      </c>
      <c r="G17" s="1">
        <v>0.1</v>
      </c>
      <c r="H17" s="1">
        <v>8.5000000000000006E-2</v>
      </c>
      <c r="I17" s="1">
        <v>7.0000000000000007E-2</v>
      </c>
    </row>
    <row r="18" spans="1:9">
      <c r="A18" s="28" t="s">
        <v>289</v>
      </c>
      <c r="B18" s="1">
        <v>0.1</v>
      </c>
      <c r="C18" s="1">
        <v>0.105</v>
      </c>
      <c r="D18" s="1">
        <v>0.11</v>
      </c>
      <c r="E18" s="1">
        <v>0.115</v>
      </c>
      <c r="F18" s="1">
        <v>0.11</v>
      </c>
      <c r="G18" s="1">
        <v>0.1</v>
      </c>
      <c r="H18" s="1">
        <v>8.5000000000000006E-2</v>
      </c>
      <c r="I18" s="1">
        <v>7.0000000000000007E-2</v>
      </c>
    </row>
    <row r="19" spans="1:9">
      <c r="A19" s="28" t="s">
        <v>290</v>
      </c>
      <c r="B19" s="1">
        <v>0.1</v>
      </c>
      <c r="C19" s="1">
        <v>0.105</v>
      </c>
      <c r="D19" s="1">
        <v>0.11</v>
      </c>
      <c r="E19" s="1">
        <v>0.115</v>
      </c>
      <c r="F19" s="1">
        <v>0.11</v>
      </c>
      <c r="G19" s="1">
        <v>0.1</v>
      </c>
      <c r="H19" s="1">
        <v>8.5000000000000006E-2</v>
      </c>
      <c r="I19" s="1">
        <v>7.0000000000000007E-2</v>
      </c>
    </row>
    <row r="20" spans="1:9">
      <c r="A20" s="28" t="s">
        <v>291</v>
      </c>
      <c r="B20" s="1">
        <v>0.1</v>
      </c>
      <c r="C20" s="1">
        <v>0.105</v>
      </c>
      <c r="D20" s="1">
        <v>0.11</v>
      </c>
      <c r="E20" s="1">
        <v>0.115</v>
      </c>
      <c r="F20" s="1">
        <v>0.11</v>
      </c>
      <c r="G20" s="1">
        <v>0.1</v>
      </c>
      <c r="H20" s="1">
        <v>8.5000000000000006E-2</v>
      </c>
      <c r="I20" s="1">
        <v>7.0000000000000007E-2</v>
      </c>
    </row>
    <row r="21" spans="1:9">
      <c r="A21" s="28" t="s">
        <v>292</v>
      </c>
      <c r="B21" s="1">
        <v>0.1</v>
      </c>
      <c r="C21" s="1">
        <v>0.105</v>
      </c>
      <c r="D21" s="1">
        <v>0.11</v>
      </c>
      <c r="E21" s="1">
        <v>0.115</v>
      </c>
      <c r="F21" s="1">
        <v>0.11</v>
      </c>
      <c r="G21" s="1">
        <v>0.1</v>
      </c>
      <c r="H21" s="1">
        <v>8.5000000000000006E-2</v>
      </c>
      <c r="I21" s="1">
        <v>7.0000000000000007E-2</v>
      </c>
    </row>
    <row r="22" spans="1:9">
      <c r="A22" s="28" t="s">
        <v>293</v>
      </c>
      <c r="B22" s="1">
        <v>0.1</v>
      </c>
      <c r="C22" s="1">
        <v>0.105</v>
      </c>
      <c r="D22" s="1">
        <v>0.11</v>
      </c>
      <c r="E22" s="1">
        <v>0.115</v>
      </c>
      <c r="F22" s="1">
        <v>0.11</v>
      </c>
      <c r="G22" s="1">
        <v>0.1</v>
      </c>
      <c r="H22" s="1">
        <v>8.5000000000000006E-2</v>
      </c>
      <c r="I22" s="1">
        <v>7.0000000000000007E-2</v>
      </c>
    </row>
    <row r="23" spans="1:9">
      <c r="A23" s="28" t="s">
        <v>294</v>
      </c>
      <c r="B23" s="1">
        <v>0.1</v>
      </c>
      <c r="C23" s="1">
        <v>0.105</v>
      </c>
      <c r="D23" s="1">
        <v>0.11</v>
      </c>
      <c r="E23" s="1">
        <v>0.115</v>
      </c>
      <c r="F23" s="1">
        <v>0.11</v>
      </c>
      <c r="G23" s="1">
        <v>0.1</v>
      </c>
      <c r="H23" s="1">
        <v>8.5000000000000006E-2</v>
      </c>
      <c r="I23" s="1">
        <v>7.0000000000000007E-2</v>
      </c>
    </row>
    <row r="24" spans="1:9">
      <c r="A24" s="28" t="s">
        <v>295</v>
      </c>
      <c r="B24" s="1">
        <v>0.1</v>
      </c>
      <c r="C24" s="1">
        <v>0.105</v>
      </c>
      <c r="D24" s="1">
        <v>0.11</v>
      </c>
      <c r="E24" s="1">
        <v>0.115</v>
      </c>
      <c r="F24" s="1">
        <v>0.11</v>
      </c>
      <c r="G24" s="1">
        <v>0.1</v>
      </c>
      <c r="H24" s="1">
        <v>8.5000000000000006E-2</v>
      </c>
      <c r="I24" s="1">
        <v>7.0000000000000007E-2</v>
      </c>
    </row>
    <row r="25" spans="1:9">
      <c r="A25" s="28" t="s">
        <v>296</v>
      </c>
      <c r="B25" s="1">
        <v>0.1</v>
      </c>
      <c r="C25" s="1">
        <v>0.105</v>
      </c>
      <c r="D25" s="1">
        <v>0.11</v>
      </c>
      <c r="E25" s="1">
        <v>0.115</v>
      </c>
      <c r="F25" s="1">
        <v>0.11</v>
      </c>
      <c r="G25" s="1">
        <v>0.1</v>
      </c>
      <c r="H25" s="1">
        <v>8.5000000000000006E-2</v>
      </c>
      <c r="I25" s="1">
        <v>7.0000000000000007E-2</v>
      </c>
    </row>
    <row r="26" spans="1:9">
      <c r="A26" s="28" t="s">
        <v>297</v>
      </c>
      <c r="B26" s="1">
        <v>0.1</v>
      </c>
      <c r="C26" s="1">
        <v>0.105</v>
      </c>
      <c r="D26" s="1">
        <v>0.11</v>
      </c>
      <c r="E26" s="1">
        <v>0.115</v>
      </c>
      <c r="F26" s="1">
        <v>0.11</v>
      </c>
      <c r="G26" s="1">
        <v>0.1</v>
      </c>
      <c r="H26" s="1">
        <v>8.5000000000000006E-2</v>
      </c>
      <c r="I26" s="1">
        <v>7.0000000000000007E-2</v>
      </c>
    </row>
    <row r="27" spans="1:9">
      <c r="A27" s="28" t="s">
        <v>298</v>
      </c>
      <c r="B27" s="1">
        <v>0.1</v>
      </c>
      <c r="C27" s="1">
        <v>0.105</v>
      </c>
      <c r="D27" s="1">
        <v>0.11</v>
      </c>
      <c r="E27" s="1">
        <v>0.115</v>
      </c>
      <c r="F27" s="1">
        <v>0.11</v>
      </c>
      <c r="G27" s="1">
        <v>0.1</v>
      </c>
      <c r="H27" s="1">
        <v>8.5000000000000006E-2</v>
      </c>
      <c r="I27" s="1">
        <v>7.0000000000000007E-2</v>
      </c>
    </row>
    <row r="28" spans="1:9">
      <c r="A28" s="28" t="s">
        <v>299</v>
      </c>
      <c r="B28" s="1">
        <v>0.1</v>
      </c>
      <c r="C28" s="1">
        <v>0.105</v>
      </c>
      <c r="D28" s="1">
        <v>0.11</v>
      </c>
      <c r="E28" s="1">
        <v>0.115</v>
      </c>
      <c r="F28" s="1">
        <v>0.11</v>
      </c>
      <c r="G28" s="1">
        <v>0.1</v>
      </c>
      <c r="H28" s="1">
        <v>8.5000000000000006E-2</v>
      </c>
      <c r="I28" s="1">
        <v>7.0000000000000007E-2</v>
      </c>
    </row>
    <row r="29" spans="1:9">
      <c r="A29" s="28" t="s">
        <v>300</v>
      </c>
      <c r="B29" s="1">
        <v>0.1</v>
      </c>
      <c r="C29" s="1">
        <v>0.105</v>
      </c>
      <c r="D29" s="1">
        <v>0.11</v>
      </c>
      <c r="E29" s="1">
        <v>0.115</v>
      </c>
      <c r="F29" s="1">
        <v>0.11</v>
      </c>
      <c r="G29" s="1">
        <v>0.1</v>
      </c>
      <c r="H29" s="1">
        <v>8.5000000000000006E-2</v>
      </c>
      <c r="I29" s="1">
        <v>7.0000000000000007E-2</v>
      </c>
    </row>
    <row r="30" spans="1:9">
      <c r="A30" s="28" t="s">
        <v>301</v>
      </c>
      <c r="B30" s="1">
        <v>0.1</v>
      </c>
      <c r="C30" s="1">
        <v>0.105</v>
      </c>
      <c r="D30" s="1">
        <v>0.11</v>
      </c>
      <c r="E30" s="1">
        <v>0.115</v>
      </c>
      <c r="F30" s="1">
        <v>0.11</v>
      </c>
      <c r="G30" s="1">
        <v>0.1</v>
      </c>
      <c r="H30" s="1">
        <v>8.5000000000000006E-2</v>
      </c>
      <c r="I30" s="1">
        <v>7.0000000000000007E-2</v>
      </c>
    </row>
    <row r="31" spans="1:9">
      <c r="A31" s="28" t="s">
        <v>302</v>
      </c>
      <c r="B31" s="1">
        <v>0.1</v>
      </c>
      <c r="C31" s="1">
        <v>0.105</v>
      </c>
      <c r="D31" s="1">
        <v>0.11</v>
      </c>
      <c r="E31" s="1">
        <v>0.115</v>
      </c>
      <c r="F31" s="1">
        <v>0.11</v>
      </c>
      <c r="G31" s="1">
        <v>0.1</v>
      </c>
      <c r="H31" s="1">
        <v>8.5000000000000006E-2</v>
      </c>
      <c r="I31" s="1">
        <v>7.0000000000000007E-2</v>
      </c>
    </row>
    <row r="32" spans="1:9">
      <c r="A32" s="28" t="s">
        <v>303</v>
      </c>
      <c r="B32" s="1">
        <v>0.1</v>
      </c>
      <c r="C32" s="1">
        <v>0.105</v>
      </c>
      <c r="D32" s="1">
        <v>0.11</v>
      </c>
      <c r="E32" s="1">
        <v>0.115</v>
      </c>
      <c r="F32" s="1">
        <v>0.11</v>
      </c>
      <c r="G32" s="1">
        <v>0.1</v>
      </c>
      <c r="H32" s="1">
        <v>8.5000000000000006E-2</v>
      </c>
      <c r="I32" s="1">
        <v>7.0000000000000007E-2</v>
      </c>
    </row>
    <row r="33" spans="1:9">
      <c r="A33" s="28" t="s">
        <v>304</v>
      </c>
      <c r="B33" s="1">
        <v>0.1</v>
      </c>
      <c r="C33" s="1">
        <v>0.105</v>
      </c>
      <c r="D33" s="1">
        <v>0.11</v>
      </c>
      <c r="E33" s="1">
        <v>0.115</v>
      </c>
      <c r="F33" s="1">
        <v>0.11</v>
      </c>
      <c r="G33" s="1">
        <v>0.1</v>
      </c>
      <c r="H33" s="1">
        <v>8.5000000000000006E-2</v>
      </c>
      <c r="I33" s="1">
        <v>7.0000000000000007E-2</v>
      </c>
    </row>
    <row r="34" spans="1:9">
      <c r="A34" s="28" t="s">
        <v>305</v>
      </c>
      <c r="B34" s="1">
        <v>0.1</v>
      </c>
      <c r="C34" s="1">
        <v>0.105</v>
      </c>
      <c r="D34" s="1">
        <v>0.11</v>
      </c>
      <c r="E34" s="1">
        <v>0.115</v>
      </c>
      <c r="F34" s="1">
        <v>0.11</v>
      </c>
      <c r="G34" s="1">
        <v>0.1</v>
      </c>
      <c r="H34" s="1">
        <v>8.5000000000000006E-2</v>
      </c>
      <c r="I34" s="1">
        <v>7.0000000000000007E-2</v>
      </c>
    </row>
    <row r="35" spans="1:9">
      <c r="A35" s="28" t="s">
        <v>307</v>
      </c>
      <c r="B35" s="1">
        <v>0.1</v>
      </c>
      <c r="C35" s="1">
        <v>0.105</v>
      </c>
      <c r="D35" s="1">
        <v>0.11</v>
      </c>
      <c r="E35" s="1">
        <v>0.115</v>
      </c>
      <c r="F35" s="1">
        <v>0.11</v>
      </c>
      <c r="G35" s="1">
        <v>0.1</v>
      </c>
      <c r="H35" s="1">
        <v>8.5000000000000006E-2</v>
      </c>
      <c r="I35" s="1">
        <v>7.0000000000000007E-2</v>
      </c>
    </row>
    <row r="36" spans="1:9">
      <c r="A36" s="28" t="s">
        <v>308</v>
      </c>
      <c r="B36" s="1">
        <v>0.1</v>
      </c>
      <c r="C36" s="1">
        <v>0.105</v>
      </c>
      <c r="D36" s="1">
        <v>0.11</v>
      </c>
      <c r="E36" s="1">
        <v>0.115</v>
      </c>
      <c r="F36" s="1">
        <v>0.11</v>
      </c>
      <c r="G36" s="1">
        <v>0.1</v>
      </c>
      <c r="H36" s="1">
        <v>8.5000000000000006E-2</v>
      </c>
      <c r="I36" s="1">
        <v>7.0000000000000007E-2</v>
      </c>
    </row>
    <row r="37" spans="1:9">
      <c r="A37" s="28" t="s">
        <v>309</v>
      </c>
      <c r="B37" s="1">
        <v>0.1</v>
      </c>
      <c r="C37" s="1">
        <v>0.105</v>
      </c>
      <c r="D37" s="1">
        <v>0.11</v>
      </c>
      <c r="E37" s="1">
        <v>0.115</v>
      </c>
      <c r="F37" s="1">
        <v>0.11</v>
      </c>
      <c r="G37" s="1">
        <v>0.1</v>
      </c>
      <c r="H37" s="1">
        <v>8.5000000000000006E-2</v>
      </c>
      <c r="I37" s="1">
        <v>7.0000000000000007E-2</v>
      </c>
    </row>
    <row r="38" spans="1:9">
      <c r="A38" s="28" t="s">
        <v>310</v>
      </c>
      <c r="B38" s="1">
        <v>0.1</v>
      </c>
      <c r="C38" s="1">
        <v>0.105</v>
      </c>
      <c r="D38" s="1">
        <v>0.11</v>
      </c>
      <c r="E38" s="1">
        <v>0.115</v>
      </c>
      <c r="F38" s="1">
        <v>0.11</v>
      </c>
      <c r="G38" s="1">
        <v>0.1</v>
      </c>
      <c r="H38" s="1">
        <v>8.5000000000000006E-2</v>
      </c>
      <c r="I38" s="1">
        <v>7.0000000000000007E-2</v>
      </c>
    </row>
    <row r="39" spans="1:9">
      <c r="A39" s="28" t="s">
        <v>306</v>
      </c>
      <c r="B39" s="1">
        <v>0.1</v>
      </c>
      <c r="C39" s="1">
        <v>0.105</v>
      </c>
      <c r="D39" s="1">
        <v>0.11</v>
      </c>
      <c r="E39" s="1">
        <v>0.115</v>
      </c>
      <c r="F39" s="1">
        <v>0.11</v>
      </c>
      <c r="G39" s="1">
        <v>0.1</v>
      </c>
      <c r="H39" s="1">
        <v>8.5000000000000006E-2</v>
      </c>
      <c r="I39" s="1">
        <v>7.0000000000000007E-2</v>
      </c>
    </row>
    <row r="40" spans="1:9">
      <c r="A40" s="28" t="s">
        <v>311</v>
      </c>
      <c r="B40" s="1">
        <v>0.1</v>
      </c>
      <c r="C40" s="1">
        <v>0.105</v>
      </c>
      <c r="D40" s="1">
        <v>0.11</v>
      </c>
      <c r="E40" s="1">
        <v>0.115</v>
      </c>
      <c r="F40" s="1">
        <v>0.11</v>
      </c>
      <c r="G40" s="1">
        <v>0.1</v>
      </c>
      <c r="H40" s="1">
        <v>8.5000000000000006E-2</v>
      </c>
      <c r="I40" s="1">
        <v>7.0000000000000007E-2</v>
      </c>
    </row>
    <row r="41" spans="1:9">
      <c r="A41" s="28" t="s">
        <v>312</v>
      </c>
      <c r="B41" s="1">
        <v>0.1</v>
      </c>
      <c r="C41" s="1">
        <v>0.105</v>
      </c>
      <c r="D41" s="1">
        <v>0.11</v>
      </c>
      <c r="E41" s="1">
        <v>0.115</v>
      </c>
      <c r="F41" s="1">
        <v>0.11</v>
      </c>
      <c r="G41" s="1">
        <v>0.1</v>
      </c>
      <c r="H41" s="1">
        <v>8.5000000000000006E-2</v>
      </c>
      <c r="I41" s="1">
        <v>7.0000000000000007E-2</v>
      </c>
    </row>
    <row r="42" spans="1:9">
      <c r="A42" s="1" t="s">
        <v>356</v>
      </c>
      <c r="B42" s="1">
        <v>0.1</v>
      </c>
      <c r="C42" s="1">
        <v>0.105</v>
      </c>
      <c r="D42" s="1">
        <v>0.11</v>
      </c>
      <c r="E42" s="1">
        <v>0.115</v>
      </c>
      <c r="F42" s="1">
        <v>0.11</v>
      </c>
      <c r="G42" s="1">
        <v>0.1</v>
      </c>
      <c r="H42" s="1">
        <v>8.5000000000000006E-2</v>
      </c>
      <c r="I42" s="1">
        <v>7.0000000000000007E-2</v>
      </c>
    </row>
    <row r="43" spans="1:9">
      <c r="A43" s="1" t="s">
        <v>357</v>
      </c>
      <c r="B43" s="1">
        <v>0.1</v>
      </c>
      <c r="C43" s="1">
        <v>0.105</v>
      </c>
      <c r="D43" s="1">
        <v>0.11</v>
      </c>
      <c r="E43" s="1">
        <v>0.115</v>
      </c>
      <c r="F43" s="1">
        <v>0.11</v>
      </c>
      <c r="G43" s="1">
        <v>0.1</v>
      </c>
      <c r="H43" s="1">
        <v>8.5000000000000006E-2</v>
      </c>
      <c r="I43" s="1">
        <v>7.0000000000000007E-2</v>
      </c>
    </row>
  </sheetData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8"/>
  <dimension ref="A1:J15"/>
  <sheetViews>
    <sheetView workbookViewId="0">
      <selection activeCell="E17" sqref="E17"/>
    </sheetView>
  </sheetViews>
  <sheetFormatPr defaultColWidth="11.42578125" defaultRowHeight="15"/>
  <cols>
    <col min="1" max="1" width="15.140625" style="1" customWidth="1"/>
    <col min="2" max="16384" width="11.42578125" style="1"/>
  </cols>
  <sheetData>
    <row r="1" spans="1:10">
      <c r="A1" s="1" t="s">
        <v>429</v>
      </c>
    </row>
    <row r="2" spans="1:10">
      <c r="A2" s="1" t="s">
        <v>9</v>
      </c>
    </row>
    <row r="3" spans="1:10">
      <c r="A3" s="1" t="s">
        <v>416</v>
      </c>
    </row>
    <row r="5" spans="1:10">
      <c r="A5" s="1" t="s">
        <v>20</v>
      </c>
      <c r="B5" s="1" t="s">
        <v>21</v>
      </c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  <row r="6" spans="1:10">
      <c r="A6" s="26" t="s">
        <v>284</v>
      </c>
      <c r="B6" s="1" t="s">
        <v>36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</row>
    <row r="7" spans="1:10">
      <c r="A7" s="26"/>
    </row>
    <row r="8" spans="1:10">
      <c r="A8" s="26"/>
    </row>
    <row r="9" spans="1:10">
      <c r="A9" s="26"/>
    </row>
    <row r="10" spans="1:10">
      <c r="A10" s="26"/>
    </row>
    <row r="11" spans="1:10">
      <c r="A11" s="26"/>
    </row>
    <row r="12" spans="1:10">
      <c r="A12" s="26"/>
    </row>
    <row r="13" spans="1:10">
      <c r="A13" s="26"/>
    </row>
    <row r="14" spans="1:10">
      <c r="A14" s="26"/>
    </row>
    <row r="15" spans="1:10">
      <c r="A15" s="26"/>
    </row>
  </sheetData>
  <dataValidations count="1">
    <dataValidation type="list" allowBlank="1" showInputMessage="1" showErrorMessage="1" sqref="B6:B38" xr:uid="{00000000-0002-0000-1700-000000000000}">
      <formula1>Fuels</formula1>
    </dataValidation>
  </dataValidation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2"/>
  <dimension ref="A1:L26"/>
  <sheetViews>
    <sheetView workbookViewId="0">
      <selection activeCell="D25" sqref="D25"/>
    </sheetView>
  </sheetViews>
  <sheetFormatPr defaultColWidth="11.42578125" defaultRowHeight="15"/>
  <cols>
    <col min="1" max="1" width="11.42578125" style="1"/>
    <col min="2" max="2" width="28.140625" style="1" customWidth="1"/>
    <col min="3" max="16384" width="11.42578125" style="1"/>
  </cols>
  <sheetData>
    <row r="1" spans="1:10">
      <c r="A1" s="1" t="s">
        <v>430</v>
      </c>
    </row>
    <row r="2" spans="1:10">
      <c r="A2" s="1" t="s">
        <v>10</v>
      </c>
    </row>
    <row r="3" spans="1:10" ht="15.75" customHeight="1">
      <c r="A3" s="1" t="s">
        <v>417</v>
      </c>
    </row>
    <row r="4" spans="1:10" ht="15.75" customHeight="1"/>
    <row r="5" spans="1:10">
      <c r="A5" s="1" t="s">
        <v>20</v>
      </c>
      <c r="B5" s="1" t="s">
        <v>26</v>
      </c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  <row r="6" spans="1:10">
      <c r="A6" s="1" t="s">
        <v>284</v>
      </c>
      <c r="B6" s="1" t="s">
        <v>140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</row>
    <row r="7" spans="1:10">
      <c r="A7" s="1" t="s">
        <v>284</v>
      </c>
      <c r="B7" s="1" t="s">
        <v>141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</row>
    <row r="8" spans="1:10">
      <c r="A8" s="1" t="s">
        <v>284</v>
      </c>
      <c r="B8" s="1" t="s">
        <v>139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</row>
    <row r="9" spans="1:10">
      <c r="A9" s="1" t="s">
        <v>284</v>
      </c>
      <c r="B9" s="1" t="s">
        <v>196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</row>
    <row r="10" spans="1:10">
      <c r="A10" s="1" t="s">
        <v>284</v>
      </c>
      <c r="B10" s="1" t="s">
        <v>58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</row>
    <row r="11" spans="1:10">
      <c r="A11" s="1" t="s">
        <v>284</v>
      </c>
      <c r="B11" s="1" t="s">
        <v>126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</row>
    <row r="12" spans="1:10">
      <c r="A12" s="26" t="s">
        <v>284</v>
      </c>
      <c r="B12" s="1" t="s">
        <v>258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</row>
    <row r="13" spans="1:10">
      <c r="A13" s="26" t="s">
        <v>284</v>
      </c>
      <c r="B13" s="1" t="s">
        <v>102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</row>
    <row r="14" spans="1:10">
      <c r="A14" s="26" t="s">
        <v>284</v>
      </c>
      <c r="B14" s="1" t="s">
        <v>361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</row>
    <row r="15" spans="1:10">
      <c r="A15" s="26" t="s">
        <v>284</v>
      </c>
      <c r="B15" s="1" t="s">
        <v>488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</row>
    <row r="16" spans="1:10">
      <c r="A16" s="26" t="s">
        <v>284</v>
      </c>
      <c r="B16" s="1" t="s">
        <v>489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</row>
    <row r="17" spans="1:12">
      <c r="A17" s="26" t="s">
        <v>284</v>
      </c>
      <c r="B17" s="1" t="s">
        <v>490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</row>
    <row r="18" spans="1:12">
      <c r="A18" s="26" t="s">
        <v>284</v>
      </c>
      <c r="B18" s="1" t="s">
        <v>479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</row>
    <row r="19" spans="1:12">
      <c r="A19" s="26" t="s">
        <v>284</v>
      </c>
      <c r="B19" s="1" t="s">
        <v>480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</row>
    <row r="20" spans="1:12">
      <c r="A20" s="26" t="s">
        <v>284</v>
      </c>
      <c r="B20" s="1" t="s">
        <v>481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</row>
    <row r="21" spans="1:12">
      <c r="A21" s="26" t="s">
        <v>284</v>
      </c>
      <c r="B21" s="1" t="s">
        <v>482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</row>
    <row r="22" spans="1:12">
      <c r="A22" s="26" t="s">
        <v>284</v>
      </c>
      <c r="B22" s="1" t="s">
        <v>483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</row>
    <row r="23" spans="1:12">
      <c r="A23" s="26" t="s">
        <v>284</v>
      </c>
      <c r="B23" s="1" t="s">
        <v>484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</row>
    <row r="24" spans="1:12">
      <c r="A24" s="26" t="s">
        <v>284</v>
      </c>
      <c r="B24" s="1" t="s">
        <v>485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</row>
    <row r="25" spans="1:12">
      <c r="A25"/>
      <c r="B25"/>
      <c r="C25"/>
      <c r="D25"/>
      <c r="E25"/>
      <c r="F25"/>
      <c r="G25"/>
      <c r="H25"/>
      <c r="I25"/>
      <c r="J25"/>
      <c r="K25"/>
      <c r="L25"/>
    </row>
    <row r="26" spans="1:12">
      <c r="A26"/>
      <c r="B26"/>
      <c r="C26"/>
      <c r="D26"/>
      <c r="E26"/>
      <c r="F26"/>
      <c r="G26"/>
      <c r="H26"/>
      <c r="I26"/>
      <c r="J26"/>
      <c r="K26"/>
      <c r="L26"/>
    </row>
  </sheetData>
  <dataValidations count="2">
    <dataValidation type="list" allowBlank="1" showInputMessage="1" showErrorMessage="1" sqref="B11" xr:uid="{00000000-0002-0000-1800-000000000000}">
      <formula1>Technologies</formula1>
    </dataValidation>
    <dataValidation type="list" allowBlank="1" showInputMessage="1" showErrorMessage="1" sqref="A12:A24" xr:uid="{00000000-0002-0000-1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0"/>
  <dimension ref="A1:R230"/>
  <sheetViews>
    <sheetView topLeftCell="A171" workbookViewId="0">
      <selection activeCell="A181" sqref="A181:L200"/>
    </sheetView>
  </sheetViews>
  <sheetFormatPr defaultColWidth="11.42578125" defaultRowHeight="15"/>
  <cols>
    <col min="1" max="1" width="22.42578125" style="9" customWidth="1"/>
    <col min="2" max="2" width="27.85546875" style="9" bestFit="1" customWidth="1"/>
    <col min="3" max="3" width="24.42578125" style="9" customWidth="1"/>
    <col min="4" max="4" width="19.5703125" style="9" bestFit="1" customWidth="1"/>
    <col min="5" max="5" width="12.42578125" style="9" bestFit="1" customWidth="1"/>
    <col min="6" max="12" width="11.42578125" style="9"/>
    <col min="13" max="13" width="3.42578125" style="9" customWidth="1"/>
    <col min="14" max="16384" width="11.42578125" style="9"/>
  </cols>
  <sheetData>
    <row r="1" spans="1:18">
      <c r="A1" s="11" t="s">
        <v>431</v>
      </c>
    </row>
    <row r="2" spans="1:18">
      <c r="A2" s="11" t="s">
        <v>376</v>
      </c>
    </row>
    <row r="3" spans="1:18">
      <c r="A3" s="49" t="s">
        <v>417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5" spans="1:18">
      <c r="A5" s="11" t="s">
        <v>20</v>
      </c>
      <c r="B5" s="11" t="s">
        <v>26</v>
      </c>
      <c r="C5" s="11" t="s">
        <v>21</v>
      </c>
      <c r="D5" s="11" t="s">
        <v>375</v>
      </c>
      <c r="E5" s="48">
        <v>2018</v>
      </c>
      <c r="F5" s="48">
        <v>2020</v>
      </c>
      <c r="G5" s="48">
        <v>2025</v>
      </c>
      <c r="H5" s="48">
        <v>2030</v>
      </c>
      <c r="I5" s="48">
        <v>2035</v>
      </c>
      <c r="J5" s="48">
        <v>2040</v>
      </c>
      <c r="K5" s="48">
        <v>2045</v>
      </c>
      <c r="L5" s="48">
        <v>2050</v>
      </c>
    </row>
    <row r="6" spans="1:18">
      <c r="A6" s="1" t="s">
        <v>284</v>
      </c>
      <c r="B6" s="1" t="s">
        <v>198</v>
      </c>
      <c r="C6" s="11" t="s">
        <v>146</v>
      </c>
      <c r="D6" s="11">
        <v>1</v>
      </c>
      <c r="E6" s="9">
        <v>3.3333333333333335</v>
      </c>
      <c r="F6" s="9">
        <v>3.113961038961039</v>
      </c>
      <c r="G6" s="9">
        <v>3.0391608391608389</v>
      </c>
      <c r="H6" s="9">
        <v>2.9670208579299491</v>
      </c>
      <c r="I6" s="9">
        <v>2.8974219810040704</v>
      </c>
      <c r="J6" s="9">
        <v>2.8302521008403358</v>
      </c>
      <c r="K6" s="9">
        <v>2.7654056088838699</v>
      </c>
      <c r="L6" s="9">
        <v>2.7027829313543599</v>
      </c>
    </row>
    <row r="7" spans="1:18">
      <c r="A7" s="1" t="s">
        <v>284</v>
      </c>
      <c r="B7" s="9" t="s">
        <v>475</v>
      </c>
      <c r="C7" s="9" t="s">
        <v>146</v>
      </c>
      <c r="D7" s="9">
        <v>1</v>
      </c>
      <c r="E7" s="9">
        <v>2.8901734104046244</v>
      </c>
      <c r="F7" s="9">
        <v>2.8901734104046244</v>
      </c>
      <c r="G7" s="9">
        <v>2.8901734104046244</v>
      </c>
      <c r="H7" s="9">
        <v>2.8901734104046244</v>
      </c>
      <c r="I7" s="9">
        <v>2.8901734104046244</v>
      </c>
      <c r="J7" s="9">
        <v>2.8901734104046244</v>
      </c>
      <c r="K7" s="9">
        <v>2.8901734104046244</v>
      </c>
      <c r="L7" s="9">
        <v>2.8901734104046244</v>
      </c>
      <c r="P7" s="9" t="s">
        <v>491</v>
      </c>
      <c r="Q7" s="9" t="s">
        <v>492</v>
      </c>
    </row>
    <row r="8" spans="1:18">
      <c r="A8" s="1" t="s">
        <v>284</v>
      </c>
      <c r="B8" s="9" t="s">
        <v>475</v>
      </c>
      <c r="C8" s="9" t="s">
        <v>146</v>
      </c>
      <c r="D8" s="9">
        <v>2</v>
      </c>
      <c r="E8" s="9">
        <v>3.5714285714285712</v>
      </c>
      <c r="F8" s="9">
        <v>3.5714285714285712</v>
      </c>
      <c r="G8" s="9">
        <v>3.5714285714285712</v>
      </c>
      <c r="H8" s="9">
        <v>3.5714285714285712</v>
      </c>
      <c r="I8" s="9">
        <v>3.5714285714285712</v>
      </c>
      <c r="J8" s="9">
        <v>3.5714285714285712</v>
      </c>
      <c r="K8" s="9">
        <v>3.5714285714285712</v>
      </c>
      <c r="L8" s="9">
        <v>3.5714285714285712</v>
      </c>
      <c r="P8" s="9" t="s">
        <v>491</v>
      </c>
      <c r="Q8" s="9" t="s">
        <v>494</v>
      </c>
    </row>
    <row r="9" spans="1:18">
      <c r="A9" s="1" t="s">
        <v>284</v>
      </c>
      <c r="B9" s="9" t="s">
        <v>476</v>
      </c>
      <c r="C9" s="9" t="s">
        <v>146</v>
      </c>
      <c r="D9" s="9">
        <v>1</v>
      </c>
      <c r="E9" s="9">
        <v>3.0346820809248558</v>
      </c>
      <c r="F9" s="9">
        <v>3.0346820809248558</v>
      </c>
      <c r="G9" s="9">
        <v>3.0346820809248558</v>
      </c>
      <c r="H9" s="9">
        <v>3.0346820809248558</v>
      </c>
      <c r="I9" s="9">
        <v>3.0346820809248558</v>
      </c>
      <c r="J9" s="9">
        <v>3.0346820809248558</v>
      </c>
      <c r="K9" s="9">
        <v>3.0346820809248558</v>
      </c>
      <c r="L9" s="9">
        <v>3.0346820809248558</v>
      </c>
      <c r="P9" s="9" t="s">
        <v>491</v>
      </c>
      <c r="Q9" s="9" t="s">
        <v>492</v>
      </c>
      <c r="R9" s="9" t="s">
        <v>493</v>
      </c>
    </row>
    <row r="10" spans="1:18">
      <c r="A10" s="1" t="s">
        <v>284</v>
      </c>
      <c r="B10" s="9" t="s">
        <v>476</v>
      </c>
      <c r="C10" s="9" t="s">
        <v>146</v>
      </c>
      <c r="D10" s="9">
        <v>2</v>
      </c>
      <c r="E10" s="9">
        <v>3.75</v>
      </c>
      <c r="F10" s="9">
        <v>3.75</v>
      </c>
      <c r="G10" s="9">
        <v>3.75</v>
      </c>
      <c r="H10" s="9">
        <v>3.75</v>
      </c>
      <c r="I10" s="9">
        <v>3.75</v>
      </c>
      <c r="J10" s="9">
        <v>3.75</v>
      </c>
      <c r="K10" s="9">
        <v>3.75</v>
      </c>
      <c r="L10" s="9">
        <v>3.75</v>
      </c>
      <c r="P10" s="9" t="s">
        <v>491</v>
      </c>
      <c r="Q10" s="9" t="s">
        <v>494</v>
      </c>
      <c r="R10" s="9" t="s">
        <v>493</v>
      </c>
    </row>
    <row r="11" spans="1:18">
      <c r="A11" s="1" t="s">
        <v>284</v>
      </c>
      <c r="B11" s="9" t="s">
        <v>108</v>
      </c>
      <c r="C11" s="9" t="s">
        <v>156</v>
      </c>
      <c r="D11" s="9">
        <v>1</v>
      </c>
      <c r="E11" s="9">
        <v>2.6525198938992043</v>
      </c>
      <c r="F11" s="9">
        <v>2.6525198938992043</v>
      </c>
      <c r="G11" s="9">
        <v>2.6525198938992043</v>
      </c>
      <c r="H11" s="9">
        <v>2.6525198938992043</v>
      </c>
      <c r="I11" s="9">
        <v>2.6525198938992043</v>
      </c>
      <c r="J11" s="9">
        <v>2.6525198938992043</v>
      </c>
      <c r="K11" s="9">
        <v>2.6525198938992043</v>
      </c>
      <c r="L11" s="9">
        <v>2.6525198938992043</v>
      </c>
      <c r="P11" s="9" t="s">
        <v>491</v>
      </c>
      <c r="Q11" s="9" t="s">
        <v>492</v>
      </c>
    </row>
    <row r="12" spans="1:18">
      <c r="A12" s="1" t="s">
        <v>284</v>
      </c>
      <c r="B12" s="9" t="s">
        <v>108</v>
      </c>
      <c r="C12" s="9" t="s">
        <v>156</v>
      </c>
      <c r="D12" s="9">
        <v>2</v>
      </c>
      <c r="E12" s="9">
        <v>3.5335689045936398</v>
      </c>
      <c r="F12" s="9">
        <v>3.5335689045936398</v>
      </c>
      <c r="G12" s="9">
        <v>3.5335689045936398</v>
      </c>
      <c r="H12" s="9">
        <v>3.5335689045936398</v>
      </c>
      <c r="I12" s="9">
        <v>3.5335689045936398</v>
      </c>
      <c r="J12" s="9">
        <v>3.5335689045936398</v>
      </c>
      <c r="K12" s="9">
        <v>3.5335689045936398</v>
      </c>
      <c r="L12" s="9">
        <v>3.5335689045936398</v>
      </c>
      <c r="P12" s="9" t="s">
        <v>491</v>
      </c>
      <c r="Q12" s="9" t="s">
        <v>494</v>
      </c>
    </row>
    <row r="13" spans="1:18">
      <c r="A13" s="1" t="s">
        <v>284</v>
      </c>
      <c r="B13" s="9" t="s">
        <v>477</v>
      </c>
      <c r="C13" s="9" t="s">
        <v>156</v>
      </c>
      <c r="D13" s="9">
        <v>1</v>
      </c>
      <c r="E13" s="9">
        <v>2.7851458885941645</v>
      </c>
      <c r="F13" s="9">
        <v>2.7851458885941645</v>
      </c>
      <c r="G13" s="9">
        <v>2.7851458885941645</v>
      </c>
      <c r="H13" s="9">
        <v>2.7851458885941645</v>
      </c>
      <c r="I13" s="9">
        <v>2.7851458885941645</v>
      </c>
      <c r="J13" s="9">
        <v>2.7851458885941645</v>
      </c>
      <c r="K13" s="9">
        <v>2.7851458885941645</v>
      </c>
      <c r="L13" s="9">
        <v>2.7851458885941645</v>
      </c>
      <c r="P13" s="9" t="s">
        <v>491</v>
      </c>
      <c r="Q13" s="9" t="s">
        <v>492</v>
      </c>
      <c r="R13" s="9" t="s">
        <v>493</v>
      </c>
    </row>
    <row r="14" spans="1:18">
      <c r="A14" s="1" t="s">
        <v>284</v>
      </c>
      <c r="B14" s="9" t="s">
        <v>477</v>
      </c>
      <c r="C14" s="9" t="s">
        <v>156</v>
      </c>
      <c r="D14" s="9">
        <v>2</v>
      </c>
      <c r="E14" s="9">
        <v>3.7102473498233222</v>
      </c>
      <c r="F14" s="9">
        <v>3.7102473498233222</v>
      </c>
      <c r="G14" s="9">
        <v>3.7102473498233222</v>
      </c>
      <c r="H14" s="9">
        <v>3.7102473498233222</v>
      </c>
      <c r="I14" s="9">
        <v>3.7102473498233222</v>
      </c>
      <c r="J14" s="9">
        <v>3.7102473498233222</v>
      </c>
      <c r="K14" s="9">
        <v>3.7102473498233222</v>
      </c>
      <c r="L14" s="9">
        <v>3.7102473498233222</v>
      </c>
      <c r="P14" s="9" t="s">
        <v>491</v>
      </c>
      <c r="Q14" s="9" t="s">
        <v>494</v>
      </c>
      <c r="R14" s="9" t="s">
        <v>493</v>
      </c>
    </row>
    <row r="15" spans="1:18">
      <c r="A15" s="1" t="s">
        <v>284</v>
      </c>
      <c r="B15" s="9" t="s">
        <v>109</v>
      </c>
      <c r="C15" s="9" t="s">
        <v>157</v>
      </c>
      <c r="D15" s="9">
        <v>1</v>
      </c>
      <c r="E15" s="9">
        <v>2.8248587570621471</v>
      </c>
      <c r="F15" s="9">
        <v>2.8248587570621471</v>
      </c>
      <c r="G15" s="9">
        <v>2.8248587570621471</v>
      </c>
      <c r="H15" s="9">
        <v>2.8248587570621471</v>
      </c>
      <c r="I15" s="9">
        <v>2.8248587570621471</v>
      </c>
      <c r="J15" s="9">
        <v>2.8248587570621471</v>
      </c>
      <c r="K15" s="9">
        <v>2.8248587570621471</v>
      </c>
      <c r="L15" s="9">
        <v>2.8248587570621471</v>
      </c>
      <c r="P15" s="9" t="s">
        <v>491</v>
      </c>
      <c r="Q15" s="9" t="s">
        <v>492</v>
      </c>
    </row>
    <row r="16" spans="1:18">
      <c r="A16" s="1" t="s">
        <v>284</v>
      </c>
      <c r="B16" s="9" t="s">
        <v>109</v>
      </c>
      <c r="C16" s="9" t="s">
        <v>157</v>
      </c>
      <c r="D16" s="9">
        <v>2</v>
      </c>
      <c r="E16" s="9">
        <v>3.7593984962406015</v>
      </c>
      <c r="F16" s="9">
        <v>3.7593984962406015</v>
      </c>
      <c r="G16" s="9">
        <v>3.7593984962406015</v>
      </c>
      <c r="H16" s="9">
        <v>3.7593984962406015</v>
      </c>
      <c r="I16" s="9">
        <v>3.7593984962406015</v>
      </c>
      <c r="J16" s="9">
        <v>3.7593984962406015</v>
      </c>
      <c r="K16" s="9">
        <v>3.7593984962406015</v>
      </c>
      <c r="L16" s="9">
        <v>3.7593984962406015</v>
      </c>
      <c r="P16" s="9" t="s">
        <v>491</v>
      </c>
      <c r="Q16" s="9" t="s">
        <v>494</v>
      </c>
    </row>
    <row r="17" spans="1:18">
      <c r="A17" s="1" t="s">
        <v>284</v>
      </c>
      <c r="B17" s="9" t="s">
        <v>478</v>
      </c>
      <c r="C17" s="9" t="s">
        <v>157</v>
      </c>
      <c r="D17" s="9">
        <v>1</v>
      </c>
      <c r="E17" s="9">
        <v>2.9661016949152543</v>
      </c>
      <c r="F17" s="9">
        <v>2.9661016949152543</v>
      </c>
      <c r="G17" s="9">
        <v>2.9661016949152543</v>
      </c>
      <c r="H17" s="9">
        <v>2.9661016949152543</v>
      </c>
      <c r="I17" s="9">
        <v>2.9661016949152543</v>
      </c>
      <c r="J17" s="9">
        <v>2.9661016949152543</v>
      </c>
      <c r="K17" s="9">
        <v>2.9661016949152543</v>
      </c>
      <c r="L17" s="9">
        <v>2.9661016949152543</v>
      </c>
      <c r="P17" s="9" t="s">
        <v>491</v>
      </c>
      <c r="Q17" s="9" t="s">
        <v>492</v>
      </c>
      <c r="R17" s="9" t="s">
        <v>493</v>
      </c>
    </row>
    <row r="18" spans="1:18">
      <c r="A18" s="1" t="s">
        <v>284</v>
      </c>
      <c r="B18" s="9" t="s">
        <v>478</v>
      </c>
      <c r="C18" s="9" t="s">
        <v>157</v>
      </c>
      <c r="D18" s="9">
        <v>2</v>
      </c>
      <c r="E18" s="9">
        <v>3.9473684210526319</v>
      </c>
      <c r="F18" s="9">
        <v>3.9473684210526319</v>
      </c>
      <c r="G18" s="9">
        <v>3.9473684210526319</v>
      </c>
      <c r="H18" s="9">
        <v>3.9473684210526319</v>
      </c>
      <c r="I18" s="9">
        <v>3.9473684210526319</v>
      </c>
      <c r="J18" s="9">
        <v>3.9473684210526319</v>
      </c>
      <c r="K18" s="9">
        <v>3.9473684210526319</v>
      </c>
      <c r="L18" s="9">
        <v>3.9473684210526319</v>
      </c>
      <c r="P18" s="9" t="s">
        <v>491</v>
      </c>
      <c r="Q18" s="9" t="s">
        <v>494</v>
      </c>
      <c r="R18" s="9" t="s">
        <v>493</v>
      </c>
    </row>
    <row r="19" spans="1:18">
      <c r="A19" s="1" t="s">
        <v>284</v>
      </c>
      <c r="B19" s="1" t="s">
        <v>110</v>
      </c>
      <c r="C19" s="11" t="s">
        <v>203</v>
      </c>
      <c r="D19" s="11">
        <v>2</v>
      </c>
      <c r="E19" s="9">
        <v>1.7543859649122808</v>
      </c>
      <c r="F19" s="9">
        <v>1.6930243283754183</v>
      </c>
      <c r="G19" s="9">
        <v>1.6603174603174604</v>
      </c>
      <c r="H19" s="9">
        <v>1.6289059886249584</v>
      </c>
      <c r="I19" s="9">
        <v>1.6115369725125821</v>
      </c>
      <c r="J19" s="9">
        <v>1.5945578231292519</v>
      </c>
      <c r="K19" s="9">
        <v>1.5779591836734694</v>
      </c>
      <c r="L19" s="9">
        <v>1.5617319943850556</v>
      </c>
    </row>
    <row r="20" spans="1:18">
      <c r="A20" s="1" t="s">
        <v>284</v>
      </c>
      <c r="B20" s="1" t="s">
        <v>110</v>
      </c>
      <c r="C20" s="9" t="s">
        <v>204</v>
      </c>
      <c r="D20" s="11">
        <v>3</v>
      </c>
      <c r="E20" s="9">
        <v>1.7543859649122808</v>
      </c>
      <c r="F20" s="9">
        <v>1.6930243283754183</v>
      </c>
      <c r="G20" s="9">
        <v>1.6603174603174604</v>
      </c>
      <c r="H20" s="9">
        <v>1.6289059886249584</v>
      </c>
      <c r="I20" s="9">
        <v>1.6115369725125821</v>
      </c>
      <c r="J20" s="9">
        <v>1.5945578231292519</v>
      </c>
      <c r="K20" s="9">
        <v>1.5779591836734694</v>
      </c>
      <c r="L20" s="9">
        <v>1.5617319943850556</v>
      </c>
    </row>
    <row r="21" spans="1:18">
      <c r="A21" s="1" t="s">
        <v>284</v>
      </c>
      <c r="B21" s="9" t="s">
        <v>479</v>
      </c>
      <c r="C21" s="9" t="s">
        <v>203</v>
      </c>
      <c r="D21" s="9">
        <v>1</v>
      </c>
      <c r="E21" s="9">
        <v>1.8484288354898335</v>
      </c>
      <c r="F21" s="9">
        <v>1.8484288354898335</v>
      </c>
      <c r="G21" s="9">
        <v>1.8484288354898335</v>
      </c>
      <c r="H21" s="9">
        <v>1.8484288354898335</v>
      </c>
      <c r="I21" s="9">
        <v>1.8484288354898335</v>
      </c>
      <c r="J21" s="9">
        <v>1.8484288354898335</v>
      </c>
      <c r="K21" s="9">
        <v>1.8484288354898335</v>
      </c>
      <c r="L21" s="9">
        <v>1.8484288354898335</v>
      </c>
      <c r="P21" s="9" t="s">
        <v>491</v>
      </c>
      <c r="Q21" s="9" t="s">
        <v>492</v>
      </c>
    </row>
    <row r="22" spans="1:18">
      <c r="A22" s="1" t="s">
        <v>284</v>
      </c>
      <c r="B22" s="9" t="s">
        <v>479</v>
      </c>
      <c r="C22" s="9" t="s">
        <v>203</v>
      </c>
      <c r="D22" s="9">
        <v>2</v>
      </c>
      <c r="E22" s="9">
        <v>2.0080321285140563</v>
      </c>
      <c r="F22" s="9">
        <v>2.0080321285140563</v>
      </c>
      <c r="G22" s="9">
        <v>2.0080321285140563</v>
      </c>
      <c r="H22" s="9">
        <v>2.0080321285140563</v>
      </c>
      <c r="I22" s="9">
        <v>2.0080321285140563</v>
      </c>
      <c r="J22" s="9">
        <v>2.0080321285140563</v>
      </c>
      <c r="K22" s="9">
        <v>2.0080321285140563</v>
      </c>
      <c r="L22" s="9">
        <v>2.0080321285140563</v>
      </c>
      <c r="P22" s="9" t="s">
        <v>491</v>
      </c>
      <c r="Q22" s="9" t="s">
        <v>494</v>
      </c>
    </row>
    <row r="23" spans="1:18">
      <c r="A23" s="1" t="s">
        <v>284</v>
      </c>
      <c r="B23" s="9" t="s">
        <v>480</v>
      </c>
      <c r="C23" s="9" t="s">
        <v>203</v>
      </c>
      <c r="D23" s="9">
        <v>1</v>
      </c>
      <c r="E23" s="9">
        <v>1.9408502772643252</v>
      </c>
      <c r="F23" s="9">
        <v>1.9408502772643252</v>
      </c>
      <c r="G23" s="9">
        <v>1.9408502772643252</v>
      </c>
      <c r="H23" s="9">
        <v>1.9408502772643252</v>
      </c>
      <c r="I23" s="9">
        <v>1.9408502772643252</v>
      </c>
      <c r="J23" s="9">
        <v>1.9408502772643252</v>
      </c>
      <c r="K23" s="9">
        <v>1.9408502772643252</v>
      </c>
      <c r="L23" s="9">
        <v>1.9408502772643252</v>
      </c>
      <c r="P23" s="9" t="s">
        <v>491</v>
      </c>
      <c r="Q23" s="9" t="s">
        <v>492</v>
      </c>
      <c r="R23" s="9" t="s">
        <v>493</v>
      </c>
    </row>
    <row r="24" spans="1:18">
      <c r="A24" s="1" t="s">
        <v>284</v>
      </c>
      <c r="B24" s="9" t="s">
        <v>480</v>
      </c>
      <c r="C24" s="9" t="s">
        <v>203</v>
      </c>
      <c r="D24" s="9">
        <v>2</v>
      </c>
      <c r="E24" s="9">
        <v>2.1084337349397591</v>
      </c>
      <c r="F24" s="9">
        <v>2.1084337349397591</v>
      </c>
      <c r="G24" s="9">
        <v>2.1084337349397591</v>
      </c>
      <c r="H24" s="9">
        <v>2.1084337349397591</v>
      </c>
      <c r="I24" s="9">
        <v>2.1084337349397591</v>
      </c>
      <c r="J24" s="9">
        <v>2.1084337349397591</v>
      </c>
      <c r="K24" s="9">
        <v>2.1084337349397591</v>
      </c>
      <c r="L24" s="9">
        <v>2.1084337349397591</v>
      </c>
      <c r="P24" s="9" t="s">
        <v>491</v>
      </c>
      <c r="Q24" s="9" t="s">
        <v>494</v>
      </c>
      <c r="R24" s="9" t="s">
        <v>493</v>
      </c>
    </row>
    <row r="25" spans="1:18">
      <c r="A25" s="1" t="s">
        <v>284</v>
      </c>
      <c r="B25" s="9" t="s">
        <v>481</v>
      </c>
      <c r="C25" s="9" t="s">
        <v>202</v>
      </c>
      <c r="D25" s="9">
        <v>1</v>
      </c>
      <c r="E25" s="9">
        <v>1.8484288354898335</v>
      </c>
      <c r="F25" s="9">
        <v>1.8484288354898335</v>
      </c>
      <c r="G25" s="9">
        <v>1.8484288354898335</v>
      </c>
      <c r="H25" s="9">
        <v>1.8484288354898335</v>
      </c>
      <c r="I25" s="9">
        <v>1.8484288354898335</v>
      </c>
      <c r="J25" s="9">
        <v>1.8484288354898335</v>
      </c>
      <c r="K25" s="9">
        <v>1.8484288354898335</v>
      </c>
      <c r="L25" s="9">
        <v>1.8484288354898335</v>
      </c>
      <c r="P25" s="9" t="s">
        <v>491</v>
      </c>
      <c r="Q25" s="9" t="s">
        <v>492</v>
      </c>
    </row>
    <row r="26" spans="1:18">
      <c r="A26" s="1" t="s">
        <v>284</v>
      </c>
      <c r="B26" s="9" t="s">
        <v>481</v>
      </c>
      <c r="C26" s="9" t="s">
        <v>202</v>
      </c>
      <c r="D26" s="9">
        <v>2</v>
      </c>
      <c r="E26" s="9">
        <v>2.0080321285140563</v>
      </c>
      <c r="F26" s="9">
        <v>2.0080321285140563</v>
      </c>
      <c r="G26" s="9">
        <v>2.0080321285140563</v>
      </c>
      <c r="H26" s="9">
        <v>2.0080321285140563</v>
      </c>
      <c r="I26" s="9">
        <v>2.0080321285140563</v>
      </c>
      <c r="J26" s="9">
        <v>2.0080321285140563</v>
      </c>
      <c r="K26" s="9">
        <v>2.0080321285140563</v>
      </c>
      <c r="L26" s="9">
        <v>2.0080321285140563</v>
      </c>
      <c r="P26" s="9" t="s">
        <v>491</v>
      </c>
      <c r="Q26" s="9" t="s">
        <v>494</v>
      </c>
    </row>
    <row r="27" spans="1:18">
      <c r="A27" s="1" t="s">
        <v>284</v>
      </c>
      <c r="B27" s="9" t="s">
        <v>482</v>
      </c>
      <c r="C27" s="9" t="s">
        <v>202</v>
      </c>
      <c r="D27" s="9">
        <v>1</v>
      </c>
      <c r="E27" s="9">
        <v>1.9408502772643252</v>
      </c>
      <c r="F27" s="9">
        <v>1.9408502772643252</v>
      </c>
      <c r="G27" s="9">
        <v>1.9408502772643252</v>
      </c>
      <c r="H27" s="9">
        <v>1.9408502772643252</v>
      </c>
      <c r="I27" s="9">
        <v>1.9408502772643252</v>
      </c>
      <c r="J27" s="9">
        <v>1.9408502772643252</v>
      </c>
      <c r="K27" s="9">
        <v>1.9408502772643252</v>
      </c>
      <c r="L27" s="9">
        <v>1.9408502772643252</v>
      </c>
      <c r="P27" s="9" t="s">
        <v>491</v>
      </c>
      <c r="Q27" s="9" t="s">
        <v>492</v>
      </c>
      <c r="R27" s="9" t="s">
        <v>493</v>
      </c>
    </row>
    <row r="28" spans="1:18">
      <c r="A28" s="1" t="s">
        <v>284</v>
      </c>
      <c r="B28" s="9" t="s">
        <v>482</v>
      </c>
      <c r="C28" s="9" t="s">
        <v>202</v>
      </c>
      <c r="D28" s="9">
        <v>2</v>
      </c>
      <c r="E28" s="9">
        <v>2.1084337349397591</v>
      </c>
      <c r="F28" s="9">
        <v>2.1084337349397591</v>
      </c>
      <c r="G28" s="9">
        <v>2.1084337349397591</v>
      </c>
      <c r="H28" s="9">
        <v>2.1084337349397591</v>
      </c>
      <c r="I28" s="9">
        <v>2.1084337349397591</v>
      </c>
      <c r="J28" s="9">
        <v>2.1084337349397591</v>
      </c>
      <c r="K28" s="9">
        <v>2.1084337349397591</v>
      </c>
      <c r="L28" s="9">
        <v>2.1084337349397591</v>
      </c>
      <c r="P28" s="9" t="s">
        <v>491</v>
      </c>
      <c r="Q28" s="9" t="s">
        <v>494</v>
      </c>
      <c r="R28" s="9" t="s">
        <v>493</v>
      </c>
    </row>
    <row r="29" spans="1:18">
      <c r="A29" s="1" t="s">
        <v>284</v>
      </c>
      <c r="B29" s="9" t="s">
        <v>483</v>
      </c>
      <c r="C29" s="9" t="s">
        <v>204</v>
      </c>
      <c r="D29" s="9">
        <v>1</v>
      </c>
      <c r="E29" s="9">
        <v>1.8484288354898335</v>
      </c>
      <c r="F29" s="9">
        <v>1.8484288354898335</v>
      </c>
      <c r="G29" s="9">
        <v>1.8484288354898335</v>
      </c>
      <c r="H29" s="9">
        <v>1.8484288354898335</v>
      </c>
      <c r="I29" s="9">
        <v>1.8484288354898335</v>
      </c>
      <c r="J29" s="9">
        <v>1.8484288354898335</v>
      </c>
      <c r="K29" s="9">
        <v>1.8484288354898335</v>
      </c>
      <c r="L29" s="9">
        <v>1.8484288354898335</v>
      </c>
      <c r="P29" s="9" t="s">
        <v>491</v>
      </c>
      <c r="Q29" s="9" t="s">
        <v>492</v>
      </c>
    </row>
    <row r="30" spans="1:18">
      <c r="A30" s="1" t="s">
        <v>284</v>
      </c>
      <c r="B30" s="9" t="s">
        <v>483</v>
      </c>
      <c r="C30" s="9" t="s">
        <v>204</v>
      </c>
      <c r="D30" s="9">
        <v>2</v>
      </c>
      <c r="E30" s="9">
        <v>2.0080321285140563</v>
      </c>
      <c r="F30" s="9">
        <v>2.0080321285140563</v>
      </c>
      <c r="G30" s="9">
        <v>2.0080321285140563</v>
      </c>
      <c r="H30" s="9">
        <v>2.0080321285140563</v>
      </c>
      <c r="I30" s="9">
        <v>2.0080321285140563</v>
      </c>
      <c r="J30" s="9">
        <v>2.0080321285140563</v>
      </c>
      <c r="K30" s="9">
        <v>2.0080321285140563</v>
      </c>
      <c r="L30" s="9">
        <v>2.0080321285140563</v>
      </c>
      <c r="P30" s="9" t="s">
        <v>491</v>
      </c>
      <c r="Q30" s="9" t="s">
        <v>494</v>
      </c>
    </row>
    <row r="31" spans="1:18">
      <c r="A31" s="1" t="s">
        <v>284</v>
      </c>
      <c r="B31" s="9" t="s">
        <v>484</v>
      </c>
      <c r="C31" s="9" t="s">
        <v>145</v>
      </c>
      <c r="D31" s="9">
        <v>2</v>
      </c>
      <c r="E31" s="9">
        <v>1</v>
      </c>
      <c r="F31" s="9">
        <v>1</v>
      </c>
      <c r="G31" s="9">
        <v>1</v>
      </c>
      <c r="H31" s="9">
        <v>1</v>
      </c>
      <c r="I31" s="9">
        <v>1</v>
      </c>
      <c r="J31" s="9">
        <v>1</v>
      </c>
      <c r="K31" s="9">
        <v>1</v>
      </c>
      <c r="L31" s="9">
        <v>1</v>
      </c>
      <c r="P31" s="9" t="s">
        <v>495</v>
      </c>
      <c r="Q31" s="9" t="s">
        <v>494</v>
      </c>
    </row>
    <row r="32" spans="1:18">
      <c r="A32" s="1" t="s">
        <v>284</v>
      </c>
      <c r="B32" s="9" t="s">
        <v>485</v>
      </c>
      <c r="C32" s="9" t="s">
        <v>143</v>
      </c>
      <c r="D32" s="9">
        <v>1</v>
      </c>
      <c r="E32" s="9">
        <v>2.8248587570621471</v>
      </c>
      <c r="F32" s="9">
        <v>2.8248587570621471</v>
      </c>
      <c r="G32" s="9">
        <v>2.8248587570621471</v>
      </c>
      <c r="H32" s="9">
        <v>2.8248587570621471</v>
      </c>
      <c r="I32" s="9">
        <v>2.8248587570621471</v>
      </c>
      <c r="J32" s="9">
        <v>2.8248587570621471</v>
      </c>
      <c r="K32" s="9">
        <v>2.8248587570621471</v>
      </c>
      <c r="L32" s="9">
        <v>2.8248587570621471</v>
      </c>
      <c r="P32" s="9" t="s">
        <v>496</v>
      </c>
    </row>
    <row r="33" spans="1:16">
      <c r="A33" s="1" t="s">
        <v>284</v>
      </c>
      <c r="B33" s="9" t="s">
        <v>485</v>
      </c>
      <c r="C33" s="9" t="s">
        <v>143</v>
      </c>
      <c r="D33" s="9">
        <v>2</v>
      </c>
      <c r="E33" s="9">
        <v>3.7593984962406015</v>
      </c>
      <c r="F33" s="9">
        <v>3.7593984962406015</v>
      </c>
      <c r="G33" s="9">
        <v>3.7593984962406015</v>
      </c>
      <c r="H33" s="9">
        <v>3.7593984962406015</v>
      </c>
      <c r="I33" s="9">
        <v>3.7593984962406015</v>
      </c>
      <c r="J33" s="9">
        <v>3.7593984962406015</v>
      </c>
      <c r="K33" s="9">
        <v>3.7593984962406015</v>
      </c>
      <c r="L33" s="9">
        <v>3.7593984962406015</v>
      </c>
      <c r="P33" s="9" t="s">
        <v>496</v>
      </c>
    </row>
    <row r="34" spans="1:16">
      <c r="A34" s="1" t="s">
        <v>284</v>
      </c>
      <c r="B34" s="9" t="s">
        <v>140</v>
      </c>
      <c r="C34" s="9" t="s">
        <v>24</v>
      </c>
      <c r="D34" s="9">
        <v>1</v>
      </c>
      <c r="E34" s="9">
        <v>1</v>
      </c>
      <c r="F34" s="9">
        <v>1</v>
      </c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9">
        <v>1</v>
      </c>
    </row>
    <row r="35" spans="1:16">
      <c r="A35" s="1" t="s">
        <v>284</v>
      </c>
      <c r="B35" s="9" t="s">
        <v>141</v>
      </c>
      <c r="C35" s="9" t="s">
        <v>24</v>
      </c>
      <c r="D35" s="9">
        <v>1</v>
      </c>
      <c r="E35" s="9">
        <v>1</v>
      </c>
      <c r="F35" s="9">
        <v>1</v>
      </c>
      <c r="G35" s="9">
        <v>1</v>
      </c>
      <c r="H35" s="9">
        <v>1</v>
      </c>
      <c r="I35" s="9">
        <v>1</v>
      </c>
      <c r="J35" s="9">
        <v>1</v>
      </c>
      <c r="K35" s="9">
        <v>1</v>
      </c>
      <c r="L35" s="9">
        <v>1</v>
      </c>
    </row>
    <row r="36" spans="1:16">
      <c r="A36" s="1" t="s">
        <v>284</v>
      </c>
      <c r="B36" s="9" t="s">
        <v>196</v>
      </c>
      <c r="C36" s="9" t="s">
        <v>24</v>
      </c>
      <c r="D36" s="9">
        <v>1</v>
      </c>
      <c r="E36" s="9">
        <v>1</v>
      </c>
      <c r="F36" s="9">
        <v>1</v>
      </c>
      <c r="G36" s="9">
        <v>1</v>
      </c>
      <c r="H36" s="9">
        <v>1</v>
      </c>
      <c r="I36" s="9">
        <v>1</v>
      </c>
      <c r="J36" s="9">
        <v>1</v>
      </c>
      <c r="K36" s="9">
        <v>1</v>
      </c>
      <c r="L36" s="9">
        <v>1</v>
      </c>
    </row>
    <row r="37" spans="1:16">
      <c r="A37" s="1" t="s">
        <v>284</v>
      </c>
      <c r="B37" s="9" t="s">
        <v>152</v>
      </c>
      <c r="C37" s="9" t="s">
        <v>145</v>
      </c>
      <c r="D37" s="9">
        <v>1</v>
      </c>
      <c r="E37" s="9">
        <v>1</v>
      </c>
      <c r="F37" s="9">
        <v>1</v>
      </c>
      <c r="G37" s="9">
        <v>1</v>
      </c>
      <c r="H37" s="9">
        <v>1</v>
      </c>
      <c r="I37" s="9">
        <v>1</v>
      </c>
      <c r="J37" s="9">
        <v>1</v>
      </c>
      <c r="K37" s="9">
        <v>1</v>
      </c>
      <c r="L37" s="9">
        <v>1</v>
      </c>
    </row>
    <row r="38" spans="1:16">
      <c r="A38" s="1" t="s">
        <v>284</v>
      </c>
      <c r="B38" s="9" t="s">
        <v>153</v>
      </c>
      <c r="C38" s="11" t="s">
        <v>202</v>
      </c>
      <c r="D38" s="9">
        <v>1</v>
      </c>
      <c r="E38" s="9">
        <v>1</v>
      </c>
      <c r="F38" s="9">
        <v>1</v>
      </c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</row>
    <row r="39" spans="1:16">
      <c r="A39" s="1" t="s">
        <v>284</v>
      </c>
      <c r="B39" s="11" t="s">
        <v>250</v>
      </c>
      <c r="C39" s="1" t="s">
        <v>212</v>
      </c>
      <c r="D39" s="9">
        <v>1</v>
      </c>
      <c r="E39" s="9">
        <v>1</v>
      </c>
      <c r="F39" s="9">
        <v>1</v>
      </c>
      <c r="G39" s="9">
        <v>1</v>
      </c>
      <c r="H39" s="9">
        <v>1</v>
      </c>
      <c r="I39" s="9">
        <v>1</v>
      </c>
      <c r="J39" s="9">
        <v>1</v>
      </c>
      <c r="K39" s="9">
        <v>1</v>
      </c>
      <c r="L39" s="9">
        <v>1</v>
      </c>
    </row>
    <row r="40" spans="1:16">
      <c r="A40" s="1" t="s">
        <v>284</v>
      </c>
      <c r="B40" s="11" t="s">
        <v>252</v>
      </c>
      <c r="C40" s="1" t="s">
        <v>276</v>
      </c>
      <c r="D40" s="9">
        <v>1</v>
      </c>
      <c r="E40" s="9">
        <v>1</v>
      </c>
      <c r="F40" s="9">
        <v>1</v>
      </c>
      <c r="G40" s="9">
        <v>1</v>
      </c>
      <c r="H40" s="9">
        <v>1</v>
      </c>
      <c r="I40" s="9">
        <v>1</v>
      </c>
      <c r="J40" s="9">
        <v>1</v>
      </c>
      <c r="K40" s="9">
        <v>1</v>
      </c>
      <c r="L40" s="9">
        <v>1</v>
      </c>
    </row>
    <row r="41" spans="1:16">
      <c r="A41" s="1" t="s">
        <v>284</v>
      </c>
      <c r="B41" s="11" t="s">
        <v>139</v>
      </c>
      <c r="C41" s="9" t="s">
        <v>24</v>
      </c>
      <c r="D41" s="9">
        <v>1</v>
      </c>
      <c r="E41" s="9">
        <v>1</v>
      </c>
      <c r="F41" s="9">
        <v>1</v>
      </c>
      <c r="G41" s="9">
        <v>1</v>
      </c>
      <c r="H41" s="9">
        <v>1</v>
      </c>
      <c r="I41" s="9">
        <v>1</v>
      </c>
      <c r="J41" s="9">
        <v>1</v>
      </c>
      <c r="K41" s="9">
        <v>1</v>
      </c>
      <c r="L41" s="9">
        <v>1</v>
      </c>
    </row>
    <row r="42" spans="1:16">
      <c r="A42" s="1" t="s">
        <v>284</v>
      </c>
      <c r="B42" s="9" t="s">
        <v>142</v>
      </c>
      <c r="C42" s="9" t="s">
        <v>24</v>
      </c>
      <c r="D42" s="9">
        <v>1</v>
      </c>
      <c r="E42" s="9">
        <v>1</v>
      </c>
      <c r="F42" s="9">
        <v>1</v>
      </c>
      <c r="G42" s="9">
        <v>1</v>
      </c>
      <c r="H42" s="9">
        <v>1</v>
      </c>
      <c r="I42" s="9">
        <v>1</v>
      </c>
      <c r="J42" s="9">
        <v>1</v>
      </c>
      <c r="K42" s="9">
        <v>1</v>
      </c>
      <c r="L42" s="9">
        <v>1</v>
      </c>
    </row>
    <row r="43" spans="1:16">
      <c r="A43" s="1" t="s">
        <v>284</v>
      </c>
      <c r="B43" s="29" t="s">
        <v>134</v>
      </c>
      <c r="C43" s="9" t="s">
        <v>143</v>
      </c>
      <c r="D43" s="9">
        <v>1</v>
      </c>
      <c r="E43" s="9">
        <v>0.31</v>
      </c>
      <c r="F43" s="9">
        <v>0.3085</v>
      </c>
      <c r="G43" s="9">
        <v>0.30690000000000001</v>
      </c>
      <c r="H43" s="9">
        <v>0.3054</v>
      </c>
      <c r="I43" s="9">
        <v>0.3039</v>
      </c>
      <c r="J43" s="9">
        <v>0.30230000000000001</v>
      </c>
      <c r="K43" s="9">
        <v>0.30080000000000001</v>
      </c>
      <c r="L43" s="9">
        <v>0.29930000000000001</v>
      </c>
    </row>
    <row r="44" spans="1:16">
      <c r="A44" s="1" t="s">
        <v>284</v>
      </c>
      <c r="B44" s="29" t="s">
        <v>134</v>
      </c>
      <c r="C44" s="9" t="s">
        <v>275</v>
      </c>
      <c r="D44" s="9">
        <v>2</v>
      </c>
      <c r="E44" s="9">
        <v>0.31</v>
      </c>
      <c r="F44" s="9">
        <v>0.3085</v>
      </c>
      <c r="G44" s="9">
        <v>0.30690000000000001</v>
      </c>
      <c r="H44" s="9">
        <v>0.3054</v>
      </c>
      <c r="I44" s="9">
        <v>0.3039</v>
      </c>
      <c r="J44" s="9">
        <v>0.30230000000000001</v>
      </c>
      <c r="K44" s="9">
        <v>0.30080000000000001</v>
      </c>
      <c r="L44" s="9">
        <v>0.29930000000000001</v>
      </c>
    </row>
    <row r="45" spans="1:16">
      <c r="A45" s="1" t="s">
        <v>284</v>
      </c>
      <c r="B45" s="29" t="s">
        <v>134</v>
      </c>
      <c r="C45" s="9" t="s">
        <v>328</v>
      </c>
      <c r="D45" s="9">
        <v>3</v>
      </c>
      <c r="E45" s="9">
        <v>0.31</v>
      </c>
      <c r="F45" s="9">
        <v>0.3085</v>
      </c>
      <c r="G45" s="9">
        <v>0.30690000000000001</v>
      </c>
      <c r="H45" s="9">
        <v>0.3054</v>
      </c>
      <c r="I45" s="9">
        <v>0.3039</v>
      </c>
      <c r="J45" s="9">
        <v>0.30230000000000001</v>
      </c>
      <c r="K45" s="9">
        <v>0.30080000000000001</v>
      </c>
      <c r="L45" s="9">
        <v>0.29930000000000001</v>
      </c>
    </row>
    <row r="46" spans="1:16">
      <c r="A46" s="1" t="s">
        <v>284</v>
      </c>
      <c r="B46" s="29" t="s">
        <v>135</v>
      </c>
      <c r="C46" s="9" t="s">
        <v>24</v>
      </c>
      <c r="D46" s="9">
        <v>1</v>
      </c>
      <c r="E46" s="9">
        <v>0.18</v>
      </c>
      <c r="F46" s="9">
        <v>0.17910000000000001</v>
      </c>
      <c r="G46" s="9">
        <v>0.1782</v>
      </c>
      <c r="H46" s="9">
        <v>0.17730000000000001</v>
      </c>
      <c r="I46" s="9">
        <v>0.1764</v>
      </c>
      <c r="J46" s="9">
        <v>0.17560000000000001</v>
      </c>
      <c r="K46" s="9">
        <v>0.17469999999999999</v>
      </c>
      <c r="L46" s="9">
        <v>0.17380000000000001</v>
      </c>
    </row>
    <row r="47" spans="1:16">
      <c r="A47" s="1" t="s">
        <v>284</v>
      </c>
      <c r="B47" s="29" t="s">
        <v>129</v>
      </c>
      <c r="C47" s="9" t="s">
        <v>24</v>
      </c>
      <c r="D47" s="9">
        <v>1</v>
      </c>
      <c r="E47" s="58">
        <v>1.6</v>
      </c>
      <c r="F47" s="58">
        <v>1.5880000000000001</v>
      </c>
      <c r="G47" s="58">
        <v>1.5762</v>
      </c>
      <c r="H47" s="58">
        <v>1.5644</v>
      </c>
      <c r="I47" s="58">
        <v>1.5527</v>
      </c>
      <c r="J47" s="58">
        <v>1.5410999999999999</v>
      </c>
      <c r="K47" s="58">
        <v>1.5295000000000001</v>
      </c>
      <c r="L47" s="58">
        <v>1.5181</v>
      </c>
    </row>
    <row r="48" spans="1:16">
      <c r="A48" s="1" t="s">
        <v>284</v>
      </c>
      <c r="B48" s="29" t="s">
        <v>61</v>
      </c>
      <c r="C48" s="1" t="s">
        <v>145</v>
      </c>
      <c r="D48" s="9">
        <v>1</v>
      </c>
      <c r="E48" s="9">
        <v>2</v>
      </c>
      <c r="F48" s="9">
        <v>1.9702</v>
      </c>
      <c r="G48" s="9">
        <v>1.9408000000000001</v>
      </c>
      <c r="H48" s="9">
        <v>1.9118999999999999</v>
      </c>
      <c r="I48" s="9">
        <v>1.8834</v>
      </c>
      <c r="J48" s="9">
        <v>1.8552999999999999</v>
      </c>
      <c r="K48" s="9">
        <v>1.8275999999999999</v>
      </c>
      <c r="L48" s="9">
        <v>1.8004</v>
      </c>
    </row>
    <row r="49" spans="1:12">
      <c r="A49" s="1" t="s">
        <v>284</v>
      </c>
      <c r="B49" s="29" t="s">
        <v>130</v>
      </c>
      <c r="C49" s="9" t="s">
        <v>143</v>
      </c>
      <c r="D49" s="9">
        <v>1</v>
      </c>
      <c r="E49" s="9">
        <v>3.5</v>
      </c>
      <c r="F49" s="9">
        <v>3.4738000000000002</v>
      </c>
      <c r="G49" s="9">
        <v>3.4479000000000002</v>
      </c>
      <c r="H49" s="9">
        <v>3.4220999999999999</v>
      </c>
      <c r="I49" s="9">
        <v>3.3965000000000001</v>
      </c>
      <c r="J49" s="9">
        <v>3.3711000000000002</v>
      </c>
      <c r="K49" s="9">
        <v>3.3458999999999999</v>
      </c>
      <c r="L49" s="9">
        <v>3.3209</v>
      </c>
    </row>
    <row r="50" spans="1:12">
      <c r="A50" s="1" t="s">
        <v>284</v>
      </c>
      <c r="B50" s="29" t="s">
        <v>130</v>
      </c>
      <c r="C50" s="9" t="s">
        <v>275</v>
      </c>
      <c r="D50" s="9">
        <v>2</v>
      </c>
      <c r="E50" s="9">
        <v>3.5</v>
      </c>
      <c r="F50" s="9">
        <v>3.4738000000000002</v>
      </c>
      <c r="G50" s="9">
        <v>3.4479000000000002</v>
      </c>
      <c r="H50" s="9">
        <v>3.4220999999999999</v>
      </c>
      <c r="I50" s="9">
        <v>3.3965000000000001</v>
      </c>
      <c r="J50" s="9">
        <v>3.3711000000000002</v>
      </c>
      <c r="K50" s="9">
        <v>3.3458999999999999</v>
      </c>
      <c r="L50" s="9">
        <v>3.3209</v>
      </c>
    </row>
    <row r="51" spans="1:12">
      <c r="A51" s="1" t="s">
        <v>284</v>
      </c>
      <c r="B51" s="29" t="s">
        <v>130</v>
      </c>
      <c r="C51" s="9" t="s">
        <v>328</v>
      </c>
      <c r="D51" s="9">
        <v>3</v>
      </c>
      <c r="E51" s="9">
        <v>3.5</v>
      </c>
      <c r="F51" s="9">
        <v>3.4738000000000002</v>
      </c>
      <c r="G51" s="9">
        <v>3.4479000000000002</v>
      </c>
      <c r="H51" s="9">
        <v>3.4220999999999999</v>
      </c>
      <c r="I51" s="9">
        <v>3.3965000000000001</v>
      </c>
      <c r="J51" s="9">
        <v>3.3711000000000002</v>
      </c>
      <c r="K51" s="9">
        <v>3.3458999999999999</v>
      </c>
      <c r="L51" s="9">
        <v>3.3209</v>
      </c>
    </row>
    <row r="52" spans="1:12">
      <c r="A52" s="9" t="s">
        <v>284</v>
      </c>
      <c r="B52" s="24" t="s">
        <v>345</v>
      </c>
      <c r="C52" s="11" t="s">
        <v>341</v>
      </c>
      <c r="D52" s="11">
        <v>1</v>
      </c>
      <c r="E52" s="9">
        <v>3.6</v>
      </c>
      <c r="F52" s="9">
        <v>3.5819999999999999</v>
      </c>
      <c r="G52" s="9">
        <v>3.5642</v>
      </c>
      <c r="H52" s="9">
        <v>3.5464000000000002</v>
      </c>
      <c r="I52" s="9">
        <v>3.5287000000000002</v>
      </c>
      <c r="J52" s="9">
        <v>3.5110999999999999</v>
      </c>
      <c r="K52" s="9">
        <v>3.4935999999999998</v>
      </c>
      <c r="L52" s="9">
        <v>3.4761000000000002</v>
      </c>
    </row>
    <row r="53" spans="1:12">
      <c r="A53" s="1" t="s">
        <v>284</v>
      </c>
      <c r="B53" s="29" t="s">
        <v>181</v>
      </c>
      <c r="C53" s="9" t="s">
        <v>24</v>
      </c>
      <c r="D53" s="9">
        <v>1</v>
      </c>
      <c r="E53" s="9">
        <v>0.9</v>
      </c>
      <c r="F53" s="9">
        <v>0.89329999999999998</v>
      </c>
      <c r="G53" s="9">
        <v>0.88660000000000005</v>
      </c>
      <c r="H53" s="9">
        <v>0.88</v>
      </c>
      <c r="I53" s="9">
        <v>0.87339999999999995</v>
      </c>
      <c r="J53" s="9">
        <v>0.8669</v>
      </c>
      <c r="K53" s="9">
        <v>0.86040000000000005</v>
      </c>
      <c r="L53" s="9">
        <v>0.85389999999999999</v>
      </c>
    </row>
    <row r="54" spans="1:12">
      <c r="A54" s="1" t="s">
        <v>284</v>
      </c>
      <c r="B54" s="29" t="s">
        <v>131</v>
      </c>
      <c r="C54" s="1" t="s">
        <v>24</v>
      </c>
      <c r="D54" s="9">
        <v>1</v>
      </c>
      <c r="E54" s="9">
        <v>0.32000000000000006</v>
      </c>
      <c r="F54" s="9">
        <v>0.31760000000000005</v>
      </c>
      <c r="G54" s="9">
        <v>0.31524000000000002</v>
      </c>
      <c r="H54" s="9">
        <v>0.31288000000000005</v>
      </c>
      <c r="I54" s="9">
        <v>0.31054000000000004</v>
      </c>
      <c r="J54" s="9">
        <v>0.30821999999999999</v>
      </c>
      <c r="K54" s="9">
        <v>0.30590000000000006</v>
      </c>
      <c r="L54" s="9">
        <v>0.30362</v>
      </c>
    </row>
    <row r="55" spans="1:12">
      <c r="A55" s="1" t="s">
        <v>284</v>
      </c>
      <c r="B55" s="29" t="s">
        <v>131</v>
      </c>
      <c r="C55" s="1" t="s">
        <v>143</v>
      </c>
      <c r="D55" s="9">
        <v>1</v>
      </c>
      <c r="E55" s="9">
        <v>2.4499999999999997</v>
      </c>
      <c r="F55" s="9">
        <v>2.4316599999999999</v>
      </c>
      <c r="G55" s="9">
        <v>2.4135300000000002</v>
      </c>
      <c r="H55" s="9">
        <v>2.39547</v>
      </c>
      <c r="I55" s="9">
        <v>2.3775499999999998</v>
      </c>
      <c r="J55" s="9">
        <v>2.3597700000000001</v>
      </c>
      <c r="K55" s="9">
        <v>2.3421299999999996</v>
      </c>
      <c r="L55" s="9">
        <v>2.32463</v>
      </c>
    </row>
    <row r="56" spans="1:12">
      <c r="A56" s="1" t="s">
        <v>284</v>
      </c>
      <c r="B56" s="29" t="s">
        <v>131</v>
      </c>
      <c r="C56" s="9" t="s">
        <v>24</v>
      </c>
      <c r="D56" s="9">
        <v>2</v>
      </c>
      <c r="E56" s="9">
        <v>0.32000000000000006</v>
      </c>
      <c r="F56" s="9">
        <v>0.31760000000000005</v>
      </c>
      <c r="G56" s="9">
        <v>0.31524000000000002</v>
      </c>
      <c r="H56" s="9">
        <v>0.31288000000000005</v>
      </c>
      <c r="I56" s="9">
        <v>0.31054000000000004</v>
      </c>
      <c r="J56" s="9">
        <v>0.30821999999999999</v>
      </c>
      <c r="K56" s="9">
        <v>0.30590000000000006</v>
      </c>
      <c r="L56" s="9">
        <v>0.30362</v>
      </c>
    </row>
    <row r="57" spans="1:12">
      <c r="A57" s="1" t="s">
        <v>284</v>
      </c>
      <c r="B57" s="9" t="s">
        <v>131</v>
      </c>
      <c r="C57" s="9" t="s">
        <v>275</v>
      </c>
      <c r="D57" s="9">
        <v>2</v>
      </c>
      <c r="E57" s="9">
        <v>2.4499999999999997</v>
      </c>
      <c r="F57" s="9">
        <v>2.4316599999999999</v>
      </c>
      <c r="G57" s="9">
        <v>2.4135300000000002</v>
      </c>
      <c r="H57" s="9">
        <v>2.39547</v>
      </c>
      <c r="I57" s="9">
        <v>2.3775499999999998</v>
      </c>
      <c r="J57" s="9">
        <v>2.3597700000000001</v>
      </c>
      <c r="K57" s="9">
        <v>2.3421299999999996</v>
      </c>
      <c r="L57" s="9">
        <v>2.32463</v>
      </c>
    </row>
    <row r="58" spans="1:12">
      <c r="A58" s="1" t="s">
        <v>284</v>
      </c>
      <c r="B58" s="9" t="s">
        <v>131</v>
      </c>
      <c r="C58" s="9" t="s">
        <v>24</v>
      </c>
      <c r="D58" s="9">
        <v>3</v>
      </c>
      <c r="E58" s="9">
        <v>0.32000000000000006</v>
      </c>
      <c r="F58" s="9">
        <v>0.31760000000000005</v>
      </c>
      <c r="G58" s="9">
        <v>0.31524000000000002</v>
      </c>
      <c r="H58" s="9">
        <v>0.31288000000000005</v>
      </c>
      <c r="I58" s="9">
        <v>0.31054000000000004</v>
      </c>
      <c r="J58" s="9">
        <v>0.30821999999999999</v>
      </c>
      <c r="K58" s="9">
        <v>0.30590000000000006</v>
      </c>
      <c r="L58" s="9">
        <v>0.30362</v>
      </c>
    </row>
    <row r="59" spans="1:12">
      <c r="A59" s="1" t="s">
        <v>284</v>
      </c>
      <c r="B59" s="9" t="s">
        <v>131</v>
      </c>
      <c r="C59" s="9" t="s">
        <v>328</v>
      </c>
      <c r="D59" s="9">
        <v>3</v>
      </c>
      <c r="E59" s="9">
        <v>2.4499999999999997</v>
      </c>
      <c r="F59" s="9">
        <v>2.4316599999999999</v>
      </c>
      <c r="G59" s="9">
        <v>2.4135300000000002</v>
      </c>
      <c r="H59" s="9">
        <v>2.39547</v>
      </c>
      <c r="I59" s="9">
        <v>2.3775499999999998</v>
      </c>
      <c r="J59" s="9">
        <v>2.3597700000000001</v>
      </c>
      <c r="K59" s="9">
        <v>2.3421299999999996</v>
      </c>
      <c r="L59" s="9">
        <v>2.32463</v>
      </c>
    </row>
    <row r="60" spans="1:12">
      <c r="A60" s="1" t="s">
        <v>284</v>
      </c>
      <c r="B60" s="9" t="s">
        <v>60</v>
      </c>
      <c r="C60" s="9" t="s">
        <v>275</v>
      </c>
      <c r="D60" s="9">
        <v>1</v>
      </c>
      <c r="E60" s="9">
        <v>0.51</v>
      </c>
      <c r="F60" s="9">
        <v>0.50749999999999995</v>
      </c>
      <c r="G60" s="9">
        <v>0.50490000000000002</v>
      </c>
      <c r="H60" s="9">
        <v>0.50239999999999996</v>
      </c>
      <c r="I60" s="9">
        <v>0.49990000000000001</v>
      </c>
      <c r="J60" s="9">
        <v>0.49740000000000001</v>
      </c>
      <c r="K60" s="9">
        <v>0.49490000000000001</v>
      </c>
      <c r="L60" s="9">
        <v>0.49249999999999999</v>
      </c>
    </row>
    <row r="61" spans="1:12">
      <c r="A61" s="1" t="s">
        <v>284</v>
      </c>
      <c r="B61" s="9" t="s">
        <v>59</v>
      </c>
      <c r="C61" s="11" t="s">
        <v>143</v>
      </c>
      <c r="D61" s="9">
        <v>1</v>
      </c>
      <c r="E61" s="9">
        <v>0.51</v>
      </c>
      <c r="F61" s="9">
        <v>0.50749999999999995</v>
      </c>
      <c r="G61" s="9">
        <v>0.50490000000000002</v>
      </c>
      <c r="H61" s="9">
        <v>0.50239999999999996</v>
      </c>
      <c r="I61" s="9">
        <v>0.49990000000000001</v>
      </c>
      <c r="J61" s="9">
        <v>0.49740000000000001</v>
      </c>
      <c r="K61" s="9">
        <v>0.49490000000000001</v>
      </c>
      <c r="L61" s="9">
        <v>0.49249999999999999</v>
      </c>
    </row>
    <row r="62" spans="1:12">
      <c r="A62" s="1" t="s">
        <v>284</v>
      </c>
      <c r="B62" s="9" t="s">
        <v>59</v>
      </c>
      <c r="C62" s="9" t="s">
        <v>328</v>
      </c>
      <c r="D62" s="9">
        <v>2</v>
      </c>
      <c r="E62" s="9">
        <v>0.51</v>
      </c>
      <c r="F62" s="9">
        <v>0.50749999999999995</v>
      </c>
      <c r="G62" s="9">
        <v>0.50490000000000002</v>
      </c>
      <c r="H62" s="9">
        <v>0.50239999999999996</v>
      </c>
      <c r="I62" s="9">
        <v>0.49990000000000001</v>
      </c>
      <c r="J62" s="9">
        <v>0.49740000000000001</v>
      </c>
      <c r="K62" s="9">
        <v>0.49490000000000001</v>
      </c>
      <c r="L62" s="9">
        <v>0.49249999999999999</v>
      </c>
    </row>
    <row r="63" spans="1:12">
      <c r="A63" s="9" t="s">
        <v>284</v>
      </c>
      <c r="B63" s="24" t="s">
        <v>346</v>
      </c>
      <c r="C63" s="11" t="s">
        <v>341</v>
      </c>
      <c r="D63" s="11">
        <v>1</v>
      </c>
      <c r="E63" s="9">
        <v>0.62</v>
      </c>
      <c r="F63" s="9">
        <v>0.6169</v>
      </c>
      <c r="G63" s="9">
        <v>0.61380000000000001</v>
      </c>
      <c r="H63" s="9">
        <v>0.61080000000000001</v>
      </c>
      <c r="I63" s="9">
        <v>0.60770000000000002</v>
      </c>
      <c r="J63" s="9">
        <v>0.60470000000000002</v>
      </c>
      <c r="K63" s="9">
        <v>0.60170000000000001</v>
      </c>
      <c r="L63" s="9">
        <v>0.59870000000000001</v>
      </c>
    </row>
    <row r="64" spans="1:12">
      <c r="A64" s="1" t="s">
        <v>284</v>
      </c>
      <c r="B64" s="1" t="s">
        <v>243</v>
      </c>
      <c r="C64" s="11" t="s">
        <v>156</v>
      </c>
      <c r="D64" s="11">
        <v>1</v>
      </c>
      <c r="E64" s="9">
        <v>2.2624434389140271</v>
      </c>
      <c r="F64" s="9">
        <v>2.2297057884092695</v>
      </c>
      <c r="G64" s="9">
        <v>2.1922150678453196</v>
      </c>
      <c r="H64" s="9">
        <v>2.1551241075850918</v>
      </c>
      <c r="I64" s="9">
        <v>2.1184329076285859</v>
      </c>
      <c r="J64" s="9">
        <v>2.0821414679758017</v>
      </c>
      <c r="K64" s="9">
        <v>2.0462497886267395</v>
      </c>
      <c r="L64" s="9">
        <v>2.0107578695813988</v>
      </c>
    </row>
    <row r="65" spans="1:12">
      <c r="A65" s="1" t="s">
        <v>284</v>
      </c>
      <c r="B65" s="1" t="s">
        <v>243</v>
      </c>
      <c r="C65" s="11" t="s">
        <v>156</v>
      </c>
      <c r="D65" s="11">
        <v>2</v>
      </c>
      <c r="E65" s="9">
        <v>1.6017298682577186</v>
      </c>
      <c r="F65" s="9">
        <v>1.5793474247000794</v>
      </c>
      <c r="G65" s="9">
        <v>1.5547919570080651</v>
      </c>
      <c r="H65" s="9">
        <v>1.5305195054602785</v>
      </c>
      <c r="I65" s="9">
        <v>1.5065300700567197</v>
      </c>
      <c r="J65" s="9">
        <v>1.4828236507973891</v>
      </c>
      <c r="K65" s="9">
        <v>1.4594002476822865</v>
      </c>
      <c r="L65" s="9">
        <v>1.4362598607114114</v>
      </c>
    </row>
    <row r="66" spans="1:12">
      <c r="A66" s="1" t="s">
        <v>284</v>
      </c>
      <c r="B66" s="1" t="s">
        <v>243</v>
      </c>
      <c r="C66" s="11" t="s">
        <v>202</v>
      </c>
      <c r="D66" s="11">
        <v>2</v>
      </c>
      <c r="E66" s="9">
        <v>0.40043246706442964</v>
      </c>
      <c r="F66" s="9">
        <v>0.39415658406617626</v>
      </c>
      <c r="G66" s="9">
        <v>0.38631703687106389</v>
      </c>
      <c r="H66" s="9">
        <v>0.3785482437120084</v>
      </c>
      <c r="I66" s="9">
        <v>0.37085020458900991</v>
      </c>
      <c r="J66" s="9">
        <v>0.36322291950206836</v>
      </c>
      <c r="K66" s="9">
        <v>0.35566638845118387</v>
      </c>
      <c r="L66" s="9">
        <v>0.34818061143635626</v>
      </c>
    </row>
    <row r="67" spans="1:12">
      <c r="A67" s="1" t="s">
        <v>284</v>
      </c>
      <c r="B67" s="1" t="s">
        <v>243</v>
      </c>
      <c r="C67" s="9" t="s">
        <v>156</v>
      </c>
      <c r="D67" s="11">
        <v>3</v>
      </c>
      <c r="E67" s="9">
        <v>1.6017298682577186</v>
      </c>
      <c r="F67" s="9">
        <v>1.5793474247000794</v>
      </c>
      <c r="G67" s="9">
        <v>1.5547919570080651</v>
      </c>
      <c r="H67" s="9">
        <v>1.5305195054602785</v>
      </c>
      <c r="I67" s="9">
        <v>1.5065300700567197</v>
      </c>
      <c r="J67" s="9">
        <v>1.4828236507973891</v>
      </c>
      <c r="K67" s="9">
        <v>1.4594002476822865</v>
      </c>
      <c r="L67" s="9">
        <v>1.4362598607114114</v>
      </c>
    </row>
    <row r="68" spans="1:12">
      <c r="A68" s="1" t="s">
        <v>284</v>
      </c>
      <c r="B68" s="1" t="s">
        <v>243</v>
      </c>
      <c r="C68" s="11" t="s">
        <v>204</v>
      </c>
      <c r="D68" s="11">
        <v>3</v>
      </c>
      <c r="E68" s="9">
        <v>0.40043246706442964</v>
      </c>
      <c r="F68" s="9">
        <v>0.39415658406617626</v>
      </c>
      <c r="G68" s="9">
        <v>0.38631703687106389</v>
      </c>
      <c r="H68" s="9">
        <v>0.3785482437120084</v>
      </c>
      <c r="I68" s="9">
        <v>0.37085020458900991</v>
      </c>
      <c r="J68" s="9">
        <v>0.36322291950206836</v>
      </c>
      <c r="K68" s="9">
        <v>0.35566638845118387</v>
      </c>
      <c r="L68" s="9">
        <v>0.34818061143635626</v>
      </c>
    </row>
    <row r="69" spans="1:12">
      <c r="A69" s="1" t="s">
        <v>284</v>
      </c>
      <c r="B69" s="1" t="s">
        <v>243</v>
      </c>
      <c r="C69" s="9" t="s">
        <v>156</v>
      </c>
      <c r="D69" s="11">
        <v>4</v>
      </c>
      <c r="E69" s="9">
        <v>1.6017298682577186</v>
      </c>
      <c r="F69" s="9">
        <v>1.5793474247000794</v>
      </c>
      <c r="G69" s="9">
        <v>1.5547919570080651</v>
      </c>
      <c r="H69" s="9">
        <v>1.5305195054602785</v>
      </c>
      <c r="I69" s="9">
        <v>1.5065300700567197</v>
      </c>
      <c r="J69" s="9">
        <v>1.4828236507973891</v>
      </c>
      <c r="K69" s="9">
        <v>1.4594002476822865</v>
      </c>
      <c r="L69" s="9">
        <v>1.4362598607114114</v>
      </c>
    </row>
    <row r="70" spans="1:12">
      <c r="A70" s="1" t="s">
        <v>284</v>
      </c>
      <c r="B70" s="1" t="s">
        <v>243</v>
      </c>
      <c r="C70" s="11" t="s">
        <v>203</v>
      </c>
      <c r="D70" s="11">
        <v>4</v>
      </c>
      <c r="E70" s="9">
        <v>0.40043246706442964</v>
      </c>
      <c r="F70" s="9">
        <v>0.39415658406617626</v>
      </c>
      <c r="G70" s="9">
        <v>0.38631703687106389</v>
      </c>
      <c r="H70" s="9">
        <v>0.3785482437120084</v>
      </c>
      <c r="I70" s="9">
        <v>0.37085020458900991</v>
      </c>
      <c r="J70" s="9">
        <v>0.36322291950206836</v>
      </c>
      <c r="K70" s="9">
        <v>0.35566638845118387</v>
      </c>
      <c r="L70" s="9">
        <v>0.34818061143635626</v>
      </c>
    </row>
    <row r="71" spans="1:12">
      <c r="A71" s="26" t="s">
        <v>284</v>
      </c>
      <c r="B71" s="1" t="s">
        <v>254</v>
      </c>
      <c r="C71" s="11" t="s">
        <v>156</v>
      </c>
      <c r="D71" s="11">
        <v>1</v>
      </c>
      <c r="E71" s="9">
        <v>2.2624434389140271</v>
      </c>
      <c r="F71" s="9">
        <v>2.2297057884092695</v>
      </c>
      <c r="G71" s="9">
        <v>2.1922150678453196</v>
      </c>
      <c r="H71" s="9">
        <v>2.1551241075850918</v>
      </c>
      <c r="I71" s="9">
        <v>2.1184329076285859</v>
      </c>
      <c r="J71" s="9">
        <v>2.0821414679758017</v>
      </c>
      <c r="K71" s="9">
        <v>2.0462497886267395</v>
      </c>
      <c r="L71" s="9">
        <v>2.0107578695813988</v>
      </c>
    </row>
    <row r="72" spans="1:12">
      <c r="A72" s="26" t="s">
        <v>284</v>
      </c>
      <c r="B72" s="1" t="s">
        <v>254</v>
      </c>
      <c r="C72" s="9" t="s">
        <v>156</v>
      </c>
      <c r="D72" s="11">
        <v>2</v>
      </c>
      <c r="E72" s="9">
        <v>1.6017298682577186</v>
      </c>
      <c r="F72" s="9">
        <v>1.5793474247000794</v>
      </c>
      <c r="G72" s="9">
        <v>1.5547919570080651</v>
      </c>
      <c r="H72" s="9">
        <v>1.5305195054602785</v>
      </c>
      <c r="I72" s="9">
        <v>1.5065300700567197</v>
      </c>
      <c r="J72" s="9">
        <v>1.4828236507973891</v>
      </c>
      <c r="K72" s="9">
        <v>1.4594002476822865</v>
      </c>
      <c r="L72" s="9">
        <v>1.4362598607114114</v>
      </c>
    </row>
    <row r="73" spans="1:12">
      <c r="A73" s="26" t="s">
        <v>284</v>
      </c>
      <c r="B73" s="1" t="s">
        <v>254</v>
      </c>
      <c r="C73" s="11" t="s">
        <v>202</v>
      </c>
      <c r="D73" s="11">
        <v>2</v>
      </c>
      <c r="E73" s="9">
        <v>0.40043246706442964</v>
      </c>
      <c r="F73" s="9">
        <v>0.39415658406617626</v>
      </c>
      <c r="G73" s="9">
        <v>0.38631703687106389</v>
      </c>
      <c r="H73" s="9">
        <v>0.3785482437120084</v>
      </c>
      <c r="I73" s="9">
        <v>0.37085020458900991</v>
      </c>
      <c r="J73" s="9">
        <v>0.36322291950206836</v>
      </c>
      <c r="K73" s="9">
        <v>0.35566638845118387</v>
      </c>
      <c r="L73" s="9">
        <v>0.34818061143635626</v>
      </c>
    </row>
    <row r="74" spans="1:12">
      <c r="A74" s="26" t="s">
        <v>284</v>
      </c>
      <c r="B74" s="1" t="s">
        <v>254</v>
      </c>
      <c r="C74" s="11" t="s">
        <v>156</v>
      </c>
      <c r="D74" s="11">
        <v>3</v>
      </c>
      <c r="E74" s="9">
        <v>1.6017298682577186</v>
      </c>
      <c r="F74" s="9">
        <v>1.5793474247000794</v>
      </c>
      <c r="G74" s="9">
        <v>1.5547919570080651</v>
      </c>
      <c r="H74" s="9">
        <v>1.5305195054602785</v>
      </c>
      <c r="I74" s="9">
        <v>1.5065300700567197</v>
      </c>
      <c r="J74" s="9">
        <v>1.4828236507973891</v>
      </c>
      <c r="K74" s="9">
        <v>1.4594002476822865</v>
      </c>
      <c r="L74" s="9">
        <v>1.4362598607114114</v>
      </c>
    </row>
    <row r="75" spans="1:12">
      <c r="A75" s="26" t="s">
        <v>284</v>
      </c>
      <c r="B75" s="1" t="s">
        <v>254</v>
      </c>
      <c r="C75" s="9" t="s">
        <v>204</v>
      </c>
      <c r="D75" s="11">
        <v>3</v>
      </c>
      <c r="E75" s="9">
        <v>0.40043246706442964</v>
      </c>
      <c r="F75" s="9">
        <v>0.39415658406617626</v>
      </c>
      <c r="G75" s="9">
        <v>0.38631703687106389</v>
      </c>
      <c r="H75" s="9">
        <v>0.3785482437120084</v>
      </c>
      <c r="I75" s="9">
        <v>0.37085020458900991</v>
      </c>
      <c r="J75" s="9">
        <v>0.36322291950206836</v>
      </c>
      <c r="K75" s="9">
        <v>0.35566638845118387</v>
      </c>
      <c r="L75" s="9">
        <v>0.34818061143635626</v>
      </c>
    </row>
    <row r="76" spans="1:12">
      <c r="A76" s="26" t="s">
        <v>284</v>
      </c>
      <c r="B76" s="1" t="s">
        <v>254</v>
      </c>
      <c r="C76" s="9" t="s">
        <v>156</v>
      </c>
      <c r="D76" s="11">
        <v>4</v>
      </c>
      <c r="E76" s="9">
        <v>1.6017298682577186</v>
      </c>
      <c r="F76" s="9">
        <v>1.5793474247000794</v>
      </c>
      <c r="G76" s="9">
        <v>1.5547919570080651</v>
      </c>
      <c r="H76" s="9">
        <v>1.5305195054602785</v>
      </c>
      <c r="I76" s="9">
        <v>1.5065300700567197</v>
      </c>
      <c r="J76" s="9">
        <v>1.4828236507973891</v>
      </c>
      <c r="K76" s="9">
        <v>1.4594002476822865</v>
      </c>
      <c r="L76" s="9">
        <v>1.4362598607114114</v>
      </c>
    </row>
    <row r="77" spans="1:12">
      <c r="A77" s="26" t="s">
        <v>284</v>
      </c>
      <c r="B77" s="1" t="s">
        <v>254</v>
      </c>
      <c r="C77" s="11" t="s">
        <v>203</v>
      </c>
      <c r="D77" s="11">
        <v>4</v>
      </c>
      <c r="E77" s="9">
        <v>0.40043246706442964</v>
      </c>
      <c r="F77" s="9">
        <v>0.39415658406617626</v>
      </c>
      <c r="G77" s="9">
        <v>0.38631703687106389</v>
      </c>
      <c r="H77" s="9">
        <v>0.3785482437120084</v>
      </c>
      <c r="I77" s="9">
        <v>0.37085020458900991</v>
      </c>
      <c r="J77" s="9">
        <v>0.36322291950206836</v>
      </c>
      <c r="K77" s="9">
        <v>0.35566638845118387</v>
      </c>
      <c r="L77" s="9">
        <v>0.34818061143635626</v>
      </c>
    </row>
    <row r="78" spans="1:12">
      <c r="A78" s="26" t="s">
        <v>284</v>
      </c>
      <c r="B78" s="1" t="s">
        <v>248</v>
      </c>
      <c r="C78" s="11" t="s">
        <v>146</v>
      </c>
      <c r="D78" s="11">
        <v>1</v>
      </c>
      <c r="E78" s="9">
        <v>2.0452511824108401</v>
      </c>
      <c r="F78" s="9">
        <v>2.0133975853470982</v>
      </c>
      <c r="G78" s="9">
        <v>1.9740890882559392</v>
      </c>
      <c r="H78" s="9">
        <v>1.9354705055457582</v>
      </c>
      <c r="I78" s="9">
        <v>1.897541837216556</v>
      </c>
      <c r="J78" s="9">
        <v>1.8603030832683325</v>
      </c>
      <c r="K78" s="9">
        <v>1.823754243701087</v>
      </c>
      <c r="L78" s="9">
        <v>1.7878953185148205</v>
      </c>
    </row>
    <row r="79" spans="1:12">
      <c r="A79" s="26" t="s">
        <v>284</v>
      </c>
      <c r="B79" s="1" t="s">
        <v>248</v>
      </c>
      <c r="C79" s="11" t="s">
        <v>202</v>
      </c>
      <c r="D79" s="11">
        <v>1</v>
      </c>
      <c r="E79" s="9">
        <v>0.51131279560271004</v>
      </c>
      <c r="F79" s="9">
        <v>0.50329911153698681</v>
      </c>
      <c r="G79" s="9">
        <v>0.49328878239964602</v>
      </c>
      <c r="H79" s="9">
        <v>0.48336879919314762</v>
      </c>
      <c r="I79" s="9">
        <v>0.47353916191749168</v>
      </c>
      <c r="J79" s="9">
        <v>0.46379987057267819</v>
      </c>
      <c r="K79" s="9">
        <v>0.45415092515870703</v>
      </c>
      <c r="L79" s="9">
        <v>0.44459232567557838</v>
      </c>
    </row>
    <row r="80" spans="1:12">
      <c r="A80" s="26" t="s">
        <v>284</v>
      </c>
      <c r="B80" s="1" t="s">
        <v>248</v>
      </c>
      <c r="C80" s="9" t="s">
        <v>146</v>
      </c>
      <c r="D80" s="11">
        <v>2</v>
      </c>
      <c r="E80" s="9">
        <v>2.0452511824108401</v>
      </c>
      <c r="F80" s="9">
        <v>2.0133975853470982</v>
      </c>
      <c r="G80" s="9">
        <v>1.9740890882559392</v>
      </c>
      <c r="H80" s="9">
        <v>1.9354705055457582</v>
      </c>
      <c r="I80" s="9">
        <v>1.897541837216556</v>
      </c>
      <c r="J80" s="9">
        <v>1.8603030832683325</v>
      </c>
      <c r="K80" s="9">
        <v>1.823754243701087</v>
      </c>
      <c r="L80" s="9">
        <v>1.7878953185148205</v>
      </c>
    </row>
    <row r="81" spans="1:12">
      <c r="A81" s="26" t="s">
        <v>284</v>
      </c>
      <c r="B81" s="1" t="s">
        <v>248</v>
      </c>
      <c r="C81" s="11" t="s">
        <v>204</v>
      </c>
      <c r="D81" s="11">
        <v>2</v>
      </c>
      <c r="E81" s="9">
        <v>0.51131279560271004</v>
      </c>
      <c r="F81" s="9">
        <v>0.50329911153698681</v>
      </c>
      <c r="G81" s="9">
        <v>0.49328878239964602</v>
      </c>
      <c r="H81" s="9">
        <v>0.48336879919314762</v>
      </c>
      <c r="I81" s="9">
        <v>0.47353916191749168</v>
      </c>
      <c r="J81" s="9">
        <v>0.46379987057267819</v>
      </c>
      <c r="K81" s="9">
        <v>0.45415092515870703</v>
      </c>
      <c r="L81" s="9">
        <v>0.44459232567557838</v>
      </c>
    </row>
    <row r="82" spans="1:12">
      <c r="A82" s="26" t="s">
        <v>284</v>
      </c>
      <c r="B82" s="1" t="s">
        <v>248</v>
      </c>
      <c r="C82" s="11" t="s">
        <v>146</v>
      </c>
      <c r="D82" s="11">
        <v>3</v>
      </c>
      <c r="E82" s="9">
        <v>2.0452511824108401</v>
      </c>
      <c r="F82" s="9">
        <v>2.0133975853470982</v>
      </c>
      <c r="G82" s="9">
        <v>1.9740890882559392</v>
      </c>
      <c r="H82" s="9">
        <v>1.9354705055457582</v>
      </c>
      <c r="I82" s="9">
        <v>1.897541837216556</v>
      </c>
      <c r="J82" s="9">
        <v>1.8603030832683325</v>
      </c>
      <c r="K82" s="9">
        <v>1.823754243701087</v>
      </c>
      <c r="L82" s="9">
        <v>1.7878953185148205</v>
      </c>
    </row>
    <row r="83" spans="1:12">
      <c r="A83" s="26" t="s">
        <v>284</v>
      </c>
      <c r="B83" s="1" t="s">
        <v>248</v>
      </c>
      <c r="C83" s="11" t="s">
        <v>203</v>
      </c>
      <c r="D83" s="11">
        <v>3</v>
      </c>
      <c r="E83" s="9">
        <v>0.51131279560271004</v>
      </c>
      <c r="F83" s="9">
        <v>0.50329911153698681</v>
      </c>
      <c r="G83" s="9">
        <v>0.49328878239964602</v>
      </c>
      <c r="H83" s="9">
        <v>0.48336879919314762</v>
      </c>
      <c r="I83" s="9">
        <v>0.47353916191749168</v>
      </c>
      <c r="J83" s="9">
        <v>0.46379987057267819</v>
      </c>
      <c r="K83" s="9">
        <v>0.45415092515870703</v>
      </c>
      <c r="L83" s="9">
        <v>0.44459232567557838</v>
      </c>
    </row>
    <row r="84" spans="1:12">
      <c r="A84" s="1" t="s">
        <v>284</v>
      </c>
      <c r="B84" s="1" t="s">
        <v>244</v>
      </c>
      <c r="C84" s="9" t="s">
        <v>24</v>
      </c>
      <c r="D84" s="11">
        <v>1</v>
      </c>
      <c r="E84" s="9">
        <v>0.47031158142269258</v>
      </c>
      <c r="F84" s="9">
        <v>0.4567286804626185</v>
      </c>
      <c r="G84" s="9">
        <v>0.43977186834329701</v>
      </c>
      <c r="H84" s="9">
        <v>0.42310591063425534</v>
      </c>
      <c r="I84" s="9">
        <v>0.40673080733549366</v>
      </c>
      <c r="J84" s="9">
        <v>0.39064655844701202</v>
      </c>
      <c r="K84" s="9">
        <v>0.37485316396881024</v>
      </c>
      <c r="L84" s="9">
        <v>0.35935062390088851</v>
      </c>
    </row>
    <row r="85" spans="1:12">
      <c r="A85" s="1" t="s">
        <v>284</v>
      </c>
      <c r="B85" s="1" t="s">
        <v>244</v>
      </c>
      <c r="C85" s="11" t="s">
        <v>202</v>
      </c>
      <c r="D85" s="11">
        <v>1</v>
      </c>
      <c r="E85" s="9">
        <v>2.4691358024691357</v>
      </c>
      <c r="F85" s="9">
        <v>2.4065091762748603</v>
      </c>
      <c r="G85" s="9">
        <v>2.3386859270457157</v>
      </c>
      <c r="H85" s="9">
        <v>2.2716625274448399</v>
      </c>
      <c r="I85" s="9">
        <v>2.2054389774722347</v>
      </c>
      <c r="J85" s="9">
        <v>2.1400152771278997</v>
      </c>
      <c r="K85" s="9">
        <v>2.0753914264118345</v>
      </c>
      <c r="L85" s="9">
        <v>2.011567425324039</v>
      </c>
    </row>
    <row r="86" spans="1:12">
      <c r="A86" s="1" t="s">
        <v>284</v>
      </c>
      <c r="B86" s="1" t="s">
        <v>244</v>
      </c>
      <c r="C86" s="9" t="s">
        <v>24</v>
      </c>
      <c r="D86" s="11">
        <v>2</v>
      </c>
      <c r="E86" s="9">
        <v>0.47031158142269258</v>
      </c>
      <c r="F86" s="9">
        <v>0.4567286804626185</v>
      </c>
      <c r="G86" s="9">
        <v>0.43977186834329701</v>
      </c>
      <c r="H86" s="9">
        <v>0.42310591063425534</v>
      </c>
      <c r="I86" s="9">
        <v>0.40673080733549366</v>
      </c>
      <c r="J86" s="9">
        <v>0.39064655844701202</v>
      </c>
      <c r="K86" s="9">
        <v>0.37485316396881024</v>
      </c>
      <c r="L86" s="9">
        <v>0.35935062390088851</v>
      </c>
    </row>
    <row r="87" spans="1:12">
      <c r="A87" s="1" t="s">
        <v>284</v>
      </c>
      <c r="B87" s="1" t="s">
        <v>244</v>
      </c>
      <c r="C87" s="11" t="s">
        <v>204</v>
      </c>
      <c r="D87" s="11">
        <v>2</v>
      </c>
      <c r="E87" s="9">
        <v>2.4691358024691357</v>
      </c>
      <c r="F87" s="9">
        <v>2.4065091762748603</v>
      </c>
      <c r="G87" s="9">
        <v>2.3386859270457157</v>
      </c>
      <c r="H87" s="9">
        <v>2.2716625274448399</v>
      </c>
      <c r="I87" s="9">
        <v>2.2054389774722347</v>
      </c>
      <c r="J87" s="9">
        <v>2.1400152771278997</v>
      </c>
      <c r="K87" s="9">
        <v>2.0753914264118345</v>
      </c>
      <c r="L87" s="9">
        <v>2.011567425324039</v>
      </c>
    </row>
    <row r="88" spans="1:12">
      <c r="A88" s="26" t="s">
        <v>284</v>
      </c>
      <c r="B88" s="1" t="s">
        <v>244</v>
      </c>
      <c r="C88" s="9" t="s">
        <v>24</v>
      </c>
      <c r="D88" s="11">
        <v>3</v>
      </c>
      <c r="E88" s="9">
        <v>0.47031158142269258</v>
      </c>
      <c r="F88" s="9">
        <v>0.4567286804626185</v>
      </c>
      <c r="G88" s="9">
        <v>0.43977186834329701</v>
      </c>
      <c r="H88" s="9">
        <v>0.42310591063425534</v>
      </c>
      <c r="I88" s="9">
        <v>0.40673080733549366</v>
      </c>
      <c r="J88" s="9">
        <v>0.39064655844701202</v>
      </c>
      <c r="K88" s="9">
        <v>0.37485316396881024</v>
      </c>
      <c r="L88" s="9">
        <v>0.35935062390088851</v>
      </c>
    </row>
    <row r="89" spans="1:12">
      <c r="A89" s="26" t="s">
        <v>284</v>
      </c>
      <c r="B89" s="1" t="s">
        <v>244</v>
      </c>
      <c r="C89" s="11" t="s">
        <v>203</v>
      </c>
      <c r="D89" s="11">
        <v>3</v>
      </c>
      <c r="E89" s="9">
        <v>2.4691358024691357</v>
      </c>
      <c r="F89" s="9">
        <v>2.4065091762748603</v>
      </c>
      <c r="G89" s="9">
        <v>2.3386859270457157</v>
      </c>
      <c r="H89" s="9">
        <v>2.2716625274448399</v>
      </c>
      <c r="I89" s="9">
        <v>2.2054389774722347</v>
      </c>
      <c r="J89" s="9">
        <v>2.1400152771278997</v>
      </c>
      <c r="K89" s="9">
        <v>2.0753914264118345</v>
      </c>
      <c r="L89" s="9">
        <v>2.011567425324039</v>
      </c>
    </row>
    <row r="90" spans="1:12">
      <c r="A90" s="26" t="s">
        <v>284</v>
      </c>
      <c r="B90" s="1" t="s">
        <v>255</v>
      </c>
      <c r="C90" s="11" t="s">
        <v>24</v>
      </c>
      <c r="D90" s="11">
        <v>1</v>
      </c>
      <c r="E90" s="9">
        <v>0.47031158142269258</v>
      </c>
      <c r="F90" s="9">
        <v>0.4567286804626185</v>
      </c>
      <c r="G90" s="9">
        <v>0.43977186834329701</v>
      </c>
      <c r="H90" s="9">
        <v>0.42310591063425534</v>
      </c>
      <c r="I90" s="9">
        <v>0.40673080733549366</v>
      </c>
      <c r="J90" s="9">
        <v>0.39064655844701202</v>
      </c>
      <c r="K90" s="9">
        <v>0.37485316396881024</v>
      </c>
      <c r="L90" s="9">
        <v>0.35935062390088851</v>
      </c>
    </row>
    <row r="91" spans="1:12">
      <c r="A91" s="26" t="s">
        <v>284</v>
      </c>
      <c r="B91" s="1" t="s">
        <v>255</v>
      </c>
      <c r="C91" s="9" t="s">
        <v>202</v>
      </c>
      <c r="D91" s="11">
        <v>1</v>
      </c>
      <c r="E91" s="9">
        <v>2.4691358024691357</v>
      </c>
      <c r="F91" s="9">
        <v>2.4065091762748603</v>
      </c>
      <c r="G91" s="9">
        <v>2.3386859270457157</v>
      </c>
      <c r="H91" s="9">
        <v>2.2716625274448399</v>
      </c>
      <c r="I91" s="9">
        <v>2.2054389774722347</v>
      </c>
      <c r="J91" s="9">
        <v>2.1400152771278997</v>
      </c>
      <c r="K91" s="9">
        <v>2.0753914264118345</v>
      </c>
      <c r="L91" s="9">
        <v>2.011567425324039</v>
      </c>
    </row>
    <row r="92" spans="1:12">
      <c r="A92" s="26" t="s">
        <v>284</v>
      </c>
      <c r="B92" s="1" t="s">
        <v>246</v>
      </c>
      <c r="C92" s="11" t="s">
        <v>24</v>
      </c>
      <c r="D92" s="11">
        <v>1</v>
      </c>
      <c r="E92" s="9">
        <v>0.97001763668430341</v>
      </c>
      <c r="F92" s="9">
        <v>0.96497858402620307</v>
      </c>
      <c r="G92" s="9">
        <v>0.95238095238095244</v>
      </c>
      <c r="H92" s="9">
        <v>0.93978332073570159</v>
      </c>
      <c r="I92" s="9">
        <v>0.92718568909045096</v>
      </c>
      <c r="J92" s="9">
        <v>0.91458805744520033</v>
      </c>
      <c r="K92" s="9">
        <v>0.90199042579994959</v>
      </c>
      <c r="L92" s="9">
        <v>0.88939279415469896</v>
      </c>
    </row>
    <row r="93" spans="1:12">
      <c r="A93" s="26" t="s">
        <v>284</v>
      </c>
      <c r="B93" s="1" t="s">
        <v>246</v>
      </c>
      <c r="C93" s="11" t="s">
        <v>145</v>
      </c>
      <c r="D93" s="11">
        <v>1</v>
      </c>
      <c r="E93" s="9">
        <v>1.9694297472075253</v>
      </c>
      <c r="F93" s="9">
        <v>1.9601970829484059</v>
      </c>
      <c r="G93" s="9">
        <v>1.9371154223006077</v>
      </c>
      <c r="H93" s="9">
        <v>1.9140337616528094</v>
      </c>
      <c r="I93" s="9">
        <v>1.8909521010050112</v>
      </c>
      <c r="J93" s="9">
        <v>1.8678704403572133</v>
      </c>
      <c r="K93" s="9">
        <v>1.8447887797094147</v>
      </c>
      <c r="L93" s="9">
        <v>1.8217071190616165</v>
      </c>
    </row>
    <row r="94" spans="1:12">
      <c r="A94" s="26" t="s">
        <v>284</v>
      </c>
      <c r="B94" s="1" t="s">
        <v>247</v>
      </c>
      <c r="C94" s="9" t="s">
        <v>24</v>
      </c>
      <c r="D94" s="11">
        <v>1</v>
      </c>
      <c r="E94" s="9">
        <v>1.25</v>
      </c>
      <c r="F94" s="9">
        <v>1.2487012987012986</v>
      </c>
      <c r="G94" s="9">
        <v>1.2454545454545454</v>
      </c>
      <c r="H94" s="9">
        <v>1.2422077922077923</v>
      </c>
      <c r="I94" s="9">
        <v>1.238961038961039</v>
      </c>
      <c r="J94" s="9">
        <v>1.2357142857142858</v>
      </c>
      <c r="K94" s="9">
        <v>1.2324675324675325</v>
      </c>
      <c r="L94" s="9">
        <v>1.2292207792207792</v>
      </c>
    </row>
    <row r="95" spans="1:12">
      <c r="A95" s="26" t="s">
        <v>284</v>
      </c>
      <c r="B95" s="1" t="s">
        <v>245</v>
      </c>
      <c r="C95" s="9" t="s">
        <v>24</v>
      </c>
      <c r="D95" s="11">
        <v>1</v>
      </c>
      <c r="E95" s="9">
        <v>1.5873015873015872</v>
      </c>
      <c r="F95" s="9">
        <v>1.5466541017561426</v>
      </c>
      <c r="G95" s="9">
        <v>1.5024118738404453</v>
      </c>
      <c r="H95" s="9">
        <v>1.4591512795594428</v>
      </c>
      <c r="I95" s="9">
        <v>1.4168723189131351</v>
      </c>
      <c r="J95" s="9">
        <v>1.3755749919015225</v>
      </c>
      <c r="K95" s="9">
        <v>1.3352592985246046</v>
      </c>
      <c r="L95" s="9">
        <v>1.2959252387823816</v>
      </c>
    </row>
    <row r="96" spans="1:12">
      <c r="A96" s="1" t="s">
        <v>284</v>
      </c>
      <c r="B96" s="1" t="s">
        <v>116</v>
      </c>
      <c r="C96" s="11" t="s">
        <v>203</v>
      </c>
      <c r="D96" s="11">
        <v>2</v>
      </c>
      <c r="E96" s="9">
        <v>1.1111111111111112</v>
      </c>
      <c r="F96" s="9">
        <v>1.1108087679516252</v>
      </c>
      <c r="G96" s="9">
        <v>1.1100529100529102</v>
      </c>
      <c r="H96" s="9">
        <v>1.1092970521541952</v>
      </c>
      <c r="I96" s="9">
        <v>1.1085411942554799</v>
      </c>
      <c r="J96" s="9">
        <v>1.1077853363567649</v>
      </c>
      <c r="K96" s="9">
        <v>1.1070294784580499</v>
      </c>
      <c r="L96" s="9">
        <v>1.1062736205593349</v>
      </c>
    </row>
    <row r="97" spans="1:12">
      <c r="A97" s="1" t="s">
        <v>284</v>
      </c>
      <c r="B97" s="1" t="s">
        <v>116</v>
      </c>
      <c r="C97" s="9" t="s">
        <v>204</v>
      </c>
      <c r="D97" s="11">
        <v>3</v>
      </c>
      <c r="E97" s="9">
        <v>1.1111111111111112</v>
      </c>
      <c r="F97" s="9">
        <v>1.1108087679516252</v>
      </c>
      <c r="G97" s="9">
        <v>1.1100529100529102</v>
      </c>
      <c r="H97" s="9">
        <v>1.1092970521541952</v>
      </c>
      <c r="I97" s="9">
        <v>1.1085411942554799</v>
      </c>
      <c r="J97" s="9">
        <v>1.1077853363567649</v>
      </c>
      <c r="K97" s="9">
        <v>1.1070294784580499</v>
      </c>
      <c r="L97" s="9">
        <v>1.1062736205593349</v>
      </c>
    </row>
    <row r="98" spans="1:12">
      <c r="A98" s="1" t="s">
        <v>284</v>
      </c>
      <c r="B98" s="1" t="s">
        <v>217</v>
      </c>
      <c r="C98" s="9" t="s">
        <v>146</v>
      </c>
      <c r="D98" s="11">
        <v>1</v>
      </c>
      <c r="E98" s="9">
        <v>1.25</v>
      </c>
      <c r="F98" s="9">
        <v>1.2487012987012986</v>
      </c>
      <c r="G98" s="9">
        <v>1.2454545454545454</v>
      </c>
      <c r="H98" s="9">
        <v>1.2422077922077923</v>
      </c>
      <c r="I98" s="9">
        <v>1.238961038961039</v>
      </c>
      <c r="J98" s="9">
        <v>1.2357142857142858</v>
      </c>
      <c r="K98" s="9">
        <v>1.2324675324675325</v>
      </c>
      <c r="L98" s="9">
        <v>1.2292207792207792</v>
      </c>
    </row>
    <row r="99" spans="1:12">
      <c r="A99" s="1" t="s">
        <v>284</v>
      </c>
      <c r="B99" s="1" t="s">
        <v>218</v>
      </c>
      <c r="C99" s="11" t="s">
        <v>146</v>
      </c>
      <c r="D99" s="11">
        <v>1</v>
      </c>
      <c r="E99" s="9">
        <v>1.5384615384615383</v>
      </c>
      <c r="F99" s="9">
        <v>1.5356643356643356</v>
      </c>
      <c r="G99" s="9">
        <v>1.5286713286713285</v>
      </c>
      <c r="H99" s="9">
        <v>1.5216783216783214</v>
      </c>
      <c r="I99" s="9">
        <v>1.5146853146853145</v>
      </c>
      <c r="J99" s="9">
        <v>1.5076923076923077</v>
      </c>
      <c r="K99" s="9">
        <v>1.5006993006993006</v>
      </c>
      <c r="L99" s="9">
        <v>1.4937062937062935</v>
      </c>
    </row>
    <row r="100" spans="1:12">
      <c r="A100" s="26" t="s">
        <v>284</v>
      </c>
      <c r="B100" s="1" t="s">
        <v>267</v>
      </c>
      <c r="C100" s="11" t="s">
        <v>146</v>
      </c>
      <c r="D100" s="11">
        <v>1</v>
      </c>
      <c r="E100" s="9">
        <v>1.5384615384615383</v>
      </c>
      <c r="F100" s="9">
        <v>1.5356643356643356</v>
      </c>
      <c r="G100" s="9">
        <v>1.5286713286713285</v>
      </c>
      <c r="H100" s="9">
        <v>1.5216783216783214</v>
      </c>
      <c r="I100" s="9">
        <v>1.5146853146853145</v>
      </c>
      <c r="J100" s="9">
        <v>1.5076923076923077</v>
      </c>
      <c r="K100" s="9">
        <v>1.5006993006993006</v>
      </c>
      <c r="L100" s="9">
        <v>1.4937062937062935</v>
      </c>
    </row>
    <row r="101" spans="1:12">
      <c r="A101" s="1" t="s">
        <v>284</v>
      </c>
      <c r="B101" s="9" t="s">
        <v>486</v>
      </c>
      <c r="C101" s="9" t="s">
        <v>473</v>
      </c>
      <c r="D101" s="9">
        <v>1</v>
      </c>
      <c r="E101" s="9">
        <v>1</v>
      </c>
      <c r="F101" s="9">
        <v>1</v>
      </c>
      <c r="G101" s="9">
        <v>1</v>
      </c>
      <c r="H101" s="9">
        <v>1</v>
      </c>
      <c r="I101" s="9">
        <v>1</v>
      </c>
      <c r="J101" s="9">
        <v>1</v>
      </c>
      <c r="K101" s="9">
        <v>1</v>
      </c>
      <c r="L101" s="9">
        <v>1</v>
      </c>
    </row>
    <row r="102" spans="1:12">
      <c r="A102" s="1" t="s">
        <v>284</v>
      </c>
      <c r="B102" s="1" t="s">
        <v>237</v>
      </c>
      <c r="C102" s="9" t="s">
        <v>24</v>
      </c>
      <c r="D102" s="11">
        <v>1</v>
      </c>
      <c r="E102" s="9">
        <v>1.0101010101010102</v>
      </c>
      <c r="F102" s="9">
        <v>1.0100485373212647</v>
      </c>
      <c r="G102" s="9">
        <v>1.009917355371901</v>
      </c>
      <c r="H102" s="9">
        <v>1.0097861734225371</v>
      </c>
      <c r="I102" s="9">
        <v>1.0096549914731734</v>
      </c>
      <c r="J102" s="9">
        <v>1.0095238095238095</v>
      </c>
      <c r="K102" s="9">
        <v>1.0093926275744458</v>
      </c>
      <c r="L102" s="9">
        <v>1.0092614456250821</v>
      </c>
    </row>
    <row r="103" spans="1:12">
      <c r="A103" s="1" t="s">
        <v>284</v>
      </c>
      <c r="B103" s="1" t="s">
        <v>239</v>
      </c>
      <c r="C103" s="9" t="s">
        <v>145</v>
      </c>
      <c r="D103" s="11">
        <v>1</v>
      </c>
      <c r="E103" s="9">
        <v>2.1276595744680851</v>
      </c>
      <c r="F103" s="9">
        <v>2.0730158730158732</v>
      </c>
      <c r="G103" s="9">
        <v>2.0061224489795917</v>
      </c>
      <c r="H103" s="9">
        <v>1.9428571428571428</v>
      </c>
      <c r="I103" s="9">
        <v>1.9008486562942009</v>
      </c>
      <c r="J103" s="9">
        <v>1.8601307189542484</v>
      </c>
      <c r="K103" s="9">
        <v>1.8372549019607842</v>
      </c>
      <c r="L103" s="9">
        <v>1.81437908496732</v>
      </c>
    </row>
    <row r="104" spans="1:12">
      <c r="A104" s="1" t="s">
        <v>284</v>
      </c>
      <c r="B104" s="1" t="s">
        <v>239</v>
      </c>
      <c r="C104" s="9" t="s">
        <v>145</v>
      </c>
      <c r="D104" s="11">
        <v>2</v>
      </c>
      <c r="E104" s="9">
        <v>2.7027027027027026</v>
      </c>
      <c r="F104" s="9">
        <v>2.6160401002506268</v>
      </c>
      <c r="G104" s="9">
        <v>2.5441558441558438</v>
      </c>
      <c r="H104" s="9">
        <v>2.4747252747252744</v>
      </c>
      <c r="I104" s="9">
        <v>2.4076552139843277</v>
      </c>
      <c r="J104" s="9">
        <v>2.342857142857143</v>
      </c>
      <c r="K104" s="9">
        <v>2.3071428571428569</v>
      </c>
      <c r="L104" s="9">
        <v>2.2714285714285714</v>
      </c>
    </row>
    <row r="105" spans="1:12">
      <c r="A105" s="1" t="s">
        <v>284</v>
      </c>
      <c r="B105" s="1" t="s">
        <v>226</v>
      </c>
      <c r="C105" s="11" t="s">
        <v>202</v>
      </c>
      <c r="D105" s="11">
        <v>1</v>
      </c>
      <c r="E105" s="9">
        <v>1.1111111111111112</v>
      </c>
      <c r="F105" s="9">
        <v>1.1108087679516252</v>
      </c>
      <c r="G105" s="9">
        <v>1.1100529100529102</v>
      </c>
      <c r="H105" s="9">
        <v>1.1092970521541952</v>
      </c>
      <c r="I105" s="9">
        <v>1.1085411942554799</v>
      </c>
      <c r="J105" s="9">
        <v>1.1077853363567649</v>
      </c>
      <c r="K105" s="9">
        <v>1.1070294784580499</v>
      </c>
      <c r="L105" s="9">
        <v>1.1062736205593349</v>
      </c>
    </row>
    <row r="106" spans="1:12">
      <c r="A106" s="1" t="s">
        <v>284</v>
      </c>
      <c r="B106" s="1" t="s">
        <v>226</v>
      </c>
      <c r="C106" s="9" t="s">
        <v>203</v>
      </c>
      <c r="D106" s="9">
        <v>2</v>
      </c>
      <c r="E106" s="9">
        <v>1.1111111111111112</v>
      </c>
      <c r="F106" s="9">
        <v>1.1108087679516252</v>
      </c>
      <c r="G106" s="9">
        <v>1.1100529100529102</v>
      </c>
      <c r="H106" s="9">
        <v>1.1092970521541952</v>
      </c>
      <c r="I106" s="9">
        <v>1.1085411942554799</v>
      </c>
      <c r="J106" s="9">
        <v>1.1077853363567649</v>
      </c>
      <c r="K106" s="9">
        <v>1.1070294784580499</v>
      </c>
      <c r="L106" s="9">
        <v>1.1062736205593349</v>
      </c>
    </row>
    <row r="107" spans="1:12">
      <c r="A107" s="1" t="s">
        <v>284</v>
      </c>
      <c r="B107" s="1" t="s">
        <v>226</v>
      </c>
      <c r="C107" s="9" t="s">
        <v>204</v>
      </c>
      <c r="D107" s="9">
        <v>3</v>
      </c>
      <c r="E107" s="9">
        <v>1.1111111111111112</v>
      </c>
      <c r="F107" s="9">
        <v>1.1108087679516252</v>
      </c>
      <c r="G107" s="9">
        <v>1.1100529100529102</v>
      </c>
      <c r="H107" s="9">
        <v>1.1092970521541952</v>
      </c>
      <c r="I107" s="9">
        <v>1.1085411942554799</v>
      </c>
      <c r="J107" s="9">
        <v>1.1077853363567649</v>
      </c>
      <c r="K107" s="9">
        <v>1.1070294784580499</v>
      </c>
      <c r="L107" s="9">
        <v>1.1062736205593349</v>
      </c>
    </row>
    <row r="108" spans="1:12">
      <c r="A108" s="1" t="s">
        <v>284</v>
      </c>
      <c r="B108" s="1" t="s">
        <v>216</v>
      </c>
      <c r="C108" s="9" t="s">
        <v>202</v>
      </c>
      <c r="D108" s="9">
        <v>1</v>
      </c>
      <c r="E108" s="9">
        <v>1.2195121951219512</v>
      </c>
      <c r="F108" s="9">
        <v>1.2189148830263812</v>
      </c>
      <c r="G108" s="9">
        <v>1.2174216027874565</v>
      </c>
      <c r="H108" s="9">
        <v>1.2159283225485316</v>
      </c>
      <c r="I108" s="9">
        <v>1.2144350423096069</v>
      </c>
      <c r="J108" s="9">
        <v>1.2129417620706819</v>
      </c>
      <c r="K108" s="9">
        <v>1.211448481831757</v>
      </c>
      <c r="L108" s="9">
        <v>1.2099552015928323</v>
      </c>
    </row>
    <row r="109" spans="1:12">
      <c r="A109" s="1" t="s">
        <v>284</v>
      </c>
      <c r="B109" s="1" t="s">
        <v>216</v>
      </c>
      <c r="C109" s="11" t="s">
        <v>203</v>
      </c>
      <c r="D109" s="11">
        <v>2</v>
      </c>
      <c r="E109" s="9">
        <v>1.2195121951219512</v>
      </c>
      <c r="F109" s="9">
        <v>1.2189148830263812</v>
      </c>
      <c r="G109" s="9">
        <v>1.2174216027874565</v>
      </c>
      <c r="H109" s="9">
        <v>1.2159283225485316</v>
      </c>
      <c r="I109" s="9">
        <v>1.2144350423096069</v>
      </c>
      <c r="J109" s="9">
        <v>1.2129417620706819</v>
      </c>
      <c r="K109" s="9">
        <v>1.211448481831757</v>
      </c>
      <c r="L109" s="9">
        <v>1.2099552015928323</v>
      </c>
    </row>
    <row r="110" spans="1:12">
      <c r="A110" s="1" t="s">
        <v>284</v>
      </c>
      <c r="B110" s="1" t="s">
        <v>216</v>
      </c>
      <c r="C110" s="9" t="s">
        <v>204</v>
      </c>
      <c r="D110" s="11">
        <v>3</v>
      </c>
      <c r="E110" s="9">
        <v>1.2195121951219512</v>
      </c>
      <c r="F110" s="9">
        <v>1.2189148830263812</v>
      </c>
      <c r="G110" s="9">
        <v>1.2174216027874565</v>
      </c>
      <c r="H110" s="9">
        <v>1.2159283225485316</v>
      </c>
      <c r="I110" s="9">
        <v>1.2144350423096069</v>
      </c>
      <c r="J110" s="9">
        <v>1.2129417620706819</v>
      </c>
      <c r="K110" s="9">
        <v>1.211448481831757</v>
      </c>
      <c r="L110" s="9">
        <v>1.2099552015928323</v>
      </c>
    </row>
    <row r="111" spans="1:12">
      <c r="A111" s="1" t="s">
        <v>284</v>
      </c>
      <c r="B111" s="1" t="s">
        <v>222</v>
      </c>
      <c r="C111" s="9" t="s">
        <v>242</v>
      </c>
      <c r="D111" s="11">
        <v>1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</row>
    <row r="112" spans="1:12">
      <c r="A112" s="9" t="s">
        <v>284</v>
      </c>
      <c r="B112" s="9" t="s">
        <v>273</v>
      </c>
      <c r="C112" s="9" t="s">
        <v>145</v>
      </c>
      <c r="D112" s="9">
        <v>1</v>
      </c>
      <c r="E112" s="9">
        <v>1.1764705882352942</v>
      </c>
      <c r="F112" s="9">
        <v>1.1235694277711081</v>
      </c>
      <c r="G112" s="9">
        <v>1.1039359333476979</v>
      </c>
      <c r="H112" s="9">
        <v>1.0973127712623509</v>
      </c>
      <c r="I112" s="9">
        <v>1.0928750987574516</v>
      </c>
      <c r="J112" s="9">
        <v>1.0895045197566204</v>
      </c>
      <c r="K112" s="9">
        <v>1.0866546618647457</v>
      </c>
      <c r="L112" s="9">
        <v>1.0838304552590265</v>
      </c>
    </row>
    <row r="113" spans="1:12">
      <c r="A113" s="1" t="s">
        <v>284</v>
      </c>
      <c r="B113" s="1" t="s">
        <v>219</v>
      </c>
      <c r="C113" s="11" t="s">
        <v>156</v>
      </c>
      <c r="D113" s="11">
        <v>1</v>
      </c>
      <c r="E113" s="9">
        <v>1.3333333333333333</v>
      </c>
      <c r="F113" s="9">
        <v>1.3324263038548751</v>
      </c>
      <c r="G113" s="9">
        <v>1.3301587301587301</v>
      </c>
      <c r="H113" s="9">
        <v>1.327891156462585</v>
      </c>
      <c r="I113" s="9">
        <v>1.3256235827664398</v>
      </c>
      <c r="J113" s="9">
        <v>1.3233560090702947</v>
      </c>
      <c r="K113" s="9">
        <v>1.3210884353741497</v>
      </c>
      <c r="L113" s="9">
        <v>1.3188208616780044</v>
      </c>
    </row>
    <row r="114" spans="1:12">
      <c r="A114" s="1" t="s">
        <v>284</v>
      </c>
      <c r="B114" s="1" t="s">
        <v>221</v>
      </c>
      <c r="C114" s="9" t="s">
        <v>156</v>
      </c>
      <c r="D114" s="11">
        <v>1</v>
      </c>
      <c r="E114" s="9">
        <v>1.6666666666666667</v>
      </c>
      <c r="F114" s="9">
        <v>1.6648526077097507</v>
      </c>
      <c r="G114" s="9">
        <v>1.6603174603174604</v>
      </c>
      <c r="H114" s="9">
        <v>1.6557823129251701</v>
      </c>
      <c r="I114" s="9">
        <v>1.65124716553288</v>
      </c>
      <c r="J114" s="9">
        <v>1.6467120181405897</v>
      </c>
      <c r="K114" s="9">
        <v>1.6421768707482993</v>
      </c>
      <c r="L114" s="9">
        <v>1.6376417233560092</v>
      </c>
    </row>
    <row r="115" spans="1:12">
      <c r="A115" s="26" t="s">
        <v>284</v>
      </c>
      <c r="B115" s="1" t="s">
        <v>261</v>
      </c>
      <c r="C115" s="9" t="s">
        <v>156</v>
      </c>
      <c r="D115" s="11">
        <v>1</v>
      </c>
      <c r="E115" s="9">
        <v>1.6666666666666667</v>
      </c>
      <c r="F115" s="9">
        <v>1.6648526077097507</v>
      </c>
      <c r="G115" s="9">
        <v>1.6603174603174604</v>
      </c>
      <c r="H115" s="9">
        <v>1.6557823129251701</v>
      </c>
      <c r="I115" s="9">
        <v>1.65124716553288</v>
      </c>
      <c r="J115" s="9">
        <v>1.6467120181405897</v>
      </c>
      <c r="K115" s="9">
        <v>1.6421768707482993</v>
      </c>
      <c r="L115" s="9">
        <v>1.6376417233560092</v>
      </c>
    </row>
    <row r="116" spans="1:12">
      <c r="A116" s="1" t="s">
        <v>284</v>
      </c>
      <c r="B116" s="1" t="s">
        <v>220</v>
      </c>
      <c r="C116" s="11" t="s">
        <v>157</v>
      </c>
      <c r="D116" s="11">
        <v>1</v>
      </c>
      <c r="E116" s="9">
        <v>1.3333333333333333</v>
      </c>
      <c r="F116" s="9">
        <v>1.3324263038548751</v>
      </c>
      <c r="G116" s="9">
        <v>1.3301587301587301</v>
      </c>
      <c r="H116" s="9">
        <v>1.327891156462585</v>
      </c>
      <c r="I116" s="9">
        <v>1.3256235827664398</v>
      </c>
      <c r="J116" s="9">
        <v>1.3233560090702947</v>
      </c>
      <c r="K116" s="9">
        <v>1.3210884353741497</v>
      </c>
      <c r="L116" s="9">
        <v>1.3188208616780044</v>
      </c>
    </row>
    <row r="117" spans="1:12">
      <c r="A117" s="1" t="s">
        <v>284</v>
      </c>
      <c r="B117" s="1" t="s">
        <v>249</v>
      </c>
      <c r="C117" s="9" t="s">
        <v>157</v>
      </c>
      <c r="D117" s="11">
        <v>1</v>
      </c>
      <c r="E117" s="9">
        <v>1.6666666666666667</v>
      </c>
      <c r="F117" s="9">
        <v>1.6648526077097507</v>
      </c>
      <c r="G117" s="9">
        <v>1.6603174603174604</v>
      </c>
      <c r="H117" s="9">
        <v>1.6557823129251701</v>
      </c>
      <c r="I117" s="9">
        <v>1.65124716553288</v>
      </c>
      <c r="J117" s="9">
        <v>1.6467120181405897</v>
      </c>
      <c r="K117" s="9">
        <v>1.6421768707482993</v>
      </c>
      <c r="L117" s="9">
        <v>1.6376417233560092</v>
      </c>
    </row>
    <row r="118" spans="1:12">
      <c r="A118" s="26" t="s">
        <v>284</v>
      </c>
      <c r="B118" s="1" t="s">
        <v>262</v>
      </c>
      <c r="C118" s="9" t="s">
        <v>157</v>
      </c>
      <c r="D118" s="11">
        <v>1</v>
      </c>
      <c r="E118" s="9">
        <v>1.6666666666666667</v>
      </c>
      <c r="F118" s="9">
        <v>1.6648526077097507</v>
      </c>
      <c r="G118" s="9">
        <v>1.6603174603174604</v>
      </c>
      <c r="H118" s="9">
        <v>1.6557823129251701</v>
      </c>
      <c r="I118" s="9">
        <v>1.65124716553288</v>
      </c>
      <c r="J118" s="9">
        <v>1.6467120181405897</v>
      </c>
      <c r="K118" s="9">
        <v>1.6421768707482993</v>
      </c>
      <c r="L118" s="9">
        <v>1.6376417233560092</v>
      </c>
    </row>
    <row r="119" spans="1:12">
      <c r="A119" s="1" t="s">
        <v>284</v>
      </c>
      <c r="B119" s="1" t="s">
        <v>227</v>
      </c>
      <c r="C119" s="11" t="s">
        <v>143</v>
      </c>
      <c r="D119" s="11">
        <v>1</v>
      </c>
      <c r="E119" s="9">
        <v>1.1764705882352942</v>
      </c>
      <c r="F119" s="9">
        <v>1.1759903961584635</v>
      </c>
      <c r="G119" s="9">
        <v>1.1747899159663866</v>
      </c>
      <c r="H119" s="9">
        <v>1.1735894357743097</v>
      </c>
      <c r="I119" s="9">
        <v>1.1723889555822329</v>
      </c>
      <c r="J119" s="9">
        <v>1.171188475390156</v>
      </c>
      <c r="K119" s="9">
        <v>1.1699879951980794</v>
      </c>
      <c r="L119" s="9">
        <v>1.1687875150060025</v>
      </c>
    </row>
    <row r="120" spans="1:12">
      <c r="A120" s="1" t="s">
        <v>284</v>
      </c>
      <c r="B120" s="1" t="s">
        <v>223</v>
      </c>
      <c r="C120" s="9" t="s">
        <v>143</v>
      </c>
      <c r="D120" s="11">
        <v>1</v>
      </c>
      <c r="E120" s="9">
        <v>1.3513513513513513</v>
      </c>
      <c r="F120" s="9">
        <v>1.3503952932524361</v>
      </c>
      <c r="G120" s="9">
        <v>1.348005148005148</v>
      </c>
      <c r="H120" s="9">
        <v>1.3456150027578599</v>
      </c>
      <c r="I120" s="9">
        <v>1.3432248575105716</v>
      </c>
      <c r="J120" s="9">
        <v>1.3408347122632835</v>
      </c>
      <c r="K120" s="9">
        <v>1.3384445670159955</v>
      </c>
      <c r="L120" s="9">
        <v>1.3360544217687074</v>
      </c>
    </row>
    <row r="121" spans="1:12">
      <c r="A121" s="1" t="s">
        <v>284</v>
      </c>
      <c r="B121" s="1" t="s">
        <v>238</v>
      </c>
      <c r="C121" s="11" t="s">
        <v>174</v>
      </c>
      <c r="D121" s="11">
        <v>1</v>
      </c>
      <c r="E121" s="9">
        <v>0.16582635717909688</v>
      </c>
      <c r="F121" s="9">
        <v>0.16496492155738729</v>
      </c>
      <c r="G121" s="9">
        <v>0.1628113325031133</v>
      </c>
      <c r="H121" s="9">
        <v>0.16065774344883932</v>
      </c>
      <c r="I121" s="9">
        <v>0.15850415439456533</v>
      </c>
      <c r="J121" s="9">
        <v>0.15635056534029135</v>
      </c>
      <c r="K121" s="9">
        <v>0.15419697628601736</v>
      </c>
      <c r="L121" s="9">
        <v>0.15204338723174338</v>
      </c>
    </row>
    <row r="122" spans="1:12">
      <c r="A122" s="1" t="s">
        <v>284</v>
      </c>
      <c r="B122" s="1" t="s">
        <v>206</v>
      </c>
      <c r="C122" s="11" t="s">
        <v>146</v>
      </c>
      <c r="D122" s="11">
        <v>1</v>
      </c>
      <c r="E122" s="9">
        <v>1.25</v>
      </c>
      <c r="F122" s="9">
        <v>1.2487012987012986</v>
      </c>
      <c r="G122" s="9">
        <v>1.2454545454545454</v>
      </c>
      <c r="H122" s="9">
        <v>1.2422077922077923</v>
      </c>
      <c r="I122" s="9">
        <v>1.238961038961039</v>
      </c>
      <c r="J122" s="9">
        <v>1.2357142857142858</v>
      </c>
      <c r="K122" s="9">
        <v>1.2324675324675325</v>
      </c>
      <c r="L122" s="9">
        <v>1.2292207792207792</v>
      </c>
    </row>
    <row r="123" spans="1:12">
      <c r="A123" s="1" t="s">
        <v>284</v>
      </c>
      <c r="B123" s="1" t="s">
        <v>210</v>
      </c>
      <c r="C123" s="11" t="s">
        <v>146</v>
      </c>
      <c r="D123" s="11">
        <v>1</v>
      </c>
      <c r="E123" s="9">
        <v>1.5384615384615383</v>
      </c>
      <c r="F123" s="9">
        <v>1.5356643356643356</v>
      </c>
      <c r="G123" s="9">
        <v>1.5286713286713285</v>
      </c>
      <c r="H123" s="9">
        <v>1.5216783216783214</v>
      </c>
      <c r="I123" s="9">
        <v>1.5146853146853145</v>
      </c>
      <c r="J123" s="9">
        <v>1.5076923076923077</v>
      </c>
      <c r="K123" s="9">
        <v>1.5006993006993006</v>
      </c>
      <c r="L123" s="9">
        <v>1.4937062937062935</v>
      </c>
    </row>
    <row r="124" spans="1:12">
      <c r="A124" s="26" t="s">
        <v>284</v>
      </c>
      <c r="B124" s="1" t="s">
        <v>268</v>
      </c>
      <c r="C124" s="9" t="s">
        <v>146</v>
      </c>
      <c r="D124" s="11">
        <v>1</v>
      </c>
      <c r="E124" s="9">
        <v>1.5384615384615383</v>
      </c>
      <c r="F124" s="9">
        <v>1.5356643356643356</v>
      </c>
      <c r="G124" s="9">
        <v>1.5286713286713285</v>
      </c>
      <c r="H124" s="9">
        <v>1.5216783216783214</v>
      </c>
      <c r="I124" s="9">
        <v>1.5146853146853145</v>
      </c>
      <c r="J124" s="9">
        <v>1.5076923076923077</v>
      </c>
      <c r="K124" s="9">
        <v>1.5006993006993006</v>
      </c>
      <c r="L124" s="9">
        <v>1.4937062937062935</v>
      </c>
    </row>
    <row r="125" spans="1:12">
      <c r="A125" s="1" t="s">
        <v>284</v>
      </c>
      <c r="B125" s="9" t="s">
        <v>487</v>
      </c>
      <c r="C125" s="9" t="s">
        <v>473</v>
      </c>
      <c r="D125" s="9">
        <v>1</v>
      </c>
      <c r="E125" s="9">
        <v>1</v>
      </c>
      <c r="F125" s="9">
        <v>1</v>
      </c>
      <c r="G125" s="9">
        <v>1</v>
      </c>
      <c r="H125" s="9">
        <v>1</v>
      </c>
      <c r="I125" s="9">
        <v>1</v>
      </c>
      <c r="J125" s="9">
        <v>1</v>
      </c>
      <c r="K125" s="9">
        <v>1</v>
      </c>
      <c r="L125" s="9">
        <v>1</v>
      </c>
    </row>
    <row r="126" spans="1:12">
      <c r="A126" s="1" t="s">
        <v>284</v>
      </c>
      <c r="B126" s="1" t="s">
        <v>233</v>
      </c>
      <c r="C126" s="9" t="s">
        <v>24</v>
      </c>
      <c r="D126" s="11">
        <v>1</v>
      </c>
      <c r="E126" s="9">
        <v>1.0416666666666667</v>
      </c>
      <c r="F126" s="9">
        <v>1.0307671709733566</v>
      </c>
      <c r="G126" s="9">
        <v>1.0251748251748254</v>
      </c>
      <c r="H126" s="9">
        <v>1.0197720646700239</v>
      </c>
      <c r="I126" s="9">
        <v>1.0145560023732612</v>
      </c>
      <c r="J126" s="9">
        <v>1.0095238095238095</v>
      </c>
      <c r="K126" s="9">
        <v>1.0046727142204528</v>
      </c>
      <c r="L126" s="9">
        <v>1</v>
      </c>
    </row>
    <row r="127" spans="1:12">
      <c r="A127" s="1" t="s">
        <v>284</v>
      </c>
      <c r="B127" s="1" t="s">
        <v>224</v>
      </c>
      <c r="C127" s="11" t="s">
        <v>202</v>
      </c>
      <c r="D127" s="11">
        <v>1</v>
      </c>
      <c r="E127" s="9">
        <v>1.1111111111111112</v>
      </c>
      <c r="F127" s="9">
        <v>1.1108087679516252</v>
      </c>
      <c r="G127" s="9">
        <v>1.1100529100529102</v>
      </c>
      <c r="H127" s="9">
        <v>1.1092970521541952</v>
      </c>
      <c r="I127" s="9">
        <v>1.1085411942554799</v>
      </c>
      <c r="J127" s="9">
        <v>1.1077853363567649</v>
      </c>
      <c r="K127" s="9">
        <v>1.1070294784580499</v>
      </c>
      <c r="L127" s="9">
        <v>1.1062736205593349</v>
      </c>
    </row>
    <row r="128" spans="1:12">
      <c r="A128" s="1" t="s">
        <v>284</v>
      </c>
      <c r="B128" s="1" t="s">
        <v>224</v>
      </c>
      <c r="C128" s="9" t="s">
        <v>203</v>
      </c>
      <c r="D128" s="9">
        <v>2</v>
      </c>
      <c r="E128" s="9">
        <v>1.1111111111111112</v>
      </c>
      <c r="F128" s="9">
        <v>1.1108087679516252</v>
      </c>
      <c r="G128" s="9">
        <v>1.1100529100529102</v>
      </c>
      <c r="H128" s="9">
        <v>1.1092970521541952</v>
      </c>
      <c r="I128" s="9">
        <v>1.1085411942554799</v>
      </c>
      <c r="J128" s="9">
        <v>1.1077853363567649</v>
      </c>
      <c r="K128" s="9">
        <v>1.1070294784580499</v>
      </c>
      <c r="L128" s="9">
        <v>1.1062736205593349</v>
      </c>
    </row>
    <row r="129" spans="1:12">
      <c r="A129" s="1" t="s">
        <v>284</v>
      </c>
      <c r="B129" s="1" t="s">
        <v>224</v>
      </c>
      <c r="C129" s="11" t="s">
        <v>204</v>
      </c>
      <c r="D129" s="11">
        <v>3</v>
      </c>
      <c r="E129" s="9">
        <v>1.1111111111111112</v>
      </c>
      <c r="F129" s="9">
        <v>1.1108087679516252</v>
      </c>
      <c r="G129" s="9">
        <v>1.1100529100529102</v>
      </c>
      <c r="H129" s="9">
        <v>1.1092970521541952</v>
      </c>
      <c r="I129" s="9">
        <v>1.1085411942554799</v>
      </c>
      <c r="J129" s="9">
        <v>1.1077853363567649</v>
      </c>
      <c r="K129" s="9">
        <v>1.1070294784580499</v>
      </c>
      <c r="L129" s="9">
        <v>1.1062736205593349</v>
      </c>
    </row>
    <row r="130" spans="1:12">
      <c r="A130" s="1" t="s">
        <v>284</v>
      </c>
      <c r="B130" s="1" t="s">
        <v>211</v>
      </c>
      <c r="C130" s="11" t="s">
        <v>202</v>
      </c>
      <c r="D130" s="11">
        <v>1</v>
      </c>
      <c r="E130" s="9">
        <v>1.2195121951219512</v>
      </c>
      <c r="F130" s="9">
        <v>1.2189148830263812</v>
      </c>
      <c r="G130" s="9">
        <v>1.2174216027874565</v>
      </c>
      <c r="H130" s="9">
        <v>1.2159283225485316</v>
      </c>
      <c r="I130" s="9">
        <v>1.2144350423096069</v>
      </c>
      <c r="J130" s="9">
        <v>1.2129417620706819</v>
      </c>
      <c r="K130" s="9">
        <v>1.211448481831757</v>
      </c>
      <c r="L130" s="9">
        <v>1.2099552015928323</v>
      </c>
    </row>
    <row r="131" spans="1:12">
      <c r="A131" s="1" t="s">
        <v>284</v>
      </c>
      <c r="B131" s="1" t="s">
        <v>211</v>
      </c>
      <c r="C131" s="11" t="s">
        <v>203</v>
      </c>
      <c r="D131" s="11">
        <v>2</v>
      </c>
      <c r="E131" s="9">
        <v>1.2195121951219512</v>
      </c>
      <c r="F131" s="9">
        <v>1.2189148830263812</v>
      </c>
      <c r="G131" s="9">
        <v>1.2174216027874565</v>
      </c>
      <c r="H131" s="9">
        <v>1.2159283225485316</v>
      </c>
      <c r="I131" s="9">
        <v>1.2144350423096069</v>
      </c>
      <c r="J131" s="9">
        <v>1.2129417620706819</v>
      </c>
      <c r="K131" s="9">
        <v>1.211448481831757</v>
      </c>
      <c r="L131" s="9">
        <v>1.2099552015928323</v>
      </c>
    </row>
    <row r="132" spans="1:12">
      <c r="A132" s="1" t="s">
        <v>284</v>
      </c>
      <c r="B132" s="1" t="s">
        <v>211</v>
      </c>
      <c r="C132" s="9" t="s">
        <v>204</v>
      </c>
      <c r="D132" s="11">
        <v>3</v>
      </c>
      <c r="E132" s="9">
        <v>1.2195121951219512</v>
      </c>
      <c r="F132" s="9">
        <v>1.2189148830263812</v>
      </c>
      <c r="G132" s="9">
        <v>1.2174216027874565</v>
      </c>
      <c r="H132" s="9">
        <v>1.2159283225485316</v>
      </c>
      <c r="I132" s="9">
        <v>1.2144350423096069</v>
      </c>
      <c r="J132" s="9">
        <v>1.2129417620706819</v>
      </c>
      <c r="K132" s="9">
        <v>1.211448481831757</v>
      </c>
      <c r="L132" s="9">
        <v>1.2099552015928323</v>
      </c>
    </row>
    <row r="133" spans="1:12">
      <c r="A133" s="1" t="s">
        <v>284</v>
      </c>
      <c r="B133" s="1" t="s">
        <v>215</v>
      </c>
      <c r="C133" s="9" t="s">
        <v>242</v>
      </c>
      <c r="D133" s="11">
        <v>1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</row>
    <row r="134" spans="1:12">
      <c r="A134" s="9" t="s">
        <v>284</v>
      </c>
      <c r="B134" s="9" t="s">
        <v>272</v>
      </c>
      <c r="C134" s="9" t="s">
        <v>145</v>
      </c>
      <c r="D134" s="9">
        <v>1</v>
      </c>
      <c r="E134" s="9">
        <v>1.1764705882352942</v>
      </c>
      <c r="F134" s="9">
        <v>1.1235694277711081</v>
      </c>
      <c r="G134" s="9">
        <v>1.1039359333476979</v>
      </c>
      <c r="H134" s="9">
        <v>1.0973127712623509</v>
      </c>
      <c r="I134" s="9">
        <v>1.0928750987574516</v>
      </c>
      <c r="J134" s="9">
        <v>1.0895045197566204</v>
      </c>
      <c r="K134" s="9">
        <v>1.0866546618647457</v>
      </c>
      <c r="L134" s="9">
        <v>1.0838304552590265</v>
      </c>
    </row>
    <row r="135" spans="1:12">
      <c r="A135" s="1" t="s">
        <v>284</v>
      </c>
      <c r="B135" s="1" t="s">
        <v>207</v>
      </c>
      <c r="C135" s="11" t="s">
        <v>156</v>
      </c>
      <c r="D135" s="11">
        <v>1</v>
      </c>
      <c r="E135" s="9">
        <v>1.3333333333333333</v>
      </c>
      <c r="F135" s="9">
        <v>1.3324263038548751</v>
      </c>
      <c r="G135" s="9">
        <v>1.3301587301587301</v>
      </c>
      <c r="H135" s="9">
        <v>1.327891156462585</v>
      </c>
      <c r="I135" s="9">
        <v>1.3256235827664398</v>
      </c>
      <c r="J135" s="9">
        <v>1.3233560090702947</v>
      </c>
      <c r="K135" s="9">
        <v>1.3210884353741497</v>
      </c>
      <c r="L135" s="9">
        <v>1.3188208616780044</v>
      </c>
    </row>
    <row r="136" spans="1:12">
      <c r="A136" s="1" t="s">
        <v>284</v>
      </c>
      <c r="B136" s="1" t="s">
        <v>209</v>
      </c>
      <c r="C136" s="11" t="s">
        <v>156</v>
      </c>
      <c r="D136" s="11">
        <v>1</v>
      </c>
      <c r="E136" s="9">
        <v>1.6666666666666667</v>
      </c>
      <c r="F136" s="9">
        <v>1.6648526077097507</v>
      </c>
      <c r="G136" s="9">
        <v>1.6603174603174604</v>
      </c>
      <c r="H136" s="9">
        <v>1.6557823129251701</v>
      </c>
      <c r="I136" s="9">
        <v>1.65124716553288</v>
      </c>
      <c r="J136" s="9">
        <v>1.6467120181405897</v>
      </c>
      <c r="K136" s="9">
        <v>1.6421768707482993</v>
      </c>
      <c r="L136" s="9">
        <v>1.6376417233560092</v>
      </c>
    </row>
    <row r="137" spans="1:12">
      <c r="A137" s="26" t="s">
        <v>284</v>
      </c>
      <c r="B137" s="1" t="s">
        <v>259</v>
      </c>
      <c r="C137" s="11" t="s">
        <v>156</v>
      </c>
      <c r="D137" s="11">
        <v>1</v>
      </c>
      <c r="E137" s="9">
        <v>1.6666666666666667</v>
      </c>
      <c r="F137" s="9">
        <v>1.6648526077097507</v>
      </c>
      <c r="G137" s="9">
        <v>1.6603174603174604</v>
      </c>
      <c r="H137" s="9">
        <v>1.6557823129251701</v>
      </c>
      <c r="I137" s="9">
        <v>1.65124716553288</v>
      </c>
      <c r="J137" s="9">
        <v>1.6467120181405897</v>
      </c>
      <c r="K137" s="9">
        <v>1.6421768707482993</v>
      </c>
      <c r="L137" s="9">
        <v>1.6376417233560092</v>
      </c>
    </row>
    <row r="138" spans="1:12">
      <c r="A138" s="1" t="s">
        <v>284</v>
      </c>
      <c r="B138" s="1" t="s">
        <v>235</v>
      </c>
      <c r="C138" s="9" t="s">
        <v>24</v>
      </c>
      <c r="D138" s="11">
        <v>1</v>
      </c>
      <c r="E138" s="9">
        <v>0.4</v>
      </c>
      <c r="F138" s="9">
        <v>0.35370851370851369</v>
      </c>
      <c r="G138" s="9">
        <v>0.33454545454545453</v>
      </c>
      <c r="H138" s="9">
        <v>0.32653198653198651</v>
      </c>
      <c r="I138" s="9">
        <v>0.32038480038480033</v>
      </c>
      <c r="J138" s="9">
        <v>0.31515873015873014</v>
      </c>
      <c r="K138" s="9">
        <v>0.31038720538720532</v>
      </c>
      <c r="L138" s="9">
        <v>0.30562770562770558</v>
      </c>
    </row>
    <row r="139" spans="1:12">
      <c r="A139" s="1" t="s">
        <v>284</v>
      </c>
      <c r="B139" s="1" t="s">
        <v>236</v>
      </c>
      <c r="C139" s="9" t="s">
        <v>24</v>
      </c>
      <c r="D139" s="11">
        <v>1</v>
      </c>
      <c r="E139" s="9">
        <v>0.2857142857142857</v>
      </c>
      <c r="F139" s="9">
        <v>0.26054421768707486</v>
      </c>
      <c r="G139" s="9">
        <v>0.24935064935064932</v>
      </c>
      <c r="H139" s="9">
        <v>0.2441300762729334</v>
      </c>
      <c r="I139" s="9">
        <v>0.23990929705215419</v>
      </c>
      <c r="J139" s="9">
        <v>0.23618197278911565</v>
      </c>
      <c r="K139" s="9">
        <v>0.23269815501958357</v>
      </c>
      <c r="L139" s="9">
        <v>0.22922077922077921</v>
      </c>
    </row>
    <row r="140" spans="1:12">
      <c r="A140" s="1" t="s">
        <v>284</v>
      </c>
      <c r="B140" s="1" t="s">
        <v>208</v>
      </c>
      <c r="C140" s="11" t="s">
        <v>157</v>
      </c>
      <c r="D140" s="11">
        <v>1</v>
      </c>
      <c r="E140" s="9">
        <v>1.3333333333333333</v>
      </c>
      <c r="F140" s="9">
        <v>1.3324263038548751</v>
      </c>
      <c r="G140" s="9">
        <v>1.3301587301587301</v>
      </c>
      <c r="H140" s="9">
        <v>1.327891156462585</v>
      </c>
      <c r="I140" s="9">
        <v>1.3256235827664398</v>
      </c>
      <c r="J140" s="9">
        <v>1.3233560090702947</v>
      </c>
      <c r="K140" s="9">
        <v>1.3210884353741497</v>
      </c>
      <c r="L140" s="9">
        <v>1.3188208616780044</v>
      </c>
    </row>
    <row r="141" spans="1:12">
      <c r="A141" s="1" t="s">
        <v>284</v>
      </c>
      <c r="B141" s="1" t="s">
        <v>232</v>
      </c>
      <c r="C141" s="11" t="s">
        <v>157</v>
      </c>
      <c r="D141" s="11">
        <v>1</v>
      </c>
      <c r="E141" s="9">
        <v>1.6666666666666667</v>
      </c>
      <c r="F141" s="9">
        <v>1.6648526077097507</v>
      </c>
      <c r="G141" s="9">
        <v>1.6603174603174604</v>
      </c>
      <c r="H141" s="9">
        <v>1.6557823129251701</v>
      </c>
      <c r="I141" s="9">
        <v>1.65124716553288</v>
      </c>
      <c r="J141" s="9">
        <v>1.6467120181405897</v>
      </c>
      <c r="K141" s="9">
        <v>1.6421768707482993</v>
      </c>
      <c r="L141" s="9">
        <v>1.6376417233560092</v>
      </c>
    </row>
    <row r="142" spans="1:12">
      <c r="A142" s="26" t="s">
        <v>284</v>
      </c>
      <c r="B142" s="1" t="s">
        <v>260</v>
      </c>
      <c r="C142" s="11" t="s">
        <v>157</v>
      </c>
      <c r="D142" s="11">
        <v>1</v>
      </c>
      <c r="E142" s="9">
        <v>1.6666666666666667</v>
      </c>
      <c r="F142" s="9">
        <v>1.6648526077097507</v>
      </c>
      <c r="G142" s="9">
        <v>1.6603174603174604</v>
      </c>
      <c r="H142" s="9">
        <v>1.6557823129251701</v>
      </c>
      <c r="I142" s="9">
        <v>1.65124716553288</v>
      </c>
      <c r="J142" s="9">
        <v>1.6467120181405897</v>
      </c>
      <c r="K142" s="9">
        <v>1.6421768707482993</v>
      </c>
      <c r="L142" s="9">
        <v>1.6376417233560092</v>
      </c>
    </row>
    <row r="143" spans="1:12">
      <c r="A143" s="1" t="s">
        <v>284</v>
      </c>
      <c r="B143" s="1" t="s">
        <v>225</v>
      </c>
      <c r="C143" s="9" t="s">
        <v>143</v>
      </c>
      <c r="D143" s="11">
        <v>1</v>
      </c>
      <c r="E143" s="9">
        <v>1.1764705882352942</v>
      </c>
      <c r="F143" s="9">
        <v>1.1759903961584635</v>
      </c>
      <c r="G143" s="9">
        <v>1.1747899159663866</v>
      </c>
      <c r="H143" s="9">
        <v>1.1735894357743097</v>
      </c>
      <c r="I143" s="9">
        <v>1.1723889555822329</v>
      </c>
      <c r="J143" s="9">
        <v>1.171188475390156</v>
      </c>
      <c r="K143" s="9">
        <v>1.1699879951980794</v>
      </c>
      <c r="L143" s="9">
        <v>1.1687875150060025</v>
      </c>
    </row>
    <row r="144" spans="1:12">
      <c r="A144" s="1" t="s">
        <v>284</v>
      </c>
      <c r="B144" s="1" t="s">
        <v>234</v>
      </c>
      <c r="C144" s="9" t="s">
        <v>173</v>
      </c>
      <c r="D144" s="11">
        <v>1</v>
      </c>
      <c r="E144" s="9">
        <v>0.16582635717909688</v>
      </c>
      <c r="F144" s="9">
        <v>0.16496492155738729</v>
      </c>
      <c r="G144" s="9">
        <v>0.1628113325031133</v>
      </c>
      <c r="H144" s="9">
        <v>0.16065774344883932</v>
      </c>
      <c r="I144" s="9">
        <v>0.15850415439456533</v>
      </c>
      <c r="J144" s="9">
        <v>0.15635056534029135</v>
      </c>
      <c r="K144" s="9">
        <v>0.15419697628601736</v>
      </c>
      <c r="L144" s="9">
        <v>0.15204338723174338</v>
      </c>
    </row>
    <row r="145" spans="1:12">
      <c r="A145" s="1" t="s">
        <v>284</v>
      </c>
      <c r="B145" s="1" t="s">
        <v>122</v>
      </c>
      <c r="C145" s="9" t="s">
        <v>203</v>
      </c>
      <c r="D145" s="11">
        <v>2</v>
      </c>
      <c r="E145" s="9">
        <v>1.1111111111111112</v>
      </c>
      <c r="F145" s="9">
        <v>1.1108087679516252</v>
      </c>
      <c r="G145" s="9">
        <v>1.1100529100529102</v>
      </c>
      <c r="H145" s="9">
        <v>1.1092970521541952</v>
      </c>
      <c r="I145" s="9">
        <v>1.1085411942554799</v>
      </c>
      <c r="J145" s="9">
        <v>1.1077853363567649</v>
      </c>
      <c r="K145" s="9">
        <v>1.1070294784580499</v>
      </c>
      <c r="L145" s="9">
        <v>1.1062736205593349</v>
      </c>
    </row>
    <row r="146" spans="1:12">
      <c r="A146" s="1" t="s">
        <v>284</v>
      </c>
      <c r="B146" s="1" t="s">
        <v>122</v>
      </c>
      <c r="C146" s="9" t="s">
        <v>204</v>
      </c>
      <c r="D146" s="11">
        <v>3</v>
      </c>
      <c r="E146" s="9">
        <v>1.1111111111111112</v>
      </c>
      <c r="F146" s="9">
        <v>1.1108087679516252</v>
      </c>
      <c r="G146" s="9">
        <v>1.1100529100529102</v>
      </c>
      <c r="H146" s="9">
        <v>1.1092970521541952</v>
      </c>
      <c r="I146" s="9">
        <v>1.1085411942554799</v>
      </c>
      <c r="J146" s="9">
        <v>1.1077853363567649</v>
      </c>
      <c r="K146" s="9">
        <v>1.1070294784580499</v>
      </c>
      <c r="L146" s="9">
        <v>1.1062736205593349</v>
      </c>
    </row>
    <row r="147" spans="1:12">
      <c r="A147" s="1" t="s">
        <v>284</v>
      </c>
      <c r="B147" s="1" t="s">
        <v>228</v>
      </c>
      <c r="C147" s="11" t="s">
        <v>146</v>
      </c>
      <c r="D147" s="11">
        <v>1</v>
      </c>
      <c r="E147" s="9">
        <v>1.3574660633484159</v>
      </c>
      <c r="F147" s="9">
        <v>1.355609096785567</v>
      </c>
      <c r="G147" s="9">
        <v>1.3509666803784448</v>
      </c>
      <c r="H147" s="9">
        <v>1.3463242639713224</v>
      </c>
      <c r="I147" s="9">
        <v>1.3416818475642001</v>
      </c>
      <c r="J147" s="9">
        <v>1.3370394311570779</v>
      </c>
      <c r="K147" s="9">
        <v>1.3323970147499555</v>
      </c>
      <c r="L147" s="9">
        <v>1.3277545983428332</v>
      </c>
    </row>
    <row r="148" spans="1:12">
      <c r="A148" s="1" t="s">
        <v>284</v>
      </c>
      <c r="B148" s="1" t="s">
        <v>230</v>
      </c>
      <c r="C148" s="11" t="s">
        <v>202</v>
      </c>
      <c r="D148" s="11">
        <v>1</v>
      </c>
      <c r="E148" s="9">
        <v>1.0989010989010988</v>
      </c>
      <c r="F148" s="9">
        <v>1.0986319802646332</v>
      </c>
      <c r="G148" s="9">
        <v>1.0979591836734692</v>
      </c>
      <c r="H148" s="9">
        <v>1.0972863870823053</v>
      </c>
      <c r="I148" s="9">
        <v>1.0966135904911414</v>
      </c>
      <c r="J148" s="9">
        <v>1.0959407938999775</v>
      </c>
      <c r="K148" s="9">
        <v>1.0952679973088135</v>
      </c>
      <c r="L148" s="9">
        <v>1.0945952007176496</v>
      </c>
    </row>
    <row r="149" spans="1:12">
      <c r="A149" s="1" t="s">
        <v>284</v>
      </c>
      <c r="B149" s="1" t="s">
        <v>230</v>
      </c>
      <c r="C149" s="9" t="s">
        <v>203</v>
      </c>
      <c r="D149" s="11">
        <v>2</v>
      </c>
      <c r="E149" s="9">
        <v>1.0989010989010988</v>
      </c>
      <c r="F149" s="9">
        <v>1.0986319802646332</v>
      </c>
      <c r="G149" s="9">
        <v>1.0979591836734692</v>
      </c>
      <c r="H149" s="9">
        <v>1.0972863870823053</v>
      </c>
      <c r="I149" s="9">
        <v>1.0966135904911414</v>
      </c>
      <c r="J149" s="9">
        <v>1.0959407938999775</v>
      </c>
      <c r="K149" s="9">
        <v>1.0952679973088135</v>
      </c>
      <c r="L149" s="9">
        <v>1.0945952007176496</v>
      </c>
    </row>
    <row r="150" spans="1:12">
      <c r="A150" s="1" t="s">
        <v>284</v>
      </c>
      <c r="B150" s="1" t="s">
        <v>230</v>
      </c>
      <c r="C150" s="11" t="s">
        <v>204</v>
      </c>
      <c r="D150" s="11">
        <v>3</v>
      </c>
      <c r="E150" s="9">
        <v>1.0989010989010988</v>
      </c>
      <c r="F150" s="9">
        <v>1.0986319802646332</v>
      </c>
      <c r="G150" s="9">
        <v>1.0979591836734692</v>
      </c>
      <c r="H150" s="9">
        <v>1.0972863870823053</v>
      </c>
      <c r="I150" s="9">
        <v>1.0966135904911414</v>
      </c>
      <c r="J150" s="9">
        <v>1.0959407938999775</v>
      </c>
      <c r="K150" s="9">
        <v>1.0952679973088135</v>
      </c>
      <c r="L150" s="9">
        <v>1.0945952007176496</v>
      </c>
    </row>
    <row r="151" spans="1:12">
      <c r="A151" s="26" t="s">
        <v>284</v>
      </c>
      <c r="B151" s="1" t="s">
        <v>263</v>
      </c>
      <c r="C151" s="11" t="s">
        <v>202</v>
      </c>
      <c r="D151" s="11">
        <v>1</v>
      </c>
      <c r="E151" s="9">
        <v>1.0989010989010988</v>
      </c>
      <c r="F151" s="9">
        <v>1.0986319802646332</v>
      </c>
      <c r="G151" s="9">
        <v>1.0979591836734692</v>
      </c>
      <c r="H151" s="9">
        <v>1.0972863870823053</v>
      </c>
      <c r="I151" s="9">
        <v>1.0966135904911414</v>
      </c>
      <c r="J151" s="9">
        <v>1.0959407938999775</v>
      </c>
      <c r="K151" s="9">
        <v>1.0952679973088135</v>
      </c>
      <c r="L151" s="9">
        <v>1.0945952007176496</v>
      </c>
    </row>
    <row r="152" spans="1:12">
      <c r="A152" s="1" t="s">
        <v>284</v>
      </c>
      <c r="B152" s="1" t="s">
        <v>241</v>
      </c>
      <c r="C152" s="11" t="s">
        <v>145</v>
      </c>
      <c r="D152" s="11">
        <v>1</v>
      </c>
      <c r="E152" s="9">
        <v>1.0989010989010988</v>
      </c>
      <c r="F152" s="9">
        <v>1.0979591836734692</v>
      </c>
      <c r="G152" s="9">
        <v>1.0956043956043955</v>
      </c>
      <c r="H152" s="9">
        <v>1.0932496075353217</v>
      </c>
      <c r="I152" s="9">
        <v>1.090894819466248</v>
      </c>
      <c r="J152" s="9">
        <v>1.0885400313971743</v>
      </c>
      <c r="K152" s="9">
        <v>1.0861852433281003</v>
      </c>
      <c r="L152" s="9">
        <v>1.0838304552590265</v>
      </c>
    </row>
    <row r="153" spans="1:12">
      <c r="A153" s="1" t="s">
        <v>284</v>
      </c>
      <c r="B153" s="1" t="s">
        <v>229</v>
      </c>
      <c r="C153" s="11" t="s">
        <v>156</v>
      </c>
      <c r="D153" s="11">
        <v>1</v>
      </c>
      <c r="E153" s="9">
        <v>1.416361416361416</v>
      </c>
      <c r="F153" s="9">
        <v>1.4152284601264189</v>
      </c>
      <c r="G153" s="9">
        <v>1.4123960695389264</v>
      </c>
      <c r="H153" s="9">
        <v>1.4095636789514336</v>
      </c>
      <c r="I153" s="9">
        <v>1.4067312883639411</v>
      </c>
      <c r="J153" s="9">
        <v>1.4038988977764484</v>
      </c>
      <c r="K153" s="9">
        <v>1.4010665071889559</v>
      </c>
      <c r="L153" s="9">
        <v>1.3982341166014631</v>
      </c>
    </row>
    <row r="154" spans="1:12">
      <c r="A154" s="26" t="s">
        <v>284</v>
      </c>
      <c r="B154" s="1" t="s">
        <v>264</v>
      </c>
      <c r="C154" s="11" t="s">
        <v>156</v>
      </c>
      <c r="D154" s="11">
        <v>1</v>
      </c>
      <c r="E154" s="9">
        <v>1.416361416361416</v>
      </c>
      <c r="F154" s="9">
        <v>1.4152284601264189</v>
      </c>
      <c r="G154" s="9">
        <v>1.4123960695389264</v>
      </c>
      <c r="H154" s="9">
        <v>1.4095636789514336</v>
      </c>
      <c r="I154" s="9">
        <v>1.4067312883639411</v>
      </c>
      <c r="J154" s="9">
        <v>1.4038988977764484</v>
      </c>
      <c r="K154" s="9">
        <v>1.4010665071889559</v>
      </c>
      <c r="L154" s="9">
        <v>1.3982341166014631</v>
      </c>
    </row>
    <row r="155" spans="1:12">
      <c r="A155" s="1" t="s">
        <v>284</v>
      </c>
      <c r="B155" s="1" t="s">
        <v>231</v>
      </c>
      <c r="C155" s="11" t="s">
        <v>143</v>
      </c>
      <c r="D155" s="11">
        <v>1</v>
      </c>
      <c r="E155" s="9">
        <v>1.6772700983227298</v>
      </c>
      <c r="F155" s="9">
        <v>1.675427186490559</v>
      </c>
      <c r="G155" s="9">
        <v>1.6708199069101324</v>
      </c>
      <c r="H155" s="9">
        <v>1.6662126273297058</v>
      </c>
      <c r="I155" s="9">
        <v>1.6616053477492789</v>
      </c>
      <c r="J155" s="9">
        <v>1.6569980681688521</v>
      </c>
      <c r="K155" s="9">
        <v>1.6523907885884253</v>
      </c>
      <c r="L155" s="9">
        <v>1.6477835090079986</v>
      </c>
    </row>
    <row r="156" spans="1:12">
      <c r="A156" s="1" t="s">
        <v>284</v>
      </c>
      <c r="B156" s="1" t="s">
        <v>240</v>
      </c>
      <c r="C156" s="11" t="s">
        <v>24</v>
      </c>
      <c r="D156" s="11">
        <v>1</v>
      </c>
      <c r="E156" s="9">
        <v>1.0309278350515465</v>
      </c>
      <c r="F156" s="9">
        <v>1.0307671709733566</v>
      </c>
      <c r="G156" s="9">
        <v>1.030365510777882</v>
      </c>
      <c r="H156" s="9">
        <v>1.0299638505824074</v>
      </c>
      <c r="I156" s="9">
        <v>1.0295621903869328</v>
      </c>
      <c r="J156" s="9">
        <v>1.0291605301914581</v>
      </c>
      <c r="K156" s="9">
        <v>1.0287588699959835</v>
      </c>
      <c r="L156" s="9">
        <v>1.0283572098005089</v>
      </c>
    </row>
    <row r="157" spans="1:12">
      <c r="A157" s="1" t="s">
        <v>284</v>
      </c>
      <c r="B157" s="29" t="s">
        <v>163</v>
      </c>
      <c r="C157" s="9" t="s">
        <v>146</v>
      </c>
      <c r="D157" s="9">
        <v>1</v>
      </c>
      <c r="E157" s="9">
        <v>2.9411764705882351</v>
      </c>
      <c r="F157" s="9">
        <v>2.8597290801021069</v>
      </c>
      <c r="G157" s="9">
        <v>2.7650189122212079</v>
      </c>
      <c r="H157" s="9">
        <v>2.6721720173657042</v>
      </c>
      <c r="I157" s="9">
        <v>2.5811883955355972</v>
      </c>
      <c r="J157" s="9">
        <v>2.4920680467308873</v>
      </c>
      <c r="K157" s="9">
        <v>2.4048109709515728</v>
      </c>
      <c r="L157" s="9">
        <v>2.3194171681976559</v>
      </c>
    </row>
    <row r="158" spans="1:12">
      <c r="A158" s="1" t="s">
        <v>284</v>
      </c>
      <c r="B158" s="1" t="s">
        <v>199</v>
      </c>
      <c r="C158" s="11" t="s">
        <v>146</v>
      </c>
      <c r="D158" s="11">
        <v>1</v>
      </c>
      <c r="E158" s="9">
        <v>2.9411764705882351</v>
      </c>
      <c r="F158" s="9">
        <v>2.8474953617810761</v>
      </c>
      <c r="G158" s="9">
        <v>2.7838668373879645</v>
      </c>
      <c r="H158" s="9">
        <v>1.645887445887446</v>
      </c>
      <c r="I158" s="9">
        <v>2.6275184275184271</v>
      </c>
      <c r="J158" s="9">
        <v>2.5383458646616543</v>
      </c>
      <c r="K158" s="9">
        <v>2.5171565276828436</v>
      </c>
      <c r="L158" s="9">
        <v>2.4959671907040328</v>
      </c>
    </row>
    <row r="159" spans="1:12">
      <c r="A159" s="1" t="s">
        <v>284</v>
      </c>
      <c r="B159" s="29" t="s">
        <v>107</v>
      </c>
      <c r="C159" s="1" t="s">
        <v>156</v>
      </c>
      <c r="D159" s="9">
        <v>1</v>
      </c>
      <c r="E159" s="9">
        <v>2.2222222222222223</v>
      </c>
      <c r="F159" s="9">
        <v>2.1707187222715172</v>
      </c>
      <c r="G159" s="9">
        <v>2.1169199594731509</v>
      </c>
      <c r="H159" s="9">
        <v>2.0656462585034014</v>
      </c>
      <c r="I159" s="9">
        <v>2.0582766439909301</v>
      </c>
      <c r="J159" s="9">
        <v>2.0096626405664306</v>
      </c>
      <c r="K159" s="9">
        <v>2.0025822573927528</v>
      </c>
      <c r="L159" s="9">
        <v>1.9955018742190753</v>
      </c>
    </row>
    <row r="160" spans="1:12">
      <c r="A160" s="26" t="s">
        <v>284</v>
      </c>
      <c r="B160" s="1" t="s">
        <v>256</v>
      </c>
      <c r="C160" s="11" t="s">
        <v>156</v>
      </c>
      <c r="D160" s="11">
        <v>1</v>
      </c>
      <c r="E160" s="9">
        <v>2.6315789473684212</v>
      </c>
      <c r="F160" s="9">
        <v>2.6271392767633373</v>
      </c>
      <c r="G160" s="9">
        <v>2.6160401002506268</v>
      </c>
      <c r="H160" s="9">
        <v>2.6049409237379164</v>
      </c>
      <c r="I160" s="9">
        <v>2.593841747225206</v>
      </c>
      <c r="J160" s="9">
        <v>2.5827425707124956</v>
      </c>
      <c r="K160" s="9">
        <v>2.5716433941997856</v>
      </c>
      <c r="L160" s="9">
        <v>2.5605442176870747</v>
      </c>
    </row>
    <row r="161" spans="1:16">
      <c r="A161" s="1" t="s">
        <v>284</v>
      </c>
      <c r="B161" s="29" t="s">
        <v>106</v>
      </c>
      <c r="C161" s="9" t="s">
        <v>157</v>
      </c>
      <c r="D161" s="9">
        <v>1</v>
      </c>
      <c r="E161" s="9">
        <v>2.3809523809523809</v>
      </c>
      <c r="F161" s="9">
        <v>2.2188964474678761</v>
      </c>
      <c r="G161" s="9">
        <v>2.1627329192546583</v>
      </c>
      <c r="H161" s="9">
        <v>2.1092488059053407</v>
      </c>
      <c r="I161" s="9">
        <v>2.1015776523375305</v>
      </c>
      <c r="J161" s="9">
        <v>2.0939064987697207</v>
      </c>
      <c r="K161" s="9">
        <v>2.0862353452019105</v>
      </c>
      <c r="L161" s="9">
        <v>2.0785641916341007</v>
      </c>
    </row>
    <row r="162" spans="1:16">
      <c r="A162" s="26" t="s">
        <v>284</v>
      </c>
      <c r="B162" s="1" t="s">
        <v>257</v>
      </c>
      <c r="C162" s="1" t="s">
        <v>157</v>
      </c>
      <c r="D162" s="11">
        <v>1</v>
      </c>
      <c r="E162" s="9">
        <v>2.7027027027027026</v>
      </c>
      <c r="F162" s="9">
        <v>2.6980694980694979</v>
      </c>
      <c r="G162" s="9">
        <v>2.6864864864864866</v>
      </c>
      <c r="H162" s="9">
        <v>2.6749034749034748</v>
      </c>
      <c r="I162" s="9">
        <v>2.6633204633204635</v>
      </c>
      <c r="J162" s="9">
        <v>2.6517374517374517</v>
      </c>
      <c r="K162" s="9">
        <v>2.6401544401544399</v>
      </c>
      <c r="L162" s="9">
        <v>2.6285714285714286</v>
      </c>
    </row>
    <row r="163" spans="1:16">
      <c r="A163" s="1" t="s">
        <v>284</v>
      </c>
      <c r="B163" s="29" t="s">
        <v>22</v>
      </c>
      <c r="C163" s="9" t="s">
        <v>202</v>
      </c>
      <c r="D163" s="9">
        <v>1</v>
      </c>
      <c r="E163" s="9">
        <v>1.7241379310344829</v>
      </c>
      <c r="F163" s="9">
        <v>1.6648526077097507</v>
      </c>
      <c r="G163" s="9">
        <v>1.6332552693208431</v>
      </c>
      <c r="H163" s="9">
        <v>1.6028966425279791</v>
      </c>
      <c r="I163" s="9">
        <v>1.5987272328286153</v>
      </c>
      <c r="J163" s="9">
        <v>1.5945578231292519</v>
      </c>
      <c r="K163" s="9">
        <v>1.5779591836734694</v>
      </c>
      <c r="L163" s="9">
        <v>1.5617319943850556</v>
      </c>
    </row>
    <row r="164" spans="1:16">
      <c r="A164" s="1" t="s">
        <v>284</v>
      </c>
      <c r="B164" s="1" t="s">
        <v>22</v>
      </c>
      <c r="C164" s="9" t="s">
        <v>203</v>
      </c>
      <c r="D164" s="11">
        <v>2</v>
      </c>
      <c r="E164" s="9">
        <v>1.7241379310344829</v>
      </c>
      <c r="F164" s="9">
        <v>1.6648526077097507</v>
      </c>
      <c r="G164" s="9">
        <v>1.6332552693208431</v>
      </c>
      <c r="H164" s="9">
        <v>1.6028966425279791</v>
      </c>
      <c r="I164" s="9">
        <v>1.5987272328286153</v>
      </c>
      <c r="J164" s="9">
        <v>1.5945578231292519</v>
      </c>
      <c r="K164" s="9">
        <v>1.5779591836734694</v>
      </c>
      <c r="L164" s="9">
        <v>1.5617319943850556</v>
      </c>
    </row>
    <row r="165" spans="1:16">
      <c r="A165" s="1" t="s">
        <v>284</v>
      </c>
      <c r="B165" s="1" t="s">
        <v>22</v>
      </c>
      <c r="C165" s="9" t="s">
        <v>204</v>
      </c>
      <c r="D165" s="11">
        <v>3</v>
      </c>
      <c r="E165" s="9">
        <v>1.7241379310344829</v>
      </c>
      <c r="F165" s="9">
        <v>1.6648526077097507</v>
      </c>
      <c r="G165" s="9">
        <v>1.6332552693208431</v>
      </c>
      <c r="H165" s="9">
        <v>1.6028966425279791</v>
      </c>
      <c r="I165" s="9">
        <v>1.5987272328286153</v>
      </c>
      <c r="J165" s="9">
        <v>1.5945578231292519</v>
      </c>
      <c r="K165" s="9">
        <v>1.5779591836734694</v>
      </c>
      <c r="L165" s="9">
        <v>1.5617319943850556</v>
      </c>
    </row>
    <row r="166" spans="1:16">
      <c r="A166" s="1" t="s">
        <v>284</v>
      </c>
      <c r="B166" s="9" t="s">
        <v>488</v>
      </c>
      <c r="C166" s="9" t="s">
        <v>202</v>
      </c>
      <c r="D166" s="9">
        <v>1</v>
      </c>
      <c r="E166" s="9">
        <v>1.7241379310344829</v>
      </c>
      <c r="F166" s="9">
        <v>1.6666666666666667</v>
      </c>
      <c r="G166" s="9">
        <v>1.639344262295082</v>
      </c>
      <c r="H166" s="9">
        <v>1.6129032258064517</v>
      </c>
      <c r="I166" s="9">
        <v>1.6129032258064517</v>
      </c>
      <c r="J166" s="9">
        <v>1.6129032258064517</v>
      </c>
      <c r="K166" s="9">
        <v>1.6</v>
      </c>
      <c r="L166" s="9">
        <v>1.5873015873015872</v>
      </c>
      <c r="P166" s="9" t="s">
        <v>497</v>
      </c>
    </row>
    <row r="167" spans="1:16">
      <c r="A167" s="1" t="s">
        <v>284</v>
      </c>
      <c r="B167" s="9" t="s">
        <v>488</v>
      </c>
      <c r="C167" s="9" t="s">
        <v>203</v>
      </c>
      <c r="D167" s="9">
        <v>2</v>
      </c>
      <c r="E167" s="9">
        <v>1.7241379310344829</v>
      </c>
      <c r="F167" s="9">
        <v>1.6666666666666667</v>
      </c>
      <c r="G167" s="9">
        <v>1.639344262295082</v>
      </c>
      <c r="H167" s="9">
        <v>1.6129032258064517</v>
      </c>
      <c r="I167" s="9">
        <v>1.6129032258064517</v>
      </c>
      <c r="J167" s="9">
        <v>1.6129032258064517</v>
      </c>
      <c r="K167" s="9">
        <v>1.6</v>
      </c>
      <c r="L167" s="9">
        <v>1.5873015873015872</v>
      </c>
      <c r="P167" s="9" t="s">
        <v>497</v>
      </c>
    </row>
    <row r="168" spans="1:16">
      <c r="A168" s="1" t="s">
        <v>284</v>
      </c>
      <c r="B168" s="9" t="s">
        <v>488</v>
      </c>
      <c r="C168" s="9" t="s">
        <v>204</v>
      </c>
      <c r="D168" s="9">
        <v>3</v>
      </c>
      <c r="E168" s="9">
        <v>1.7241379310344829</v>
      </c>
      <c r="F168" s="9">
        <v>1.6666666666666667</v>
      </c>
      <c r="G168" s="9">
        <v>1.639344262295082</v>
      </c>
      <c r="H168" s="9">
        <v>1.6129032258064517</v>
      </c>
      <c r="I168" s="9">
        <v>1.6129032258064517</v>
      </c>
      <c r="J168" s="9">
        <v>1.6129032258064517</v>
      </c>
      <c r="K168" s="9">
        <v>1.6</v>
      </c>
      <c r="L168" s="9">
        <v>1.5873015873015872</v>
      </c>
      <c r="P168" s="9" t="s">
        <v>497</v>
      </c>
    </row>
    <row r="169" spans="1:16">
      <c r="A169" s="26" t="s">
        <v>284</v>
      </c>
      <c r="B169" s="1" t="s">
        <v>258</v>
      </c>
      <c r="C169" s="11" t="s">
        <v>202</v>
      </c>
      <c r="D169" s="8">
        <v>1</v>
      </c>
      <c r="E169" s="9">
        <v>1.8518518518518516</v>
      </c>
      <c r="F169" s="9">
        <v>1.8495338876291254</v>
      </c>
      <c r="G169" s="9">
        <v>1.8437389770723103</v>
      </c>
      <c r="H169" s="9">
        <v>1.8379440665154949</v>
      </c>
      <c r="I169" s="9">
        <v>1.8321491559586796</v>
      </c>
      <c r="J169" s="9">
        <v>1.8263542454018644</v>
      </c>
      <c r="K169" s="9">
        <v>1.8205593348450488</v>
      </c>
      <c r="L169" s="9">
        <v>1.8147644242882337</v>
      </c>
    </row>
    <row r="170" spans="1:16">
      <c r="A170" s="26" t="s">
        <v>284</v>
      </c>
      <c r="B170" s="1" t="s">
        <v>258</v>
      </c>
      <c r="C170" s="11" t="s">
        <v>203</v>
      </c>
      <c r="D170" s="8">
        <v>2</v>
      </c>
      <c r="E170" s="9">
        <v>1.8518518518518516</v>
      </c>
      <c r="F170" s="9">
        <v>1.8495338876291254</v>
      </c>
      <c r="G170" s="9">
        <v>1.8437389770723103</v>
      </c>
      <c r="H170" s="9">
        <v>1.8379440665154949</v>
      </c>
      <c r="I170" s="9">
        <v>1.8321491559586796</v>
      </c>
      <c r="J170" s="9">
        <v>1.8263542454018644</v>
      </c>
      <c r="K170" s="9">
        <v>1.8205593348450488</v>
      </c>
      <c r="L170" s="9">
        <v>1.8147644242882337</v>
      </c>
    </row>
    <row r="171" spans="1:16">
      <c r="A171" s="26" t="s">
        <v>284</v>
      </c>
      <c r="B171" s="1" t="s">
        <v>258</v>
      </c>
      <c r="C171" s="11" t="s">
        <v>204</v>
      </c>
      <c r="D171" s="8">
        <v>3</v>
      </c>
      <c r="E171" s="9">
        <v>1.8518518518518516</v>
      </c>
      <c r="F171" s="9">
        <v>1.8495338876291254</v>
      </c>
      <c r="G171" s="9">
        <v>1.8437389770723103</v>
      </c>
      <c r="H171" s="9">
        <v>1.8379440665154949</v>
      </c>
      <c r="I171" s="9">
        <v>1.8321491559586796</v>
      </c>
      <c r="J171" s="9">
        <v>1.8263542454018644</v>
      </c>
      <c r="K171" s="9">
        <v>1.8205593348450488</v>
      </c>
      <c r="L171" s="9">
        <v>1.8147644242882337</v>
      </c>
    </row>
    <row r="172" spans="1:16">
      <c r="A172" s="1" t="s">
        <v>284</v>
      </c>
      <c r="B172" s="9" t="s">
        <v>489</v>
      </c>
      <c r="C172" s="9" t="s">
        <v>202</v>
      </c>
      <c r="D172" s="9">
        <v>1</v>
      </c>
      <c r="E172" s="9">
        <v>2.8571428571428572</v>
      </c>
      <c r="F172" s="9">
        <v>2.7777777777777777</v>
      </c>
      <c r="G172" s="9">
        <v>2.7027027027027026</v>
      </c>
      <c r="H172" s="9">
        <v>2.6315789473684212</v>
      </c>
      <c r="I172" s="9">
        <v>2.5641025641025639</v>
      </c>
      <c r="J172" s="9">
        <v>2.5641025641025639</v>
      </c>
      <c r="K172" s="9">
        <v>2.5641025641025639</v>
      </c>
      <c r="L172" s="9">
        <v>2.5641025641025639</v>
      </c>
    </row>
    <row r="173" spans="1:16">
      <c r="A173" s="1" t="s">
        <v>284</v>
      </c>
      <c r="B173" s="9" t="s">
        <v>489</v>
      </c>
      <c r="C173" s="9" t="s">
        <v>203</v>
      </c>
      <c r="D173" s="9">
        <v>2</v>
      </c>
      <c r="E173" s="9">
        <v>2.8571428571428572</v>
      </c>
      <c r="F173" s="9">
        <v>2.7777777777777777</v>
      </c>
      <c r="G173" s="9">
        <v>2.7027027027027026</v>
      </c>
      <c r="H173" s="9">
        <v>2.6315789473684212</v>
      </c>
      <c r="I173" s="9">
        <v>2.5641025641025639</v>
      </c>
      <c r="J173" s="9">
        <v>2.5641025641025639</v>
      </c>
      <c r="K173" s="9">
        <v>2.5641025641025639</v>
      </c>
      <c r="L173" s="9">
        <v>2.5641025641025639</v>
      </c>
    </row>
    <row r="174" spans="1:16">
      <c r="A174" s="1" t="s">
        <v>284</v>
      </c>
      <c r="B174" s="9" t="s">
        <v>489</v>
      </c>
      <c r="C174" s="9" t="s">
        <v>204</v>
      </c>
      <c r="D174" s="9">
        <v>3</v>
      </c>
      <c r="E174" s="9">
        <v>2.8571428571428572</v>
      </c>
      <c r="F174" s="9">
        <v>2.7777777777777777</v>
      </c>
      <c r="G174" s="9">
        <v>2.7027027027027026</v>
      </c>
      <c r="H174" s="9">
        <v>2.6315789473684212</v>
      </c>
      <c r="I174" s="9">
        <v>2.5641025641025639</v>
      </c>
      <c r="J174" s="9">
        <v>2.5641025641025639</v>
      </c>
      <c r="K174" s="9">
        <v>2.5641025641025639</v>
      </c>
      <c r="L174" s="9">
        <v>2.5641025641025639</v>
      </c>
    </row>
    <row r="175" spans="1:16">
      <c r="A175" s="1" t="s">
        <v>284</v>
      </c>
      <c r="B175" s="9" t="s">
        <v>490</v>
      </c>
      <c r="C175" s="9" t="s">
        <v>202</v>
      </c>
      <c r="D175" s="9">
        <v>1</v>
      </c>
      <c r="E175" s="9">
        <v>2.6315789473684212</v>
      </c>
      <c r="F175" s="9">
        <v>2.5</v>
      </c>
      <c r="G175" s="9">
        <v>2.3809523809523809</v>
      </c>
      <c r="H175" s="9">
        <v>2.2727272727272729</v>
      </c>
      <c r="I175" s="9">
        <v>2.2222222222222223</v>
      </c>
      <c r="J175" s="9">
        <v>2.2222222222222223</v>
      </c>
      <c r="K175" s="9">
        <v>2.2222222222222223</v>
      </c>
      <c r="L175" s="9">
        <v>2.2222222222222223</v>
      </c>
    </row>
    <row r="176" spans="1:16">
      <c r="A176" s="1" t="s">
        <v>284</v>
      </c>
      <c r="B176" s="9" t="s">
        <v>490</v>
      </c>
      <c r="C176" s="9" t="s">
        <v>203</v>
      </c>
      <c r="D176" s="9">
        <v>2</v>
      </c>
      <c r="E176" s="9">
        <v>2.6315789473684212</v>
      </c>
      <c r="F176" s="9">
        <v>2.5</v>
      </c>
      <c r="G176" s="9">
        <v>2.3809523809523809</v>
      </c>
      <c r="H176" s="9">
        <v>2.2727272727272729</v>
      </c>
      <c r="I176" s="9">
        <v>2.2222222222222223</v>
      </c>
      <c r="J176" s="9">
        <v>2.2222222222222223</v>
      </c>
      <c r="K176" s="9">
        <v>2.2222222222222223</v>
      </c>
      <c r="L176" s="9">
        <v>2.2222222222222223</v>
      </c>
    </row>
    <row r="177" spans="1:13">
      <c r="A177" s="1" t="s">
        <v>284</v>
      </c>
      <c r="B177" s="9" t="s">
        <v>490</v>
      </c>
      <c r="C177" s="9" t="s">
        <v>204</v>
      </c>
      <c r="D177" s="9">
        <v>3</v>
      </c>
      <c r="E177" s="9">
        <v>2.6315789473684212</v>
      </c>
      <c r="F177" s="9">
        <v>2.5</v>
      </c>
      <c r="G177" s="9">
        <v>2.3809523809523809</v>
      </c>
      <c r="H177" s="9">
        <v>2.2727272727272729</v>
      </c>
      <c r="I177" s="9">
        <v>2.2222222222222223</v>
      </c>
      <c r="J177" s="9">
        <v>2.2222222222222223</v>
      </c>
      <c r="K177" s="9">
        <v>2.2222222222222223</v>
      </c>
      <c r="L177" s="9">
        <v>2.2222222222222223</v>
      </c>
    </row>
    <row r="178" spans="1:13">
      <c r="A178" s="26" t="s">
        <v>284</v>
      </c>
      <c r="B178" s="1" t="s">
        <v>361</v>
      </c>
      <c r="C178" s="11" t="s">
        <v>145</v>
      </c>
      <c r="D178" s="11">
        <v>1</v>
      </c>
      <c r="E178" s="9">
        <v>2.6315789473684212</v>
      </c>
      <c r="F178" s="9">
        <v>2.4857142857142858</v>
      </c>
      <c r="G178" s="9">
        <v>2.3349206349206346</v>
      </c>
      <c r="H178" s="9">
        <v>2.2000000000000002</v>
      </c>
      <c r="I178" s="9">
        <v>2.1232804232804234</v>
      </c>
      <c r="J178" s="9">
        <v>2.0941798941798941</v>
      </c>
      <c r="K178" s="9">
        <v>2.0650793650793648</v>
      </c>
      <c r="L178" s="9">
        <v>2.035978835978836</v>
      </c>
      <c r="M178" s="8"/>
    </row>
    <row r="179" spans="1:13">
      <c r="A179" s="1" t="s">
        <v>284</v>
      </c>
      <c r="B179" s="29" t="s">
        <v>23</v>
      </c>
      <c r="C179" s="9" t="s">
        <v>144</v>
      </c>
      <c r="D179" s="9">
        <v>1</v>
      </c>
      <c r="E179" s="9">
        <v>2.7027027027027026</v>
      </c>
      <c r="F179" s="9">
        <v>2.6980694980694979</v>
      </c>
      <c r="G179" s="9">
        <v>2.6507936507936507</v>
      </c>
      <c r="H179" s="9">
        <v>2.6049409237379164</v>
      </c>
      <c r="I179" s="9">
        <v>2.4653061224489798</v>
      </c>
      <c r="J179" s="9">
        <v>2.33961775186265</v>
      </c>
      <c r="K179" s="9">
        <v>2.3302235179786202</v>
      </c>
      <c r="L179" s="9">
        <v>2.3208292840945903</v>
      </c>
    </row>
    <row r="180" spans="1:13">
      <c r="A180" s="1" t="s">
        <v>284</v>
      </c>
      <c r="B180" s="29" t="s">
        <v>58</v>
      </c>
      <c r="C180" s="9" t="s">
        <v>143</v>
      </c>
      <c r="D180" s="9">
        <v>1</v>
      </c>
      <c r="E180" s="9">
        <v>2.6315789473684212</v>
      </c>
      <c r="F180" s="9">
        <v>2.6271392767633373</v>
      </c>
      <c r="G180" s="9">
        <v>2.6160401002506268</v>
      </c>
      <c r="H180" s="9">
        <v>2.6049409237379164</v>
      </c>
      <c r="I180" s="9">
        <v>2.593841747225206</v>
      </c>
      <c r="J180" s="9">
        <v>2.5827425707124956</v>
      </c>
      <c r="K180" s="9">
        <v>2.5716433941997856</v>
      </c>
      <c r="L180" s="9">
        <v>2.5605442176870747</v>
      </c>
    </row>
    <row r="181" spans="1:13">
      <c r="A181" s="1" t="s">
        <v>284</v>
      </c>
      <c r="B181" s="29" t="s">
        <v>137</v>
      </c>
      <c r="C181" s="9" t="s">
        <v>275</v>
      </c>
      <c r="D181" s="9">
        <v>1</v>
      </c>
      <c r="E181" s="9">
        <v>1.24</v>
      </c>
      <c r="F181" s="9">
        <v>1.2338</v>
      </c>
      <c r="G181" s="9">
        <v>1.2277</v>
      </c>
      <c r="H181" s="9">
        <v>1.2215</v>
      </c>
      <c r="I181" s="9">
        <v>1.2154</v>
      </c>
      <c r="J181" s="9">
        <v>1.2094</v>
      </c>
      <c r="K181" s="9">
        <v>1.2033</v>
      </c>
      <c r="L181" s="9">
        <v>1.1973</v>
      </c>
    </row>
    <row r="182" spans="1:13">
      <c r="A182" s="1" t="s">
        <v>284</v>
      </c>
      <c r="B182" s="29" t="s">
        <v>62</v>
      </c>
      <c r="C182" s="9" t="s">
        <v>143</v>
      </c>
      <c r="D182" s="9">
        <v>1</v>
      </c>
      <c r="E182" s="9">
        <v>1.24</v>
      </c>
      <c r="F182" s="9">
        <v>1.2338</v>
      </c>
      <c r="G182" s="9">
        <v>1.2277</v>
      </c>
      <c r="H182" s="9">
        <v>1.2215</v>
      </c>
      <c r="I182" s="9">
        <v>1.2154</v>
      </c>
      <c r="J182" s="9">
        <v>1.2094</v>
      </c>
      <c r="K182" s="9">
        <v>1.2033</v>
      </c>
      <c r="L182" s="9">
        <v>1.1973</v>
      </c>
    </row>
    <row r="183" spans="1:13">
      <c r="A183" s="1" t="s">
        <v>284</v>
      </c>
      <c r="B183" s="29" t="s">
        <v>62</v>
      </c>
      <c r="C183" s="1" t="s">
        <v>328</v>
      </c>
      <c r="D183" s="9">
        <v>2</v>
      </c>
      <c r="E183" s="9">
        <v>1.24</v>
      </c>
      <c r="F183" s="9">
        <v>1.2338</v>
      </c>
      <c r="G183" s="9">
        <v>1.2277</v>
      </c>
      <c r="H183" s="9">
        <v>1.2215</v>
      </c>
      <c r="I183" s="9">
        <v>1.2154</v>
      </c>
      <c r="J183" s="9">
        <v>1.2094</v>
      </c>
      <c r="K183" s="9">
        <v>1.2033</v>
      </c>
      <c r="L183" s="9">
        <v>1.1973</v>
      </c>
    </row>
    <row r="184" spans="1:13">
      <c r="A184" s="1" t="s">
        <v>284</v>
      </c>
      <c r="B184" s="29" t="s">
        <v>132</v>
      </c>
      <c r="C184" s="9" t="s">
        <v>143</v>
      </c>
      <c r="D184" s="9">
        <v>1</v>
      </c>
      <c r="E184" s="9">
        <v>0.76</v>
      </c>
      <c r="F184" s="9">
        <v>0.75619999999999998</v>
      </c>
      <c r="G184" s="9">
        <v>0.75239999999999996</v>
      </c>
      <c r="H184" s="9">
        <v>0.74870000000000003</v>
      </c>
      <c r="I184" s="9">
        <v>0.74490000000000001</v>
      </c>
      <c r="J184" s="9">
        <v>0.74119999999999997</v>
      </c>
      <c r="K184" s="9">
        <v>0.73750000000000004</v>
      </c>
      <c r="L184" s="9">
        <v>0.73380000000000001</v>
      </c>
    </row>
    <row r="185" spans="1:13">
      <c r="A185" s="1" t="s">
        <v>284</v>
      </c>
      <c r="B185" s="29" t="s">
        <v>132</v>
      </c>
      <c r="C185" s="9" t="s">
        <v>275</v>
      </c>
      <c r="D185" s="9">
        <v>2</v>
      </c>
      <c r="E185" s="9">
        <v>0.76</v>
      </c>
      <c r="F185" s="9">
        <v>0.75619999999999998</v>
      </c>
      <c r="G185" s="9">
        <v>0.75239999999999996</v>
      </c>
      <c r="H185" s="9">
        <v>0.74870000000000003</v>
      </c>
      <c r="I185" s="9">
        <v>0.74490000000000001</v>
      </c>
      <c r="J185" s="9">
        <v>0.74119999999999997</v>
      </c>
      <c r="K185" s="9">
        <v>0.73750000000000004</v>
      </c>
      <c r="L185" s="9">
        <v>0.73380000000000001</v>
      </c>
    </row>
    <row r="186" spans="1:13">
      <c r="A186" s="1" t="s">
        <v>284</v>
      </c>
      <c r="B186" s="29" t="s">
        <v>132</v>
      </c>
      <c r="C186" s="9" t="s">
        <v>328</v>
      </c>
      <c r="D186" s="9">
        <v>3</v>
      </c>
      <c r="E186" s="9">
        <v>0.76</v>
      </c>
      <c r="F186" s="9">
        <v>0.75619999999999998</v>
      </c>
      <c r="G186" s="9">
        <v>0.75239999999999996</v>
      </c>
      <c r="H186" s="9">
        <v>0.74870000000000003</v>
      </c>
      <c r="I186" s="9">
        <v>0.74490000000000001</v>
      </c>
      <c r="J186" s="9">
        <v>0.74119999999999997</v>
      </c>
      <c r="K186" s="9">
        <v>0.73750000000000004</v>
      </c>
      <c r="L186" s="9">
        <v>0.73380000000000001</v>
      </c>
    </row>
    <row r="187" spans="1:13">
      <c r="A187" s="1" t="s">
        <v>284</v>
      </c>
      <c r="B187" s="29" t="s">
        <v>133</v>
      </c>
      <c r="C187" s="1" t="s">
        <v>24</v>
      </c>
      <c r="D187" s="9">
        <v>1</v>
      </c>
      <c r="E187" s="9">
        <v>0.33</v>
      </c>
      <c r="F187" s="9">
        <v>0.32840000000000003</v>
      </c>
      <c r="G187" s="9">
        <v>0.32669999999999999</v>
      </c>
      <c r="H187" s="9">
        <v>0.3251</v>
      </c>
      <c r="I187" s="9">
        <v>0.32350000000000001</v>
      </c>
      <c r="J187" s="9">
        <v>0.32179999999999997</v>
      </c>
      <c r="K187" s="9">
        <v>0.32019999999999998</v>
      </c>
      <c r="L187" s="9">
        <v>0.31859999999999999</v>
      </c>
    </row>
    <row r="188" spans="1:13">
      <c r="A188" s="1" t="s">
        <v>284</v>
      </c>
      <c r="B188" s="9" t="s">
        <v>64</v>
      </c>
      <c r="C188" s="9" t="s">
        <v>24</v>
      </c>
      <c r="D188" s="9">
        <v>1</v>
      </c>
      <c r="E188" s="9">
        <v>0.55000000000000004</v>
      </c>
      <c r="F188" s="9">
        <v>0.54449999999999998</v>
      </c>
      <c r="G188" s="9">
        <v>0.53910000000000002</v>
      </c>
      <c r="H188" s="9">
        <v>0.53369999999999995</v>
      </c>
      <c r="I188" s="9">
        <v>0.52839999999999998</v>
      </c>
      <c r="J188" s="9">
        <v>0.52310000000000001</v>
      </c>
      <c r="K188" s="9">
        <v>0.51790000000000003</v>
      </c>
      <c r="L188" s="9">
        <v>0.51280000000000003</v>
      </c>
    </row>
    <row r="189" spans="1:13">
      <c r="A189" s="1" t="s">
        <v>284</v>
      </c>
      <c r="B189" s="9" t="s">
        <v>127</v>
      </c>
      <c r="C189" s="9" t="s">
        <v>145</v>
      </c>
      <c r="D189" s="9">
        <v>1</v>
      </c>
      <c r="E189" s="9">
        <v>1.2</v>
      </c>
      <c r="F189" s="9">
        <v>1.1820999999999999</v>
      </c>
      <c r="G189" s="9">
        <v>1.1645000000000001</v>
      </c>
      <c r="H189" s="9">
        <v>1.1471</v>
      </c>
      <c r="I189" s="9">
        <v>1.1299999999999999</v>
      </c>
      <c r="J189" s="9">
        <v>1.1132</v>
      </c>
      <c r="K189" s="9">
        <v>1.0966</v>
      </c>
      <c r="L189" s="9">
        <v>1.0802</v>
      </c>
    </row>
    <row r="190" spans="1:13">
      <c r="A190" s="1" t="s">
        <v>284</v>
      </c>
      <c r="B190" s="9" t="s">
        <v>63</v>
      </c>
      <c r="C190" s="9" t="s">
        <v>143</v>
      </c>
      <c r="D190" s="9">
        <v>1</v>
      </c>
      <c r="E190" s="9">
        <v>1.5727999999999998</v>
      </c>
      <c r="F190" s="9">
        <v>1.5649359999999997</v>
      </c>
      <c r="G190" s="9">
        <v>1.5571843428571428</v>
      </c>
      <c r="H190" s="9">
        <v>1.5493203428571427</v>
      </c>
      <c r="I190" s="9">
        <v>1.5416810285714284</v>
      </c>
      <c r="J190" s="9">
        <v>1.5339293714285711</v>
      </c>
      <c r="K190" s="9">
        <v>1.5262900571428568</v>
      </c>
      <c r="L190" s="9">
        <v>1.5186507428571423</v>
      </c>
    </row>
    <row r="191" spans="1:13">
      <c r="A191" s="1" t="s">
        <v>284</v>
      </c>
      <c r="B191" s="9" t="s">
        <v>63</v>
      </c>
      <c r="C191" s="9" t="s">
        <v>275</v>
      </c>
      <c r="D191" s="9">
        <v>2</v>
      </c>
      <c r="E191" s="9">
        <v>1.5727999999999998</v>
      </c>
      <c r="F191" s="9">
        <v>1.5649359999999997</v>
      </c>
      <c r="G191" s="9">
        <v>1.5571843428571428</v>
      </c>
      <c r="H191" s="9">
        <v>1.5493203428571427</v>
      </c>
      <c r="I191" s="9">
        <v>1.5416810285714284</v>
      </c>
      <c r="J191" s="9">
        <v>1.5339293714285711</v>
      </c>
      <c r="K191" s="9">
        <v>1.5262900571428568</v>
      </c>
      <c r="L191" s="9">
        <v>1.5186507428571423</v>
      </c>
    </row>
    <row r="192" spans="1:13">
      <c r="A192" s="1" t="s">
        <v>284</v>
      </c>
      <c r="B192" s="9" t="s">
        <v>63</v>
      </c>
      <c r="C192" s="9" t="s">
        <v>328</v>
      </c>
      <c r="D192" s="9">
        <v>3</v>
      </c>
      <c r="E192" s="9">
        <v>1.5727999999999998</v>
      </c>
      <c r="F192" s="9">
        <v>1.5649359999999997</v>
      </c>
      <c r="G192" s="9">
        <v>1.5571843428571428</v>
      </c>
      <c r="H192" s="9">
        <v>1.5493203428571427</v>
      </c>
      <c r="I192" s="9">
        <v>1.5416810285714284</v>
      </c>
      <c r="J192" s="9">
        <v>1.5339293714285711</v>
      </c>
      <c r="K192" s="9">
        <v>1.5262900571428568</v>
      </c>
      <c r="L192" s="9">
        <v>1.5186507428571423</v>
      </c>
    </row>
    <row r="193" spans="1:12">
      <c r="A193" s="1" t="s">
        <v>284</v>
      </c>
      <c r="B193" s="9" t="s">
        <v>347</v>
      </c>
      <c r="C193" s="9" t="s">
        <v>341</v>
      </c>
      <c r="D193" s="9">
        <v>1</v>
      </c>
      <c r="E193" s="9">
        <v>1.9</v>
      </c>
      <c r="F193" s="9">
        <v>1.8811</v>
      </c>
      <c r="G193" s="9">
        <v>1.8623000000000001</v>
      </c>
      <c r="H193" s="9">
        <v>1.8438000000000001</v>
      </c>
      <c r="I193" s="9">
        <v>1.8253999999999999</v>
      </c>
      <c r="J193" s="9">
        <v>1.8071999999999999</v>
      </c>
      <c r="K193" s="9">
        <v>1.7891999999999999</v>
      </c>
      <c r="L193" s="9">
        <v>1.7714000000000001</v>
      </c>
    </row>
    <row r="194" spans="1:12">
      <c r="A194" s="9" t="s">
        <v>284</v>
      </c>
      <c r="B194" s="24" t="s">
        <v>128</v>
      </c>
      <c r="C194" s="11" t="s">
        <v>24</v>
      </c>
      <c r="D194" s="11">
        <v>1</v>
      </c>
      <c r="E194" s="9">
        <v>0.11000000000000001</v>
      </c>
      <c r="F194" s="9">
        <v>0.1089</v>
      </c>
      <c r="G194" s="9">
        <v>0.10782000000000001</v>
      </c>
      <c r="H194" s="9">
        <v>0.10674</v>
      </c>
      <c r="I194" s="9">
        <v>0.10568</v>
      </c>
      <c r="J194" s="9">
        <v>0.10462</v>
      </c>
      <c r="K194" s="9">
        <v>0.10358000000000001</v>
      </c>
      <c r="L194" s="9">
        <v>0.10256000000000001</v>
      </c>
    </row>
    <row r="195" spans="1:12">
      <c r="A195" s="1" t="s">
        <v>284</v>
      </c>
      <c r="B195" s="9" t="s">
        <v>128</v>
      </c>
      <c r="C195" s="9" t="s">
        <v>143</v>
      </c>
      <c r="D195" s="9">
        <v>1</v>
      </c>
      <c r="E195" s="9">
        <v>1.1009599999999997</v>
      </c>
      <c r="F195" s="9">
        <v>1.0954551999999997</v>
      </c>
      <c r="G195" s="9">
        <v>1.0900290399999999</v>
      </c>
      <c r="H195" s="9">
        <v>1.0845242399999999</v>
      </c>
      <c r="I195" s="9">
        <v>1.0791767199999998</v>
      </c>
      <c r="J195" s="9">
        <v>1.0737505599999997</v>
      </c>
      <c r="K195" s="9">
        <v>1.0684030399999997</v>
      </c>
      <c r="L195" s="9">
        <v>1.0630555199999996</v>
      </c>
    </row>
    <row r="196" spans="1:12">
      <c r="A196" s="1" t="s">
        <v>284</v>
      </c>
      <c r="B196" s="11" t="s">
        <v>128</v>
      </c>
      <c r="C196" s="9" t="s">
        <v>24</v>
      </c>
      <c r="D196" s="9">
        <v>2</v>
      </c>
      <c r="E196" s="9">
        <v>0.11000000000000001</v>
      </c>
      <c r="F196" s="9">
        <v>0.1089</v>
      </c>
      <c r="G196" s="9">
        <v>0.10782000000000001</v>
      </c>
      <c r="H196" s="9">
        <v>0.10674</v>
      </c>
      <c r="I196" s="9">
        <v>0.10568</v>
      </c>
      <c r="J196" s="9">
        <v>0.10462</v>
      </c>
      <c r="K196" s="9">
        <v>0.10358000000000001</v>
      </c>
      <c r="L196" s="9">
        <v>0.10256000000000001</v>
      </c>
    </row>
    <row r="197" spans="1:12">
      <c r="A197" s="1" t="s">
        <v>284</v>
      </c>
      <c r="B197" s="11" t="s">
        <v>128</v>
      </c>
      <c r="C197" s="9" t="s">
        <v>275</v>
      </c>
      <c r="D197" s="9">
        <v>2</v>
      </c>
      <c r="E197" s="9">
        <v>0.75270999999999988</v>
      </c>
      <c r="F197" s="9">
        <v>0.75270999999999988</v>
      </c>
      <c r="G197" s="9">
        <v>0.75270999999999988</v>
      </c>
      <c r="H197" s="9">
        <v>0.75270999999999988</v>
      </c>
      <c r="I197" s="9">
        <v>0.75270999999999988</v>
      </c>
      <c r="J197" s="9">
        <v>0.75270999999999988</v>
      </c>
      <c r="K197" s="9">
        <v>0.75270999999999988</v>
      </c>
      <c r="L197" s="9">
        <v>0.75270999999999988</v>
      </c>
    </row>
    <row r="198" spans="1:12">
      <c r="A198" s="1" t="s">
        <v>284</v>
      </c>
      <c r="B198" s="11" t="s">
        <v>128</v>
      </c>
      <c r="C198" s="11" t="s">
        <v>24</v>
      </c>
      <c r="D198" s="9">
        <v>3</v>
      </c>
      <c r="E198" s="9">
        <v>0.11000000000000001</v>
      </c>
      <c r="F198" s="9">
        <v>0.1089</v>
      </c>
      <c r="G198" s="9">
        <v>0.10782000000000001</v>
      </c>
      <c r="H198" s="9">
        <v>0.10674</v>
      </c>
      <c r="I198" s="9">
        <v>0.10568</v>
      </c>
      <c r="J198" s="9">
        <v>0.10462</v>
      </c>
      <c r="K198" s="9">
        <v>0.10358000000000001</v>
      </c>
      <c r="L198" s="9">
        <v>0.10256000000000001</v>
      </c>
    </row>
    <row r="199" spans="1:12">
      <c r="A199" s="1" t="s">
        <v>284</v>
      </c>
      <c r="B199" s="11" t="s">
        <v>128</v>
      </c>
      <c r="C199" s="11" t="s">
        <v>328</v>
      </c>
      <c r="D199" s="9">
        <v>3</v>
      </c>
      <c r="E199" s="9">
        <v>0.97999999999999987</v>
      </c>
      <c r="F199" s="9">
        <v>0.97509999999999997</v>
      </c>
      <c r="G199" s="9">
        <v>0.97026999999999997</v>
      </c>
      <c r="H199" s="9">
        <v>0.96536999999999995</v>
      </c>
      <c r="I199" s="9">
        <v>0.96060999999999996</v>
      </c>
      <c r="J199" s="9">
        <v>0.95577999999999985</v>
      </c>
      <c r="K199" s="9">
        <v>0.95101999999999998</v>
      </c>
      <c r="L199" s="9">
        <v>0.94625999999999988</v>
      </c>
    </row>
    <row r="200" spans="1:12">
      <c r="A200" s="1" t="s">
        <v>284</v>
      </c>
      <c r="B200" s="9" t="s">
        <v>138</v>
      </c>
      <c r="C200" s="11" t="s">
        <v>145</v>
      </c>
      <c r="D200" s="9">
        <v>1</v>
      </c>
      <c r="E200" s="9">
        <v>1.3022346368715083</v>
      </c>
      <c r="F200" s="9">
        <v>1.2781582663146909</v>
      </c>
      <c r="G200" s="9">
        <v>1.2533433605500646</v>
      </c>
      <c r="H200" s="9">
        <v>1.2287862975013812</v>
      </c>
      <c r="I200" s="9">
        <v>1.2044870771686413</v>
      </c>
      <c r="J200" s="9">
        <v>1.1804456995518449</v>
      </c>
      <c r="K200" s="9">
        <v>1.1566621646509916</v>
      </c>
      <c r="L200" s="9">
        <v>1.1331364724660815</v>
      </c>
    </row>
    <row r="201" spans="1:12">
      <c r="A201" s="1" t="s">
        <v>284</v>
      </c>
      <c r="B201" s="9" t="s">
        <v>177</v>
      </c>
      <c r="C201" s="11" t="s">
        <v>174</v>
      </c>
      <c r="D201" s="9">
        <v>4</v>
      </c>
      <c r="E201" s="9">
        <v>4</v>
      </c>
      <c r="F201" s="9">
        <v>3.9918367346938775</v>
      </c>
      <c r="G201" s="9">
        <v>3.9714285714285715</v>
      </c>
      <c r="H201" s="9">
        <v>3.9510204081632656</v>
      </c>
      <c r="I201" s="9">
        <v>3.9306122448979592</v>
      </c>
      <c r="J201" s="9">
        <v>3.9102040816326529</v>
      </c>
      <c r="K201" s="9">
        <v>3.8897959183673469</v>
      </c>
      <c r="L201" s="9">
        <v>3.869387755102041</v>
      </c>
    </row>
    <row r="202" spans="1:12">
      <c r="A202" s="1" t="s">
        <v>284</v>
      </c>
      <c r="B202" s="9" t="s">
        <v>178</v>
      </c>
      <c r="C202" s="11" t="s">
        <v>173</v>
      </c>
      <c r="D202" s="9">
        <v>4</v>
      </c>
      <c r="E202" s="9">
        <v>4</v>
      </c>
      <c r="F202" s="9">
        <v>3.9918367346938775</v>
      </c>
      <c r="G202" s="9">
        <v>3.9714285714285715</v>
      </c>
      <c r="H202" s="9">
        <v>3.9510204081632656</v>
      </c>
      <c r="I202" s="9">
        <v>3.9306122448979592</v>
      </c>
      <c r="J202" s="9">
        <v>3.9102040816326529</v>
      </c>
      <c r="K202" s="9">
        <v>3.8897959183673469</v>
      </c>
      <c r="L202" s="9">
        <v>3.869387755102041</v>
      </c>
    </row>
    <row r="203" spans="1:12">
      <c r="A203" s="9" t="s">
        <v>284</v>
      </c>
      <c r="B203" s="9" t="s">
        <v>274</v>
      </c>
      <c r="C203" s="9" t="s">
        <v>146</v>
      </c>
      <c r="D203" s="9">
        <v>1</v>
      </c>
      <c r="E203" s="9">
        <v>1.4285714285714286</v>
      </c>
      <c r="F203" s="9">
        <v>1.3631828488971345</v>
      </c>
      <c r="G203" s="9">
        <v>1.3376623376623378</v>
      </c>
      <c r="H203" s="9">
        <v>1.3280698137840994</v>
      </c>
      <c r="I203" s="9">
        <v>1.3211434068576924</v>
      </c>
      <c r="J203" s="9">
        <v>1.3155328798185941</v>
      </c>
      <c r="K203" s="9">
        <v>1.3105717034288462</v>
      </c>
      <c r="L203" s="9">
        <v>1.3056277056277055</v>
      </c>
    </row>
    <row r="204" spans="1:12">
      <c r="A204" s="11" t="s">
        <v>284</v>
      </c>
      <c r="B204" s="24" t="s">
        <v>364</v>
      </c>
      <c r="C204" s="11" t="s">
        <v>271</v>
      </c>
      <c r="D204" s="9">
        <v>1</v>
      </c>
      <c r="E204" s="9">
        <v>1</v>
      </c>
      <c r="F204" s="9">
        <v>1</v>
      </c>
      <c r="G204" s="9">
        <v>1</v>
      </c>
      <c r="H204" s="9">
        <v>1</v>
      </c>
      <c r="I204" s="9">
        <v>1</v>
      </c>
      <c r="J204" s="9">
        <v>1</v>
      </c>
      <c r="K204" s="9">
        <v>1</v>
      </c>
      <c r="L204" s="9">
        <v>1</v>
      </c>
    </row>
    <row r="205" spans="1:12">
      <c r="A205" s="9" t="s">
        <v>284</v>
      </c>
      <c r="B205" s="24" t="s">
        <v>364</v>
      </c>
      <c r="C205" s="11" t="s">
        <v>24</v>
      </c>
      <c r="D205" s="9">
        <v>1</v>
      </c>
      <c r="E205" s="9">
        <v>5.5259999999999998</v>
      </c>
      <c r="F205" s="9">
        <v>5.4742742857142854</v>
      </c>
      <c r="G205" s="9">
        <v>5.2119039999999996</v>
      </c>
      <c r="H205" s="9">
        <v>4.9574537142857142</v>
      </c>
      <c r="I205" s="9">
        <v>4.7174240000000003</v>
      </c>
      <c r="J205" s="9">
        <v>4.4849028571428571</v>
      </c>
      <c r="K205" s="9">
        <v>4.2659794285714288</v>
      </c>
      <c r="L205" s="9">
        <v>4.0541531428571425</v>
      </c>
    </row>
    <row r="206" spans="1:12">
      <c r="A206" s="11" t="s">
        <v>284</v>
      </c>
      <c r="B206" s="24" t="s">
        <v>363</v>
      </c>
      <c r="C206" s="11" t="s">
        <v>271</v>
      </c>
      <c r="D206" s="9">
        <v>1</v>
      </c>
      <c r="E206" s="9">
        <v>1</v>
      </c>
      <c r="F206" s="9">
        <v>1</v>
      </c>
      <c r="G206" s="9">
        <v>1</v>
      </c>
      <c r="H206" s="9">
        <v>1</v>
      </c>
      <c r="I206" s="9">
        <v>1</v>
      </c>
      <c r="J206" s="9">
        <v>1</v>
      </c>
      <c r="K206" s="9">
        <v>1</v>
      </c>
      <c r="L206" s="9">
        <v>1</v>
      </c>
    </row>
    <row r="207" spans="1:12">
      <c r="A207" s="9" t="s">
        <v>284</v>
      </c>
      <c r="B207" s="24" t="s">
        <v>363</v>
      </c>
      <c r="C207" s="11" t="s">
        <v>24</v>
      </c>
      <c r="D207" s="9">
        <v>1</v>
      </c>
      <c r="E207" s="9">
        <v>0.9</v>
      </c>
      <c r="F207" s="9">
        <v>0.88971428571428568</v>
      </c>
      <c r="G207" s="9">
        <v>0.82079999999999997</v>
      </c>
      <c r="H207" s="9">
        <v>0.75445714285714283</v>
      </c>
      <c r="I207" s="9">
        <v>0.69556114285714288</v>
      </c>
      <c r="J207" s="9">
        <v>0.63892800000000005</v>
      </c>
      <c r="K207" s="9">
        <v>0.58607999999999993</v>
      </c>
      <c r="L207" s="9">
        <v>0.53539199999999998</v>
      </c>
    </row>
    <row r="208" spans="1:12">
      <c r="A208" s="9" t="s">
        <v>284</v>
      </c>
      <c r="B208" s="24" t="s">
        <v>363</v>
      </c>
      <c r="C208" s="11" t="s">
        <v>212</v>
      </c>
      <c r="D208" s="9">
        <v>1</v>
      </c>
      <c r="E208" s="9">
        <v>6.3</v>
      </c>
      <c r="F208" s="9">
        <v>6.2394285714285713</v>
      </c>
      <c r="G208" s="9">
        <v>5.6559999999999997</v>
      </c>
      <c r="H208" s="9">
        <v>5.0982857142857139</v>
      </c>
      <c r="I208" s="9">
        <v>4.6247908571428571</v>
      </c>
      <c r="J208" s="9">
        <v>4.1733074285714284</v>
      </c>
      <c r="K208" s="9">
        <v>3.789504</v>
      </c>
      <c r="L208" s="9">
        <v>3.424626285714286</v>
      </c>
    </row>
    <row r="209" spans="1:12">
      <c r="A209" s="1" t="s">
        <v>284</v>
      </c>
      <c r="B209" s="9" t="s">
        <v>125</v>
      </c>
      <c r="C209" s="11" t="s">
        <v>24</v>
      </c>
      <c r="D209" s="9">
        <v>1</v>
      </c>
      <c r="E209" s="9">
        <v>1.5625</v>
      </c>
      <c r="F209" s="9">
        <v>1.3612417118746232</v>
      </c>
      <c r="G209" s="9">
        <v>1.2888273558368493</v>
      </c>
      <c r="H209" s="9">
        <v>1.2661731464737791</v>
      </c>
      <c r="I209" s="9">
        <v>1.2518776999196302</v>
      </c>
      <c r="J209" s="9">
        <v>1.2416635272252361</v>
      </c>
      <c r="K209" s="9">
        <v>1.2334409376883666</v>
      </c>
      <c r="L209" s="9">
        <v>1.2253164556962024</v>
      </c>
    </row>
    <row r="210" spans="1:12">
      <c r="A210" s="1" t="s">
        <v>284</v>
      </c>
      <c r="B210" s="9" t="s">
        <v>126</v>
      </c>
      <c r="C210" s="11" t="s">
        <v>145</v>
      </c>
      <c r="D210" s="9">
        <v>1</v>
      </c>
      <c r="E210" s="9">
        <v>2.1276595744680851</v>
      </c>
      <c r="F210" s="9">
        <v>2.0730158730158732</v>
      </c>
      <c r="G210" s="9">
        <v>2.0061224489795917</v>
      </c>
      <c r="H210" s="9">
        <v>1.9428571428571428</v>
      </c>
      <c r="I210" s="9">
        <v>1.9008486562942009</v>
      </c>
      <c r="J210" s="9">
        <v>1.8601307189542484</v>
      </c>
      <c r="K210" s="9">
        <v>1.8372549019607842</v>
      </c>
      <c r="L210" s="9">
        <v>1.81437908496732</v>
      </c>
    </row>
    <row r="211" spans="1:12">
      <c r="A211" s="1" t="s">
        <v>284</v>
      </c>
      <c r="B211" s="9" t="s">
        <v>126</v>
      </c>
      <c r="C211" s="11" t="s">
        <v>145</v>
      </c>
      <c r="D211" s="9">
        <v>2</v>
      </c>
      <c r="E211" s="9">
        <v>2.7027027027027026</v>
      </c>
      <c r="F211" s="9">
        <v>2.6160401002506268</v>
      </c>
      <c r="G211" s="9">
        <v>2.5441558441558438</v>
      </c>
      <c r="H211" s="9">
        <v>2.4747252747252744</v>
      </c>
      <c r="I211" s="9">
        <v>2.4076552139843277</v>
      </c>
      <c r="J211" s="9">
        <v>2.342857142857143</v>
      </c>
      <c r="K211" s="9">
        <v>2.3071428571428569</v>
      </c>
      <c r="L211" s="9">
        <v>2.2714285714285714</v>
      </c>
    </row>
    <row r="212" spans="1:12">
      <c r="A212" s="9" t="s">
        <v>284</v>
      </c>
      <c r="B212" s="24" t="s">
        <v>339</v>
      </c>
      <c r="C212" s="11" t="s">
        <v>343</v>
      </c>
      <c r="D212" s="11">
        <v>4</v>
      </c>
      <c r="E212" s="9">
        <v>1</v>
      </c>
      <c r="F212" s="9">
        <v>1</v>
      </c>
      <c r="G212" s="9">
        <v>1</v>
      </c>
      <c r="H212" s="9">
        <v>1</v>
      </c>
      <c r="I212" s="9">
        <v>1</v>
      </c>
      <c r="J212" s="9">
        <v>1</v>
      </c>
      <c r="K212" s="9">
        <v>1</v>
      </c>
      <c r="L212" s="9">
        <v>1</v>
      </c>
    </row>
    <row r="213" spans="1:12">
      <c r="A213" s="9" t="s">
        <v>284</v>
      </c>
      <c r="B213" s="24" t="s">
        <v>339</v>
      </c>
      <c r="C213" s="11" t="s">
        <v>344</v>
      </c>
      <c r="D213" s="11">
        <v>3</v>
      </c>
      <c r="E213" s="9">
        <v>1</v>
      </c>
      <c r="F213" s="9">
        <v>1</v>
      </c>
      <c r="G213" s="9">
        <v>1</v>
      </c>
      <c r="H213" s="9">
        <v>1</v>
      </c>
      <c r="I213" s="9">
        <v>1</v>
      </c>
      <c r="J213" s="9">
        <v>1</v>
      </c>
      <c r="K213" s="9">
        <v>1</v>
      </c>
      <c r="L213" s="9">
        <v>1</v>
      </c>
    </row>
    <row r="214" spans="1:12">
      <c r="A214" s="9" t="s">
        <v>284</v>
      </c>
      <c r="B214" s="24" t="s">
        <v>339</v>
      </c>
      <c r="C214" s="11" t="s">
        <v>342</v>
      </c>
      <c r="D214" s="11">
        <v>2</v>
      </c>
      <c r="E214" s="9">
        <v>1</v>
      </c>
      <c r="F214" s="9">
        <v>1</v>
      </c>
      <c r="G214" s="9">
        <v>1</v>
      </c>
      <c r="H214" s="9">
        <v>1</v>
      </c>
      <c r="I214" s="9">
        <v>1</v>
      </c>
      <c r="J214" s="9">
        <v>1</v>
      </c>
      <c r="K214" s="9">
        <v>1</v>
      </c>
      <c r="L214" s="9">
        <v>1</v>
      </c>
    </row>
    <row r="215" spans="1:12">
      <c r="A215" s="9" t="s">
        <v>284</v>
      </c>
      <c r="B215" s="24" t="s">
        <v>339</v>
      </c>
      <c r="C215" s="11" t="s">
        <v>341</v>
      </c>
      <c r="D215" s="11">
        <v>1</v>
      </c>
      <c r="E215" s="9">
        <v>1</v>
      </c>
      <c r="F215" s="9">
        <v>1</v>
      </c>
      <c r="G215" s="9">
        <v>1</v>
      </c>
      <c r="H215" s="9">
        <v>1</v>
      </c>
      <c r="I215" s="9">
        <v>1</v>
      </c>
      <c r="J215" s="9">
        <v>1</v>
      </c>
      <c r="K215" s="9">
        <v>1</v>
      </c>
      <c r="L215" s="9">
        <v>1</v>
      </c>
    </row>
    <row r="216" spans="1:12">
      <c r="A216" s="9" t="s">
        <v>284</v>
      </c>
      <c r="B216" s="24" t="s">
        <v>340</v>
      </c>
      <c r="C216" s="11" t="s">
        <v>145</v>
      </c>
      <c r="D216" s="11">
        <v>4</v>
      </c>
      <c r="E216" s="9">
        <v>1</v>
      </c>
      <c r="F216" s="9">
        <v>1</v>
      </c>
      <c r="G216" s="9">
        <v>1</v>
      </c>
      <c r="H216" s="9">
        <v>1</v>
      </c>
      <c r="I216" s="9">
        <v>1</v>
      </c>
      <c r="J216" s="9">
        <v>1</v>
      </c>
      <c r="K216" s="9">
        <v>1</v>
      </c>
      <c r="L216" s="9">
        <v>1</v>
      </c>
    </row>
    <row r="217" spans="1:12">
      <c r="A217" s="9" t="s">
        <v>284</v>
      </c>
      <c r="B217" s="24" t="s">
        <v>340</v>
      </c>
      <c r="C217" s="11" t="s">
        <v>204</v>
      </c>
      <c r="D217" s="11">
        <v>3</v>
      </c>
      <c r="E217" s="9">
        <v>1</v>
      </c>
      <c r="F217" s="9">
        <v>1</v>
      </c>
      <c r="G217" s="9">
        <v>1</v>
      </c>
      <c r="H217" s="9">
        <v>1</v>
      </c>
      <c r="I217" s="9">
        <v>1</v>
      </c>
      <c r="J217" s="9">
        <v>1</v>
      </c>
      <c r="K217" s="9">
        <v>1</v>
      </c>
      <c r="L217" s="9">
        <v>1</v>
      </c>
    </row>
    <row r="218" spans="1:12">
      <c r="A218" s="9" t="s">
        <v>284</v>
      </c>
      <c r="B218" s="24" t="s">
        <v>340</v>
      </c>
      <c r="C218" s="11" t="s">
        <v>203</v>
      </c>
      <c r="D218" s="11">
        <v>2</v>
      </c>
      <c r="E218" s="9">
        <v>1</v>
      </c>
      <c r="F218" s="9">
        <v>1</v>
      </c>
      <c r="G218" s="9">
        <v>1</v>
      </c>
      <c r="H218" s="9">
        <v>1</v>
      </c>
      <c r="I218" s="9">
        <v>1</v>
      </c>
      <c r="J218" s="9">
        <v>1</v>
      </c>
      <c r="K218" s="9">
        <v>1</v>
      </c>
      <c r="L218" s="9">
        <v>1</v>
      </c>
    </row>
    <row r="219" spans="1:12">
      <c r="A219" s="9" t="s">
        <v>284</v>
      </c>
      <c r="B219" s="24" t="s">
        <v>340</v>
      </c>
      <c r="C219" s="11" t="s">
        <v>202</v>
      </c>
      <c r="D219" s="11">
        <v>1</v>
      </c>
      <c r="E219" s="9">
        <v>1</v>
      </c>
      <c r="F219" s="9">
        <v>1</v>
      </c>
      <c r="G219" s="9">
        <v>1</v>
      </c>
      <c r="H219" s="9">
        <v>1</v>
      </c>
      <c r="I219" s="9">
        <v>1</v>
      </c>
      <c r="J219" s="9">
        <v>1</v>
      </c>
      <c r="K219" s="9">
        <v>1</v>
      </c>
      <c r="L219" s="9">
        <v>1</v>
      </c>
    </row>
    <row r="220" spans="1:12">
      <c r="A220" s="1" t="s">
        <v>284</v>
      </c>
      <c r="B220" s="9" t="s">
        <v>162</v>
      </c>
      <c r="C220" s="11" t="s">
        <v>145</v>
      </c>
      <c r="D220" s="9">
        <v>1</v>
      </c>
      <c r="E220" s="9">
        <v>1.6666666666666667</v>
      </c>
      <c r="F220" s="9">
        <v>1.6082516123332451</v>
      </c>
      <c r="G220" s="9">
        <v>1.5428159142444857</v>
      </c>
      <c r="H220" s="9">
        <v>1.4798833819241981</v>
      </c>
      <c r="I220" s="9">
        <v>1.4194540153723827</v>
      </c>
      <c r="J220" s="9">
        <v>1.361527814589039</v>
      </c>
      <c r="K220" s="9">
        <v>1.3061047795741674</v>
      </c>
      <c r="L220" s="9">
        <v>1.2531849103277675</v>
      </c>
    </row>
    <row r="221" spans="1:12">
      <c r="A221" s="1" t="s">
        <v>284</v>
      </c>
      <c r="B221" s="9" t="s">
        <v>162</v>
      </c>
      <c r="C221" s="11" t="s">
        <v>146</v>
      </c>
      <c r="D221" s="9">
        <v>2</v>
      </c>
      <c r="E221" s="9">
        <v>2.5641025641025639</v>
      </c>
      <c r="F221" s="9">
        <v>2.3836271836271834</v>
      </c>
      <c r="G221" s="9">
        <v>2.195463995463995</v>
      </c>
      <c r="H221" s="9">
        <v>2.0118008118008115</v>
      </c>
      <c r="I221" s="9">
        <v>1.8326376326376326</v>
      </c>
      <c r="J221" s="9">
        <v>1.6579744579744577</v>
      </c>
      <c r="K221" s="9">
        <v>1.4878112878112877</v>
      </c>
      <c r="L221" s="9">
        <v>1.3221481221481222</v>
      </c>
    </row>
    <row r="222" spans="1:12">
      <c r="A222" s="9" t="s">
        <v>284</v>
      </c>
      <c r="B222" s="9" t="s">
        <v>329</v>
      </c>
      <c r="C222" s="9" t="s">
        <v>145</v>
      </c>
      <c r="D222" s="9">
        <v>1</v>
      </c>
      <c r="E222" s="9">
        <v>2.2435897435897436</v>
      </c>
      <c r="F222" s="9">
        <v>2.1761904761904765</v>
      </c>
      <c r="G222" s="9">
        <v>2.0963414634146345</v>
      </c>
      <c r="H222" s="9">
        <v>1.9321428571428569</v>
      </c>
      <c r="I222" s="9">
        <v>1.8291407867494824</v>
      </c>
      <c r="J222" s="9">
        <v>1.7367063492063493</v>
      </c>
      <c r="K222" s="9">
        <v>1.6846938775510205</v>
      </c>
      <c r="L222" s="9">
        <v>1.6357142857142857</v>
      </c>
    </row>
    <row r="223" spans="1:12">
      <c r="A223" s="9" t="s">
        <v>284</v>
      </c>
      <c r="B223" s="9" t="s">
        <v>329</v>
      </c>
      <c r="C223" s="9" t="s">
        <v>24</v>
      </c>
      <c r="D223" s="9">
        <v>1</v>
      </c>
      <c r="E223" s="9">
        <v>0.32051282051282048</v>
      </c>
      <c r="F223" s="9">
        <v>0.31087662337662336</v>
      </c>
      <c r="G223" s="9">
        <v>0.29933481152993346</v>
      </c>
      <c r="H223" s="9">
        <v>0.27523612750885479</v>
      </c>
      <c r="I223" s="9">
        <v>0.25974025974025972</v>
      </c>
      <c r="J223" s="9">
        <v>0.2455357142857143</v>
      </c>
      <c r="K223" s="9">
        <v>0.23721176782401271</v>
      </c>
      <c r="L223" s="9">
        <v>0.22922077922077921</v>
      </c>
    </row>
    <row r="224" spans="1:12">
      <c r="A224" s="9" t="s">
        <v>284</v>
      </c>
      <c r="B224" s="9" t="s">
        <v>329</v>
      </c>
      <c r="C224" s="9" t="s">
        <v>204</v>
      </c>
      <c r="D224" s="9">
        <v>2</v>
      </c>
      <c r="E224" s="9">
        <v>2.1276595744680851</v>
      </c>
      <c r="F224" s="9">
        <v>2.0379841732611412</v>
      </c>
      <c r="G224" s="9">
        <v>1.9516339869281045</v>
      </c>
      <c r="H224" s="9">
        <v>1.8723142087023485</v>
      </c>
      <c r="I224" s="9">
        <v>1.7992578849721705</v>
      </c>
      <c r="J224" s="9">
        <v>1.7318057047380355</v>
      </c>
      <c r="K224" s="9">
        <v>1.6693877551020404</v>
      </c>
      <c r="L224" s="9">
        <v>1.6115088658414183</v>
      </c>
    </row>
    <row r="225" spans="1:12">
      <c r="A225" s="9" t="s">
        <v>284</v>
      </c>
      <c r="B225" s="9" t="s">
        <v>265</v>
      </c>
      <c r="C225" s="9" t="s">
        <v>202</v>
      </c>
      <c r="D225" s="9">
        <v>1</v>
      </c>
      <c r="E225" s="9">
        <v>1.6666666666666667</v>
      </c>
      <c r="F225" s="9">
        <v>1.5021315192743763</v>
      </c>
      <c r="G225" s="9">
        <v>1.4368253968253968</v>
      </c>
      <c r="H225" s="9">
        <v>1.411504157218443</v>
      </c>
      <c r="I225" s="9">
        <v>1.3929100529100529</v>
      </c>
      <c r="J225" s="9">
        <v>1.3775850340136055</v>
      </c>
      <c r="K225" s="9">
        <v>1.3638473167044598</v>
      </c>
      <c r="L225" s="9">
        <v>1.350204081632653</v>
      </c>
    </row>
    <row r="226" spans="1:12">
      <c r="A226" s="9" t="s">
        <v>284</v>
      </c>
      <c r="B226" s="9" t="s">
        <v>265</v>
      </c>
      <c r="C226" s="9" t="s">
        <v>213</v>
      </c>
      <c r="D226" s="9">
        <v>1</v>
      </c>
      <c r="E226" s="9">
        <v>0.33301002263174917</v>
      </c>
      <c r="F226" s="9">
        <v>0.29785141343960797</v>
      </c>
      <c r="G226" s="9">
        <v>0.27909411420565644</v>
      </c>
      <c r="H226" s="9">
        <v>0.26832603501579533</v>
      </c>
      <c r="I226" s="9">
        <v>0.25890207791274722</v>
      </c>
      <c r="J226" s="9">
        <v>0.25013130373390874</v>
      </c>
      <c r="K226" s="9">
        <v>0.24167768195757672</v>
      </c>
      <c r="L226" s="9">
        <v>0.23324293830044143</v>
      </c>
    </row>
    <row r="227" spans="1:12">
      <c r="A227" s="9" t="s">
        <v>284</v>
      </c>
      <c r="B227" s="9" t="s">
        <v>266</v>
      </c>
      <c r="C227" s="9" t="s">
        <v>202</v>
      </c>
      <c r="D227" s="9">
        <v>1</v>
      </c>
      <c r="E227" s="9">
        <v>1.6666666666666667</v>
      </c>
      <c r="F227" s="9">
        <v>1.5021315192743763</v>
      </c>
      <c r="G227" s="9">
        <v>1.4368253968253968</v>
      </c>
      <c r="H227" s="9">
        <v>1.411504157218443</v>
      </c>
      <c r="I227" s="9">
        <v>1.3929100529100529</v>
      </c>
      <c r="J227" s="9">
        <v>1.3775850340136055</v>
      </c>
      <c r="K227" s="9">
        <v>1.3638473167044598</v>
      </c>
      <c r="L227" s="9">
        <v>1.350204081632653</v>
      </c>
    </row>
    <row r="228" spans="1:12">
      <c r="A228" s="9" t="s">
        <v>284</v>
      </c>
      <c r="B228" s="9" t="s">
        <v>266</v>
      </c>
      <c r="C228" s="9" t="s">
        <v>213</v>
      </c>
      <c r="D228" s="9">
        <v>1</v>
      </c>
      <c r="E228" s="9">
        <v>0.33301002263174917</v>
      </c>
      <c r="F228" s="9">
        <v>0.29785141343960797</v>
      </c>
      <c r="G228" s="9">
        <v>0.27909411420565644</v>
      </c>
      <c r="H228" s="9">
        <v>0.26832603501579533</v>
      </c>
      <c r="I228" s="9">
        <v>0.25890207791274722</v>
      </c>
      <c r="J228" s="9">
        <v>0.25013130373390874</v>
      </c>
      <c r="K228" s="9">
        <v>0.24167768195757672</v>
      </c>
      <c r="L228" s="9">
        <v>0.23324293830044143</v>
      </c>
    </row>
    <row r="229" spans="1:12">
      <c r="A229" s="8" t="s">
        <v>284</v>
      </c>
      <c r="B229" s="1" t="s">
        <v>366</v>
      </c>
      <c r="C229" s="1" t="s">
        <v>368</v>
      </c>
      <c r="D229" s="8">
        <v>1</v>
      </c>
      <c r="E229" s="9">
        <v>1</v>
      </c>
      <c r="F229" s="9">
        <v>1</v>
      </c>
      <c r="G229" s="9">
        <v>1</v>
      </c>
      <c r="H229" s="9">
        <v>1</v>
      </c>
      <c r="I229" s="9">
        <v>1</v>
      </c>
      <c r="J229" s="9">
        <v>1</v>
      </c>
      <c r="K229" s="9">
        <v>1</v>
      </c>
      <c r="L229" s="9">
        <v>1</v>
      </c>
    </row>
    <row r="230" spans="1:12">
      <c r="A230" s="1" t="s">
        <v>284</v>
      </c>
      <c r="B230" s="1" t="s">
        <v>367</v>
      </c>
      <c r="C230" s="1" t="s">
        <v>369</v>
      </c>
      <c r="D230" s="1">
        <v>1</v>
      </c>
      <c r="E230" s="9">
        <v>1</v>
      </c>
      <c r="F230" s="9">
        <v>1</v>
      </c>
      <c r="G230" s="9">
        <v>1</v>
      </c>
      <c r="H230" s="9">
        <v>1</v>
      </c>
      <c r="I230" s="9">
        <v>1</v>
      </c>
      <c r="J230" s="9">
        <v>1</v>
      </c>
      <c r="K230" s="9">
        <v>1</v>
      </c>
      <c r="L230" s="9">
        <v>1</v>
      </c>
    </row>
  </sheetData>
  <autoFilter ref="A5:R5" xr:uid="{00000000-0001-0000-1900-000000000000}">
    <sortState xmlns:xlrd2="http://schemas.microsoft.com/office/spreadsheetml/2017/richdata2" ref="A6:R230">
      <sortCondition ref="B5"/>
    </sortState>
  </autoFilter>
  <dataValidations count="2">
    <dataValidation type="list" allowBlank="1" showInputMessage="1" showErrorMessage="1" sqref="B22:B33 B185" xr:uid="{00000000-0002-0000-1900-000000000000}">
      <formula1>Technologies</formula1>
    </dataValidation>
    <dataValidation type="list" allowBlank="1" showInputMessage="1" showErrorMessage="1" sqref="A132:A165 A187" xr:uid="{00000000-0002-0000-1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1"/>
  <dimension ref="A1:S288"/>
  <sheetViews>
    <sheetView topLeftCell="A252" zoomScaleNormal="100" zoomScalePageLayoutView="90" workbookViewId="0">
      <selection activeCell="C262" sqref="C262"/>
    </sheetView>
  </sheetViews>
  <sheetFormatPr defaultColWidth="11.42578125" defaultRowHeight="15"/>
  <cols>
    <col min="1" max="1" width="11.42578125" style="1"/>
    <col min="2" max="2" width="23.5703125" style="1" customWidth="1"/>
    <col min="3" max="3" width="23.42578125" style="1" bestFit="1" customWidth="1"/>
    <col min="4" max="4" width="19.5703125" style="1" bestFit="1" customWidth="1"/>
    <col min="5" max="16384" width="11.42578125" style="1"/>
  </cols>
  <sheetData>
    <row r="1" spans="1:14">
      <c r="A1" s="1" t="s">
        <v>432</v>
      </c>
    </row>
    <row r="2" spans="1:14">
      <c r="A2" s="1" t="s">
        <v>377</v>
      </c>
    </row>
    <row r="3" spans="1:14">
      <c r="A3" s="1" t="s">
        <v>417</v>
      </c>
    </row>
    <row r="4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1" t="s">
        <v>20</v>
      </c>
      <c r="B5" s="1" t="s">
        <v>26</v>
      </c>
      <c r="C5" s="1" t="s">
        <v>21</v>
      </c>
      <c r="D5" s="1" t="s">
        <v>375</v>
      </c>
      <c r="E5" s="1">
        <v>2018</v>
      </c>
      <c r="F5" s="1">
        <v>2020</v>
      </c>
      <c r="G5" s="1">
        <v>2025</v>
      </c>
      <c r="H5" s="1">
        <v>2030</v>
      </c>
      <c r="I5" s="1">
        <v>2035</v>
      </c>
      <c r="J5" s="1">
        <v>2040</v>
      </c>
      <c r="K5" s="1">
        <v>2045</v>
      </c>
      <c r="L5" s="1">
        <v>2050</v>
      </c>
    </row>
    <row r="6" spans="1:14">
      <c r="A6" s="1" t="s">
        <v>284</v>
      </c>
      <c r="B6" s="1" t="s">
        <v>175</v>
      </c>
      <c r="C6" s="1" t="s">
        <v>174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</row>
    <row r="7" spans="1:14">
      <c r="A7" s="1" t="s">
        <v>284</v>
      </c>
      <c r="B7" s="1" t="s">
        <v>176</v>
      </c>
      <c r="C7" s="1" t="s">
        <v>173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</row>
    <row r="8" spans="1:14">
      <c r="A8" s="1" t="s">
        <v>284</v>
      </c>
      <c r="B8" s="1" t="s">
        <v>140</v>
      </c>
      <c r="C8" s="1" t="s">
        <v>24</v>
      </c>
      <c r="D8" s="1">
        <v>2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</row>
    <row r="9" spans="1:14">
      <c r="A9" s="1" t="s">
        <v>284</v>
      </c>
      <c r="B9" s="1" t="s">
        <v>141</v>
      </c>
      <c r="C9" s="1" t="s">
        <v>24</v>
      </c>
      <c r="D9" s="1">
        <v>2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</row>
    <row r="10" spans="1:14">
      <c r="A10" s="1" t="s">
        <v>284</v>
      </c>
      <c r="B10" s="1" t="s">
        <v>152</v>
      </c>
      <c r="C10" s="1" t="s">
        <v>145</v>
      </c>
      <c r="D10" s="1">
        <v>2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</row>
    <row r="11" spans="1:14">
      <c r="A11" s="1" t="s">
        <v>284</v>
      </c>
      <c r="B11" s="1" t="s">
        <v>153</v>
      </c>
      <c r="C11" s="1" t="s">
        <v>202</v>
      </c>
      <c r="D11" s="1">
        <v>2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</row>
    <row r="12" spans="1:14" s="9" customFormat="1">
      <c r="A12" s="1" t="s">
        <v>284</v>
      </c>
      <c r="B12" s="11" t="s">
        <v>250</v>
      </c>
      <c r="C12" s="1" t="s">
        <v>212</v>
      </c>
      <c r="D12" s="9">
        <v>2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</row>
    <row r="13" spans="1:14" s="9" customFormat="1">
      <c r="A13" s="1" t="s">
        <v>284</v>
      </c>
      <c r="B13" s="11" t="s">
        <v>252</v>
      </c>
      <c r="C13" s="1" t="s">
        <v>276</v>
      </c>
      <c r="D13" s="9">
        <v>2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9">
        <v>1</v>
      </c>
      <c r="L13" s="9">
        <v>1</v>
      </c>
    </row>
    <row r="14" spans="1:14">
      <c r="A14" s="1" t="s">
        <v>284</v>
      </c>
      <c r="B14" s="1" t="s">
        <v>139</v>
      </c>
      <c r="C14" s="1" t="s">
        <v>24</v>
      </c>
      <c r="D14" s="1">
        <v>2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</row>
    <row r="15" spans="1:14">
      <c r="A15" s="1" t="s">
        <v>284</v>
      </c>
      <c r="B15" s="1" t="s">
        <v>142</v>
      </c>
      <c r="C15" s="1" t="s">
        <v>24</v>
      </c>
      <c r="D15" s="1">
        <v>2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</row>
    <row r="16" spans="1:14">
      <c r="A16" s="1" t="s">
        <v>284</v>
      </c>
      <c r="B16" s="1" t="s">
        <v>196</v>
      </c>
      <c r="C16" s="1" t="s">
        <v>24</v>
      </c>
      <c r="D16" s="1">
        <v>2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</row>
    <row r="17" spans="1:12">
      <c r="A17" s="1" t="s">
        <v>284</v>
      </c>
      <c r="B17" s="24" t="s">
        <v>134</v>
      </c>
      <c r="C17" s="1" t="s">
        <v>150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</row>
    <row r="18" spans="1:12">
      <c r="A18" s="1" t="s">
        <v>284</v>
      </c>
      <c r="B18" s="24" t="s">
        <v>134</v>
      </c>
      <c r="C18" s="1" t="s">
        <v>150</v>
      </c>
      <c r="D18" s="1">
        <v>2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</row>
    <row r="19" spans="1:12">
      <c r="A19" s="1" t="s">
        <v>284</v>
      </c>
      <c r="B19" s="24" t="s">
        <v>134</v>
      </c>
      <c r="C19" s="1" t="s">
        <v>150</v>
      </c>
      <c r="D19" s="1">
        <v>3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</row>
    <row r="20" spans="1:12">
      <c r="A20" s="1" t="s">
        <v>284</v>
      </c>
      <c r="B20" s="24" t="s">
        <v>135</v>
      </c>
      <c r="C20" s="1" t="s">
        <v>150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</row>
    <row r="21" spans="1:12">
      <c r="A21" s="1" t="s">
        <v>284</v>
      </c>
      <c r="B21" s="24" t="s">
        <v>181</v>
      </c>
      <c r="C21" s="1" t="s">
        <v>150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</row>
    <row r="22" spans="1:12">
      <c r="A22" s="1" t="s">
        <v>284</v>
      </c>
      <c r="B22" s="24" t="s">
        <v>129</v>
      </c>
      <c r="C22" s="1" t="s">
        <v>150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</row>
    <row r="23" spans="1:12">
      <c r="A23" s="1" t="s">
        <v>284</v>
      </c>
      <c r="B23" s="24" t="s">
        <v>61</v>
      </c>
      <c r="C23" s="1" t="s">
        <v>150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</row>
    <row r="24" spans="1:12">
      <c r="A24" s="1" t="s">
        <v>284</v>
      </c>
      <c r="B24" s="24" t="s">
        <v>130</v>
      </c>
      <c r="C24" s="1" t="s">
        <v>150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</row>
    <row r="25" spans="1:12">
      <c r="A25" s="1" t="s">
        <v>284</v>
      </c>
      <c r="B25" s="24" t="s">
        <v>131</v>
      </c>
      <c r="C25" s="1" t="s">
        <v>150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</row>
    <row r="26" spans="1:12">
      <c r="A26" s="1" t="s">
        <v>284</v>
      </c>
      <c r="B26" s="24" t="s">
        <v>130</v>
      </c>
      <c r="C26" s="1" t="s">
        <v>150</v>
      </c>
      <c r="D26" s="1">
        <v>2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</row>
    <row r="27" spans="1:12">
      <c r="A27" s="1" t="s">
        <v>284</v>
      </c>
      <c r="B27" s="24" t="s">
        <v>130</v>
      </c>
      <c r="C27" s="1" t="s">
        <v>150</v>
      </c>
      <c r="D27" s="1">
        <v>3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</row>
    <row r="28" spans="1:12">
      <c r="A28" s="1" t="s">
        <v>284</v>
      </c>
      <c r="B28" s="1" t="s">
        <v>131</v>
      </c>
      <c r="C28" s="1" t="s">
        <v>150</v>
      </c>
      <c r="D28" s="1">
        <v>2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</row>
    <row r="29" spans="1:12">
      <c r="A29" s="1" t="s">
        <v>284</v>
      </c>
      <c r="B29" s="1" t="s">
        <v>131</v>
      </c>
      <c r="C29" s="1" t="s">
        <v>150</v>
      </c>
      <c r="D29" s="1">
        <v>3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</row>
    <row r="30" spans="1:12">
      <c r="A30" s="1" t="s">
        <v>284</v>
      </c>
      <c r="B30" s="1" t="s">
        <v>60</v>
      </c>
      <c r="C30" s="1" t="s">
        <v>150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</row>
    <row r="31" spans="1:12">
      <c r="A31" s="1" t="s">
        <v>284</v>
      </c>
      <c r="B31" s="1" t="s">
        <v>59</v>
      </c>
      <c r="C31" s="1" t="s">
        <v>150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</row>
    <row r="32" spans="1:12">
      <c r="A32" s="1" t="s">
        <v>284</v>
      </c>
      <c r="B32" s="1" t="s">
        <v>59</v>
      </c>
      <c r="C32" s="1" t="s">
        <v>150</v>
      </c>
      <c r="D32" s="1">
        <v>2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</row>
    <row r="33" spans="1:12">
      <c r="A33" s="1" t="s">
        <v>284</v>
      </c>
      <c r="B33" s="1" t="s">
        <v>107</v>
      </c>
      <c r="C33" s="1" t="s">
        <v>24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</row>
    <row r="34" spans="1:12">
      <c r="A34" s="1" t="s">
        <v>284</v>
      </c>
      <c r="B34" s="24" t="s">
        <v>106</v>
      </c>
      <c r="C34" s="1" t="s">
        <v>24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</row>
    <row r="35" spans="1:12">
      <c r="A35" s="1" t="s">
        <v>284</v>
      </c>
      <c r="B35" s="24" t="s">
        <v>22</v>
      </c>
      <c r="C35" s="1" t="s">
        <v>24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</row>
    <row r="36" spans="1:12">
      <c r="A36" s="1" t="s">
        <v>284</v>
      </c>
      <c r="B36" s="24" t="s">
        <v>23</v>
      </c>
      <c r="C36" s="1" t="s">
        <v>24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</row>
    <row r="37" spans="1:12">
      <c r="A37" s="1" t="s">
        <v>284</v>
      </c>
      <c r="B37" s="24" t="s">
        <v>58</v>
      </c>
      <c r="C37" s="1" t="s">
        <v>24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</row>
    <row r="38" spans="1:12">
      <c r="A38" s="1" t="s">
        <v>284</v>
      </c>
      <c r="B38" s="24" t="s">
        <v>163</v>
      </c>
      <c r="C38" s="1" t="s">
        <v>24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</row>
    <row r="39" spans="1:12">
      <c r="A39" s="1" t="s">
        <v>284</v>
      </c>
      <c r="B39" s="24" t="s">
        <v>137</v>
      </c>
      <c r="C39" s="1" t="s">
        <v>151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</row>
    <row r="40" spans="1:12">
      <c r="A40" s="1" t="s">
        <v>284</v>
      </c>
      <c r="B40" s="24" t="s">
        <v>62</v>
      </c>
      <c r="C40" s="1" t="s">
        <v>151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</row>
    <row r="41" spans="1:12">
      <c r="A41" s="1" t="s">
        <v>284</v>
      </c>
      <c r="B41" s="24" t="s">
        <v>62</v>
      </c>
      <c r="C41" s="1" t="s">
        <v>151</v>
      </c>
      <c r="D41" s="1">
        <v>2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</row>
    <row r="42" spans="1:12">
      <c r="A42" s="1" t="s">
        <v>284</v>
      </c>
      <c r="B42" s="24" t="s">
        <v>138</v>
      </c>
      <c r="C42" s="1" t="s">
        <v>151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</row>
    <row r="43" spans="1:12">
      <c r="A43" s="1" t="s">
        <v>284</v>
      </c>
      <c r="B43" s="24" t="s">
        <v>132</v>
      </c>
      <c r="C43" s="1" t="s">
        <v>151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</row>
    <row r="44" spans="1:12">
      <c r="A44" s="1" t="s">
        <v>284</v>
      </c>
      <c r="B44" s="24" t="s">
        <v>132</v>
      </c>
      <c r="C44" s="1" t="s">
        <v>151</v>
      </c>
      <c r="D44" s="1">
        <v>2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</row>
    <row r="45" spans="1:12">
      <c r="A45" s="1" t="s">
        <v>284</v>
      </c>
      <c r="B45" s="1" t="s">
        <v>132</v>
      </c>
      <c r="C45" s="1" t="s">
        <v>151</v>
      </c>
      <c r="D45" s="1">
        <v>3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</row>
    <row r="46" spans="1:12">
      <c r="A46" s="1" t="s">
        <v>284</v>
      </c>
      <c r="B46" s="1" t="s">
        <v>133</v>
      </c>
      <c r="C46" s="1" t="s">
        <v>151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</row>
    <row r="47" spans="1:12">
      <c r="A47" s="1" t="s">
        <v>284</v>
      </c>
      <c r="B47" s="1" t="s">
        <v>64</v>
      </c>
      <c r="C47" s="1" t="s">
        <v>151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</row>
    <row r="48" spans="1:12">
      <c r="A48" s="1" t="s">
        <v>284</v>
      </c>
      <c r="B48" s="1" t="s">
        <v>127</v>
      </c>
      <c r="C48" s="1" t="s">
        <v>151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</row>
    <row r="49" spans="1:12">
      <c r="A49" s="1" t="s">
        <v>284</v>
      </c>
      <c r="B49" s="1" t="s">
        <v>63</v>
      </c>
      <c r="C49" s="1" t="s">
        <v>151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</row>
    <row r="50" spans="1:12">
      <c r="A50" s="1" t="s">
        <v>284</v>
      </c>
      <c r="B50" s="1" t="s">
        <v>63</v>
      </c>
      <c r="C50" s="1" t="s">
        <v>151</v>
      </c>
      <c r="D50" s="1">
        <v>2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</row>
    <row r="51" spans="1:12">
      <c r="A51" s="1" t="s">
        <v>284</v>
      </c>
      <c r="B51" s="1" t="s">
        <v>63</v>
      </c>
      <c r="C51" s="1" t="s">
        <v>151</v>
      </c>
      <c r="D51" s="1">
        <v>3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</row>
    <row r="52" spans="1:12">
      <c r="A52" s="1" t="s">
        <v>284</v>
      </c>
      <c r="B52" s="1" t="s">
        <v>128</v>
      </c>
      <c r="C52" s="1" t="s">
        <v>151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</row>
    <row r="53" spans="1:12">
      <c r="A53" s="1" t="s">
        <v>284</v>
      </c>
      <c r="B53" s="1" t="s">
        <v>128</v>
      </c>
      <c r="C53" s="1" t="s">
        <v>151</v>
      </c>
      <c r="D53" s="1">
        <v>2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</row>
    <row r="54" spans="1:12">
      <c r="A54" s="1" t="s">
        <v>284</v>
      </c>
      <c r="B54" s="1" t="s">
        <v>128</v>
      </c>
      <c r="C54" s="1" t="s">
        <v>151</v>
      </c>
      <c r="D54" s="1">
        <v>3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</row>
    <row r="55" spans="1:12">
      <c r="A55" s="1" t="s">
        <v>284</v>
      </c>
      <c r="B55" s="1" t="s">
        <v>90</v>
      </c>
      <c r="C55" s="1" t="s">
        <v>156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</row>
    <row r="56" spans="1:12">
      <c r="A56" s="1" t="s">
        <v>284</v>
      </c>
      <c r="B56" s="1" t="s">
        <v>89</v>
      </c>
      <c r="C56" s="1" t="s">
        <v>157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</row>
    <row r="57" spans="1:12">
      <c r="A57" s="1" t="s">
        <v>284</v>
      </c>
      <c r="B57" s="1" t="s">
        <v>88</v>
      </c>
      <c r="C57" s="1" t="s">
        <v>202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</row>
    <row r="58" spans="1:12">
      <c r="A58" s="1" t="s">
        <v>284</v>
      </c>
      <c r="B58" s="1" t="s">
        <v>91</v>
      </c>
      <c r="C58" s="1" t="s">
        <v>144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</row>
    <row r="59" spans="1:12">
      <c r="A59" s="1" t="s">
        <v>284</v>
      </c>
      <c r="B59" s="1" t="s">
        <v>92</v>
      </c>
      <c r="C59" s="1" t="s">
        <v>143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</row>
    <row r="60" spans="1:12">
      <c r="A60" s="1" t="s">
        <v>284</v>
      </c>
      <c r="B60" s="1" t="s">
        <v>100</v>
      </c>
      <c r="C60" s="1" t="s">
        <v>24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</row>
    <row r="61" spans="1:12">
      <c r="A61" s="1" t="s">
        <v>284</v>
      </c>
      <c r="B61" s="1" t="s">
        <v>101</v>
      </c>
      <c r="C61" s="1" t="s">
        <v>24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</row>
    <row r="62" spans="1:12">
      <c r="A62" s="1" t="s">
        <v>284</v>
      </c>
      <c r="B62" s="1" t="s">
        <v>105</v>
      </c>
      <c r="C62" s="1" t="s">
        <v>24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</row>
    <row r="63" spans="1:12">
      <c r="A63" s="1" t="s">
        <v>284</v>
      </c>
      <c r="B63" s="1" t="s">
        <v>102</v>
      </c>
      <c r="C63" s="1" t="s">
        <v>24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</row>
    <row r="64" spans="1:12">
      <c r="A64" s="1" t="s">
        <v>284</v>
      </c>
      <c r="B64" s="1" t="s">
        <v>103</v>
      </c>
      <c r="C64" s="1" t="s">
        <v>24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</row>
    <row r="65" spans="1:12">
      <c r="A65" s="1" t="s">
        <v>284</v>
      </c>
      <c r="B65" s="1" t="s">
        <v>104</v>
      </c>
      <c r="C65" s="1" t="s">
        <v>24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</row>
    <row r="66" spans="1:12">
      <c r="A66" s="1" t="s">
        <v>284</v>
      </c>
      <c r="B66" s="1" t="s">
        <v>177</v>
      </c>
      <c r="C66" s="1" t="s">
        <v>24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</row>
    <row r="67" spans="1:12">
      <c r="A67" s="1" t="s">
        <v>284</v>
      </c>
      <c r="B67" s="1" t="s">
        <v>178</v>
      </c>
      <c r="C67" s="1" t="s">
        <v>24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</row>
    <row r="68" spans="1:12">
      <c r="A68" s="1" t="s">
        <v>284</v>
      </c>
      <c r="B68" s="1" t="s">
        <v>94</v>
      </c>
      <c r="C68" s="1" t="s">
        <v>24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</row>
    <row r="69" spans="1:12">
      <c r="A69" s="1" t="s">
        <v>284</v>
      </c>
      <c r="B69" s="1" t="s">
        <v>93</v>
      </c>
      <c r="C69" s="1" t="s">
        <v>24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</row>
    <row r="70" spans="1:12">
      <c r="A70" s="1" t="s">
        <v>284</v>
      </c>
      <c r="B70" s="1" t="s">
        <v>95</v>
      </c>
      <c r="C70" s="1" t="s">
        <v>24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</row>
    <row r="71" spans="1:12">
      <c r="A71" s="1" t="s">
        <v>284</v>
      </c>
      <c r="B71" s="1" t="s">
        <v>170</v>
      </c>
      <c r="C71" s="1" t="s">
        <v>24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</row>
    <row r="72" spans="1:12">
      <c r="A72" s="1" t="s">
        <v>284</v>
      </c>
      <c r="B72" s="1" t="s">
        <v>171</v>
      </c>
      <c r="C72" s="1" t="s">
        <v>24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</row>
    <row r="73" spans="1:12">
      <c r="A73" s="1" t="s">
        <v>284</v>
      </c>
      <c r="B73" s="1" t="s">
        <v>172</v>
      </c>
      <c r="C73" s="1" t="s">
        <v>24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</row>
    <row r="74" spans="1:12">
      <c r="A74" s="1" t="s">
        <v>284</v>
      </c>
      <c r="B74" s="1" t="s">
        <v>97</v>
      </c>
      <c r="C74" s="1" t="s">
        <v>24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</row>
    <row r="75" spans="1:12">
      <c r="A75" s="1" t="s">
        <v>284</v>
      </c>
      <c r="B75" s="1" t="s">
        <v>96</v>
      </c>
      <c r="C75" s="1" t="s">
        <v>24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</row>
    <row r="76" spans="1:12">
      <c r="A76" s="1" t="s">
        <v>284</v>
      </c>
      <c r="B76" s="1" t="s">
        <v>98</v>
      </c>
      <c r="C76" s="1" t="s">
        <v>24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</row>
    <row r="77" spans="1:12">
      <c r="A77" s="1" t="s">
        <v>284</v>
      </c>
      <c r="B77" s="1" t="s">
        <v>158</v>
      </c>
      <c r="C77" s="1" t="s">
        <v>146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</row>
    <row r="78" spans="1:12">
      <c r="A78" s="1" t="s">
        <v>284</v>
      </c>
      <c r="B78" s="1" t="s">
        <v>125</v>
      </c>
      <c r="C78" s="1" t="s">
        <v>145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</row>
    <row r="79" spans="1:12">
      <c r="A79" s="1" t="s">
        <v>284</v>
      </c>
      <c r="B79" s="1" t="s">
        <v>126</v>
      </c>
      <c r="C79" s="1" t="s">
        <v>24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</row>
    <row r="80" spans="1:12">
      <c r="A80" s="1" t="s">
        <v>284</v>
      </c>
      <c r="B80" s="1" t="s">
        <v>126</v>
      </c>
      <c r="C80" s="1" t="s">
        <v>24</v>
      </c>
      <c r="D80" s="1">
        <v>2</v>
      </c>
      <c r="E80" s="1">
        <v>0.6</v>
      </c>
      <c r="F80" s="1">
        <v>0.6</v>
      </c>
      <c r="G80" s="1">
        <v>0.6</v>
      </c>
      <c r="H80" s="1">
        <v>0.6</v>
      </c>
      <c r="I80" s="1">
        <v>0.6</v>
      </c>
      <c r="J80" s="1">
        <v>0.6</v>
      </c>
      <c r="K80" s="1">
        <v>0.6</v>
      </c>
      <c r="L80" s="1">
        <v>0.6</v>
      </c>
    </row>
    <row r="81" spans="1:12">
      <c r="A81" s="1" t="s">
        <v>284</v>
      </c>
      <c r="B81" s="1" t="s">
        <v>126</v>
      </c>
      <c r="C81" s="1" t="s">
        <v>34</v>
      </c>
      <c r="D81" s="1">
        <v>2</v>
      </c>
      <c r="E81" s="1">
        <v>0.4</v>
      </c>
      <c r="F81" s="1">
        <v>0.4</v>
      </c>
      <c r="G81" s="1">
        <v>0.4</v>
      </c>
      <c r="H81" s="1">
        <v>0.4</v>
      </c>
      <c r="I81" s="1">
        <v>0.4</v>
      </c>
      <c r="J81" s="1">
        <v>0.4</v>
      </c>
      <c r="K81" s="1">
        <v>0.4</v>
      </c>
      <c r="L81" s="1">
        <v>0.4</v>
      </c>
    </row>
    <row r="82" spans="1:12">
      <c r="A82" s="1" t="s">
        <v>284</v>
      </c>
      <c r="B82" s="1" t="s">
        <v>162</v>
      </c>
      <c r="C82" s="1" t="s">
        <v>204</v>
      </c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</row>
    <row r="83" spans="1:12">
      <c r="A83" s="1" t="s">
        <v>284</v>
      </c>
      <c r="B83" s="1" t="s">
        <v>162</v>
      </c>
      <c r="C83" s="1" t="s">
        <v>203</v>
      </c>
      <c r="D83" s="1">
        <v>2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</row>
    <row r="84" spans="1:12">
      <c r="A84" s="1" t="s">
        <v>284</v>
      </c>
      <c r="B84" s="1" t="s">
        <v>187</v>
      </c>
      <c r="C84" s="1" t="s">
        <v>143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</row>
    <row r="85" spans="1:12">
      <c r="A85" s="1" t="s">
        <v>284</v>
      </c>
      <c r="B85" s="1" t="s">
        <v>186</v>
      </c>
      <c r="C85" s="1" t="s">
        <v>156</v>
      </c>
      <c r="D85" s="1">
        <v>1</v>
      </c>
      <c r="E85" s="1">
        <v>1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</row>
    <row r="86" spans="1:12">
      <c r="A86" s="1" t="s">
        <v>284</v>
      </c>
      <c r="B86" s="1" t="s">
        <v>185</v>
      </c>
      <c r="C86" s="1" t="s">
        <v>202</v>
      </c>
      <c r="D86" s="1">
        <v>1</v>
      </c>
      <c r="E86" s="1">
        <v>1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</row>
    <row r="87" spans="1:12">
      <c r="A87" s="1" t="s">
        <v>284</v>
      </c>
      <c r="B87" s="1" t="s">
        <v>198</v>
      </c>
      <c r="C87" s="1" t="s">
        <v>34</v>
      </c>
      <c r="D87" s="1">
        <v>1</v>
      </c>
      <c r="E87" s="1">
        <v>0.7</v>
      </c>
      <c r="F87" s="1">
        <v>0.7</v>
      </c>
      <c r="G87" s="1">
        <v>0.7</v>
      </c>
      <c r="H87" s="1">
        <v>0.7</v>
      </c>
      <c r="I87" s="1">
        <v>0.7</v>
      </c>
      <c r="J87" s="1">
        <v>0.7</v>
      </c>
      <c r="K87" s="1">
        <v>0.7</v>
      </c>
      <c r="L87" s="1">
        <v>0.7</v>
      </c>
    </row>
    <row r="88" spans="1:12">
      <c r="A88" s="1" t="s">
        <v>284</v>
      </c>
      <c r="B88" s="1" t="s">
        <v>198</v>
      </c>
      <c r="C88" s="1" t="s">
        <v>24</v>
      </c>
      <c r="D88" s="1">
        <v>1</v>
      </c>
      <c r="E88" s="1">
        <v>0.55000000000000004</v>
      </c>
      <c r="F88" s="1">
        <v>0.55000000000000004</v>
      </c>
      <c r="G88" s="1">
        <v>0.55000000000000004</v>
      </c>
      <c r="H88" s="1">
        <v>0.55000000000000004</v>
      </c>
      <c r="I88" s="1">
        <v>0.55000000000000004</v>
      </c>
      <c r="J88" s="1">
        <v>0.55000000000000004</v>
      </c>
      <c r="K88" s="1">
        <v>0.55000000000000004</v>
      </c>
      <c r="L88" s="1">
        <v>0.55000000000000004</v>
      </c>
    </row>
    <row r="89" spans="1:12">
      <c r="A89" s="1" t="s">
        <v>284</v>
      </c>
      <c r="B89" s="1" t="s">
        <v>199</v>
      </c>
      <c r="C89" s="1" t="s">
        <v>24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</row>
    <row r="90" spans="1:12">
      <c r="A90" s="1" t="s">
        <v>284</v>
      </c>
      <c r="B90" s="1" t="s">
        <v>200</v>
      </c>
      <c r="C90" s="1" t="s">
        <v>201</v>
      </c>
      <c r="D90" s="1">
        <v>1</v>
      </c>
      <c r="E90" s="1">
        <v>1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</row>
    <row r="91" spans="1:12">
      <c r="A91" s="1" t="s">
        <v>284</v>
      </c>
      <c r="B91" s="1" t="s">
        <v>22</v>
      </c>
      <c r="C91" s="1" t="s">
        <v>24</v>
      </c>
      <c r="D91" s="1">
        <v>2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</row>
    <row r="92" spans="1:12">
      <c r="A92" s="1" t="s">
        <v>284</v>
      </c>
      <c r="B92" s="1" t="s">
        <v>22</v>
      </c>
      <c r="C92" s="1" t="s">
        <v>24</v>
      </c>
      <c r="D92" s="1">
        <v>3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</row>
    <row r="93" spans="1:12">
      <c r="A93" s="1" t="s">
        <v>284</v>
      </c>
      <c r="B93" s="1" t="s">
        <v>224</v>
      </c>
      <c r="C93" s="1" t="s">
        <v>276</v>
      </c>
      <c r="D93" s="1">
        <v>1</v>
      </c>
      <c r="E93" s="1">
        <v>1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</row>
    <row r="94" spans="1:12">
      <c r="A94" s="1" t="s">
        <v>284</v>
      </c>
      <c r="B94" s="1" t="s">
        <v>224</v>
      </c>
      <c r="C94" s="1" t="s">
        <v>276</v>
      </c>
      <c r="D94" s="1">
        <v>2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</row>
    <row r="95" spans="1:12">
      <c r="A95" s="1" t="s">
        <v>284</v>
      </c>
      <c r="B95" s="1" t="s">
        <v>224</v>
      </c>
      <c r="C95" s="1" t="s">
        <v>276</v>
      </c>
      <c r="D95" s="1">
        <v>3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</row>
    <row r="96" spans="1:12">
      <c r="A96" s="1" t="s">
        <v>284</v>
      </c>
      <c r="B96" s="1" t="s">
        <v>211</v>
      </c>
      <c r="C96" s="1" t="s">
        <v>24</v>
      </c>
      <c r="D96" s="1">
        <v>1</v>
      </c>
      <c r="E96" s="1">
        <v>0.31</v>
      </c>
      <c r="F96" s="1">
        <v>0.31</v>
      </c>
      <c r="G96" s="1">
        <v>0.31</v>
      </c>
      <c r="H96" s="1">
        <v>0.31</v>
      </c>
      <c r="I96" s="1">
        <v>0.31</v>
      </c>
      <c r="J96" s="1">
        <v>0.31</v>
      </c>
      <c r="K96" s="1">
        <v>0.31</v>
      </c>
      <c r="L96" s="1">
        <v>0.31</v>
      </c>
    </row>
    <row r="97" spans="1:12">
      <c r="A97" s="1" t="s">
        <v>284</v>
      </c>
      <c r="B97" s="1" t="s">
        <v>211</v>
      </c>
      <c r="C97" s="1" t="s">
        <v>276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</row>
    <row r="98" spans="1:12">
      <c r="A98" s="1" t="s">
        <v>284</v>
      </c>
      <c r="B98" s="1" t="s">
        <v>211</v>
      </c>
      <c r="C98" s="1" t="s">
        <v>24</v>
      </c>
      <c r="D98" s="1">
        <v>2</v>
      </c>
      <c r="E98" s="1">
        <v>0.31</v>
      </c>
      <c r="F98" s="1">
        <v>0.31</v>
      </c>
      <c r="G98" s="1">
        <v>0.31</v>
      </c>
      <c r="H98" s="1">
        <v>0.31</v>
      </c>
      <c r="I98" s="1">
        <v>0.31</v>
      </c>
      <c r="J98" s="1">
        <v>0.31</v>
      </c>
      <c r="K98" s="1">
        <v>0.31</v>
      </c>
      <c r="L98" s="1">
        <v>0.31</v>
      </c>
    </row>
    <row r="99" spans="1:12">
      <c r="A99" s="1" t="s">
        <v>284</v>
      </c>
      <c r="B99" s="1" t="s">
        <v>211</v>
      </c>
      <c r="C99" s="1" t="s">
        <v>276</v>
      </c>
      <c r="D99" s="1">
        <v>2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</row>
    <row r="100" spans="1:12">
      <c r="A100" s="1" t="s">
        <v>284</v>
      </c>
      <c r="B100" s="1" t="s">
        <v>211</v>
      </c>
      <c r="C100" s="1" t="s">
        <v>24</v>
      </c>
      <c r="D100" s="1">
        <v>3</v>
      </c>
      <c r="E100" s="1">
        <v>0.31</v>
      </c>
      <c r="F100" s="1">
        <v>0.31</v>
      </c>
      <c r="G100" s="1">
        <v>0.31</v>
      </c>
      <c r="H100" s="1">
        <v>0.31</v>
      </c>
      <c r="I100" s="1">
        <v>0.31</v>
      </c>
      <c r="J100" s="1">
        <v>0.31</v>
      </c>
      <c r="K100" s="1">
        <v>0.31</v>
      </c>
      <c r="L100" s="1">
        <v>0.31</v>
      </c>
    </row>
    <row r="101" spans="1:12">
      <c r="A101" s="1" t="s">
        <v>284</v>
      </c>
      <c r="B101" s="1" t="s">
        <v>211</v>
      </c>
      <c r="C101" s="1" t="s">
        <v>276</v>
      </c>
      <c r="D101" s="1">
        <v>3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</row>
    <row r="102" spans="1:12">
      <c r="A102" s="1" t="s">
        <v>284</v>
      </c>
      <c r="B102" s="1" t="s">
        <v>206</v>
      </c>
      <c r="C102" s="1" t="s">
        <v>276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</row>
    <row r="103" spans="1:12">
      <c r="A103" s="1" t="s">
        <v>284</v>
      </c>
      <c r="B103" s="1" t="s">
        <v>210</v>
      </c>
      <c r="C103" s="1" t="s">
        <v>276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</row>
    <row r="104" spans="1:12">
      <c r="A104" s="1" t="s">
        <v>284</v>
      </c>
      <c r="B104" s="1" t="s">
        <v>210</v>
      </c>
      <c r="C104" s="1" t="s">
        <v>276</v>
      </c>
      <c r="D104" s="1">
        <v>1</v>
      </c>
      <c r="E104" s="1">
        <v>1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</row>
    <row r="105" spans="1:12">
      <c r="A105" s="1" t="s">
        <v>284</v>
      </c>
      <c r="B105" s="1" t="s">
        <v>207</v>
      </c>
      <c r="C105" s="1" t="s">
        <v>276</v>
      </c>
      <c r="D105" s="1">
        <v>1</v>
      </c>
      <c r="E105" s="1">
        <v>1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</row>
    <row r="106" spans="1:12">
      <c r="A106" s="1" t="s">
        <v>284</v>
      </c>
      <c r="B106" s="1" t="s">
        <v>208</v>
      </c>
      <c r="C106" s="1" t="s">
        <v>276</v>
      </c>
      <c r="D106" s="1">
        <v>1</v>
      </c>
      <c r="E106" s="1">
        <v>1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</row>
    <row r="107" spans="1:12">
      <c r="A107" s="1" t="s">
        <v>284</v>
      </c>
      <c r="B107" s="1" t="s">
        <v>209</v>
      </c>
      <c r="C107" s="1" t="s">
        <v>24</v>
      </c>
      <c r="D107" s="1">
        <v>1</v>
      </c>
      <c r="E107" s="1">
        <v>0.31</v>
      </c>
      <c r="F107" s="1">
        <v>0.31</v>
      </c>
      <c r="G107" s="1">
        <v>0.31</v>
      </c>
      <c r="H107" s="1">
        <v>0.31</v>
      </c>
      <c r="I107" s="1">
        <v>0.31</v>
      </c>
      <c r="J107" s="1">
        <v>0.31</v>
      </c>
      <c r="K107" s="1">
        <v>0.31</v>
      </c>
      <c r="L107" s="1">
        <v>0.31</v>
      </c>
    </row>
    <row r="108" spans="1:12">
      <c r="A108" s="1" t="s">
        <v>284</v>
      </c>
      <c r="B108" s="1" t="s">
        <v>209</v>
      </c>
      <c r="C108" s="1" t="s">
        <v>276</v>
      </c>
      <c r="D108" s="1">
        <v>1</v>
      </c>
      <c r="E108" s="1">
        <v>1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</row>
    <row r="109" spans="1:12">
      <c r="A109" s="1" t="s">
        <v>284</v>
      </c>
      <c r="B109" s="1" t="s">
        <v>232</v>
      </c>
      <c r="C109" s="1" t="s">
        <v>24</v>
      </c>
      <c r="D109" s="1">
        <v>1</v>
      </c>
      <c r="E109" s="1">
        <v>0.31</v>
      </c>
      <c r="F109" s="1">
        <v>0.31</v>
      </c>
      <c r="G109" s="1">
        <v>0.31</v>
      </c>
      <c r="H109" s="1">
        <v>0.31</v>
      </c>
      <c r="I109" s="1">
        <v>0.31</v>
      </c>
      <c r="J109" s="1">
        <v>0.31</v>
      </c>
      <c r="K109" s="1">
        <v>0.31</v>
      </c>
      <c r="L109" s="1">
        <v>0.31</v>
      </c>
    </row>
    <row r="110" spans="1:12">
      <c r="A110" s="1" t="s">
        <v>284</v>
      </c>
      <c r="B110" s="1" t="s">
        <v>232</v>
      </c>
      <c r="C110" s="1" t="s">
        <v>276</v>
      </c>
      <c r="D110" s="1">
        <v>1</v>
      </c>
      <c r="E110" s="1">
        <v>1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</row>
    <row r="111" spans="1:12">
      <c r="A111" s="1" t="s">
        <v>284</v>
      </c>
      <c r="B111" s="1" t="s">
        <v>233</v>
      </c>
      <c r="C111" s="1" t="s">
        <v>276</v>
      </c>
      <c r="D111" s="1">
        <v>1</v>
      </c>
      <c r="E111" s="1">
        <v>1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</row>
    <row r="112" spans="1:12">
      <c r="A112" s="1" t="s">
        <v>284</v>
      </c>
      <c r="B112" s="1" t="s">
        <v>234</v>
      </c>
      <c r="C112" s="1" t="s">
        <v>276</v>
      </c>
      <c r="D112" s="1">
        <v>1</v>
      </c>
      <c r="E112" s="1">
        <v>1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</row>
    <row r="113" spans="1:12">
      <c r="A113" s="1" t="s">
        <v>284</v>
      </c>
      <c r="B113" s="1" t="s">
        <v>235</v>
      </c>
      <c r="C113" s="1" t="s">
        <v>276</v>
      </c>
      <c r="D113" s="1">
        <v>1</v>
      </c>
      <c r="E113" s="1">
        <v>1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</row>
    <row r="114" spans="1:12">
      <c r="A114" s="1" t="s">
        <v>284</v>
      </c>
      <c r="B114" s="1" t="s">
        <v>236</v>
      </c>
      <c r="C114" s="1" t="s">
        <v>276</v>
      </c>
      <c r="D114" s="1">
        <v>1</v>
      </c>
      <c r="E114" s="1">
        <v>1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</row>
    <row r="115" spans="1:12">
      <c r="A115" s="1" t="s">
        <v>284</v>
      </c>
      <c r="B115" s="1" t="s">
        <v>215</v>
      </c>
      <c r="C115" s="1" t="s">
        <v>276</v>
      </c>
      <c r="D115" s="1">
        <v>1</v>
      </c>
      <c r="E115" s="1">
        <v>1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</row>
    <row r="116" spans="1:12">
      <c r="A116" s="1" t="s">
        <v>284</v>
      </c>
      <c r="B116" s="1" t="s">
        <v>225</v>
      </c>
      <c r="C116" s="1" t="s">
        <v>276</v>
      </c>
      <c r="D116" s="1">
        <v>1</v>
      </c>
      <c r="E116" s="1">
        <v>1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</row>
    <row r="117" spans="1:12">
      <c r="A117" s="1" t="s">
        <v>284</v>
      </c>
      <c r="B117" s="1" t="s">
        <v>226</v>
      </c>
      <c r="C117" s="1" t="s">
        <v>212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</row>
    <row r="118" spans="1:12">
      <c r="A118" s="1" t="s">
        <v>284</v>
      </c>
      <c r="B118" s="1" t="s">
        <v>226</v>
      </c>
      <c r="C118" s="1" t="s">
        <v>212</v>
      </c>
      <c r="D118" s="1">
        <v>2</v>
      </c>
      <c r="E118" s="1">
        <v>1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</row>
    <row r="119" spans="1:12">
      <c r="A119" s="1" t="s">
        <v>284</v>
      </c>
      <c r="B119" s="1" t="s">
        <v>226</v>
      </c>
      <c r="C119" s="1" t="s">
        <v>212</v>
      </c>
      <c r="D119" s="1">
        <v>3</v>
      </c>
      <c r="E119" s="1">
        <v>1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</row>
    <row r="120" spans="1:12">
      <c r="A120" s="1" t="s">
        <v>284</v>
      </c>
      <c r="B120" s="1" t="s">
        <v>216</v>
      </c>
      <c r="C120" s="1" t="s">
        <v>24</v>
      </c>
      <c r="D120" s="1">
        <v>1</v>
      </c>
      <c r="E120" s="1">
        <v>0.31</v>
      </c>
      <c r="F120" s="1">
        <v>0.31</v>
      </c>
      <c r="G120" s="1">
        <v>0.31</v>
      </c>
      <c r="H120" s="1">
        <v>0.31</v>
      </c>
      <c r="I120" s="1">
        <v>0.31</v>
      </c>
      <c r="J120" s="1">
        <v>0.31</v>
      </c>
      <c r="K120" s="1">
        <v>0.31</v>
      </c>
      <c r="L120" s="1">
        <v>0.31</v>
      </c>
    </row>
    <row r="121" spans="1:12">
      <c r="A121" s="1" t="s">
        <v>284</v>
      </c>
      <c r="B121" s="1" t="s">
        <v>216</v>
      </c>
      <c r="C121" s="1" t="s">
        <v>212</v>
      </c>
      <c r="D121" s="1">
        <v>1</v>
      </c>
      <c r="E121" s="1">
        <v>1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</row>
    <row r="122" spans="1:12">
      <c r="A122" s="1" t="s">
        <v>284</v>
      </c>
      <c r="B122" s="1" t="s">
        <v>216</v>
      </c>
      <c r="C122" s="1" t="s">
        <v>24</v>
      </c>
      <c r="D122" s="1">
        <v>2</v>
      </c>
      <c r="E122" s="1">
        <v>0.31</v>
      </c>
      <c r="F122" s="1">
        <v>0.31</v>
      </c>
      <c r="G122" s="1">
        <v>0.31</v>
      </c>
      <c r="H122" s="1">
        <v>0.31</v>
      </c>
      <c r="I122" s="1">
        <v>0.31</v>
      </c>
      <c r="J122" s="1">
        <v>0.31</v>
      </c>
      <c r="K122" s="1">
        <v>0.31</v>
      </c>
      <c r="L122" s="1">
        <v>0.31</v>
      </c>
    </row>
    <row r="123" spans="1:12">
      <c r="A123" s="1" t="s">
        <v>284</v>
      </c>
      <c r="B123" s="1" t="s">
        <v>216</v>
      </c>
      <c r="C123" s="1" t="s">
        <v>212</v>
      </c>
      <c r="D123" s="1">
        <v>2</v>
      </c>
      <c r="E123" s="1">
        <v>1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</row>
    <row r="124" spans="1:12">
      <c r="A124" s="1" t="s">
        <v>284</v>
      </c>
      <c r="B124" s="1" t="s">
        <v>216</v>
      </c>
      <c r="C124" s="1" t="s">
        <v>24</v>
      </c>
      <c r="D124" s="1">
        <v>3</v>
      </c>
      <c r="E124" s="1">
        <v>0.31</v>
      </c>
      <c r="F124" s="1">
        <v>0.31</v>
      </c>
      <c r="G124" s="1">
        <v>0.31</v>
      </c>
      <c r="H124" s="1">
        <v>0.31</v>
      </c>
      <c r="I124" s="1">
        <v>0.31</v>
      </c>
      <c r="J124" s="1">
        <v>0.31</v>
      </c>
      <c r="K124" s="1">
        <v>0.31</v>
      </c>
      <c r="L124" s="1">
        <v>0.31</v>
      </c>
    </row>
    <row r="125" spans="1:12">
      <c r="A125" s="1" t="s">
        <v>284</v>
      </c>
      <c r="B125" s="1" t="s">
        <v>216</v>
      </c>
      <c r="C125" s="1" t="s">
        <v>212</v>
      </c>
      <c r="D125" s="1">
        <v>3</v>
      </c>
      <c r="E125" s="1">
        <v>1</v>
      </c>
      <c r="F125" s="1">
        <v>1</v>
      </c>
      <c r="G125" s="1">
        <v>1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</row>
    <row r="126" spans="1:12">
      <c r="A126" s="1" t="s">
        <v>284</v>
      </c>
      <c r="B126" s="1" t="s">
        <v>217</v>
      </c>
      <c r="C126" s="1" t="s">
        <v>212</v>
      </c>
      <c r="D126" s="1">
        <v>1</v>
      </c>
      <c r="E126" s="1">
        <v>1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</row>
    <row r="127" spans="1:12">
      <c r="A127" s="1" t="s">
        <v>284</v>
      </c>
      <c r="B127" s="1" t="s">
        <v>218</v>
      </c>
      <c r="C127" s="1" t="s">
        <v>24</v>
      </c>
      <c r="D127" s="1">
        <v>1</v>
      </c>
      <c r="E127" s="1">
        <v>0.31</v>
      </c>
      <c r="F127" s="1">
        <v>0.31</v>
      </c>
      <c r="G127" s="1">
        <v>0.31</v>
      </c>
      <c r="H127" s="1">
        <v>0.31</v>
      </c>
      <c r="I127" s="1">
        <v>0.31</v>
      </c>
      <c r="J127" s="1">
        <v>0.31</v>
      </c>
      <c r="K127" s="1">
        <v>0.31</v>
      </c>
      <c r="L127" s="1">
        <v>0.31</v>
      </c>
    </row>
    <row r="128" spans="1:12">
      <c r="A128" s="1" t="s">
        <v>284</v>
      </c>
      <c r="B128" s="1" t="s">
        <v>218</v>
      </c>
      <c r="C128" s="1" t="s">
        <v>212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  <c r="K128" s="1">
        <v>1</v>
      </c>
      <c r="L128" s="1">
        <v>1</v>
      </c>
    </row>
    <row r="129" spans="1:12">
      <c r="A129" s="1" t="s">
        <v>284</v>
      </c>
      <c r="B129" s="1" t="s">
        <v>219</v>
      </c>
      <c r="C129" s="1" t="s">
        <v>212</v>
      </c>
      <c r="D129" s="1">
        <v>1</v>
      </c>
      <c r="E129" s="1">
        <v>1</v>
      </c>
      <c r="F129" s="1">
        <v>1</v>
      </c>
      <c r="G129" s="1">
        <v>1</v>
      </c>
      <c r="H129" s="1">
        <v>1</v>
      </c>
      <c r="I129" s="1">
        <v>1</v>
      </c>
      <c r="J129" s="1">
        <v>1</v>
      </c>
      <c r="K129" s="1">
        <v>1</v>
      </c>
      <c r="L129" s="1">
        <v>1</v>
      </c>
    </row>
    <row r="130" spans="1:12">
      <c r="A130" s="1" t="s">
        <v>284</v>
      </c>
      <c r="B130" s="1" t="s">
        <v>220</v>
      </c>
      <c r="C130" s="1" t="s">
        <v>212</v>
      </c>
      <c r="D130" s="1">
        <v>1</v>
      </c>
      <c r="E130" s="1">
        <v>1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</row>
    <row r="131" spans="1:12">
      <c r="A131" s="1" t="s">
        <v>284</v>
      </c>
      <c r="B131" s="1" t="s">
        <v>221</v>
      </c>
      <c r="C131" s="1" t="s">
        <v>24</v>
      </c>
      <c r="D131" s="1">
        <v>1</v>
      </c>
      <c r="E131" s="1">
        <v>0.31</v>
      </c>
      <c r="F131" s="1">
        <v>0.31</v>
      </c>
      <c r="G131" s="1">
        <v>0.31</v>
      </c>
      <c r="H131" s="1">
        <v>0.31</v>
      </c>
      <c r="I131" s="1">
        <v>0.31</v>
      </c>
      <c r="J131" s="1">
        <v>0.31</v>
      </c>
      <c r="K131" s="1">
        <v>0.31</v>
      </c>
      <c r="L131" s="1">
        <v>0.31</v>
      </c>
    </row>
    <row r="132" spans="1:12">
      <c r="A132" s="1" t="s">
        <v>284</v>
      </c>
      <c r="B132" s="1" t="s">
        <v>221</v>
      </c>
      <c r="C132" s="1" t="s">
        <v>212</v>
      </c>
      <c r="D132" s="1">
        <v>1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</row>
    <row r="133" spans="1:12" s="9" customFormat="1">
      <c r="A133" s="1" t="s">
        <v>284</v>
      </c>
      <c r="B133" s="1" t="s">
        <v>249</v>
      </c>
      <c r="C133" s="1" t="s">
        <v>24</v>
      </c>
      <c r="D133" s="11">
        <v>1</v>
      </c>
      <c r="E133" s="1">
        <v>0.31</v>
      </c>
      <c r="F133" s="1">
        <v>0.31</v>
      </c>
      <c r="G133" s="1">
        <v>0.31</v>
      </c>
      <c r="H133" s="1">
        <v>0.31</v>
      </c>
      <c r="I133" s="1">
        <v>0.31</v>
      </c>
      <c r="J133" s="1">
        <v>0.31</v>
      </c>
      <c r="K133" s="1">
        <v>0.31</v>
      </c>
      <c r="L133" s="1">
        <v>0.31</v>
      </c>
    </row>
    <row r="134" spans="1:12">
      <c r="A134" s="1" t="s">
        <v>284</v>
      </c>
      <c r="B134" s="32" t="s">
        <v>249</v>
      </c>
      <c r="C134" s="1" t="s">
        <v>212</v>
      </c>
      <c r="D134" s="1">
        <v>1</v>
      </c>
      <c r="E134" s="1">
        <v>1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</row>
    <row r="135" spans="1:12">
      <c r="A135" s="1" t="s">
        <v>284</v>
      </c>
      <c r="B135" s="32" t="s">
        <v>238</v>
      </c>
      <c r="C135" s="1" t="s">
        <v>212</v>
      </c>
      <c r="D135" s="1">
        <v>1</v>
      </c>
      <c r="E135" s="1">
        <v>1</v>
      </c>
      <c r="F135" s="1">
        <v>1</v>
      </c>
      <c r="G135" s="1">
        <v>1</v>
      </c>
      <c r="H135" s="1">
        <v>1</v>
      </c>
      <c r="I135" s="1">
        <v>1</v>
      </c>
      <c r="J135" s="1">
        <v>1</v>
      </c>
      <c r="K135" s="1">
        <v>1</v>
      </c>
      <c r="L135" s="1">
        <v>1</v>
      </c>
    </row>
    <row r="136" spans="1:12">
      <c r="A136" s="1" t="s">
        <v>284</v>
      </c>
      <c r="B136" s="32" t="s">
        <v>239</v>
      </c>
      <c r="C136" s="1" t="s">
        <v>24</v>
      </c>
      <c r="D136" s="1">
        <v>1</v>
      </c>
      <c r="E136" s="1">
        <v>1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1</v>
      </c>
    </row>
    <row r="137" spans="1:12">
      <c r="A137" s="1" t="s">
        <v>284</v>
      </c>
      <c r="B137" s="32" t="s">
        <v>239</v>
      </c>
      <c r="C137" s="1" t="s">
        <v>24</v>
      </c>
      <c r="D137" s="1">
        <v>1</v>
      </c>
      <c r="E137" s="1">
        <v>0.6</v>
      </c>
      <c r="F137" s="1">
        <v>0.6</v>
      </c>
      <c r="G137" s="1">
        <v>0.6</v>
      </c>
      <c r="H137" s="1">
        <v>0.6</v>
      </c>
      <c r="I137" s="1">
        <v>0.6</v>
      </c>
      <c r="J137" s="1">
        <v>0.6</v>
      </c>
      <c r="K137" s="1">
        <v>0.6</v>
      </c>
      <c r="L137" s="1">
        <v>0.6</v>
      </c>
    </row>
    <row r="138" spans="1:12">
      <c r="A138" s="1" t="s">
        <v>284</v>
      </c>
      <c r="B138" s="32" t="s">
        <v>239</v>
      </c>
      <c r="C138" s="1" t="s">
        <v>212</v>
      </c>
      <c r="D138" s="1">
        <v>2</v>
      </c>
      <c r="E138" s="1">
        <v>0.4</v>
      </c>
      <c r="F138" s="1">
        <v>0.4</v>
      </c>
      <c r="G138" s="1">
        <v>0.4</v>
      </c>
      <c r="H138" s="1">
        <v>0.4</v>
      </c>
      <c r="I138" s="1">
        <v>0.4</v>
      </c>
      <c r="J138" s="1">
        <v>0.4</v>
      </c>
      <c r="K138" s="1">
        <v>0.4</v>
      </c>
      <c r="L138" s="1">
        <v>0.4</v>
      </c>
    </row>
    <row r="139" spans="1:12">
      <c r="A139" s="1" t="s">
        <v>284</v>
      </c>
      <c r="B139" s="32" t="s">
        <v>222</v>
      </c>
      <c r="C139" s="1" t="s">
        <v>212</v>
      </c>
      <c r="D139" s="1">
        <v>1</v>
      </c>
      <c r="E139" s="1">
        <v>1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</row>
    <row r="140" spans="1:12">
      <c r="A140" s="1" t="s">
        <v>284</v>
      </c>
      <c r="B140" s="32" t="s">
        <v>227</v>
      </c>
      <c r="C140" s="1" t="s">
        <v>212</v>
      </c>
      <c r="D140" s="1">
        <v>1</v>
      </c>
      <c r="E140" s="1">
        <v>1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</row>
    <row r="141" spans="1:12">
      <c r="A141" s="1" t="s">
        <v>284</v>
      </c>
      <c r="B141" s="32" t="s">
        <v>223</v>
      </c>
      <c r="C141" s="1" t="s">
        <v>212</v>
      </c>
      <c r="D141" s="1">
        <v>1</v>
      </c>
      <c r="E141" s="1">
        <v>1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</row>
    <row r="142" spans="1:12">
      <c r="A142" s="1" t="s">
        <v>284</v>
      </c>
      <c r="B142" s="1" t="s">
        <v>223</v>
      </c>
      <c r="C142" s="1" t="s">
        <v>24</v>
      </c>
      <c r="D142" s="1">
        <v>1</v>
      </c>
      <c r="E142" s="1">
        <v>0.31</v>
      </c>
      <c r="F142" s="1">
        <v>0.31</v>
      </c>
      <c r="G142" s="1">
        <v>0.31</v>
      </c>
      <c r="H142" s="1">
        <v>0.31</v>
      </c>
      <c r="I142" s="1">
        <v>0.31</v>
      </c>
      <c r="J142" s="1">
        <v>0.31</v>
      </c>
      <c r="K142" s="1">
        <v>0.31</v>
      </c>
      <c r="L142" s="1">
        <v>0.31</v>
      </c>
    </row>
    <row r="143" spans="1:12">
      <c r="A143" s="1" t="s">
        <v>284</v>
      </c>
      <c r="B143" s="1" t="s">
        <v>237</v>
      </c>
      <c r="C143" s="1" t="s">
        <v>212</v>
      </c>
      <c r="D143" s="1">
        <v>1</v>
      </c>
      <c r="E143" s="1">
        <v>1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</row>
    <row r="144" spans="1:12">
      <c r="A144" s="1" t="s">
        <v>284</v>
      </c>
      <c r="B144" s="1" t="s">
        <v>230</v>
      </c>
      <c r="C144" s="1" t="s">
        <v>213</v>
      </c>
      <c r="D144" s="1">
        <v>1</v>
      </c>
      <c r="E144" s="1">
        <v>1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1</v>
      </c>
    </row>
    <row r="145" spans="1:12">
      <c r="A145" s="1" t="s">
        <v>284</v>
      </c>
      <c r="B145" s="1" t="s">
        <v>230</v>
      </c>
      <c r="C145" s="1" t="s">
        <v>213</v>
      </c>
      <c r="D145" s="1">
        <v>2</v>
      </c>
      <c r="E145" s="1">
        <v>1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</row>
    <row r="146" spans="1:12">
      <c r="A146" s="1" t="s">
        <v>284</v>
      </c>
      <c r="B146" s="1" t="s">
        <v>230</v>
      </c>
      <c r="C146" s="1" t="s">
        <v>213</v>
      </c>
      <c r="D146" s="1">
        <v>3</v>
      </c>
      <c r="E146" s="1">
        <v>1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</row>
    <row r="147" spans="1:12">
      <c r="A147" s="1" t="s">
        <v>284</v>
      </c>
      <c r="B147" s="1" t="s">
        <v>241</v>
      </c>
      <c r="C147" s="1" t="s">
        <v>213</v>
      </c>
      <c r="D147" s="1">
        <v>1</v>
      </c>
      <c r="E147" s="1">
        <v>1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</row>
    <row r="148" spans="1:12">
      <c r="A148" s="1" t="s">
        <v>284</v>
      </c>
      <c r="B148" s="1" t="s">
        <v>228</v>
      </c>
      <c r="C148" s="1" t="s">
        <v>213</v>
      </c>
      <c r="D148" s="1">
        <v>1</v>
      </c>
      <c r="E148" s="1">
        <v>1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</row>
    <row r="149" spans="1:12">
      <c r="A149" s="1" t="s">
        <v>284</v>
      </c>
      <c r="B149" s="1" t="s">
        <v>229</v>
      </c>
      <c r="C149" s="1" t="s">
        <v>213</v>
      </c>
      <c r="D149" s="1">
        <v>1</v>
      </c>
      <c r="E149" s="1">
        <v>1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</row>
    <row r="150" spans="1:12">
      <c r="A150" s="1" t="s">
        <v>284</v>
      </c>
      <c r="B150" s="1" t="s">
        <v>240</v>
      </c>
      <c r="C150" s="1" t="s">
        <v>213</v>
      </c>
      <c r="D150" s="1">
        <v>1</v>
      </c>
      <c r="E150" s="1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</row>
    <row r="151" spans="1:12">
      <c r="A151" s="1" t="s">
        <v>284</v>
      </c>
      <c r="B151" s="1" t="s">
        <v>231</v>
      </c>
      <c r="C151" s="1" t="s">
        <v>213</v>
      </c>
      <c r="D151" s="1">
        <v>1</v>
      </c>
      <c r="E151" s="1">
        <v>1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</row>
    <row r="152" spans="1:12">
      <c r="A152" s="1" t="s">
        <v>284</v>
      </c>
      <c r="B152" s="1" t="s">
        <v>243</v>
      </c>
      <c r="C152" s="1" t="s">
        <v>214</v>
      </c>
      <c r="D152" s="1">
        <v>1</v>
      </c>
      <c r="E152" s="1">
        <v>1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</row>
    <row r="153" spans="1:12">
      <c r="A153" s="1" t="s">
        <v>284</v>
      </c>
      <c r="B153" s="1" t="s">
        <v>243</v>
      </c>
      <c r="C153" s="1" t="s">
        <v>214</v>
      </c>
      <c r="D153" s="1">
        <v>2</v>
      </c>
      <c r="E153" s="1">
        <v>0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</row>
    <row r="154" spans="1:12">
      <c r="A154" s="1" t="s">
        <v>284</v>
      </c>
      <c r="B154" s="1" t="s">
        <v>243</v>
      </c>
      <c r="C154" s="1" t="s">
        <v>214</v>
      </c>
      <c r="D154" s="1">
        <v>3</v>
      </c>
      <c r="E154" s="1">
        <v>0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</row>
    <row r="155" spans="1:12">
      <c r="A155" s="1" t="s">
        <v>284</v>
      </c>
      <c r="B155" s="1" t="s">
        <v>243</v>
      </c>
      <c r="C155" s="1" t="s">
        <v>214</v>
      </c>
      <c r="D155" s="1">
        <v>4</v>
      </c>
      <c r="E155" s="1">
        <v>0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1</v>
      </c>
    </row>
    <row r="156" spans="1:12">
      <c r="A156" s="1" t="s">
        <v>284</v>
      </c>
      <c r="B156" s="1" t="s">
        <v>244</v>
      </c>
      <c r="C156" s="1" t="s">
        <v>214</v>
      </c>
      <c r="D156" s="1">
        <v>1</v>
      </c>
      <c r="E156" s="1">
        <v>1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</row>
    <row r="157" spans="1:12">
      <c r="A157" s="1" t="s">
        <v>284</v>
      </c>
      <c r="B157" s="1" t="s">
        <v>244</v>
      </c>
      <c r="C157" s="1" t="s">
        <v>214</v>
      </c>
      <c r="D157" s="1">
        <v>2</v>
      </c>
      <c r="E157" s="1">
        <v>0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</row>
    <row r="158" spans="1:12">
      <c r="A158" s="1" t="s">
        <v>284</v>
      </c>
      <c r="B158" s="1" t="s">
        <v>244</v>
      </c>
      <c r="C158" s="1" t="s">
        <v>214</v>
      </c>
      <c r="D158" s="1">
        <v>3</v>
      </c>
      <c r="E158" s="1">
        <v>0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</row>
    <row r="159" spans="1:12">
      <c r="A159" s="1" t="s">
        <v>284</v>
      </c>
      <c r="B159" s="1" t="s">
        <v>245</v>
      </c>
      <c r="C159" s="1" t="s">
        <v>214</v>
      </c>
      <c r="D159" s="1">
        <v>1</v>
      </c>
      <c r="E159" s="1">
        <v>1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</row>
    <row r="160" spans="1:12">
      <c r="A160" s="1" t="s">
        <v>284</v>
      </c>
      <c r="B160" s="1" t="s">
        <v>246</v>
      </c>
      <c r="C160" s="1" t="s">
        <v>214</v>
      </c>
      <c r="D160" s="1">
        <v>1</v>
      </c>
      <c r="E160" s="1">
        <v>1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</row>
    <row r="161" spans="1:12">
      <c r="A161" s="1" t="s">
        <v>284</v>
      </c>
      <c r="B161" s="1" t="s">
        <v>247</v>
      </c>
      <c r="C161" s="1" t="s">
        <v>214</v>
      </c>
      <c r="D161" s="1">
        <v>1</v>
      </c>
      <c r="E161" s="1">
        <v>1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</row>
    <row r="162" spans="1:12">
      <c r="A162" s="1" t="s">
        <v>284</v>
      </c>
      <c r="B162" s="1" t="s">
        <v>248</v>
      </c>
      <c r="C162" s="1" t="s">
        <v>214</v>
      </c>
      <c r="D162" s="1">
        <v>1</v>
      </c>
      <c r="E162" s="1">
        <v>1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</row>
    <row r="163" spans="1:12">
      <c r="A163" s="1" t="s">
        <v>284</v>
      </c>
      <c r="B163" s="1" t="s">
        <v>248</v>
      </c>
      <c r="C163" s="1" t="s">
        <v>214</v>
      </c>
      <c r="D163" s="1">
        <v>2</v>
      </c>
      <c r="E163" s="1">
        <v>1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</row>
    <row r="164" spans="1:12">
      <c r="A164" s="1" t="s">
        <v>284</v>
      </c>
      <c r="B164" s="1" t="s">
        <v>248</v>
      </c>
      <c r="C164" s="1" t="s">
        <v>214</v>
      </c>
      <c r="D164" s="1">
        <v>3</v>
      </c>
      <c r="E164" s="1">
        <v>1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</row>
    <row r="165" spans="1:12">
      <c r="A165" s="1" t="s">
        <v>284</v>
      </c>
      <c r="B165" s="1" t="s">
        <v>254</v>
      </c>
      <c r="C165" s="1" t="s">
        <v>214</v>
      </c>
      <c r="D165" s="1">
        <v>1</v>
      </c>
      <c r="E165" s="1">
        <v>1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  <c r="K165" s="1">
        <v>1</v>
      </c>
      <c r="L165" s="1">
        <v>1</v>
      </c>
    </row>
    <row r="166" spans="1:12">
      <c r="A166" s="1" t="s">
        <v>284</v>
      </c>
      <c r="B166" s="1" t="s">
        <v>254</v>
      </c>
      <c r="C166" s="1" t="s">
        <v>214</v>
      </c>
      <c r="D166" s="1">
        <v>2</v>
      </c>
      <c r="E166" s="1">
        <v>1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1</v>
      </c>
    </row>
    <row r="167" spans="1:12">
      <c r="A167" s="1" t="s">
        <v>284</v>
      </c>
      <c r="B167" s="1" t="s">
        <v>254</v>
      </c>
      <c r="C167" s="1" t="s">
        <v>214</v>
      </c>
      <c r="D167" s="1">
        <v>3</v>
      </c>
      <c r="E167" s="1">
        <v>1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</row>
    <row r="168" spans="1:12">
      <c r="A168" s="1" t="s">
        <v>284</v>
      </c>
      <c r="B168" s="1" t="s">
        <v>254</v>
      </c>
      <c r="C168" s="1" t="s">
        <v>214</v>
      </c>
      <c r="D168" s="1">
        <v>4</v>
      </c>
      <c r="E168" s="1">
        <v>1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</row>
    <row r="169" spans="1:12">
      <c r="A169" s="1" t="s">
        <v>284</v>
      </c>
      <c r="B169" s="1" t="s">
        <v>255</v>
      </c>
      <c r="C169" s="1" t="s">
        <v>214</v>
      </c>
      <c r="D169" s="1">
        <v>1</v>
      </c>
      <c r="E169" s="1">
        <v>1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</row>
    <row r="170" spans="1:12">
      <c r="A170" s="1" t="s">
        <v>284</v>
      </c>
      <c r="B170" s="1" t="s">
        <v>267</v>
      </c>
      <c r="C170" s="1" t="s">
        <v>212</v>
      </c>
      <c r="D170" s="1">
        <v>1</v>
      </c>
      <c r="E170" s="1">
        <v>1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</row>
    <row r="171" spans="1:12">
      <c r="A171" s="1" t="s">
        <v>284</v>
      </c>
      <c r="B171" s="1" t="s">
        <v>261</v>
      </c>
      <c r="C171" s="1" t="s">
        <v>212</v>
      </c>
      <c r="D171" s="1">
        <v>1</v>
      </c>
      <c r="E171" s="1">
        <v>1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  <c r="L171" s="1">
        <v>1</v>
      </c>
    </row>
    <row r="172" spans="1:12">
      <c r="A172" s="1" t="s">
        <v>284</v>
      </c>
      <c r="B172" s="1" t="s">
        <v>262</v>
      </c>
      <c r="C172" s="1" t="s">
        <v>212</v>
      </c>
      <c r="D172" s="1">
        <v>1</v>
      </c>
      <c r="E172" s="1">
        <v>1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</row>
    <row r="173" spans="1:12">
      <c r="A173" s="1" t="s">
        <v>284</v>
      </c>
      <c r="B173" s="1" t="s">
        <v>268</v>
      </c>
      <c r="C173" s="1" t="s">
        <v>276</v>
      </c>
      <c r="D173" s="1">
        <v>1</v>
      </c>
      <c r="E173" s="1">
        <v>1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1</v>
      </c>
    </row>
    <row r="174" spans="1:12">
      <c r="A174" s="1" t="s">
        <v>284</v>
      </c>
      <c r="B174" s="1" t="s">
        <v>259</v>
      </c>
      <c r="C174" s="1" t="s">
        <v>276</v>
      </c>
      <c r="D174" s="1">
        <v>1</v>
      </c>
      <c r="E174" s="1">
        <v>1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</row>
    <row r="175" spans="1:12">
      <c r="A175" s="1" t="s">
        <v>284</v>
      </c>
      <c r="B175" s="1" t="s">
        <v>260</v>
      </c>
      <c r="C175" s="1" t="s">
        <v>276</v>
      </c>
      <c r="D175" s="1">
        <v>1</v>
      </c>
      <c r="E175" s="1">
        <v>1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</row>
    <row r="176" spans="1:12">
      <c r="A176" s="1" t="s">
        <v>284</v>
      </c>
      <c r="B176" s="1" t="s">
        <v>267</v>
      </c>
      <c r="C176" s="1" t="s">
        <v>24</v>
      </c>
      <c r="D176" s="1">
        <v>1</v>
      </c>
      <c r="E176" s="1">
        <v>0.31</v>
      </c>
      <c r="F176" s="1">
        <v>0.31</v>
      </c>
      <c r="G176" s="1">
        <v>0.31</v>
      </c>
      <c r="H176" s="1">
        <v>0.31</v>
      </c>
      <c r="I176" s="1">
        <v>0.31</v>
      </c>
      <c r="J176" s="1">
        <v>0.31</v>
      </c>
      <c r="K176" s="1">
        <v>0.31</v>
      </c>
      <c r="L176" s="1">
        <v>0.31</v>
      </c>
    </row>
    <row r="177" spans="1:12">
      <c r="A177" s="1" t="s">
        <v>284</v>
      </c>
      <c r="B177" s="1" t="s">
        <v>261</v>
      </c>
      <c r="C177" s="1" t="s">
        <v>24</v>
      </c>
      <c r="D177" s="1">
        <v>1</v>
      </c>
      <c r="E177" s="1">
        <v>0.31</v>
      </c>
      <c r="F177" s="1">
        <v>0.31</v>
      </c>
      <c r="G177" s="1">
        <v>0.31</v>
      </c>
      <c r="H177" s="1">
        <v>0.31</v>
      </c>
      <c r="I177" s="1">
        <v>0.31</v>
      </c>
      <c r="J177" s="1">
        <v>0.31</v>
      </c>
      <c r="K177" s="1">
        <v>0.31</v>
      </c>
      <c r="L177" s="1">
        <v>0.31</v>
      </c>
    </row>
    <row r="178" spans="1:12">
      <c r="A178" s="1" t="s">
        <v>284</v>
      </c>
      <c r="B178" s="1" t="s">
        <v>262</v>
      </c>
      <c r="C178" s="1" t="s">
        <v>24</v>
      </c>
      <c r="D178" s="1">
        <v>1</v>
      </c>
      <c r="E178" s="1">
        <v>0.31</v>
      </c>
      <c r="F178" s="1">
        <v>0.31</v>
      </c>
      <c r="G178" s="1">
        <v>0.31</v>
      </c>
      <c r="H178" s="1">
        <v>0.31</v>
      </c>
      <c r="I178" s="1">
        <v>0.31</v>
      </c>
      <c r="J178" s="1">
        <v>0.31</v>
      </c>
      <c r="K178" s="1">
        <v>0.31</v>
      </c>
      <c r="L178" s="1">
        <v>0.31</v>
      </c>
    </row>
    <row r="179" spans="1:12">
      <c r="A179" s="1" t="s">
        <v>284</v>
      </c>
      <c r="B179" s="1" t="s">
        <v>210</v>
      </c>
      <c r="C179" s="1" t="s">
        <v>24</v>
      </c>
      <c r="D179" s="1">
        <v>1</v>
      </c>
      <c r="E179" s="1">
        <v>0.31</v>
      </c>
      <c r="F179" s="1">
        <v>0.31</v>
      </c>
      <c r="G179" s="1">
        <v>0.31</v>
      </c>
      <c r="H179" s="1">
        <v>0.31</v>
      </c>
      <c r="I179" s="1">
        <v>0.31</v>
      </c>
      <c r="J179" s="1">
        <v>0.31</v>
      </c>
      <c r="K179" s="1">
        <v>0.31</v>
      </c>
      <c r="L179" s="1">
        <v>0.31</v>
      </c>
    </row>
    <row r="180" spans="1:12">
      <c r="A180" s="1" t="s">
        <v>284</v>
      </c>
      <c r="B180" s="1" t="s">
        <v>268</v>
      </c>
      <c r="C180" s="1" t="s">
        <v>24</v>
      </c>
      <c r="D180" s="1">
        <v>1</v>
      </c>
      <c r="E180" s="1">
        <v>0.31</v>
      </c>
      <c r="F180" s="1">
        <v>0.31</v>
      </c>
      <c r="G180" s="1">
        <v>0.31</v>
      </c>
      <c r="H180" s="1">
        <v>0.31</v>
      </c>
      <c r="I180" s="1">
        <v>0.31</v>
      </c>
      <c r="J180" s="1">
        <v>0.31</v>
      </c>
      <c r="K180" s="1">
        <v>0.31</v>
      </c>
      <c r="L180" s="1">
        <v>0.31</v>
      </c>
    </row>
    <row r="181" spans="1:12">
      <c r="A181" s="26" t="s">
        <v>284</v>
      </c>
      <c r="B181" s="1" t="s">
        <v>259</v>
      </c>
      <c r="C181" s="1" t="s">
        <v>24</v>
      </c>
      <c r="D181" s="1">
        <v>1</v>
      </c>
      <c r="E181" s="1">
        <v>0.31</v>
      </c>
      <c r="F181" s="1">
        <v>0.31</v>
      </c>
      <c r="G181" s="1">
        <v>0.31</v>
      </c>
      <c r="H181" s="1">
        <v>0.31</v>
      </c>
      <c r="I181" s="1">
        <v>0.31</v>
      </c>
      <c r="J181" s="1">
        <v>0.31</v>
      </c>
      <c r="K181" s="1">
        <v>0.31</v>
      </c>
      <c r="L181" s="1">
        <v>0.31</v>
      </c>
    </row>
    <row r="182" spans="1:12">
      <c r="A182" s="26" t="s">
        <v>284</v>
      </c>
      <c r="B182" s="1" t="s">
        <v>260</v>
      </c>
      <c r="C182" s="1" t="s">
        <v>24</v>
      </c>
      <c r="D182" s="1">
        <v>1</v>
      </c>
      <c r="E182" s="1">
        <v>0.31</v>
      </c>
      <c r="F182" s="1">
        <v>0.31</v>
      </c>
      <c r="G182" s="1">
        <v>0.31</v>
      </c>
      <c r="H182" s="1">
        <v>0.31</v>
      </c>
      <c r="I182" s="1">
        <v>0.31</v>
      </c>
      <c r="J182" s="1">
        <v>0.31</v>
      </c>
      <c r="K182" s="1">
        <v>0.31</v>
      </c>
      <c r="L182" s="1">
        <v>0.31</v>
      </c>
    </row>
    <row r="183" spans="1:12">
      <c r="A183" s="26" t="s">
        <v>284</v>
      </c>
      <c r="B183" s="1" t="s">
        <v>263</v>
      </c>
      <c r="C183" s="1" t="s">
        <v>213</v>
      </c>
      <c r="D183" s="1">
        <v>1</v>
      </c>
      <c r="E183" s="8">
        <v>1</v>
      </c>
      <c r="F183" s="8">
        <v>1</v>
      </c>
      <c r="G183" s="8">
        <v>1</v>
      </c>
      <c r="H183" s="8">
        <v>1</v>
      </c>
      <c r="I183" s="8">
        <v>1</v>
      </c>
      <c r="J183" s="8">
        <v>1</v>
      </c>
      <c r="K183" s="8">
        <v>1</v>
      </c>
      <c r="L183" s="8">
        <v>1</v>
      </c>
    </row>
    <row r="184" spans="1:12">
      <c r="A184" s="1" t="s">
        <v>284</v>
      </c>
      <c r="B184" s="1" t="s">
        <v>264</v>
      </c>
      <c r="C184" s="1" t="s">
        <v>213</v>
      </c>
      <c r="D184" s="1">
        <v>1</v>
      </c>
      <c r="E184" s="1">
        <v>1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</row>
    <row r="185" spans="1:12">
      <c r="A185" s="1" t="s">
        <v>284</v>
      </c>
      <c r="B185" s="1" t="s">
        <v>256</v>
      </c>
      <c r="C185" s="1" t="s">
        <v>24</v>
      </c>
      <c r="D185" s="1">
        <v>1</v>
      </c>
      <c r="E185" s="1">
        <v>1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</row>
    <row r="186" spans="1:12">
      <c r="A186" s="1" t="s">
        <v>284</v>
      </c>
      <c r="B186" s="1" t="s">
        <v>257</v>
      </c>
      <c r="C186" s="1" t="s">
        <v>24</v>
      </c>
      <c r="D186" s="1">
        <v>1</v>
      </c>
      <c r="E186" s="1">
        <v>1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</row>
    <row r="187" spans="1:12">
      <c r="A187" s="1" t="s">
        <v>284</v>
      </c>
      <c r="B187" s="1" t="s">
        <v>258</v>
      </c>
      <c r="C187" s="1" t="s">
        <v>24</v>
      </c>
      <c r="D187" s="1">
        <v>1</v>
      </c>
      <c r="E187" s="1">
        <v>1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</row>
    <row r="188" spans="1:12">
      <c r="A188" s="1" t="s">
        <v>284</v>
      </c>
      <c r="B188" s="1" t="s">
        <v>265</v>
      </c>
      <c r="C188" s="1" t="s">
        <v>145</v>
      </c>
      <c r="D188" s="1">
        <v>1</v>
      </c>
      <c r="E188" s="1">
        <v>1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</row>
    <row r="189" spans="1:12">
      <c r="A189" s="1" t="s">
        <v>284</v>
      </c>
      <c r="B189" s="1" t="s">
        <v>266</v>
      </c>
      <c r="C189" s="1" t="s">
        <v>145</v>
      </c>
      <c r="D189" s="1">
        <v>1</v>
      </c>
      <c r="E189" s="1">
        <v>1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</row>
    <row r="190" spans="1:12">
      <c r="A190" s="1" t="s">
        <v>284</v>
      </c>
      <c r="B190" s="1" t="s">
        <v>270</v>
      </c>
      <c r="C190" s="1" t="s">
        <v>271</v>
      </c>
      <c r="D190" s="1">
        <v>1</v>
      </c>
      <c r="E190" s="1">
        <v>1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</row>
    <row r="191" spans="1:12">
      <c r="A191" s="1" t="s">
        <v>284</v>
      </c>
      <c r="B191" s="1" t="s">
        <v>272</v>
      </c>
      <c r="C191" s="1" t="s">
        <v>276</v>
      </c>
      <c r="D191" s="1">
        <v>1</v>
      </c>
      <c r="E191" s="1">
        <v>1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</row>
    <row r="192" spans="1:12">
      <c r="A192" s="1" t="s">
        <v>284</v>
      </c>
      <c r="B192" s="1" t="s">
        <v>273</v>
      </c>
      <c r="C192" s="1" t="s">
        <v>212</v>
      </c>
      <c r="D192" s="1">
        <v>1</v>
      </c>
      <c r="E192" s="1">
        <v>1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</row>
    <row r="193" spans="1:12">
      <c r="A193" s="1" t="s">
        <v>284</v>
      </c>
      <c r="B193" s="1" t="s">
        <v>274</v>
      </c>
      <c r="C193" s="1" t="s">
        <v>275</v>
      </c>
      <c r="D193" s="1">
        <v>1</v>
      </c>
      <c r="E193" s="1">
        <v>1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</row>
    <row r="194" spans="1:12">
      <c r="A194" s="1" t="s">
        <v>284</v>
      </c>
      <c r="B194" s="1" t="s">
        <v>329</v>
      </c>
      <c r="C194" s="1" t="s">
        <v>328</v>
      </c>
      <c r="D194" s="1">
        <v>1</v>
      </c>
      <c r="E194" s="1">
        <v>1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</row>
    <row r="195" spans="1:12">
      <c r="A195" s="1" t="s">
        <v>284</v>
      </c>
      <c r="B195" s="1" t="s">
        <v>329</v>
      </c>
      <c r="C195" s="1" t="s">
        <v>328</v>
      </c>
      <c r="D195" s="1">
        <v>2</v>
      </c>
      <c r="E195" s="1">
        <v>1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  <c r="K195" s="1">
        <v>1</v>
      </c>
      <c r="L195" s="1">
        <v>1</v>
      </c>
    </row>
    <row r="196" spans="1:12">
      <c r="A196" s="1" t="s">
        <v>284</v>
      </c>
      <c r="B196" s="1" t="s">
        <v>330</v>
      </c>
      <c r="C196" s="1" t="s">
        <v>146</v>
      </c>
      <c r="D196" s="1">
        <v>1</v>
      </c>
      <c r="E196" s="1">
        <v>1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  <c r="K196" s="1">
        <v>1</v>
      </c>
      <c r="L196" s="1">
        <v>1</v>
      </c>
    </row>
    <row r="197" spans="1:12">
      <c r="A197" s="1" t="s">
        <v>284</v>
      </c>
      <c r="B197" s="1" t="s">
        <v>331</v>
      </c>
      <c r="C197" s="1" t="s">
        <v>146</v>
      </c>
      <c r="D197" s="1">
        <v>1</v>
      </c>
      <c r="E197" s="1">
        <v>1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</row>
    <row r="198" spans="1:12">
      <c r="A198" s="1" t="s">
        <v>284</v>
      </c>
      <c r="B198" s="1" t="s">
        <v>332</v>
      </c>
      <c r="C198" s="1" t="s">
        <v>146</v>
      </c>
      <c r="D198" s="1">
        <v>1</v>
      </c>
      <c r="E198" s="1">
        <v>1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>
        <v>1</v>
      </c>
    </row>
    <row r="199" spans="1:12">
      <c r="A199" s="1" t="s">
        <v>284</v>
      </c>
      <c r="B199" s="1" t="s">
        <v>333</v>
      </c>
      <c r="C199" s="1" t="s">
        <v>146</v>
      </c>
      <c r="D199" s="1">
        <v>1</v>
      </c>
      <c r="E199" s="1">
        <v>1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</row>
    <row r="200" spans="1:12">
      <c r="A200" s="1" t="s">
        <v>284</v>
      </c>
      <c r="B200" s="1" t="s">
        <v>334</v>
      </c>
      <c r="C200" s="1" t="s">
        <v>146</v>
      </c>
      <c r="D200" s="1">
        <v>1</v>
      </c>
      <c r="E200" s="1">
        <v>1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</row>
    <row r="201" spans="1:12">
      <c r="A201" s="9" t="s">
        <v>284</v>
      </c>
      <c r="B201" s="24" t="s">
        <v>335</v>
      </c>
      <c r="C201" s="11" t="s">
        <v>203</v>
      </c>
      <c r="D201" s="11">
        <v>1</v>
      </c>
      <c r="E201" s="11">
        <v>1</v>
      </c>
      <c r="F201" s="11">
        <v>1</v>
      </c>
      <c r="G201" s="11">
        <v>1</v>
      </c>
      <c r="H201" s="11">
        <v>1</v>
      </c>
      <c r="I201" s="11">
        <v>1</v>
      </c>
      <c r="J201" s="11">
        <v>1</v>
      </c>
      <c r="K201" s="11">
        <v>1</v>
      </c>
      <c r="L201" s="11">
        <v>1</v>
      </c>
    </row>
    <row r="202" spans="1:12">
      <c r="A202" s="9" t="s">
        <v>284</v>
      </c>
      <c r="B202" s="24" t="s">
        <v>339</v>
      </c>
      <c r="C202" s="11" t="s">
        <v>145</v>
      </c>
      <c r="D202" s="11">
        <v>4</v>
      </c>
      <c r="E202" s="11">
        <v>1</v>
      </c>
      <c r="F202" s="11">
        <v>1</v>
      </c>
      <c r="G202" s="11">
        <v>1</v>
      </c>
      <c r="H202" s="11">
        <v>1</v>
      </c>
      <c r="I202" s="11">
        <v>1</v>
      </c>
      <c r="J202" s="11">
        <v>1</v>
      </c>
      <c r="K202" s="11">
        <v>1</v>
      </c>
      <c r="L202" s="11">
        <v>1</v>
      </c>
    </row>
    <row r="203" spans="1:12">
      <c r="A203" s="9" t="s">
        <v>284</v>
      </c>
      <c r="B203" s="24" t="s">
        <v>339</v>
      </c>
      <c r="C203" s="11" t="s">
        <v>204</v>
      </c>
      <c r="D203" s="11">
        <v>3</v>
      </c>
      <c r="E203" s="11">
        <v>1</v>
      </c>
      <c r="F203" s="11">
        <v>1</v>
      </c>
      <c r="G203" s="11">
        <v>1</v>
      </c>
      <c r="H203" s="11">
        <v>1</v>
      </c>
      <c r="I203" s="11">
        <v>1</v>
      </c>
      <c r="J203" s="11">
        <v>1</v>
      </c>
      <c r="K203" s="11">
        <v>1</v>
      </c>
      <c r="L203" s="11">
        <v>1</v>
      </c>
    </row>
    <row r="204" spans="1:12">
      <c r="A204" s="9" t="s">
        <v>284</v>
      </c>
      <c r="B204" s="24" t="s">
        <v>339</v>
      </c>
      <c r="C204" s="11" t="s">
        <v>203</v>
      </c>
      <c r="D204" s="11">
        <v>2</v>
      </c>
      <c r="E204" s="11">
        <v>1</v>
      </c>
      <c r="F204" s="11">
        <v>1</v>
      </c>
      <c r="G204" s="11">
        <v>1</v>
      </c>
      <c r="H204" s="11">
        <v>1</v>
      </c>
      <c r="I204" s="11">
        <v>1</v>
      </c>
      <c r="J204" s="11">
        <v>1</v>
      </c>
      <c r="K204" s="11">
        <v>1</v>
      </c>
      <c r="L204" s="11">
        <v>1</v>
      </c>
    </row>
    <row r="205" spans="1:12">
      <c r="A205" s="9" t="s">
        <v>284</v>
      </c>
      <c r="B205" s="24" t="s">
        <v>339</v>
      </c>
      <c r="C205" s="11" t="s">
        <v>202</v>
      </c>
      <c r="D205" s="11">
        <v>1</v>
      </c>
      <c r="E205" s="11">
        <v>1</v>
      </c>
      <c r="F205" s="11">
        <v>1</v>
      </c>
      <c r="G205" s="11">
        <v>1</v>
      </c>
      <c r="H205" s="11">
        <v>1</v>
      </c>
      <c r="I205" s="11">
        <v>1</v>
      </c>
      <c r="J205" s="11">
        <v>1</v>
      </c>
      <c r="K205" s="11">
        <v>1</v>
      </c>
      <c r="L205" s="11">
        <v>1</v>
      </c>
    </row>
    <row r="206" spans="1:12">
      <c r="A206" s="9" t="s">
        <v>284</v>
      </c>
      <c r="B206" s="24" t="s">
        <v>340</v>
      </c>
      <c r="C206" s="11" t="s">
        <v>343</v>
      </c>
      <c r="D206" s="11">
        <v>4</v>
      </c>
      <c r="E206" s="11">
        <v>1</v>
      </c>
      <c r="F206" s="11">
        <v>1</v>
      </c>
      <c r="G206" s="11">
        <v>1</v>
      </c>
      <c r="H206" s="11">
        <v>1</v>
      </c>
      <c r="I206" s="11">
        <v>1</v>
      </c>
      <c r="J206" s="11">
        <v>1</v>
      </c>
      <c r="K206" s="11">
        <v>1</v>
      </c>
      <c r="L206" s="11">
        <v>1</v>
      </c>
    </row>
    <row r="207" spans="1:12">
      <c r="A207" s="9" t="s">
        <v>284</v>
      </c>
      <c r="B207" s="24" t="s">
        <v>340</v>
      </c>
      <c r="C207" s="11" t="s">
        <v>344</v>
      </c>
      <c r="D207" s="11">
        <v>3</v>
      </c>
      <c r="E207" s="11">
        <v>1</v>
      </c>
      <c r="F207" s="11">
        <v>1</v>
      </c>
      <c r="G207" s="11">
        <v>1</v>
      </c>
      <c r="H207" s="11">
        <v>1</v>
      </c>
      <c r="I207" s="11">
        <v>1</v>
      </c>
      <c r="J207" s="11">
        <v>1</v>
      </c>
      <c r="K207" s="11">
        <v>1</v>
      </c>
      <c r="L207" s="11">
        <v>1</v>
      </c>
    </row>
    <row r="208" spans="1:12">
      <c r="A208" s="9" t="s">
        <v>284</v>
      </c>
      <c r="B208" s="24" t="s">
        <v>340</v>
      </c>
      <c r="C208" s="11" t="s">
        <v>342</v>
      </c>
      <c r="D208" s="11">
        <v>2</v>
      </c>
      <c r="E208" s="11">
        <v>1</v>
      </c>
      <c r="F208" s="11">
        <v>1</v>
      </c>
      <c r="G208" s="11">
        <v>1</v>
      </c>
      <c r="H208" s="11">
        <v>1</v>
      </c>
      <c r="I208" s="11">
        <v>1</v>
      </c>
      <c r="J208" s="11">
        <v>1</v>
      </c>
      <c r="K208" s="11">
        <v>1</v>
      </c>
      <c r="L208" s="11">
        <v>1</v>
      </c>
    </row>
    <row r="209" spans="1:12">
      <c r="A209" s="9" t="s">
        <v>284</v>
      </c>
      <c r="B209" s="24" t="s">
        <v>340</v>
      </c>
      <c r="C209" s="1" t="s">
        <v>341</v>
      </c>
      <c r="D209" s="11">
        <v>1</v>
      </c>
      <c r="E209" s="1">
        <v>1</v>
      </c>
      <c r="F209" s="1">
        <v>1</v>
      </c>
      <c r="G209" s="1">
        <v>1</v>
      </c>
      <c r="H209" s="1">
        <v>1</v>
      </c>
      <c r="I209" s="1">
        <v>1</v>
      </c>
      <c r="J209" s="1">
        <v>1</v>
      </c>
      <c r="K209" s="1">
        <v>1</v>
      </c>
      <c r="L209" s="1">
        <v>1</v>
      </c>
    </row>
    <row r="210" spans="1:12">
      <c r="A210" s="9" t="s">
        <v>284</v>
      </c>
      <c r="B210" s="24" t="s">
        <v>345</v>
      </c>
      <c r="C210" s="1" t="s">
        <v>150</v>
      </c>
      <c r="D210" s="11">
        <v>1</v>
      </c>
      <c r="E210" s="1">
        <v>1</v>
      </c>
      <c r="F210" s="1">
        <v>1</v>
      </c>
      <c r="G210" s="1">
        <v>1</v>
      </c>
      <c r="H210" s="1">
        <v>1</v>
      </c>
      <c r="I210" s="1">
        <v>1</v>
      </c>
      <c r="J210" s="1">
        <v>1</v>
      </c>
      <c r="K210" s="1">
        <v>1</v>
      </c>
      <c r="L210" s="1">
        <v>1</v>
      </c>
    </row>
    <row r="211" spans="1:12">
      <c r="A211" s="9" t="s">
        <v>284</v>
      </c>
      <c r="B211" s="24" t="s">
        <v>346</v>
      </c>
      <c r="C211" s="1" t="s">
        <v>150</v>
      </c>
      <c r="D211" s="11">
        <v>1</v>
      </c>
      <c r="E211" s="1">
        <v>1</v>
      </c>
      <c r="F211" s="1">
        <v>1</v>
      </c>
      <c r="G211" s="1">
        <v>1</v>
      </c>
      <c r="H211" s="1">
        <v>1</v>
      </c>
      <c r="I211" s="1">
        <v>1</v>
      </c>
      <c r="J211" s="1">
        <v>1</v>
      </c>
      <c r="K211" s="1">
        <v>1</v>
      </c>
      <c r="L211" s="1">
        <v>1</v>
      </c>
    </row>
    <row r="212" spans="1:12">
      <c r="A212" s="1" t="s">
        <v>284</v>
      </c>
      <c r="B212" s="1" t="s">
        <v>347</v>
      </c>
      <c r="C212" s="11" t="s">
        <v>151</v>
      </c>
      <c r="D212" s="11">
        <v>1</v>
      </c>
      <c r="E212" s="1">
        <v>1</v>
      </c>
      <c r="F212" s="1">
        <v>1</v>
      </c>
      <c r="G212" s="1">
        <v>1</v>
      </c>
      <c r="H212" s="1">
        <v>1</v>
      </c>
      <c r="I212" s="1">
        <v>1</v>
      </c>
      <c r="J212" s="1">
        <v>1</v>
      </c>
      <c r="K212" s="1">
        <v>1</v>
      </c>
      <c r="L212" s="1">
        <v>1</v>
      </c>
    </row>
    <row r="213" spans="1:12">
      <c r="A213" s="1" t="s">
        <v>284</v>
      </c>
      <c r="B213" s="1" t="s">
        <v>338</v>
      </c>
      <c r="C213" s="1" t="s">
        <v>341</v>
      </c>
      <c r="D213" s="1">
        <v>1</v>
      </c>
      <c r="E213" s="1">
        <v>1</v>
      </c>
      <c r="F213" s="1">
        <v>1</v>
      </c>
      <c r="G213" s="1">
        <v>1</v>
      </c>
      <c r="H213" s="1">
        <v>1</v>
      </c>
      <c r="I213" s="1">
        <v>1</v>
      </c>
      <c r="J213" s="1">
        <v>1</v>
      </c>
      <c r="K213" s="1">
        <v>1</v>
      </c>
      <c r="L213" s="1">
        <v>1</v>
      </c>
    </row>
    <row r="214" spans="1:12">
      <c r="A214" s="1" t="s">
        <v>284</v>
      </c>
      <c r="B214" s="1" t="s">
        <v>198</v>
      </c>
      <c r="C214" s="1" t="s">
        <v>201</v>
      </c>
      <c r="D214" s="1">
        <v>1</v>
      </c>
      <c r="E214" s="1">
        <v>0.25666666666666665</v>
      </c>
      <c r="F214" s="1">
        <v>0.24062500000000001</v>
      </c>
      <c r="G214" s="1">
        <v>0.2369230769230769</v>
      </c>
      <c r="H214" s="1">
        <v>0.23333333333333334</v>
      </c>
      <c r="I214" s="1">
        <v>0.2298507462686567</v>
      </c>
      <c r="J214" s="1">
        <v>0.22647058823529409</v>
      </c>
      <c r="K214" s="1">
        <v>0.22318840579710147</v>
      </c>
      <c r="L214" s="1">
        <v>0.22</v>
      </c>
    </row>
    <row r="215" spans="1:12">
      <c r="A215" s="1" t="s">
        <v>284</v>
      </c>
      <c r="B215" s="1" t="s">
        <v>199</v>
      </c>
      <c r="C215" s="1" t="s">
        <v>201</v>
      </c>
      <c r="D215" s="1">
        <v>1</v>
      </c>
      <c r="E215" s="1">
        <v>0.22647058823529409</v>
      </c>
      <c r="F215" s="1">
        <v>0.22</v>
      </c>
      <c r="G215" s="1">
        <v>0.21690140845070424</v>
      </c>
      <c r="H215" s="1">
        <v>0.12833333333333333</v>
      </c>
      <c r="I215" s="1">
        <v>0.20810810810810809</v>
      </c>
      <c r="J215" s="1">
        <v>0.20263157894736844</v>
      </c>
      <c r="K215" s="1">
        <v>0.20263157894736844</v>
      </c>
      <c r="L215" s="1">
        <v>0.20263157894736844</v>
      </c>
    </row>
    <row r="216" spans="1:12">
      <c r="A216" s="1" t="s">
        <v>284</v>
      </c>
      <c r="B216" s="1" t="s">
        <v>254</v>
      </c>
      <c r="C216" s="1" t="s">
        <v>201</v>
      </c>
      <c r="D216" s="1">
        <v>1</v>
      </c>
      <c r="E216" s="1">
        <v>2.5683257918552038E-2</v>
      </c>
      <c r="F216" s="1">
        <v>2.5349709114414996E-2</v>
      </c>
      <c r="G216" s="1">
        <v>2.5016160310277959E-2</v>
      </c>
      <c r="H216" s="1">
        <v>2.4682611506140918E-2</v>
      </c>
      <c r="I216" s="1">
        <v>2.4349062702003876E-2</v>
      </c>
      <c r="J216" s="1">
        <v>2.4015513897866839E-2</v>
      </c>
      <c r="K216" s="1">
        <v>2.3681965093729801E-2</v>
      </c>
      <c r="L216" s="1">
        <v>2.334841628959276E-2</v>
      </c>
    </row>
    <row r="217" spans="1:12">
      <c r="A217" s="1" t="s">
        <v>284</v>
      </c>
      <c r="B217" s="1" t="s">
        <v>254</v>
      </c>
      <c r="C217" s="1" t="s">
        <v>201</v>
      </c>
      <c r="D217" s="1">
        <v>2</v>
      </c>
      <c r="E217" s="1">
        <v>2.087854883273936E-2</v>
      </c>
      <c r="F217" s="1">
        <v>2.0607398847898587E-2</v>
      </c>
      <c r="G217" s="1">
        <v>2.0336248863057817E-2</v>
      </c>
      <c r="H217" s="1">
        <v>2.0065098878217044E-2</v>
      </c>
      <c r="I217" s="1">
        <v>1.9793948893376274E-2</v>
      </c>
      <c r="J217" s="1">
        <v>1.9522798908535505E-2</v>
      </c>
      <c r="K217" s="1">
        <v>1.9251648923694731E-2</v>
      </c>
      <c r="L217" s="1">
        <v>1.8980498938853962E-2</v>
      </c>
    </row>
    <row r="218" spans="1:12">
      <c r="A218" s="1" t="s">
        <v>284</v>
      </c>
      <c r="B218" s="1" t="s">
        <v>254</v>
      </c>
      <c r="C218" s="1" t="s">
        <v>201</v>
      </c>
      <c r="D218" s="1">
        <v>3</v>
      </c>
      <c r="E218" s="1">
        <v>1.8182837464461619E-2</v>
      </c>
      <c r="F218" s="1">
        <v>1.7946696718169911E-2</v>
      </c>
      <c r="G218" s="1">
        <v>1.7710555971878199E-2</v>
      </c>
      <c r="H218" s="1">
        <v>1.7474415225586487E-2</v>
      </c>
      <c r="I218" s="1">
        <v>1.7238274479294779E-2</v>
      </c>
      <c r="J218" s="1">
        <v>1.7002133733003071E-2</v>
      </c>
      <c r="K218" s="1">
        <v>1.6765992986711359E-2</v>
      </c>
      <c r="L218" s="1">
        <v>1.6529852240419651E-2</v>
      </c>
    </row>
    <row r="219" spans="1:12">
      <c r="A219" s="1" t="s">
        <v>284</v>
      </c>
      <c r="B219" s="1" t="s">
        <v>254</v>
      </c>
      <c r="C219" s="1" t="s">
        <v>201</v>
      </c>
      <c r="D219" s="1">
        <v>4</v>
      </c>
      <c r="E219" s="1">
        <v>1.8182837464461619E-2</v>
      </c>
      <c r="F219" s="1">
        <v>1.7946696718169911E-2</v>
      </c>
      <c r="G219" s="1">
        <v>1.7710555971878199E-2</v>
      </c>
      <c r="H219" s="1">
        <v>1.7474415225586487E-2</v>
      </c>
      <c r="I219" s="1">
        <v>1.7238274479294779E-2</v>
      </c>
      <c r="J219" s="1">
        <v>1.7002133733003071E-2</v>
      </c>
      <c r="K219" s="1">
        <v>1.6765992986711359E-2</v>
      </c>
      <c r="L219" s="1">
        <v>1.6529852240419651E-2</v>
      </c>
    </row>
    <row r="220" spans="1:12">
      <c r="A220" s="1" t="s">
        <v>284</v>
      </c>
      <c r="B220" s="1" t="s">
        <v>255</v>
      </c>
      <c r="C220" s="1" t="s">
        <v>201</v>
      </c>
      <c r="D220" s="1">
        <v>1</v>
      </c>
      <c r="E220" s="1">
        <v>1.6622222222222219E-2</v>
      </c>
      <c r="F220" s="1">
        <v>1.6226455026455023E-2</v>
      </c>
      <c r="G220" s="1">
        <v>1.5830687830687827E-2</v>
      </c>
      <c r="H220" s="1">
        <v>1.5434920634920631E-2</v>
      </c>
      <c r="I220" s="1">
        <v>1.5039153439153435E-2</v>
      </c>
      <c r="J220" s="1">
        <v>1.464338624338624E-2</v>
      </c>
      <c r="K220" s="1">
        <v>1.4247619047619044E-2</v>
      </c>
      <c r="L220" s="1">
        <v>1.385185185185185E-2</v>
      </c>
    </row>
    <row r="221" spans="1:12">
      <c r="A221" s="1" t="s">
        <v>284</v>
      </c>
      <c r="B221" s="1" t="s">
        <v>267</v>
      </c>
      <c r="C221" s="1" t="s">
        <v>201</v>
      </c>
      <c r="D221" s="1">
        <v>1</v>
      </c>
      <c r="E221" s="1">
        <v>0.11846153846153845</v>
      </c>
      <c r="F221" s="1">
        <v>0.10365384615384614</v>
      </c>
      <c r="G221" s="1">
        <v>9.8717948717948714E-2</v>
      </c>
      <c r="H221" s="1">
        <v>9.7483974358974351E-2</v>
      </c>
      <c r="I221" s="1">
        <v>9.6866987179487177E-2</v>
      </c>
      <c r="J221" s="1">
        <v>9.6558493589743583E-2</v>
      </c>
      <c r="K221" s="1">
        <v>9.6404246794871792E-2</v>
      </c>
      <c r="L221" s="1">
        <v>9.6250000000000002E-2</v>
      </c>
    </row>
    <row r="222" spans="1:12">
      <c r="A222" s="1" t="s">
        <v>284</v>
      </c>
      <c r="B222" s="1" t="s">
        <v>261</v>
      </c>
      <c r="C222" s="1" t="s">
        <v>201</v>
      </c>
      <c r="D222" s="1">
        <v>1</v>
      </c>
      <c r="E222" s="1">
        <v>1.8919999999999999E-2</v>
      </c>
      <c r="F222" s="1">
        <v>1.8919999999999999E-2</v>
      </c>
      <c r="G222" s="1">
        <v>1.8919999999999999E-2</v>
      </c>
      <c r="H222" s="1">
        <v>1.8919999999999999E-2</v>
      </c>
      <c r="I222" s="1">
        <v>1.8919999999999999E-2</v>
      </c>
      <c r="J222" s="1">
        <v>1.8919999999999999E-2</v>
      </c>
      <c r="K222" s="1">
        <v>1.8919999999999999E-2</v>
      </c>
      <c r="L222" s="1">
        <v>1.8919999999999999E-2</v>
      </c>
    </row>
    <row r="223" spans="1:12">
      <c r="A223" s="1" t="s">
        <v>284</v>
      </c>
      <c r="B223" s="1" t="s">
        <v>262</v>
      </c>
      <c r="C223" s="1" t="s">
        <v>201</v>
      </c>
      <c r="D223" s="1">
        <v>1</v>
      </c>
      <c r="E223" s="1">
        <v>2.0200000000000003E-2</v>
      </c>
      <c r="F223" s="1">
        <v>2.0200000000000003E-2</v>
      </c>
      <c r="G223" s="1">
        <v>2.0200000000000003E-2</v>
      </c>
      <c r="H223" s="1">
        <v>2.0200000000000003E-2</v>
      </c>
      <c r="I223" s="1">
        <v>2.0200000000000003E-2</v>
      </c>
      <c r="J223" s="1">
        <v>2.0200000000000003E-2</v>
      </c>
      <c r="K223" s="1">
        <v>2.0200000000000003E-2</v>
      </c>
      <c r="L223" s="1">
        <v>2.0200000000000003E-2</v>
      </c>
    </row>
    <row r="224" spans="1:12">
      <c r="A224" s="1" t="s">
        <v>284</v>
      </c>
      <c r="B224" s="1" t="s">
        <v>268</v>
      </c>
      <c r="C224" s="1" t="s">
        <v>201</v>
      </c>
      <c r="D224" s="1">
        <v>1</v>
      </c>
      <c r="E224" s="1">
        <v>0.11846153846153845</v>
      </c>
      <c r="F224" s="1">
        <v>0.10365384615384614</v>
      </c>
      <c r="G224" s="1">
        <v>9.8717948717948714E-2</v>
      </c>
      <c r="H224" s="1">
        <v>9.7483974358974351E-2</v>
      </c>
      <c r="I224" s="1">
        <v>9.6866987179487177E-2</v>
      </c>
      <c r="J224" s="1">
        <v>9.6558493589743583E-2</v>
      </c>
      <c r="K224" s="1">
        <v>9.6404246794871792E-2</v>
      </c>
      <c r="L224" s="1">
        <v>9.6250000000000002E-2</v>
      </c>
    </row>
    <row r="225" spans="1:17">
      <c r="A225" s="1" t="s">
        <v>284</v>
      </c>
      <c r="B225" s="1" t="s">
        <v>259</v>
      </c>
      <c r="C225" s="1" t="s">
        <v>201</v>
      </c>
      <c r="D225" s="1">
        <v>1</v>
      </c>
      <c r="E225" s="1">
        <v>1.8919999999999999E-2</v>
      </c>
      <c r="F225" s="1">
        <v>1.8919999999999999E-2</v>
      </c>
      <c r="G225" s="1">
        <v>1.8919999999999999E-2</v>
      </c>
      <c r="H225" s="1">
        <v>1.8919999999999999E-2</v>
      </c>
      <c r="I225" s="1">
        <v>1.8919999999999999E-2</v>
      </c>
      <c r="J225" s="1">
        <v>1.8919999999999999E-2</v>
      </c>
      <c r="K225" s="1">
        <v>1.8919999999999999E-2</v>
      </c>
      <c r="L225" s="1">
        <v>1.8919999999999999E-2</v>
      </c>
    </row>
    <row r="226" spans="1:17">
      <c r="A226" s="1" t="s">
        <v>284</v>
      </c>
      <c r="B226" s="1" t="s">
        <v>260</v>
      </c>
      <c r="C226" s="1" t="s">
        <v>201</v>
      </c>
      <c r="D226" s="1">
        <v>1</v>
      </c>
      <c r="E226" s="1">
        <v>2.0200000000000003E-2</v>
      </c>
      <c r="F226" s="1">
        <v>2.0200000000000003E-2</v>
      </c>
      <c r="G226" s="1">
        <v>2.0200000000000003E-2</v>
      </c>
      <c r="H226" s="1">
        <v>2.0200000000000003E-2</v>
      </c>
      <c r="I226" s="1">
        <v>2.0200000000000003E-2</v>
      </c>
      <c r="J226" s="1">
        <v>2.0200000000000003E-2</v>
      </c>
      <c r="K226" s="1">
        <v>2.0200000000000003E-2</v>
      </c>
      <c r="L226" s="1">
        <v>2.0200000000000003E-2</v>
      </c>
    </row>
    <row r="227" spans="1:17">
      <c r="A227" s="1" t="s">
        <v>284</v>
      </c>
      <c r="B227" s="1" t="s">
        <v>263</v>
      </c>
      <c r="C227" s="1" t="s">
        <v>201</v>
      </c>
      <c r="D227" s="1">
        <v>1</v>
      </c>
      <c r="E227" s="1">
        <v>7.3978021978021967E-3</v>
      </c>
      <c r="F227" s="1">
        <v>7.3978021978021967E-3</v>
      </c>
      <c r="G227" s="1">
        <v>7.3978021978021967E-3</v>
      </c>
      <c r="H227" s="1">
        <v>7.3978021978021967E-3</v>
      </c>
      <c r="I227" s="1">
        <v>7.3978021978021967E-3</v>
      </c>
      <c r="J227" s="1">
        <v>7.3978021978021967E-3</v>
      </c>
      <c r="K227" s="1">
        <v>7.3978021978021967E-3</v>
      </c>
      <c r="L227" s="1">
        <v>7.3978021978021967E-3</v>
      </c>
    </row>
    <row r="228" spans="1:17">
      <c r="A228" s="1" t="s">
        <v>284</v>
      </c>
      <c r="B228" s="1" t="s">
        <v>264</v>
      </c>
      <c r="C228" s="1" t="s">
        <v>201</v>
      </c>
      <c r="D228" s="1">
        <v>1</v>
      </c>
      <c r="E228" s="1">
        <v>1.6078534798534796E-2</v>
      </c>
      <c r="F228" s="1">
        <v>1.6078534798534796E-2</v>
      </c>
      <c r="G228" s="1">
        <v>1.6078534798534796E-2</v>
      </c>
      <c r="H228" s="1">
        <v>1.6078534798534796E-2</v>
      </c>
      <c r="I228" s="1">
        <v>1.6078534798534796E-2</v>
      </c>
      <c r="J228" s="1">
        <v>1.6078534798534796E-2</v>
      </c>
      <c r="K228" s="1">
        <v>1.6078534798534796E-2</v>
      </c>
      <c r="L228" s="1">
        <v>1.6078534798534796E-2</v>
      </c>
    </row>
    <row r="229" spans="1:17">
      <c r="A229" s="1" t="s">
        <v>284</v>
      </c>
      <c r="B229" s="1" t="s">
        <v>256</v>
      </c>
      <c r="C229" s="1" t="s">
        <v>201</v>
      </c>
      <c r="D229" s="1">
        <v>1</v>
      </c>
      <c r="E229" s="1">
        <v>2.9010666666666667E-2</v>
      </c>
      <c r="F229" s="1">
        <v>2.8523092436974783E-2</v>
      </c>
      <c r="G229" s="1">
        <v>2.8035518207282912E-2</v>
      </c>
      <c r="H229" s="1">
        <v>2.7547943977591031E-2</v>
      </c>
      <c r="I229" s="1">
        <v>2.7060369747899153E-2</v>
      </c>
      <c r="J229" s="1">
        <v>2.6572795518207279E-2</v>
      </c>
      <c r="K229" s="1">
        <v>2.6085221288515398E-2</v>
      </c>
      <c r="L229" s="1">
        <v>2.5597647058823524E-2</v>
      </c>
    </row>
    <row r="230" spans="1:17">
      <c r="A230" s="1" t="s">
        <v>284</v>
      </c>
      <c r="B230" s="1" t="s">
        <v>257</v>
      </c>
      <c r="C230" s="1" t="s">
        <v>201</v>
      </c>
      <c r="D230" s="1">
        <v>1</v>
      </c>
      <c r="E230" s="1">
        <v>2.8857142857142856E-2</v>
      </c>
      <c r="F230" s="1">
        <v>2.6933333333333337E-2</v>
      </c>
      <c r="G230" s="1">
        <v>2.6347826086956523E-2</v>
      </c>
      <c r="H230" s="1">
        <v>2.5787234042553193E-2</v>
      </c>
      <c r="I230" s="1">
        <v>2.5787234042553193E-2</v>
      </c>
      <c r="J230" s="1">
        <v>2.5787234042553193E-2</v>
      </c>
      <c r="K230" s="1">
        <v>2.5787234042553193E-2</v>
      </c>
      <c r="L230" s="1">
        <v>2.5787234042553193E-2</v>
      </c>
    </row>
    <row r="231" spans="1:17">
      <c r="A231" s="1" t="s">
        <v>284</v>
      </c>
      <c r="B231" s="1" t="s">
        <v>258</v>
      </c>
      <c r="C231" s="1" t="s">
        <v>201</v>
      </c>
      <c r="D231" s="1">
        <v>1</v>
      </c>
      <c r="E231" s="1">
        <v>1.9572413793103451E-2</v>
      </c>
      <c r="F231" s="1">
        <v>1.8919999999999999E-2</v>
      </c>
      <c r="G231" s="1">
        <v>1.860983606557377E-2</v>
      </c>
      <c r="H231" s="1">
        <v>1.8309677419354839E-2</v>
      </c>
      <c r="I231" s="1">
        <v>1.8309677419354839E-2</v>
      </c>
      <c r="J231" s="1">
        <v>1.8309677419354839E-2</v>
      </c>
      <c r="K231" s="1">
        <v>1.8163200000000001E-2</v>
      </c>
      <c r="L231" s="1">
        <v>1.8019047619047619E-2</v>
      </c>
    </row>
    <row r="232" spans="1:17">
      <c r="A232" s="26" t="s">
        <v>284</v>
      </c>
      <c r="B232" s="1" t="s">
        <v>266</v>
      </c>
      <c r="C232" s="1" t="s">
        <v>201</v>
      </c>
      <c r="D232" s="11">
        <v>1</v>
      </c>
      <c r="E232" s="11">
        <v>1.1219999999999999E-2</v>
      </c>
      <c r="F232" s="11">
        <v>1.015142857142857E-2</v>
      </c>
      <c r="G232" s="11">
        <v>9.7952380952380947E-3</v>
      </c>
      <c r="H232" s="11">
        <v>9.7061904761904759E-3</v>
      </c>
      <c r="I232" s="11">
        <v>9.6616666666666656E-3</v>
      </c>
      <c r="J232" s="11">
        <v>9.6394047619047622E-3</v>
      </c>
      <c r="K232" s="11">
        <v>9.6282738095238088E-3</v>
      </c>
      <c r="L232" s="11">
        <v>9.6171428571428571E-3</v>
      </c>
      <c r="M232" s="8"/>
      <c r="N232" s="11"/>
    </row>
    <row r="233" spans="1:17">
      <c r="A233" s="9" t="s">
        <v>284</v>
      </c>
      <c r="B233" s="24" t="s">
        <v>361</v>
      </c>
      <c r="C233" s="11" t="s">
        <v>24</v>
      </c>
      <c r="D233" s="1">
        <v>1</v>
      </c>
      <c r="E233" s="1">
        <v>1</v>
      </c>
      <c r="F233" s="1">
        <v>1</v>
      </c>
      <c r="G233" s="1">
        <v>1</v>
      </c>
      <c r="H233" s="1">
        <v>1</v>
      </c>
      <c r="I233" s="1">
        <v>1</v>
      </c>
      <c r="J233" s="1">
        <v>1</v>
      </c>
      <c r="K233" s="1">
        <v>1</v>
      </c>
      <c r="L233" s="1">
        <v>1</v>
      </c>
    </row>
    <row r="234" spans="1:17">
      <c r="A234" s="9" t="s">
        <v>284</v>
      </c>
      <c r="B234" s="24" t="s">
        <v>363</v>
      </c>
      <c r="C234" s="11" t="s">
        <v>362</v>
      </c>
      <c r="D234" s="1">
        <v>1</v>
      </c>
      <c r="E234" s="1">
        <v>1</v>
      </c>
      <c r="F234" s="1">
        <v>1</v>
      </c>
      <c r="G234" s="1">
        <v>1</v>
      </c>
      <c r="H234" s="1">
        <v>1</v>
      </c>
      <c r="I234" s="1">
        <v>1</v>
      </c>
      <c r="J234" s="1">
        <v>1</v>
      </c>
      <c r="K234" s="1">
        <v>1</v>
      </c>
      <c r="L234" s="1">
        <v>1</v>
      </c>
    </row>
    <row r="235" spans="1:17">
      <c r="A235" s="11" t="s">
        <v>284</v>
      </c>
      <c r="B235" s="1" t="s">
        <v>364</v>
      </c>
      <c r="C235" s="11" t="s">
        <v>362</v>
      </c>
      <c r="D235" s="1">
        <v>1</v>
      </c>
      <c r="E235" s="1">
        <v>1</v>
      </c>
      <c r="F235" s="1">
        <v>1</v>
      </c>
      <c r="G235" s="1">
        <v>1</v>
      </c>
      <c r="H235" s="1">
        <v>1</v>
      </c>
      <c r="I235" s="1">
        <v>1</v>
      </c>
      <c r="J235" s="1">
        <v>1</v>
      </c>
      <c r="K235" s="1">
        <v>1</v>
      </c>
      <c r="L235" s="1">
        <v>1</v>
      </c>
    </row>
    <row r="236" spans="1:17">
      <c r="A236" s="1" t="s">
        <v>284</v>
      </c>
      <c r="B236" s="1" t="s">
        <v>365</v>
      </c>
      <c r="C236" s="1" t="s">
        <v>145</v>
      </c>
      <c r="D236" s="1">
        <v>1</v>
      </c>
      <c r="E236" s="1">
        <v>1</v>
      </c>
      <c r="F236" s="1">
        <v>1</v>
      </c>
      <c r="G236" s="1">
        <v>1</v>
      </c>
      <c r="H236" s="1">
        <v>1</v>
      </c>
      <c r="I236" s="1">
        <v>1</v>
      </c>
      <c r="J236" s="1">
        <v>1</v>
      </c>
      <c r="K236" s="1">
        <v>1</v>
      </c>
      <c r="L236" s="1">
        <v>1</v>
      </c>
    </row>
    <row r="237" spans="1:17">
      <c r="A237" s="1" t="s">
        <v>284</v>
      </c>
      <c r="B237" s="1" t="s">
        <v>367</v>
      </c>
      <c r="C237" s="1" t="s">
        <v>368</v>
      </c>
      <c r="D237" s="1">
        <v>1</v>
      </c>
      <c r="E237" s="1">
        <v>1</v>
      </c>
      <c r="F237" s="1">
        <v>1</v>
      </c>
      <c r="G237" s="1">
        <v>1</v>
      </c>
      <c r="H237" s="1">
        <v>1</v>
      </c>
      <c r="I237" s="1">
        <v>1</v>
      </c>
      <c r="J237" s="1">
        <v>1</v>
      </c>
      <c r="K237" s="1">
        <v>1</v>
      </c>
      <c r="L237" s="1">
        <v>1</v>
      </c>
    </row>
    <row r="238" spans="1:17">
      <c r="A238" s="1" t="s">
        <v>284</v>
      </c>
      <c r="B238" s="1" t="s">
        <v>367</v>
      </c>
      <c r="C238" s="1" t="s">
        <v>369</v>
      </c>
      <c r="D238" s="1">
        <v>2</v>
      </c>
      <c r="E238" s="1">
        <v>1</v>
      </c>
      <c r="F238" s="1">
        <v>1</v>
      </c>
      <c r="G238" s="1">
        <v>1</v>
      </c>
      <c r="H238" s="1">
        <v>1</v>
      </c>
      <c r="I238" s="1">
        <v>1</v>
      </c>
      <c r="J238" s="1">
        <v>1</v>
      </c>
      <c r="K238" s="1">
        <v>1</v>
      </c>
      <c r="L238" s="1">
        <v>1</v>
      </c>
    </row>
    <row r="239" spans="1:17">
      <c r="A239" s="1" t="s">
        <v>284</v>
      </c>
      <c r="B239" s="1" t="s">
        <v>475</v>
      </c>
      <c r="C239" s="1" t="s">
        <v>24</v>
      </c>
      <c r="D239" s="1">
        <v>1</v>
      </c>
      <c r="E239" s="1">
        <v>1</v>
      </c>
      <c r="F239" s="1">
        <v>1</v>
      </c>
      <c r="G239" s="1">
        <v>1</v>
      </c>
      <c r="H239" s="1">
        <v>1</v>
      </c>
      <c r="I239" s="1">
        <v>1</v>
      </c>
      <c r="J239" s="1">
        <v>1</v>
      </c>
      <c r="K239" s="1">
        <v>1</v>
      </c>
      <c r="L239" s="1">
        <v>1</v>
      </c>
      <c r="P239" s="1" t="s">
        <v>491</v>
      </c>
      <c r="Q239" s="1" t="s">
        <v>492</v>
      </c>
    </row>
    <row r="240" spans="1:17">
      <c r="A240" s="1" t="s">
        <v>284</v>
      </c>
      <c r="B240" s="1" t="s">
        <v>108</v>
      </c>
      <c r="C240" s="1" t="s">
        <v>24</v>
      </c>
      <c r="D240" s="1">
        <v>1</v>
      </c>
      <c r="E240" s="1">
        <v>1</v>
      </c>
      <c r="F240" s="1">
        <v>1</v>
      </c>
      <c r="G240" s="1">
        <v>1</v>
      </c>
      <c r="H240" s="1">
        <v>1</v>
      </c>
      <c r="I240" s="1">
        <v>1</v>
      </c>
      <c r="J240" s="1">
        <v>1</v>
      </c>
      <c r="K240" s="1">
        <v>1</v>
      </c>
      <c r="L240" s="1">
        <v>1</v>
      </c>
      <c r="P240" s="1" t="s">
        <v>491</v>
      </c>
      <c r="Q240" s="1" t="s">
        <v>492</v>
      </c>
    </row>
    <row r="241" spans="1:17">
      <c r="A241" s="1" t="s">
        <v>284</v>
      </c>
      <c r="B241" s="1" t="s">
        <v>109</v>
      </c>
      <c r="C241" s="1" t="s">
        <v>24</v>
      </c>
      <c r="D241" s="1">
        <v>1</v>
      </c>
      <c r="E241" s="1">
        <v>1</v>
      </c>
      <c r="F241" s="1">
        <v>1</v>
      </c>
      <c r="G241" s="1">
        <v>1</v>
      </c>
      <c r="H241" s="1">
        <v>1</v>
      </c>
      <c r="I241" s="1">
        <v>1</v>
      </c>
      <c r="J241" s="1">
        <v>1</v>
      </c>
      <c r="K241" s="1">
        <v>1</v>
      </c>
      <c r="L241" s="1">
        <v>1</v>
      </c>
      <c r="P241" s="1" t="s">
        <v>491</v>
      </c>
      <c r="Q241" s="1" t="s">
        <v>492</v>
      </c>
    </row>
    <row r="242" spans="1:17">
      <c r="A242" s="1" t="s">
        <v>284</v>
      </c>
      <c r="B242" s="1" t="s">
        <v>481</v>
      </c>
      <c r="C242" s="1" t="s">
        <v>24</v>
      </c>
      <c r="D242" s="1">
        <v>1</v>
      </c>
      <c r="E242" s="1">
        <v>1</v>
      </c>
      <c r="F242" s="1">
        <v>1</v>
      </c>
      <c r="G242" s="1">
        <v>1</v>
      </c>
      <c r="H242" s="1">
        <v>1</v>
      </c>
      <c r="I242" s="1">
        <v>1</v>
      </c>
      <c r="J242" s="1">
        <v>1</v>
      </c>
      <c r="K242" s="1">
        <v>1</v>
      </c>
      <c r="L242" s="1">
        <v>1</v>
      </c>
      <c r="P242" s="1" t="s">
        <v>491</v>
      </c>
      <c r="Q242" s="1" t="s">
        <v>492</v>
      </c>
    </row>
    <row r="243" spans="1:17">
      <c r="A243" s="1" t="s">
        <v>284</v>
      </c>
      <c r="B243" s="1" t="s">
        <v>479</v>
      </c>
      <c r="C243" s="1" t="s">
        <v>24</v>
      </c>
      <c r="D243" s="1">
        <v>1</v>
      </c>
      <c r="E243" s="1">
        <v>1</v>
      </c>
      <c r="F243" s="1">
        <v>1</v>
      </c>
      <c r="G243" s="1">
        <v>1</v>
      </c>
      <c r="H243" s="1">
        <v>1</v>
      </c>
      <c r="I243" s="1">
        <v>1</v>
      </c>
      <c r="J243" s="1">
        <v>1</v>
      </c>
      <c r="K243" s="1">
        <v>1</v>
      </c>
      <c r="L243" s="1">
        <v>1</v>
      </c>
      <c r="P243" s="1" t="s">
        <v>491</v>
      </c>
      <c r="Q243" s="1" t="s">
        <v>492</v>
      </c>
    </row>
    <row r="244" spans="1:17">
      <c r="A244" s="1" t="s">
        <v>284</v>
      </c>
      <c r="B244" s="1" t="s">
        <v>483</v>
      </c>
      <c r="C244" s="1" t="s">
        <v>24</v>
      </c>
      <c r="D244" s="1">
        <v>1</v>
      </c>
      <c r="E244" s="1">
        <v>1</v>
      </c>
      <c r="F244" s="1">
        <v>1</v>
      </c>
      <c r="G244" s="1">
        <v>1</v>
      </c>
      <c r="H244" s="1">
        <v>1</v>
      </c>
      <c r="I244" s="1">
        <v>1</v>
      </c>
      <c r="J244" s="1">
        <v>1</v>
      </c>
      <c r="K244" s="1">
        <v>1</v>
      </c>
      <c r="L244" s="1">
        <v>1</v>
      </c>
      <c r="P244" s="1" t="s">
        <v>491</v>
      </c>
      <c r="Q244" s="1" t="s">
        <v>492</v>
      </c>
    </row>
    <row r="245" spans="1:17">
      <c r="A245" s="1" t="s">
        <v>284</v>
      </c>
      <c r="B245" s="1" t="s">
        <v>476</v>
      </c>
      <c r="C245" s="1" t="s">
        <v>24</v>
      </c>
      <c r="D245" s="1">
        <v>1</v>
      </c>
      <c r="E245" s="1">
        <v>1</v>
      </c>
      <c r="F245" s="1">
        <v>1</v>
      </c>
      <c r="G245" s="1">
        <v>1</v>
      </c>
      <c r="H245" s="1">
        <v>1</v>
      </c>
      <c r="I245" s="1">
        <v>1</v>
      </c>
      <c r="J245" s="1">
        <v>1</v>
      </c>
      <c r="K245" s="1">
        <v>1</v>
      </c>
      <c r="L245" s="1">
        <v>1</v>
      </c>
      <c r="P245" s="1" t="s">
        <v>491</v>
      </c>
      <c r="Q245" s="1" t="s">
        <v>492</v>
      </c>
    </row>
    <row r="246" spans="1:17">
      <c r="A246" s="1" t="s">
        <v>284</v>
      </c>
      <c r="B246" s="1" t="s">
        <v>477</v>
      </c>
      <c r="C246" s="1" t="s">
        <v>24</v>
      </c>
      <c r="D246" s="1">
        <v>1</v>
      </c>
      <c r="E246" s="1">
        <v>1</v>
      </c>
      <c r="F246" s="1">
        <v>1</v>
      </c>
      <c r="G246" s="1">
        <v>1</v>
      </c>
      <c r="H246" s="1">
        <v>1</v>
      </c>
      <c r="I246" s="1">
        <v>1</v>
      </c>
      <c r="J246" s="1">
        <v>1</v>
      </c>
      <c r="K246" s="1">
        <v>1</v>
      </c>
      <c r="L246" s="1">
        <v>1</v>
      </c>
      <c r="P246" s="1" t="s">
        <v>491</v>
      </c>
      <c r="Q246" s="1" t="s">
        <v>492</v>
      </c>
    </row>
    <row r="247" spans="1:17">
      <c r="A247" s="1" t="s">
        <v>284</v>
      </c>
      <c r="B247" s="1" t="s">
        <v>478</v>
      </c>
      <c r="C247" s="1" t="s">
        <v>24</v>
      </c>
      <c r="D247" s="1">
        <v>1</v>
      </c>
      <c r="E247" s="1">
        <v>1</v>
      </c>
      <c r="F247" s="1">
        <v>1</v>
      </c>
      <c r="G247" s="1">
        <v>1</v>
      </c>
      <c r="H247" s="1">
        <v>1</v>
      </c>
      <c r="I247" s="1">
        <v>1</v>
      </c>
      <c r="J247" s="1">
        <v>1</v>
      </c>
      <c r="K247" s="1">
        <v>1</v>
      </c>
      <c r="L247" s="1">
        <v>1</v>
      </c>
      <c r="P247" s="1" t="s">
        <v>491</v>
      </c>
      <c r="Q247" s="1" t="s">
        <v>492</v>
      </c>
    </row>
    <row r="248" spans="1:17">
      <c r="A248" s="1" t="s">
        <v>284</v>
      </c>
      <c r="B248" s="1" t="s">
        <v>482</v>
      </c>
      <c r="C248" s="1" t="s">
        <v>24</v>
      </c>
      <c r="D248" s="1">
        <v>1</v>
      </c>
      <c r="E248" s="1">
        <v>1</v>
      </c>
      <c r="F248" s="1">
        <v>1</v>
      </c>
      <c r="G248" s="1">
        <v>1</v>
      </c>
      <c r="H248" s="1">
        <v>1</v>
      </c>
      <c r="I248" s="1">
        <v>1</v>
      </c>
      <c r="J248" s="1">
        <v>1</v>
      </c>
      <c r="K248" s="1">
        <v>1</v>
      </c>
      <c r="L248" s="1">
        <v>1</v>
      </c>
      <c r="P248" s="1" t="s">
        <v>491</v>
      </c>
      <c r="Q248" s="1" t="s">
        <v>492</v>
      </c>
    </row>
    <row r="249" spans="1:17">
      <c r="A249" s="1" t="s">
        <v>284</v>
      </c>
      <c r="B249" s="1" t="s">
        <v>480</v>
      </c>
      <c r="C249" s="1" t="s">
        <v>24</v>
      </c>
      <c r="D249" s="1">
        <v>1</v>
      </c>
      <c r="E249" s="1">
        <v>1</v>
      </c>
      <c r="F249" s="1">
        <v>1</v>
      </c>
      <c r="G249" s="1">
        <v>1</v>
      </c>
      <c r="H249" s="1">
        <v>1</v>
      </c>
      <c r="I249" s="1">
        <v>1</v>
      </c>
      <c r="J249" s="1">
        <v>1</v>
      </c>
      <c r="K249" s="1">
        <v>1</v>
      </c>
      <c r="L249" s="1">
        <v>1</v>
      </c>
      <c r="P249" s="1" t="s">
        <v>491</v>
      </c>
      <c r="Q249" s="1" t="s">
        <v>492</v>
      </c>
    </row>
    <row r="250" spans="1:17">
      <c r="A250" s="1" t="s">
        <v>284</v>
      </c>
      <c r="B250" s="1" t="s">
        <v>475</v>
      </c>
      <c r="C250" s="1" t="s">
        <v>24</v>
      </c>
      <c r="D250" s="1">
        <v>2</v>
      </c>
      <c r="E250" s="1">
        <v>1</v>
      </c>
      <c r="F250" s="1">
        <v>1</v>
      </c>
      <c r="G250" s="1">
        <v>1</v>
      </c>
      <c r="H250" s="1">
        <v>1</v>
      </c>
      <c r="I250" s="1">
        <v>1</v>
      </c>
      <c r="J250" s="1">
        <v>1</v>
      </c>
      <c r="K250" s="1">
        <v>1</v>
      </c>
      <c r="L250" s="1">
        <v>1</v>
      </c>
      <c r="P250" s="1" t="s">
        <v>491</v>
      </c>
      <c r="Q250" s="1" t="s">
        <v>494</v>
      </c>
    </row>
    <row r="251" spans="1:17">
      <c r="A251" s="1" t="s">
        <v>284</v>
      </c>
      <c r="B251" s="1" t="s">
        <v>108</v>
      </c>
      <c r="C251" s="1" t="s">
        <v>24</v>
      </c>
      <c r="D251" s="1">
        <v>2</v>
      </c>
      <c r="E251" s="1">
        <v>1</v>
      </c>
      <c r="F251" s="1">
        <v>1</v>
      </c>
      <c r="G251" s="1">
        <v>1</v>
      </c>
      <c r="H251" s="1">
        <v>1</v>
      </c>
      <c r="I251" s="1">
        <v>1</v>
      </c>
      <c r="J251" s="1">
        <v>1</v>
      </c>
      <c r="K251" s="1">
        <v>1</v>
      </c>
      <c r="L251" s="1">
        <v>1</v>
      </c>
      <c r="P251" s="1" t="s">
        <v>491</v>
      </c>
      <c r="Q251" s="1" t="s">
        <v>494</v>
      </c>
    </row>
    <row r="252" spans="1:17">
      <c r="A252" s="1" t="s">
        <v>284</v>
      </c>
      <c r="B252" s="1" t="s">
        <v>109</v>
      </c>
      <c r="C252" s="1" t="s">
        <v>24</v>
      </c>
      <c r="D252" s="1">
        <v>2</v>
      </c>
      <c r="E252" s="1">
        <v>1</v>
      </c>
      <c r="F252" s="1">
        <v>1</v>
      </c>
      <c r="G252" s="1">
        <v>1</v>
      </c>
      <c r="H252" s="1">
        <v>1</v>
      </c>
      <c r="I252" s="1">
        <v>1</v>
      </c>
      <c r="J252" s="1">
        <v>1</v>
      </c>
      <c r="K252" s="1">
        <v>1</v>
      </c>
      <c r="L252" s="1">
        <v>1</v>
      </c>
      <c r="P252" s="1" t="s">
        <v>491</v>
      </c>
      <c r="Q252" s="1" t="s">
        <v>494</v>
      </c>
    </row>
    <row r="253" spans="1:17">
      <c r="A253" s="1" t="s">
        <v>284</v>
      </c>
      <c r="B253" s="1" t="s">
        <v>481</v>
      </c>
      <c r="C253" s="1" t="s">
        <v>24</v>
      </c>
      <c r="D253" s="1">
        <v>2</v>
      </c>
      <c r="E253" s="1">
        <v>1</v>
      </c>
      <c r="F253" s="1">
        <v>1</v>
      </c>
      <c r="G253" s="1">
        <v>1</v>
      </c>
      <c r="H253" s="1">
        <v>1</v>
      </c>
      <c r="I253" s="1">
        <v>1</v>
      </c>
      <c r="J253" s="1">
        <v>1</v>
      </c>
      <c r="K253" s="1">
        <v>1</v>
      </c>
      <c r="L253" s="1">
        <v>1</v>
      </c>
      <c r="P253" s="1" t="s">
        <v>491</v>
      </c>
      <c r="Q253" s="1" t="s">
        <v>494</v>
      </c>
    </row>
    <row r="254" spans="1:17">
      <c r="A254" s="1" t="s">
        <v>284</v>
      </c>
      <c r="B254" s="1" t="s">
        <v>479</v>
      </c>
      <c r="C254" s="1" t="s">
        <v>24</v>
      </c>
      <c r="D254" s="1">
        <v>2</v>
      </c>
      <c r="E254" s="1">
        <v>1</v>
      </c>
      <c r="F254" s="1">
        <v>1</v>
      </c>
      <c r="G254" s="1">
        <v>1</v>
      </c>
      <c r="H254" s="1">
        <v>1</v>
      </c>
      <c r="I254" s="1">
        <v>1</v>
      </c>
      <c r="J254" s="1">
        <v>1</v>
      </c>
      <c r="K254" s="1">
        <v>1</v>
      </c>
      <c r="L254" s="1">
        <v>1</v>
      </c>
      <c r="P254" s="1" t="s">
        <v>491</v>
      </c>
      <c r="Q254" s="1" t="s">
        <v>494</v>
      </c>
    </row>
    <row r="255" spans="1:17">
      <c r="A255" s="1" t="s">
        <v>284</v>
      </c>
      <c r="B255" s="1" t="s">
        <v>483</v>
      </c>
      <c r="C255" s="1" t="s">
        <v>24</v>
      </c>
      <c r="D255" s="1">
        <v>2</v>
      </c>
      <c r="E255" s="1">
        <v>1</v>
      </c>
      <c r="F255" s="1">
        <v>1</v>
      </c>
      <c r="G255" s="1">
        <v>1</v>
      </c>
      <c r="H255" s="1">
        <v>1</v>
      </c>
      <c r="I255" s="1">
        <v>1</v>
      </c>
      <c r="J255" s="1">
        <v>1</v>
      </c>
      <c r="K255" s="1">
        <v>1</v>
      </c>
      <c r="L255" s="1">
        <v>1</v>
      </c>
      <c r="P255" s="1" t="s">
        <v>491</v>
      </c>
      <c r="Q255" s="1" t="s">
        <v>494</v>
      </c>
    </row>
    <row r="256" spans="1:17">
      <c r="A256" s="1" t="s">
        <v>284</v>
      </c>
      <c r="B256" s="1" t="s">
        <v>476</v>
      </c>
      <c r="C256" s="1" t="s">
        <v>24</v>
      </c>
      <c r="D256" s="1">
        <v>2</v>
      </c>
      <c r="E256" s="1">
        <v>1</v>
      </c>
      <c r="F256" s="1">
        <v>1</v>
      </c>
      <c r="G256" s="1">
        <v>1</v>
      </c>
      <c r="H256" s="1">
        <v>1</v>
      </c>
      <c r="I256" s="1">
        <v>1</v>
      </c>
      <c r="J256" s="1">
        <v>1</v>
      </c>
      <c r="K256" s="1">
        <v>1</v>
      </c>
      <c r="L256" s="1">
        <v>1</v>
      </c>
      <c r="P256" s="1" t="s">
        <v>491</v>
      </c>
      <c r="Q256" s="1" t="s">
        <v>494</v>
      </c>
    </row>
    <row r="257" spans="1:19">
      <c r="A257" s="1" t="s">
        <v>284</v>
      </c>
      <c r="B257" s="1" t="s">
        <v>477</v>
      </c>
      <c r="C257" s="1" t="s">
        <v>24</v>
      </c>
      <c r="D257" s="1">
        <v>2</v>
      </c>
      <c r="E257" s="1">
        <v>1</v>
      </c>
      <c r="F257" s="1">
        <v>1</v>
      </c>
      <c r="G257" s="1">
        <v>1</v>
      </c>
      <c r="H257" s="1">
        <v>1</v>
      </c>
      <c r="I257" s="1">
        <v>1</v>
      </c>
      <c r="J257" s="1">
        <v>1</v>
      </c>
      <c r="K257" s="1">
        <v>1</v>
      </c>
      <c r="L257" s="1">
        <v>1</v>
      </c>
      <c r="P257" s="1" t="s">
        <v>491</v>
      </c>
      <c r="Q257" s="1" t="s">
        <v>494</v>
      </c>
    </row>
    <row r="258" spans="1:19">
      <c r="A258" s="1" t="s">
        <v>284</v>
      </c>
      <c r="B258" s="1" t="s">
        <v>478</v>
      </c>
      <c r="C258" s="1" t="s">
        <v>24</v>
      </c>
      <c r="D258" s="1">
        <v>2</v>
      </c>
      <c r="E258" s="1">
        <v>1</v>
      </c>
      <c r="F258" s="1">
        <v>1</v>
      </c>
      <c r="G258" s="1">
        <v>1</v>
      </c>
      <c r="H258" s="1">
        <v>1</v>
      </c>
      <c r="I258" s="1">
        <v>1</v>
      </c>
      <c r="J258" s="1">
        <v>1</v>
      </c>
      <c r="K258" s="1">
        <v>1</v>
      </c>
      <c r="L258" s="1">
        <v>1</v>
      </c>
      <c r="P258" s="1" t="s">
        <v>491</v>
      </c>
      <c r="Q258" s="1" t="s">
        <v>494</v>
      </c>
    </row>
    <row r="259" spans="1:19">
      <c r="A259" s="1" t="s">
        <v>284</v>
      </c>
      <c r="B259" s="1" t="s">
        <v>482</v>
      </c>
      <c r="C259" s="1" t="s">
        <v>24</v>
      </c>
      <c r="D259" s="1">
        <v>2</v>
      </c>
      <c r="E259" s="1">
        <v>1</v>
      </c>
      <c r="F259" s="1">
        <v>1</v>
      </c>
      <c r="G259" s="1">
        <v>1</v>
      </c>
      <c r="H259" s="1">
        <v>1</v>
      </c>
      <c r="I259" s="1">
        <v>1</v>
      </c>
      <c r="J259" s="1">
        <v>1</v>
      </c>
      <c r="K259" s="1">
        <v>1</v>
      </c>
      <c r="L259" s="1">
        <v>1</v>
      </c>
      <c r="P259" s="1" t="s">
        <v>491</v>
      </c>
      <c r="Q259" s="1" t="s">
        <v>494</v>
      </c>
    </row>
    <row r="260" spans="1:19">
      <c r="A260" s="1" t="s">
        <v>284</v>
      </c>
      <c r="B260" s="1" t="s">
        <v>480</v>
      </c>
      <c r="C260" s="1" t="s">
        <v>24</v>
      </c>
      <c r="D260" s="1">
        <v>2</v>
      </c>
      <c r="E260" s="1">
        <v>1</v>
      </c>
      <c r="F260" s="1">
        <v>1</v>
      </c>
      <c r="G260" s="1">
        <v>1</v>
      </c>
      <c r="H260" s="1">
        <v>1</v>
      </c>
      <c r="I260" s="1">
        <v>1</v>
      </c>
      <c r="J260" s="1">
        <v>1</v>
      </c>
      <c r="K260" s="1">
        <v>1</v>
      </c>
      <c r="L260" s="1">
        <v>1</v>
      </c>
      <c r="P260" s="1" t="s">
        <v>491</v>
      </c>
      <c r="Q260" s="1" t="s">
        <v>494</v>
      </c>
    </row>
    <row r="261" spans="1:19">
      <c r="A261" s="1" t="s">
        <v>284</v>
      </c>
      <c r="B261" s="1" t="s">
        <v>484</v>
      </c>
      <c r="C261" s="1" t="s">
        <v>24</v>
      </c>
      <c r="D261" s="1">
        <v>2</v>
      </c>
      <c r="E261" s="1">
        <v>0.5</v>
      </c>
      <c r="F261" s="1">
        <v>0.5</v>
      </c>
      <c r="G261" s="1">
        <v>0.5</v>
      </c>
      <c r="H261" s="1">
        <v>0.5</v>
      </c>
      <c r="I261" s="1">
        <v>0.5</v>
      </c>
      <c r="J261" s="1">
        <v>0.5</v>
      </c>
      <c r="K261" s="1">
        <v>0.5</v>
      </c>
      <c r="L261" s="1">
        <v>0.5</v>
      </c>
      <c r="P261" s="1" t="s">
        <v>495</v>
      </c>
      <c r="Q261" s="1" t="s">
        <v>494</v>
      </c>
    </row>
    <row r="262" spans="1:19">
      <c r="A262" s="1" t="s">
        <v>284</v>
      </c>
      <c r="B262" s="1" t="s">
        <v>475</v>
      </c>
      <c r="C262" s="1" t="s">
        <v>473</v>
      </c>
      <c r="D262" s="1">
        <v>2</v>
      </c>
      <c r="E262" s="1">
        <v>2.5680000000000001</v>
      </c>
      <c r="F262" s="1">
        <v>2.5680000000000001</v>
      </c>
      <c r="G262" s="1">
        <v>2.5680000000000001</v>
      </c>
      <c r="H262" s="1">
        <v>2.5680000000000001</v>
      </c>
      <c r="I262" s="1">
        <v>2.5680000000000001</v>
      </c>
      <c r="J262" s="1">
        <v>2.5680000000000001</v>
      </c>
      <c r="K262" s="1">
        <v>2.5680000000000001</v>
      </c>
      <c r="L262" s="1">
        <v>2.5680000000000001</v>
      </c>
      <c r="P262" s="1" t="s">
        <v>491</v>
      </c>
      <c r="Q262" s="1" t="s">
        <v>494</v>
      </c>
      <c r="R262" s="1">
        <v>2.5680000000000001</v>
      </c>
      <c r="S262" s="1" t="s">
        <v>498</v>
      </c>
    </row>
    <row r="263" spans="1:19">
      <c r="A263" s="1" t="s">
        <v>284</v>
      </c>
      <c r="B263" s="1" t="s">
        <v>108</v>
      </c>
      <c r="C263" s="1" t="s">
        <v>473</v>
      </c>
      <c r="D263" s="1">
        <v>2</v>
      </c>
      <c r="E263" s="1">
        <v>1.5309999999999999</v>
      </c>
      <c r="F263" s="1">
        <v>1.5309999999999999</v>
      </c>
      <c r="G263" s="1">
        <v>1.5309999999999999</v>
      </c>
      <c r="H263" s="1">
        <v>1.5309999999999999</v>
      </c>
      <c r="I263" s="1">
        <v>1.5309999999999999</v>
      </c>
      <c r="J263" s="1">
        <v>1.5309999999999999</v>
      </c>
      <c r="K263" s="1">
        <v>1.5309999999999999</v>
      </c>
      <c r="L263" s="1">
        <v>1.5309999999999999</v>
      </c>
      <c r="P263" s="1" t="s">
        <v>491</v>
      </c>
      <c r="Q263" s="1" t="s">
        <v>494</v>
      </c>
      <c r="R263" s="1">
        <v>1.5309999999999999</v>
      </c>
      <c r="S263" s="1" t="s">
        <v>498</v>
      </c>
    </row>
    <row r="264" spans="1:19">
      <c r="A264" s="1" t="s">
        <v>284</v>
      </c>
      <c r="B264" s="1" t="s">
        <v>109</v>
      </c>
      <c r="C264" s="1" t="s">
        <v>473</v>
      </c>
      <c r="D264" s="1">
        <v>2</v>
      </c>
      <c r="E264" s="1">
        <v>1.651</v>
      </c>
      <c r="F264" s="1">
        <v>1.651</v>
      </c>
      <c r="G264" s="1">
        <v>1.651</v>
      </c>
      <c r="H264" s="1">
        <v>1.651</v>
      </c>
      <c r="I264" s="1">
        <v>1.651</v>
      </c>
      <c r="J264" s="1">
        <v>1.651</v>
      </c>
      <c r="K264" s="1">
        <v>1.651</v>
      </c>
      <c r="L264" s="1">
        <v>1.651</v>
      </c>
      <c r="P264" s="1" t="s">
        <v>491</v>
      </c>
      <c r="Q264" s="1" t="s">
        <v>494</v>
      </c>
      <c r="R264" s="1">
        <v>1.651</v>
      </c>
      <c r="S264" s="1" t="s">
        <v>498</v>
      </c>
    </row>
    <row r="265" spans="1:19">
      <c r="A265" s="1" t="s">
        <v>284</v>
      </c>
      <c r="B265" s="1" t="s">
        <v>481</v>
      </c>
      <c r="C265" s="1" t="s">
        <v>473</v>
      </c>
      <c r="D265" s="1">
        <v>2</v>
      </c>
      <c r="E265" s="1">
        <v>1.006</v>
      </c>
      <c r="F265" s="1">
        <v>1.006</v>
      </c>
      <c r="G265" s="1">
        <v>1.006</v>
      </c>
      <c r="H265" s="1">
        <v>1.006</v>
      </c>
      <c r="I265" s="1">
        <v>1.006</v>
      </c>
      <c r="J265" s="1">
        <v>1.006</v>
      </c>
      <c r="K265" s="1">
        <v>1.006</v>
      </c>
      <c r="L265" s="1">
        <v>1.006</v>
      </c>
      <c r="P265" s="1" t="s">
        <v>491</v>
      </c>
      <c r="Q265" s="1" t="s">
        <v>494</v>
      </c>
      <c r="R265" s="1">
        <v>1.006</v>
      </c>
      <c r="S265" s="1" t="s">
        <v>498</v>
      </c>
    </row>
    <row r="266" spans="1:19">
      <c r="A266" s="1" t="s">
        <v>284</v>
      </c>
      <c r="B266" s="1" t="s">
        <v>479</v>
      </c>
      <c r="C266" s="1" t="s">
        <v>473</v>
      </c>
      <c r="D266" s="1">
        <v>2</v>
      </c>
      <c r="E266" s="1">
        <v>1.006</v>
      </c>
      <c r="F266" s="1">
        <v>1.006</v>
      </c>
      <c r="G266" s="1">
        <v>1.006</v>
      </c>
      <c r="H266" s="1">
        <v>1.006</v>
      </c>
      <c r="I266" s="1">
        <v>1.006</v>
      </c>
      <c r="J266" s="1">
        <v>1.006</v>
      </c>
      <c r="K266" s="1">
        <v>1.006</v>
      </c>
      <c r="L266" s="1">
        <v>1.006</v>
      </c>
      <c r="P266" s="1" t="s">
        <v>491</v>
      </c>
      <c r="Q266" s="1" t="s">
        <v>494</v>
      </c>
      <c r="R266" s="1">
        <v>1.006</v>
      </c>
      <c r="S266" s="1" t="s">
        <v>498</v>
      </c>
    </row>
    <row r="267" spans="1:19">
      <c r="A267" s="1" t="s">
        <v>284</v>
      </c>
      <c r="B267" s="1" t="s">
        <v>483</v>
      </c>
      <c r="C267" s="1" t="s">
        <v>473</v>
      </c>
      <c r="D267" s="1">
        <v>2</v>
      </c>
      <c r="E267" s="1">
        <v>1.006</v>
      </c>
      <c r="F267" s="1">
        <v>1.006</v>
      </c>
      <c r="G267" s="1">
        <v>1.006</v>
      </c>
      <c r="H267" s="1">
        <v>1.006</v>
      </c>
      <c r="I267" s="1">
        <v>1.006</v>
      </c>
      <c r="J267" s="1">
        <v>1.006</v>
      </c>
      <c r="K267" s="1">
        <v>1.006</v>
      </c>
      <c r="L267" s="1">
        <v>1.006</v>
      </c>
      <c r="P267" s="1" t="s">
        <v>491</v>
      </c>
      <c r="Q267" s="1" t="s">
        <v>494</v>
      </c>
      <c r="R267" s="1">
        <v>1.006</v>
      </c>
      <c r="S267" s="1" t="s">
        <v>498</v>
      </c>
    </row>
    <row r="268" spans="1:19">
      <c r="A268" s="1" t="s">
        <v>284</v>
      </c>
      <c r="B268" s="1" t="s">
        <v>476</v>
      </c>
      <c r="C268" s="1" t="s">
        <v>473</v>
      </c>
      <c r="D268" s="1">
        <v>2</v>
      </c>
      <c r="E268" s="1">
        <v>2.5680000000000001</v>
      </c>
      <c r="F268" s="1">
        <v>2.5680000000000001</v>
      </c>
      <c r="G268" s="1">
        <v>2.5680000000000001</v>
      </c>
      <c r="H268" s="1">
        <v>2.5680000000000001</v>
      </c>
      <c r="I268" s="1">
        <v>2.5680000000000001</v>
      </c>
      <c r="J268" s="1">
        <v>2.5680000000000001</v>
      </c>
      <c r="K268" s="1">
        <v>2.5680000000000001</v>
      </c>
      <c r="L268" s="1">
        <v>2.5680000000000001</v>
      </c>
      <c r="P268" s="1" t="s">
        <v>491</v>
      </c>
      <c r="Q268" s="1" t="s">
        <v>494</v>
      </c>
      <c r="R268" s="1">
        <v>2.5680000000000001</v>
      </c>
      <c r="S268" s="1" t="s">
        <v>498</v>
      </c>
    </row>
    <row r="269" spans="1:19">
      <c r="A269" s="1" t="s">
        <v>284</v>
      </c>
      <c r="B269" s="1" t="s">
        <v>477</v>
      </c>
      <c r="C269" s="1" t="s">
        <v>473</v>
      </c>
      <c r="D269" s="1">
        <v>2</v>
      </c>
      <c r="E269" s="1">
        <v>1.8320000000000001</v>
      </c>
      <c r="F269" s="1">
        <v>1.8320000000000001</v>
      </c>
      <c r="G269" s="1">
        <v>1.8320000000000001</v>
      </c>
      <c r="H269" s="1">
        <v>1.8320000000000001</v>
      </c>
      <c r="I269" s="1">
        <v>1.8320000000000001</v>
      </c>
      <c r="J269" s="1">
        <v>1.8320000000000001</v>
      </c>
      <c r="K269" s="1">
        <v>1.8320000000000001</v>
      </c>
      <c r="L269" s="1">
        <v>1.8320000000000001</v>
      </c>
      <c r="P269" s="1" t="s">
        <v>491</v>
      </c>
      <c r="Q269" s="1" t="s">
        <v>494</v>
      </c>
      <c r="R269" s="1">
        <v>1.8320000000000001</v>
      </c>
      <c r="S269" s="1" t="s">
        <v>498</v>
      </c>
    </row>
    <row r="270" spans="1:19">
      <c r="A270" s="1" t="s">
        <v>284</v>
      </c>
      <c r="B270" s="1" t="s">
        <v>478</v>
      </c>
      <c r="C270" s="1" t="s">
        <v>473</v>
      </c>
      <c r="D270" s="1">
        <v>2</v>
      </c>
      <c r="E270" s="1">
        <v>1.006</v>
      </c>
      <c r="F270" s="1">
        <v>1.006</v>
      </c>
      <c r="G270" s="1">
        <v>1.006</v>
      </c>
      <c r="H270" s="1">
        <v>1.006</v>
      </c>
      <c r="I270" s="1">
        <v>1.006</v>
      </c>
      <c r="J270" s="1">
        <v>1.006</v>
      </c>
      <c r="K270" s="1">
        <v>1.006</v>
      </c>
      <c r="L270" s="1">
        <v>1.006</v>
      </c>
      <c r="P270" s="1" t="s">
        <v>491</v>
      </c>
      <c r="Q270" s="1" t="s">
        <v>494</v>
      </c>
      <c r="R270" s="1">
        <v>1.006</v>
      </c>
      <c r="S270" s="1" t="s">
        <v>498</v>
      </c>
    </row>
    <row r="271" spans="1:19">
      <c r="A271" s="1" t="s">
        <v>284</v>
      </c>
      <c r="B271" s="1" t="s">
        <v>482</v>
      </c>
      <c r="C271" s="1" t="s">
        <v>473</v>
      </c>
      <c r="D271" s="1">
        <v>2</v>
      </c>
      <c r="E271" s="1">
        <v>1.006</v>
      </c>
      <c r="F271" s="1">
        <v>1.006</v>
      </c>
      <c r="G271" s="1">
        <v>1.006</v>
      </c>
      <c r="H271" s="1">
        <v>1.006</v>
      </c>
      <c r="I271" s="1">
        <v>1.006</v>
      </c>
      <c r="J271" s="1">
        <v>1.006</v>
      </c>
      <c r="K271" s="1">
        <v>1.006</v>
      </c>
      <c r="L271" s="1">
        <v>1.006</v>
      </c>
      <c r="P271" s="1" t="s">
        <v>491</v>
      </c>
      <c r="Q271" s="1" t="s">
        <v>494</v>
      </c>
      <c r="R271" s="1">
        <v>1.006</v>
      </c>
      <c r="S271" s="1" t="s">
        <v>498</v>
      </c>
    </row>
    <row r="272" spans="1:19">
      <c r="A272" s="1" t="s">
        <v>284</v>
      </c>
      <c r="B272" s="1" t="s">
        <v>480</v>
      </c>
      <c r="C272" s="1" t="s">
        <v>473</v>
      </c>
      <c r="D272" s="1">
        <v>2</v>
      </c>
      <c r="E272" s="1">
        <v>1.006</v>
      </c>
      <c r="F272" s="1">
        <v>1.006</v>
      </c>
      <c r="G272" s="1">
        <v>1.006</v>
      </c>
      <c r="H272" s="1">
        <v>1.006</v>
      </c>
      <c r="I272" s="1">
        <v>1.006</v>
      </c>
      <c r="J272" s="1">
        <v>1.006</v>
      </c>
      <c r="K272" s="1">
        <v>1.006</v>
      </c>
      <c r="L272" s="1">
        <v>1.006</v>
      </c>
      <c r="P272" s="1" t="s">
        <v>491</v>
      </c>
      <c r="Q272" s="1" t="s">
        <v>494</v>
      </c>
      <c r="R272" s="1">
        <v>1.006</v>
      </c>
      <c r="S272" s="1" t="s">
        <v>498</v>
      </c>
    </row>
    <row r="273" spans="1:17">
      <c r="A273" s="1" t="s">
        <v>284</v>
      </c>
      <c r="B273" s="1" t="s">
        <v>484</v>
      </c>
      <c r="C273" s="1" t="s">
        <v>473</v>
      </c>
      <c r="D273" s="1">
        <v>2</v>
      </c>
      <c r="E273" s="1">
        <v>0.4</v>
      </c>
      <c r="F273" s="1">
        <v>0.4</v>
      </c>
      <c r="G273" s="1">
        <v>0.4</v>
      </c>
      <c r="H273" s="1">
        <v>0.4</v>
      </c>
      <c r="I273" s="1">
        <v>0.4</v>
      </c>
      <c r="J273" s="1">
        <v>0.4</v>
      </c>
      <c r="K273" s="1">
        <v>0.4</v>
      </c>
      <c r="L273" s="1">
        <v>0.4</v>
      </c>
      <c r="P273" s="1" t="s">
        <v>495</v>
      </c>
      <c r="Q273" s="1" t="s">
        <v>494</v>
      </c>
    </row>
    <row r="274" spans="1:17">
      <c r="A274" s="1" t="s">
        <v>284</v>
      </c>
      <c r="B274" s="1" t="s">
        <v>486</v>
      </c>
      <c r="C274" s="1" t="s">
        <v>212</v>
      </c>
      <c r="D274" s="1">
        <v>1</v>
      </c>
      <c r="E274" s="1">
        <v>1</v>
      </c>
      <c r="F274" s="1">
        <v>1</v>
      </c>
      <c r="G274" s="1">
        <v>1</v>
      </c>
      <c r="H274" s="1">
        <v>1</v>
      </c>
      <c r="I274" s="1">
        <v>1</v>
      </c>
      <c r="J274" s="1">
        <v>1</v>
      </c>
      <c r="K274" s="1">
        <v>1</v>
      </c>
      <c r="L274" s="1">
        <v>1</v>
      </c>
    </row>
    <row r="275" spans="1:17">
      <c r="A275" s="1" t="s">
        <v>284</v>
      </c>
      <c r="B275" s="1" t="s">
        <v>487</v>
      </c>
      <c r="C275" s="1" t="s">
        <v>276</v>
      </c>
      <c r="D275" s="1">
        <v>1</v>
      </c>
      <c r="E275" s="1">
        <v>1</v>
      </c>
      <c r="F275" s="1">
        <v>1</v>
      </c>
      <c r="G275" s="1">
        <v>1</v>
      </c>
      <c r="H275" s="1">
        <v>1</v>
      </c>
      <c r="I275" s="1">
        <v>1</v>
      </c>
      <c r="J275" s="1">
        <v>1</v>
      </c>
      <c r="K275" s="1">
        <v>1</v>
      </c>
      <c r="L275" s="1">
        <v>1</v>
      </c>
    </row>
    <row r="276" spans="1:17">
      <c r="A276" s="1" t="s">
        <v>284</v>
      </c>
      <c r="B276" s="1" t="s">
        <v>485</v>
      </c>
      <c r="C276" s="1" t="s">
        <v>24</v>
      </c>
      <c r="D276" s="1">
        <v>1</v>
      </c>
      <c r="E276" s="1">
        <v>1</v>
      </c>
      <c r="F276" s="1">
        <v>1</v>
      </c>
      <c r="G276" s="1">
        <v>1</v>
      </c>
      <c r="H276" s="1">
        <v>1</v>
      </c>
      <c r="I276" s="1">
        <v>1</v>
      </c>
      <c r="J276" s="1">
        <v>1</v>
      </c>
      <c r="K276" s="1">
        <v>1</v>
      </c>
      <c r="L276" s="1">
        <v>1</v>
      </c>
      <c r="P276" s="1" t="s">
        <v>496</v>
      </c>
    </row>
    <row r="277" spans="1:17">
      <c r="A277" s="1" t="s">
        <v>284</v>
      </c>
      <c r="B277" s="1" t="s">
        <v>485</v>
      </c>
      <c r="C277" s="1" t="s">
        <v>24</v>
      </c>
      <c r="D277" s="1">
        <v>2</v>
      </c>
      <c r="E277" s="1">
        <v>1</v>
      </c>
      <c r="F277" s="1">
        <v>1</v>
      </c>
      <c r="G277" s="1">
        <v>1</v>
      </c>
      <c r="H277" s="1">
        <v>1</v>
      </c>
      <c r="I277" s="1">
        <v>1</v>
      </c>
      <c r="J277" s="1">
        <v>1</v>
      </c>
      <c r="K277" s="1">
        <v>1</v>
      </c>
      <c r="L277" s="1">
        <v>1</v>
      </c>
      <c r="P277" s="1" t="s">
        <v>496</v>
      </c>
    </row>
    <row r="278" spans="1:17">
      <c r="A278" s="1" t="s">
        <v>284</v>
      </c>
      <c r="B278" s="1" t="s">
        <v>485</v>
      </c>
      <c r="C278" s="1" t="s">
        <v>473</v>
      </c>
      <c r="D278" s="1">
        <v>2</v>
      </c>
      <c r="E278" s="1">
        <v>1.651</v>
      </c>
      <c r="F278" s="1">
        <v>1.651</v>
      </c>
      <c r="G278" s="1">
        <v>1.651</v>
      </c>
      <c r="H278" s="1">
        <v>1.651</v>
      </c>
      <c r="I278" s="1">
        <v>1.651</v>
      </c>
      <c r="J278" s="1">
        <v>1.651</v>
      </c>
      <c r="K278" s="1">
        <v>1.651</v>
      </c>
      <c r="L278" s="1">
        <v>1.651</v>
      </c>
      <c r="P278" s="1" t="s">
        <v>496</v>
      </c>
    </row>
    <row r="279" spans="1:17">
      <c r="A279" s="1" t="s">
        <v>284</v>
      </c>
      <c r="B279" s="1" t="s">
        <v>499</v>
      </c>
      <c r="C279" s="1" t="s">
        <v>24</v>
      </c>
      <c r="D279" s="1">
        <v>1</v>
      </c>
      <c r="E279" s="1">
        <v>1</v>
      </c>
      <c r="F279" s="1">
        <v>1</v>
      </c>
      <c r="G279" s="1">
        <v>1</v>
      </c>
      <c r="H279" s="1">
        <v>1</v>
      </c>
      <c r="I279" s="1">
        <v>1</v>
      </c>
      <c r="J279" s="1">
        <v>1</v>
      </c>
      <c r="K279" s="1">
        <v>1</v>
      </c>
      <c r="L279" s="1">
        <v>1</v>
      </c>
    </row>
    <row r="280" spans="1:17">
      <c r="A280" s="1" t="s">
        <v>284</v>
      </c>
      <c r="B280" s="1" t="s">
        <v>488</v>
      </c>
      <c r="C280" s="1" t="s">
        <v>24</v>
      </c>
      <c r="D280" s="1">
        <v>1</v>
      </c>
      <c r="E280" s="1">
        <v>1</v>
      </c>
      <c r="F280" s="1">
        <v>1</v>
      </c>
      <c r="G280" s="1">
        <v>1</v>
      </c>
      <c r="H280" s="1">
        <v>1</v>
      </c>
      <c r="I280" s="1">
        <v>1</v>
      </c>
      <c r="J280" s="1">
        <v>1</v>
      </c>
      <c r="K280" s="1">
        <v>1</v>
      </c>
      <c r="L280" s="1">
        <v>1</v>
      </c>
    </row>
    <row r="281" spans="1:17">
      <c r="A281" s="1" t="s">
        <v>284</v>
      </c>
      <c r="B281" s="1" t="s">
        <v>490</v>
      </c>
      <c r="C281" s="1" t="s">
        <v>24</v>
      </c>
      <c r="D281" s="1">
        <v>1</v>
      </c>
      <c r="E281" s="1">
        <v>1</v>
      </c>
      <c r="F281" s="1">
        <v>1</v>
      </c>
      <c r="G281" s="1">
        <v>1</v>
      </c>
      <c r="H281" s="1">
        <v>1</v>
      </c>
      <c r="I281" s="1">
        <v>1</v>
      </c>
      <c r="J281" s="1">
        <v>1</v>
      </c>
      <c r="K281" s="1">
        <v>1</v>
      </c>
      <c r="L281" s="1">
        <v>1</v>
      </c>
    </row>
    <row r="282" spans="1:17">
      <c r="A282" s="1" t="s">
        <v>284</v>
      </c>
      <c r="B282" s="1" t="s">
        <v>489</v>
      </c>
      <c r="C282" s="1" t="s">
        <v>24</v>
      </c>
      <c r="D282" s="1">
        <v>1</v>
      </c>
      <c r="E282" s="1">
        <v>1</v>
      </c>
      <c r="F282" s="1">
        <v>1</v>
      </c>
      <c r="G282" s="1">
        <v>1</v>
      </c>
      <c r="H282" s="1">
        <v>1</v>
      </c>
      <c r="I282" s="1">
        <v>1</v>
      </c>
      <c r="J282" s="1">
        <v>1</v>
      </c>
      <c r="K282" s="1">
        <v>1</v>
      </c>
      <c r="L282" s="1">
        <v>1</v>
      </c>
    </row>
    <row r="283" spans="1:17">
      <c r="A283" s="1" t="s">
        <v>284</v>
      </c>
      <c r="B283" s="1" t="s">
        <v>488</v>
      </c>
      <c r="C283" s="1" t="s">
        <v>24</v>
      </c>
      <c r="D283" s="1">
        <v>2</v>
      </c>
      <c r="E283" s="1">
        <v>1</v>
      </c>
      <c r="F283" s="1">
        <v>1</v>
      </c>
      <c r="G283" s="1">
        <v>1</v>
      </c>
      <c r="H283" s="1">
        <v>1</v>
      </c>
      <c r="I283" s="1">
        <v>1</v>
      </c>
      <c r="J283" s="1">
        <v>1</v>
      </c>
      <c r="K283" s="1">
        <v>1</v>
      </c>
      <c r="L283" s="1">
        <v>1</v>
      </c>
    </row>
    <row r="284" spans="1:17">
      <c r="A284" s="1" t="s">
        <v>284</v>
      </c>
      <c r="B284" s="1" t="s">
        <v>490</v>
      </c>
      <c r="C284" s="1" t="s">
        <v>24</v>
      </c>
      <c r="D284" s="1">
        <v>2</v>
      </c>
      <c r="E284" s="1">
        <v>1</v>
      </c>
      <c r="F284" s="1">
        <v>1</v>
      </c>
      <c r="G284" s="1">
        <v>1</v>
      </c>
      <c r="H284" s="1">
        <v>1</v>
      </c>
      <c r="I284" s="1">
        <v>1</v>
      </c>
      <c r="J284" s="1">
        <v>1</v>
      </c>
      <c r="K284" s="1">
        <v>1</v>
      </c>
      <c r="L284" s="1">
        <v>1</v>
      </c>
    </row>
    <row r="285" spans="1:17">
      <c r="A285" s="1" t="s">
        <v>284</v>
      </c>
      <c r="B285" s="1" t="s">
        <v>489</v>
      </c>
      <c r="C285" s="1" t="s">
        <v>24</v>
      </c>
      <c r="D285" s="1">
        <v>2</v>
      </c>
      <c r="E285" s="1">
        <v>1</v>
      </c>
      <c r="F285" s="1">
        <v>1</v>
      </c>
      <c r="G285" s="1">
        <v>1</v>
      </c>
      <c r="H285" s="1">
        <v>1</v>
      </c>
      <c r="I285" s="1">
        <v>1</v>
      </c>
      <c r="J285" s="1">
        <v>1</v>
      </c>
      <c r="K285" s="1">
        <v>1</v>
      </c>
      <c r="L285" s="1">
        <v>1</v>
      </c>
    </row>
    <row r="286" spans="1:17">
      <c r="A286" s="1" t="s">
        <v>284</v>
      </c>
      <c r="B286" s="1" t="s">
        <v>488</v>
      </c>
      <c r="C286" s="1" t="s">
        <v>24</v>
      </c>
      <c r="D286" s="1">
        <v>3</v>
      </c>
      <c r="E286" s="1">
        <v>1</v>
      </c>
      <c r="F286" s="1">
        <v>1</v>
      </c>
      <c r="G286" s="1">
        <v>1</v>
      </c>
      <c r="H286" s="1">
        <v>1</v>
      </c>
      <c r="I286" s="1">
        <v>1</v>
      </c>
      <c r="J286" s="1">
        <v>1</v>
      </c>
      <c r="K286" s="1">
        <v>1</v>
      </c>
      <c r="L286" s="1">
        <v>1</v>
      </c>
    </row>
    <row r="287" spans="1:17">
      <c r="A287" s="1" t="s">
        <v>284</v>
      </c>
      <c r="B287" s="1" t="s">
        <v>490</v>
      </c>
      <c r="C287" s="1" t="s">
        <v>24</v>
      </c>
      <c r="D287" s="1">
        <v>3</v>
      </c>
      <c r="E287" s="1">
        <v>1</v>
      </c>
      <c r="F287" s="1">
        <v>1</v>
      </c>
      <c r="G287" s="1">
        <v>1</v>
      </c>
      <c r="H287" s="1">
        <v>1</v>
      </c>
      <c r="I287" s="1">
        <v>1</v>
      </c>
      <c r="J287" s="1">
        <v>1</v>
      </c>
      <c r="K287" s="1">
        <v>1</v>
      </c>
      <c r="L287" s="1">
        <v>1</v>
      </c>
    </row>
    <row r="288" spans="1:17">
      <c r="A288" s="1" t="s">
        <v>284</v>
      </c>
      <c r="B288" s="1" t="s">
        <v>489</v>
      </c>
      <c r="C288" s="1" t="s">
        <v>24</v>
      </c>
      <c r="D288" s="1">
        <v>3</v>
      </c>
      <c r="E288" s="1">
        <v>1</v>
      </c>
      <c r="F288" s="1">
        <v>1</v>
      </c>
      <c r="G288" s="1">
        <v>1</v>
      </c>
      <c r="H288" s="1">
        <v>1</v>
      </c>
      <c r="I288" s="1">
        <v>1</v>
      </c>
      <c r="J288" s="1">
        <v>1</v>
      </c>
      <c r="K288" s="1">
        <v>1</v>
      </c>
      <c r="L288" s="1">
        <v>1</v>
      </c>
    </row>
  </sheetData>
  <dataValidations count="2">
    <dataValidation type="list" allowBlank="1" showInputMessage="1" showErrorMessage="1" sqref="B23 B25:B27 B210" xr:uid="{00000000-0002-0000-1A00-000000000000}">
      <formula1>Technologies</formula1>
    </dataValidation>
    <dataValidation type="list" allowBlank="1" showInputMessage="1" showErrorMessage="1" sqref="A181:A183 A232" xr:uid="{00000000-0002-0000-1A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3"/>
  <dimension ref="A1:Y145"/>
  <sheetViews>
    <sheetView zoomScale="85" zoomScaleNormal="85" zoomScalePageLayoutView="85" workbookViewId="0">
      <selection activeCell="H18" sqref="H18"/>
    </sheetView>
  </sheetViews>
  <sheetFormatPr defaultColWidth="11.42578125" defaultRowHeight="15"/>
  <cols>
    <col min="1" max="1" width="18" style="10" customWidth="1"/>
    <col min="2" max="2" width="25.5703125" style="10" customWidth="1"/>
    <col min="3" max="9" width="15.42578125" style="10" customWidth="1"/>
    <col min="10" max="10" width="13.5703125" style="10" bestFit="1" customWidth="1"/>
    <col min="11" max="11" width="2" style="10" customWidth="1"/>
    <col min="12" max="12" width="20.42578125" style="10" bestFit="1" customWidth="1"/>
    <col min="13" max="13" width="30" style="10" bestFit="1" customWidth="1"/>
    <col min="14" max="14" width="26.42578125" style="10" bestFit="1" customWidth="1"/>
    <col min="15" max="16384" width="11.42578125" style="10"/>
  </cols>
  <sheetData>
    <row r="1" spans="1:15">
      <c r="A1" s="10" t="s">
        <v>433</v>
      </c>
    </row>
    <row r="2" spans="1:15">
      <c r="A2" s="10" t="s">
        <v>4</v>
      </c>
    </row>
    <row r="3" spans="1:15">
      <c r="A3" s="10" t="s">
        <v>405</v>
      </c>
    </row>
    <row r="5" spans="1:15">
      <c r="A5" s="10" t="s">
        <v>20</v>
      </c>
      <c r="B5" s="10" t="s">
        <v>26</v>
      </c>
      <c r="C5" s="10">
        <v>2018</v>
      </c>
      <c r="D5" s="10">
        <v>2020</v>
      </c>
      <c r="E5" s="10">
        <v>2025</v>
      </c>
      <c r="F5" s="10">
        <v>2030</v>
      </c>
      <c r="G5" s="10">
        <v>2035</v>
      </c>
      <c r="H5" s="10">
        <v>2040</v>
      </c>
      <c r="I5" s="10">
        <v>2045</v>
      </c>
      <c r="J5" s="10">
        <v>2050</v>
      </c>
    </row>
    <row r="6" spans="1:15">
      <c r="A6" s="10" t="s">
        <v>284</v>
      </c>
      <c r="B6" s="10" t="s">
        <v>329</v>
      </c>
      <c r="C6" s="64">
        <v>947</v>
      </c>
      <c r="D6" s="64">
        <v>947</v>
      </c>
      <c r="E6" s="64">
        <v>947</v>
      </c>
      <c r="F6" s="64">
        <v>947</v>
      </c>
      <c r="G6" s="64">
        <v>947</v>
      </c>
      <c r="H6" s="64">
        <v>852.3</v>
      </c>
      <c r="I6" s="64">
        <v>852.3</v>
      </c>
      <c r="J6" s="64">
        <v>852.3</v>
      </c>
      <c r="N6" s="10" t="s">
        <v>500</v>
      </c>
      <c r="O6" s="10" t="s">
        <v>501</v>
      </c>
    </row>
    <row r="7" spans="1:15">
      <c r="A7" s="10" t="s">
        <v>284</v>
      </c>
      <c r="B7" s="10" t="s">
        <v>330</v>
      </c>
      <c r="C7" s="64">
        <v>0.01</v>
      </c>
      <c r="D7" s="64">
        <v>0.01</v>
      </c>
      <c r="E7" s="64">
        <v>0.01</v>
      </c>
      <c r="F7" s="64">
        <v>0.01</v>
      </c>
      <c r="G7" s="64">
        <v>0.01</v>
      </c>
      <c r="H7" s="64">
        <v>0.01</v>
      </c>
      <c r="I7" s="64">
        <v>0.01</v>
      </c>
      <c r="J7" s="64">
        <v>0.01</v>
      </c>
      <c r="N7" s="10" t="s">
        <v>500</v>
      </c>
      <c r="O7" s="10" t="s">
        <v>501</v>
      </c>
    </row>
    <row r="8" spans="1:15">
      <c r="A8" s="10" t="s">
        <v>284</v>
      </c>
      <c r="B8" s="10" t="s">
        <v>331</v>
      </c>
      <c r="C8" s="64">
        <v>0.01</v>
      </c>
      <c r="D8" s="64">
        <v>0.01</v>
      </c>
      <c r="E8" s="64">
        <v>0.01</v>
      </c>
      <c r="F8" s="64">
        <v>0.01</v>
      </c>
      <c r="G8" s="64">
        <v>0.01</v>
      </c>
      <c r="H8" s="64">
        <v>0.01</v>
      </c>
      <c r="I8" s="64">
        <v>0.01</v>
      </c>
      <c r="J8" s="64">
        <v>0.01</v>
      </c>
      <c r="N8" s="10" t="s">
        <v>500</v>
      </c>
      <c r="O8" s="10" t="s">
        <v>501</v>
      </c>
    </row>
    <row r="9" spans="1:15">
      <c r="A9" s="10" t="s">
        <v>284</v>
      </c>
      <c r="B9" s="10" t="s">
        <v>332</v>
      </c>
      <c r="C9" s="64">
        <v>0.01</v>
      </c>
      <c r="D9" s="64">
        <v>0.01</v>
      </c>
      <c r="E9" s="64">
        <v>0.01</v>
      </c>
      <c r="F9" s="64">
        <v>0.01</v>
      </c>
      <c r="G9" s="64">
        <v>0.01</v>
      </c>
      <c r="H9" s="64">
        <v>0.01</v>
      </c>
      <c r="I9" s="64">
        <v>0.01</v>
      </c>
      <c r="J9" s="64">
        <v>0.01</v>
      </c>
      <c r="N9" s="10" t="s">
        <v>500</v>
      </c>
      <c r="O9" s="10" t="s">
        <v>501</v>
      </c>
    </row>
    <row r="10" spans="1:15">
      <c r="A10" s="10" t="s">
        <v>284</v>
      </c>
      <c r="B10" s="10" t="s">
        <v>333</v>
      </c>
      <c r="C10" s="64">
        <v>0.01</v>
      </c>
      <c r="D10" s="64">
        <v>0.01</v>
      </c>
      <c r="E10" s="64">
        <v>0.01</v>
      </c>
      <c r="F10" s="64">
        <v>0.01</v>
      </c>
      <c r="G10" s="64">
        <v>0.01</v>
      </c>
      <c r="H10" s="64">
        <v>0.01</v>
      </c>
      <c r="I10" s="64">
        <v>0.01</v>
      </c>
      <c r="J10" s="64">
        <v>0.01</v>
      </c>
      <c r="N10" s="10" t="s">
        <v>500</v>
      </c>
      <c r="O10" s="10" t="s">
        <v>501</v>
      </c>
    </row>
    <row r="11" spans="1:15">
      <c r="A11" s="10" t="s">
        <v>284</v>
      </c>
      <c r="B11" s="10" t="s">
        <v>334</v>
      </c>
      <c r="C11" s="64">
        <v>0.01</v>
      </c>
      <c r="D11" s="64">
        <v>0.01</v>
      </c>
      <c r="E11" s="64">
        <v>0.01</v>
      </c>
      <c r="F11" s="64">
        <v>0.01</v>
      </c>
      <c r="G11" s="64">
        <v>0.01</v>
      </c>
      <c r="H11" s="64">
        <v>0.01</v>
      </c>
      <c r="I11" s="64">
        <v>0.01</v>
      </c>
      <c r="J11" s="64">
        <v>0.01</v>
      </c>
      <c r="N11" s="10" t="s">
        <v>500</v>
      </c>
      <c r="O11" s="10" t="s">
        <v>501</v>
      </c>
    </row>
    <row r="12" spans="1:15">
      <c r="A12" s="10" t="s">
        <v>284</v>
      </c>
      <c r="B12" s="10" t="s">
        <v>335</v>
      </c>
      <c r="C12" s="64">
        <v>771</v>
      </c>
      <c r="D12" s="64">
        <v>731</v>
      </c>
      <c r="E12" s="64">
        <v>706</v>
      </c>
      <c r="F12" s="64">
        <v>680</v>
      </c>
      <c r="G12" s="64">
        <v>653</v>
      </c>
      <c r="H12" s="64">
        <v>632</v>
      </c>
      <c r="I12" s="64">
        <v>609</v>
      </c>
      <c r="J12" s="64">
        <v>589</v>
      </c>
      <c r="N12" s="10" t="s">
        <v>502</v>
      </c>
      <c r="O12" s="10" t="s">
        <v>503</v>
      </c>
    </row>
    <row r="13" spans="1:15">
      <c r="A13" s="10" t="s">
        <v>284</v>
      </c>
      <c r="B13" s="10" t="s">
        <v>339</v>
      </c>
      <c r="C13" s="64">
        <v>1</v>
      </c>
      <c r="D13" s="64">
        <v>1</v>
      </c>
      <c r="E13" s="64">
        <v>1</v>
      </c>
      <c r="F13" s="64">
        <v>1</v>
      </c>
      <c r="G13" s="64">
        <v>1</v>
      </c>
      <c r="H13" s="64">
        <v>1</v>
      </c>
      <c r="I13" s="64">
        <v>1</v>
      </c>
      <c r="J13" s="64">
        <v>1</v>
      </c>
      <c r="N13" s="10" t="s">
        <v>502</v>
      </c>
      <c r="O13" s="10" t="s">
        <v>503</v>
      </c>
    </row>
    <row r="14" spans="1:15">
      <c r="A14" s="10" t="s">
        <v>284</v>
      </c>
      <c r="B14" s="10" t="s">
        <v>340</v>
      </c>
      <c r="C14" s="64">
        <v>1</v>
      </c>
      <c r="D14" s="64">
        <v>1</v>
      </c>
      <c r="E14" s="64">
        <v>1</v>
      </c>
      <c r="F14" s="64">
        <v>1</v>
      </c>
      <c r="G14" s="64">
        <v>1</v>
      </c>
      <c r="H14" s="64">
        <v>1</v>
      </c>
      <c r="I14" s="64">
        <v>1</v>
      </c>
      <c r="J14" s="64">
        <v>1</v>
      </c>
      <c r="N14" s="10" t="s">
        <v>502</v>
      </c>
      <c r="O14" s="10" t="s">
        <v>503</v>
      </c>
    </row>
    <row r="15" spans="1:15">
      <c r="A15" s="10" t="s">
        <v>284</v>
      </c>
      <c r="B15" s="10" t="s">
        <v>345</v>
      </c>
      <c r="C15" s="64">
        <v>6.1224489795918364</v>
      </c>
      <c r="D15" s="64">
        <v>6.3240316534777179</v>
      </c>
      <c r="E15" s="64">
        <v>6.5206164098292376</v>
      </c>
      <c r="F15" s="64">
        <v>6.7122032486463974</v>
      </c>
      <c r="G15" s="64">
        <v>6.8987921699291963</v>
      </c>
      <c r="H15" s="64">
        <v>7.0803831736776344</v>
      </c>
      <c r="I15" s="64">
        <v>7.2569762598917125</v>
      </c>
      <c r="J15" s="64">
        <v>7.4285714285714288</v>
      </c>
      <c r="N15" s="10" t="s">
        <v>502</v>
      </c>
      <c r="O15" s="10" t="s">
        <v>503</v>
      </c>
    </row>
    <row r="16" spans="1:15">
      <c r="A16" s="10" t="s">
        <v>284</v>
      </c>
      <c r="B16" s="10" t="s">
        <v>346</v>
      </c>
      <c r="C16" s="64">
        <v>10.303617571059432</v>
      </c>
      <c r="D16" s="64">
        <v>10.46610504666983</v>
      </c>
      <c r="E16" s="64">
        <v>10.605653113958761</v>
      </c>
      <c r="F16" s="64">
        <v>10.722261772926224</v>
      </c>
      <c r="G16" s="64">
        <v>10.815931023572221</v>
      </c>
      <c r="H16" s="64">
        <v>10.886660865896749</v>
      </c>
      <c r="I16" s="64">
        <v>10.934451299899804</v>
      </c>
      <c r="J16" s="64">
        <v>10.959302325581396</v>
      </c>
      <c r="N16" s="10" t="s">
        <v>502</v>
      </c>
      <c r="O16" s="10" t="s">
        <v>503</v>
      </c>
    </row>
    <row r="17" spans="1:25">
      <c r="A17" s="10" t="s">
        <v>284</v>
      </c>
      <c r="B17" s="10" t="s">
        <v>347</v>
      </c>
      <c r="C17" s="64">
        <v>48</v>
      </c>
      <c r="D17" s="64">
        <v>45.888268221574343</v>
      </c>
      <c r="E17" s="64">
        <v>43.433889212827985</v>
      </c>
      <c r="F17" s="64">
        <v>40.636862973760934</v>
      </c>
      <c r="G17" s="64">
        <v>37.497189504373175</v>
      </c>
      <c r="H17" s="64">
        <v>34.014868804664729</v>
      </c>
      <c r="I17" s="64">
        <v>30.189900874635569</v>
      </c>
      <c r="J17" s="64">
        <v>26.022285714285715</v>
      </c>
      <c r="N17" s="10" t="s">
        <v>502</v>
      </c>
      <c r="O17" s="10" t="s">
        <v>495</v>
      </c>
      <c r="P17" s="10" t="s">
        <v>494</v>
      </c>
    </row>
    <row r="18" spans="1:25">
      <c r="A18" s="10" t="s">
        <v>284</v>
      </c>
      <c r="B18" s="10" t="s">
        <v>361</v>
      </c>
      <c r="C18" s="64">
        <v>516</v>
      </c>
      <c r="D18" s="64">
        <v>516</v>
      </c>
      <c r="E18" s="64">
        <v>473.00000000000006</v>
      </c>
      <c r="F18" s="64">
        <v>473.00000000000006</v>
      </c>
      <c r="G18" s="64">
        <v>451.5</v>
      </c>
      <c r="H18" s="64">
        <v>451.5</v>
      </c>
      <c r="I18" s="64">
        <v>451.5</v>
      </c>
      <c r="J18" s="64">
        <v>451.5</v>
      </c>
      <c r="N18" s="10" t="s">
        <v>504</v>
      </c>
    </row>
    <row r="19" spans="1:25">
      <c r="A19" s="10" t="s">
        <v>284</v>
      </c>
      <c r="B19" s="10" t="s">
        <v>363</v>
      </c>
      <c r="C19" s="64">
        <v>730</v>
      </c>
      <c r="D19" s="64">
        <v>730</v>
      </c>
      <c r="E19" s="64">
        <v>534</v>
      </c>
      <c r="F19" s="64">
        <v>338</v>
      </c>
      <c r="G19" s="64">
        <v>287.5</v>
      </c>
      <c r="H19" s="64">
        <v>237</v>
      </c>
      <c r="I19" s="64">
        <v>218</v>
      </c>
      <c r="J19" s="64">
        <v>199</v>
      </c>
      <c r="N19" s="10" t="s">
        <v>504</v>
      </c>
    </row>
    <row r="20" spans="1:25">
      <c r="A20" s="10" t="s">
        <v>284</v>
      </c>
      <c r="B20" s="10" t="s">
        <v>364</v>
      </c>
      <c r="C20" s="64">
        <v>815</v>
      </c>
      <c r="D20" s="64">
        <v>815</v>
      </c>
      <c r="E20" s="64">
        <v>596.5</v>
      </c>
      <c r="F20" s="64">
        <v>378</v>
      </c>
      <c r="G20" s="64">
        <v>321.5</v>
      </c>
      <c r="H20" s="64">
        <v>265</v>
      </c>
      <c r="I20" s="64">
        <v>243.5</v>
      </c>
      <c r="J20" s="64">
        <v>222</v>
      </c>
      <c r="N20" s="10" t="s">
        <v>505</v>
      </c>
    </row>
    <row r="21" spans="1:25">
      <c r="A21" s="10" t="s">
        <v>284</v>
      </c>
      <c r="B21" s="10" t="s">
        <v>475</v>
      </c>
      <c r="C21" s="64">
        <v>2200</v>
      </c>
      <c r="D21" s="64">
        <v>2090</v>
      </c>
      <c r="E21" s="64">
        <v>1980.0000000000002</v>
      </c>
      <c r="F21" s="64">
        <v>1925.0000000000002</v>
      </c>
      <c r="G21" s="64">
        <v>1870.0000000000002</v>
      </c>
      <c r="H21" s="64">
        <v>1870.0000000000002</v>
      </c>
      <c r="I21" s="64">
        <v>1870.0000000000002</v>
      </c>
      <c r="J21" s="64">
        <v>1870.0000000000002</v>
      </c>
      <c r="N21" s="10" t="s">
        <v>500</v>
      </c>
      <c r="O21" s="10" t="s">
        <v>501</v>
      </c>
    </row>
    <row r="22" spans="1:25" s="67" customFormat="1">
      <c r="A22" s="10" t="s">
        <v>284</v>
      </c>
      <c r="B22" s="10" t="s">
        <v>108</v>
      </c>
      <c r="C22" s="64">
        <v>2750</v>
      </c>
      <c r="D22" s="64">
        <v>2750</v>
      </c>
      <c r="E22" s="64">
        <v>2750</v>
      </c>
      <c r="F22" s="64">
        <v>2750</v>
      </c>
      <c r="G22" s="64">
        <v>2750</v>
      </c>
      <c r="H22" s="64">
        <v>2750</v>
      </c>
      <c r="I22" s="64">
        <v>2750</v>
      </c>
      <c r="J22" s="64">
        <v>2750</v>
      </c>
      <c r="K22" s="10"/>
      <c r="L22" s="10"/>
      <c r="M22" s="10"/>
      <c r="N22" s="10" t="s">
        <v>500</v>
      </c>
      <c r="O22" s="10" t="s">
        <v>501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s="67" customFormat="1">
      <c r="A23" s="10" t="s">
        <v>284</v>
      </c>
      <c r="B23" s="10" t="s">
        <v>109</v>
      </c>
      <c r="C23" s="64">
        <v>2200</v>
      </c>
      <c r="D23" s="64">
        <v>2200</v>
      </c>
      <c r="E23" s="64">
        <v>2200</v>
      </c>
      <c r="F23" s="64">
        <v>2200</v>
      </c>
      <c r="G23" s="64">
        <v>2200</v>
      </c>
      <c r="H23" s="64">
        <v>2200</v>
      </c>
      <c r="I23" s="64">
        <v>2200</v>
      </c>
      <c r="J23" s="64">
        <v>2200</v>
      </c>
      <c r="K23" s="10"/>
      <c r="L23" s="10"/>
      <c r="M23" s="10"/>
      <c r="N23" s="10" t="s">
        <v>500</v>
      </c>
      <c r="O23" s="10" t="s">
        <v>501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s="67" customFormat="1">
      <c r="A24" s="10" t="s">
        <v>284</v>
      </c>
      <c r="B24" s="10" t="s">
        <v>481</v>
      </c>
      <c r="C24" s="64">
        <v>935.00000000000011</v>
      </c>
      <c r="D24" s="64">
        <v>858.00000000000011</v>
      </c>
      <c r="E24" s="64">
        <v>847.00000000000011</v>
      </c>
      <c r="F24" s="64">
        <v>836.00000000000011</v>
      </c>
      <c r="G24" s="64">
        <v>825.00000000000011</v>
      </c>
      <c r="H24" s="64">
        <v>814.00000000000011</v>
      </c>
      <c r="I24" s="64">
        <v>814.00000000000011</v>
      </c>
      <c r="J24" s="64">
        <v>814.00000000000011</v>
      </c>
      <c r="K24" s="10"/>
      <c r="L24" s="10"/>
      <c r="M24" s="10"/>
      <c r="N24" s="10" t="s">
        <v>500</v>
      </c>
      <c r="O24" s="10" t="s">
        <v>501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>
      <c r="A25" s="10" t="s">
        <v>284</v>
      </c>
      <c r="B25" s="10" t="s">
        <v>479</v>
      </c>
      <c r="C25" s="64">
        <v>935.00000000000011</v>
      </c>
      <c r="D25" s="64">
        <v>858.00000000000011</v>
      </c>
      <c r="E25" s="64">
        <v>847.00000000000011</v>
      </c>
      <c r="F25" s="64">
        <v>836.00000000000011</v>
      </c>
      <c r="G25" s="64">
        <v>825.00000000000011</v>
      </c>
      <c r="H25" s="64">
        <v>814.00000000000011</v>
      </c>
      <c r="I25" s="64">
        <v>814.00000000000011</v>
      </c>
      <c r="J25" s="64">
        <v>814.00000000000011</v>
      </c>
      <c r="N25" s="10" t="s">
        <v>500</v>
      </c>
      <c r="O25" s="10" t="s">
        <v>501</v>
      </c>
    </row>
    <row r="26" spans="1:25">
      <c r="A26" s="10" t="s">
        <v>284</v>
      </c>
      <c r="B26" s="10" t="s">
        <v>483</v>
      </c>
      <c r="C26" s="64">
        <v>935.00000000000011</v>
      </c>
      <c r="D26" s="64">
        <v>858.00000000000011</v>
      </c>
      <c r="E26" s="64">
        <v>847.00000000000011</v>
      </c>
      <c r="F26" s="64">
        <v>836.00000000000011</v>
      </c>
      <c r="G26" s="64">
        <v>825.00000000000011</v>
      </c>
      <c r="H26" s="64">
        <v>814.00000000000011</v>
      </c>
      <c r="I26" s="64">
        <v>814.00000000000011</v>
      </c>
      <c r="J26" s="64">
        <v>814.00000000000011</v>
      </c>
      <c r="N26" s="10" t="s">
        <v>500</v>
      </c>
      <c r="O26" s="10" t="s">
        <v>501</v>
      </c>
    </row>
    <row r="27" spans="1:25">
      <c r="A27" s="10" t="s">
        <v>284</v>
      </c>
      <c r="B27" s="10" t="s">
        <v>476</v>
      </c>
      <c r="C27" s="64">
        <v>6342.1050000000005</v>
      </c>
      <c r="D27" s="64">
        <v>6342.1050000000005</v>
      </c>
      <c r="E27" s="64">
        <v>6342.1050000000005</v>
      </c>
      <c r="F27" s="64">
        <v>6342.1050000000005</v>
      </c>
      <c r="G27" s="64">
        <v>6342.1050000000005</v>
      </c>
      <c r="H27" s="64">
        <v>6342.1050000000005</v>
      </c>
      <c r="I27" s="64">
        <v>6342.1050000000005</v>
      </c>
      <c r="J27" s="64">
        <v>6342.1050000000005</v>
      </c>
      <c r="N27" s="10" t="s">
        <v>502</v>
      </c>
      <c r="O27" s="10" t="s">
        <v>503</v>
      </c>
    </row>
    <row r="28" spans="1:25">
      <c r="A28" s="10" t="s">
        <v>284</v>
      </c>
      <c r="B28" s="10" t="s">
        <v>477</v>
      </c>
      <c r="C28" s="64">
        <v>4125</v>
      </c>
      <c r="D28" s="64">
        <v>4125</v>
      </c>
      <c r="E28" s="64">
        <v>4125</v>
      </c>
      <c r="F28" s="64">
        <v>4125</v>
      </c>
      <c r="G28" s="64">
        <v>4125</v>
      </c>
      <c r="H28" s="64">
        <v>4125</v>
      </c>
      <c r="I28" s="64">
        <v>4125</v>
      </c>
      <c r="J28" s="64">
        <v>4125</v>
      </c>
      <c r="N28" s="10" t="s">
        <v>502</v>
      </c>
      <c r="O28" s="10" t="s">
        <v>503</v>
      </c>
    </row>
    <row r="29" spans="1:25">
      <c r="A29" s="10" t="s">
        <v>284</v>
      </c>
      <c r="B29" s="10" t="s">
        <v>478</v>
      </c>
      <c r="C29" s="64">
        <v>3300</v>
      </c>
      <c r="D29" s="64">
        <v>3300</v>
      </c>
      <c r="E29" s="64">
        <v>3300</v>
      </c>
      <c r="F29" s="64">
        <v>3300</v>
      </c>
      <c r="G29" s="64">
        <v>3300</v>
      </c>
      <c r="H29" s="64">
        <v>3300</v>
      </c>
      <c r="I29" s="64">
        <v>3300</v>
      </c>
      <c r="J29" s="64">
        <v>3300</v>
      </c>
      <c r="N29" s="10" t="s">
        <v>502</v>
      </c>
      <c r="O29" s="10" t="s">
        <v>503</v>
      </c>
    </row>
    <row r="30" spans="1:25">
      <c r="A30" s="10" t="s">
        <v>284</v>
      </c>
      <c r="B30" s="10" t="s">
        <v>482</v>
      </c>
      <c r="C30" s="64">
        <v>1402.5000000000002</v>
      </c>
      <c r="D30" s="64">
        <v>1287.0000000000002</v>
      </c>
      <c r="E30" s="64">
        <v>1270.5000000000002</v>
      </c>
      <c r="F30" s="64">
        <v>1254.0000000000002</v>
      </c>
      <c r="G30" s="64">
        <v>1237.5000000000002</v>
      </c>
      <c r="H30" s="64">
        <v>1221.0000000000002</v>
      </c>
      <c r="I30" s="64">
        <v>1221.0000000000002</v>
      </c>
      <c r="J30" s="64">
        <v>1221.0000000000002</v>
      </c>
      <c r="N30" s="10" t="s">
        <v>502</v>
      </c>
      <c r="O30" s="10" t="s">
        <v>503</v>
      </c>
    </row>
    <row r="31" spans="1:25">
      <c r="A31" s="10" t="s">
        <v>284</v>
      </c>
      <c r="B31" s="10" t="s">
        <v>480</v>
      </c>
      <c r="C31" s="64">
        <v>1402.5000000000002</v>
      </c>
      <c r="D31" s="64">
        <v>1287.0000000000002</v>
      </c>
      <c r="E31" s="64">
        <v>1270.5000000000002</v>
      </c>
      <c r="F31" s="64">
        <v>1254.0000000000002</v>
      </c>
      <c r="G31" s="64">
        <v>1237.5000000000002</v>
      </c>
      <c r="H31" s="64">
        <v>1221.0000000000002</v>
      </c>
      <c r="I31" s="64">
        <v>1221.0000000000002</v>
      </c>
      <c r="J31" s="64">
        <v>1221.0000000000002</v>
      </c>
      <c r="N31" s="10" t="s">
        <v>502</v>
      </c>
      <c r="O31" s="10" t="s">
        <v>503</v>
      </c>
    </row>
    <row r="32" spans="1:25">
      <c r="A32" s="10" t="s">
        <v>284</v>
      </c>
      <c r="B32" s="10" t="s">
        <v>484</v>
      </c>
      <c r="C32" s="64">
        <v>1100</v>
      </c>
      <c r="D32" s="64">
        <v>1081.25</v>
      </c>
      <c r="E32" s="64">
        <v>1034.375</v>
      </c>
      <c r="F32" s="64">
        <v>987.5</v>
      </c>
      <c r="G32" s="64">
        <v>940.625</v>
      </c>
      <c r="H32" s="64">
        <v>893.75</v>
      </c>
      <c r="I32" s="64">
        <v>846.875</v>
      </c>
      <c r="J32" s="64">
        <v>800</v>
      </c>
      <c r="N32" s="10" t="s">
        <v>502</v>
      </c>
      <c r="O32" s="10" t="s">
        <v>495</v>
      </c>
      <c r="P32" s="10" t="s">
        <v>494</v>
      </c>
    </row>
    <row r="33" spans="1:14">
      <c r="A33" s="10" t="s">
        <v>284</v>
      </c>
      <c r="B33" s="10" t="s">
        <v>486</v>
      </c>
      <c r="C33" s="64">
        <v>1</v>
      </c>
      <c r="D33" s="64">
        <v>1</v>
      </c>
      <c r="E33" s="64">
        <v>1</v>
      </c>
      <c r="F33" s="64">
        <v>1</v>
      </c>
      <c r="G33" s="64">
        <v>1</v>
      </c>
      <c r="H33" s="64">
        <v>1</v>
      </c>
      <c r="I33" s="64">
        <v>1</v>
      </c>
      <c r="J33" s="64">
        <v>1</v>
      </c>
      <c r="N33" s="10" t="s">
        <v>504</v>
      </c>
    </row>
    <row r="34" spans="1:14">
      <c r="A34" s="10" t="s">
        <v>284</v>
      </c>
      <c r="B34" s="10" t="s">
        <v>487</v>
      </c>
      <c r="C34" s="64">
        <v>1</v>
      </c>
      <c r="D34" s="64">
        <v>1</v>
      </c>
      <c r="E34" s="64">
        <v>1</v>
      </c>
      <c r="F34" s="64">
        <v>1</v>
      </c>
      <c r="G34" s="64">
        <v>1</v>
      </c>
      <c r="H34" s="64">
        <v>1</v>
      </c>
      <c r="I34" s="64">
        <v>1</v>
      </c>
      <c r="J34" s="64">
        <v>1</v>
      </c>
      <c r="N34" s="10" t="s">
        <v>504</v>
      </c>
    </row>
    <row r="35" spans="1:14">
      <c r="A35" s="10" t="s">
        <v>284</v>
      </c>
      <c r="B35" s="10" t="s">
        <v>485</v>
      </c>
      <c r="C35" s="64">
        <v>930</v>
      </c>
      <c r="D35" s="64">
        <v>930</v>
      </c>
      <c r="E35" s="64">
        <v>930</v>
      </c>
      <c r="F35" s="64">
        <v>930</v>
      </c>
      <c r="G35" s="64">
        <v>930</v>
      </c>
      <c r="H35" s="64">
        <v>930</v>
      </c>
      <c r="I35" s="64">
        <v>930</v>
      </c>
      <c r="J35" s="64">
        <v>930</v>
      </c>
      <c r="N35" s="10" t="s">
        <v>505</v>
      </c>
    </row>
    <row r="36" spans="1:14">
      <c r="A36" s="10" t="s">
        <v>284</v>
      </c>
      <c r="B36" s="10" t="s">
        <v>499</v>
      </c>
      <c r="C36" s="64">
        <v>1200</v>
      </c>
      <c r="D36" s="64">
        <v>612</v>
      </c>
      <c r="E36" s="64">
        <v>444</v>
      </c>
      <c r="F36" s="64">
        <v>360</v>
      </c>
      <c r="G36" s="64">
        <v>312</v>
      </c>
      <c r="H36" s="64">
        <v>276</v>
      </c>
      <c r="I36" s="64">
        <v>252</v>
      </c>
      <c r="J36" s="64">
        <v>228</v>
      </c>
    </row>
    <row r="37" spans="1:14">
      <c r="A37" s="10" t="s">
        <v>284</v>
      </c>
      <c r="B37" s="10" t="s">
        <v>488</v>
      </c>
      <c r="C37" s="64">
        <v>700</v>
      </c>
      <c r="D37" s="64">
        <v>642.35294117647061</v>
      </c>
      <c r="E37" s="64">
        <v>634.11764705882354</v>
      </c>
      <c r="F37" s="64">
        <v>625.88235294117646</v>
      </c>
      <c r="G37" s="64">
        <v>617.64705882352939</v>
      </c>
      <c r="H37" s="64">
        <v>609.41176470588232</v>
      </c>
      <c r="I37" s="64">
        <v>609.41176470588232</v>
      </c>
      <c r="J37" s="64">
        <v>609.41176470588232</v>
      </c>
      <c r="N37" s="10" t="s">
        <v>518</v>
      </c>
    </row>
    <row r="38" spans="1:14">
      <c r="A38" s="10" t="s">
        <v>284</v>
      </c>
      <c r="B38" s="10" t="s">
        <v>490</v>
      </c>
      <c r="C38" s="71">
        <v>400</v>
      </c>
      <c r="D38" s="71">
        <v>381.39534883720933</v>
      </c>
      <c r="E38" s="71">
        <v>372.09302325581399</v>
      </c>
      <c r="F38" s="71">
        <v>372.09302325581399</v>
      </c>
      <c r="G38" s="71">
        <v>372.09302325581399</v>
      </c>
      <c r="H38" s="71">
        <v>372.09302325581399</v>
      </c>
      <c r="I38" s="71">
        <v>372.09302325581399</v>
      </c>
      <c r="J38" s="71">
        <v>372.09302325581399</v>
      </c>
      <c r="N38" s="10" t="s">
        <v>518</v>
      </c>
    </row>
    <row r="39" spans="1:14">
      <c r="A39" s="10" t="s">
        <v>284</v>
      </c>
      <c r="B39" s="10" t="s">
        <v>489</v>
      </c>
      <c r="C39" s="71">
        <v>620</v>
      </c>
      <c r="D39" s="71">
        <v>590</v>
      </c>
      <c r="E39" s="71">
        <v>580</v>
      </c>
      <c r="F39" s="71">
        <v>570</v>
      </c>
      <c r="G39" s="71">
        <v>560</v>
      </c>
      <c r="H39" s="71">
        <v>560</v>
      </c>
      <c r="I39" s="71">
        <v>560</v>
      </c>
      <c r="J39" s="71">
        <v>560</v>
      </c>
      <c r="N39" s="10" t="s">
        <v>518</v>
      </c>
    </row>
    <row r="40" spans="1:14">
      <c r="C40" s="64"/>
      <c r="D40" s="64"/>
      <c r="E40" s="64"/>
      <c r="F40" s="64"/>
      <c r="G40" s="64"/>
      <c r="H40" s="64"/>
      <c r="I40" s="64"/>
      <c r="J40" s="64"/>
    </row>
    <row r="41" spans="1:14">
      <c r="C41" s="64"/>
      <c r="D41" s="64"/>
      <c r="E41" s="64"/>
      <c r="F41" s="64"/>
      <c r="G41" s="64"/>
      <c r="H41" s="64"/>
      <c r="I41" s="64"/>
      <c r="J41" s="64"/>
    </row>
    <row r="42" spans="1:14">
      <c r="C42" s="64"/>
      <c r="D42" s="64"/>
      <c r="E42" s="64"/>
      <c r="F42" s="64"/>
      <c r="G42" s="64"/>
      <c r="H42" s="64"/>
      <c r="I42" s="64"/>
      <c r="J42" s="64"/>
    </row>
    <row r="43" spans="1:14">
      <c r="B43" s="62"/>
      <c r="C43" s="64"/>
      <c r="D43" s="64"/>
      <c r="E43" s="64"/>
      <c r="F43" s="64"/>
      <c r="G43" s="64"/>
      <c r="H43" s="64"/>
      <c r="I43" s="64"/>
      <c r="J43" s="64"/>
    </row>
    <row r="44" spans="1:14">
      <c r="B44" s="62"/>
      <c r="C44" s="64"/>
      <c r="D44" s="64"/>
      <c r="E44" s="64"/>
      <c r="F44" s="64"/>
      <c r="G44" s="64"/>
      <c r="H44" s="64"/>
      <c r="I44" s="64"/>
      <c r="J44" s="64"/>
    </row>
    <row r="45" spans="1:14">
      <c r="B45" s="62"/>
      <c r="C45" s="64"/>
      <c r="D45" s="64"/>
      <c r="E45" s="64"/>
      <c r="F45" s="64"/>
      <c r="G45" s="64"/>
      <c r="H45" s="64"/>
      <c r="I45" s="64"/>
      <c r="J45" s="64"/>
    </row>
    <row r="46" spans="1:14">
      <c r="B46" s="62"/>
      <c r="C46" s="64"/>
      <c r="D46" s="64"/>
      <c r="E46" s="64"/>
      <c r="F46" s="64"/>
      <c r="G46" s="64"/>
      <c r="H46" s="64"/>
      <c r="I46" s="64"/>
      <c r="J46" s="64"/>
    </row>
    <row r="47" spans="1:14">
      <c r="B47" s="62"/>
      <c r="C47" s="64"/>
      <c r="D47" s="64"/>
      <c r="E47" s="64"/>
      <c r="F47" s="64"/>
      <c r="G47" s="64"/>
      <c r="H47" s="64"/>
      <c r="I47" s="64"/>
      <c r="J47" s="64"/>
    </row>
    <row r="48" spans="1:14">
      <c r="B48" s="62"/>
      <c r="C48" s="64"/>
      <c r="D48" s="64"/>
      <c r="E48" s="64"/>
      <c r="F48" s="64"/>
      <c r="G48" s="64"/>
      <c r="H48" s="64"/>
      <c r="I48" s="64"/>
      <c r="J48" s="64"/>
    </row>
    <row r="49" spans="2:10">
      <c r="B49" s="62"/>
      <c r="C49" s="64"/>
      <c r="D49" s="64"/>
      <c r="E49" s="64"/>
      <c r="F49" s="64"/>
      <c r="G49" s="64"/>
      <c r="H49" s="64"/>
      <c r="I49" s="64"/>
      <c r="J49" s="64"/>
    </row>
    <row r="50" spans="2:10">
      <c r="B50" s="62"/>
      <c r="C50" s="64"/>
      <c r="D50" s="64"/>
      <c r="E50" s="64"/>
      <c r="F50" s="64"/>
      <c r="G50" s="64"/>
      <c r="H50" s="64"/>
      <c r="I50" s="64"/>
      <c r="J50" s="64"/>
    </row>
    <row r="51" spans="2:10">
      <c r="B51" s="62"/>
      <c r="C51" s="64"/>
      <c r="D51" s="64"/>
      <c r="E51" s="64"/>
      <c r="F51" s="64"/>
      <c r="G51" s="64"/>
      <c r="H51" s="64"/>
      <c r="I51" s="64"/>
      <c r="J51" s="64"/>
    </row>
    <row r="52" spans="2:10">
      <c r="C52" s="83"/>
      <c r="D52" s="83"/>
      <c r="E52" s="83"/>
      <c r="F52" s="83"/>
      <c r="G52" s="83"/>
      <c r="H52" s="83"/>
      <c r="I52" s="83"/>
      <c r="J52" s="83"/>
    </row>
    <row r="53" spans="2:10">
      <c r="C53" s="64"/>
      <c r="D53" s="64"/>
      <c r="E53" s="64"/>
      <c r="F53" s="64"/>
      <c r="G53" s="64"/>
      <c r="H53" s="64"/>
      <c r="I53" s="64"/>
      <c r="J53" s="64"/>
    </row>
    <row r="59" spans="2:10">
      <c r="C59" s="84"/>
      <c r="F59" s="84"/>
      <c r="H59" s="84"/>
      <c r="J59" s="84"/>
    </row>
    <row r="60" spans="2:10">
      <c r="C60" s="84"/>
      <c r="D60" s="84"/>
      <c r="E60" s="84"/>
      <c r="F60" s="84"/>
      <c r="G60" s="84"/>
      <c r="H60" s="84"/>
      <c r="I60" s="84"/>
      <c r="J60" s="84"/>
    </row>
    <row r="65" spans="3:10">
      <c r="C65" s="85"/>
      <c r="D65" s="85"/>
      <c r="E65" s="85"/>
      <c r="F65" s="85"/>
      <c r="G65" s="85"/>
      <c r="H65" s="85"/>
      <c r="I65" s="85"/>
      <c r="J65" s="85"/>
    </row>
    <row r="66" spans="3:10">
      <c r="C66" s="64"/>
      <c r="D66" s="64"/>
      <c r="E66" s="64"/>
      <c r="F66" s="64"/>
      <c r="G66" s="64"/>
      <c r="H66" s="64"/>
      <c r="I66" s="64"/>
      <c r="J66" s="64"/>
    </row>
    <row r="67" spans="3:10">
      <c r="C67" s="64"/>
      <c r="D67" s="64"/>
      <c r="E67" s="64"/>
      <c r="F67" s="64"/>
      <c r="G67" s="64"/>
      <c r="H67" s="64"/>
      <c r="I67" s="64"/>
      <c r="J67" s="64"/>
    </row>
    <row r="68" spans="3:10">
      <c r="C68" s="64"/>
      <c r="D68" s="64"/>
      <c r="E68" s="64"/>
      <c r="F68" s="64"/>
      <c r="G68" s="64"/>
      <c r="H68" s="64"/>
      <c r="I68" s="64"/>
      <c r="J68" s="64"/>
    </row>
    <row r="69" spans="3:10">
      <c r="C69" s="64"/>
      <c r="D69" s="64"/>
      <c r="E69" s="64"/>
      <c r="F69" s="64"/>
      <c r="G69" s="64"/>
      <c r="H69" s="64"/>
      <c r="I69" s="64"/>
      <c r="J69" s="64"/>
    </row>
    <row r="70" spans="3:10">
      <c r="C70" s="64"/>
      <c r="D70" s="64"/>
      <c r="E70" s="64"/>
      <c r="F70" s="64"/>
      <c r="G70" s="64"/>
      <c r="H70" s="64"/>
      <c r="I70" s="64"/>
      <c r="J70" s="64"/>
    </row>
    <row r="71" spans="3:10">
      <c r="C71" s="64"/>
      <c r="D71" s="64"/>
      <c r="E71" s="64"/>
      <c r="F71" s="64"/>
      <c r="G71" s="64"/>
      <c r="H71" s="64"/>
      <c r="I71" s="64"/>
      <c r="J71" s="64"/>
    </row>
    <row r="72" spans="3:10">
      <c r="C72" s="64"/>
      <c r="D72" s="64"/>
      <c r="E72" s="64"/>
      <c r="F72" s="64"/>
      <c r="G72" s="64"/>
      <c r="H72" s="64"/>
      <c r="I72" s="64"/>
      <c r="J72" s="64"/>
    </row>
    <row r="73" spans="3:10">
      <c r="C73" s="85"/>
      <c r="D73" s="85"/>
      <c r="E73" s="85"/>
      <c r="F73" s="85"/>
      <c r="G73" s="85"/>
      <c r="H73" s="85"/>
      <c r="I73" s="85"/>
      <c r="J73" s="85"/>
    </row>
    <row r="74" spans="3:10">
      <c r="C74" s="85"/>
      <c r="D74" s="85"/>
      <c r="E74" s="85"/>
      <c r="F74" s="85"/>
      <c r="G74" s="85"/>
      <c r="H74" s="85"/>
      <c r="I74" s="85"/>
      <c r="J74" s="85"/>
    </row>
    <row r="75" spans="3:10">
      <c r="C75" s="64"/>
      <c r="D75" s="64"/>
      <c r="E75" s="64"/>
      <c r="F75" s="64"/>
      <c r="G75" s="64"/>
      <c r="H75" s="64"/>
      <c r="I75" s="64"/>
      <c r="J75" s="64"/>
    </row>
    <row r="76" spans="3:10">
      <c r="C76" s="64"/>
      <c r="D76" s="64"/>
      <c r="E76" s="64"/>
      <c r="F76" s="64"/>
      <c r="G76" s="64"/>
      <c r="H76" s="64"/>
      <c r="I76" s="64"/>
      <c r="J76" s="64"/>
    </row>
    <row r="77" spans="3:10">
      <c r="C77" s="64"/>
      <c r="D77" s="64"/>
      <c r="E77" s="64"/>
      <c r="F77" s="64"/>
      <c r="G77" s="64"/>
      <c r="H77" s="64"/>
      <c r="I77" s="64"/>
      <c r="J77" s="64"/>
    </row>
    <row r="78" spans="3:10">
      <c r="C78" s="64"/>
      <c r="D78" s="64"/>
      <c r="E78" s="64"/>
      <c r="F78" s="64"/>
      <c r="G78" s="64"/>
      <c r="H78" s="64"/>
      <c r="I78" s="64"/>
      <c r="J78" s="64"/>
    </row>
    <row r="79" spans="3:10">
      <c r="C79" s="64"/>
      <c r="D79" s="64"/>
      <c r="E79" s="64"/>
      <c r="F79" s="64"/>
      <c r="G79" s="64"/>
      <c r="H79" s="64"/>
      <c r="I79" s="64"/>
      <c r="J79" s="64"/>
    </row>
    <row r="80" spans="3:10">
      <c r="C80" s="64"/>
      <c r="D80" s="64"/>
      <c r="E80" s="64"/>
      <c r="F80" s="64"/>
      <c r="G80" s="64"/>
      <c r="H80" s="64"/>
      <c r="I80" s="64"/>
      <c r="J80" s="64"/>
    </row>
    <row r="81" spans="3:10">
      <c r="C81" s="64"/>
      <c r="D81" s="64"/>
      <c r="E81" s="64"/>
      <c r="F81" s="64"/>
      <c r="G81" s="64"/>
      <c r="H81" s="64"/>
      <c r="I81" s="64"/>
      <c r="J81" s="64"/>
    </row>
    <row r="82" spans="3:10">
      <c r="C82" s="64"/>
      <c r="D82" s="64"/>
      <c r="E82" s="64"/>
      <c r="F82" s="64"/>
      <c r="G82" s="64"/>
      <c r="H82" s="64"/>
      <c r="I82" s="64"/>
      <c r="J82" s="64"/>
    </row>
    <row r="83" spans="3:10">
      <c r="C83" s="64"/>
      <c r="D83" s="64"/>
      <c r="E83" s="64"/>
      <c r="F83" s="64"/>
      <c r="G83" s="64"/>
      <c r="H83" s="64"/>
      <c r="I83" s="64"/>
      <c r="J83" s="64"/>
    </row>
    <row r="84" spans="3:10">
      <c r="C84" s="64"/>
      <c r="D84" s="64"/>
      <c r="E84" s="64"/>
      <c r="F84" s="64"/>
      <c r="G84" s="64"/>
      <c r="H84" s="64"/>
      <c r="I84" s="64"/>
      <c r="J84" s="64"/>
    </row>
    <row r="85" spans="3:10">
      <c r="C85" s="64"/>
      <c r="D85" s="64"/>
      <c r="E85" s="64"/>
      <c r="F85" s="64"/>
      <c r="G85" s="64"/>
      <c r="H85" s="64"/>
      <c r="I85" s="64"/>
      <c r="J85" s="64"/>
    </row>
    <row r="86" spans="3:10">
      <c r="C86" s="64"/>
      <c r="D86" s="64"/>
      <c r="E86" s="64"/>
      <c r="F86" s="64"/>
      <c r="G86" s="64"/>
      <c r="H86" s="64"/>
      <c r="I86" s="64"/>
      <c r="J86" s="64"/>
    </row>
    <row r="87" spans="3:10">
      <c r="C87" s="64"/>
      <c r="D87" s="64"/>
      <c r="E87" s="64"/>
      <c r="F87" s="64"/>
      <c r="G87" s="64"/>
      <c r="H87" s="64"/>
      <c r="I87" s="64"/>
      <c r="J87" s="64"/>
    </row>
    <row r="88" spans="3:10">
      <c r="C88" s="64"/>
      <c r="D88" s="64"/>
      <c r="E88" s="64"/>
      <c r="F88" s="64"/>
      <c r="G88" s="64"/>
      <c r="H88" s="64"/>
      <c r="I88" s="64"/>
      <c r="J88" s="64"/>
    </row>
    <row r="89" spans="3:10">
      <c r="C89" s="64"/>
      <c r="D89" s="64"/>
      <c r="E89" s="64"/>
      <c r="F89" s="64"/>
      <c r="G89" s="64"/>
      <c r="H89" s="64"/>
      <c r="I89" s="64"/>
      <c r="J89" s="64"/>
    </row>
    <row r="90" spans="3:10">
      <c r="C90" s="64"/>
      <c r="D90" s="64"/>
      <c r="E90" s="64"/>
      <c r="F90" s="64"/>
      <c r="G90" s="64"/>
      <c r="H90" s="64"/>
      <c r="I90" s="64"/>
      <c r="J90" s="64"/>
    </row>
    <row r="91" spans="3:10">
      <c r="C91" s="64"/>
      <c r="D91" s="64"/>
      <c r="E91" s="64"/>
      <c r="F91" s="64"/>
      <c r="G91" s="64"/>
      <c r="H91" s="64"/>
      <c r="I91" s="64"/>
      <c r="J91" s="64"/>
    </row>
    <row r="92" spans="3:10">
      <c r="C92" s="64"/>
      <c r="D92" s="64"/>
      <c r="E92" s="64"/>
      <c r="F92" s="64"/>
      <c r="G92" s="64"/>
      <c r="H92" s="64"/>
      <c r="I92" s="64"/>
      <c r="J92" s="64"/>
    </row>
    <row r="93" spans="3:10">
      <c r="C93" s="64"/>
      <c r="D93" s="64"/>
      <c r="E93" s="64"/>
      <c r="F93" s="64"/>
      <c r="G93" s="64"/>
      <c r="H93" s="64"/>
      <c r="I93" s="64"/>
      <c r="J93" s="64"/>
    </row>
    <row r="94" spans="3:10">
      <c r="C94" s="64"/>
      <c r="D94" s="64"/>
      <c r="E94" s="64"/>
      <c r="F94" s="64"/>
      <c r="G94" s="64"/>
      <c r="H94" s="64"/>
      <c r="I94" s="64"/>
      <c r="J94" s="64"/>
    </row>
    <row r="95" spans="3:10">
      <c r="C95" s="64"/>
      <c r="D95" s="64"/>
      <c r="E95" s="64"/>
      <c r="F95" s="64"/>
      <c r="G95" s="64"/>
      <c r="H95" s="64"/>
      <c r="I95" s="64"/>
      <c r="J95" s="64"/>
    </row>
    <row r="96" spans="3:10">
      <c r="C96" s="64"/>
      <c r="D96" s="64"/>
      <c r="E96" s="64"/>
      <c r="F96" s="64"/>
      <c r="G96" s="64"/>
      <c r="H96" s="64"/>
      <c r="I96" s="64"/>
      <c r="J96" s="64"/>
    </row>
    <row r="97" spans="2:10">
      <c r="C97" s="64"/>
      <c r="D97" s="64"/>
      <c r="E97" s="64"/>
      <c r="F97" s="64"/>
      <c r="G97" s="64"/>
      <c r="H97" s="64"/>
      <c r="I97" s="64"/>
      <c r="J97" s="64"/>
    </row>
    <row r="98" spans="2:10">
      <c r="C98" s="64"/>
      <c r="D98" s="64"/>
      <c r="E98" s="64"/>
      <c r="F98" s="64"/>
      <c r="G98" s="64"/>
      <c r="H98" s="64"/>
      <c r="I98" s="64"/>
      <c r="J98" s="64"/>
    </row>
    <row r="99" spans="2:10">
      <c r="C99" s="64"/>
      <c r="D99" s="64"/>
      <c r="E99" s="64"/>
      <c r="F99" s="64"/>
      <c r="G99" s="64"/>
      <c r="H99" s="64"/>
      <c r="I99" s="64"/>
      <c r="J99" s="64"/>
    </row>
    <row r="100" spans="2:10">
      <c r="C100" s="64"/>
      <c r="D100" s="64"/>
      <c r="E100" s="64"/>
      <c r="F100" s="64"/>
      <c r="G100" s="64"/>
      <c r="H100" s="64"/>
      <c r="I100" s="64"/>
      <c r="J100" s="64"/>
    </row>
    <row r="101" spans="2:10">
      <c r="C101" s="64"/>
      <c r="D101" s="64"/>
      <c r="E101" s="64"/>
      <c r="F101" s="64"/>
      <c r="G101" s="64"/>
      <c r="H101" s="64"/>
      <c r="I101" s="64"/>
      <c r="J101" s="64"/>
    </row>
    <row r="102" spans="2:10">
      <c r="C102" s="64"/>
      <c r="D102" s="64"/>
      <c r="E102" s="64"/>
      <c r="F102" s="64"/>
      <c r="G102" s="64"/>
      <c r="H102" s="64"/>
      <c r="I102" s="64"/>
      <c r="J102" s="64"/>
    </row>
    <row r="103" spans="2:10">
      <c r="B103" s="79"/>
      <c r="C103" s="64"/>
      <c r="D103" s="64"/>
      <c r="E103" s="64"/>
      <c r="F103" s="64"/>
      <c r="G103" s="64"/>
      <c r="H103" s="64"/>
      <c r="I103" s="64"/>
      <c r="J103" s="64"/>
    </row>
    <row r="104" spans="2:10">
      <c r="B104" s="79"/>
      <c r="C104" s="64"/>
      <c r="D104" s="64"/>
      <c r="E104" s="64"/>
      <c r="F104" s="64"/>
      <c r="G104" s="64"/>
      <c r="H104" s="64"/>
      <c r="I104" s="64"/>
      <c r="J104" s="64"/>
    </row>
    <row r="105" spans="2:10">
      <c r="B105" s="79"/>
      <c r="C105" s="64"/>
      <c r="D105" s="64"/>
      <c r="E105" s="64"/>
      <c r="F105" s="64"/>
      <c r="G105" s="64"/>
      <c r="H105" s="64"/>
      <c r="I105" s="64"/>
      <c r="J105" s="64"/>
    </row>
    <row r="106" spans="2:10">
      <c r="B106" s="79"/>
      <c r="C106" s="64"/>
      <c r="D106" s="64"/>
      <c r="E106" s="64"/>
      <c r="F106" s="64"/>
      <c r="G106" s="64"/>
      <c r="H106" s="64"/>
      <c r="I106" s="64"/>
      <c r="J106" s="64"/>
    </row>
    <row r="107" spans="2:10">
      <c r="B107" s="79"/>
      <c r="C107" s="64"/>
      <c r="D107" s="64"/>
      <c r="E107" s="64"/>
      <c r="F107" s="64"/>
      <c r="G107" s="64"/>
      <c r="H107" s="64"/>
      <c r="I107" s="64"/>
      <c r="J107" s="64"/>
    </row>
    <row r="108" spans="2:10">
      <c r="B108" s="79"/>
      <c r="C108" s="64"/>
      <c r="D108" s="64"/>
      <c r="E108" s="64"/>
      <c r="F108" s="64"/>
      <c r="G108" s="64"/>
      <c r="H108" s="64"/>
      <c r="I108" s="64"/>
      <c r="J108" s="64"/>
    </row>
    <row r="109" spans="2:10">
      <c r="C109" s="64"/>
      <c r="D109" s="64"/>
      <c r="E109" s="64"/>
      <c r="F109" s="64"/>
      <c r="G109" s="64"/>
      <c r="H109" s="64"/>
      <c r="I109" s="64"/>
      <c r="J109" s="64"/>
    </row>
    <row r="110" spans="2:10">
      <c r="C110" s="64"/>
      <c r="D110" s="64"/>
      <c r="E110" s="64"/>
      <c r="F110" s="64"/>
      <c r="G110" s="64"/>
      <c r="H110" s="64"/>
      <c r="I110" s="64"/>
      <c r="J110" s="64"/>
    </row>
    <row r="111" spans="2:10">
      <c r="C111" s="64"/>
      <c r="D111" s="64"/>
      <c r="E111" s="64"/>
      <c r="F111" s="64"/>
      <c r="G111" s="64"/>
      <c r="H111" s="64"/>
      <c r="I111" s="64"/>
      <c r="J111" s="64"/>
    </row>
    <row r="112" spans="2:10">
      <c r="C112" s="64"/>
      <c r="D112" s="64"/>
      <c r="E112" s="64"/>
      <c r="F112" s="64"/>
      <c r="G112" s="64"/>
      <c r="H112" s="64"/>
      <c r="I112" s="64"/>
      <c r="J112" s="64"/>
    </row>
    <row r="113" spans="3:10">
      <c r="C113" s="64"/>
      <c r="D113" s="64"/>
      <c r="E113" s="64"/>
      <c r="F113" s="64"/>
      <c r="G113" s="64"/>
      <c r="H113" s="64"/>
      <c r="I113" s="64"/>
      <c r="J113" s="64"/>
    </row>
    <row r="114" spans="3:10">
      <c r="C114" s="64"/>
      <c r="D114" s="64"/>
      <c r="E114" s="64"/>
      <c r="F114" s="64"/>
      <c r="G114" s="64"/>
      <c r="H114" s="64"/>
      <c r="I114" s="64"/>
      <c r="J114" s="64"/>
    </row>
    <row r="115" spans="3:10">
      <c r="C115" s="64"/>
      <c r="D115" s="64"/>
      <c r="E115" s="64"/>
      <c r="F115" s="64"/>
      <c r="G115" s="64"/>
      <c r="H115" s="64"/>
      <c r="I115" s="64"/>
      <c r="J115" s="64"/>
    </row>
    <row r="116" spans="3:10">
      <c r="C116" s="64"/>
      <c r="D116" s="64"/>
      <c r="E116" s="64"/>
      <c r="F116" s="64"/>
      <c r="G116" s="64"/>
      <c r="H116" s="64"/>
      <c r="I116" s="64"/>
      <c r="J116" s="64"/>
    </row>
    <row r="117" spans="3:10">
      <c r="C117" s="64"/>
      <c r="D117" s="64"/>
      <c r="E117" s="64"/>
      <c r="F117" s="64"/>
      <c r="G117" s="64"/>
      <c r="H117" s="64"/>
      <c r="I117" s="64"/>
      <c r="J117" s="64"/>
    </row>
    <row r="118" spans="3:10">
      <c r="C118" s="85"/>
      <c r="D118" s="85"/>
      <c r="E118" s="85"/>
      <c r="F118" s="85"/>
      <c r="G118" s="85"/>
      <c r="H118" s="85"/>
      <c r="I118" s="85"/>
      <c r="J118" s="85"/>
    </row>
    <row r="119" spans="3:10">
      <c r="C119" s="85"/>
      <c r="D119" s="85"/>
      <c r="E119" s="85"/>
      <c r="F119" s="85"/>
      <c r="G119" s="85"/>
      <c r="H119" s="85"/>
      <c r="I119" s="85"/>
      <c r="J119" s="85"/>
    </row>
    <row r="120" spans="3:10">
      <c r="C120" s="85"/>
      <c r="D120" s="85"/>
      <c r="E120" s="85"/>
      <c r="F120" s="85"/>
      <c r="G120" s="85"/>
      <c r="H120" s="85"/>
      <c r="I120" s="85"/>
      <c r="J120" s="85"/>
    </row>
    <row r="121" spans="3:10">
      <c r="C121" s="85"/>
      <c r="D121" s="85"/>
      <c r="E121" s="85"/>
      <c r="F121" s="85"/>
      <c r="G121" s="85"/>
      <c r="H121" s="85"/>
      <c r="I121" s="85"/>
      <c r="J121" s="85"/>
    </row>
    <row r="122" spans="3:10">
      <c r="C122" s="85"/>
      <c r="D122" s="85"/>
      <c r="E122" s="85"/>
      <c r="F122" s="85"/>
      <c r="G122" s="85"/>
      <c r="H122" s="85"/>
      <c r="I122" s="85"/>
      <c r="J122" s="85"/>
    </row>
    <row r="123" spans="3:10">
      <c r="C123" s="85"/>
      <c r="D123" s="85"/>
      <c r="E123" s="85"/>
      <c r="F123" s="85"/>
      <c r="G123" s="85"/>
      <c r="H123" s="85"/>
      <c r="I123" s="85"/>
      <c r="J123" s="85"/>
    </row>
    <row r="124" spans="3:10">
      <c r="C124" s="64"/>
      <c r="D124" s="64"/>
      <c r="E124" s="64"/>
      <c r="F124" s="64"/>
      <c r="G124" s="64"/>
      <c r="H124" s="64"/>
      <c r="I124" s="64"/>
      <c r="J124" s="64"/>
    </row>
    <row r="125" spans="3:10">
      <c r="C125" s="64"/>
      <c r="D125" s="64"/>
      <c r="E125" s="64"/>
      <c r="F125" s="64"/>
      <c r="G125" s="64"/>
      <c r="H125" s="64"/>
      <c r="I125" s="64"/>
      <c r="J125" s="64"/>
    </row>
    <row r="126" spans="3:10">
      <c r="C126" s="85"/>
      <c r="D126" s="64"/>
      <c r="E126" s="64"/>
      <c r="F126" s="64"/>
      <c r="G126" s="64"/>
      <c r="H126" s="64"/>
      <c r="I126" s="64"/>
      <c r="J126" s="85"/>
    </row>
    <row r="127" spans="3:10">
      <c r="C127" s="85"/>
      <c r="D127" s="85"/>
      <c r="E127" s="85"/>
      <c r="F127" s="85"/>
      <c r="G127" s="85"/>
      <c r="H127" s="85"/>
      <c r="I127" s="85"/>
      <c r="J127" s="85"/>
    </row>
    <row r="128" spans="3:10">
      <c r="C128" s="85"/>
      <c r="D128" s="85"/>
      <c r="E128" s="85"/>
      <c r="F128" s="85"/>
      <c r="G128" s="85"/>
      <c r="H128" s="85"/>
      <c r="I128" s="85"/>
      <c r="J128" s="85"/>
    </row>
    <row r="129" spans="1:10">
      <c r="C129" s="64"/>
      <c r="D129" s="64"/>
      <c r="E129" s="64"/>
      <c r="F129" s="64"/>
      <c r="G129" s="64"/>
      <c r="H129" s="64"/>
      <c r="I129" s="64"/>
      <c r="J129" s="64"/>
    </row>
    <row r="130" spans="1:10">
      <c r="C130" s="64"/>
      <c r="D130" s="64"/>
      <c r="E130" s="64"/>
      <c r="F130" s="64"/>
      <c r="G130" s="64"/>
      <c r="H130" s="64"/>
      <c r="I130" s="64"/>
      <c r="J130" s="64"/>
    </row>
    <row r="131" spans="1:10">
      <c r="C131" s="64"/>
      <c r="D131" s="64"/>
      <c r="E131" s="64"/>
      <c r="F131" s="64"/>
      <c r="G131" s="64"/>
      <c r="H131" s="64"/>
      <c r="I131" s="64"/>
      <c r="J131" s="64"/>
    </row>
    <row r="132" spans="1:10">
      <c r="C132" s="64"/>
      <c r="D132" s="64"/>
      <c r="E132" s="64"/>
      <c r="F132" s="64"/>
      <c r="G132" s="64"/>
      <c r="H132" s="64"/>
      <c r="I132" s="64"/>
      <c r="J132" s="64"/>
    </row>
    <row r="133" spans="1:10">
      <c r="A133" s="70"/>
      <c r="C133" s="64"/>
      <c r="D133" s="64"/>
      <c r="E133" s="64"/>
      <c r="F133" s="64"/>
      <c r="G133" s="64"/>
      <c r="H133" s="64"/>
      <c r="I133" s="64"/>
      <c r="J133" s="64"/>
    </row>
    <row r="134" spans="1:10">
      <c r="A134" s="70"/>
      <c r="C134" s="64"/>
      <c r="D134" s="64"/>
      <c r="E134" s="64"/>
      <c r="F134" s="64"/>
      <c r="G134" s="64"/>
      <c r="H134" s="64"/>
      <c r="I134" s="64"/>
      <c r="J134" s="64"/>
    </row>
    <row r="135" spans="1:10">
      <c r="A135" s="70"/>
      <c r="C135" s="64"/>
      <c r="D135" s="64"/>
      <c r="E135" s="64"/>
      <c r="F135" s="64"/>
      <c r="G135" s="64"/>
      <c r="H135" s="64"/>
      <c r="I135" s="64"/>
      <c r="J135" s="64"/>
    </row>
    <row r="136" spans="1:10">
      <c r="C136" s="64"/>
      <c r="D136" s="64"/>
      <c r="E136" s="64"/>
      <c r="F136" s="64"/>
      <c r="G136" s="64"/>
      <c r="H136" s="64"/>
      <c r="I136" s="64"/>
      <c r="J136" s="64"/>
    </row>
    <row r="137" spans="1:10">
      <c r="C137" s="64"/>
      <c r="D137" s="64"/>
      <c r="E137" s="64"/>
      <c r="F137" s="64"/>
      <c r="G137" s="64"/>
      <c r="H137" s="64"/>
      <c r="I137" s="64"/>
      <c r="J137" s="64"/>
    </row>
    <row r="138" spans="1:10">
      <c r="A138" s="58"/>
      <c r="B138" s="62"/>
      <c r="C138" s="86"/>
      <c r="D138" s="86"/>
      <c r="E138" s="86"/>
      <c r="F138" s="86"/>
      <c r="G138" s="86"/>
      <c r="H138" s="86"/>
      <c r="I138" s="86"/>
      <c r="J138" s="86"/>
    </row>
    <row r="139" spans="1:10">
      <c r="A139" s="58"/>
      <c r="B139" s="62"/>
      <c r="C139" s="86"/>
      <c r="D139" s="86"/>
      <c r="E139" s="86"/>
      <c r="F139" s="86"/>
      <c r="G139" s="86"/>
      <c r="H139" s="86"/>
      <c r="I139" s="86"/>
      <c r="J139" s="86"/>
    </row>
    <row r="140" spans="1:10">
      <c r="A140" s="58"/>
      <c r="B140" s="62"/>
      <c r="C140" s="86"/>
      <c r="D140" s="86"/>
      <c r="E140" s="86"/>
      <c r="F140" s="86"/>
      <c r="G140" s="86"/>
      <c r="H140" s="86"/>
      <c r="I140" s="86"/>
      <c r="J140" s="86"/>
    </row>
    <row r="141" spans="1:10">
      <c r="A141" s="58"/>
      <c r="B141" s="62"/>
      <c r="C141" s="86"/>
      <c r="D141" s="86"/>
      <c r="E141" s="86"/>
      <c r="F141" s="86"/>
      <c r="G141" s="86"/>
      <c r="H141" s="86"/>
      <c r="I141" s="86"/>
      <c r="J141" s="86"/>
    </row>
    <row r="142" spans="1:10">
      <c r="A142" s="58"/>
      <c r="B142" s="62"/>
      <c r="C142" s="86"/>
      <c r="D142" s="86"/>
      <c r="E142" s="86"/>
      <c r="F142" s="86"/>
      <c r="G142" s="86"/>
      <c r="H142" s="86"/>
      <c r="I142" s="86"/>
      <c r="J142" s="86"/>
    </row>
    <row r="144" spans="1:10">
      <c r="A144" s="58"/>
      <c r="B144" s="62"/>
      <c r="C144" s="85"/>
      <c r="D144" s="64"/>
      <c r="E144" s="64"/>
      <c r="F144" s="64"/>
      <c r="G144" s="64"/>
      <c r="H144" s="64"/>
      <c r="I144" s="64"/>
      <c r="J144" s="85"/>
    </row>
    <row r="145" spans="1:10">
      <c r="A145" s="58"/>
      <c r="B145" s="62"/>
      <c r="C145" s="64"/>
      <c r="D145" s="64"/>
      <c r="E145" s="64"/>
      <c r="F145" s="64"/>
      <c r="G145" s="64"/>
      <c r="H145" s="64"/>
      <c r="I145" s="64"/>
      <c r="J145" s="85"/>
    </row>
  </sheetData>
  <dataValidations count="2">
    <dataValidation type="list" allowBlank="1" showInputMessage="1" showErrorMessage="1" sqref="A133:A135" xr:uid="{EDAD1653-6226-488D-B14F-4088F54FD4CD}">
      <formula1>Regions</formula1>
    </dataValidation>
    <dataValidation type="list" allowBlank="1" showInputMessage="1" showErrorMessage="1" sqref="B141" xr:uid="{065FE212-E40F-47AA-8B13-0523AD71CD3B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4"/>
  <dimension ref="A1:P222"/>
  <sheetViews>
    <sheetView topLeftCell="A71" workbookViewId="0">
      <selection activeCell="M89" sqref="M89"/>
    </sheetView>
  </sheetViews>
  <sheetFormatPr defaultColWidth="11.42578125" defaultRowHeight="15"/>
  <cols>
    <col min="1" max="1" width="11.42578125" style="1"/>
    <col min="2" max="2" width="20.42578125" style="1" customWidth="1"/>
    <col min="3" max="3" width="19.5703125" style="1" bestFit="1" customWidth="1"/>
    <col min="4" max="11" width="11.42578125" style="1"/>
    <col min="12" max="12" width="2.140625" style="1" customWidth="1"/>
    <col min="13" max="16384" width="11.42578125" style="1"/>
  </cols>
  <sheetData>
    <row r="1" spans="1:11">
      <c r="A1" s="1" t="s">
        <v>434</v>
      </c>
    </row>
    <row r="2" spans="1:11">
      <c r="A2" s="1" t="s">
        <v>378</v>
      </c>
    </row>
    <row r="3" spans="1:11">
      <c r="A3" s="1" t="s">
        <v>397</v>
      </c>
    </row>
    <row r="5" spans="1:11">
      <c r="A5" s="1" t="s">
        <v>20</v>
      </c>
      <c r="B5" s="1" t="s">
        <v>26</v>
      </c>
      <c r="C5" s="1" t="s">
        <v>375</v>
      </c>
      <c r="D5" s="1">
        <v>2018</v>
      </c>
      <c r="E5" s="1">
        <v>2020</v>
      </c>
      <c r="F5" s="1">
        <v>2025</v>
      </c>
      <c r="G5" s="1">
        <v>2030</v>
      </c>
      <c r="H5" s="1">
        <v>2035</v>
      </c>
      <c r="I5" s="1">
        <v>2040</v>
      </c>
      <c r="J5" s="1">
        <v>2045</v>
      </c>
      <c r="K5" s="1">
        <v>2050</v>
      </c>
    </row>
    <row r="6" spans="1:11">
      <c r="A6" s="10" t="s">
        <v>284</v>
      </c>
      <c r="B6" s="10" t="s">
        <v>134</v>
      </c>
      <c r="C6" s="10">
        <v>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</row>
    <row r="7" spans="1:11">
      <c r="A7" s="10" t="s">
        <v>284</v>
      </c>
      <c r="B7" s="10" t="s">
        <v>135</v>
      </c>
      <c r="C7" s="10">
        <v>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</row>
    <row r="8" spans="1:11">
      <c r="A8" s="10" t="s">
        <v>284</v>
      </c>
      <c r="B8" s="10" t="s">
        <v>129</v>
      </c>
      <c r="C8" s="10">
        <v>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</row>
    <row r="9" spans="1:11">
      <c r="A9" s="10" t="s">
        <v>284</v>
      </c>
      <c r="B9" s="10" t="s">
        <v>61</v>
      </c>
      <c r="C9" s="10">
        <v>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</row>
    <row r="10" spans="1:11">
      <c r="A10" s="10" t="s">
        <v>284</v>
      </c>
      <c r="B10" s="10" t="s">
        <v>130</v>
      </c>
      <c r="C10" s="10">
        <v>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</row>
    <row r="11" spans="1:11">
      <c r="A11" s="10" t="s">
        <v>284</v>
      </c>
      <c r="B11" s="10" t="s">
        <v>131</v>
      </c>
      <c r="C11" s="10">
        <v>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</row>
    <row r="12" spans="1:11">
      <c r="A12" s="10" t="s">
        <v>284</v>
      </c>
      <c r="B12" s="10" t="s">
        <v>60</v>
      </c>
      <c r="C12" s="10">
        <v>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</row>
    <row r="13" spans="1:11">
      <c r="A13" s="10" t="s">
        <v>284</v>
      </c>
      <c r="B13" s="10" t="s">
        <v>59</v>
      </c>
      <c r="C13" s="10">
        <v>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</row>
    <row r="14" spans="1:11">
      <c r="A14" s="10" t="s">
        <v>284</v>
      </c>
      <c r="B14" s="10" t="s">
        <v>136</v>
      </c>
      <c r="C14" s="10">
        <v>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</row>
    <row r="15" spans="1:11">
      <c r="A15" s="10" t="s">
        <v>284</v>
      </c>
      <c r="B15" s="10" t="s">
        <v>107</v>
      </c>
      <c r="C15" s="10">
        <v>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</row>
    <row r="16" spans="1:11">
      <c r="A16" s="10" t="s">
        <v>284</v>
      </c>
      <c r="B16" s="10" t="s">
        <v>106</v>
      </c>
      <c r="C16" s="10">
        <v>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</row>
    <row r="17" spans="1:11">
      <c r="A17" s="10" t="s">
        <v>284</v>
      </c>
      <c r="B17" s="10" t="s">
        <v>22</v>
      </c>
      <c r="C17" s="10">
        <v>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</row>
    <row r="18" spans="1:11">
      <c r="A18" s="10" t="s">
        <v>284</v>
      </c>
      <c r="B18" s="10" t="s">
        <v>23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</row>
    <row r="19" spans="1:11">
      <c r="A19" s="10" t="s">
        <v>284</v>
      </c>
      <c r="B19" s="10" t="s">
        <v>58</v>
      </c>
      <c r="C19" s="10">
        <v>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</row>
    <row r="20" spans="1:11">
      <c r="A20" s="10" t="s">
        <v>284</v>
      </c>
      <c r="B20" s="10" t="s">
        <v>163</v>
      </c>
      <c r="C20" s="10">
        <v>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</row>
    <row r="21" spans="1:11">
      <c r="A21" s="10" t="s">
        <v>284</v>
      </c>
      <c r="B21" s="10" t="s">
        <v>137</v>
      </c>
      <c r="C21" s="10">
        <v>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</row>
    <row r="22" spans="1:11">
      <c r="A22" s="10" t="s">
        <v>284</v>
      </c>
      <c r="B22" s="10" t="s">
        <v>62</v>
      </c>
      <c r="C22" s="10">
        <v>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</row>
    <row r="23" spans="1:11">
      <c r="A23" s="10" t="s">
        <v>284</v>
      </c>
      <c r="B23" s="10" t="s">
        <v>138</v>
      </c>
      <c r="C23" s="10">
        <v>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</row>
    <row r="24" spans="1:11">
      <c r="A24" s="10" t="s">
        <v>284</v>
      </c>
      <c r="B24" s="10" t="s">
        <v>132</v>
      </c>
      <c r="C24" s="10">
        <v>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</row>
    <row r="25" spans="1:11">
      <c r="A25" s="10" t="s">
        <v>284</v>
      </c>
      <c r="B25" s="10" t="s">
        <v>133</v>
      </c>
      <c r="C25" s="10">
        <v>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</row>
    <row r="26" spans="1:11">
      <c r="A26" s="10" t="s">
        <v>284</v>
      </c>
      <c r="B26" s="10" t="s">
        <v>64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</row>
    <row r="27" spans="1:11">
      <c r="A27" s="10" t="s">
        <v>284</v>
      </c>
      <c r="B27" s="10" t="s">
        <v>127</v>
      </c>
      <c r="C27" s="10">
        <v>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</row>
    <row r="28" spans="1:11">
      <c r="A28" s="10" t="s">
        <v>284</v>
      </c>
      <c r="B28" s="10" t="s">
        <v>63</v>
      </c>
      <c r="C28" s="10">
        <v>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</row>
    <row r="29" spans="1:11">
      <c r="A29" s="10" t="s">
        <v>284</v>
      </c>
      <c r="B29" s="10" t="s">
        <v>128</v>
      </c>
      <c r="C29" s="10">
        <v>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</row>
    <row r="30" spans="1:11">
      <c r="A30" s="10" t="s">
        <v>284</v>
      </c>
      <c r="B30" s="10" t="s">
        <v>88</v>
      </c>
      <c r="C30" s="10">
        <v>1</v>
      </c>
      <c r="D30" s="10">
        <v>7.8180481367633563</v>
      </c>
      <c r="E30" s="10">
        <v>6.6844311569326686</v>
      </c>
      <c r="F30" s="10">
        <v>6.3502095990860354</v>
      </c>
      <c r="G30" s="10">
        <v>6.032699119131733</v>
      </c>
      <c r="H30" s="10">
        <v>5.7310641631751462</v>
      </c>
      <c r="I30" s="10">
        <v>5.4445109550163888</v>
      </c>
      <c r="J30" s="10">
        <v>5.1722854072655693</v>
      </c>
      <c r="K30" s="10">
        <v>4.9136711369022903</v>
      </c>
    </row>
    <row r="31" spans="1:11">
      <c r="A31" s="10" t="s">
        <v>284</v>
      </c>
      <c r="B31" s="10" t="s">
        <v>91</v>
      </c>
      <c r="C31" s="10">
        <v>1</v>
      </c>
      <c r="D31" s="10">
        <v>0.81691686052009449</v>
      </c>
      <c r="E31" s="10">
        <v>0.73522517446808511</v>
      </c>
      <c r="F31" s="10">
        <v>0.73522517446808511</v>
      </c>
      <c r="G31" s="10">
        <v>0.73522517446808511</v>
      </c>
      <c r="H31" s="10">
        <v>0.73522517446808511</v>
      </c>
      <c r="I31" s="10">
        <v>0.73522517446808511</v>
      </c>
      <c r="J31" s="10">
        <v>0.73522517446808511</v>
      </c>
      <c r="K31" s="10">
        <v>0.73522517446808511</v>
      </c>
    </row>
    <row r="32" spans="1:11">
      <c r="A32" s="10" t="s">
        <v>284</v>
      </c>
      <c r="B32" s="10" t="s">
        <v>92</v>
      </c>
      <c r="C32" s="10">
        <v>1</v>
      </c>
      <c r="D32" s="10">
        <v>4.5255342133478447</v>
      </c>
      <c r="E32" s="10">
        <v>3.8693317524124069</v>
      </c>
      <c r="F32" s="10">
        <v>3.6758651647917859</v>
      </c>
      <c r="G32" s="10">
        <v>3.4920719065521961</v>
      </c>
      <c r="H32" s="10">
        <v>3.3174683112245864</v>
      </c>
      <c r="I32" s="10">
        <v>3.151594895663357</v>
      </c>
      <c r="J32" s="10">
        <v>2.9940151508801889</v>
      </c>
      <c r="K32" s="10">
        <v>2.8443143933361794</v>
      </c>
    </row>
    <row r="33" spans="1:11">
      <c r="A33" s="10" t="s">
        <v>284</v>
      </c>
      <c r="B33" s="10" t="s">
        <v>100</v>
      </c>
      <c r="C33" s="10">
        <v>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</row>
    <row r="34" spans="1:11">
      <c r="A34" s="10" t="s">
        <v>284</v>
      </c>
      <c r="B34" s="10" t="s">
        <v>101</v>
      </c>
      <c r="C34" s="10">
        <v>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</row>
    <row r="35" spans="1:11">
      <c r="A35" s="10" t="s">
        <v>284</v>
      </c>
      <c r="B35" s="10" t="s">
        <v>105</v>
      </c>
      <c r="C35" s="10">
        <v>1</v>
      </c>
      <c r="D35" s="10">
        <v>0.83333333400000009</v>
      </c>
      <c r="E35" s="10">
        <v>0.77083333395000009</v>
      </c>
      <c r="F35" s="10">
        <v>0.77083333395000009</v>
      </c>
      <c r="G35" s="10">
        <v>0.77083333395000009</v>
      </c>
      <c r="H35" s="10">
        <v>0.77083333395000009</v>
      </c>
      <c r="I35" s="10">
        <v>0.77083333395000009</v>
      </c>
      <c r="J35" s="10">
        <v>0.77083333395000009</v>
      </c>
      <c r="K35" s="10">
        <v>0.77083333395000009</v>
      </c>
    </row>
    <row r="36" spans="1:11">
      <c r="A36" s="10" t="s">
        <v>284</v>
      </c>
      <c r="B36" s="10" t="s">
        <v>102</v>
      </c>
      <c r="C36" s="10">
        <v>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</row>
    <row r="37" spans="1:11">
      <c r="A37" s="10" t="s">
        <v>284</v>
      </c>
      <c r="B37" s="10" t="s">
        <v>103</v>
      </c>
      <c r="C37" s="10">
        <v>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</row>
    <row r="38" spans="1:11">
      <c r="A38" s="10" t="s">
        <v>284</v>
      </c>
      <c r="B38" s="10" t="s">
        <v>104</v>
      </c>
      <c r="C38" s="10">
        <v>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</row>
    <row r="39" spans="1:11">
      <c r="A39" s="10" t="s">
        <v>284</v>
      </c>
      <c r="B39" s="10" t="s">
        <v>99</v>
      </c>
      <c r="C39" s="10">
        <v>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</row>
    <row r="40" spans="1:11">
      <c r="A40" s="10" t="s">
        <v>284</v>
      </c>
      <c r="B40" s="10" t="s">
        <v>94</v>
      </c>
      <c r="C40" s="10">
        <v>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</row>
    <row r="41" spans="1:11">
      <c r="A41" s="10" t="s">
        <v>284</v>
      </c>
      <c r="B41" s="10" t="s">
        <v>93</v>
      </c>
      <c r="C41" s="10">
        <v>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</row>
    <row r="42" spans="1:11">
      <c r="A42" s="10" t="s">
        <v>284</v>
      </c>
      <c r="B42" s="10" t="s">
        <v>95</v>
      </c>
      <c r="C42" s="10">
        <v>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</row>
    <row r="43" spans="1:11">
      <c r="A43" s="10" t="s">
        <v>284</v>
      </c>
      <c r="B43" s="10" t="s">
        <v>170</v>
      </c>
      <c r="C43" s="10">
        <v>1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</row>
    <row r="44" spans="1:11">
      <c r="A44" s="10" t="s">
        <v>284</v>
      </c>
      <c r="B44" s="10" t="s">
        <v>171</v>
      </c>
      <c r="C44" s="10">
        <v>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</row>
    <row r="45" spans="1:11">
      <c r="A45" s="10" t="s">
        <v>284</v>
      </c>
      <c r="B45" s="10" t="s">
        <v>172</v>
      </c>
      <c r="C45" s="10">
        <v>1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</row>
    <row r="46" spans="1:11">
      <c r="A46" s="10" t="s">
        <v>284</v>
      </c>
      <c r="B46" s="10" t="s">
        <v>97</v>
      </c>
      <c r="C46" s="10">
        <v>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</row>
    <row r="47" spans="1:11">
      <c r="A47" s="10" t="s">
        <v>284</v>
      </c>
      <c r="B47" s="10" t="s">
        <v>96</v>
      </c>
      <c r="C47" s="10">
        <v>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</row>
    <row r="48" spans="1:11">
      <c r="A48" s="10" t="s">
        <v>284</v>
      </c>
      <c r="B48" s="10" t="s">
        <v>98</v>
      </c>
      <c r="C48" s="10">
        <v>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</row>
    <row r="49" spans="1:11">
      <c r="A49" s="10" t="s">
        <v>284</v>
      </c>
      <c r="B49" s="10" t="s">
        <v>158</v>
      </c>
      <c r="C49" s="10">
        <v>1</v>
      </c>
      <c r="D49" s="10">
        <v>3.91</v>
      </c>
      <c r="E49" s="10">
        <v>3.8480000000000003</v>
      </c>
      <c r="F49" s="10">
        <v>4.07925</v>
      </c>
      <c r="G49" s="10">
        <v>4.3105000000000002</v>
      </c>
      <c r="H49" s="10">
        <v>4.5417499999999995</v>
      </c>
      <c r="I49" s="10">
        <v>4.7730000000000006</v>
      </c>
      <c r="J49" s="10">
        <v>5.0042500000000008</v>
      </c>
      <c r="K49" s="10">
        <v>5.2355</v>
      </c>
    </row>
    <row r="50" spans="1:11">
      <c r="A50" s="10" t="s">
        <v>284</v>
      </c>
      <c r="B50" s="10" t="s">
        <v>125</v>
      </c>
      <c r="C50" s="10">
        <v>1</v>
      </c>
      <c r="D50" s="10">
        <v>1E-3</v>
      </c>
      <c r="E50" s="10">
        <v>8.25E-4</v>
      </c>
      <c r="F50" s="10">
        <v>8.25E-4</v>
      </c>
      <c r="G50" s="10">
        <v>8.25E-4</v>
      </c>
      <c r="H50" s="10">
        <v>8.25E-4</v>
      </c>
      <c r="I50" s="10">
        <v>8.25E-4</v>
      </c>
      <c r="J50" s="10">
        <v>8.25E-4</v>
      </c>
      <c r="K50" s="10">
        <v>8.25E-4</v>
      </c>
    </row>
    <row r="51" spans="1:11">
      <c r="A51" s="10" t="s">
        <v>284</v>
      </c>
      <c r="B51" s="10" t="s">
        <v>126</v>
      </c>
      <c r="C51" s="10">
        <v>1</v>
      </c>
      <c r="D51" s="10">
        <v>11.11111112</v>
      </c>
      <c r="E51" s="10">
        <v>5.7291666712500007</v>
      </c>
      <c r="F51" s="10">
        <v>5.5000000043999995</v>
      </c>
      <c r="G51" s="10">
        <v>5.2708333375500001</v>
      </c>
      <c r="H51" s="10">
        <v>4.4687500035749999</v>
      </c>
      <c r="I51" s="10">
        <v>3.6666666696000001</v>
      </c>
      <c r="J51" s="10">
        <v>3.6666666696000001</v>
      </c>
      <c r="K51" s="10">
        <v>3.6666666696000001</v>
      </c>
    </row>
    <row r="52" spans="1:11">
      <c r="A52" s="10" t="s">
        <v>284</v>
      </c>
      <c r="B52" s="10" t="s">
        <v>126</v>
      </c>
      <c r="C52" s="10">
        <v>2</v>
      </c>
      <c r="D52" s="10">
        <v>11.11111112</v>
      </c>
      <c r="E52" s="10">
        <v>5.7291666712500007</v>
      </c>
      <c r="F52" s="10">
        <v>5.5000000043999995</v>
      </c>
      <c r="G52" s="10">
        <v>5.2708333375500001</v>
      </c>
      <c r="H52" s="10">
        <v>4.4687500035749999</v>
      </c>
      <c r="I52" s="10">
        <v>3.6666666696000001</v>
      </c>
      <c r="J52" s="10">
        <v>3.6666666696000001</v>
      </c>
      <c r="K52" s="10">
        <v>3.6666666696000001</v>
      </c>
    </row>
    <row r="53" spans="1:11">
      <c r="A53" s="10" t="s">
        <v>284</v>
      </c>
      <c r="B53" s="10" t="s">
        <v>162</v>
      </c>
      <c r="C53" s="10">
        <v>1</v>
      </c>
      <c r="D53" s="10">
        <v>0.41666666700000005</v>
      </c>
      <c r="E53" s="10">
        <v>0.34375000027500002</v>
      </c>
      <c r="F53" s="10">
        <v>0.34375000027500002</v>
      </c>
      <c r="G53" s="10">
        <v>0.34375000027500002</v>
      </c>
      <c r="H53" s="10">
        <v>0.34375000027500002</v>
      </c>
      <c r="I53" s="10">
        <v>0.34375000027500002</v>
      </c>
      <c r="J53" s="10">
        <v>0.34375000027500002</v>
      </c>
      <c r="K53" s="10">
        <v>0.34375000027500002</v>
      </c>
    </row>
    <row r="54" spans="1:11">
      <c r="A54" s="10" t="s">
        <v>284</v>
      </c>
      <c r="B54" s="10" t="s">
        <v>162</v>
      </c>
      <c r="C54" s="10">
        <v>2</v>
      </c>
      <c r="D54" s="10">
        <v>1.2777777788</v>
      </c>
      <c r="E54" s="10">
        <v>1.0541666675099999</v>
      </c>
      <c r="F54" s="10">
        <v>1.0541666675099999</v>
      </c>
      <c r="G54" s="10">
        <v>1.0541666675099999</v>
      </c>
      <c r="H54" s="10">
        <v>1.0541666675099999</v>
      </c>
      <c r="I54" s="10">
        <v>1.0541666675099999</v>
      </c>
      <c r="J54" s="10">
        <v>1.0541666675099999</v>
      </c>
      <c r="K54" s="10">
        <v>1.0541666675099999</v>
      </c>
    </row>
    <row r="55" spans="1:11">
      <c r="A55" s="10" t="s">
        <v>284</v>
      </c>
      <c r="B55" s="10" t="s">
        <v>187</v>
      </c>
      <c r="C55" s="10">
        <v>1</v>
      </c>
      <c r="D55" s="10">
        <v>9.0735292557000022</v>
      </c>
      <c r="E55" s="10">
        <v>6.1323528357000008</v>
      </c>
      <c r="F55" s="10">
        <v>8.9705880810000007</v>
      </c>
      <c r="G55" s="10">
        <v>8.4117645612</v>
      </c>
      <c r="H55" s="10">
        <v>7.9911763331399994</v>
      </c>
      <c r="I55" s="10">
        <v>7.1920586998259992</v>
      </c>
      <c r="J55" s="10">
        <v>6.1132498948520988</v>
      </c>
      <c r="K55" s="10">
        <v>5.1962624106242838</v>
      </c>
    </row>
    <row r="56" spans="1:11">
      <c r="A56" s="10" t="s">
        <v>284</v>
      </c>
      <c r="B56" s="10" t="s">
        <v>186</v>
      </c>
      <c r="C56" s="10">
        <v>1</v>
      </c>
      <c r="D56" s="10">
        <v>2.4044955947999997</v>
      </c>
      <c r="E56" s="10">
        <v>1.8855176183999998</v>
      </c>
      <c r="F56" s="10">
        <v>2.3615033363999998</v>
      </c>
      <c r="G56" s="10">
        <v>1.7503990919999999</v>
      </c>
      <c r="H56" s="10">
        <v>1.4126027759999999</v>
      </c>
      <c r="I56" s="10">
        <v>1.1399704402320001</v>
      </c>
      <c r="J56" s="10">
        <v>0.91995614526722413</v>
      </c>
      <c r="K56" s="10">
        <v>0.74240460923064988</v>
      </c>
    </row>
    <row r="57" spans="1:11">
      <c r="A57" s="10" t="s">
        <v>284</v>
      </c>
      <c r="B57" s="10" t="s">
        <v>185</v>
      </c>
      <c r="C57" s="10">
        <v>1</v>
      </c>
      <c r="D57" s="10">
        <v>4.6746340373852817</v>
      </c>
      <c r="E57" s="10">
        <v>2.8150168473305519</v>
      </c>
      <c r="F57" s="10">
        <v>6.9095868070840831</v>
      </c>
      <c r="G57" s="10">
        <v>5.3741230721765083</v>
      </c>
      <c r="H57" s="10">
        <v>4.6916947455509206</v>
      </c>
      <c r="I57" s="10">
        <v>4.0817744286293012</v>
      </c>
      <c r="J57" s="10">
        <v>3.5511437529074921</v>
      </c>
      <c r="K57" s="10">
        <v>3.0894950650295181</v>
      </c>
    </row>
    <row r="58" spans="1:11">
      <c r="A58" s="10" t="s">
        <v>284</v>
      </c>
      <c r="B58" s="10" t="s">
        <v>22</v>
      </c>
      <c r="C58" s="10">
        <v>2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</row>
    <row r="59" spans="1:11">
      <c r="A59" s="10" t="s">
        <v>284</v>
      </c>
      <c r="B59" s="10" t="s">
        <v>22</v>
      </c>
      <c r="C59" s="10">
        <v>3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</row>
    <row r="60" spans="1:11">
      <c r="A60" s="10" t="s">
        <v>284</v>
      </c>
      <c r="B60" s="10" t="s">
        <v>198</v>
      </c>
      <c r="C60" s="10">
        <v>1</v>
      </c>
      <c r="D60" s="10">
        <v>0.55600000000000005</v>
      </c>
      <c r="E60" s="10">
        <v>0.51430000000000009</v>
      </c>
      <c r="F60" s="10">
        <v>0.51430000000000009</v>
      </c>
      <c r="G60" s="10">
        <v>0.51430000000000009</v>
      </c>
      <c r="H60" s="10">
        <v>0.51430000000000009</v>
      </c>
      <c r="I60" s="10">
        <v>0.51430000000000009</v>
      </c>
      <c r="J60" s="10">
        <v>0.51430000000000009</v>
      </c>
      <c r="K60" s="10">
        <v>0.51430000000000009</v>
      </c>
    </row>
    <row r="61" spans="1:11">
      <c r="A61" s="10" t="s">
        <v>284</v>
      </c>
      <c r="B61" s="10" t="s">
        <v>199</v>
      </c>
      <c r="C61" s="10">
        <v>1</v>
      </c>
      <c r="D61" s="10">
        <v>0.55600000000000005</v>
      </c>
      <c r="E61" s="10">
        <v>0.51430000000000009</v>
      </c>
      <c r="F61" s="10">
        <v>0.51430000000000009</v>
      </c>
      <c r="G61" s="10">
        <v>0.51430000000000009</v>
      </c>
      <c r="H61" s="10">
        <v>0.51430000000000009</v>
      </c>
      <c r="I61" s="10">
        <v>0.51430000000000009</v>
      </c>
      <c r="J61" s="10">
        <v>0.51430000000000009</v>
      </c>
      <c r="K61" s="10">
        <v>0.51430000000000009</v>
      </c>
    </row>
    <row r="62" spans="1:11">
      <c r="A62" s="10" t="s">
        <v>284</v>
      </c>
      <c r="B62" s="10" t="s">
        <v>200</v>
      </c>
      <c r="C62" s="10">
        <v>1</v>
      </c>
      <c r="D62" s="10">
        <v>0.5</v>
      </c>
      <c r="E62" s="10">
        <v>0.46250000000000002</v>
      </c>
      <c r="F62" s="10">
        <v>0.46250000000000002</v>
      </c>
      <c r="G62" s="10">
        <v>0.46250000000000002</v>
      </c>
      <c r="H62" s="10">
        <v>0.46250000000000002</v>
      </c>
      <c r="I62" s="10">
        <v>0.46250000000000002</v>
      </c>
      <c r="J62" s="10">
        <v>0.46250000000000002</v>
      </c>
      <c r="K62" s="10">
        <v>0.46250000000000002</v>
      </c>
    </row>
    <row r="63" spans="1:11">
      <c r="A63" s="10" t="s">
        <v>284</v>
      </c>
      <c r="B63" s="10" t="s">
        <v>270</v>
      </c>
      <c r="C63" s="10">
        <v>1</v>
      </c>
      <c r="D63" s="10">
        <v>0.5</v>
      </c>
      <c r="E63" s="10">
        <v>0.46250000000000002</v>
      </c>
      <c r="F63" s="10">
        <v>0.46250000000000002</v>
      </c>
      <c r="G63" s="10">
        <v>0.46250000000000002</v>
      </c>
      <c r="H63" s="10">
        <v>0.46250000000000002</v>
      </c>
      <c r="I63" s="10">
        <v>0.46250000000000002</v>
      </c>
      <c r="J63" s="10">
        <v>0.46250000000000002</v>
      </c>
      <c r="K63" s="10">
        <v>0.46250000000000002</v>
      </c>
    </row>
    <row r="64" spans="1:11">
      <c r="A64" s="10" t="s">
        <v>284</v>
      </c>
      <c r="B64" s="10" t="s">
        <v>254</v>
      </c>
      <c r="C64" s="10">
        <v>1</v>
      </c>
      <c r="D64" s="10">
        <v>1.44</v>
      </c>
      <c r="E64" s="10">
        <v>1.44</v>
      </c>
      <c r="F64" s="10">
        <v>1.44</v>
      </c>
      <c r="G64" s="10">
        <v>1.44</v>
      </c>
      <c r="H64" s="10">
        <v>1.44</v>
      </c>
      <c r="I64" s="10">
        <v>1.44</v>
      </c>
      <c r="J64" s="10">
        <v>1.44</v>
      </c>
      <c r="K64" s="10">
        <v>1.44</v>
      </c>
    </row>
    <row r="65" spans="1:11">
      <c r="A65" s="10" t="s">
        <v>284</v>
      </c>
      <c r="B65" s="10" t="s">
        <v>254</v>
      </c>
      <c r="C65" s="10">
        <v>2</v>
      </c>
      <c r="D65" s="10">
        <v>1.44</v>
      </c>
      <c r="E65" s="10">
        <v>1.44</v>
      </c>
      <c r="F65" s="10">
        <v>1.44</v>
      </c>
      <c r="G65" s="10">
        <v>1.44</v>
      </c>
      <c r="H65" s="10">
        <v>1.44</v>
      </c>
      <c r="I65" s="10">
        <v>1.44</v>
      </c>
      <c r="J65" s="10">
        <v>1.44</v>
      </c>
      <c r="K65" s="10">
        <v>1.44</v>
      </c>
    </row>
    <row r="66" spans="1:11">
      <c r="A66" s="10" t="s">
        <v>284</v>
      </c>
      <c r="B66" s="10" t="s">
        <v>254</v>
      </c>
      <c r="C66" s="10">
        <v>2</v>
      </c>
      <c r="D66" s="10">
        <v>1.44</v>
      </c>
      <c r="E66" s="10">
        <v>1.44</v>
      </c>
      <c r="F66" s="10">
        <v>1.44</v>
      </c>
      <c r="G66" s="10">
        <v>1.44</v>
      </c>
      <c r="H66" s="10">
        <v>1.44</v>
      </c>
      <c r="I66" s="10">
        <v>1.44</v>
      </c>
      <c r="J66" s="10">
        <v>1.44</v>
      </c>
      <c r="K66" s="10">
        <v>1.44</v>
      </c>
    </row>
    <row r="67" spans="1:11">
      <c r="A67" s="10" t="s">
        <v>284</v>
      </c>
      <c r="B67" s="10" t="s">
        <v>254</v>
      </c>
      <c r="C67" s="10">
        <v>3</v>
      </c>
      <c r="D67" s="10">
        <v>1.44</v>
      </c>
      <c r="E67" s="10">
        <v>1.44</v>
      </c>
      <c r="F67" s="10">
        <v>1.44</v>
      </c>
      <c r="G67" s="10">
        <v>1.44</v>
      </c>
      <c r="H67" s="10">
        <v>1.44</v>
      </c>
      <c r="I67" s="10">
        <v>1.44</v>
      </c>
      <c r="J67" s="10">
        <v>1.44</v>
      </c>
      <c r="K67" s="10">
        <v>1.44</v>
      </c>
    </row>
    <row r="68" spans="1:11">
      <c r="A68" s="10" t="s">
        <v>284</v>
      </c>
      <c r="B68" s="10" t="s">
        <v>254</v>
      </c>
      <c r="C68" s="10">
        <v>3</v>
      </c>
      <c r="D68" s="10">
        <v>1.44</v>
      </c>
      <c r="E68" s="10">
        <v>1.44</v>
      </c>
      <c r="F68" s="10">
        <v>1.44</v>
      </c>
      <c r="G68" s="10">
        <v>1.44</v>
      </c>
      <c r="H68" s="10">
        <v>1.44</v>
      </c>
      <c r="I68" s="10">
        <v>1.44</v>
      </c>
      <c r="J68" s="10">
        <v>1.44</v>
      </c>
      <c r="K68" s="10">
        <v>1.44</v>
      </c>
    </row>
    <row r="69" spans="1:11">
      <c r="A69" s="10" t="s">
        <v>284</v>
      </c>
      <c r="B69" s="10" t="s">
        <v>254</v>
      </c>
      <c r="C69" s="10">
        <v>4</v>
      </c>
      <c r="D69" s="10">
        <v>1.44</v>
      </c>
      <c r="E69" s="10">
        <v>1.44</v>
      </c>
      <c r="F69" s="10">
        <v>1.44</v>
      </c>
      <c r="G69" s="10">
        <v>1.44</v>
      </c>
      <c r="H69" s="10">
        <v>1.44</v>
      </c>
      <c r="I69" s="10">
        <v>1.44</v>
      </c>
      <c r="J69" s="10">
        <v>1.44</v>
      </c>
      <c r="K69" s="10">
        <v>1.44</v>
      </c>
    </row>
    <row r="70" spans="1:11">
      <c r="A70" s="10" t="s">
        <v>284</v>
      </c>
      <c r="B70" s="10" t="s">
        <v>255</v>
      </c>
      <c r="C70" s="10">
        <v>1</v>
      </c>
      <c r="D70" s="10">
        <v>1.44</v>
      </c>
      <c r="E70" s="10">
        <v>1.3320000000000001</v>
      </c>
      <c r="F70" s="10">
        <v>1.3320000000000001</v>
      </c>
      <c r="G70" s="10">
        <v>1.3320000000000001</v>
      </c>
      <c r="H70" s="10">
        <v>1.3320000000000001</v>
      </c>
      <c r="I70" s="10">
        <v>1.3320000000000001</v>
      </c>
      <c r="J70" s="10">
        <v>1.3320000000000001</v>
      </c>
      <c r="K70" s="10">
        <v>1.3320000000000001</v>
      </c>
    </row>
    <row r="71" spans="1:11">
      <c r="A71" s="10" t="s">
        <v>284</v>
      </c>
      <c r="B71" s="10" t="s">
        <v>267</v>
      </c>
      <c r="C71" s="10">
        <v>1</v>
      </c>
      <c r="D71" s="10">
        <v>1.44</v>
      </c>
      <c r="E71" s="10">
        <v>1.3320000000000001</v>
      </c>
      <c r="F71" s="10">
        <v>1.3320000000000001</v>
      </c>
      <c r="G71" s="10">
        <v>1.3320000000000001</v>
      </c>
      <c r="H71" s="10">
        <v>1.3320000000000001</v>
      </c>
      <c r="I71" s="10">
        <v>1.3320000000000001</v>
      </c>
      <c r="J71" s="10">
        <v>1.3320000000000001</v>
      </c>
      <c r="K71" s="10">
        <v>1.3320000000000001</v>
      </c>
    </row>
    <row r="72" spans="1:11">
      <c r="A72" s="10" t="s">
        <v>284</v>
      </c>
      <c r="B72" s="10" t="s">
        <v>261</v>
      </c>
      <c r="C72" s="10">
        <v>1</v>
      </c>
      <c r="D72" s="10">
        <v>1.44</v>
      </c>
      <c r="E72" s="10">
        <v>1.44</v>
      </c>
      <c r="F72" s="10">
        <v>1.44</v>
      </c>
      <c r="G72" s="10">
        <v>1.44</v>
      </c>
      <c r="H72" s="10">
        <v>1.44</v>
      </c>
      <c r="I72" s="10">
        <v>1.44</v>
      </c>
      <c r="J72" s="10">
        <v>1.44</v>
      </c>
      <c r="K72" s="10">
        <v>1.44</v>
      </c>
    </row>
    <row r="73" spans="1:11">
      <c r="A73" s="10" t="s">
        <v>284</v>
      </c>
      <c r="B73" s="10" t="s">
        <v>262</v>
      </c>
      <c r="C73" s="10">
        <v>1</v>
      </c>
      <c r="D73" s="10">
        <v>1.44</v>
      </c>
      <c r="E73" s="10">
        <v>1.44</v>
      </c>
      <c r="F73" s="10">
        <v>1.44</v>
      </c>
      <c r="G73" s="10">
        <v>1.44</v>
      </c>
      <c r="H73" s="10">
        <v>1.44</v>
      </c>
      <c r="I73" s="10">
        <v>1.44</v>
      </c>
      <c r="J73" s="10">
        <v>1.44</v>
      </c>
      <c r="K73" s="10">
        <v>1.44</v>
      </c>
    </row>
    <row r="74" spans="1:11">
      <c r="A74" s="10" t="s">
        <v>284</v>
      </c>
      <c r="B74" s="10" t="s">
        <v>268</v>
      </c>
      <c r="C74" s="10">
        <v>1</v>
      </c>
      <c r="D74" s="10">
        <v>1.44</v>
      </c>
      <c r="E74" s="10">
        <v>1.3320000000000001</v>
      </c>
      <c r="F74" s="10">
        <v>1.3320000000000001</v>
      </c>
      <c r="G74" s="10">
        <v>1.3320000000000001</v>
      </c>
      <c r="H74" s="10">
        <v>1.3320000000000001</v>
      </c>
      <c r="I74" s="10">
        <v>1.3320000000000001</v>
      </c>
      <c r="J74" s="10">
        <v>1.3320000000000001</v>
      </c>
      <c r="K74" s="10">
        <v>1.3320000000000001</v>
      </c>
    </row>
    <row r="75" spans="1:11">
      <c r="A75" s="10" t="s">
        <v>284</v>
      </c>
      <c r="B75" s="10" t="s">
        <v>259</v>
      </c>
      <c r="C75" s="10">
        <v>1</v>
      </c>
      <c r="D75" s="10">
        <v>1.44</v>
      </c>
      <c r="E75" s="10">
        <v>1.44</v>
      </c>
      <c r="F75" s="10">
        <v>1.44</v>
      </c>
      <c r="G75" s="10">
        <v>1.44</v>
      </c>
      <c r="H75" s="10">
        <v>1.44</v>
      </c>
      <c r="I75" s="10">
        <v>1.44</v>
      </c>
      <c r="J75" s="10">
        <v>1.44</v>
      </c>
      <c r="K75" s="10">
        <v>1.44</v>
      </c>
    </row>
    <row r="76" spans="1:11">
      <c r="A76" s="10" t="s">
        <v>284</v>
      </c>
      <c r="B76" s="10" t="s">
        <v>260</v>
      </c>
      <c r="C76" s="10">
        <v>1</v>
      </c>
      <c r="D76" s="10">
        <v>1.44</v>
      </c>
      <c r="E76" s="10">
        <v>1.44</v>
      </c>
      <c r="F76" s="10">
        <v>1.44</v>
      </c>
      <c r="G76" s="10">
        <v>1.44</v>
      </c>
      <c r="H76" s="10">
        <v>1.44</v>
      </c>
      <c r="I76" s="10">
        <v>1.44</v>
      </c>
      <c r="J76" s="10">
        <v>1.44</v>
      </c>
      <c r="K76" s="10">
        <v>1.44</v>
      </c>
    </row>
    <row r="77" spans="1:11">
      <c r="A77" s="10" t="s">
        <v>284</v>
      </c>
      <c r="B77" s="10" t="s">
        <v>263</v>
      </c>
      <c r="C77" s="10">
        <v>1</v>
      </c>
      <c r="D77" s="10">
        <v>1.44</v>
      </c>
      <c r="E77" s="10">
        <v>1.44</v>
      </c>
      <c r="F77" s="10">
        <v>1.44</v>
      </c>
      <c r="G77" s="10">
        <v>1.44</v>
      </c>
      <c r="H77" s="10">
        <v>1.44</v>
      </c>
      <c r="I77" s="10">
        <v>1.44</v>
      </c>
      <c r="J77" s="10">
        <v>1.44</v>
      </c>
      <c r="K77" s="10">
        <v>1.44</v>
      </c>
    </row>
    <row r="78" spans="1:11">
      <c r="A78" s="10" t="s">
        <v>284</v>
      </c>
      <c r="B78" s="10" t="s">
        <v>264</v>
      </c>
      <c r="C78" s="10">
        <v>1</v>
      </c>
      <c r="D78" s="10">
        <v>1.44</v>
      </c>
      <c r="E78" s="10">
        <v>1.44</v>
      </c>
      <c r="F78" s="10">
        <v>1.44</v>
      </c>
      <c r="G78" s="10">
        <v>1.44</v>
      </c>
      <c r="H78" s="10">
        <v>1.44</v>
      </c>
      <c r="I78" s="10">
        <v>1.44</v>
      </c>
      <c r="J78" s="10">
        <v>1.44</v>
      </c>
      <c r="K78" s="10">
        <v>1.44</v>
      </c>
    </row>
    <row r="79" spans="1:11">
      <c r="A79" s="10" t="s">
        <v>284</v>
      </c>
      <c r="B79" s="10" t="s">
        <v>256</v>
      </c>
      <c r="C79" s="10">
        <v>1</v>
      </c>
      <c r="D79" s="10">
        <v>1.44</v>
      </c>
      <c r="E79" s="10">
        <v>1.44</v>
      </c>
      <c r="F79" s="10">
        <v>1.44</v>
      </c>
      <c r="G79" s="10">
        <v>1.44</v>
      </c>
      <c r="H79" s="10">
        <v>1.44</v>
      </c>
      <c r="I79" s="10">
        <v>1.44</v>
      </c>
      <c r="J79" s="10">
        <v>1.44</v>
      </c>
      <c r="K79" s="10">
        <v>1.44</v>
      </c>
    </row>
    <row r="80" spans="1:11">
      <c r="A80" s="10" t="s">
        <v>284</v>
      </c>
      <c r="B80" s="10" t="s">
        <v>257</v>
      </c>
      <c r="C80" s="10">
        <v>1</v>
      </c>
      <c r="D80" s="10">
        <v>1.44</v>
      </c>
      <c r="E80" s="10">
        <v>1.44</v>
      </c>
      <c r="F80" s="10">
        <v>1.44</v>
      </c>
      <c r="G80" s="10">
        <v>1.44</v>
      </c>
      <c r="H80" s="10">
        <v>1.44</v>
      </c>
      <c r="I80" s="10">
        <v>1.44</v>
      </c>
      <c r="J80" s="10">
        <v>1.44</v>
      </c>
      <c r="K80" s="10">
        <v>1.44</v>
      </c>
    </row>
    <row r="81" spans="1:11">
      <c r="A81" s="10" t="s">
        <v>284</v>
      </c>
      <c r="B81" s="10" t="s">
        <v>258</v>
      </c>
      <c r="C81" s="10">
        <v>1</v>
      </c>
      <c r="D81" s="10">
        <v>1.44</v>
      </c>
      <c r="E81" s="10">
        <v>1.44</v>
      </c>
      <c r="F81" s="10">
        <v>1.44</v>
      </c>
      <c r="G81" s="10">
        <v>1.44</v>
      </c>
      <c r="H81" s="10">
        <v>1.44</v>
      </c>
      <c r="I81" s="10">
        <v>1.44</v>
      </c>
      <c r="J81" s="10">
        <v>1.44</v>
      </c>
      <c r="K81" s="10">
        <v>1.44</v>
      </c>
    </row>
    <row r="82" spans="1:11">
      <c r="A82" s="10" t="s">
        <v>284</v>
      </c>
      <c r="B82" s="10" t="s">
        <v>269</v>
      </c>
      <c r="C82" s="10">
        <v>1</v>
      </c>
      <c r="D82" s="10">
        <v>1.44</v>
      </c>
      <c r="E82" s="10">
        <v>1.296</v>
      </c>
      <c r="F82" s="10">
        <v>1.296</v>
      </c>
      <c r="G82" s="10">
        <v>1.296</v>
      </c>
      <c r="H82" s="10">
        <v>1.296</v>
      </c>
      <c r="I82" s="10">
        <v>1.296</v>
      </c>
      <c r="J82" s="10">
        <v>1.296</v>
      </c>
      <c r="K82" s="10">
        <v>1.296</v>
      </c>
    </row>
    <row r="83" spans="1:11">
      <c r="A83" s="10" t="s">
        <v>284</v>
      </c>
      <c r="B83" s="10" t="s">
        <v>266</v>
      </c>
      <c r="C83" s="10">
        <v>1</v>
      </c>
      <c r="D83" s="10">
        <v>1.44</v>
      </c>
      <c r="E83" s="10">
        <v>1.296</v>
      </c>
      <c r="F83" s="10">
        <v>1.296</v>
      </c>
      <c r="G83" s="10">
        <v>1.296</v>
      </c>
      <c r="H83" s="10">
        <v>1.296</v>
      </c>
      <c r="I83" s="10">
        <v>1.296</v>
      </c>
      <c r="J83" s="10">
        <v>1.296</v>
      </c>
      <c r="K83" s="10">
        <v>1.296</v>
      </c>
    </row>
    <row r="84" spans="1:11">
      <c r="A84" s="10" t="s">
        <v>284</v>
      </c>
      <c r="B84" s="10" t="s">
        <v>335</v>
      </c>
      <c r="C84" s="10">
        <v>1</v>
      </c>
      <c r="D84" s="10">
        <v>5.1769252737737244</v>
      </c>
      <c r="E84" s="10">
        <v>5.0948359216064691</v>
      </c>
      <c r="F84" s="10">
        <v>5.4010159649722418</v>
      </c>
      <c r="G84" s="10">
        <v>5.7071960083380162</v>
      </c>
      <c r="H84" s="10">
        <v>6.013376051703788</v>
      </c>
      <c r="I84" s="10">
        <v>6.3195560950695624</v>
      </c>
      <c r="J84" s="10">
        <v>6.6257361384353342</v>
      </c>
      <c r="K84" s="10">
        <v>6.9319161818011077</v>
      </c>
    </row>
    <row r="85" spans="1:11">
      <c r="A85" s="10" t="s">
        <v>284</v>
      </c>
      <c r="B85" s="10" t="s">
        <v>330</v>
      </c>
      <c r="C85" s="10">
        <v>1</v>
      </c>
      <c r="D85" s="10">
        <v>3.3849126790058968</v>
      </c>
      <c r="E85" s="10">
        <v>3.3312388718196146</v>
      </c>
      <c r="F85" s="10">
        <v>3.5314335155587737</v>
      </c>
      <c r="G85" s="10">
        <v>3.7316281592979328</v>
      </c>
      <c r="H85" s="10">
        <v>3.9318228030370914</v>
      </c>
      <c r="I85" s="10">
        <v>4.1320174467762518</v>
      </c>
      <c r="J85" s="10">
        <v>4.3322120905154105</v>
      </c>
      <c r="K85" s="10">
        <v>4.5324067342545709</v>
      </c>
    </row>
    <row r="86" spans="1:11">
      <c r="A86" s="10" t="s">
        <v>284</v>
      </c>
      <c r="B86" s="10" t="s">
        <v>333</v>
      </c>
      <c r="C86" s="10">
        <v>1</v>
      </c>
      <c r="D86" s="10">
        <v>9.2576370810399116</v>
      </c>
      <c r="E86" s="10">
        <v>9.1108407897293056</v>
      </c>
      <c r="F86" s="10">
        <v>9.6583672794966908</v>
      </c>
      <c r="G86" s="10">
        <v>10.20589376926408</v>
      </c>
      <c r="H86" s="10">
        <v>10.753420259031463</v>
      </c>
      <c r="I86" s="10">
        <v>11.30094674879885</v>
      </c>
      <c r="J86" s="10">
        <v>11.848473238566234</v>
      </c>
      <c r="K86" s="10">
        <v>12.395999728333623</v>
      </c>
    </row>
    <row r="87" spans="1:11">
      <c r="A87" s="10" t="s">
        <v>284</v>
      </c>
      <c r="B87" s="10" t="s">
        <v>332</v>
      </c>
      <c r="C87" s="10">
        <v>1</v>
      </c>
      <c r="D87" s="10">
        <v>3.9822502105951729</v>
      </c>
      <c r="E87" s="10">
        <v>3.9191045550818995</v>
      </c>
      <c r="F87" s="10">
        <v>4.1546276653632628</v>
      </c>
      <c r="G87" s="10">
        <v>4.390150775644627</v>
      </c>
      <c r="H87" s="10">
        <v>4.6256738859259903</v>
      </c>
      <c r="I87" s="10">
        <v>4.8611969962073553</v>
      </c>
      <c r="J87" s="10">
        <v>5.0967201064887178</v>
      </c>
      <c r="K87" s="10">
        <v>5.3322432167700828</v>
      </c>
    </row>
    <row r="88" spans="1:11">
      <c r="A88" s="10" t="s">
        <v>284</v>
      </c>
      <c r="B88" s="10" t="s">
        <v>334</v>
      </c>
      <c r="C88" s="10">
        <v>1</v>
      </c>
      <c r="D88" s="10">
        <v>14.68136062979276</v>
      </c>
      <c r="E88" s="10">
        <v>14.448561560982748</v>
      </c>
      <c r="F88" s="10">
        <v>15.316864539407193</v>
      </c>
      <c r="G88" s="10">
        <v>16.185167517831641</v>
      </c>
      <c r="H88" s="10">
        <v>17.053470496256079</v>
      </c>
      <c r="I88" s="10">
        <v>17.921773474680531</v>
      </c>
      <c r="J88" s="10">
        <v>18.79007645310497</v>
      </c>
      <c r="K88" s="10">
        <v>19.658379431529415</v>
      </c>
    </row>
    <row r="89" spans="1:11">
      <c r="A89" s="10" t="s">
        <v>284</v>
      </c>
      <c r="B89" s="10" t="s">
        <v>331</v>
      </c>
      <c r="C89" s="10">
        <v>1</v>
      </c>
      <c r="D89" s="10">
        <v>3.5840251895356556</v>
      </c>
      <c r="E89" s="10">
        <v>3.5271940995737099</v>
      </c>
      <c r="F89" s="10">
        <v>3.7391648988269366</v>
      </c>
      <c r="G89" s="10">
        <v>3.9511356980801646</v>
      </c>
      <c r="H89" s="10">
        <v>4.1631064973333913</v>
      </c>
      <c r="I89" s="10">
        <v>4.3750772965866203</v>
      </c>
      <c r="J89" s="10">
        <v>4.5870480958398456</v>
      </c>
      <c r="K89" s="10">
        <v>4.7990188950930746</v>
      </c>
    </row>
    <row r="90" spans="1:11">
      <c r="A90" s="10" t="s">
        <v>284</v>
      </c>
      <c r="B90" s="10" t="s">
        <v>338</v>
      </c>
      <c r="C90" s="10">
        <v>1</v>
      </c>
      <c r="D90" s="10">
        <v>6.6347195442440539</v>
      </c>
      <c r="E90" s="10">
        <v>3.9953603094900312</v>
      </c>
      <c r="F90" s="10">
        <v>9.8067934869300775</v>
      </c>
      <c r="G90" s="10">
        <v>7.6275060453900592</v>
      </c>
      <c r="H90" s="10">
        <v>6.6589338491500527</v>
      </c>
      <c r="I90" s="10">
        <v>5.793272448760546</v>
      </c>
      <c r="J90" s="10">
        <v>5.0401470304216751</v>
      </c>
      <c r="K90" s="10">
        <v>4.3849279164668573</v>
      </c>
    </row>
    <row r="91" spans="1:11">
      <c r="A91" s="10" t="s">
        <v>284</v>
      </c>
      <c r="B91" s="10" t="s">
        <v>89</v>
      </c>
      <c r="C91" s="10">
        <v>1</v>
      </c>
      <c r="D91" s="10">
        <v>2.3246656378600821</v>
      </c>
      <c r="E91" s="10">
        <v>1.7888302083333332</v>
      </c>
      <c r="F91" s="10">
        <v>1.6993886979166664</v>
      </c>
      <c r="G91" s="10">
        <v>1.6144192630208332</v>
      </c>
      <c r="H91" s="10">
        <v>1.5336982998697914</v>
      </c>
      <c r="I91" s="10">
        <v>1.4570133848763018</v>
      </c>
      <c r="J91" s="10">
        <v>1.3841627156324865</v>
      </c>
      <c r="K91" s="10">
        <v>1.3149545798508622</v>
      </c>
    </row>
    <row r="92" spans="1:11">
      <c r="A92" s="10" t="s">
        <v>299</v>
      </c>
      <c r="B92" s="10" t="s">
        <v>89</v>
      </c>
      <c r="C92" s="10">
        <v>1</v>
      </c>
      <c r="D92" s="10">
        <v>2.3246656378600821</v>
      </c>
      <c r="E92" s="10">
        <v>1.7888302083333332</v>
      </c>
      <c r="F92" s="10">
        <v>1.6993886979166664</v>
      </c>
      <c r="G92" s="10">
        <v>1.6144192630208332</v>
      </c>
      <c r="H92" s="10">
        <v>1.5336982998697914</v>
      </c>
      <c r="I92" s="10">
        <v>1.4570133848763018</v>
      </c>
      <c r="J92" s="10">
        <v>1.3841627156324865</v>
      </c>
      <c r="K92" s="10">
        <v>1.3149545798508622</v>
      </c>
    </row>
    <row r="93" spans="1:11">
      <c r="A93" s="10" t="s">
        <v>291</v>
      </c>
      <c r="B93" s="10" t="s">
        <v>89</v>
      </c>
      <c r="C93" s="10">
        <v>1</v>
      </c>
      <c r="D93" s="10">
        <v>2.3246656378600821</v>
      </c>
      <c r="E93" s="10">
        <v>1.7888302083333332</v>
      </c>
      <c r="F93" s="10">
        <v>1.6993886979166664</v>
      </c>
      <c r="G93" s="10">
        <v>1.6144192630208332</v>
      </c>
      <c r="H93" s="10">
        <v>1.5336982998697914</v>
      </c>
      <c r="I93" s="10">
        <v>1.4570133848763018</v>
      </c>
      <c r="J93" s="10">
        <v>1.3841627156324865</v>
      </c>
      <c r="K93" s="10">
        <v>1.3149545798508622</v>
      </c>
    </row>
    <row r="94" spans="1:11">
      <c r="A94" s="10" t="s">
        <v>283</v>
      </c>
      <c r="B94" s="10" t="s">
        <v>89</v>
      </c>
      <c r="C94" s="10">
        <v>1</v>
      </c>
      <c r="D94" s="10">
        <v>2.3246656378600821</v>
      </c>
      <c r="E94" s="10">
        <v>1.7888302083333332</v>
      </c>
      <c r="F94" s="10">
        <v>1.6993886979166664</v>
      </c>
      <c r="G94" s="10">
        <v>1.6144192630208332</v>
      </c>
      <c r="H94" s="10">
        <v>1.5336982998697914</v>
      </c>
      <c r="I94" s="10">
        <v>1.4570133848763018</v>
      </c>
      <c r="J94" s="10">
        <v>1.3841627156324865</v>
      </c>
      <c r="K94" s="10">
        <v>1.3149545798508622</v>
      </c>
    </row>
    <row r="95" spans="1:11">
      <c r="A95" s="10" t="s">
        <v>286</v>
      </c>
      <c r="B95" s="10" t="s">
        <v>89</v>
      </c>
      <c r="C95" s="10">
        <v>1</v>
      </c>
      <c r="D95" s="10">
        <v>2.3246656378600821</v>
      </c>
      <c r="E95" s="10">
        <v>1.7888302083333332</v>
      </c>
      <c r="F95" s="10">
        <v>1.6993886979166664</v>
      </c>
      <c r="G95" s="10">
        <v>1.6144192630208332</v>
      </c>
      <c r="H95" s="10">
        <v>1.5336982998697914</v>
      </c>
      <c r="I95" s="10">
        <v>1.4570133848763018</v>
      </c>
      <c r="J95" s="10">
        <v>1.3841627156324865</v>
      </c>
      <c r="K95" s="10">
        <v>1.3149545798508622</v>
      </c>
    </row>
    <row r="96" spans="1:11">
      <c r="A96" s="10" t="s">
        <v>284</v>
      </c>
      <c r="B96" s="10" t="s">
        <v>90</v>
      </c>
      <c r="C96" s="10">
        <v>1</v>
      </c>
      <c r="D96" s="10">
        <v>3.1104681069958846</v>
      </c>
      <c r="E96" s="10">
        <v>2.393505208333333</v>
      </c>
      <c r="F96" s="10">
        <v>2.2738299479166661</v>
      </c>
      <c r="G96" s="10">
        <v>2.160138450520833</v>
      </c>
      <c r="H96" s="10">
        <v>2.0521315279947916</v>
      </c>
      <c r="I96" s="10">
        <v>1.9495249515950519</v>
      </c>
      <c r="J96" s="10">
        <v>1.8520487040152989</v>
      </c>
      <c r="K96" s="10">
        <v>1.759446268814534</v>
      </c>
    </row>
    <row r="97" spans="1:16">
      <c r="A97" s="10" t="s">
        <v>307</v>
      </c>
      <c r="B97" s="10" t="s">
        <v>90</v>
      </c>
      <c r="C97" s="10">
        <v>1</v>
      </c>
      <c r="D97" s="10">
        <v>3.1104681069958846</v>
      </c>
      <c r="E97" s="10">
        <v>2.393505208333333</v>
      </c>
      <c r="F97" s="10">
        <v>2.2738299479166661</v>
      </c>
      <c r="G97" s="10">
        <v>2.160138450520833</v>
      </c>
      <c r="H97" s="10">
        <v>2.0521315279947916</v>
      </c>
      <c r="I97" s="10">
        <v>1.9495249515950519</v>
      </c>
      <c r="J97" s="10">
        <v>1.8520487040152989</v>
      </c>
      <c r="K97" s="10">
        <v>1.759446268814534</v>
      </c>
    </row>
    <row r="98" spans="1:16">
      <c r="A98" s="10" t="s">
        <v>303</v>
      </c>
      <c r="B98" s="10" t="s">
        <v>90</v>
      </c>
      <c r="C98" s="10">
        <v>1</v>
      </c>
      <c r="D98" s="10">
        <v>3.1104681069958846</v>
      </c>
      <c r="E98" s="10">
        <v>2.393505208333333</v>
      </c>
      <c r="F98" s="10">
        <v>2.2738299479166661</v>
      </c>
      <c r="G98" s="10">
        <v>2.160138450520833</v>
      </c>
      <c r="H98" s="10">
        <v>2.0521315279947916</v>
      </c>
      <c r="I98" s="10">
        <v>1.9495249515950519</v>
      </c>
      <c r="J98" s="10">
        <v>1.8520487040152989</v>
      </c>
      <c r="K98" s="10">
        <v>1.759446268814534</v>
      </c>
    </row>
    <row r="99" spans="1:16">
      <c r="A99" s="10" t="s">
        <v>299</v>
      </c>
      <c r="B99" s="10" t="s">
        <v>90</v>
      </c>
      <c r="C99" s="10">
        <v>1</v>
      </c>
      <c r="D99" s="10">
        <v>3.1104681069958846</v>
      </c>
      <c r="E99" s="10">
        <v>2.393505208333333</v>
      </c>
      <c r="F99" s="10">
        <v>2.2738299479166661</v>
      </c>
      <c r="G99" s="10">
        <v>2.160138450520833</v>
      </c>
      <c r="H99" s="10">
        <v>2.0521315279947916</v>
      </c>
      <c r="I99" s="10">
        <v>1.9495249515950519</v>
      </c>
      <c r="J99" s="10">
        <v>1.8520487040152989</v>
      </c>
      <c r="K99" s="10">
        <v>1.759446268814534</v>
      </c>
    </row>
    <row r="100" spans="1:16">
      <c r="A100" s="10" t="s">
        <v>283</v>
      </c>
      <c r="B100" s="10" t="s">
        <v>90</v>
      </c>
      <c r="C100" s="10">
        <v>1</v>
      </c>
      <c r="D100" s="10">
        <v>3.1104681069958846</v>
      </c>
      <c r="E100" s="10">
        <v>2.393505208333333</v>
      </c>
      <c r="F100" s="10">
        <v>2.2738299479166661</v>
      </c>
      <c r="G100" s="10">
        <v>2.160138450520833</v>
      </c>
      <c r="H100" s="10">
        <v>2.0521315279947916</v>
      </c>
      <c r="I100" s="10">
        <v>1.9495249515950519</v>
      </c>
      <c r="J100" s="10">
        <v>1.8520487040152989</v>
      </c>
      <c r="K100" s="10">
        <v>1.759446268814534</v>
      </c>
    </row>
    <row r="101" spans="1:16">
      <c r="A101" s="58" t="s">
        <v>284</v>
      </c>
      <c r="B101" s="62" t="s">
        <v>363</v>
      </c>
      <c r="C101" s="10">
        <v>1</v>
      </c>
      <c r="D101" s="10">
        <v>1.44</v>
      </c>
      <c r="E101" s="10">
        <v>1.296</v>
      </c>
      <c r="F101" s="10">
        <v>1.296</v>
      </c>
      <c r="G101" s="10">
        <v>1.296</v>
      </c>
      <c r="H101" s="10">
        <v>1.296</v>
      </c>
      <c r="I101" s="10">
        <v>1.296</v>
      </c>
      <c r="J101" s="10">
        <v>1.296</v>
      </c>
      <c r="K101" s="10">
        <v>1.296</v>
      </c>
    </row>
    <row r="102" spans="1:16">
      <c r="A102" s="58" t="s">
        <v>284</v>
      </c>
      <c r="B102" s="62" t="s">
        <v>364</v>
      </c>
      <c r="C102" s="10">
        <v>1</v>
      </c>
      <c r="D102" s="10">
        <v>1.44</v>
      </c>
      <c r="E102" s="10">
        <v>1.296</v>
      </c>
      <c r="F102" s="10">
        <v>1.296</v>
      </c>
      <c r="G102" s="10">
        <v>1.296</v>
      </c>
      <c r="H102" s="10">
        <v>1.296</v>
      </c>
      <c r="I102" s="10">
        <v>1.296</v>
      </c>
      <c r="J102" s="10">
        <v>1.296</v>
      </c>
      <c r="K102" s="10">
        <v>1.296</v>
      </c>
    </row>
    <row r="103" spans="1:16">
      <c r="A103" s="10" t="s">
        <v>284</v>
      </c>
      <c r="B103" s="10" t="s">
        <v>365</v>
      </c>
      <c r="C103" s="10">
        <v>1</v>
      </c>
      <c r="D103" s="10">
        <v>99</v>
      </c>
      <c r="E103" s="10">
        <v>48.75</v>
      </c>
      <c r="F103" s="10">
        <v>33.25</v>
      </c>
      <c r="G103" s="10">
        <v>26.825000000000003</v>
      </c>
      <c r="H103" s="10">
        <v>20.7</v>
      </c>
      <c r="I103" s="10">
        <v>14.875</v>
      </c>
      <c r="J103" s="10">
        <v>14.45</v>
      </c>
      <c r="K103" s="10">
        <v>14.024999999999999</v>
      </c>
    </row>
    <row r="104" spans="1:16">
      <c r="A104" s="11" t="s">
        <v>284</v>
      </c>
      <c r="B104" s="1" t="s">
        <v>486</v>
      </c>
      <c r="C104" s="1">
        <v>1</v>
      </c>
      <c r="D104" s="1">
        <v>1E-3</v>
      </c>
      <c r="E104" s="1">
        <v>1E-3</v>
      </c>
      <c r="F104" s="1">
        <v>1E-3</v>
      </c>
      <c r="G104" s="1">
        <v>1E-3</v>
      </c>
      <c r="H104" s="1">
        <v>1E-3</v>
      </c>
      <c r="I104" s="1">
        <v>1E-3</v>
      </c>
      <c r="J104" s="1">
        <v>1E-3</v>
      </c>
      <c r="K104" s="1">
        <v>1E-3</v>
      </c>
      <c r="O104" s="1" t="s">
        <v>506</v>
      </c>
      <c r="P104" s="1">
        <v>1.4733516980271617</v>
      </c>
    </row>
    <row r="105" spans="1:16">
      <c r="A105" s="11" t="s">
        <v>284</v>
      </c>
      <c r="B105" s="1" t="s">
        <v>487</v>
      </c>
      <c r="C105" s="1">
        <v>1</v>
      </c>
      <c r="D105" s="1">
        <v>1E-3</v>
      </c>
      <c r="E105" s="1">
        <v>1E-3</v>
      </c>
      <c r="F105" s="1">
        <v>1E-3</v>
      </c>
      <c r="G105" s="1">
        <v>1E-3</v>
      </c>
      <c r="H105" s="1">
        <v>1E-3</v>
      </c>
      <c r="I105" s="1">
        <v>1E-3</v>
      </c>
      <c r="J105" s="1">
        <v>1E-3</v>
      </c>
      <c r="K105" s="1">
        <v>1E-3</v>
      </c>
    </row>
    <row r="174" spans="4:11">
      <c r="D174" s="33"/>
      <c r="E174" s="33"/>
      <c r="F174" s="33"/>
      <c r="G174" s="33"/>
      <c r="H174" s="33"/>
      <c r="I174" s="33"/>
      <c r="J174" s="33"/>
      <c r="K174" s="33"/>
    </row>
    <row r="175" spans="4:11">
      <c r="D175" s="33"/>
      <c r="E175" s="33"/>
      <c r="F175" s="33"/>
      <c r="G175" s="33"/>
      <c r="H175" s="33"/>
      <c r="I175" s="33"/>
      <c r="J175" s="33"/>
      <c r="K175" s="33"/>
    </row>
    <row r="176" spans="4:11">
      <c r="D176" s="33"/>
      <c r="E176" s="33"/>
      <c r="F176" s="33"/>
      <c r="G176" s="33"/>
      <c r="H176" s="33"/>
      <c r="I176" s="33"/>
      <c r="J176" s="33"/>
      <c r="K176" s="33"/>
    </row>
    <row r="209" spans="1:11">
      <c r="D209" s="33"/>
      <c r="E209" s="33"/>
      <c r="F209" s="33"/>
      <c r="G209" s="33"/>
      <c r="H209" s="33"/>
      <c r="I209" s="33"/>
      <c r="J209" s="33"/>
      <c r="K209" s="33"/>
    </row>
    <row r="220" spans="1:11">
      <c r="A220" s="8"/>
      <c r="B220" s="24"/>
    </row>
    <row r="221" spans="1:11">
      <c r="A221" s="8"/>
      <c r="B221" s="24"/>
    </row>
    <row r="222" spans="1:11">
      <c r="A222" s="11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12"/>
  <dimension ref="A1:O139"/>
  <sheetViews>
    <sheetView zoomScale="90" zoomScaleNormal="90" zoomScalePageLayoutView="90" workbookViewId="0">
      <selection activeCell="D23" sqref="D23"/>
    </sheetView>
  </sheetViews>
  <sheetFormatPr defaultColWidth="11.42578125" defaultRowHeight="15"/>
  <cols>
    <col min="1" max="1" width="11.42578125" style="58"/>
    <col min="2" max="2" width="24.140625" style="58" customWidth="1"/>
    <col min="3" max="3" width="11.42578125" style="58"/>
    <col min="4" max="9" width="15.5703125" style="58" customWidth="1"/>
    <col min="10" max="10" width="11.42578125" style="58"/>
    <col min="11" max="11" width="2" style="58" customWidth="1"/>
    <col min="12" max="12" width="23.42578125" style="58" customWidth="1"/>
    <col min="13" max="13" width="46.85546875" style="58" customWidth="1"/>
    <col min="14" max="14" width="26.140625" style="58" bestFit="1" customWidth="1"/>
    <col min="15" max="16384" width="11.42578125" style="58"/>
  </cols>
  <sheetData>
    <row r="1" spans="1:15">
      <c r="A1" s="10" t="s">
        <v>435</v>
      </c>
    </row>
    <row r="2" spans="1:15">
      <c r="A2" s="58" t="s">
        <v>3</v>
      </c>
    </row>
    <row r="3" spans="1:15">
      <c r="A3" s="10" t="s">
        <v>405</v>
      </c>
    </row>
    <row r="5" spans="1:15">
      <c r="A5" s="58" t="s">
        <v>20</v>
      </c>
      <c r="B5" s="58" t="s">
        <v>26</v>
      </c>
      <c r="C5" s="58">
        <v>2018</v>
      </c>
      <c r="D5" s="58">
        <v>2020</v>
      </c>
      <c r="E5" s="58">
        <v>2025</v>
      </c>
      <c r="F5" s="58">
        <v>2030</v>
      </c>
      <c r="G5" s="58">
        <v>2035</v>
      </c>
      <c r="H5" s="58">
        <v>2040</v>
      </c>
      <c r="I5" s="58">
        <v>2045</v>
      </c>
      <c r="J5" s="58">
        <v>2050</v>
      </c>
      <c r="N5" s="10"/>
      <c r="O5" s="10"/>
    </row>
    <row r="6" spans="1:15">
      <c r="A6" s="58" t="s">
        <v>284</v>
      </c>
      <c r="B6" s="58" t="s">
        <v>329</v>
      </c>
      <c r="C6" s="58">
        <f>[5]Par_CapitalCost!C6*0.03</f>
        <v>28.41</v>
      </c>
      <c r="D6" s="58">
        <f>[5]Par_CapitalCost!D6*0.03</f>
        <v>28.41</v>
      </c>
      <c r="E6" s="58">
        <f>[5]Par_CapitalCost!E6*0.03</f>
        <v>28.41</v>
      </c>
      <c r="F6" s="58">
        <f>[5]Par_CapitalCost!F6*0.03</f>
        <v>28.41</v>
      </c>
      <c r="G6" s="58">
        <f>[5]Par_CapitalCost!G6*0.03</f>
        <v>28.41</v>
      </c>
      <c r="H6" s="58">
        <f>[5]Par_CapitalCost!H6*0.03</f>
        <v>25.568999999999999</v>
      </c>
      <c r="I6" s="58">
        <f>[5]Par_CapitalCost!I6*0.03</f>
        <v>25.568999999999999</v>
      </c>
      <c r="J6" s="58">
        <f>[5]Par_CapitalCost!J6*0.03</f>
        <v>25.568999999999999</v>
      </c>
    </row>
    <row r="7" spans="1:15">
      <c r="A7" s="58" t="s">
        <v>284</v>
      </c>
      <c r="B7" s="58" t="s">
        <v>330</v>
      </c>
      <c r="C7" s="58">
        <v>0.01</v>
      </c>
      <c r="D7" s="58">
        <v>0.01</v>
      </c>
      <c r="E7" s="58">
        <v>0.01</v>
      </c>
      <c r="F7" s="58">
        <v>0.01</v>
      </c>
      <c r="G7" s="58">
        <v>0.01</v>
      </c>
      <c r="H7" s="58">
        <v>0.01</v>
      </c>
      <c r="I7" s="58">
        <v>0.01</v>
      </c>
      <c r="J7" s="58">
        <v>0.01</v>
      </c>
    </row>
    <row r="8" spans="1:15">
      <c r="A8" s="58" t="s">
        <v>284</v>
      </c>
      <c r="B8" s="58" t="s">
        <v>331</v>
      </c>
      <c r="C8" s="58">
        <v>0.01</v>
      </c>
      <c r="D8" s="58">
        <v>0.01</v>
      </c>
      <c r="E8" s="58">
        <v>0.01</v>
      </c>
      <c r="F8" s="58">
        <v>0.01</v>
      </c>
      <c r="G8" s="58">
        <v>0.01</v>
      </c>
      <c r="H8" s="58">
        <v>0.01</v>
      </c>
      <c r="I8" s="58">
        <v>0.01</v>
      </c>
      <c r="J8" s="58">
        <v>0.01</v>
      </c>
    </row>
    <row r="9" spans="1:15">
      <c r="A9" s="58" t="s">
        <v>284</v>
      </c>
      <c r="B9" s="58" t="s">
        <v>332</v>
      </c>
      <c r="C9" s="58">
        <v>0.01</v>
      </c>
      <c r="D9" s="58">
        <v>0.01</v>
      </c>
      <c r="E9" s="58">
        <v>0.01</v>
      </c>
      <c r="F9" s="58">
        <v>0.01</v>
      </c>
      <c r="G9" s="58">
        <v>0.01</v>
      </c>
      <c r="H9" s="58">
        <v>0.01</v>
      </c>
      <c r="I9" s="58">
        <v>0.01</v>
      </c>
      <c r="J9" s="58">
        <v>0.01</v>
      </c>
    </row>
    <row r="10" spans="1:15">
      <c r="A10" s="58" t="s">
        <v>284</v>
      </c>
      <c r="B10" s="58" t="s">
        <v>333</v>
      </c>
      <c r="C10" s="58">
        <v>0.01</v>
      </c>
      <c r="D10" s="58">
        <v>0.01</v>
      </c>
      <c r="E10" s="58">
        <v>0.01</v>
      </c>
      <c r="F10" s="58">
        <v>0.01</v>
      </c>
      <c r="G10" s="58">
        <v>0.01</v>
      </c>
      <c r="H10" s="58">
        <v>0.01</v>
      </c>
      <c r="I10" s="58">
        <v>0.01</v>
      </c>
      <c r="J10" s="58">
        <v>0.01</v>
      </c>
    </row>
    <row r="11" spans="1:15">
      <c r="A11" s="58" t="s">
        <v>284</v>
      </c>
      <c r="B11" s="58" t="s">
        <v>334</v>
      </c>
      <c r="C11" s="58">
        <v>0.01</v>
      </c>
      <c r="D11" s="58">
        <v>0.01</v>
      </c>
      <c r="E11" s="58">
        <v>0.01</v>
      </c>
      <c r="F11" s="58">
        <v>0.01</v>
      </c>
      <c r="G11" s="58">
        <v>0.01</v>
      </c>
      <c r="H11" s="58">
        <v>0.01</v>
      </c>
      <c r="I11" s="58">
        <v>0.01</v>
      </c>
      <c r="J11" s="58">
        <v>0.01</v>
      </c>
    </row>
    <row r="12" spans="1:15">
      <c r="A12" s="58" t="s">
        <v>284</v>
      </c>
      <c r="B12" s="58" t="s">
        <v>335</v>
      </c>
      <c r="C12" s="58">
        <f>[5]Par_CapitalCost!C12*0.03</f>
        <v>23.13</v>
      </c>
      <c r="D12" s="58">
        <f>[5]Par_CapitalCost!D12*0.03</f>
        <v>21.93</v>
      </c>
      <c r="E12" s="58">
        <f>[5]Par_CapitalCost!E12*0.03</f>
        <v>21.18</v>
      </c>
      <c r="F12" s="58">
        <f>[5]Par_CapitalCost!F12*0.03</f>
        <v>20.399999999999999</v>
      </c>
      <c r="G12" s="58">
        <f>[5]Par_CapitalCost!G12*0.03</f>
        <v>19.59</v>
      </c>
      <c r="H12" s="58">
        <f>[5]Par_CapitalCost!H12*0.03</f>
        <v>18.96</v>
      </c>
      <c r="I12" s="58">
        <f>[5]Par_CapitalCost!I12*0.03</f>
        <v>18.27</v>
      </c>
      <c r="J12" s="58">
        <f>[5]Par_CapitalCost!J12*0.03</f>
        <v>17.669999999999998</v>
      </c>
    </row>
    <row r="13" spans="1:15">
      <c r="A13" s="58" t="s">
        <v>284</v>
      </c>
      <c r="B13" s="58" t="s">
        <v>339</v>
      </c>
      <c r="C13" s="58">
        <v>1</v>
      </c>
      <c r="D13" s="58">
        <v>0.95714285714285718</v>
      </c>
      <c r="E13" s="58">
        <v>0.91428571428571426</v>
      </c>
      <c r="F13" s="58">
        <v>0.87142857142857144</v>
      </c>
      <c r="G13" s="58">
        <v>0.82857142857142851</v>
      </c>
      <c r="H13" s="58">
        <v>0.7857142857142857</v>
      </c>
      <c r="I13" s="58">
        <v>0.74285714285714288</v>
      </c>
      <c r="J13" s="58">
        <v>0.7</v>
      </c>
    </row>
    <row r="14" spans="1:15">
      <c r="A14" s="58" t="s">
        <v>284</v>
      </c>
      <c r="B14" s="58" t="s">
        <v>340</v>
      </c>
      <c r="C14" s="58">
        <v>1</v>
      </c>
      <c r="D14" s="58">
        <v>0.95714285714285718</v>
      </c>
      <c r="E14" s="58">
        <v>0.91428571428571426</v>
      </c>
      <c r="F14" s="58">
        <v>0.87142857142857144</v>
      </c>
      <c r="G14" s="58">
        <v>0.82857142857142851</v>
      </c>
      <c r="H14" s="58">
        <v>0.7857142857142857</v>
      </c>
      <c r="I14" s="58">
        <v>0.74285714285714288</v>
      </c>
      <c r="J14" s="58">
        <v>0.7</v>
      </c>
    </row>
    <row r="15" spans="1:15">
      <c r="A15" s="58" t="s">
        <v>284</v>
      </c>
      <c r="B15" s="58" t="s">
        <v>345</v>
      </c>
      <c r="C15" s="58">
        <v>6.1224489795918364</v>
      </c>
      <c r="D15" s="58">
        <v>6.0641399416909616</v>
      </c>
      <c r="E15" s="58">
        <v>6.0058309037900877</v>
      </c>
      <c r="F15" s="58">
        <v>5.9475218658892128</v>
      </c>
      <c r="G15" s="58">
        <v>5.889212827988338</v>
      </c>
      <c r="H15" s="58">
        <v>5.8309037900874632</v>
      </c>
      <c r="I15" s="58">
        <v>5.7725947521865892</v>
      </c>
      <c r="J15" s="58">
        <v>5.7142857142857144</v>
      </c>
    </row>
    <row r="16" spans="1:15">
      <c r="A16" s="58" t="s">
        <v>284</v>
      </c>
      <c r="B16" s="58" t="s">
        <v>346</v>
      </c>
      <c r="C16" s="58">
        <v>10.303617571059432</v>
      </c>
      <c r="D16" s="58">
        <v>10.035991140642302</v>
      </c>
      <c r="E16" s="58">
        <v>9.7683647102251747</v>
      </c>
      <c r="F16" s="58">
        <v>9.5007382798080471</v>
      </c>
      <c r="G16" s="58">
        <v>9.2331118493909194</v>
      </c>
      <c r="H16" s="58">
        <v>8.9654854189737918</v>
      </c>
      <c r="I16" s="58">
        <v>8.6978589885566624</v>
      </c>
      <c r="J16" s="58">
        <v>8.4302325581395348</v>
      </c>
    </row>
    <row r="17" spans="1:14">
      <c r="A17" s="58" t="s">
        <v>284</v>
      </c>
      <c r="B17" s="58" t="s">
        <v>347</v>
      </c>
      <c r="C17" s="58">
        <v>48</v>
      </c>
      <c r="D17" s="58">
        <v>44.002448979591833</v>
      </c>
      <c r="E17" s="58">
        <v>40.004897959183673</v>
      </c>
      <c r="F17" s="58">
        <v>36.007346938775513</v>
      </c>
      <c r="G17" s="58">
        <v>32.009795918367345</v>
      </c>
      <c r="H17" s="58">
        <v>28.012244897959185</v>
      </c>
      <c r="I17" s="58">
        <v>24.014693877551021</v>
      </c>
      <c r="J17" s="58">
        <v>20.017142857142858</v>
      </c>
    </row>
    <row r="18" spans="1:14">
      <c r="A18" s="58" t="s">
        <v>284</v>
      </c>
      <c r="B18" s="58" t="s">
        <v>361</v>
      </c>
      <c r="C18" s="60">
        <v>15.479999999999999</v>
      </c>
      <c r="D18" s="60">
        <v>14.706</v>
      </c>
      <c r="E18" s="60">
        <v>12.771000000000001</v>
      </c>
      <c r="F18" s="60">
        <v>12.061500000000001</v>
      </c>
      <c r="G18" s="60">
        <v>10.836</v>
      </c>
      <c r="H18" s="60">
        <v>10.15875</v>
      </c>
      <c r="I18" s="60">
        <v>9.4814999999999987</v>
      </c>
      <c r="J18" s="60">
        <v>8.8042499999999997</v>
      </c>
    </row>
    <row r="19" spans="1:14">
      <c r="A19" s="58" t="s">
        <v>284</v>
      </c>
      <c r="B19" s="58" t="s">
        <v>363</v>
      </c>
      <c r="C19" s="60">
        <v>21.9</v>
      </c>
      <c r="D19" s="60">
        <v>21.274285714285714</v>
      </c>
      <c r="E19" s="60">
        <v>15.104571428571427</v>
      </c>
      <c r="F19" s="60">
        <v>9.2708571428571442</v>
      </c>
      <c r="G19" s="60">
        <v>7.6392857142857151</v>
      </c>
      <c r="H19" s="60">
        <v>6.0942857142857152</v>
      </c>
      <c r="I19" s="60">
        <v>5.418857142857143</v>
      </c>
      <c r="J19" s="60">
        <v>4.7760000000000007</v>
      </c>
    </row>
    <row r="20" spans="1:14">
      <c r="A20" s="58" t="s">
        <v>284</v>
      </c>
      <c r="B20" s="58" t="s">
        <v>364</v>
      </c>
      <c r="C20" s="58">
        <v>24.45</v>
      </c>
      <c r="D20" s="58">
        <v>23.751428571428569</v>
      </c>
      <c r="E20" s="58">
        <v>16.872428571428571</v>
      </c>
      <c r="F20" s="58">
        <v>10.368</v>
      </c>
      <c r="G20" s="58">
        <v>8.5427142857142861</v>
      </c>
      <c r="H20" s="58">
        <v>6.8142857142857149</v>
      </c>
      <c r="I20" s="58">
        <v>6.0527142857142859</v>
      </c>
      <c r="J20" s="58">
        <v>5.3280000000000003</v>
      </c>
    </row>
    <row r="21" spans="1:14">
      <c r="A21" s="58" t="s">
        <v>284</v>
      </c>
      <c r="B21" s="58" t="s">
        <v>488</v>
      </c>
      <c r="C21" s="58">
        <v>26</v>
      </c>
      <c r="D21" s="58">
        <v>26</v>
      </c>
      <c r="E21" s="58">
        <v>17</v>
      </c>
      <c r="F21" s="58">
        <v>17</v>
      </c>
      <c r="G21" s="58">
        <v>17</v>
      </c>
      <c r="H21" s="58">
        <v>17</v>
      </c>
      <c r="I21" s="58">
        <v>17</v>
      </c>
      <c r="J21" s="58">
        <v>17</v>
      </c>
    </row>
    <row r="22" spans="1:14">
      <c r="A22" s="58" t="s">
        <v>284</v>
      </c>
      <c r="B22" s="58" t="s">
        <v>490</v>
      </c>
      <c r="C22" s="58">
        <v>12</v>
      </c>
      <c r="D22" s="58">
        <v>12</v>
      </c>
      <c r="E22" s="58">
        <v>8</v>
      </c>
      <c r="F22" s="58">
        <v>8</v>
      </c>
      <c r="G22" s="58">
        <v>8</v>
      </c>
      <c r="H22" s="58">
        <v>8</v>
      </c>
      <c r="I22" s="58">
        <v>8</v>
      </c>
      <c r="J22" s="58">
        <v>8</v>
      </c>
    </row>
    <row r="23" spans="1:14">
      <c r="A23" s="58" t="s">
        <v>284</v>
      </c>
      <c r="B23" s="58" t="s">
        <v>489</v>
      </c>
      <c r="C23" s="58">
        <v>13</v>
      </c>
      <c r="D23" s="58">
        <v>13</v>
      </c>
      <c r="E23" s="58">
        <v>9</v>
      </c>
      <c r="F23" s="58">
        <v>9</v>
      </c>
      <c r="G23" s="58">
        <v>9</v>
      </c>
      <c r="H23" s="58">
        <v>9</v>
      </c>
      <c r="I23" s="58">
        <v>9</v>
      </c>
      <c r="J23" s="58">
        <v>9</v>
      </c>
    </row>
    <row r="24" spans="1:14">
      <c r="A24" s="58" t="s">
        <v>284</v>
      </c>
      <c r="B24" s="58" t="s">
        <v>475</v>
      </c>
      <c r="C24" s="58">
        <v>50.6</v>
      </c>
      <c r="D24" s="58">
        <v>48.07</v>
      </c>
      <c r="E24" s="58">
        <v>45.54</v>
      </c>
      <c r="F24" s="58">
        <v>44.275000000000006</v>
      </c>
      <c r="G24" s="58">
        <v>43.010000000000005</v>
      </c>
      <c r="H24" s="58">
        <v>43.010000000000005</v>
      </c>
      <c r="I24" s="58">
        <v>43.010000000000005</v>
      </c>
      <c r="J24" s="58">
        <v>43.010000000000005</v>
      </c>
    </row>
    <row r="25" spans="1:14">
      <c r="A25" s="58" t="s">
        <v>284</v>
      </c>
      <c r="B25" s="58" t="s">
        <v>108</v>
      </c>
      <c r="C25" s="58">
        <v>44</v>
      </c>
      <c r="D25" s="58">
        <v>44</v>
      </c>
      <c r="E25" s="58">
        <v>44</v>
      </c>
      <c r="F25" s="58">
        <v>44</v>
      </c>
      <c r="G25" s="58">
        <v>44</v>
      </c>
      <c r="H25" s="58">
        <v>44</v>
      </c>
      <c r="I25" s="58">
        <v>44</v>
      </c>
      <c r="J25" s="58">
        <v>44</v>
      </c>
    </row>
    <row r="26" spans="1:14">
      <c r="A26" s="58" t="s">
        <v>284</v>
      </c>
      <c r="B26" s="58" t="s">
        <v>109</v>
      </c>
      <c r="C26" s="58">
        <v>41.800000000000004</v>
      </c>
      <c r="D26" s="58">
        <v>41.800000000000004</v>
      </c>
      <c r="E26" s="58">
        <v>41.800000000000004</v>
      </c>
      <c r="F26" s="58">
        <v>41.800000000000004</v>
      </c>
      <c r="G26" s="58">
        <v>41.800000000000004</v>
      </c>
      <c r="H26" s="58">
        <v>41.800000000000004</v>
      </c>
      <c r="I26" s="58">
        <v>41.800000000000004</v>
      </c>
      <c r="J26" s="58">
        <v>41.800000000000004</v>
      </c>
    </row>
    <row r="27" spans="1:14">
      <c r="A27" s="58" t="s">
        <v>284</v>
      </c>
      <c r="B27" s="58" t="s">
        <v>481</v>
      </c>
      <c r="C27" s="58">
        <v>28.6</v>
      </c>
      <c r="D27" s="58">
        <v>28.6</v>
      </c>
      <c r="E27" s="58">
        <v>18.700000000000003</v>
      </c>
      <c r="F27" s="58">
        <v>18.700000000000003</v>
      </c>
      <c r="G27" s="58">
        <v>18.700000000000003</v>
      </c>
      <c r="H27" s="58">
        <v>18.700000000000003</v>
      </c>
      <c r="I27" s="58">
        <v>18.700000000000003</v>
      </c>
      <c r="J27" s="58">
        <v>18.700000000000003</v>
      </c>
    </row>
    <row r="28" spans="1:14">
      <c r="A28" s="58" t="s">
        <v>284</v>
      </c>
      <c r="B28" s="58" t="s">
        <v>479</v>
      </c>
      <c r="C28" s="58">
        <v>28.6</v>
      </c>
      <c r="D28" s="58">
        <v>28.6</v>
      </c>
      <c r="E28" s="58">
        <v>18.700000000000003</v>
      </c>
      <c r="F28" s="58">
        <v>18.700000000000003</v>
      </c>
      <c r="G28" s="58">
        <v>18.700000000000003</v>
      </c>
      <c r="H28" s="58">
        <v>18.700000000000003</v>
      </c>
      <c r="I28" s="58">
        <v>18.700000000000003</v>
      </c>
      <c r="J28" s="58">
        <v>18.700000000000003</v>
      </c>
    </row>
    <row r="29" spans="1:14">
      <c r="A29" s="58" t="s">
        <v>284</v>
      </c>
      <c r="B29" s="58" t="s">
        <v>483</v>
      </c>
      <c r="C29" s="58">
        <v>28.6</v>
      </c>
      <c r="D29" s="58">
        <v>28.6</v>
      </c>
      <c r="E29" s="58">
        <v>18.700000000000003</v>
      </c>
      <c r="F29" s="58">
        <v>18.700000000000003</v>
      </c>
      <c r="G29" s="58">
        <v>18.700000000000003</v>
      </c>
      <c r="H29" s="58">
        <v>18.700000000000003</v>
      </c>
      <c r="I29" s="58">
        <v>18.700000000000003</v>
      </c>
      <c r="J29" s="58">
        <v>18.700000000000003</v>
      </c>
    </row>
    <row r="30" spans="1:14">
      <c r="A30" s="58" t="s">
        <v>284</v>
      </c>
      <c r="B30" s="58" t="s">
        <v>476</v>
      </c>
      <c r="C30" s="58">
        <v>55.000000000000007</v>
      </c>
      <c r="D30" s="58">
        <v>45.1</v>
      </c>
      <c r="E30" s="58">
        <v>42.900000000000006</v>
      </c>
      <c r="F30" s="58">
        <v>41.800000000000004</v>
      </c>
      <c r="G30" s="58">
        <v>40.700000000000003</v>
      </c>
      <c r="H30" s="58">
        <v>40.700000000000003</v>
      </c>
      <c r="I30" s="58">
        <v>40.700000000000003</v>
      </c>
      <c r="J30" s="58">
        <v>40.700000000000003</v>
      </c>
      <c r="N30" s="58" t="s">
        <v>500</v>
      </c>
    </row>
    <row r="31" spans="1:14">
      <c r="A31" s="58" t="s">
        <v>284</v>
      </c>
      <c r="B31" s="58" t="s">
        <v>477</v>
      </c>
      <c r="C31" s="58">
        <v>66</v>
      </c>
      <c r="D31" s="58">
        <v>66</v>
      </c>
      <c r="E31" s="58">
        <v>66</v>
      </c>
      <c r="F31" s="58">
        <v>66</v>
      </c>
      <c r="G31" s="58">
        <v>66</v>
      </c>
      <c r="H31" s="58">
        <v>66</v>
      </c>
      <c r="I31" s="58">
        <v>66</v>
      </c>
      <c r="J31" s="58">
        <v>66</v>
      </c>
      <c r="N31" s="58" t="s">
        <v>500</v>
      </c>
    </row>
    <row r="32" spans="1:14">
      <c r="A32" s="58" t="s">
        <v>284</v>
      </c>
      <c r="B32" s="58" t="s">
        <v>478</v>
      </c>
      <c r="C32" s="58">
        <v>62.7</v>
      </c>
      <c r="D32" s="58">
        <v>62.7</v>
      </c>
      <c r="E32" s="58">
        <v>62.7</v>
      </c>
      <c r="F32" s="58">
        <v>62.7</v>
      </c>
      <c r="G32" s="58">
        <v>62.7</v>
      </c>
      <c r="H32" s="58">
        <v>62.7</v>
      </c>
      <c r="I32" s="58">
        <v>62.7</v>
      </c>
      <c r="J32" s="58">
        <v>62.7</v>
      </c>
      <c r="N32" s="58" t="s">
        <v>500</v>
      </c>
    </row>
    <row r="33" spans="1:14">
      <c r="A33" s="58" t="s">
        <v>284</v>
      </c>
      <c r="B33" s="58" t="s">
        <v>482</v>
      </c>
      <c r="C33" s="58">
        <v>42.900000000000006</v>
      </c>
      <c r="D33" s="58">
        <v>42.900000000000006</v>
      </c>
      <c r="E33" s="58">
        <v>28.050000000000004</v>
      </c>
      <c r="F33" s="58">
        <v>28.050000000000004</v>
      </c>
      <c r="G33" s="58">
        <v>28.050000000000004</v>
      </c>
      <c r="H33" s="58">
        <v>28.050000000000004</v>
      </c>
      <c r="I33" s="58">
        <v>28.050000000000004</v>
      </c>
      <c r="J33" s="58">
        <v>28.050000000000004</v>
      </c>
      <c r="N33" s="58" t="s">
        <v>500</v>
      </c>
    </row>
    <row r="34" spans="1:14">
      <c r="A34" s="58" t="s">
        <v>284</v>
      </c>
      <c r="B34" s="58" t="s">
        <v>480</v>
      </c>
      <c r="C34" s="58">
        <v>42.900000000000006</v>
      </c>
      <c r="D34" s="58">
        <v>42.900000000000006</v>
      </c>
      <c r="E34" s="58">
        <v>28.050000000000004</v>
      </c>
      <c r="F34" s="58">
        <v>28.050000000000004</v>
      </c>
      <c r="G34" s="58">
        <v>28.050000000000004</v>
      </c>
      <c r="H34" s="58">
        <v>28.050000000000004</v>
      </c>
      <c r="I34" s="58">
        <v>28.050000000000004</v>
      </c>
      <c r="J34" s="58">
        <v>28.050000000000004</v>
      </c>
      <c r="N34" s="58" t="s">
        <v>500</v>
      </c>
    </row>
    <row r="35" spans="1:14">
      <c r="A35" s="58" t="s">
        <v>284</v>
      </c>
      <c r="B35" s="58" t="s">
        <v>484</v>
      </c>
      <c r="C35" s="58">
        <v>22</v>
      </c>
      <c r="D35" s="58">
        <v>21.14285714</v>
      </c>
      <c r="E35" s="58">
        <v>20.285714290000001</v>
      </c>
      <c r="F35" s="58">
        <v>19.428571430000002</v>
      </c>
      <c r="G35" s="58">
        <v>18.571428569999998</v>
      </c>
      <c r="H35" s="58">
        <v>17.714285709999999</v>
      </c>
      <c r="I35" s="58">
        <v>16.85714286</v>
      </c>
      <c r="J35" s="58">
        <v>16</v>
      </c>
      <c r="N35" s="58" t="s">
        <v>500</v>
      </c>
    </row>
    <row r="36" spans="1:14">
      <c r="A36" s="58" t="s">
        <v>284</v>
      </c>
      <c r="B36" s="58" t="s">
        <v>486</v>
      </c>
      <c r="C36" s="58">
        <v>1</v>
      </c>
      <c r="D36" s="58">
        <v>1</v>
      </c>
      <c r="E36" s="58">
        <v>1</v>
      </c>
      <c r="F36" s="58">
        <v>1</v>
      </c>
      <c r="G36" s="58">
        <v>1</v>
      </c>
      <c r="H36" s="58">
        <v>1</v>
      </c>
      <c r="I36" s="58">
        <v>1</v>
      </c>
      <c r="J36" s="58">
        <v>1</v>
      </c>
      <c r="N36" s="58" t="s">
        <v>502</v>
      </c>
    </row>
    <row r="37" spans="1:14">
      <c r="A37" s="58" t="s">
        <v>284</v>
      </c>
      <c r="B37" s="58" t="s">
        <v>487</v>
      </c>
      <c r="C37" s="58">
        <v>1</v>
      </c>
      <c r="D37" s="58">
        <v>1</v>
      </c>
      <c r="E37" s="58">
        <v>1</v>
      </c>
      <c r="F37" s="58">
        <v>1</v>
      </c>
      <c r="G37" s="58">
        <v>1</v>
      </c>
      <c r="H37" s="58">
        <v>1</v>
      </c>
      <c r="I37" s="58">
        <v>1</v>
      </c>
      <c r="J37" s="58">
        <v>1</v>
      </c>
      <c r="N37" s="58" t="s">
        <v>502</v>
      </c>
    </row>
    <row r="38" spans="1:14">
      <c r="A38" s="58" t="s">
        <v>284</v>
      </c>
      <c r="B38" s="58" t="s">
        <v>485</v>
      </c>
      <c r="C38" s="58">
        <v>32.550000000000004</v>
      </c>
      <c r="D38" s="58">
        <v>32.550000000000004</v>
      </c>
      <c r="E38" s="58">
        <v>32.550000000000004</v>
      </c>
      <c r="F38" s="58">
        <v>32.550000000000004</v>
      </c>
      <c r="G38" s="58">
        <v>32.550000000000004</v>
      </c>
      <c r="H38" s="58">
        <v>32.550000000000004</v>
      </c>
      <c r="I38" s="58">
        <v>32.550000000000004</v>
      </c>
      <c r="J38" s="58">
        <v>32.550000000000004</v>
      </c>
      <c r="N38" s="58" t="s">
        <v>507</v>
      </c>
    </row>
    <row r="39" spans="1:14">
      <c r="A39" s="58" t="s">
        <v>284</v>
      </c>
      <c r="B39" s="58" t="s">
        <v>499</v>
      </c>
      <c r="C39" s="58">
        <v>18</v>
      </c>
      <c r="D39" s="58">
        <v>16.8</v>
      </c>
      <c r="E39" s="58">
        <v>13.2</v>
      </c>
      <c r="F39" s="58">
        <v>12</v>
      </c>
      <c r="G39" s="58">
        <v>10.799999999999999</v>
      </c>
      <c r="H39" s="58">
        <v>10.799999999999999</v>
      </c>
      <c r="I39" s="58">
        <v>9.6</v>
      </c>
      <c r="J39" s="58">
        <v>8.8800000000000008</v>
      </c>
    </row>
    <row r="131" spans="1:10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r="132" spans="1:10">
      <c r="A132" s="10"/>
      <c r="B132" s="62"/>
      <c r="C132" s="10"/>
      <c r="D132" s="10"/>
      <c r="E132" s="10"/>
      <c r="F132" s="10"/>
      <c r="G132" s="10"/>
      <c r="H132" s="10"/>
      <c r="I132" s="10"/>
      <c r="J132" s="10"/>
    </row>
    <row r="133" spans="1:10">
      <c r="A133" s="10"/>
      <c r="B133" s="62"/>
      <c r="C133" s="10"/>
      <c r="D133" s="10"/>
      <c r="E133" s="10"/>
      <c r="F133" s="10"/>
      <c r="G133" s="10"/>
      <c r="H133" s="10"/>
      <c r="I133" s="10"/>
      <c r="J133" s="10"/>
    </row>
    <row r="134" spans="1:10">
      <c r="A134" s="10"/>
      <c r="B134" s="62"/>
    </row>
    <row r="135" spans="1:10">
      <c r="A135" s="10"/>
      <c r="B135" s="62"/>
    </row>
    <row r="136" spans="1:10">
      <c r="A136" s="10"/>
      <c r="B136" s="62"/>
    </row>
    <row r="137" spans="1:10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r="138" spans="1:10">
      <c r="B138" s="62"/>
    </row>
    <row r="139" spans="1:10">
      <c r="B139" s="62"/>
    </row>
  </sheetData>
  <dataValidations count="1">
    <dataValidation type="list" allowBlank="1" showInputMessage="1" showErrorMessage="1" sqref="B135" xr:uid="{E63582CD-CFB7-45F6-BE0E-ADEC76935844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5" filterMode="1"/>
  <dimension ref="A1:AG1421"/>
  <sheetViews>
    <sheetView topLeftCell="A400" zoomScale="90" zoomScaleNormal="90" zoomScalePageLayoutView="90" workbookViewId="0">
      <selection activeCell="A422" sqref="A422:J422"/>
    </sheetView>
  </sheetViews>
  <sheetFormatPr defaultColWidth="11.42578125" defaultRowHeight="15"/>
  <cols>
    <col min="1" max="1" width="19" style="10" customWidth="1"/>
    <col min="2" max="2" width="28.42578125" style="10" customWidth="1"/>
    <col min="3" max="3" width="29.140625" style="10" customWidth="1"/>
    <col min="4" max="10" width="11.42578125" style="10"/>
    <col min="11" max="11" width="3.42578125" style="10" customWidth="1"/>
    <col min="12" max="12" width="13" style="10" bestFit="1" customWidth="1"/>
    <col min="13" max="13" width="17.42578125" style="10" bestFit="1" customWidth="1"/>
    <col min="14" max="16384" width="11.42578125" style="10"/>
  </cols>
  <sheetData>
    <row r="1" spans="1:10">
      <c r="A1" s="10" t="s">
        <v>436</v>
      </c>
    </row>
    <row r="2" spans="1:10">
      <c r="A2" s="10" t="s">
        <v>5</v>
      </c>
    </row>
    <row r="3" spans="1:10">
      <c r="A3" s="10" t="s">
        <v>399</v>
      </c>
    </row>
    <row r="5" spans="1:10">
      <c r="C5" s="10">
        <v>2018</v>
      </c>
      <c r="D5" s="10">
        <v>2020</v>
      </c>
      <c r="E5" s="10">
        <v>2025</v>
      </c>
      <c r="F5" s="10">
        <v>2030</v>
      </c>
      <c r="G5" s="10">
        <v>2035</v>
      </c>
      <c r="H5" s="10">
        <v>2040</v>
      </c>
      <c r="I5" s="10">
        <v>2045</v>
      </c>
      <c r="J5" s="10">
        <v>2050</v>
      </c>
    </row>
    <row r="6" spans="1:10" ht="14.45" hidden="1" customHeight="1">
      <c r="A6" s="57" t="s">
        <v>277</v>
      </c>
      <c r="B6" s="10" t="s">
        <v>142</v>
      </c>
      <c r="C6" s="10">
        <v>1.6600000000000001</v>
      </c>
      <c r="D6" s="10">
        <v>1.6600000000000001</v>
      </c>
      <c r="E6" s="10">
        <v>1.6600000000000001</v>
      </c>
      <c r="F6" s="10">
        <v>1.6600000000000001</v>
      </c>
      <c r="G6" s="10">
        <v>1.6600000000000001</v>
      </c>
      <c r="H6" s="10">
        <v>1.6600000000000001</v>
      </c>
      <c r="I6" s="10">
        <v>1.6600000000000001</v>
      </c>
      <c r="J6" s="10">
        <v>1.6600000000000001</v>
      </c>
    </row>
    <row r="7" spans="1:10" ht="14.45" hidden="1" customHeight="1">
      <c r="A7" s="57" t="s">
        <v>277</v>
      </c>
      <c r="B7" s="10" t="s">
        <v>163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</row>
    <row r="8" spans="1:10" ht="14.45" hidden="1" customHeight="1">
      <c r="A8" s="57" t="s">
        <v>277</v>
      </c>
      <c r="B8" s="10" t="s">
        <v>107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</row>
    <row r="9" spans="1:10" ht="14.45" hidden="1" customHeight="1">
      <c r="A9" s="57" t="s">
        <v>277</v>
      </c>
      <c r="B9" s="10" t="s">
        <v>106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</row>
    <row r="10" spans="1:10" ht="14.45" hidden="1" customHeight="1">
      <c r="A10" s="57" t="s">
        <v>277</v>
      </c>
      <c r="B10" s="10" t="s">
        <v>23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</row>
    <row r="11" spans="1:10" ht="14.45" hidden="1" customHeight="1">
      <c r="A11" s="57" t="s">
        <v>277</v>
      </c>
      <c r="B11" s="10" t="s">
        <v>58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</row>
    <row r="12" spans="1:10" ht="14.45" hidden="1" customHeight="1">
      <c r="A12" s="57" t="s">
        <v>277</v>
      </c>
      <c r="B12" s="10" t="s">
        <v>94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</row>
    <row r="13" spans="1:10" ht="14.45" hidden="1" customHeight="1">
      <c r="A13" s="57" t="s">
        <v>277</v>
      </c>
      <c r="B13" s="10" t="s">
        <v>170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</row>
    <row r="14" spans="1:10" ht="14.45" hidden="1" customHeight="1">
      <c r="A14" s="57" t="s">
        <v>277</v>
      </c>
      <c r="B14" s="10" t="s">
        <v>97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</row>
    <row r="15" spans="1:10" ht="14.45" hidden="1" customHeight="1">
      <c r="A15" s="66" t="s">
        <v>278</v>
      </c>
      <c r="B15" s="10" t="s">
        <v>475</v>
      </c>
      <c r="C15" s="10">
        <v>1.1694114731798608</v>
      </c>
      <c r="D15" s="10">
        <v>1.1694114731798608</v>
      </c>
      <c r="E15" s="10">
        <v>0.58470573658993041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</row>
    <row r="16" spans="1:10" ht="14.45" hidden="1" customHeight="1">
      <c r="A16" s="10" t="s">
        <v>278</v>
      </c>
      <c r="B16" s="10" t="s">
        <v>108</v>
      </c>
      <c r="C16" s="10">
        <v>0.21784896668802001</v>
      </c>
      <c r="D16" s="10">
        <v>0.21784896668802001</v>
      </c>
      <c r="E16" s="10">
        <v>0.10892448334401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</row>
    <row r="17" spans="1:12" ht="14.45" hidden="1" customHeight="1">
      <c r="A17" s="10" t="s">
        <v>278</v>
      </c>
      <c r="B17" s="10" t="s">
        <v>481</v>
      </c>
      <c r="C17" s="10">
        <v>2.1007818294379499</v>
      </c>
      <c r="D17" s="10">
        <v>1.100781829437953</v>
      </c>
      <c r="E17" s="10">
        <v>0.99310257668213531</v>
      </c>
      <c r="F17" s="10">
        <v>0.88542332392631773</v>
      </c>
      <c r="G17" s="10">
        <v>0.74884786663349601</v>
      </c>
      <c r="H17" s="10">
        <v>0.61227240934067417</v>
      </c>
      <c r="I17" s="10">
        <v>0.30613620467033709</v>
      </c>
      <c r="J17" s="10">
        <v>0</v>
      </c>
      <c r="L17" s="64"/>
    </row>
    <row r="18" spans="1:12" ht="14.45" hidden="1" customHeight="1">
      <c r="A18" s="10" t="s">
        <v>278</v>
      </c>
      <c r="B18" s="10" t="s">
        <v>485</v>
      </c>
      <c r="C18" s="10">
        <v>0.21135195593166151</v>
      </c>
      <c r="D18" s="10">
        <v>0.21135195593166151</v>
      </c>
      <c r="E18" s="10">
        <v>0.10567597796583075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</row>
    <row r="19" spans="1:12" ht="14.45" hidden="1" customHeight="1">
      <c r="A19" s="57" t="s">
        <v>278</v>
      </c>
      <c r="B19" s="10" t="s">
        <v>142</v>
      </c>
      <c r="C19" s="10">
        <v>3.1749999999999998</v>
      </c>
      <c r="D19" s="10">
        <v>3.1749999999999998</v>
      </c>
      <c r="E19" s="10">
        <v>3.1749999999999998</v>
      </c>
      <c r="F19" s="10">
        <v>3.1749999999999998</v>
      </c>
      <c r="G19" s="10">
        <v>3.1749999999999998</v>
      </c>
      <c r="H19" s="10">
        <v>3.1749999999999998</v>
      </c>
      <c r="I19" s="10">
        <v>3.1749999999999998</v>
      </c>
      <c r="J19" s="10">
        <v>3.1749999999999998</v>
      </c>
    </row>
    <row r="20" spans="1:12" ht="14.45" hidden="1" customHeight="1">
      <c r="A20" s="58" t="s">
        <v>278</v>
      </c>
      <c r="B20" s="58" t="s">
        <v>243</v>
      </c>
      <c r="C20" s="58">
        <v>7.6781999999999995</v>
      </c>
      <c r="D20" s="58">
        <v>6.9104000000000001</v>
      </c>
      <c r="E20" s="58">
        <v>5.3555999999999999</v>
      </c>
      <c r="F20" s="58">
        <v>3.2134</v>
      </c>
      <c r="G20" s="58">
        <v>1.6067</v>
      </c>
      <c r="H20" s="58">
        <v>0.64269999999999994</v>
      </c>
      <c r="I20" s="58">
        <v>0.12859999999999999</v>
      </c>
      <c r="J20" s="58">
        <v>0</v>
      </c>
    </row>
    <row r="21" spans="1:12" ht="14.45" hidden="1" customHeight="1">
      <c r="A21" s="74" t="s">
        <v>278</v>
      </c>
      <c r="B21" s="58" t="s">
        <v>244</v>
      </c>
      <c r="C21" s="58">
        <v>0.81430000000000002</v>
      </c>
      <c r="D21" s="58">
        <v>0.7329</v>
      </c>
      <c r="E21" s="58">
        <v>0.56799999999999995</v>
      </c>
      <c r="F21" s="58">
        <v>0.34079999999999999</v>
      </c>
      <c r="G21" s="58">
        <v>0.1704</v>
      </c>
      <c r="H21" s="58">
        <v>6.8199999999999997E-2</v>
      </c>
      <c r="I21" s="58">
        <v>1.3699999999999999E-2</v>
      </c>
      <c r="J21" s="58">
        <v>0</v>
      </c>
    </row>
    <row r="22" spans="1:12" ht="14.45" hidden="1" customHeight="1">
      <c r="A22" s="58" t="s">
        <v>278</v>
      </c>
      <c r="B22" s="58" t="s">
        <v>245</v>
      </c>
      <c r="C22" s="58">
        <v>0.1832</v>
      </c>
      <c r="D22" s="58">
        <v>0.16489999999999999</v>
      </c>
      <c r="E22" s="58">
        <v>0.1278</v>
      </c>
      <c r="F22" s="58">
        <v>7.6700000000000004E-2</v>
      </c>
      <c r="G22" s="58">
        <v>3.8400000000000004E-2</v>
      </c>
      <c r="H22" s="58">
        <v>1.5399999999999999E-2</v>
      </c>
      <c r="I22" s="58">
        <v>3.0999999999999999E-3</v>
      </c>
      <c r="J22" s="58">
        <v>0</v>
      </c>
    </row>
    <row r="23" spans="1:12" ht="14.45" hidden="1" customHeight="1">
      <c r="A23" s="58" t="s">
        <v>278</v>
      </c>
      <c r="B23" s="58" t="s">
        <v>217</v>
      </c>
      <c r="C23" s="58">
        <v>0.90349999999999997</v>
      </c>
      <c r="D23" s="58">
        <v>0.81320000000000003</v>
      </c>
      <c r="E23" s="58">
        <v>0.63029999999999997</v>
      </c>
      <c r="F23" s="58">
        <v>0.37819999999999998</v>
      </c>
      <c r="G23" s="58">
        <v>0.18909999999999999</v>
      </c>
      <c r="H23" s="58">
        <v>7.5700000000000003E-2</v>
      </c>
      <c r="I23" s="58">
        <v>1.52E-2</v>
      </c>
      <c r="J23" s="58">
        <v>0</v>
      </c>
    </row>
    <row r="24" spans="1:12" ht="14.45" hidden="1" customHeight="1">
      <c r="A24" s="58" t="s">
        <v>278</v>
      </c>
      <c r="B24" s="58" t="s">
        <v>237</v>
      </c>
      <c r="C24" s="58">
        <v>4.3900000000000002E-2</v>
      </c>
      <c r="D24" s="58">
        <v>3.9600000000000003E-2</v>
      </c>
      <c r="E24" s="58">
        <v>3.0699999999999998E-2</v>
      </c>
      <c r="F24" s="58">
        <v>1.8499999999999999E-2</v>
      </c>
      <c r="G24" s="58">
        <v>9.2999999999999992E-3</v>
      </c>
      <c r="H24" s="58">
        <v>3.8E-3</v>
      </c>
      <c r="I24" s="58">
        <v>8.0000000000000004E-4</v>
      </c>
      <c r="J24" s="58">
        <v>0</v>
      </c>
    </row>
    <row r="25" spans="1:12" ht="14.45" hidden="1" customHeight="1">
      <c r="A25" s="58" t="s">
        <v>278</v>
      </c>
      <c r="B25" s="58" t="s">
        <v>226</v>
      </c>
      <c r="C25" s="58">
        <v>6.0146999999999995</v>
      </c>
      <c r="D25" s="58">
        <v>5.4132999999999996</v>
      </c>
      <c r="E25" s="58">
        <v>4.1953999999999994</v>
      </c>
      <c r="F25" s="58">
        <v>2.5173000000000001</v>
      </c>
      <c r="G25" s="58">
        <v>1.2586999999999999</v>
      </c>
      <c r="H25" s="58">
        <v>0.50349999999999995</v>
      </c>
      <c r="I25" s="58">
        <v>0.1007</v>
      </c>
      <c r="J25" s="58">
        <v>0</v>
      </c>
    </row>
    <row r="26" spans="1:12" ht="14.45" hidden="1" customHeight="1">
      <c r="A26" s="58" t="s">
        <v>278</v>
      </c>
      <c r="B26" s="58" t="s">
        <v>219</v>
      </c>
      <c r="C26" s="58">
        <v>5.5300000000000002E-2</v>
      </c>
      <c r="D26" s="58">
        <v>4.9800000000000004E-2</v>
      </c>
      <c r="E26" s="58">
        <v>3.8600000000000002E-2</v>
      </c>
      <c r="F26" s="58">
        <v>2.3199999999999998E-2</v>
      </c>
      <c r="G26" s="58">
        <v>1.1599999999999999E-2</v>
      </c>
      <c r="H26" s="58">
        <v>4.7000000000000002E-3</v>
      </c>
      <c r="I26" s="58">
        <v>1E-3</v>
      </c>
      <c r="J26" s="58">
        <v>0</v>
      </c>
    </row>
    <row r="27" spans="1:12" ht="14.45" hidden="1" customHeight="1">
      <c r="A27" s="58" t="s">
        <v>278</v>
      </c>
      <c r="B27" s="58" t="s">
        <v>227</v>
      </c>
      <c r="C27" s="58">
        <v>0.28179999999999999</v>
      </c>
      <c r="D27" s="58">
        <v>0.25369999999999998</v>
      </c>
      <c r="E27" s="58">
        <v>0.19669999999999999</v>
      </c>
      <c r="F27" s="58">
        <v>0.1181</v>
      </c>
      <c r="G27" s="58">
        <v>5.91E-2</v>
      </c>
      <c r="H27" s="58">
        <v>2.3699999999999999E-2</v>
      </c>
      <c r="I27" s="58">
        <v>4.8000000000000004E-3</v>
      </c>
      <c r="J27" s="58">
        <v>0</v>
      </c>
    </row>
    <row r="28" spans="1:12" ht="14.45" hidden="1" customHeight="1">
      <c r="A28" s="58" t="s">
        <v>278</v>
      </c>
      <c r="B28" s="58" t="s">
        <v>206</v>
      </c>
      <c r="C28" s="58">
        <v>2.0737000000000001</v>
      </c>
      <c r="D28" s="58">
        <v>1.8664000000000001</v>
      </c>
      <c r="E28" s="58">
        <v>1.4464999999999999</v>
      </c>
      <c r="F28" s="58">
        <v>0.8679</v>
      </c>
      <c r="G28" s="58">
        <v>0.434</v>
      </c>
      <c r="H28" s="58">
        <v>0.1736</v>
      </c>
      <c r="I28" s="58">
        <v>3.4800000000000005E-2</v>
      </c>
    </row>
    <row r="29" spans="1:12" ht="14.45" hidden="1" customHeight="1">
      <c r="A29" s="58" t="s">
        <v>278</v>
      </c>
      <c r="B29" s="58" t="s">
        <v>233</v>
      </c>
      <c r="C29" s="58">
        <v>0.59250000000000003</v>
      </c>
      <c r="D29" s="58">
        <v>0.5333</v>
      </c>
      <c r="E29" s="58">
        <v>0.41339999999999999</v>
      </c>
      <c r="F29" s="58">
        <v>0.24809999999999999</v>
      </c>
      <c r="G29" s="58">
        <v>0.1241</v>
      </c>
      <c r="H29" s="58">
        <v>4.9700000000000001E-2</v>
      </c>
      <c r="I29" s="58">
        <v>0.01</v>
      </c>
    </row>
    <row r="30" spans="1:12" ht="14.45" hidden="1" customHeight="1">
      <c r="A30" s="58" t="s">
        <v>278</v>
      </c>
      <c r="B30" s="58" t="s">
        <v>224</v>
      </c>
      <c r="C30" s="58">
        <v>21.823799999999999</v>
      </c>
      <c r="D30" s="58">
        <v>19.641500000000001</v>
      </c>
      <c r="E30" s="58">
        <v>15.222199999999999</v>
      </c>
      <c r="F30" s="58">
        <v>9.1334</v>
      </c>
      <c r="G30" s="58">
        <v>4.5667</v>
      </c>
      <c r="H30" s="58">
        <v>1.8267</v>
      </c>
      <c r="I30" s="58">
        <v>0.3654</v>
      </c>
    </row>
    <row r="31" spans="1:12" ht="14.45" hidden="1" customHeight="1">
      <c r="A31" s="57" t="s">
        <v>278</v>
      </c>
      <c r="B31" s="10" t="s">
        <v>211</v>
      </c>
      <c r="C31" s="10">
        <v>2</v>
      </c>
      <c r="D31" s="10">
        <v>2</v>
      </c>
      <c r="E31" s="10">
        <v>2</v>
      </c>
      <c r="F31" s="10">
        <v>1</v>
      </c>
      <c r="G31" s="10">
        <v>1</v>
      </c>
      <c r="H31" s="10">
        <v>1</v>
      </c>
      <c r="I31" s="10">
        <v>1</v>
      </c>
      <c r="J31" s="10">
        <v>1.4918852841105888E-2</v>
      </c>
    </row>
    <row r="32" spans="1:12" ht="14.45" hidden="1" customHeight="1">
      <c r="A32" s="58" t="s">
        <v>278</v>
      </c>
      <c r="B32" s="58" t="s">
        <v>207</v>
      </c>
      <c r="C32" s="58">
        <v>1.9400000000000001E-2</v>
      </c>
      <c r="D32" s="58">
        <v>1.7499999999999998E-2</v>
      </c>
      <c r="E32" s="58">
        <v>1.3599999999999999E-2</v>
      </c>
      <c r="F32" s="58">
        <v>8.199999999999999E-3</v>
      </c>
      <c r="G32" s="58">
        <v>4.1000000000000003E-3</v>
      </c>
      <c r="H32" s="58">
        <v>1.7000000000000001E-3</v>
      </c>
      <c r="I32" s="58">
        <v>3.9999999999999996E-4</v>
      </c>
    </row>
    <row r="33" spans="1:10" ht="14.45" hidden="1" customHeight="1">
      <c r="A33" s="58" t="s">
        <v>278</v>
      </c>
      <c r="B33" s="58" t="s">
        <v>225</v>
      </c>
      <c r="C33" s="58">
        <v>1.4986999999999999</v>
      </c>
      <c r="D33" s="58">
        <v>1.3489</v>
      </c>
      <c r="E33" s="58">
        <v>1.0453999999999999</v>
      </c>
      <c r="F33" s="58">
        <v>0.62729999999999997</v>
      </c>
      <c r="G33" s="58">
        <v>0.31369999999999998</v>
      </c>
      <c r="H33" s="58">
        <v>0.1255</v>
      </c>
      <c r="I33" s="58">
        <v>2.5100000000000001E-2</v>
      </c>
    </row>
    <row r="34" spans="1:10" ht="14.45" hidden="1" customHeight="1">
      <c r="A34" s="74" t="s">
        <v>278</v>
      </c>
      <c r="B34" s="58" t="s">
        <v>228</v>
      </c>
      <c r="C34" s="58">
        <v>0.91279999999999994</v>
      </c>
      <c r="D34" s="58">
        <v>0.8216</v>
      </c>
      <c r="E34" s="58">
        <v>0.63680000000000003</v>
      </c>
      <c r="F34" s="58">
        <v>0.3821</v>
      </c>
      <c r="G34" s="58">
        <v>0.19109999999999999</v>
      </c>
      <c r="H34" s="58">
        <v>7.6499999999999999E-2</v>
      </c>
      <c r="I34" s="58">
        <v>1.5299999999999999E-2</v>
      </c>
      <c r="J34" s="58">
        <v>0</v>
      </c>
    </row>
    <row r="35" spans="1:10" ht="14.45" hidden="1" customHeight="1">
      <c r="A35" s="58" t="s">
        <v>278</v>
      </c>
      <c r="B35" s="58" t="s">
        <v>230</v>
      </c>
      <c r="C35" s="58">
        <v>17.036300000000001</v>
      </c>
      <c r="D35" s="58">
        <v>15.332699999999999</v>
      </c>
      <c r="E35" s="58">
        <v>11.882899999999999</v>
      </c>
      <c r="F35" s="58">
        <v>7.1297999999999995</v>
      </c>
      <c r="G35" s="58">
        <v>3.5649000000000002</v>
      </c>
      <c r="H35" s="58">
        <v>1.4259999999999999</v>
      </c>
      <c r="I35" s="58">
        <v>0.28520000000000001</v>
      </c>
      <c r="J35" s="58">
        <v>0</v>
      </c>
    </row>
    <row r="36" spans="1:10" ht="14.45" hidden="1" customHeight="1">
      <c r="A36" s="58" t="s">
        <v>278</v>
      </c>
      <c r="B36" s="58" t="s">
        <v>229</v>
      </c>
      <c r="C36" s="58">
        <v>0.13089999999999999</v>
      </c>
      <c r="D36" s="58">
        <v>0.1179</v>
      </c>
      <c r="E36" s="58">
        <v>9.1400000000000009E-2</v>
      </c>
      <c r="F36" s="58">
        <v>5.4900000000000004E-2</v>
      </c>
      <c r="G36" s="58">
        <v>2.75E-2</v>
      </c>
      <c r="H36" s="58">
        <v>1.0999999999999999E-2</v>
      </c>
      <c r="I36" s="58">
        <v>2.2000000000000001E-3</v>
      </c>
      <c r="J36" s="58">
        <v>0</v>
      </c>
    </row>
    <row r="37" spans="1:10" ht="14.45" hidden="1" customHeight="1">
      <c r="A37" s="58" t="s">
        <v>278</v>
      </c>
      <c r="B37" s="58" t="s">
        <v>231</v>
      </c>
      <c r="C37" s="58">
        <v>0.17319999999999999</v>
      </c>
      <c r="D37" s="58">
        <v>0.15589999999999998</v>
      </c>
      <c r="E37" s="58">
        <v>0.12090000000000001</v>
      </c>
      <c r="F37" s="58">
        <v>7.2599999999999998E-2</v>
      </c>
      <c r="G37" s="58">
        <v>3.6299999999999999E-2</v>
      </c>
      <c r="H37" s="58">
        <v>1.46E-2</v>
      </c>
      <c r="I37" s="58">
        <v>2.9999999999999996E-3</v>
      </c>
      <c r="J37" s="58">
        <v>0</v>
      </c>
    </row>
    <row r="38" spans="1:10" ht="14.45" hidden="1" customHeight="1">
      <c r="A38" s="58" t="s">
        <v>278</v>
      </c>
      <c r="B38" s="58" t="s">
        <v>240</v>
      </c>
      <c r="C38" s="58">
        <v>1.1099999999999999E-2</v>
      </c>
      <c r="D38" s="58">
        <v>0.01</v>
      </c>
      <c r="E38" s="58">
        <v>7.8000000000000005E-3</v>
      </c>
      <c r="F38" s="58">
        <v>4.7000000000000002E-3</v>
      </c>
      <c r="G38" s="58">
        <v>2.3999999999999998E-3</v>
      </c>
      <c r="H38" s="58">
        <v>1E-3</v>
      </c>
      <c r="I38" s="58">
        <v>0</v>
      </c>
      <c r="J38" s="58">
        <v>0</v>
      </c>
    </row>
    <row r="39" spans="1:10" ht="14.45" hidden="1" customHeight="1">
      <c r="A39" s="57" t="s">
        <v>278</v>
      </c>
      <c r="B39" s="10" t="s">
        <v>163</v>
      </c>
      <c r="C39" s="58">
        <v>1.7580000000000002</v>
      </c>
      <c r="D39" s="58">
        <v>1.6540000000000001</v>
      </c>
      <c r="E39" s="58">
        <v>0.69000000000000006</v>
      </c>
      <c r="F39" s="58">
        <v>0.53600000000000003</v>
      </c>
      <c r="G39" s="58">
        <v>0.38900000000000001</v>
      </c>
      <c r="H39" s="58">
        <v>0.373</v>
      </c>
      <c r="I39" s="58">
        <v>0.35299999999999998</v>
      </c>
      <c r="J39" s="58">
        <v>0.33299999999999996</v>
      </c>
    </row>
    <row r="40" spans="1:10" ht="14.45" hidden="1" customHeight="1">
      <c r="A40" s="57" t="s">
        <v>278</v>
      </c>
      <c r="B40" s="10" t="s">
        <v>107</v>
      </c>
      <c r="C40" s="58">
        <v>0.8144648000000001</v>
      </c>
      <c r="D40" s="58">
        <v>6.6464800000000102E-2</v>
      </c>
      <c r="E40" s="58">
        <v>1.1464800000000101E-2</v>
      </c>
      <c r="F40" s="58">
        <v>1.1464800000000101E-2</v>
      </c>
      <c r="G40" s="58">
        <v>1.1464800000000101E-2</v>
      </c>
      <c r="H40" s="58">
        <v>1.1464800000000101E-2</v>
      </c>
      <c r="I40" s="58">
        <v>1.1464800000000101E-2</v>
      </c>
      <c r="J40" s="58">
        <v>1.1464800000000101E-2</v>
      </c>
    </row>
    <row r="41" spans="1:10" ht="14.45" hidden="1" customHeight="1">
      <c r="A41" s="57" t="s">
        <v>278</v>
      </c>
      <c r="B41" s="10" t="s">
        <v>106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</row>
    <row r="42" spans="1:10" ht="14.45" hidden="1" customHeight="1">
      <c r="A42" s="57" t="s">
        <v>278</v>
      </c>
      <c r="B42" s="10" t="s">
        <v>22</v>
      </c>
      <c r="C42" s="10">
        <v>5.1191129999999996</v>
      </c>
      <c r="D42" s="10">
        <v>4.2212714346930031</v>
      </c>
      <c r="E42" s="10">
        <v>4.1472795397011728</v>
      </c>
      <c r="F42" s="10">
        <v>4.0314460709717137</v>
      </c>
      <c r="G42" s="10">
        <v>3.5300891757354091</v>
      </c>
      <c r="H42" s="10">
        <v>3.0329596179881508</v>
      </c>
      <c r="I42" s="10">
        <v>1.8676808398421119</v>
      </c>
      <c r="J42" s="10">
        <v>1.4918852841105888E-2</v>
      </c>
    </row>
    <row r="43" spans="1:10" ht="14.45" hidden="1" customHeight="1">
      <c r="A43" s="10" t="s">
        <v>278</v>
      </c>
      <c r="B43" s="10" t="s">
        <v>488</v>
      </c>
      <c r="C43" s="10">
        <v>3.2899099999999999</v>
      </c>
      <c r="D43" s="10">
        <v>3.2899099999999999</v>
      </c>
      <c r="E43" s="10">
        <v>1.9580182220367277</v>
      </c>
      <c r="F43" s="10">
        <v>0.62612644407345575</v>
      </c>
      <c r="G43" s="10">
        <v>0.62612644407345575</v>
      </c>
      <c r="H43" s="10">
        <v>0.62612644407345575</v>
      </c>
      <c r="I43" s="10">
        <v>0.31306322203672787</v>
      </c>
      <c r="J43" s="10">
        <v>0</v>
      </c>
    </row>
    <row r="44" spans="1:10" ht="14.45" hidden="1" customHeight="1">
      <c r="A44" s="66" t="s">
        <v>278</v>
      </c>
      <c r="B44" s="10" t="s">
        <v>489</v>
      </c>
      <c r="C44" s="10">
        <v>0.25600000000000001</v>
      </c>
      <c r="D44" s="10">
        <v>0.25600000000000001</v>
      </c>
      <c r="E44" s="10">
        <v>0.24400000000000002</v>
      </c>
      <c r="F44" s="10">
        <v>0.23200000000000004</v>
      </c>
      <c r="G44" s="10">
        <v>0.18900000000000003</v>
      </c>
      <c r="H44" s="10">
        <v>0.14600000000000002</v>
      </c>
      <c r="I44" s="10">
        <v>7.3000000000000009E-2</v>
      </c>
      <c r="J44" s="10">
        <v>0</v>
      </c>
    </row>
    <row r="45" spans="1:10" ht="14.45" hidden="1" customHeight="1">
      <c r="A45" s="10" t="s">
        <v>278</v>
      </c>
      <c r="B45" s="10" t="s">
        <v>490</v>
      </c>
      <c r="C45" s="10">
        <v>0.49153200000000002</v>
      </c>
      <c r="D45" s="10">
        <v>0.49153200000000002</v>
      </c>
      <c r="E45" s="10">
        <v>0.45490992031098154</v>
      </c>
      <c r="F45" s="10">
        <v>0.41828784062196306</v>
      </c>
      <c r="G45" s="10">
        <v>0.32553844314868807</v>
      </c>
      <c r="H45" s="10">
        <v>0.232789045675413</v>
      </c>
      <c r="I45" s="10">
        <v>0.1163945228377065</v>
      </c>
      <c r="J45" s="10">
        <v>0</v>
      </c>
    </row>
    <row r="46" spans="1:10" ht="14.45" hidden="1" customHeight="1">
      <c r="A46" s="57" t="s">
        <v>278</v>
      </c>
      <c r="B46" s="10" t="s">
        <v>23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</row>
    <row r="47" spans="1:10" ht="14.45" hidden="1" customHeight="1">
      <c r="A47" s="57" t="s">
        <v>278</v>
      </c>
      <c r="B47" s="10" t="s">
        <v>58</v>
      </c>
      <c r="C47" s="10">
        <v>1.187576</v>
      </c>
      <c r="D47" s="10">
        <v>0.7101962057818324</v>
      </c>
      <c r="E47" s="10">
        <v>0.21355295257942083</v>
      </c>
      <c r="F47" s="10">
        <v>0.1054708165108485</v>
      </c>
      <c r="G47" s="10">
        <v>1.9894936176503408E-3</v>
      </c>
      <c r="H47" s="10">
        <v>1.1455693816671882E-3</v>
      </c>
      <c r="I47" s="10">
        <v>0</v>
      </c>
      <c r="J47" s="10">
        <v>0</v>
      </c>
    </row>
    <row r="48" spans="1:10" ht="14.45" hidden="1" customHeight="1">
      <c r="A48" s="58" t="s">
        <v>278</v>
      </c>
      <c r="B48" s="58" t="s">
        <v>102</v>
      </c>
      <c r="C48" s="58">
        <v>7.8460000000000001</v>
      </c>
      <c r="D48" s="58">
        <v>7.8460000000000001</v>
      </c>
      <c r="E48" s="58">
        <v>7.8460000000000001</v>
      </c>
      <c r="F48" s="58">
        <v>7.8460000000000001</v>
      </c>
      <c r="G48" s="58">
        <v>7.8460000000000001</v>
      </c>
      <c r="H48" s="58">
        <v>7.8460000000000001</v>
      </c>
      <c r="I48" s="58">
        <v>7.8460000000000001</v>
      </c>
      <c r="J48" s="58">
        <v>7.8460000000000001</v>
      </c>
    </row>
    <row r="49" spans="1:12" ht="14.45" hidden="1" customHeight="1">
      <c r="A49" s="59" t="s">
        <v>278</v>
      </c>
      <c r="B49" s="10" t="s">
        <v>337</v>
      </c>
      <c r="C49" s="10">
        <v>4.6710000000000003</v>
      </c>
      <c r="D49" s="10">
        <v>4.6710000000000003</v>
      </c>
      <c r="E49" s="10">
        <v>4.6710000000000003</v>
      </c>
      <c r="F49" s="10">
        <v>4.6710000000000003</v>
      </c>
      <c r="G49" s="10">
        <v>4.6710000000000003</v>
      </c>
      <c r="H49" s="10">
        <v>4.6710000000000003</v>
      </c>
      <c r="I49" s="10">
        <v>4.6710000000000003</v>
      </c>
      <c r="J49" s="10">
        <v>4.6710000000000003</v>
      </c>
    </row>
    <row r="50" spans="1:12" ht="14.45" hidden="1" customHeight="1">
      <c r="A50" s="57" t="s">
        <v>278</v>
      </c>
      <c r="B50" s="10" t="s">
        <v>103</v>
      </c>
      <c r="C50" s="10">
        <v>6.0140000000000002</v>
      </c>
      <c r="D50" s="10">
        <v>6.0140000000000002</v>
      </c>
      <c r="E50" s="10">
        <v>6.0140000000000002</v>
      </c>
      <c r="F50" s="10">
        <v>6.0140000000000002</v>
      </c>
      <c r="G50" s="10">
        <v>6.0140000000000002</v>
      </c>
      <c r="H50" s="10">
        <v>6.0140000000000002</v>
      </c>
      <c r="I50" s="10">
        <v>6.0140000000000002</v>
      </c>
      <c r="J50" s="10">
        <v>6.0140000000000002</v>
      </c>
    </row>
    <row r="51" spans="1:12" ht="14.45" hidden="1" customHeight="1">
      <c r="A51" s="57" t="s">
        <v>278</v>
      </c>
      <c r="B51" s="10" t="s">
        <v>94</v>
      </c>
      <c r="C51" s="10">
        <v>1.4379999999999999</v>
      </c>
      <c r="D51" s="10">
        <v>1.4379999999999999</v>
      </c>
      <c r="E51" s="10">
        <v>1.4379999999999999</v>
      </c>
      <c r="F51" s="10">
        <v>1.4379999999999999</v>
      </c>
      <c r="G51" s="10">
        <v>0.70318895745564236</v>
      </c>
      <c r="H51" s="10">
        <v>0</v>
      </c>
      <c r="I51" s="10">
        <v>0</v>
      </c>
      <c r="J51" s="10">
        <v>0</v>
      </c>
    </row>
    <row r="52" spans="1:12" ht="14.45" hidden="1" customHeight="1">
      <c r="A52" s="57" t="s">
        <v>278</v>
      </c>
      <c r="B52" s="10" t="s">
        <v>170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</row>
    <row r="53" spans="1:12" ht="14.45" hidden="1" customHeight="1">
      <c r="A53" s="57" t="s">
        <v>278</v>
      </c>
      <c r="B53" s="10" t="s">
        <v>97</v>
      </c>
      <c r="C53" s="10">
        <v>3.0449999999999999</v>
      </c>
      <c r="D53" s="10">
        <v>3.0449999999999999</v>
      </c>
      <c r="E53" s="10">
        <v>3.0449999999999999</v>
      </c>
      <c r="F53" s="10">
        <v>3.0449999999999999</v>
      </c>
      <c r="G53" s="10">
        <v>2.5373828607019413</v>
      </c>
      <c r="H53" s="10">
        <v>0</v>
      </c>
      <c r="I53" s="10">
        <v>0</v>
      </c>
      <c r="J53" s="10">
        <v>0</v>
      </c>
    </row>
    <row r="54" spans="1:12" ht="14.45" hidden="1" customHeight="1">
      <c r="A54" s="57" t="s">
        <v>279</v>
      </c>
      <c r="B54" s="10" t="s">
        <v>142</v>
      </c>
      <c r="C54" s="10">
        <v>0.93300000000000005</v>
      </c>
      <c r="D54" s="10">
        <v>0.93300000000000005</v>
      </c>
      <c r="E54" s="10">
        <v>0.93300000000000005</v>
      </c>
      <c r="F54" s="10">
        <v>0.93300000000000005</v>
      </c>
      <c r="G54" s="10">
        <v>0.93300000000000005</v>
      </c>
      <c r="H54" s="10">
        <v>0.93300000000000005</v>
      </c>
      <c r="I54" s="10">
        <v>0.93300000000000005</v>
      </c>
      <c r="J54" s="10">
        <v>0.93300000000000005</v>
      </c>
    </row>
    <row r="55" spans="1:12" ht="14.45" hidden="1" customHeight="1">
      <c r="A55" s="57" t="s">
        <v>279</v>
      </c>
      <c r="B55" s="10" t="s">
        <v>163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</row>
    <row r="56" spans="1:12" ht="14.45" hidden="1" customHeight="1">
      <c r="A56" s="57" t="s">
        <v>279</v>
      </c>
      <c r="B56" s="10" t="s">
        <v>107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</row>
    <row r="57" spans="1:12" ht="14.45" hidden="1" customHeight="1">
      <c r="A57" s="57" t="s">
        <v>279</v>
      </c>
      <c r="B57" s="10" t="s">
        <v>106</v>
      </c>
      <c r="C57" s="10">
        <v>1.83</v>
      </c>
      <c r="D57" s="10">
        <v>0.71530944625407167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</row>
    <row r="58" spans="1:12" ht="14.45" hidden="1" customHeight="1">
      <c r="A58" s="59" t="s">
        <v>279</v>
      </c>
      <c r="B58" s="10" t="s">
        <v>23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</row>
    <row r="59" spans="1:12" ht="14.45" hidden="1" customHeight="1">
      <c r="A59" s="57" t="s">
        <v>279</v>
      </c>
      <c r="B59" s="10" t="s">
        <v>58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</row>
    <row r="60" spans="1:12" ht="14.45" hidden="1" customHeight="1">
      <c r="A60" s="57" t="s">
        <v>279</v>
      </c>
      <c r="B60" s="10" t="s">
        <v>94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</row>
    <row r="61" spans="1:12" ht="14.45" hidden="1" customHeight="1">
      <c r="A61" s="57" t="s">
        <v>279</v>
      </c>
      <c r="B61" s="10" t="s">
        <v>170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L61" s="64"/>
    </row>
    <row r="62" spans="1:12" ht="14.45" hidden="1" customHeight="1">
      <c r="A62" s="57" t="s">
        <v>279</v>
      </c>
      <c r="B62" s="10" t="s">
        <v>97</v>
      </c>
      <c r="C62" s="10">
        <v>0.19</v>
      </c>
      <c r="D62" s="10">
        <v>0.19</v>
      </c>
      <c r="E62" s="10">
        <v>0.19</v>
      </c>
      <c r="F62" s="10">
        <v>5.6999999999999933E-2</v>
      </c>
      <c r="G62" s="10">
        <v>9.499999999999939E-3</v>
      </c>
      <c r="H62" s="10">
        <v>0</v>
      </c>
      <c r="I62" s="10">
        <v>0</v>
      </c>
      <c r="J62" s="10">
        <v>0</v>
      </c>
    </row>
    <row r="63" spans="1:12" ht="14.45" hidden="1" customHeight="1">
      <c r="A63" s="10" t="s">
        <v>280</v>
      </c>
      <c r="B63" s="10" t="s">
        <v>475</v>
      </c>
      <c r="C63" s="10">
        <v>0.43119120280159989</v>
      </c>
      <c r="D63" s="10">
        <v>0.43119120280159989</v>
      </c>
      <c r="E63" s="10">
        <v>0.41003138728710853</v>
      </c>
      <c r="F63" s="10">
        <v>0.38887157177261711</v>
      </c>
      <c r="G63" s="10">
        <v>0.35177527051799251</v>
      </c>
      <c r="H63" s="10">
        <v>0.31467896926336786</v>
      </c>
      <c r="I63" s="10">
        <v>0.29501153368440736</v>
      </c>
      <c r="J63" s="10">
        <v>0.27534409810544686</v>
      </c>
    </row>
    <row r="64" spans="1:12" ht="14.45" hidden="1" customHeight="1">
      <c r="A64" s="10" t="s">
        <v>280</v>
      </c>
      <c r="B64" s="10" t="s">
        <v>108</v>
      </c>
      <c r="C64" s="10">
        <v>3.2280067111425781E-2</v>
      </c>
      <c r="D64" s="10">
        <v>3.2280067111425781E-2</v>
      </c>
      <c r="E64" s="10">
        <v>2.2200520463984533E-2</v>
      </c>
      <c r="F64" s="10">
        <v>1.2120973816543276E-2</v>
      </c>
      <c r="G64" s="10">
        <v>6.0604869082716379E-3</v>
      </c>
      <c r="H64" s="10">
        <v>0</v>
      </c>
      <c r="I64" s="10">
        <v>0</v>
      </c>
      <c r="J64" s="10">
        <v>0</v>
      </c>
    </row>
    <row r="65" spans="1:12" ht="14.45" hidden="1" customHeight="1">
      <c r="A65" s="10" t="s">
        <v>280</v>
      </c>
      <c r="B65" s="10" t="s">
        <v>481</v>
      </c>
      <c r="C65" s="10">
        <v>2.53502969477243</v>
      </c>
      <c r="D65" s="10">
        <v>1.5350296947724258</v>
      </c>
      <c r="E65" s="10">
        <v>1.4877198137058274</v>
      </c>
      <c r="F65" s="10">
        <v>1.4404099326392297</v>
      </c>
      <c r="G65" s="10">
        <v>1.2875325483661735</v>
      </c>
      <c r="H65" s="10">
        <v>1.1346551640931177</v>
      </c>
      <c r="I65" s="10">
        <v>0.56732758204655886</v>
      </c>
      <c r="J65" s="10">
        <v>0</v>
      </c>
    </row>
    <row r="66" spans="1:12" ht="14.45" hidden="1" customHeight="1">
      <c r="A66" s="10" t="s">
        <v>280</v>
      </c>
      <c r="B66" s="10" t="s">
        <v>485</v>
      </c>
      <c r="C66" s="10">
        <v>2.2380886665394891E-2</v>
      </c>
      <c r="D66" s="10">
        <v>2.2380886665394891E-2</v>
      </c>
      <c r="E66" s="10">
        <v>1.1190443332697446E-2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</row>
    <row r="67" spans="1:12" ht="14.45" hidden="1" customHeight="1">
      <c r="A67" s="57" t="s">
        <v>280</v>
      </c>
      <c r="B67" s="10" t="s">
        <v>142</v>
      </c>
      <c r="C67" s="10">
        <v>1.3080003333333334</v>
      </c>
      <c r="D67" s="10">
        <v>1.3080003333333334</v>
      </c>
      <c r="E67" s="10">
        <v>1.3080003333333334</v>
      </c>
      <c r="F67" s="10">
        <v>1.3080003333333334</v>
      </c>
      <c r="G67" s="10">
        <v>1.3080003333333334</v>
      </c>
      <c r="H67" s="10">
        <v>1.3080003333333334</v>
      </c>
      <c r="I67" s="10">
        <v>1.3080003333333334</v>
      </c>
      <c r="J67" s="10">
        <v>1.3080003333333334</v>
      </c>
    </row>
    <row r="68" spans="1:12" ht="14.45" hidden="1" customHeight="1">
      <c r="A68" s="58" t="s">
        <v>280</v>
      </c>
      <c r="B68" s="58" t="s">
        <v>243</v>
      </c>
      <c r="C68" s="58">
        <v>6.5447999999999995</v>
      </c>
      <c r="D68" s="58">
        <v>5.8903999999999996</v>
      </c>
      <c r="E68" s="58">
        <v>4.5651000000000002</v>
      </c>
      <c r="F68" s="58">
        <v>2.7391000000000001</v>
      </c>
      <c r="G68" s="58">
        <v>1.3695999999999999</v>
      </c>
      <c r="H68" s="58">
        <v>0.54789999999999994</v>
      </c>
      <c r="I68" s="58">
        <v>0.1096</v>
      </c>
      <c r="J68" s="58">
        <v>0</v>
      </c>
    </row>
    <row r="69" spans="1:12" ht="14.45" hidden="1" customHeight="1">
      <c r="A69" s="58" t="s">
        <v>280</v>
      </c>
      <c r="B69" s="58" t="s">
        <v>244</v>
      </c>
      <c r="C69" s="58">
        <v>1.3725000000000001</v>
      </c>
      <c r="D69" s="58">
        <v>1.2353000000000001</v>
      </c>
      <c r="E69" s="58">
        <v>0.95740000000000003</v>
      </c>
      <c r="F69" s="58">
        <v>0.57450000000000001</v>
      </c>
      <c r="G69" s="58">
        <v>0.2873</v>
      </c>
      <c r="H69" s="58">
        <v>0.115</v>
      </c>
      <c r="I69" s="58">
        <v>2.3E-2</v>
      </c>
      <c r="J69" s="58">
        <v>0</v>
      </c>
    </row>
    <row r="70" spans="1:12" ht="14.45" hidden="1" customHeight="1">
      <c r="A70" s="58" t="s">
        <v>280</v>
      </c>
      <c r="B70" s="58" t="s">
        <v>245</v>
      </c>
      <c r="C70" s="58">
        <v>0.55649999999999999</v>
      </c>
      <c r="D70" s="58">
        <v>0.50090000000000001</v>
      </c>
      <c r="E70" s="58">
        <v>0.38819999999999999</v>
      </c>
      <c r="F70" s="58">
        <v>0.23299999999999998</v>
      </c>
      <c r="G70" s="58">
        <v>0.11650000000000001</v>
      </c>
      <c r="H70" s="58">
        <v>4.6600000000000003E-2</v>
      </c>
      <c r="I70" s="58">
        <v>9.3999999999999986E-3</v>
      </c>
      <c r="J70" s="58">
        <v>0</v>
      </c>
    </row>
    <row r="71" spans="1:12" ht="14.45" hidden="1" customHeight="1">
      <c r="A71" s="58" t="s">
        <v>280</v>
      </c>
      <c r="B71" s="58" t="s">
        <v>217</v>
      </c>
      <c r="C71" s="58">
        <v>0.52500000000000002</v>
      </c>
      <c r="D71" s="58">
        <v>0.47249999999999998</v>
      </c>
      <c r="E71" s="58">
        <v>0.36619999999999997</v>
      </c>
      <c r="F71" s="58">
        <v>0.2198</v>
      </c>
      <c r="G71" s="58">
        <v>0.1099</v>
      </c>
      <c r="H71" s="58">
        <v>4.4000000000000004E-2</v>
      </c>
      <c r="I71" s="58">
        <v>8.8000000000000005E-3</v>
      </c>
      <c r="J71" s="58">
        <v>0</v>
      </c>
    </row>
    <row r="72" spans="1:12" ht="14.45" hidden="1" customHeight="1">
      <c r="A72" s="58" t="s">
        <v>280</v>
      </c>
      <c r="B72" s="58" t="s">
        <v>237</v>
      </c>
      <c r="C72" s="58">
        <v>3.3100000000000004E-2</v>
      </c>
      <c r="D72" s="58">
        <v>2.98E-2</v>
      </c>
      <c r="E72" s="58">
        <v>2.3099999999999999E-2</v>
      </c>
      <c r="F72" s="58">
        <v>1.3899999999999999E-2</v>
      </c>
      <c r="G72" s="58">
        <v>7.0000000000000001E-3</v>
      </c>
      <c r="H72" s="58">
        <v>2.8E-3</v>
      </c>
      <c r="I72" s="58">
        <v>6.0000000000000006E-4</v>
      </c>
      <c r="J72" s="58">
        <v>0</v>
      </c>
      <c r="L72" s="64"/>
    </row>
    <row r="73" spans="1:12" ht="14.45" hidden="1" customHeight="1">
      <c r="A73" s="58" t="s">
        <v>280</v>
      </c>
      <c r="B73" s="58" t="s">
        <v>226</v>
      </c>
      <c r="C73" s="58">
        <v>6.3285999999999998</v>
      </c>
      <c r="D73" s="58">
        <v>5.6958000000000002</v>
      </c>
      <c r="E73" s="58">
        <v>4.4142999999999999</v>
      </c>
      <c r="F73" s="58">
        <v>2.6486000000000001</v>
      </c>
      <c r="G73" s="58">
        <v>1.3243</v>
      </c>
      <c r="H73" s="58">
        <v>0.52979999999999994</v>
      </c>
      <c r="I73" s="58">
        <v>0.106</v>
      </c>
      <c r="J73" s="58">
        <v>0</v>
      </c>
    </row>
    <row r="74" spans="1:12" ht="14.45" hidden="1" customHeight="1">
      <c r="A74" s="58" t="s">
        <v>280</v>
      </c>
      <c r="B74" s="58" t="s">
        <v>219</v>
      </c>
      <c r="C74" s="58">
        <v>5.2300000000000006E-2</v>
      </c>
      <c r="D74" s="58">
        <v>4.7100000000000003E-2</v>
      </c>
      <c r="E74" s="58">
        <v>3.6600000000000001E-2</v>
      </c>
      <c r="F74" s="58">
        <v>2.1999999999999999E-2</v>
      </c>
      <c r="G74" s="58">
        <v>1.0999999999999999E-2</v>
      </c>
      <c r="H74" s="58">
        <v>4.4000000000000003E-3</v>
      </c>
      <c r="I74" s="58">
        <v>9.0000000000000008E-4</v>
      </c>
      <c r="J74" s="58">
        <v>0</v>
      </c>
    </row>
    <row r="75" spans="1:12" ht="14.45" hidden="1" customHeight="1">
      <c r="A75" s="58" t="s">
        <v>280</v>
      </c>
      <c r="B75" s="58" t="s">
        <v>227</v>
      </c>
      <c r="C75" s="58">
        <v>0.13869999999999999</v>
      </c>
      <c r="D75" s="58">
        <v>0.1249</v>
      </c>
      <c r="E75" s="58">
        <v>9.6799999999999997E-2</v>
      </c>
      <c r="F75" s="58">
        <v>5.8100000000000006E-2</v>
      </c>
      <c r="G75" s="58">
        <v>2.9100000000000001E-2</v>
      </c>
      <c r="H75" s="58">
        <v>1.1699999999999999E-2</v>
      </c>
      <c r="I75" s="58">
        <v>2.3999999999999998E-3</v>
      </c>
      <c r="J75" s="58">
        <v>0</v>
      </c>
    </row>
    <row r="76" spans="1:12" ht="14.45" hidden="1" customHeight="1">
      <c r="A76" s="58" t="s">
        <v>280</v>
      </c>
      <c r="B76" s="58" t="s">
        <v>206</v>
      </c>
      <c r="C76" s="58">
        <v>0.72450000000000003</v>
      </c>
      <c r="D76" s="58">
        <v>0.65210000000000001</v>
      </c>
      <c r="E76" s="58">
        <v>0.50539999999999996</v>
      </c>
      <c r="F76" s="58">
        <v>0.30330000000000001</v>
      </c>
      <c r="G76" s="58">
        <v>0.1517</v>
      </c>
      <c r="H76" s="58">
        <v>6.0700000000000004E-2</v>
      </c>
      <c r="I76" s="58">
        <v>1.2199999999999999E-2</v>
      </c>
    </row>
    <row r="77" spans="1:12" ht="14.45" hidden="1" customHeight="1">
      <c r="A77" s="74" t="s">
        <v>280</v>
      </c>
      <c r="B77" s="58" t="s">
        <v>233</v>
      </c>
      <c r="C77" s="58">
        <v>0.79300000000000004</v>
      </c>
      <c r="D77" s="58">
        <v>0.7137</v>
      </c>
      <c r="E77" s="58">
        <v>0.55320000000000003</v>
      </c>
      <c r="F77" s="58">
        <v>0.33199999999999996</v>
      </c>
      <c r="G77" s="58">
        <v>0.16600000000000001</v>
      </c>
      <c r="H77" s="58">
        <v>6.6400000000000001E-2</v>
      </c>
      <c r="I77" s="58">
        <v>1.3299999999999999E-2</v>
      </c>
    </row>
    <row r="78" spans="1:12" ht="14.45" hidden="1" customHeight="1">
      <c r="A78" s="58" t="s">
        <v>280</v>
      </c>
      <c r="B78" s="58" t="s">
        <v>224</v>
      </c>
      <c r="C78" s="58">
        <v>31.278199999999998</v>
      </c>
      <c r="D78" s="58">
        <v>28.150400000000001</v>
      </c>
      <c r="E78" s="58">
        <v>21.816600000000001</v>
      </c>
      <c r="F78" s="58">
        <v>13.09</v>
      </c>
      <c r="G78" s="58">
        <v>6.5449999999999999</v>
      </c>
      <c r="H78" s="58">
        <v>2.6179999999999999</v>
      </c>
      <c r="I78" s="58">
        <v>0.52359999999999995</v>
      </c>
    </row>
    <row r="79" spans="1:12" ht="14.45" hidden="1" customHeight="1">
      <c r="A79" s="58" t="s">
        <v>280</v>
      </c>
      <c r="B79" s="58" t="s">
        <v>207</v>
      </c>
      <c r="C79" s="58">
        <v>0.128</v>
      </c>
      <c r="D79" s="58">
        <v>0.1152</v>
      </c>
      <c r="E79" s="58">
        <v>8.9300000000000004E-2</v>
      </c>
      <c r="F79" s="58">
        <v>5.3600000000000002E-2</v>
      </c>
      <c r="G79" s="58">
        <v>2.6800000000000001E-2</v>
      </c>
      <c r="H79" s="58">
        <v>1.0799999999999999E-2</v>
      </c>
      <c r="I79" s="58">
        <v>2.1999999999999997E-3</v>
      </c>
    </row>
    <row r="80" spans="1:12" ht="14.45" hidden="1" customHeight="1">
      <c r="A80" s="58" t="s">
        <v>280</v>
      </c>
      <c r="B80" s="58" t="s">
        <v>225</v>
      </c>
      <c r="C80" s="58">
        <v>4.8631000000000002</v>
      </c>
      <c r="D80" s="58">
        <v>4.3767999999999994</v>
      </c>
      <c r="E80" s="58">
        <v>3.3921000000000001</v>
      </c>
      <c r="F80" s="58">
        <v>2.0353000000000003</v>
      </c>
      <c r="G80" s="58">
        <v>1.0177</v>
      </c>
      <c r="H80" s="58">
        <v>0.40709999999999996</v>
      </c>
      <c r="I80" s="58">
        <v>8.1500000000000003E-2</v>
      </c>
    </row>
    <row r="81" spans="1:12" ht="14.45" hidden="1" customHeight="1">
      <c r="A81" s="58" t="s">
        <v>280</v>
      </c>
      <c r="B81" s="58" t="s">
        <v>228</v>
      </c>
      <c r="C81" s="58">
        <v>0.13139999999999999</v>
      </c>
      <c r="D81" s="58">
        <v>0.1183</v>
      </c>
      <c r="E81" s="58">
        <v>9.1700000000000004E-2</v>
      </c>
      <c r="F81" s="58">
        <v>5.5100000000000003E-2</v>
      </c>
      <c r="G81" s="58">
        <v>2.76E-2</v>
      </c>
      <c r="H81" s="58">
        <v>1.1099999999999999E-2</v>
      </c>
      <c r="I81" s="58">
        <v>2.3E-3</v>
      </c>
      <c r="J81" s="58">
        <v>0</v>
      </c>
    </row>
    <row r="82" spans="1:12" ht="14.45" hidden="1" customHeight="1">
      <c r="A82" s="58" t="s">
        <v>280</v>
      </c>
      <c r="B82" s="58" t="s">
        <v>230</v>
      </c>
      <c r="C82" s="58">
        <v>37.682900000000004</v>
      </c>
      <c r="D82" s="58">
        <v>33.914700000000003</v>
      </c>
      <c r="E82" s="58">
        <v>26.283899999999999</v>
      </c>
      <c r="F82" s="58">
        <v>15.7704</v>
      </c>
      <c r="G82" s="58">
        <v>7.8852000000000002</v>
      </c>
      <c r="H82" s="58">
        <v>3.1541000000000001</v>
      </c>
      <c r="I82" s="58">
        <v>0.63090000000000002</v>
      </c>
      <c r="J82" s="58">
        <v>0</v>
      </c>
    </row>
    <row r="83" spans="1:12" ht="14.45" hidden="1" customHeight="1">
      <c r="A83" s="58" t="s">
        <v>280</v>
      </c>
      <c r="B83" s="58" t="s">
        <v>229</v>
      </c>
      <c r="C83" s="58">
        <v>7.5200000000000003E-2</v>
      </c>
      <c r="D83" s="58">
        <v>6.7699999999999996E-2</v>
      </c>
      <c r="E83" s="58">
        <v>5.2500000000000005E-2</v>
      </c>
      <c r="F83" s="58">
        <v>3.15E-2</v>
      </c>
      <c r="G83" s="58">
        <v>1.5799999999999998E-2</v>
      </c>
      <c r="H83" s="58">
        <v>6.4000000000000003E-3</v>
      </c>
      <c r="I83" s="58">
        <v>1.2999999999999999E-3</v>
      </c>
      <c r="J83" s="58">
        <v>0</v>
      </c>
    </row>
    <row r="84" spans="1:12" ht="14.45" hidden="1" customHeight="1">
      <c r="A84" s="58" t="s">
        <v>280</v>
      </c>
      <c r="B84" s="58" t="s">
        <v>231</v>
      </c>
      <c r="C84" s="58">
        <v>6.2629999999999999</v>
      </c>
      <c r="D84" s="58">
        <v>5.6367000000000003</v>
      </c>
      <c r="E84" s="58">
        <v>4.3685</v>
      </c>
      <c r="F84" s="58">
        <v>2.6211000000000002</v>
      </c>
      <c r="G84" s="58">
        <v>1.3106</v>
      </c>
      <c r="H84" s="58">
        <v>0.52429999999999999</v>
      </c>
      <c r="I84" s="58">
        <v>0.10490000000000001</v>
      </c>
      <c r="J84" s="58">
        <v>0</v>
      </c>
    </row>
    <row r="85" spans="1:12" ht="14.45" hidden="1" customHeight="1">
      <c r="A85" s="58" t="s">
        <v>280</v>
      </c>
      <c r="B85" s="58" t="s">
        <v>240</v>
      </c>
      <c r="C85" s="58">
        <v>6.7600000000000007E-2</v>
      </c>
      <c r="D85" s="58">
        <v>6.0900000000000003E-2</v>
      </c>
      <c r="E85" s="58">
        <v>4.7200000000000006E-2</v>
      </c>
      <c r="F85" s="58">
        <v>2.8399999999999998E-2</v>
      </c>
      <c r="G85" s="58">
        <v>1.4200000000000001E-2</v>
      </c>
      <c r="H85" s="58">
        <v>5.7000000000000002E-3</v>
      </c>
      <c r="I85" s="58">
        <v>1.2000000000000001E-3</v>
      </c>
      <c r="J85" s="58">
        <v>0</v>
      </c>
    </row>
    <row r="86" spans="1:12" ht="14.45" hidden="1" customHeight="1">
      <c r="A86" s="57" t="s">
        <v>280</v>
      </c>
      <c r="B86" s="10" t="s">
        <v>163</v>
      </c>
      <c r="C86" s="10">
        <v>1.1779999999999999</v>
      </c>
      <c r="D86" s="10">
        <v>0.24743736560765936</v>
      </c>
      <c r="E86" s="10">
        <v>0.24743736560765936</v>
      </c>
      <c r="F86" s="10">
        <v>0.22670671123038741</v>
      </c>
      <c r="G86" s="10">
        <v>0.22645567596253766</v>
      </c>
      <c r="H86" s="10">
        <v>0.2182184800123185</v>
      </c>
      <c r="I86" s="10">
        <v>0.18019716421850321</v>
      </c>
      <c r="J86" s="10">
        <v>6.3754860121977341E-2</v>
      </c>
    </row>
    <row r="87" spans="1:12" ht="14.45" hidden="1" customHeight="1">
      <c r="A87" s="57" t="s">
        <v>280</v>
      </c>
      <c r="B87" s="10" t="s">
        <v>107</v>
      </c>
      <c r="C87" s="10">
        <v>2.09</v>
      </c>
      <c r="D87" s="10">
        <v>1.5674999999999999</v>
      </c>
      <c r="E87" s="10">
        <v>1.1756249999999999</v>
      </c>
      <c r="F87" s="10">
        <v>0.88171874999999988</v>
      </c>
      <c r="G87" s="10">
        <v>0.66128906249999986</v>
      </c>
      <c r="H87" s="10">
        <v>0.49596679687499989</v>
      </c>
      <c r="I87" s="10">
        <v>0</v>
      </c>
      <c r="J87" s="10">
        <v>0</v>
      </c>
    </row>
    <row r="88" spans="1:12" ht="14.45" hidden="1" customHeight="1">
      <c r="A88" s="57" t="s">
        <v>280</v>
      </c>
      <c r="B88" s="10" t="s">
        <v>106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</row>
    <row r="89" spans="1:12" ht="14.45" hidden="1" customHeight="1">
      <c r="A89" s="59" t="s">
        <v>280</v>
      </c>
      <c r="B89" s="10" t="s">
        <v>22</v>
      </c>
      <c r="C89" s="10">
        <v>5.4390000000000009</v>
      </c>
      <c r="D89" s="10">
        <v>5.0497403565533441</v>
      </c>
      <c r="E89" s="10">
        <v>4.9817300274556624</v>
      </c>
      <c r="F89" s="10">
        <v>4.8547189454475097</v>
      </c>
      <c r="G89" s="10">
        <v>4.0228005388019552</v>
      </c>
      <c r="H89" s="10">
        <v>2.446257722062227</v>
      </c>
      <c r="I89" s="10">
        <v>1.7405930317430489</v>
      </c>
      <c r="J89" s="10">
        <v>0.82546207898849422</v>
      </c>
    </row>
    <row r="90" spans="1:12" ht="14.45" hidden="1" customHeight="1">
      <c r="A90" s="10" t="s">
        <v>280</v>
      </c>
      <c r="B90" s="10" t="s">
        <v>488</v>
      </c>
      <c r="C90" s="10">
        <v>2.4423000000000004</v>
      </c>
      <c r="D90" s="10">
        <v>2.4423000000000004</v>
      </c>
      <c r="E90" s="10">
        <v>2.2603340136054424</v>
      </c>
      <c r="F90" s="10">
        <v>2.0783680272108844</v>
      </c>
      <c r="G90" s="10">
        <v>1.6175193877551022</v>
      </c>
      <c r="H90" s="10">
        <v>1.1566707482993197</v>
      </c>
      <c r="I90" s="10">
        <v>0.57833537414965985</v>
      </c>
      <c r="J90" s="10">
        <v>0</v>
      </c>
    </row>
    <row r="91" spans="1:12" ht="14.45" hidden="1" customHeight="1">
      <c r="A91" s="10" t="s">
        <v>280</v>
      </c>
      <c r="B91" s="10" t="s">
        <v>490</v>
      </c>
      <c r="C91" s="10">
        <v>2.1403000000000003</v>
      </c>
      <c r="D91" s="10">
        <v>2.1403000000000003</v>
      </c>
      <c r="E91" s="10">
        <v>1.5664514492753623</v>
      </c>
      <c r="F91" s="10">
        <v>0.99260289855072459</v>
      </c>
      <c r="G91" s="10">
        <v>0.49630144927536229</v>
      </c>
      <c r="H91" s="10">
        <v>0</v>
      </c>
      <c r="I91" s="10">
        <v>0</v>
      </c>
      <c r="J91" s="10">
        <v>0</v>
      </c>
    </row>
    <row r="92" spans="1:12" ht="14.45" hidden="1" customHeight="1">
      <c r="A92" s="57" t="s">
        <v>280</v>
      </c>
      <c r="B92" s="10" t="s">
        <v>23</v>
      </c>
      <c r="C92" s="10">
        <v>5.0599999999999996</v>
      </c>
      <c r="D92" s="10">
        <v>5.0599999999999996</v>
      </c>
      <c r="E92" s="10">
        <v>3.5000690562315029</v>
      </c>
      <c r="F92" s="10">
        <v>3.5000690562315029</v>
      </c>
      <c r="G92" s="10">
        <v>0</v>
      </c>
      <c r="H92" s="10">
        <v>0</v>
      </c>
      <c r="I92" s="10">
        <v>0</v>
      </c>
      <c r="J92" s="10">
        <v>0</v>
      </c>
    </row>
    <row r="93" spans="1:12" ht="14.45" hidden="1" customHeight="1">
      <c r="A93" s="57" t="s">
        <v>280</v>
      </c>
      <c r="B93" s="10" t="s">
        <v>58</v>
      </c>
      <c r="C93" s="10">
        <v>1.82</v>
      </c>
      <c r="D93" s="10">
        <v>1.7100334783878581</v>
      </c>
      <c r="E93" s="10">
        <v>1.7100334783878581</v>
      </c>
      <c r="F93" s="10">
        <v>1.7060725221112365</v>
      </c>
      <c r="G93" s="10">
        <v>5.269962964037379E-3</v>
      </c>
      <c r="H93" s="10">
        <v>2.2454039045749377E-4</v>
      </c>
      <c r="I93" s="10">
        <v>0</v>
      </c>
      <c r="J93" s="10">
        <v>0</v>
      </c>
    </row>
    <row r="94" spans="1:12" ht="14.45" hidden="1" customHeight="1">
      <c r="A94" s="74" t="s">
        <v>280</v>
      </c>
      <c r="B94" s="58" t="s">
        <v>102</v>
      </c>
      <c r="C94" s="58">
        <v>1.3080003330000001</v>
      </c>
      <c r="D94" s="58">
        <v>1.3080003330000001</v>
      </c>
      <c r="E94" s="58">
        <v>1.3080003330000001</v>
      </c>
      <c r="F94" s="58">
        <v>1.3080003330000001</v>
      </c>
      <c r="G94" s="58">
        <v>1.3080003330000001</v>
      </c>
      <c r="H94" s="58">
        <v>1.3080003330000001</v>
      </c>
      <c r="I94" s="58">
        <v>1.3080003330000001</v>
      </c>
      <c r="J94" s="58">
        <v>1.3080003330000001</v>
      </c>
    </row>
    <row r="95" spans="1:12" ht="14.45" hidden="1" customHeight="1">
      <c r="A95" s="57" t="s">
        <v>280</v>
      </c>
      <c r="B95" s="10" t="s">
        <v>103</v>
      </c>
      <c r="C95" s="10">
        <v>0.119166667</v>
      </c>
      <c r="D95" s="10">
        <v>0.119166667</v>
      </c>
      <c r="E95" s="10">
        <v>0.119166667</v>
      </c>
      <c r="F95" s="10">
        <v>0.119166667</v>
      </c>
      <c r="G95" s="10">
        <v>0.119166667</v>
      </c>
      <c r="H95" s="10">
        <v>0.119166667</v>
      </c>
      <c r="I95" s="10">
        <v>0.119166667</v>
      </c>
      <c r="J95" s="10">
        <v>0.119166667</v>
      </c>
    </row>
    <row r="96" spans="1:12" ht="14.45" hidden="1" customHeight="1">
      <c r="A96" s="57" t="s">
        <v>280</v>
      </c>
      <c r="B96" s="10" t="s">
        <v>94</v>
      </c>
      <c r="C96" s="10">
        <v>4.0750000000000002</v>
      </c>
      <c r="D96" s="10">
        <v>4.0750000000000002</v>
      </c>
      <c r="E96" s="10">
        <v>4.0750000000000002</v>
      </c>
      <c r="F96" s="10">
        <v>2.8599953853309836</v>
      </c>
      <c r="G96" s="10">
        <v>2.8599953853309836</v>
      </c>
      <c r="H96" s="10">
        <v>0</v>
      </c>
      <c r="I96" s="10">
        <v>0</v>
      </c>
      <c r="J96" s="10">
        <v>0</v>
      </c>
      <c r="L96" s="64"/>
    </row>
    <row r="97" spans="1:10" ht="14.45" hidden="1" customHeight="1">
      <c r="A97" s="57" t="s">
        <v>280</v>
      </c>
      <c r="B97" s="10" t="s">
        <v>170</v>
      </c>
      <c r="C97" s="10">
        <v>3.4</v>
      </c>
      <c r="D97" s="10">
        <v>3.4</v>
      </c>
      <c r="E97" s="10">
        <v>3.4</v>
      </c>
      <c r="F97" s="10">
        <v>3.4</v>
      </c>
      <c r="G97" s="10">
        <v>3.4</v>
      </c>
      <c r="H97" s="10">
        <v>0</v>
      </c>
      <c r="I97" s="10">
        <v>0</v>
      </c>
      <c r="J97" s="10">
        <v>0</v>
      </c>
    </row>
    <row r="98" spans="1:10" ht="14.45" hidden="1" customHeight="1">
      <c r="A98" s="57" t="s">
        <v>280</v>
      </c>
      <c r="B98" s="10" t="s">
        <v>97</v>
      </c>
      <c r="C98" s="10">
        <v>2.2000000000000002</v>
      </c>
      <c r="D98" s="10">
        <v>2.2000000000000002</v>
      </c>
      <c r="E98" s="10">
        <v>2.2000000000000002</v>
      </c>
      <c r="F98" s="10">
        <v>2.2000000000000002</v>
      </c>
      <c r="G98" s="10">
        <v>2.2000000000000002</v>
      </c>
      <c r="H98" s="10">
        <v>0</v>
      </c>
      <c r="I98" s="10">
        <v>0</v>
      </c>
      <c r="J98" s="10">
        <v>0</v>
      </c>
    </row>
    <row r="99" spans="1:10" ht="14.45" hidden="1" customHeight="1">
      <c r="A99" s="61" t="s">
        <v>280</v>
      </c>
      <c r="B99" s="62" t="s">
        <v>339</v>
      </c>
      <c r="C99" s="10">
        <v>9</v>
      </c>
      <c r="D99" s="10">
        <v>9</v>
      </c>
      <c r="E99" s="10">
        <v>9</v>
      </c>
      <c r="F99" s="10">
        <v>9</v>
      </c>
      <c r="G99" s="10">
        <v>9</v>
      </c>
      <c r="H99" s="10">
        <v>9</v>
      </c>
      <c r="I99" s="10">
        <v>9</v>
      </c>
      <c r="J99" s="10">
        <v>9</v>
      </c>
    </row>
    <row r="100" spans="1:10" ht="14.45" hidden="1" customHeight="1">
      <c r="A100" s="10" t="s">
        <v>281</v>
      </c>
      <c r="B100" s="10" t="s">
        <v>475</v>
      </c>
      <c r="C100" s="10">
        <v>0.2121712495541184</v>
      </c>
      <c r="D100" s="10">
        <v>0.2121712495541184</v>
      </c>
      <c r="E100" s="10">
        <v>0.18605786499361152</v>
      </c>
      <c r="F100" s="10">
        <v>0.15994448043310464</v>
      </c>
      <c r="G100" s="10">
        <v>7.9972240216552318E-2</v>
      </c>
      <c r="H100" s="10">
        <v>0</v>
      </c>
      <c r="I100" s="10">
        <v>0</v>
      </c>
      <c r="J100" s="10">
        <v>0</v>
      </c>
    </row>
    <row r="101" spans="1:10" ht="14.45" hidden="1" customHeight="1">
      <c r="A101" s="10" t="s">
        <v>281</v>
      </c>
      <c r="B101" s="10" t="s">
        <v>108</v>
      </c>
      <c r="C101" s="10">
        <v>0.31820378727957943</v>
      </c>
      <c r="D101" s="10">
        <v>0.31820378727957943</v>
      </c>
      <c r="E101" s="10">
        <v>0.21884371140967127</v>
      </c>
      <c r="F101" s="10">
        <v>0.11948363553976302</v>
      </c>
      <c r="G101" s="10">
        <v>5.9741817769881508E-2</v>
      </c>
      <c r="H101" s="10">
        <v>0</v>
      </c>
      <c r="I101" s="10">
        <v>0</v>
      </c>
      <c r="J101" s="10">
        <v>0</v>
      </c>
    </row>
    <row r="102" spans="1:10" ht="14.45" hidden="1" customHeight="1">
      <c r="A102" s="10" t="s">
        <v>281</v>
      </c>
      <c r="B102" s="10" t="s">
        <v>481</v>
      </c>
      <c r="C102" s="10">
        <v>0.83904761240093695</v>
      </c>
      <c r="D102" s="10">
        <v>0.4390476124009367</v>
      </c>
      <c r="E102" s="10">
        <v>0.4368487095007651</v>
      </c>
      <c r="F102" s="10">
        <v>0.43464980660059349</v>
      </c>
      <c r="G102" s="10">
        <v>0.32140630724175423</v>
      </c>
      <c r="H102" s="10">
        <v>0.20816280788291497</v>
      </c>
      <c r="I102" s="10">
        <v>0.10408140394145748</v>
      </c>
      <c r="J102" s="10">
        <v>0</v>
      </c>
    </row>
    <row r="103" spans="1:10" ht="14.45" hidden="1" customHeight="1">
      <c r="A103" s="10" t="s">
        <v>281</v>
      </c>
      <c r="B103" s="10" t="s">
        <v>485</v>
      </c>
      <c r="C103" s="10">
        <v>1.2050760712790211E-2</v>
      </c>
      <c r="D103" s="10">
        <v>1.2050760712790211E-2</v>
      </c>
      <c r="E103" s="10">
        <v>6.0253803563951056E-3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</row>
    <row r="104" spans="1:10" ht="14.45" hidden="1" customHeight="1">
      <c r="A104" s="57" t="s">
        <v>281</v>
      </c>
      <c r="B104" s="10" t="s">
        <v>142</v>
      </c>
      <c r="C104" s="10">
        <v>0.86399999999999988</v>
      </c>
      <c r="D104" s="10">
        <v>0.8272861189801699</v>
      </c>
      <c r="E104" s="10">
        <v>0.8272861189801699</v>
      </c>
      <c r="F104" s="10">
        <v>0.8272861189801699</v>
      </c>
      <c r="G104" s="10">
        <v>0.8272861189801699</v>
      </c>
      <c r="H104" s="10">
        <v>0.8272861189801699</v>
      </c>
      <c r="I104" s="10">
        <v>0.8272861189801699</v>
      </c>
      <c r="J104" s="10">
        <v>0.8272861189801699</v>
      </c>
    </row>
    <row r="105" spans="1:10" ht="14.45" hidden="1" customHeight="1">
      <c r="A105" s="58" t="s">
        <v>281</v>
      </c>
      <c r="B105" s="58" t="s">
        <v>243</v>
      </c>
      <c r="C105" s="58">
        <v>0.50959999999999994</v>
      </c>
      <c r="D105" s="58">
        <v>0.4587</v>
      </c>
      <c r="E105" s="58">
        <v>0.35549999999999998</v>
      </c>
      <c r="F105" s="58">
        <v>0.21329999999999999</v>
      </c>
      <c r="G105" s="58">
        <v>0.1067</v>
      </c>
      <c r="H105" s="58">
        <v>4.2700000000000002E-2</v>
      </c>
      <c r="I105" s="58">
        <v>8.6E-3</v>
      </c>
      <c r="J105" s="58">
        <v>0</v>
      </c>
    </row>
    <row r="106" spans="1:10" ht="14.45" hidden="1" customHeight="1">
      <c r="A106" s="58" t="s">
        <v>281</v>
      </c>
      <c r="B106" s="58" t="s">
        <v>244</v>
      </c>
      <c r="C106" s="58">
        <v>0.16249999999999998</v>
      </c>
      <c r="D106" s="58">
        <v>0.14629999999999999</v>
      </c>
      <c r="E106" s="58">
        <v>0.1134</v>
      </c>
      <c r="F106" s="58">
        <v>6.8100000000000008E-2</v>
      </c>
      <c r="G106" s="58">
        <v>3.4100000000000005E-2</v>
      </c>
      <c r="H106" s="58">
        <v>1.3699999999999999E-2</v>
      </c>
      <c r="I106" s="58">
        <v>2.8E-3</v>
      </c>
      <c r="J106" s="58">
        <v>0</v>
      </c>
    </row>
    <row r="107" spans="1:10" ht="14.45" hidden="1" customHeight="1">
      <c r="A107" s="58" t="s">
        <v>281</v>
      </c>
      <c r="B107" s="58" t="s">
        <v>245</v>
      </c>
      <c r="C107" s="58">
        <v>0.12280000000000001</v>
      </c>
      <c r="D107" s="58">
        <v>0.1106</v>
      </c>
      <c r="E107" s="58">
        <v>8.5800000000000001E-2</v>
      </c>
      <c r="F107" s="58">
        <v>5.1500000000000004E-2</v>
      </c>
      <c r="G107" s="58">
        <v>2.58E-2</v>
      </c>
      <c r="H107" s="58">
        <v>1.04E-2</v>
      </c>
      <c r="I107" s="58">
        <v>2.0999999999999999E-3</v>
      </c>
      <c r="J107" s="58">
        <v>0</v>
      </c>
    </row>
    <row r="108" spans="1:10" ht="14.45" hidden="1" customHeight="1">
      <c r="A108" s="58" t="s">
        <v>281</v>
      </c>
      <c r="B108" s="58" t="s">
        <v>217</v>
      </c>
      <c r="C108" s="58">
        <v>0.19099999999999998</v>
      </c>
      <c r="D108" s="58">
        <v>0.1719</v>
      </c>
      <c r="E108" s="58">
        <v>0.1333</v>
      </c>
      <c r="F108" s="58">
        <v>0.08</v>
      </c>
      <c r="G108" s="58">
        <v>0.04</v>
      </c>
      <c r="H108" s="58">
        <v>1.6E-2</v>
      </c>
      <c r="I108" s="58">
        <v>3.2000000000000002E-3</v>
      </c>
      <c r="J108" s="58">
        <v>0</v>
      </c>
    </row>
    <row r="109" spans="1:10" ht="14.45" hidden="1" customHeight="1">
      <c r="A109" s="58" t="s">
        <v>281</v>
      </c>
      <c r="B109" s="58" t="s">
        <v>237</v>
      </c>
      <c r="C109" s="58">
        <v>1.41E-2</v>
      </c>
      <c r="D109" s="58">
        <v>1.2699999999999999E-2</v>
      </c>
      <c r="E109" s="58">
        <v>9.8999999999999991E-3</v>
      </c>
      <c r="F109" s="58">
        <v>6.0000000000000001E-3</v>
      </c>
      <c r="G109" s="58">
        <v>3.0000000000000001E-3</v>
      </c>
      <c r="H109" s="58">
        <v>1.1999999999999999E-3</v>
      </c>
      <c r="I109" s="58">
        <v>3.0000000000000003E-4</v>
      </c>
      <c r="J109" s="58">
        <v>0</v>
      </c>
    </row>
    <row r="110" spans="1:10" ht="14.45" hidden="1" customHeight="1">
      <c r="A110" s="58" t="s">
        <v>281</v>
      </c>
      <c r="B110" s="58" t="s">
        <v>226</v>
      </c>
      <c r="C110" s="58">
        <v>1.3523000000000001</v>
      </c>
      <c r="D110" s="58">
        <v>1.2171000000000001</v>
      </c>
      <c r="E110" s="58">
        <v>0.94330000000000003</v>
      </c>
      <c r="F110" s="58">
        <v>0.56599999999999995</v>
      </c>
      <c r="G110" s="58">
        <v>0.28299999999999997</v>
      </c>
      <c r="H110" s="58">
        <v>0.1132</v>
      </c>
      <c r="I110" s="58">
        <v>2.2699999999999998E-2</v>
      </c>
      <c r="J110" s="58">
        <v>0</v>
      </c>
    </row>
    <row r="111" spans="1:10" ht="14.45" hidden="1" customHeight="1">
      <c r="A111" s="58" t="s">
        <v>281</v>
      </c>
      <c r="B111" s="58" t="s">
        <v>219</v>
      </c>
      <c r="C111" s="58">
        <v>4.3E-3</v>
      </c>
      <c r="D111" s="58">
        <v>3.8999999999999998E-3</v>
      </c>
      <c r="E111" s="58">
        <v>3.0999999999999999E-3</v>
      </c>
      <c r="F111" s="58">
        <v>1.9E-3</v>
      </c>
      <c r="G111" s="58">
        <v>1E-3</v>
      </c>
      <c r="H111" s="58">
        <v>0</v>
      </c>
      <c r="I111" s="58">
        <v>0</v>
      </c>
      <c r="J111" s="58">
        <v>0</v>
      </c>
    </row>
    <row r="112" spans="1:10" ht="14.45" hidden="1" customHeight="1">
      <c r="A112" s="74" t="s">
        <v>281</v>
      </c>
      <c r="B112" s="58" t="s">
        <v>220</v>
      </c>
      <c r="C112" s="58">
        <v>1E-3</v>
      </c>
      <c r="D112" s="58">
        <v>0</v>
      </c>
      <c r="E112" s="58">
        <v>0</v>
      </c>
      <c r="F112" s="58">
        <v>0</v>
      </c>
      <c r="G112" s="58">
        <v>0</v>
      </c>
      <c r="H112" s="58">
        <v>0</v>
      </c>
      <c r="I112" s="58">
        <v>0</v>
      </c>
      <c r="J112" s="58">
        <v>0</v>
      </c>
    </row>
    <row r="113" spans="1:12" ht="14.45" hidden="1" customHeight="1">
      <c r="A113" s="58" t="s">
        <v>281</v>
      </c>
      <c r="B113" s="58" t="s">
        <v>227</v>
      </c>
      <c r="C113" s="58">
        <v>4.3000000000000003E-2</v>
      </c>
      <c r="D113" s="58">
        <v>3.8699999999999998E-2</v>
      </c>
      <c r="E113" s="58">
        <v>0.03</v>
      </c>
      <c r="F113" s="58">
        <v>1.7999999999999999E-2</v>
      </c>
      <c r="G113" s="58">
        <v>8.9999999999999993E-3</v>
      </c>
      <c r="H113" s="58">
        <v>3.5999999999999999E-3</v>
      </c>
      <c r="I113" s="58">
        <v>8.0000000000000004E-4</v>
      </c>
      <c r="J113" s="58">
        <v>0</v>
      </c>
    </row>
    <row r="114" spans="1:12" ht="14.45" hidden="1" customHeight="1">
      <c r="A114" s="58" t="s">
        <v>281</v>
      </c>
      <c r="B114" s="58" t="s">
        <v>206</v>
      </c>
      <c r="C114" s="58">
        <v>0.98660000000000003</v>
      </c>
      <c r="D114" s="58">
        <v>0.88800000000000001</v>
      </c>
      <c r="E114" s="58">
        <v>0.68820000000000003</v>
      </c>
      <c r="F114" s="58">
        <v>0.41299999999999998</v>
      </c>
      <c r="G114" s="58">
        <v>0.20649999999999999</v>
      </c>
      <c r="H114" s="58">
        <v>8.2600000000000007E-2</v>
      </c>
      <c r="I114" s="58">
        <v>1.66E-2</v>
      </c>
    </row>
    <row r="115" spans="1:12" ht="14.45" hidden="1" customHeight="1">
      <c r="A115" s="58" t="s">
        <v>281</v>
      </c>
      <c r="B115" s="58" t="s">
        <v>233</v>
      </c>
      <c r="C115" s="58">
        <v>0.44340000000000002</v>
      </c>
      <c r="D115" s="58">
        <v>0.39910000000000001</v>
      </c>
      <c r="E115" s="58">
        <v>0.30940000000000001</v>
      </c>
      <c r="F115" s="58">
        <v>0.18569999999999998</v>
      </c>
      <c r="G115" s="58">
        <v>9.2899999999999996E-2</v>
      </c>
      <c r="H115" s="58">
        <v>3.7200000000000004E-2</v>
      </c>
      <c r="I115" s="58">
        <v>7.5000000000000006E-3</v>
      </c>
    </row>
    <row r="116" spans="1:12" ht="14.45" hidden="1" customHeight="1">
      <c r="A116" s="58" t="s">
        <v>281</v>
      </c>
      <c r="B116" s="58" t="s">
        <v>224</v>
      </c>
      <c r="C116" s="58">
        <v>7.1872999999999996</v>
      </c>
      <c r="D116" s="58">
        <v>6.4685999999999995</v>
      </c>
      <c r="E116" s="58">
        <v>5.0131999999999994</v>
      </c>
      <c r="F116" s="58">
        <v>3.008</v>
      </c>
      <c r="G116" s="58">
        <v>1.504</v>
      </c>
      <c r="H116" s="58">
        <v>0.60160000000000002</v>
      </c>
      <c r="I116" s="58">
        <v>0.12040000000000001</v>
      </c>
    </row>
    <row r="117" spans="1:12" ht="14.45" hidden="1" customHeight="1">
      <c r="A117" s="58" t="s">
        <v>281</v>
      </c>
      <c r="B117" s="58" t="s">
        <v>207</v>
      </c>
      <c r="C117" s="58">
        <v>0.15889999999999999</v>
      </c>
      <c r="D117" s="58">
        <v>0.14309999999999998</v>
      </c>
      <c r="E117" s="58">
        <v>0.111</v>
      </c>
      <c r="F117" s="58">
        <v>6.6600000000000006E-2</v>
      </c>
      <c r="G117" s="58">
        <v>3.3300000000000003E-2</v>
      </c>
      <c r="H117" s="58">
        <v>1.3399999999999999E-2</v>
      </c>
      <c r="I117" s="58">
        <v>2.6999999999999997E-3</v>
      </c>
    </row>
    <row r="118" spans="1:12" ht="14.45" hidden="1" customHeight="1">
      <c r="A118" s="58" t="s">
        <v>281</v>
      </c>
      <c r="B118" s="58" t="s">
        <v>225</v>
      </c>
      <c r="C118" s="58">
        <v>4.5200000000000004E-2</v>
      </c>
      <c r="D118" s="58">
        <v>4.07E-2</v>
      </c>
      <c r="E118" s="58">
        <v>3.1600000000000003E-2</v>
      </c>
      <c r="F118" s="58">
        <v>1.9E-2</v>
      </c>
      <c r="G118" s="58">
        <v>9.4999999999999998E-3</v>
      </c>
      <c r="H118" s="58">
        <v>3.8E-3</v>
      </c>
      <c r="I118" s="58">
        <v>8.0000000000000004E-4</v>
      </c>
    </row>
    <row r="119" spans="1:12" ht="14.45" hidden="1" customHeight="1">
      <c r="A119" s="58" t="s">
        <v>281</v>
      </c>
      <c r="B119" s="58" t="s">
        <v>228</v>
      </c>
      <c r="C119" s="58">
        <v>0.1205</v>
      </c>
      <c r="D119" s="58">
        <v>0.1085</v>
      </c>
      <c r="E119" s="58">
        <v>8.4100000000000008E-2</v>
      </c>
      <c r="F119" s="58">
        <v>5.0500000000000003E-2</v>
      </c>
      <c r="G119" s="58">
        <v>2.53E-2</v>
      </c>
      <c r="H119" s="58">
        <v>1.0199999999999999E-2</v>
      </c>
      <c r="I119" s="58">
        <v>2.0999999999999999E-3</v>
      </c>
      <c r="J119" s="58">
        <v>0</v>
      </c>
    </row>
    <row r="120" spans="1:12" ht="14.45" hidden="1" customHeight="1">
      <c r="A120" s="58" t="s">
        <v>281</v>
      </c>
      <c r="B120" s="58" t="s">
        <v>230</v>
      </c>
      <c r="C120" s="58">
        <v>9.4671000000000003</v>
      </c>
      <c r="D120" s="58">
        <v>8.5204000000000004</v>
      </c>
      <c r="E120" s="58">
        <v>6.6033999999999997</v>
      </c>
      <c r="F120" s="58">
        <v>3.9621000000000004</v>
      </c>
      <c r="G120" s="58">
        <v>1.9811000000000001</v>
      </c>
      <c r="H120" s="58">
        <v>0.79249999999999998</v>
      </c>
      <c r="I120" s="58">
        <v>0.1585</v>
      </c>
      <c r="J120" s="58">
        <v>0</v>
      </c>
    </row>
    <row r="121" spans="1:12" ht="14.45" hidden="1" customHeight="1">
      <c r="A121" s="58" t="s">
        <v>281</v>
      </c>
      <c r="B121" s="58" t="s">
        <v>229</v>
      </c>
      <c r="C121" s="58">
        <v>0.72860000000000003</v>
      </c>
      <c r="D121" s="58">
        <v>0.65579999999999994</v>
      </c>
      <c r="E121" s="58">
        <v>0.50829999999999997</v>
      </c>
      <c r="F121" s="58">
        <v>0.30499999999999999</v>
      </c>
      <c r="G121" s="58">
        <v>0.1525</v>
      </c>
      <c r="H121" s="58">
        <v>6.0999999999999999E-2</v>
      </c>
      <c r="I121" s="58">
        <v>1.2200000000000001E-2</v>
      </c>
      <c r="J121" s="58">
        <v>0</v>
      </c>
      <c r="L121" s="64"/>
    </row>
    <row r="122" spans="1:12" ht="14.45" hidden="1" customHeight="1">
      <c r="A122" s="58" t="s">
        <v>281</v>
      </c>
      <c r="B122" s="58" t="s">
        <v>231</v>
      </c>
      <c r="C122" s="58">
        <v>3.8900000000000004E-2</v>
      </c>
      <c r="D122" s="58">
        <v>3.5100000000000006E-2</v>
      </c>
      <c r="E122" s="58">
        <v>2.7299999999999998E-2</v>
      </c>
      <c r="F122" s="58">
        <v>1.6399999999999998E-2</v>
      </c>
      <c r="G122" s="58">
        <v>8.2000000000000007E-3</v>
      </c>
      <c r="H122" s="58">
        <v>3.3E-3</v>
      </c>
      <c r="I122" s="58">
        <v>6.9999999999999999E-4</v>
      </c>
      <c r="J122" s="58">
        <v>0</v>
      </c>
    </row>
    <row r="123" spans="1:12" ht="14.45" hidden="1" customHeight="1">
      <c r="A123" s="74" t="s">
        <v>281</v>
      </c>
      <c r="B123" s="58" t="s">
        <v>240</v>
      </c>
      <c r="C123" s="58">
        <v>1.09E-2</v>
      </c>
      <c r="D123" s="58">
        <v>9.8999999999999991E-3</v>
      </c>
      <c r="E123" s="58">
        <v>7.7000000000000002E-3</v>
      </c>
      <c r="F123" s="58">
        <v>4.7000000000000002E-3</v>
      </c>
      <c r="G123" s="58">
        <v>2.3999999999999998E-3</v>
      </c>
      <c r="H123" s="58">
        <v>1E-3</v>
      </c>
      <c r="I123" s="58">
        <v>0</v>
      </c>
      <c r="J123" s="58">
        <v>0</v>
      </c>
    </row>
    <row r="124" spans="1:12" ht="14.45" hidden="1" customHeight="1">
      <c r="A124" s="57" t="s">
        <v>281</v>
      </c>
      <c r="B124" s="10" t="s">
        <v>163</v>
      </c>
      <c r="C124" s="10">
        <v>0.28165000000000001</v>
      </c>
      <c r="D124" s="10">
        <v>5.1171498728507098E-2</v>
      </c>
      <c r="E124" s="10">
        <v>5.1171498728507098E-2</v>
      </c>
      <c r="F124" s="10">
        <v>5.1171498728507098E-2</v>
      </c>
      <c r="G124" s="10">
        <v>5.1171498728507098E-2</v>
      </c>
      <c r="H124" s="10">
        <v>5.1171498728507098E-2</v>
      </c>
      <c r="I124" s="10">
        <v>5.1171498728507098E-2</v>
      </c>
      <c r="J124" s="10">
        <v>4.5096752443832669E-2</v>
      </c>
    </row>
    <row r="125" spans="1:12" ht="14.45" hidden="1" customHeight="1">
      <c r="A125" s="57" t="s">
        <v>281</v>
      </c>
      <c r="B125" s="10" t="s">
        <v>107</v>
      </c>
      <c r="C125" s="10">
        <v>0.71</v>
      </c>
      <c r="D125" s="10">
        <v>0.35333556597454785</v>
      </c>
      <c r="E125" s="10">
        <v>0.22255860683188208</v>
      </c>
      <c r="F125" s="10">
        <v>0.22255860683188208</v>
      </c>
      <c r="G125" s="10">
        <v>7.9892833221701265E-2</v>
      </c>
      <c r="H125" s="10">
        <v>7.9892833221701265E-2</v>
      </c>
      <c r="I125" s="10">
        <v>7.9892833221701265E-2</v>
      </c>
      <c r="J125" s="10">
        <v>7.9892833221701265E-2</v>
      </c>
    </row>
    <row r="126" spans="1:12" ht="14.45" hidden="1" customHeight="1">
      <c r="A126" s="57" t="s">
        <v>281</v>
      </c>
      <c r="B126" s="10" t="s">
        <v>106</v>
      </c>
      <c r="C126" s="10">
        <v>4.2</v>
      </c>
      <c r="D126" s="10">
        <v>1.646747352496218</v>
      </c>
      <c r="E126" s="10">
        <v>1.646747352496218</v>
      </c>
      <c r="F126" s="10">
        <v>1.180786686838124</v>
      </c>
      <c r="G126" s="10">
        <v>0.95310136157337366</v>
      </c>
      <c r="H126" s="10">
        <v>0.70953101361573379</v>
      </c>
      <c r="I126" s="10">
        <v>0.70953101361573379</v>
      </c>
      <c r="J126" s="10">
        <v>0.70953101361573379</v>
      </c>
    </row>
    <row r="127" spans="1:12" ht="14.45" hidden="1" customHeight="1">
      <c r="A127" s="57" t="s">
        <v>281</v>
      </c>
      <c r="B127" s="10" t="s">
        <v>22</v>
      </c>
      <c r="C127" s="10">
        <v>0.99</v>
      </c>
      <c r="D127" s="10">
        <v>0.51256844783395006</v>
      </c>
      <c r="E127" s="10">
        <v>0.41758009282605202</v>
      </c>
      <c r="F127" s="10">
        <v>0.40412514891339479</v>
      </c>
      <c r="G127" s="10">
        <v>0.37802944698814805</v>
      </c>
      <c r="H127" s="10">
        <v>0.37802944698814805</v>
      </c>
      <c r="I127" s="10">
        <v>0.31009753671039819</v>
      </c>
      <c r="J127" s="10">
        <v>0.11931189575755824</v>
      </c>
    </row>
    <row r="128" spans="1:12" ht="14.45" hidden="1" customHeight="1">
      <c r="A128" s="10" t="s">
        <v>281</v>
      </c>
      <c r="B128" s="10" t="s">
        <v>488</v>
      </c>
      <c r="C128" s="10">
        <v>0.10199999999999999</v>
      </c>
      <c r="D128" s="10">
        <v>0.10199999999999999</v>
      </c>
      <c r="E128" s="10">
        <v>9.4400388726919332E-2</v>
      </c>
      <c r="F128" s="10">
        <v>8.6800777453838671E-2</v>
      </c>
      <c r="G128" s="10">
        <v>6.7553935860058298E-2</v>
      </c>
      <c r="H128" s="10">
        <v>4.8307094266277925E-2</v>
      </c>
      <c r="I128" s="10">
        <v>2.4153547133138963E-2</v>
      </c>
      <c r="J128" s="10">
        <v>0</v>
      </c>
    </row>
    <row r="129" spans="1:10" ht="14.45" hidden="1" customHeight="1">
      <c r="A129" s="10" t="s">
        <v>281</v>
      </c>
      <c r="B129" s="10" t="s">
        <v>490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</row>
    <row r="130" spans="1:10" ht="14.45" hidden="1" customHeight="1">
      <c r="A130" s="57" t="s">
        <v>281</v>
      </c>
      <c r="B130" s="10" t="s">
        <v>23</v>
      </c>
      <c r="C130" s="10">
        <v>2.2000000000000002</v>
      </c>
      <c r="D130" s="10">
        <v>2.2000000000000002</v>
      </c>
      <c r="E130" s="10">
        <v>2.2000000000000002</v>
      </c>
      <c r="F130" s="10">
        <v>2.2000000000000002</v>
      </c>
      <c r="G130" s="10">
        <v>2.2000000000000002</v>
      </c>
      <c r="H130" s="10">
        <v>1.1000000000000001</v>
      </c>
      <c r="I130" s="10">
        <v>0</v>
      </c>
      <c r="J130" s="10">
        <v>0</v>
      </c>
    </row>
    <row r="131" spans="1:10" ht="14.45" hidden="1" customHeight="1">
      <c r="A131" s="57" t="s">
        <v>281</v>
      </c>
      <c r="B131" s="10" t="s">
        <v>58</v>
      </c>
      <c r="C131" s="10">
        <v>0.6</v>
      </c>
      <c r="D131" s="10">
        <v>0.6</v>
      </c>
      <c r="E131" s="10">
        <v>0.6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</row>
    <row r="132" spans="1:10" ht="14.45" hidden="1" customHeight="1">
      <c r="A132" s="58" t="s">
        <v>281</v>
      </c>
      <c r="B132" s="58" t="s">
        <v>102</v>
      </c>
      <c r="C132" s="58">
        <v>0.86399999999999999</v>
      </c>
      <c r="D132" s="58">
        <v>0.86399999999999999</v>
      </c>
      <c r="E132" s="58">
        <v>0.86399999999999999</v>
      </c>
      <c r="F132" s="58">
        <v>0.86399999999999999</v>
      </c>
      <c r="G132" s="58">
        <v>0.86399999999999999</v>
      </c>
      <c r="H132" s="58">
        <v>0.86399999999999999</v>
      </c>
      <c r="I132" s="58">
        <v>0.86399999999999999</v>
      </c>
      <c r="J132" s="58">
        <v>0.86399999999999999</v>
      </c>
    </row>
    <row r="133" spans="1:10" ht="14.45" hidden="1" customHeight="1">
      <c r="A133" s="57" t="s">
        <v>281</v>
      </c>
      <c r="B133" s="10" t="s">
        <v>103</v>
      </c>
      <c r="C133" s="10">
        <v>2.3330000000000002</v>
      </c>
      <c r="D133" s="10">
        <v>2.3330000000000002</v>
      </c>
      <c r="E133" s="10">
        <v>2.3330000000000002</v>
      </c>
      <c r="F133" s="10">
        <v>2.3330000000000002</v>
      </c>
      <c r="G133" s="10">
        <v>2.3330000000000002</v>
      </c>
      <c r="H133" s="10">
        <v>2.3330000000000002</v>
      </c>
      <c r="I133" s="10">
        <v>2.3330000000000002</v>
      </c>
      <c r="J133" s="10">
        <v>2.3330000000000002</v>
      </c>
    </row>
    <row r="134" spans="1:10" ht="14.45" hidden="1" customHeight="1">
      <c r="A134" s="57" t="s">
        <v>281</v>
      </c>
      <c r="B134" s="10" t="s">
        <v>94</v>
      </c>
      <c r="C134" s="10">
        <v>1.1880000000000002</v>
      </c>
      <c r="D134" s="10">
        <v>1.1816826228844253</v>
      </c>
      <c r="E134" s="10">
        <v>1.1816826228844253</v>
      </c>
      <c r="F134" s="10">
        <v>1.1816826228844253</v>
      </c>
      <c r="G134" s="10">
        <v>1.1258209092396005</v>
      </c>
      <c r="H134" s="10">
        <v>0</v>
      </c>
      <c r="I134" s="10">
        <v>0</v>
      </c>
      <c r="J134" s="10">
        <v>0</v>
      </c>
    </row>
    <row r="135" spans="1:10" ht="14.45" hidden="1" customHeight="1">
      <c r="A135" s="57" t="s">
        <v>281</v>
      </c>
      <c r="B135" s="10" t="s">
        <v>170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</row>
    <row r="136" spans="1:10" ht="14.45" hidden="1" customHeight="1">
      <c r="A136" s="57" t="s">
        <v>281</v>
      </c>
      <c r="B136" s="10" t="s">
        <v>97</v>
      </c>
      <c r="C136" s="10">
        <v>0.81840000000000002</v>
      </c>
      <c r="D136" s="10">
        <v>0.81840000000000002</v>
      </c>
      <c r="E136" s="10">
        <v>0.81840000000000002</v>
      </c>
      <c r="F136" s="10">
        <v>0.80178009288771512</v>
      </c>
      <c r="G136" s="10">
        <v>0.12520826882797559</v>
      </c>
      <c r="H136" s="10">
        <v>0</v>
      </c>
      <c r="I136" s="10">
        <v>0</v>
      </c>
      <c r="J136" s="10">
        <v>0</v>
      </c>
    </row>
    <row r="137" spans="1:10" ht="14.45" hidden="1" customHeight="1">
      <c r="A137" s="79" t="s">
        <v>282</v>
      </c>
      <c r="B137" s="79" t="s">
        <v>481</v>
      </c>
      <c r="C137" s="79">
        <v>0.50600000000000001</v>
      </c>
      <c r="D137" s="10">
        <v>0.50600000000000001</v>
      </c>
      <c r="E137" s="10">
        <v>0.52400000000000002</v>
      </c>
      <c r="F137" s="10">
        <v>0.54200000000000004</v>
      </c>
      <c r="G137" s="10">
        <v>0.51490000000000002</v>
      </c>
      <c r="H137" s="10">
        <v>0.48780000000000001</v>
      </c>
      <c r="I137" s="10">
        <v>0.24390000000000001</v>
      </c>
      <c r="J137" s="10">
        <v>0</v>
      </c>
    </row>
    <row r="138" spans="1:10" ht="14.45" hidden="1" customHeight="1">
      <c r="A138" s="57" t="s">
        <v>282</v>
      </c>
      <c r="B138" s="10" t="s">
        <v>142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</row>
    <row r="139" spans="1:10" ht="14.45" hidden="1" customHeight="1">
      <c r="A139" s="74" t="s">
        <v>282</v>
      </c>
      <c r="B139" s="58" t="s">
        <v>243</v>
      </c>
      <c r="C139" s="58">
        <v>0.96640000000000004</v>
      </c>
      <c r="D139" s="58">
        <v>0.86980000000000002</v>
      </c>
      <c r="E139" s="58">
        <v>0.67410000000000003</v>
      </c>
      <c r="F139" s="58">
        <v>0.40449999999999997</v>
      </c>
      <c r="G139" s="58">
        <v>0.20229999999999998</v>
      </c>
      <c r="H139" s="58">
        <v>8.1000000000000003E-2</v>
      </c>
      <c r="I139" s="58">
        <v>1.6199999999999999E-2</v>
      </c>
      <c r="J139" s="58">
        <v>0</v>
      </c>
    </row>
    <row r="140" spans="1:10" ht="14.45" hidden="1" customHeight="1">
      <c r="A140" s="58" t="s">
        <v>282</v>
      </c>
      <c r="B140" s="58" t="s">
        <v>244</v>
      </c>
      <c r="C140" s="58">
        <v>0.20169999999999999</v>
      </c>
      <c r="D140" s="58">
        <v>0.18159999999999998</v>
      </c>
      <c r="E140" s="58">
        <v>0.14079999999999998</v>
      </c>
      <c r="F140" s="58">
        <v>8.4500000000000006E-2</v>
      </c>
      <c r="G140" s="58">
        <v>4.2300000000000004E-2</v>
      </c>
      <c r="H140" s="58">
        <v>1.6999999999999998E-2</v>
      </c>
      <c r="I140" s="58">
        <v>3.3999999999999998E-3</v>
      </c>
      <c r="J140" s="58">
        <v>0</v>
      </c>
    </row>
    <row r="141" spans="1:10" ht="14.45" hidden="1" customHeight="1">
      <c r="A141" s="58" t="s">
        <v>282</v>
      </c>
      <c r="B141" s="58" t="s">
        <v>245</v>
      </c>
      <c r="C141" s="58">
        <v>0.25979999999999998</v>
      </c>
      <c r="D141" s="58">
        <v>0.2339</v>
      </c>
      <c r="E141" s="58">
        <v>0.18129999999999999</v>
      </c>
      <c r="F141" s="58">
        <v>0.10880000000000001</v>
      </c>
      <c r="G141" s="58">
        <v>5.4399999999999997E-2</v>
      </c>
      <c r="H141" s="58">
        <v>2.18E-2</v>
      </c>
      <c r="I141" s="58">
        <v>4.4000000000000003E-3</v>
      </c>
      <c r="J141" s="58">
        <v>0</v>
      </c>
    </row>
    <row r="142" spans="1:10" ht="14.45" hidden="1" customHeight="1">
      <c r="A142" s="58" t="s">
        <v>282</v>
      </c>
      <c r="B142" s="58" t="s">
        <v>217</v>
      </c>
      <c r="C142" s="58">
        <v>7.1400000000000005E-2</v>
      </c>
      <c r="D142" s="58">
        <v>6.4299999999999996E-2</v>
      </c>
      <c r="E142" s="58">
        <v>4.99E-2</v>
      </c>
      <c r="F142" s="58">
        <v>0.03</v>
      </c>
      <c r="G142" s="58">
        <v>1.4999999999999999E-2</v>
      </c>
      <c r="H142" s="58">
        <v>6.0000000000000001E-3</v>
      </c>
      <c r="I142" s="58">
        <v>1.1999999999999999E-3</v>
      </c>
      <c r="J142" s="58">
        <v>0</v>
      </c>
    </row>
    <row r="143" spans="1:10" ht="14.45" hidden="1" customHeight="1">
      <c r="A143" s="58" t="s">
        <v>282</v>
      </c>
      <c r="B143" s="58" t="s">
        <v>237</v>
      </c>
      <c r="C143" s="58">
        <v>8.0999999999999996E-3</v>
      </c>
      <c r="D143" s="58">
        <v>7.3000000000000001E-3</v>
      </c>
      <c r="E143" s="58">
        <v>5.7000000000000002E-3</v>
      </c>
      <c r="F143" s="58">
        <v>3.4999999999999996E-3</v>
      </c>
      <c r="G143" s="58">
        <v>1.8E-3</v>
      </c>
      <c r="H143" s="58">
        <v>8.0000000000000004E-4</v>
      </c>
      <c r="I143" s="58">
        <v>0</v>
      </c>
      <c r="J143" s="58">
        <v>0</v>
      </c>
    </row>
    <row r="144" spans="1:10" ht="14.45" hidden="1" customHeight="1">
      <c r="A144" s="58" t="s">
        <v>282</v>
      </c>
      <c r="B144" s="58" t="s">
        <v>226</v>
      </c>
      <c r="C144" s="58">
        <v>1.5198</v>
      </c>
      <c r="D144" s="58">
        <v>1.3678999999999999</v>
      </c>
      <c r="E144" s="58">
        <v>1.0602</v>
      </c>
      <c r="F144" s="58">
        <v>0.63619999999999999</v>
      </c>
      <c r="G144" s="58">
        <v>0.31809999999999999</v>
      </c>
      <c r="H144" s="58">
        <v>0.1273</v>
      </c>
      <c r="I144" s="58">
        <v>2.5499999999999998E-2</v>
      </c>
      <c r="J144" s="58">
        <v>0</v>
      </c>
    </row>
    <row r="145" spans="1:10" ht="14.45" hidden="1" customHeight="1">
      <c r="A145" s="58" t="s">
        <v>282</v>
      </c>
      <c r="B145" s="58" t="s">
        <v>219</v>
      </c>
      <c r="C145" s="58">
        <v>6.9999999999999999E-4</v>
      </c>
      <c r="D145" s="58">
        <v>0</v>
      </c>
      <c r="E145" s="58">
        <v>0</v>
      </c>
      <c r="F145" s="58">
        <v>0</v>
      </c>
      <c r="G145" s="58">
        <v>0</v>
      </c>
      <c r="H145" s="58">
        <v>0</v>
      </c>
      <c r="I145" s="58">
        <v>0</v>
      </c>
      <c r="J145" s="58">
        <v>0</v>
      </c>
    </row>
    <row r="146" spans="1:10" ht="14.45" hidden="1" customHeight="1">
      <c r="A146" s="58" t="s">
        <v>282</v>
      </c>
      <c r="B146" s="58" t="s">
        <v>227</v>
      </c>
      <c r="C146" s="58">
        <v>9.7200000000000009E-2</v>
      </c>
      <c r="D146" s="58">
        <v>8.7500000000000008E-2</v>
      </c>
      <c r="E146" s="58">
        <v>6.7900000000000002E-2</v>
      </c>
      <c r="F146" s="58">
        <v>4.0800000000000003E-2</v>
      </c>
      <c r="G146" s="58">
        <v>2.0400000000000001E-2</v>
      </c>
      <c r="H146" s="58">
        <v>8.199999999999999E-3</v>
      </c>
      <c r="I146" s="58">
        <v>1.7000000000000001E-3</v>
      </c>
      <c r="J146" s="58">
        <v>0</v>
      </c>
    </row>
    <row r="147" spans="1:10" ht="14.45" hidden="1" customHeight="1">
      <c r="A147" s="58" t="s">
        <v>282</v>
      </c>
      <c r="B147" s="58" t="s">
        <v>206</v>
      </c>
      <c r="C147" s="58">
        <v>0.96879999999999999</v>
      </c>
      <c r="D147" s="58">
        <v>0.872</v>
      </c>
      <c r="E147" s="58">
        <v>0.67579999999999996</v>
      </c>
      <c r="F147" s="58">
        <v>0.40549999999999997</v>
      </c>
      <c r="G147" s="58">
        <v>0.20279999999999998</v>
      </c>
      <c r="H147" s="58">
        <v>8.1200000000000008E-2</v>
      </c>
      <c r="I147" s="58">
        <v>1.6299999999999999E-2</v>
      </c>
    </row>
    <row r="148" spans="1:10" ht="14.45" hidden="1" customHeight="1">
      <c r="A148" s="58" t="s">
        <v>282</v>
      </c>
      <c r="B148" s="58" t="s">
        <v>224</v>
      </c>
      <c r="C148" s="58">
        <v>23.4589</v>
      </c>
      <c r="D148" s="58">
        <v>21.113099999999999</v>
      </c>
      <c r="E148" s="58">
        <v>16.3627</v>
      </c>
      <c r="F148" s="58">
        <v>9.8177000000000003</v>
      </c>
      <c r="G148" s="58">
        <v>4.9089</v>
      </c>
      <c r="H148" s="58">
        <v>1.9636</v>
      </c>
      <c r="I148" s="58">
        <v>0.39279999999999998</v>
      </c>
    </row>
    <row r="149" spans="1:10" ht="14.45" hidden="1" customHeight="1">
      <c r="A149" s="58" t="s">
        <v>282</v>
      </c>
      <c r="B149" s="58" t="s">
        <v>225</v>
      </c>
      <c r="C149" s="58">
        <v>3.6431</v>
      </c>
      <c r="D149" s="58">
        <v>3.2788000000000004</v>
      </c>
      <c r="E149" s="58">
        <v>2.5411000000000001</v>
      </c>
      <c r="F149" s="58">
        <v>1.5246999999999999</v>
      </c>
      <c r="G149" s="58">
        <v>0.76239999999999997</v>
      </c>
      <c r="H149" s="58">
        <v>0.30499999999999999</v>
      </c>
      <c r="I149" s="58">
        <v>6.0999999999999999E-2</v>
      </c>
    </row>
    <row r="150" spans="1:10" ht="14.45" hidden="1" customHeight="1">
      <c r="A150" s="74" t="s">
        <v>282</v>
      </c>
      <c r="B150" s="58" t="s">
        <v>228</v>
      </c>
      <c r="C150" s="58">
        <v>0.22109999999999999</v>
      </c>
      <c r="D150" s="58">
        <v>0.19899999999999998</v>
      </c>
      <c r="E150" s="58">
        <v>0.15429999999999999</v>
      </c>
      <c r="F150" s="58">
        <v>9.2600000000000002E-2</v>
      </c>
      <c r="G150" s="58">
        <v>4.6300000000000001E-2</v>
      </c>
      <c r="H150" s="58">
        <v>1.8599999999999998E-2</v>
      </c>
      <c r="I150" s="58">
        <v>3.8E-3</v>
      </c>
      <c r="J150" s="58">
        <v>0</v>
      </c>
    </row>
    <row r="151" spans="1:10" ht="14.45" hidden="1" customHeight="1">
      <c r="A151" s="58" t="s">
        <v>282</v>
      </c>
      <c r="B151" s="58" t="s">
        <v>230</v>
      </c>
      <c r="C151" s="58">
        <v>3.2398000000000002</v>
      </c>
      <c r="D151" s="58">
        <v>2.9159000000000002</v>
      </c>
      <c r="E151" s="58">
        <v>2.2599</v>
      </c>
      <c r="F151" s="58">
        <v>1.3560000000000001</v>
      </c>
      <c r="G151" s="58">
        <v>0.67800000000000005</v>
      </c>
      <c r="H151" s="58">
        <v>0.2712</v>
      </c>
      <c r="I151" s="58">
        <v>5.4300000000000001E-2</v>
      </c>
      <c r="J151" s="58">
        <v>0</v>
      </c>
    </row>
    <row r="152" spans="1:10" ht="14.45" hidden="1" customHeight="1">
      <c r="A152" s="58" t="s">
        <v>282</v>
      </c>
      <c r="B152" s="58" t="s">
        <v>229</v>
      </c>
      <c r="C152" s="58">
        <v>6.0000000000000006E-4</v>
      </c>
      <c r="D152" s="58">
        <v>0</v>
      </c>
      <c r="E152" s="58">
        <v>0</v>
      </c>
      <c r="F152" s="58">
        <v>0</v>
      </c>
      <c r="G152" s="58">
        <v>0</v>
      </c>
      <c r="H152" s="58">
        <v>0</v>
      </c>
      <c r="I152" s="58">
        <v>0</v>
      </c>
      <c r="J152" s="58">
        <v>0</v>
      </c>
    </row>
    <row r="153" spans="1:10" ht="14.45" hidden="1" customHeight="1">
      <c r="A153" s="58" t="s">
        <v>282</v>
      </c>
      <c r="B153" s="58" t="s">
        <v>231</v>
      </c>
      <c r="C153" s="58">
        <v>8.4500000000000006E-2</v>
      </c>
      <c r="D153" s="58">
        <v>7.6100000000000001E-2</v>
      </c>
      <c r="E153" s="58">
        <v>5.9000000000000004E-2</v>
      </c>
      <c r="F153" s="58">
        <v>3.5400000000000001E-2</v>
      </c>
      <c r="G153" s="58">
        <v>1.77E-2</v>
      </c>
      <c r="H153" s="58">
        <v>7.1000000000000004E-3</v>
      </c>
      <c r="I153" s="58">
        <v>1.5E-3</v>
      </c>
      <c r="J153" s="58">
        <v>0</v>
      </c>
    </row>
    <row r="154" spans="1:10" ht="14.45" hidden="1" customHeight="1">
      <c r="A154" s="58" t="s">
        <v>282</v>
      </c>
      <c r="B154" s="58" t="s">
        <v>240</v>
      </c>
      <c r="C154" s="58">
        <v>2.6800000000000001E-2</v>
      </c>
      <c r="D154" s="58">
        <v>2.4199999999999999E-2</v>
      </c>
      <c r="E154" s="58">
        <v>1.8800000000000001E-2</v>
      </c>
      <c r="F154" s="58">
        <v>1.1299999999999999E-2</v>
      </c>
      <c r="G154" s="58">
        <v>5.7000000000000002E-3</v>
      </c>
      <c r="H154" s="58">
        <v>2.3E-3</v>
      </c>
      <c r="I154" s="58">
        <v>5.0000000000000001E-4</v>
      </c>
      <c r="J154" s="58">
        <v>0</v>
      </c>
    </row>
    <row r="155" spans="1:10" ht="14.45" hidden="1" customHeight="1">
      <c r="A155" s="57" t="s">
        <v>282</v>
      </c>
      <c r="B155" s="10" t="s">
        <v>163</v>
      </c>
      <c r="C155" s="10">
        <v>0.39</v>
      </c>
      <c r="D155" s="10">
        <v>0.2664602286697812</v>
      </c>
      <c r="E155" s="10">
        <v>0.26592543643963612</v>
      </c>
      <c r="F155" s="10">
        <v>0.25790355298746004</v>
      </c>
      <c r="G155" s="10">
        <v>0.24633867101057286</v>
      </c>
      <c r="H155" s="10">
        <v>0.24304524219326279</v>
      </c>
      <c r="I155" s="10">
        <v>0.21364949594295546</v>
      </c>
      <c r="J155" s="10">
        <v>8.3739550036882188E-2</v>
      </c>
    </row>
    <row r="156" spans="1:10" ht="14.45" hidden="1" customHeight="1">
      <c r="A156" s="57" t="s">
        <v>282</v>
      </c>
      <c r="B156" s="10" t="s">
        <v>107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</row>
    <row r="157" spans="1:10" ht="14.45" hidden="1" customHeight="1">
      <c r="A157" s="57" t="s">
        <v>282</v>
      </c>
      <c r="B157" s="10" t="s">
        <v>106</v>
      </c>
      <c r="C157" s="10">
        <v>0</v>
      </c>
      <c r="D157" s="10">
        <v>0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</row>
    <row r="158" spans="1:10" ht="14.45" hidden="1" customHeight="1">
      <c r="A158" s="57" t="s">
        <v>282</v>
      </c>
      <c r="B158" s="10" t="s">
        <v>22</v>
      </c>
      <c r="C158" s="10">
        <v>0.35</v>
      </c>
      <c r="D158" s="10">
        <v>0.26249999999999996</v>
      </c>
      <c r="E158" s="10">
        <v>0.19687499999999997</v>
      </c>
      <c r="F158" s="10">
        <v>0.14765624999999999</v>
      </c>
      <c r="G158" s="10">
        <v>0.11074218749999999</v>
      </c>
      <c r="H158" s="10">
        <v>0</v>
      </c>
      <c r="I158" s="10">
        <v>0</v>
      </c>
      <c r="J158" s="10">
        <v>0</v>
      </c>
    </row>
    <row r="159" spans="1:10" ht="14.45" hidden="1" customHeight="1">
      <c r="A159" s="66" t="s">
        <v>282</v>
      </c>
      <c r="B159" s="10" t="s">
        <v>488</v>
      </c>
      <c r="C159" s="10">
        <v>0.13200000000000001</v>
      </c>
      <c r="D159" s="10">
        <v>0.13200000000000001</v>
      </c>
      <c r="E159" s="10">
        <v>8.7499999999999994E-2</v>
      </c>
      <c r="F159" s="10">
        <v>4.2999999999999997E-2</v>
      </c>
      <c r="G159" s="10">
        <v>4.2999999999999997E-2</v>
      </c>
      <c r="H159" s="10">
        <v>4.2999999999999997E-2</v>
      </c>
      <c r="I159" s="10">
        <v>2.1499999999999998E-2</v>
      </c>
      <c r="J159" s="10">
        <v>0</v>
      </c>
    </row>
    <row r="160" spans="1:10" ht="14.45" hidden="1" customHeight="1">
      <c r="A160" s="57" t="s">
        <v>282</v>
      </c>
      <c r="B160" s="10" t="s">
        <v>23</v>
      </c>
      <c r="C160" s="10">
        <v>3.278</v>
      </c>
      <c r="D160" s="10">
        <v>2.925786282013541</v>
      </c>
      <c r="E160" s="10">
        <v>2.2146040624080068</v>
      </c>
      <c r="F160" s="10">
        <v>1.2303355902266706</v>
      </c>
      <c r="G160" s="10">
        <v>0</v>
      </c>
      <c r="H160" s="10">
        <v>0</v>
      </c>
      <c r="I160" s="10">
        <v>0</v>
      </c>
      <c r="J160" s="10">
        <v>0</v>
      </c>
    </row>
    <row r="161" spans="1:10" ht="14.45" hidden="1" customHeight="1">
      <c r="A161" s="57" t="s">
        <v>282</v>
      </c>
      <c r="B161" s="10" t="s">
        <v>58</v>
      </c>
      <c r="C161" s="10">
        <v>0.66</v>
      </c>
      <c r="D161" s="10">
        <v>0.64888700869163907</v>
      </c>
      <c r="E161" s="10">
        <v>0.64888700869163907</v>
      </c>
      <c r="F161" s="10">
        <v>9.9684639643104391E-3</v>
      </c>
      <c r="G161" s="10">
        <v>7.6917160218444736E-3</v>
      </c>
      <c r="H161" s="10">
        <v>0</v>
      </c>
      <c r="I161" s="10">
        <v>0</v>
      </c>
      <c r="J161" s="10">
        <v>0</v>
      </c>
    </row>
    <row r="162" spans="1:10" ht="14.45" hidden="1" customHeight="1">
      <c r="A162" s="58" t="s">
        <v>282</v>
      </c>
      <c r="B162" s="58" t="s">
        <v>102</v>
      </c>
      <c r="C162" s="58">
        <v>10.39</v>
      </c>
      <c r="D162" s="58">
        <v>10.39</v>
      </c>
      <c r="E162" s="58">
        <v>10.39</v>
      </c>
      <c r="F162" s="58">
        <v>10.39</v>
      </c>
      <c r="G162" s="58">
        <v>10.39</v>
      </c>
      <c r="H162" s="58">
        <v>10.39</v>
      </c>
      <c r="I162" s="58">
        <v>10.39</v>
      </c>
      <c r="J162" s="58">
        <v>10.39</v>
      </c>
    </row>
    <row r="163" spans="1:10" ht="14.45" hidden="1" customHeight="1">
      <c r="A163" s="57" t="s">
        <v>282</v>
      </c>
      <c r="B163" s="10" t="s">
        <v>337</v>
      </c>
      <c r="C163" s="10">
        <v>10.39</v>
      </c>
      <c r="D163" s="10">
        <v>10.39</v>
      </c>
      <c r="E163" s="10">
        <v>10.39</v>
      </c>
      <c r="F163" s="10">
        <v>10.39</v>
      </c>
      <c r="G163" s="10">
        <v>10.39</v>
      </c>
      <c r="H163" s="10">
        <v>10.39</v>
      </c>
      <c r="I163" s="10">
        <v>10.39</v>
      </c>
      <c r="J163" s="10">
        <v>10.39</v>
      </c>
    </row>
    <row r="164" spans="1:10" ht="14.45" hidden="1" customHeight="1">
      <c r="A164" s="57" t="s">
        <v>282</v>
      </c>
      <c r="B164" s="10" t="s">
        <v>103</v>
      </c>
      <c r="C164" s="10">
        <v>3.8540000000000001</v>
      </c>
      <c r="D164" s="10">
        <v>3.8540000000000001</v>
      </c>
      <c r="E164" s="10">
        <v>3.8540000000000001</v>
      </c>
      <c r="F164" s="10">
        <v>3.8540000000000001</v>
      </c>
      <c r="G164" s="10">
        <v>3.8540000000000001</v>
      </c>
      <c r="H164" s="10">
        <v>3.8540000000000001</v>
      </c>
      <c r="I164" s="10">
        <v>3.8540000000000001</v>
      </c>
      <c r="J164" s="10">
        <v>3.8540000000000001</v>
      </c>
    </row>
    <row r="165" spans="1:10" ht="14.45" hidden="1" customHeight="1">
      <c r="A165" s="57" t="s">
        <v>282</v>
      </c>
      <c r="B165" s="10" t="s">
        <v>94</v>
      </c>
      <c r="C165" s="10">
        <v>1.0860000000000001</v>
      </c>
      <c r="D165" s="10">
        <v>1.032720611659764</v>
      </c>
      <c r="E165" s="10">
        <v>0.99427468939152575</v>
      </c>
      <c r="F165" s="10">
        <v>0.86929300732717407</v>
      </c>
      <c r="G165" s="10">
        <v>0.62802214080917484</v>
      </c>
      <c r="H165" s="10">
        <v>0</v>
      </c>
      <c r="I165" s="10">
        <v>0</v>
      </c>
      <c r="J165" s="10">
        <v>0</v>
      </c>
    </row>
    <row r="166" spans="1:10" ht="14.45" hidden="1" customHeight="1">
      <c r="A166" s="57" t="s">
        <v>282</v>
      </c>
      <c r="B166" s="10" t="s">
        <v>170</v>
      </c>
      <c r="C166" s="10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</row>
    <row r="167" spans="1:10" ht="14.45" hidden="1" customHeight="1">
      <c r="A167" s="57" t="s">
        <v>282</v>
      </c>
      <c r="B167" s="10" t="s">
        <v>97</v>
      </c>
      <c r="C167" s="10">
        <v>0.08</v>
      </c>
      <c r="D167" s="10">
        <v>0.08</v>
      </c>
      <c r="E167" s="10">
        <v>0.08</v>
      </c>
      <c r="F167" s="10">
        <v>7.2802123395265719E-2</v>
      </c>
      <c r="G167" s="10">
        <v>2.0042251232327616E-2</v>
      </c>
      <c r="H167" s="10">
        <v>0</v>
      </c>
      <c r="I167" s="10">
        <v>0</v>
      </c>
      <c r="J167" s="10">
        <v>0</v>
      </c>
    </row>
    <row r="168" spans="1:10" ht="14.45" hidden="1" customHeight="1">
      <c r="A168" s="10" t="s">
        <v>283</v>
      </c>
      <c r="B168" s="10" t="s">
        <v>475</v>
      </c>
      <c r="C168" s="10">
        <v>2.01423104805373</v>
      </c>
      <c r="D168" s="10">
        <v>2.01423104805373</v>
      </c>
      <c r="E168" s="10">
        <v>1.766325688293271</v>
      </c>
      <c r="F168" s="10">
        <v>1.5184203285328119</v>
      </c>
      <c r="G168" s="10">
        <v>0.75921016426640597</v>
      </c>
      <c r="H168" s="10">
        <v>0</v>
      </c>
      <c r="I168" s="10">
        <v>0</v>
      </c>
      <c r="J168" s="10">
        <v>0</v>
      </c>
    </row>
    <row r="169" spans="1:10" ht="14.45" hidden="1" customHeight="1">
      <c r="A169" s="10" t="s">
        <v>283</v>
      </c>
      <c r="B169" s="10" t="s">
        <v>108</v>
      </c>
      <c r="C169" s="10">
        <v>1.6106058445491351</v>
      </c>
      <c r="D169" s="10">
        <v>1.6106058445491351</v>
      </c>
      <c r="E169" s="10">
        <v>1.4535896174586729</v>
      </c>
      <c r="F169" s="10">
        <v>1.2965733903682104</v>
      </c>
      <c r="G169" s="10">
        <v>0.76842789924574695</v>
      </c>
      <c r="H169" s="10">
        <v>0.24028240812328305</v>
      </c>
      <c r="I169" s="10">
        <v>0.12014120406164153</v>
      </c>
      <c r="J169" s="10">
        <v>0</v>
      </c>
    </row>
    <row r="170" spans="1:10" ht="14.45" hidden="1" customHeight="1">
      <c r="A170" s="10" t="s">
        <v>283</v>
      </c>
      <c r="B170" s="10" t="s">
        <v>109</v>
      </c>
      <c r="C170" s="10">
        <v>3.5464256030001322</v>
      </c>
      <c r="D170" s="10">
        <v>3.5464256030001322</v>
      </c>
      <c r="E170" s="10">
        <v>2.2748320665383557</v>
      </c>
      <c r="F170" s="10">
        <v>1.0032385300765789</v>
      </c>
      <c r="G170" s="10">
        <v>0.9244925131319861</v>
      </c>
      <c r="H170" s="10">
        <v>0.84574649618739328</v>
      </c>
      <c r="I170" s="10">
        <v>0.42287324809369664</v>
      </c>
      <c r="J170" s="10">
        <v>0</v>
      </c>
    </row>
    <row r="171" spans="1:10" ht="14.45" hidden="1" customHeight="1">
      <c r="A171" s="66" t="s">
        <v>283</v>
      </c>
      <c r="B171" s="10" t="s">
        <v>481</v>
      </c>
      <c r="C171" s="10">
        <v>1.0658108752322573</v>
      </c>
      <c r="D171" s="10">
        <v>1.0658108752322573</v>
      </c>
      <c r="E171" s="10">
        <v>1.05819731500958</v>
      </c>
      <c r="F171" s="10">
        <v>1.0505837547869028</v>
      </c>
      <c r="G171" s="10">
        <v>0.59571730945321621</v>
      </c>
      <c r="H171" s="10">
        <v>0.14085086411952955</v>
      </c>
      <c r="I171" s="10">
        <v>7.0425432059764773E-2</v>
      </c>
      <c r="J171" s="10">
        <v>0</v>
      </c>
    </row>
    <row r="172" spans="1:10" ht="14.45" hidden="1" customHeight="1">
      <c r="A172" s="10" t="s">
        <v>283</v>
      </c>
      <c r="B172" s="10" t="s">
        <v>485</v>
      </c>
      <c r="C172" s="10">
        <v>7.2521978882572724E-2</v>
      </c>
      <c r="D172" s="10">
        <v>7.2521978882572724E-2</v>
      </c>
      <c r="E172" s="10">
        <v>3.6260989441286362E-2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</row>
    <row r="173" spans="1:10" ht="14.45" hidden="1" customHeight="1">
      <c r="A173" s="57" t="s">
        <v>283</v>
      </c>
      <c r="B173" s="10" t="s">
        <v>142</v>
      </c>
      <c r="C173" s="10">
        <v>1.88</v>
      </c>
      <c r="D173" s="10">
        <v>1.88</v>
      </c>
      <c r="E173" s="10">
        <v>1.88</v>
      </c>
      <c r="F173" s="10">
        <v>1.88</v>
      </c>
      <c r="G173" s="10">
        <v>1.8752122241086588</v>
      </c>
      <c r="H173" s="10">
        <v>1.8752122241086588</v>
      </c>
      <c r="I173" s="10">
        <v>1.8752122241086588</v>
      </c>
      <c r="J173" s="10">
        <v>1.8752122241086588</v>
      </c>
    </row>
    <row r="174" spans="1:10" ht="14.45" hidden="1" customHeight="1">
      <c r="A174" s="58" t="s">
        <v>283</v>
      </c>
      <c r="B174" s="58" t="s">
        <v>243</v>
      </c>
      <c r="C174" s="58">
        <v>5.6662999999999997</v>
      </c>
      <c r="D174" s="58">
        <v>5.0996999999999995</v>
      </c>
      <c r="E174" s="58">
        <v>3.9523000000000001</v>
      </c>
      <c r="F174" s="58">
        <v>2.3714000000000004</v>
      </c>
      <c r="G174" s="58">
        <v>1.1857</v>
      </c>
      <c r="H174" s="58">
        <v>0.4743</v>
      </c>
      <c r="I174" s="58">
        <v>9.4899999999999998E-2</v>
      </c>
      <c r="J174" s="58">
        <v>0</v>
      </c>
    </row>
    <row r="175" spans="1:10" ht="14.45" hidden="1" customHeight="1">
      <c r="A175" s="58" t="s">
        <v>283</v>
      </c>
      <c r="B175" s="58" t="s">
        <v>244</v>
      </c>
      <c r="C175" s="58">
        <v>0.52890000000000004</v>
      </c>
      <c r="D175" s="58">
        <v>0.47609999999999997</v>
      </c>
      <c r="E175" s="58">
        <v>0.36899999999999999</v>
      </c>
      <c r="F175" s="58">
        <v>0.22140000000000001</v>
      </c>
      <c r="G175" s="58">
        <v>0.11070000000000001</v>
      </c>
      <c r="H175" s="58">
        <v>4.4300000000000006E-2</v>
      </c>
      <c r="I175" s="58">
        <v>8.8999999999999999E-3</v>
      </c>
      <c r="J175" s="58">
        <v>0</v>
      </c>
    </row>
    <row r="176" spans="1:10" ht="14.45" hidden="1" customHeight="1">
      <c r="A176" s="58" t="s">
        <v>283</v>
      </c>
      <c r="B176" s="58" t="s">
        <v>245</v>
      </c>
      <c r="C176" s="58">
        <v>8.3199999999999996E-2</v>
      </c>
      <c r="D176" s="58">
        <v>7.4900000000000008E-2</v>
      </c>
      <c r="E176" s="58">
        <v>5.8100000000000006E-2</v>
      </c>
      <c r="F176" s="58">
        <v>3.49E-2</v>
      </c>
      <c r="G176" s="58">
        <v>1.7499999999999998E-2</v>
      </c>
      <c r="H176" s="58">
        <v>7.0000000000000001E-3</v>
      </c>
      <c r="I176" s="58">
        <v>1.4E-3</v>
      </c>
      <c r="J176" s="58">
        <v>0</v>
      </c>
    </row>
    <row r="177" spans="1:10" ht="14.45" hidden="1" customHeight="1">
      <c r="A177" s="58" t="s">
        <v>283</v>
      </c>
      <c r="B177" s="58" t="s">
        <v>217</v>
      </c>
      <c r="C177" s="58">
        <v>0.29199999999999998</v>
      </c>
      <c r="D177" s="58">
        <v>0.26279999999999998</v>
      </c>
      <c r="E177" s="58">
        <v>0.20369999999999999</v>
      </c>
      <c r="F177" s="58">
        <v>0.12230000000000001</v>
      </c>
      <c r="G177" s="58">
        <v>6.1200000000000004E-2</v>
      </c>
      <c r="H177" s="58">
        <v>2.4500000000000001E-2</v>
      </c>
      <c r="I177" s="58">
        <v>4.8999999999999998E-3</v>
      </c>
      <c r="J177" s="58">
        <v>0</v>
      </c>
    </row>
    <row r="178" spans="1:10" ht="14.45" hidden="1" customHeight="1">
      <c r="A178" s="74" t="s">
        <v>283</v>
      </c>
      <c r="B178" s="58" t="s">
        <v>237</v>
      </c>
      <c r="C178" s="58">
        <v>3.6400000000000002E-2</v>
      </c>
      <c r="D178" s="58">
        <v>3.2800000000000003E-2</v>
      </c>
      <c r="E178" s="58">
        <v>2.5499999999999998E-2</v>
      </c>
      <c r="F178" s="58">
        <v>1.5299999999999999E-2</v>
      </c>
      <c r="G178" s="58">
        <v>7.7000000000000002E-3</v>
      </c>
      <c r="H178" s="58">
        <v>3.0999999999999999E-3</v>
      </c>
      <c r="I178" s="58">
        <v>6.9999999999999999E-4</v>
      </c>
      <c r="J178" s="58">
        <v>0</v>
      </c>
    </row>
    <row r="179" spans="1:10" ht="14.45" hidden="1" customHeight="1">
      <c r="A179" s="58" t="s">
        <v>283</v>
      </c>
      <c r="B179" s="58" t="s">
        <v>226</v>
      </c>
      <c r="C179" s="58">
        <v>3.4186000000000001</v>
      </c>
      <c r="D179" s="58">
        <v>3.0768000000000004</v>
      </c>
      <c r="E179" s="58">
        <v>2.3846000000000003</v>
      </c>
      <c r="F179" s="58">
        <v>1.4308000000000001</v>
      </c>
      <c r="G179" s="58">
        <v>0.71540000000000004</v>
      </c>
      <c r="H179" s="58">
        <v>0.28620000000000001</v>
      </c>
      <c r="I179" s="58">
        <v>5.7300000000000004E-2</v>
      </c>
      <c r="J179" s="58">
        <v>0</v>
      </c>
    </row>
    <row r="180" spans="1:10" ht="14.45" hidden="1" customHeight="1">
      <c r="A180" s="58" t="s">
        <v>283</v>
      </c>
      <c r="B180" s="58" t="s">
        <v>219</v>
      </c>
      <c r="C180" s="58">
        <v>1.4999999999999999E-2</v>
      </c>
      <c r="D180" s="58">
        <v>1.35E-2</v>
      </c>
      <c r="E180" s="58">
        <v>1.0499999999999999E-2</v>
      </c>
      <c r="F180" s="58">
        <v>6.3E-3</v>
      </c>
      <c r="G180" s="58">
        <v>3.1999999999999997E-3</v>
      </c>
      <c r="H180" s="58">
        <v>1.2999999999999999E-3</v>
      </c>
      <c r="I180" s="58">
        <v>3.0000000000000003E-4</v>
      </c>
      <c r="J180" s="58">
        <v>0</v>
      </c>
    </row>
    <row r="181" spans="1:10" ht="14.45" hidden="1" customHeight="1">
      <c r="A181" s="58" t="s">
        <v>283</v>
      </c>
      <c r="B181" s="58" t="s">
        <v>220</v>
      </c>
      <c r="C181" s="58">
        <v>4.5200000000000004E-2</v>
      </c>
      <c r="D181" s="58">
        <v>4.07E-2</v>
      </c>
      <c r="E181" s="58">
        <v>3.1600000000000003E-2</v>
      </c>
      <c r="F181" s="58">
        <v>1.9E-2</v>
      </c>
      <c r="G181" s="58">
        <v>9.4999999999999998E-3</v>
      </c>
      <c r="H181" s="58">
        <v>3.8E-3</v>
      </c>
      <c r="I181" s="58">
        <v>8.0000000000000004E-4</v>
      </c>
      <c r="J181" s="58">
        <v>0</v>
      </c>
    </row>
    <row r="182" spans="1:10" ht="14.45" hidden="1" customHeight="1">
      <c r="A182" s="58" t="s">
        <v>283</v>
      </c>
      <c r="B182" s="58" t="s">
        <v>227</v>
      </c>
      <c r="C182" s="58">
        <v>4.65E-2</v>
      </c>
      <c r="D182" s="58">
        <v>4.19E-2</v>
      </c>
      <c r="E182" s="58">
        <v>3.2500000000000001E-2</v>
      </c>
      <c r="F182" s="58">
        <v>1.95E-2</v>
      </c>
      <c r="G182" s="58">
        <v>9.7999999999999997E-3</v>
      </c>
      <c r="H182" s="58">
        <v>4.0000000000000001E-3</v>
      </c>
      <c r="I182" s="58">
        <v>8.0000000000000004E-4</v>
      </c>
      <c r="J182" s="58">
        <v>0</v>
      </c>
    </row>
    <row r="183" spans="1:10" ht="14.45" hidden="1" customHeight="1">
      <c r="A183" s="58" t="s">
        <v>283</v>
      </c>
      <c r="B183" s="58" t="s">
        <v>206</v>
      </c>
      <c r="C183" s="58">
        <v>2.4485000000000001</v>
      </c>
      <c r="D183" s="58">
        <v>2.2037</v>
      </c>
      <c r="E183" s="58">
        <v>1.7079</v>
      </c>
      <c r="F183" s="58">
        <v>1.0247999999999999</v>
      </c>
      <c r="G183" s="58">
        <v>0.51239999999999997</v>
      </c>
      <c r="H183" s="58">
        <v>0.20499999999999999</v>
      </c>
      <c r="I183" s="58">
        <v>4.1000000000000002E-2</v>
      </c>
    </row>
    <row r="184" spans="1:10" ht="14.45" hidden="1" customHeight="1">
      <c r="A184" s="58" t="s">
        <v>283</v>
      </c>
      <c r="B184" s="58" t="s">
        <v>233</v>
      </c>
      <c r="C184" s="58">
        <v>0.63780000000000003</v>
      </c>
      <c r="D184" s="58">
        <v>0.57409999999999994</v>
      </c>
      <c r="E184" s="58">
        <v>0.44500000000000001</v>
      </c>
      <c r="F184" s="58">
        <v>0.26700000000000002</v>
      </c>
      <c r="G184" s="58">
        <v>0.13350000000000001</v>
      </c>
      <c r="H184" s="58">
        <v>5.3400000000000003E-2</v>
      </c>
      <c r="I184" s="58">
        <v>1.0699999999999999E-2</v>
      </c>
    </row>
    <row r="185" spans="1:10" ht="14.45" hidden="1" customHeight="1">
      <c r="A185" s="58" t="s">
        <v>283</v>
      </c>
      <c r="B185" s="58" t="s">
        <v>224</v>
      </c>
      <c r="C185" s="58">
        <v>23.6952</v>
      </c>
      <c r="D185" s="58">
        <v>21.325700000000001</v>
      </c>
      <c r="E185" s="58">
        <v>16.5275</v>
      </c>
      <c r="F185" s="58">
        <v>9.9164999999999992</v>
      </c>
      <c r="G185" s="58">
        <v>4.9582999999999995</v>
      </c>
      <c r="H185" s="58">
        <v>1.9834000000000001</v>
      </c>
      <c r="I185" s="58">
        <v>0.3967</v>
      </c>
    </row>
    <row r="186" spans="1:10" ht="14.45" hidden="1" customHeight="1">
      <c r="A186" s="58" t="s">
        <v>283</v>
      </c>
      <c r="B186" s="58" t="s">
        <v>207</v>
      </c>
      <c r="C186" s="58">
        <v>1.0370999999999999</v>
      </c>
      <c r="D186" s="58">
        <v>0.93340000000000001</v>
      </c>
      <c r="E186" s="58">
        <v>0.72340000000000004</v>
      </c>
      <c r="F186" s="58">
        <v>0.43409999999999999</v>
      </c>
      <c r="G186" s="58">
        <v>0.21709999999999999</v>
      </c>
      <c r="H186" s="58">
        <v>8.6900000000000005E-2</v>
      </c>
      <c r="I186" s="58">
        <v>1.7399999999999999E-2</v>
      </c>
    </row>
    <row r="187" spans="1:10" ht="14.45" hidden="1" customHeight="1">
      <c r="A187" s="58" t="s">
        <v>283</v>
      </c>
      <c r="B187" s="58" t="s">
        <v>225</v>
      </c>
      <c r="C187" s="58">
        <v>7.2900000000000006E-2</v>
      </c>
      <c r="D187" s="58">
        <v>6.5700000000000008E-2</v>
      </c>
      <c r="E187" s="58">
        <v>5.1000000000000004E-2</v>
      </c>
      <c r="F187" s="58">
        <v>3.0599999999999999E-2</v>
      </c>
      <c r="G187" s="58">
        <v>1.5299999999999999E-2</v>
      </c>
      <c r="H187" s="58">
        <v>6.2000000000000006E-3</v>
      </c>
      <c r="I187" s="58">
        <v>1.2999999999999999E-3</v>
      </c>
    </row>
    <row r="188" spans="1:10" ht="14.45" hidden="1" customHeight="1">
      <c r="A188" s="58" t="s">
        <v>283</v>
      </c>
      <c r="B188" s="58" t="s">
        <v>228</v>
      </c>
      <c r="C188" s="58">
        <v>7.010000000000001E-2</v>
      </c>
      <c r="D188" s="58">
        <v>6.3100000000000003E-2</v>
      </c>
      <c r="E188" s="58">
        <v>4.9000000000000002E-2</v>
      </c>
      <c r="F188" s="58">
        <v>2.9399999999999999E-2</v>
      </c>
      <c r="G188" s="58">
        <v>1.47E-2</v>
      </c>
      <c r="H188" s="58">
        <v>5.8999999999999999E-3</v>
      </c>
      <c r="I188" s="58">
        <v>1.2000000000000001E-3</v>
      </c>
      <c r="J188" s="58">
        <v>0</v>
      </c>
    </row>
    <row r="189" spans="1:10" ht="14.45" hidden="1" customHeight="1">
      <c r="A189" s="74" t="s">
        <v>283</v>
      </c>
      <c r="B189" s="58" t="s">
        <v>230</v>
      </c>
      <c r="C189" s="58">
        <v>16.462</v>
      </c>
      <c r="D189" s="58">
        <v>14.815799999999999</v>
      </c>
      <c r="E189" s="58">
        <v>11.4823</v>
      </c>
      <c r="F189" s="58">
        <v>6.8894000000000002</v>
      </c>
      <c r="G189" s="58">
        <v>3.4447000000000001</v>
      </c>
      <c r="H189" s="58">
        <v>1.3778999999999999</v>
      </c>
      <c r="I189" s="58">
        <v>0.27560000000000001</v>
      </c>
      <c r="J189" s="58">
        <v>0</v>
      </c>
    </row>
    <row r="190" spans="1:10" ht="14.45" hidden="1" customHeight="1">
      <c r="A190" s="58" t="s">
        <v>283</v>
      </c>
      <c r="B190" s="58" t="s">
        <v>229</v>
      </c>
      <c r="C190" s="58">
        <v>1.7621</v>
      </c>
      <c r="D190" s="58">
        <v>1.5859000000000001</v>
      </c>
      <c r="E190" s="58">
        <v>1.2291000000000001</v>
      </c>
      <c r="F190" s="58">
        <v>0.73750000000000004</v>
      </c>
      <c r="G190" s="58">
        <v>0.36880000000000002</v>
      </c>
      <c r="H190" s="58">
        <v>0.14759999999999998</v>
      </c>
      <c r="I190" s="58">
        <v>2.9599999999999998E-2</v>
      </c>
      <c r="J190" s="58">
        <v>0</v>
      </c>
    </row>
    <row r="191" spans="1:10" ht="14.45" hidden="1" customHeight="1">
      <c r="A191" s="58" t="s">
        <v>283</v>
      </c>
      <c r="B191" s="58" t="s">
        <v>231</v>
      </c>
      <c r="C191" s="58">
        <v>9.2899999999999996E-2</v>
      </c>
      <c r="D191" s="58">
        <v>8.3699999999999997E-2</v>
      </c>
      <c r="E191" s="58">
        <v>6.4899999999999999E-2</v>
      </c>
      <c r="F191" s="58">
        <v>3.9E-2</v>
      </c>
      <c r="G191" s="58">
        <v>1.95E-2</v>
      </c>
      <c r="H191" s="58">
        <v>7.7999999999999996E-3</v>
      </c>
      <c r="I191" s="58">
        <v>1.6000000000000001E-3</v>
      </c>
      <c r="J191" s="58">
        <v>0</v>
      </c>
    </row>
    <row r="192" spans="1:10" ht="14.45" hidden="1" customHeight="1">
      <c r="A192" s="58" t="s">
        <v>283</v>
      </c>
      <c r="B192" s="58" t="s">
        <v>240</v>
      </c>
      <c r="C192" s="58">
        <v>1.5599999999999999E-2</v>
      </c>
      <c r="D192" s="58">
        <v>1.41E-2</v>
      </c>
      <c r="E192" s="58">
        <v>1.0999999999999999E-2</v>
      </c>
      <c r="F192" s="58">
        <v>6.6E-3</v>
      </c>
      <c r="G192" s="58">
        <v>3.3E-3</v>
      </c>
      <c r="H192" s="58">
        <v>1.4E-3</v>
      </c>
      <c r="I192" s="58">
        <v>3.0000000000000003E-4</v>
      </c>
      <c r="J192" s="58">
        <v>0</v>
      </c>
    </row>
    <row r="193" spans="1:10" ht="14.45" hidden="1" customHeight="1">
      <c r="A193" s="57" t="s">
        <v>283</v>
      </c>
      <c r="B193" s="10" t="s">
        <v>163</v>
      </c>
      <c r="C193" s="10">
        <v>0.83</v>
      </c>
      <c r="D193" s="10">
        <v>0.46482309020560886</v>
      </c>
      <c r="E193" s="10">
        <v>0.46482309020560886</v>
      </c>
      <c r="F193" s="10">
        <v>0.46223539474946457</v>
      </c>
      <c r="G193" s="10">
        <v>0.43960964729958768</v>
      </c>
      <c r="H193" s="10">
        <v>0.43740678860358789</v>
      </c>
      <c r="I193" s="10">
        <v>0.376649026316631</v>
      </c>
      <c r="J193" s="10">
        <v>0.24536661017491126</v>
      </c>
    </row>
    <row r="194" spans="1:10" ht="14.45" hidden="1" customHeight="1">
      <c r="A194" s="57" t="s">
        <v>283</v>
      </c>
      <c r="B194" s="10" t="s">
        <v>107</v>
      </c>
      <c r="C194" s="10">
        <v>1.27</v>
      </c>
      <c r="D194" s="10">
        <v>0.93602730797624345</v>
      </c>
      <c r="E194" s="10">
        <v>0.71078860150262591</v>
      </c>
      <c r="F194" s="10">
        <v>0.4855498950290083</v>
      </c>
      <c r="G194" s="10">
        <v>0.44711854073694723</v>
      </c>
      <c r="H194" s="10">
        <v>0.44711854073694723</v>
      </c>
      <c r="I194" s="10">
        <v>0.44464936141723022</v>
      </c>
      <c r="J194" s="10">
        <v>1.8019096517889407E-2</v>
      </c>
    </row>
    <row r="195" spans="1:10" ht="14.45" hidden="1" customHeight="1">
      <c r="A195" s="57" t="s">
        <v>283</v>
      </c>
      <c r="B195" s="10" t="s">
        <v>106</v>
      </c>
      <c r="C195" s="10">
        <v>8.85</v>
      </c>
      <c r="D195" s="10">
        <v>1.069302436370428</v>
      </c>
      <c r="E195" s="10">
        <v>0.93874779059286551</v>
      </c>
      <c r="F195" s="10">
        <v>0.93874779059286551</v>
      </c>
      <c r="G195" s="10">
        <v>0.86328960083152195</v>
      </c>
      <c r="H195" s="10">
        <v>0.34047214319935687</v>
      </c>
      <c r="I195" s="10">
        <v>0.21763100126406507</v>
      </c>
      <c r="J195" s="10">
        <v>0.16169612091716451</v>
      </c>
    </row>
    <row r="196" spans="1:10" ht="14.45" hidden="1" customHeight="1">
      <c r="A196" s="57" t="s">
        <v>283</v>
      </c>
      <c r="B196" s="10" t="s">
        <v>22</v>
      </c>
      <c r="C196" s="10">
        <v>1.57</v>
      </c>
      <c r="D196" s="10">
        <v>1.0703273823055988</v>
      </c>
      <c r="E196" s="10">
        <v>1.0692215670562277</v>
      </c>
      <c r="F196" s="10">
        <v>1.0692215670562277</v>
      </c>
      <c r="G196" s="10">
        <v>1.0611510753979529</v>
      </c>
      <c r="H196" s="10">
        <v>0.23000892823205782</v>
      </c>
      <c r="I196" s="10">
        <v>0.20307863075430072</v>
      </c>
      <c r="J196" s="10">
        <v>0.11925963538003168</v>
      </c>
    </row>
    <row r="197" spans="1:10" ht="14.45" hidden="1" customHeight="1">
      <c r="A197" s="10" t="s">
        <v>283</v>
      </c>
      <c r="B197" s="10" t="s">
        <v>488</v>
      </c>
      <c r="C197" s="10">
        <v>0.96399999999999997</v>
      </c>
      <c r="D197" s="10">
        <v>0.96399999999999997</v>
      </c>
      <c r="E197" s="10">
        <v>0.78058407079646008</v>
      </c>
      <c r="F197" s="10">
        <v>0.59716814159292031</v>
      </c>
      <c r="G197" s="10">
        <v>0.29858407079646015</v>
      </c>
      <c r="H197" s="10">
        <v>0</v>
      </c>
      <c r="I197" s="10">
        <v>0</v>
      </c>
      <c r="J197" s="10">
        <v>0</v>
      </c>
    </row>
    <row r="198" spans="1:10" ht="14.45" hidden="1" customHeight="1">
      <c r="A198" s="10" t="s">
        <v>283</v>
      </c>
      <c r="B198" s="10" t="s">
        <v>489</v>
      </c>
      <c r="C198" s="10">
        <v>0.06</v>
      </c>
      <c r="D198" s="10">
        <v>0.06</v>
      </c>
      <c r="E198" s="10">
        <v>0.03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</row>
    <row r="199" spans="1:10" ht="14.45" hidden="1" customHeight="1">
      <c r="A199" s="10" t="s">
        <v>283</v>
      </c>
      <c r="B199" s="10" t="s">
        <v>490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</row>
    <row r="200" spans="1:10" ht="14.45" hidden="1" customHeight="1">
      <c r="A200" s="10" t="s">
        <v>283</v>
      </c>
      <c r="B200" s="10" t="s">
        <v>490</v>
      </c>
      <c r="C200" s="10">
        <v>0.04</v>
      </c>
      <c r="D200" s="10">
        <v>0.04</v>
      </c>
      <c r="E200" s="10">
        <v>0.04</v>
      </c>
      <c r="F200" s="10">
        <v>0.04</v>
      </c>
      <c r="G200" s="10">
        <v>0</v>
      </c>
      <c r="H200" s="10">
        <v>0</v>
      </c>
      <c r="I200" s="10">
        <v>0</v>
      </c>
      <c r="J200" s="10">
        <v>0</v>
      </c>
    </row>
    <row r="201" spans="1:10" ht="14.45" hidden="1" customHeight="1">
      <c r="A201" s="57" t="s">
        <v>283</v>
      </c>
      <c r="B201" s="10" t="s">
        <v>23</v>
      </c>
      <c r="C201" s="10">
        <v>3.92</v>
      </c>
      <c r="D201" s="10">
        <v>3.92</v>
      </c>
      <c r="E201" s="10">
        <v>3.92</v>
      </c>
      <c r="F201" s="10">
        <v>3.92</v>
      </c>
      <c r="G201" s="10">
        <v>3.4280708661417325</v>
      </c>
      <c r="H201" s="10">
        <v>1.9522834645669291</v>
      </c>
      <c r="I201" s="10">
        <v>1.9522834645669291</v>
      </c>
      <c r="J201" s="10">
        <v>1.9522834645669291</v>
      </c>
    </row>
    <row r="202" spans="1:10" ht="14.45" hidden="1" customHeight="1">
      <c r="A202" s="57" t="s">
        <v>283</v>
      </c>
      <c r="B202" s="10" t="s">
        <v>58</v>
      </c>
      <c r="C202" s="10">
        <v>0.113</v>
      </c>
      <c r="D202" s="10">
        <v>1.4218845355791529E-2</v>
      </c>
      <c r="E202" s="10">
        <v>1.0288661052117662E-2</v>
      </c>
      <c r="F202" s="10">
        <v>1.0288661052117662E-2</v>
      </c>
      <c r="G202" s="10">
        <v>1.0288661052117662E-2</v>
      </c>
      <c r="H202" s="10">
        <v>1.0288661052117662E-2</v>
      </c>
      <c r="I202" s="10">
        <v>1.0288661052117662E-2</v>
      </c>
      <c r="J202" s="10">
        <v>1.0288661052117662E-2</v>
      </c>
    </row>
    <row r="203" spans="1:10" ht="14.45" hidden="1" customHeight="1">
      <c r="A203" s="58" t="s">
        <v>283</v>
      </c>
      <c r="B203" s="58" t="s">
        <v>102</v>
      </c>
      <c r="C203" s="58">
        <v>1.88</v>
      </c>
      <c r="D203" s="58">
        <v>1.88</v>
      </c>
      <c r="E203" s="58">
        <v>1.88</v>
      </c>
      <c r="F203" s="58">
        <v>1.88</v>
      </c>
      <c r="G203" s="58">
        <v>1.88</v>
      </c>
      <c r="H203" s="58">
        <v>1.88</v>
      </c>
      <c r="I203" s="58">
        <v>1.88</v>
      </c>
      <c r="J203" s="58">
        <v>1.88</v>
      </c>
    </row>
    <row r="204" spans="1:10" ht="14.45" hidden="1" customHeight="1">
      <c r="A204" s="59" t="s">
        <v>283</v>
      </c>
      <c r="B204" s="10" t="s">
        <v>103</v>
      </c>
      <c r="C204" s="10">
        <v>0.25</v>
      </c>
      <c r="D204" s="10">
        <v>0.25</v>
      </c>
      <c r="E204" s="10">
        <v>0.25</v>
      </c>
      <c r="F204" s="10">
        <v>0.25</v>
      </c>
      <c r="G204" s="10">
        <v>0.25</v>
      </c>
      <c r="H204" s="10">
        <v>0.25</v>
      </c>
      <c r="I204" s="10">
        <v>0.25</v>
      </c>
      <c r="J204" s="10">
        <v>0.25</v>
      </c>
    </row>
    <row r="205" spans="1:10" ht="14.45" hidden="1" customHeight="1">
      <c r="A205" s="57" t="s">
        <v>283</v>
      </c>
      <c r="B205" s="10" t="s">
        <v>94</v>
      </c>
      <c r="C205" s="10">
        <v>2.33</v>
      </c>
      <c r="D205" s="10">
        <v>2.2829484839612655</v>
      </c>
      <c r="E205" s="10">
        <v>2.282910230696193</v>
      </c>
      <c r="F205" s="10">
        <v>2.2827189643708325</v>
      </c>
      <c r="G205" s="10">
        <v>0.21579304381613254</v>
      </c>
      <c r="H205" s="10">
        <v>0</v>
      </c>
      <c r="I205" s="10">
        <v>0</v>
      </c>
      <c r="J205" s="10">
        <v>0</v>
      </c>
    </row>
    <row r="206" spans="1:10" ht="14.45" hidden="1" customHeight="1">
      <c r="A206" s="57" t="s">
        <v>283</v>
      </c>
      <c r="B206" s="10" t="s">
        <v>170</v>
      </c>
      <c r="C206" s="10">
        <v>0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</row>
    <row r="207" spans="1:10" ht="14.45" hidden="1" customHeight="1">
      <c r="A207" s="57" t="s">
        <v>283</v>
      </c>
      <c r="B207" s="10" t="s">
        <v>97</v>
      </c>
      <c r="C207" s="10">
        <v>0.48</v>
      </c>
      <c r="D207" s="10">
        <v>0.48</v>
      </c>
      <c r="E207" s="10">
        <v>0.48</v>
      </c>
      <c r="F207" s="10">
        <v>0.43398392652123996</v>
      </c>
      <c r="G207" s="10">
        <v>8.1152549905559063E-2</v>
      </c>
      <c r="H207" s="10">
        <v>0</v>
      </c>
      <c r="I207" s="10">
        <v>0</v>
      </c>
      <c r="J207" s="10">
        <v>0</v>
      </c>
    </row>
    <row r="208" spans="1:10" ht="14.45" hidden="1" customHeight="1">
      <c r="A208" s="10" t="s">
        <v>284</v>
      </c>
      <c r="B208" s="10" t="s">
        <v>475</v>
      </c>
      <c r="C208" s="10">
        <v>7.7173721989696471</v>
      </c>
      <c r="D208" s="10">
        <v>7.7173721989696471</v>
      </c>
      <c r="E208" s="10">
        <v>7.7173721989696471</v>
      </c>
      <c r="F208" s="10">
        <v>7.7173721989696471</v>
      </c>
      <c r="G208" s="10">
        <v>7.3315035890211648</v>
      </c>
      <c r="H208" s="10">
        <v>6.9456349790726817</v>
      </c>
      <c r="I208" s="10">
        <v>6.3668320641499578</v>
      </c>
      <c r="J208" s="10">
        <v>5.788029149227234</v>
      </c>
    </row>
    <row r="209" spans="1:10" ht="14.45" hidden="1" customHeight="1">
      <c r="A209" s="10" t="s">
        <v>284</v>
      </c>
      <c r="B209" s="10" t="s">
        <v>108</v>
      </c>
      <c r="C209" s="10">
        <v>12.053064401974682</v>
      </c>
      <c r="D209" s="10">
        <v>12.053064401974682</v>
      </c>
      <c r="E209" s="10">
        <v>7.7228593163840804</v>
      </c>
      <c r="F209" s="10">
        <v>3.3926542307934802</v>
      </c>
      <c r="G209" s="10">
        <v>1.6963271153967401</v>
      </c>
      <c r="H209" s="10">
        <v>0</v>
      </c>
      <c r="I209" s="10">
        <v>0</v>
      </c>
      <c r="J209" s="10">
        <v>0</v>
      </c>
    </row>
    <row r="210" spans="1:10" ht="14.45" hidden="1" customHeight="1">
      <c r="A210" s="10" t="s">
        <v>284</v>
      </c>
      <c r="B210" s="10" t="s">
        <v>109</v>
      </c>
      <c r="C210" s="10">
        <v>0.98488497049721091</v>
      </c>
      <c r="D210" s="10">
        <v>0.98488497049721091</v>
      </c>
      <c r="E210" s="10">
        <v>0.84706283724333353</v>
      </c>
      <c r="F210" s="10">
        <v>0.70924070398945604</v>
      </c>
      <c r="G210" s="10">
        <v>0.35462035199472802</v>
      </c>
      <c r="H210" s="10">
        <v>0</v>
      </c>
      <c r="I210" s="10">
        <v>0</v>
      </c>
      <c r="J210" s="10">
        <v>0</v>
      </c>
    </row>
    <row r="211" spans="1:10" ht="14.45" hidden="1" customHeight="1">
      <c r="A211" s="10" t="s">
        <v>284</v>
      </c>
      <c r="B211" s="10" t="s">
        <v>481</v>
      </c>
      <c r="C211" s="10">
        <v>25.862741659761152</v>
      </c>
      <c r="D211" s="10">
        <v>25.862741659761152</v>
      </c>
      <c r="E211" s="10">
        <v>23.767295276027237</v>
      </c>
      <c r="F211" s="10">
        <v>21.671848892293326</v>
      </c>
      <c r="G211" s="10">
        <v>17.640875273513682</v>
      </c>
      <c r="H211" s="10">
        <v>13.609901654734019</v>
      </c>
      <c r="I211" s="10">
        <v>7.5459532855541145</v>
      </c>
      <c r="J211" s="10">
        <v>1.4820049163742095</v>
      </c>
    </row>
    <row r="212" spans="1:10" ht="14.45" hidden="1" customHeight="1">
      <c r="A212" s="10" t="s">
        <v>284</v>
      </c>
      <c r="B212" s="10" t="s">
        <v>485</v>
      </c>
      <c r="C212" s="10">
        <v>1.1023213933909606</v>
      </c>
      <c r="D212" s="10">
        <v>1.1023213933909606</v>
      </c>
      <c r="E212" s="10">
        <v>0.55116069669548029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</row>
    <row r="213" spans="1:10" ht="14.45" hidden="1" customHeight="1">
      <c r="A213" s="57" t="s">
        <v>284</v>
      </c>
      <c r="B213" s="10" t="s">
        <v>142</v>
      </c>
      <c r="C213" s="10">
        <v>5.8310999999999993</v>
      </c>
      <c r="D213" s="10">
        <v>5.8310999999999993</v>
      </c>
      <c r="E213" s="10">
        <v>5.8310999999999993</v>
      </c>
      <c r="F213" s="10">
        <v>5.8310999999999993</v>
      </c>
      <c r="G213" s="10">
        <v>5.8310999999999993</v>
      </c>
      <c r="H213" s="10">
        <v>5.8310999999999993</v>
      </c>
      <c r="I213" s="10">
        <v>5.8310999999999993</v>
      </c>
      <c r="J213" s="10">
        <v>5.8310999999999993</v>
      </c>
    </row>
    <row r="214" spans="1:10" ht="14.45" hidden="1" customHeight="1">
      <c r="A214" s="58" t="s">
        <v>284</v>
      </c>
      <c r="B214" s="58" t="s">
        <v>243</v>
      </c>
      <c r="C214" s="58">
        <v>41.680700000000002</v>
      </c>
      <c r="D214" s="58">
        <v>37.512700000000002</v>
      </c>
      <c r="E214" s="58">
        <v>29.072399999999998</v>
      </c>
      <c r="F214" s="58">
        <v>17.4435</v>
      </c>
      <c r="G214" s="58">
        <v>8.7218</v>
      </c>
      <c r="H214" s="58">
        <v>3.4888000000000003</v>
      </c>
      <c r="I214" s="58">
        <v>0.69779999999999998</v>
      </c>
      <c r="J214" s="58">
        <v>0</v>
      </c>
    </row>
    <row r="215" spans="1:10" ht="14.45" hidden="1" customHeight="1">
      <c r="A215" s="58" t="s">
        <v>284</v>
      </c>
      <c r="B215" s="58" t="s">
        <v>244</v>
      </c>
      <c r="C215" s="58">
        <v>6.8433999999999999</v>
      </c>
      <c r="D215" s="58">
        <v>6.1590999999999996</v>
      </c>
      <c r="E215" s="58">
        <v>4.7733999999999996</v>
      </c>
      <c r="F215" s="58">
        <v>2.8641000000000001</v>
      </c>
      <c r="G215" s="58">
        <v>1.4320999999999999</v>
      </c>
      <c r="H215" s="58">
        <v>0.57289999999999996</v>
      </c>
      <c r="I215" s="58">
        <v>0.11460000000000001</v>
      </c>
      <c r="J215" s="58">
        <v>0</v>
      </c>
    </row>
    <row r="216" spans="1:10" ht="14.45" hidden="1" customHeight="1">
      <c r="A216" s="58" t="s">
        <v>284</v>
      </c>
      <c r="B216" s="58" t="s">
        <v>245</v>
      </c>
      <c r="C216" s="58">
        <v>2.9226000000000001</v>
      </c>
      <c r="D216" s="58">
        <v>2.6304000000000003</v>
      </c>
      <c r="E216" s="58">
        <v>2.0386000000000002</v>
      </c>
      <c r="F216" s="58">
        <v>1.2232000000000001</v>
      </c>
      <c r="G216" s="58">
        <v>0.61160000000000003</v>
      </c>
      <c r="H216" s="58">
        <v>0.2447</v>
      </c>
      <c r="I216" s="58">
        <v>4.9000000000000002E-2</v>
      </c>
      <c r="J216" s="58">
        <v>0</v>
      </c>
    </row>
    <row r="217" spans="1:10" ht="14.45" hidden="1" customHeight="1">
      <c r="A217" s="58" t="s">
        <v>284</v>
      </c>
      <c r="B217" s="58" t="s">
        <v>217</v>
      </c>
      <c r="C217" s="58">
        <v>1.5386</v>
      </c>
      <c r="D217" s="58">
        <v>1.3848</v>
      </c>
      <c r="E217" s="58">
        <v>1.0732999999999999</v>
      </c>
      <c r="F217" s="58">
        <v>0.64400000000000002</v>
      </c>
      <c r="G217" s="58">
        <v>0.32200000000000001</v>
      </c>
      <c r="H217" s="58">
        <v>0.1288</v>
      </c>
      <c r="I217" s="58">
        <v>2.58E-2</v>
      </c>
      <c r="J217" s="58">
        <v>0</v>
      </c>
    </row>
    <row r="218" spans="1:10" ht="14.45" hidden="1" customHeight="1">
      <c r="A218" s="58" t="s">
        <v>284</v>
      </c>
      <c r="B218" s="58" t="s">
        <v>237</v>
      </c>
      <c r="C218" s="58">
        <v>0.20019999999999999</v>
      </c>
      <c r="D218" s="58">
        <v>0.1802</v>
      </c>
      <c r="E218" s="58">
        <v>0.13969999999999999</v>
      </c>
      <c r="F218" s="58">
        <v>8.3900000000000002E-2</v>
      </c>
      <c r="G218" s="58">
        <v>4.2000000000000003E-2</v>
      </c>
      <c r="H218" s="58">
        <v>1.6799999999999999E-2</v>
      </c>
      <c r="I218" s="58">
        <v>3.3999999999999998E-3</v>
      </c>
      <c r="J218" s="58">
        <v>0</v>
      </c>
    </row>
    <row r="219" spans="1:10" ht="14.45" hidden="1" customHeight="1">
      <c r="A219" s="58" t="s">
        <v>284</v>
      </c>
      <c r="B219" s="58" t="s">
        <v>226</v>
      </c>
      <c r="C219" s="58">
        <v>31.634799999999998</v>
      </c>
      <c r="D219" s="58">
        <v>28.471399999999999</v>
      </c>
      <c r="E219" s="58">
        <v>22.0654</v>
      </c>
      <c r="F219" s="58">
        <v>13.2393</v>
      </c>
      <c r="G219" s="58">
        <v>6.6196999999999999</v>
      </c>
      <c r="H219" s="58">
        <v>2.6479000000000004</v>
      </c>
      <c r="I219" s="58">
        <v>0.52959999999999996</v>
      </c>
      <c r="J219" s="58">
        <v>0</v>
      </c>
    </row>
    <row r="220" spans="1:10" ht="14.45" hidden="1" customHeight="1">
      <c r="A220" s="58" t="s">
        <v>284</v>
      </c>
      <c r="B220" s="58" t="s">
        <v>219</v>
      </c>
      <c r="C220" s="58">
        <v>0.3911</v>
      </c>
      <c r="D220" s="58">
        <v>0.35199999999999998</v>
      </c>
      <c r="E220" s="58">
        <v>0.27279999999999999</v>
      </c>
      <c r="F220" s="58">
        <v>0.16369999999999998</v>
      </c>
      <c r="G220" s="58">
        <v>8.1900000000000001E-2</v>
      </c>
      <c r="H220" s="58">
        <v>3.2800000000000003E-2</v>
      </c>
      <c r="I220" s="58">
        <v>6.6E-3</v>
      </c>
      <c r="J220" s="58">
        <v>0</v>
      </c>
    </row>
    <row r="221" spans="1:10" ht="14.45" hidden="1" customHeight="1">
      <c r="A221" s="58" t="s">
        <v>284</v>
      </c>
      <c r="B221" s="58" t="s">
        <v>220</v>
      </c>
      <c r="C221" s="58">
        <v>2.3199999999999998E-2</v>
      </c>
      <c r="D221" s="58">
        <v>2.0899999999999998E-2</v>
      </c>
      <c r="E221" s="58">
        <v>1.6199999999999999E-2</v>
      </c>
      <c r="F221" s="58">
        <v>9.7999999999999997E-3</v>
      </c>
      <c r="G221" s="58">
        <v>4.8999999999999998E-3</v>
      </c>
      <c r="H221" s="58">
        <v>2E-3</v>
      </c>
      <c r="I221" s="58">
        <v>4.0000000000000002E-4</v>
      </c>
      <c r="J221" s="58">
        <v>0</v>
      </c>
    </row>
    <row r="222" spans="1:10" ht="14.45" hidden="1" customHeight="1">
      <c r="A222" s="74" t="s">
        <v>284</v>
      </c>
      <c r="B222" s="58" t="s">
        <v>227</v>
      </c>
      <c r="C222" s="58">
        <v>0.40610000000000002</v>
      </c>
      <c r="D222" s="58">
        <v>0.36549999999999999</v>
      </c>
      <c r="E222" s="58">
        <v>0.2833</v>
      </c>
      <c r="F222" s="58">
        <v>0.16999999999999998</v>
      </c>
      <c r="G222" s="58">
        <v>8.5000000000000006E-2</v>
      </c>
      <c r="H222" s="58">
        <v>3.4000000000000002E-2</v>
      </c>
      <c r="I222" s="58">
        <v>6.7999999999999996E-3</v>
      </c>
      <c r="J222" s="58">
        <v>0</v>
      </c>
    </row>
    <row r="223" spans="1:10" ht="14.45" hidden="1" customHeight="1">
      <c r="A223" s="58" t="s">
        <v>284</v>
      </c>
      <c r="B223" s="58" t="s">
        <v>206</v>
      </c>
      <c r="C223" s="58">
        <v>8.8226999999999993</v>
      </c>
      <c r="D223" s="58">
        <v>7.9405000000000001</v>
      </c>
      <c r="E223" s="58">
        <v>6.1539000000000001</v>
      </c>
      <c r="F223" s="58">
        <v>3.6924000000000001</v>
      </c>
      <c r="G223" s="58">
        <v>1.8462000000000001</v>
      </c>
      <c r="H223" s="58">
        <v>0.73849999999999993</v>
      </c>
      <c r="I223" s="58">
        <v>0.1477</v>
      </c>
    </row>
    <row r="224" spans="1:10" ht="14.45" hidden="1" customHeight="1">
      <c r="A224" s="58" t="s">
        <v>284</v>
      </c>
      <c r="B224" s="58" t="s">
        <v>233</v>
      </c>
      <c r="C224" s="58">
        <v>2.7150000000000003</v>
      </c>
      <c r="D224" s="58">
        <v>2.4434999999999998</v>
      </c>
      <c r="E224" s="58">
        <v>1.8937999999999999</v>
      </c>
      <c r="F224" s="58">
        <v>1.1363000000000001</v>
      </c>
      <c r="G224" s="58">
        <v>0.56820000000000004</v>
      </c>
      <c r="H224" s="58">
        <v>0.2273</v>
      </c>
      <c r="I224" s="58">
        <v>4.5500000000000006E-2</v>
      </c>
    </row>
    <row r="225" spans="1:10" ht="14.45" hidden="1" customHeight="1">
      <c r="A225" s="58" t="s">
        <v>284</v>
      </c>
      <c r="B225" s="58" t="s">
        <v>224</v>
      </c>
      <c r="C225" s="58">
        <v>437.91279999999995</v>
      </c>
      <c r="D225" s="58">
        <v>394.1216</v>
      </c>
      <c r="E225" s="58">
        <v>305.4443</v>
      </c>
      <c r="F225" s="58">
        <v>183.26660000000001</v>
      </c>
      <c r="G225" s="58">
        <v>91.633300000000006</v>
      </c>
      <c r="H225" s="58">
        <v>36.653400000000005</v>
      </c>
      <c r="I225" s="58">
        <v>7.3306999999999993</v>
      </c>
    </row>
    <row r="226" spans="1:10" ht="14.45" hidden="1" customHeight="1">
      <c r="A226" s="58" t="s">
        <v>284</v>
      </c>
      <c r="B226" s="58" t="s">
        <v>207</v>
      </c>
      <c r="C226" s="58">
        <v>1.0629999999999999</v>
      </c>
      <c r="D226" s="58">
        <v>0.95669999999999999</v>
      </c>
      <c r="E226" s="58">
        <v>0.74149999999999994</v>
      </c>
      <c r="F226" s="58">
        <v>0.44490000000000002</v>
      </c>
      <c r="G226" s="58">
        <v>0.22249999999999998</v>
      </c>
      <c r="H226" s="58">
        <v>8.8999999999999996E-2</v>
      </c>
      <c r="I226" s="58">
        <v>1.78E-2</v>
      </c>
    </row>
    <row r="227" spans="1:10" ht="14.45" hidden="1" customHeight="1">
      <c r="A227" s="58" t="s">
        <v>284</v>
      </c>
      <c r="B227" s="58" t="s">
        <v>209</v>
      </c>
      <c r="C227" s="58">
        <v>5.4861290322580647</v>
      </c>
      <c r="D227" s="58">
        <v>4.9375999999999998</v>
      </c>
      <c r="E227" s="58">
        <v>3.8267000000000002</v>
      </c>
      <c r="F227" s="58">
        <v>2.2961</v>
      </c>
      <c r="G227" s="58">
        <v>1.1480999999999999</v>
      </c>
      <c r="H227" s="58">
        <v>0.45929999999999999</v>
      </c>
      <c r="I227" s="58">
        <v>9.1900000000000009E-2</v>
      </c>
    </row>
    <row r="228" spans="1:10" ht="14.45" hidden="1" customHeight="1">
      <c r="A228" s="58" t="s">
        <v>284</v>
      </c>
      <c r="B228" s="58" t="s">
        <v>232</v>
      </c>
      <c r="C228" s="58">
        <v>1.5032258064516131</v>
      </c>
      <c r="D228" s="58">
        <v>1.353</v>
      </c>
      <c r="E228" s="58">
        <v>1.0486</v>
      </c>
      <c r="F228" s="58">
        <v>0.62919999999999998</v>
      </c>
      <c r="G228" s="58">
        <v>0.31459999999999999</v>
      </c>
      <c r="H228" s="58">
        <v>0.12589999999999998</v>
      </c>
      <c r="I228" s="58">
        <v>2.52E-2</v>
      </c>
    </row>
    <row r="229" spans="1:10" ht="14.45" hidden="1" customHeight="1">
      <c r="A229" s="58" t="s">
        <v>284</v>
      </c>
      <c r="B229" s="58" t="s">
        <v>225</v>
      </c>
      <c r="C229" s="58">
        <v>25.3048</v>
      </c>
      <c r="D229" s="58">
        <v>22.7744</v>
      </c>
      <c r="E229" s="58">
        <v>17.650199999999998</v>
      </c>
      <c r="F229" s="58">
        <v>10.590199999999999</v>
      </c>
      <c r="G229" s="58">
        <v>5.2950999999999997</v>
      </c>
      <c r="H229" s="58">
        <v>2.1181000000000001</v>
      </c>
      <c r="I229" s="58">
        <v>0.42369999999999997</v>
      </c>
    </row>
    <row r="230" spans="1:10" ht="14.45" hidden="1" customHeight="1">
      <c r="A230" s="58" t="s">
        <v>284</v>
      </c>
      <c r="B230" s="58" t="s">
        <v>228</v>
      </c>
      <c r="C230" s="58">
        <v>1.6372</v>
      </c>
      <c r="D230" s="58">
        <v>1.4735</v>
      </c>
      <c r="E230" s="58">
        <v>1.1419999999999999</v>
      </c>
      <c r="F230" s="58">
        <v>0.68520000000000003</v>
      </c>
      <c r="G230" s="58">
        <v>0.34260000000000002</v>
      </c>
      <c r="H230" s="58">
        <v>0.1371</v>
      </c>
      <c r="I230" s="58">
        <v>2.75E-2</v>
      </c>
      <c r="J230" s="58">
        <v>0</v>
      </c>
    </row>
    <row r="231" spans="1:10" ht="14.45" hidden="1" customHeight="1">
      <c r="A231" s="58" t="s">
        <v>284</v>
      </c>
      <c r="B231" s="58" t="s">
        <v>230</v>
      </c>
      <c r="C231" s="58">
        <v>156.9324</v>
      </c>
      <c r="D231" s="58">
        <v>141.23920000000001</v>
      </c>
      <c r="E231" s="58">
        <v>109.46040000000001</v>
      </c>
      <c r="F231" s="58">
        <v>65.676299999999998</v>
      </c>
      <c r="G231" s="58">
        <v>32.838200000000001</v>
      </c>
      <c r="H231" s="58">
        <v>13.135299999999999</v>
      </c>
      <c r="I231" s="58">
        <v>2.6271</v>
      </c>
      <c r="J231" s="58">
        <v>0</v>
      </c>
    </row>
    <row r="232" spans="1:10" ht="14.45" hidden="1" customHeight="1">
      <c r="A232" s="58" t="s">
        <v>284</v>
      </c>
      <c r="B232" s="58" t="s">
        <v>229</v>
      </c>
      <c r="C232" s="58">
        <v>5.3389999999999995</v>
      </c>
      <c r="D232" s="58">
        <v>4.8051000000000004</v>
      </c>
      <c r="E232" s="58">
        <v>3.7240000000000002</v>
      </c>
      <c r="F232" s="58">
        <v>2.2343999999999999</v>
      </c>
      <c r="G232" s="58">
        <v>1.1172</v>
      </c>
      <c r="H232" s="58">
        <v>0.44689999999999996</v>
      </c>
      <c r="I232" s="58">
        <v>8.9400000000000007E-2</v>
      </c>
      <c r="J232" s="58">
        <v>0</v>
      </c>
    </row>
    <row r="233" spans="1:10" ht="14.45" hidden="1" customHeight="1">
      <c r="A233" s="58" t="s">
        <v>284</v>
      </c>
      <c r="B233" s="58" t="s">
        <v>231</v>
      </c>
      <c r="C233" s="58">
        <v>7.0266999999999999</v>
      </c>
      <c r="D233" s="58">
        <v>6.3240999999999996</v>
      </c>
      <c r="E233" s="58">
        <v>4.9011999999999993</v>
      </c>
      <c r="F233" s="58">
        <v>2.9408000000000003</v>
      </c>
      <c r="G233" s="58">
        <v>1.4703999999999999</v>
      </c>
      <c r="H233" s="58">
        <v>0.58819999999999995</v>
      </c>
      <c r="I233" s="58">
        <v>0.1177</v>
      </c>
      <c r="J233" s="58">
        <v>0</v>
      </c>
    </row>
    <row r="234" spans="1:10" ht="14.45" hidden="1" customHeight="1">
      <c r="A234" s="74" t="s">
        <v>284</v>
      </c>
      <c r="B234" s="58" t="s">
        <v>240</v>
      </c>
      <c r="C234" s="58">
        <v>0.4466</v>
      </c>
      <c r="D234" s="58">
        <v>0.40199999999999997</v>
      </c>
      <c r="E234" s="58">
        <v>0.31159999999999999</v>
      </c>
      <c r="F234" s="58">
        <v>0.187</v>
      </c>
      <c r="G234" s="58">
        <v>9.35E-2</v>
      </c>
      <c r="H234" s="58">
        <v>3.7400000000000003E-2</v>
      </c>
      <c r="I234" s="58">
        <v>7.5000000000000006E-3</v>
      </c>
      <c r="J234" s="58">
        <v>0</v>
      </c>
    </row>
    <row r="235" spans="1:10" ht="14.45" hidden="1" customHeight="1">
      <c r="A235" s="57" t="s">
        <v>284</v>
      </c>
      <c r="B235" s="10" t="s">
        <v>163</v>
      </c>
      <c r="C235" s="58">
        <v>9.407</v>
      </c>
      <c r="D235" s="58">
        <v>9.3889999999999993</v>
      </c>
      <c r="E235" s="58">
        <v>8.0640000000000001</v>
      </c>
      <c r="F235" s="58">
        <v>7.125</v>
      </c>
      <c r="G235" s="58">
        <v>6.3319999999999999</v>
      </c>
      <c r="H235" s="58">
        <v>6.3319999999999999</v>
      </c>
      <c r="I235" s="58">
        <v>6.327</v>
      </c>
      <c r="J235" s="58">
        <v>6.327</v>
      </c>
    </row>
    <row r="236" spans="1:10" ht="14.45" hidden="1" customHeight="1">
      <c r="A236" s="57" t="s">
        <v>284</v>
      </c>
      <c r="B236" s="10" t="s">
        <v>107</v>
      </c>
      <c r="C236" s="10">
        <v>9.7385000000000002</v>
      </c>
      <c r="D236" s="10">
        <v>7.7045000000000003</v>
      </c>
      <c r="E236" s="10">
        <v>7.7045000000000003</v>
      </c>
      <c r="F236" s="10">
        <v>5.3710000000000004</v>
      </c>
      <c r="G236" s="10">
        <v>3.8010000000000002</v>
      </c>
      <c r="H236" s="10">
        <v>3.8010000000000002</v>
      </c>
      <c r="I236" s="10">
        <v>3.8010000000000002</v>
      </c>
      <c r="J236" s="10">
        <v>3.8010000000000002</v>
      </c>
    </row>
    <row r="237" spans="1:10" ht="14.45" hidden="1" customHeight="1">
      <c r="A237" s="57" t="s">
        <v>284</v>
      </c>
      <c r="B237" s="10" t="s">
        <v>106</v>
      </c>
      <c r="C237" s="10">
        <v>18.741824999999999</v>
      </c>
      <c r="D237" s="10">
        <v>6.4560000000000004</v>
      </c>
      <c r="E237" s="10">
        <v>5.8650000000000002</v>
      </c>
      <c r="F237" s="10">
        <v>4.0359999999999996</v>
      </c>
      <c r="G237" s="10">
        <v>3.6840000000000002</v>
      </c>
      <c r="H237" s="10">
        <v>3.6840000000000002</v>
      </c>
      <c r="I237" s="10">
        <v>3.6840000000000002</v>
      </c>
      <c r="J237" s="10">
        <v>0</v>
      </c>
    </row>
    <row r="238" spans="1:10" ht="14.45" hidden="1" customHeight="1">
      <c r="A238" s="57" t="s">
        <v>284</v>
      </c>
      <c r="B238" s="10" t="s">
        <v>22</v>
      </c>
      <c r="C238" s="10">
        <v>8.0524000000000004</v>
      </c>
      <c r="D238" s="10">
        <v>5.8750999999999998</v>
      </c>
      <c r="E238" s="10">
        <v>5.5616000000000003</v>
      </c>
      <c r="F238" s="10">
        <v>5.2656000000000001</v>
      </c>
      <c r="G238" s="10">
        <v>4.9556000000000004</v>
      </c>
      <c r="H238" s="10">
        <v>4.5626000000000007</v>
      </c>
      <c r="I238" s="10">
        <v>4.5486000000000004</v>
      </c>
      <c r="J238" s="10">
        <v>1.9496</v>
      </c>
    </row>
    <row r="239" spans="1:10" ht="14.45" hidden="1" customHeight="1">
      <c r="A239" s="10" t="s">
        <v>284</v>
      </c>
      <c r="B239" s="10" t="s">
        <v>488</v>
      </c>
      <c r="C239" s="10">
        <v>12.372</v>
      </c>
      <c r="D239" s="10">
        <v>12.372</v>
      </c>
      <c r="E239" s="10">
        <v>10.975017052662633</v>
      </c>
      <c r="F239" s="10">
        <v>9.5780341053252709</v>
      </c>
      <c r="G239" s="10">
        <v>9.1573605546540779</v>
      </c>
      <c r="H239" s="10">
        <v>8.7366870039828886</v>
      </c>
      <c r="I239" s="10">
        <v>4.3683435019914443</v>
      </c>
      <c r="J239" s="10">
        <v>0</v>
      </c>
    </row>
    <row r="240" spans="1:10" ht="14.45" hidden="1" customHeight="1">
      <c r="A240" s="10" t="s">
        <v>284</v>
      </c>
      <c r="B240" s="10" t="s">
        <v>489</v>
      </c>
      <c r="C240" s="10">
        <v>1.98</v>
      </c>
      <c r="D240" s="10">
        <v>1.98</v>
      </c>
      <c r="E240" s="10">
        <v>0.99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</row>
    <row r="241" spans="1:10" ht="14.45" hidden="1" customHeight="1">
      <c r="A241" s="10" t="s">
        <v>284</v>
      </c>
      <c r="B241" s="10" t="s">
        <v>490</v>
      </c>
      <c r="C241" s="10">
        <v>5.1630000000000003</v>
      </c>
      <c r="D241" s="10">
        <v>5.1630000000000003</v>
      </c>
      <c r="E241" s="10">
        <v>3.4165873309356161</v>
      </c>
      <c r="F241" s="10">
        <v>1.6701746618712328</v>
      </c>
      <c r="G241" s="10">
        <v>1.6701746618712328</v>
      </c>
      <c r="H241" s="10">
        <v>1.6701746618712328</v>
      </c>
      <c r="I241" s="10">
        <v>0.83508733093561638</v>
      </c>
      <c r="J241" s="10">
        <v>0</v>
      </c>
    </row>
    <row r="242" spans="1:10" ht="14.45" hidden="1" customHeight="1">
      <c r="A242" s="57" t="s">
        <v>284</v>
      </c>
      <c r="B242" s="10" t="s">
        <v>23</v>
      </c>
      <c r="C242" s="10">
        <v>12.074999999999999</v>
      </c>
      <c r="D242" s="10">
        <v>8.1140000000000008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</row>
    <row r="243" spans="1:10" ht="14.45" hidden="1" customHeight="1">
      <c r="A243" s="59" t="s">
        <v>284</v>
      </c>
      <c r="B243" s="10" t="s">
        <v>58</v>
      </c>
      <c r="C243" s="10">
        <v>1.2955000000000003</v>
      </c>
      <c r="D243" s="10">
        <v>0.59979999999999978</v>
      </c>
      <c r="E243" s="10">
        <v>0.35960000000000009</v>
      </c>
      <c r="F243" s="10">
        <v>0.32420000000000004</v>
      </c>
      <c r="G243" s="10">
        <v>0.16639999999999999</v>
      </c>
      <c r="H243" s="10">
        <v>0.14380000000000001</v>
      </c>
      <c r="I243" s="10">
        <v>0.14380000000000001</v>
      </c>
      <c r="J243" s="10">
        <v>8.3799999999999999E-2</v>
      </c>
    </row>
    <row r="244" spans="1:10" ht="14.45" hidden="1" customHeight="1">
      <c r="A244" s="58" t="s">
        <v>284</v>
      </c>
      <c r="B244" s="58" t="s">
        <v>102</v>
      </c>
      <c r="C244" s="58">
        <v>1.19102</v>
      </c>
      <c r="D244" s="58">
        <v>1.19102</v>
      </c>
      <c r="E244" s="58">
        <v>1.19102</v>
      </c>
      <c r="F244" s="58">
        <v>1.19102</v>
      </c>
      <c r="G244" s="58">
        <v>1.19102</v>
      </c>
      <c r="H244" s="58">
        <v>1.19102</v>
      </c>
      <c r="I244" s="58">
        <v>1.19102</v>
      </c>
      <c r="J244" s="58">
        <v>1.19102</v>
      </c>
    </row>
    <row r="245" spans="1:10" ht="14.45" hidden="1" customHeight="1">
      <c r="A245" s="57" t="s">
        <v>284</v>
      </c>
      <c r="B245" s="10" t="s">
        <v>337</v>
      </c>
      <c r="C245" s="10">
        <v>0.124</v>
      </c>
      <c r="D245" s="10">
        <v>0.124</v>
      </c>
      <c r="E245" s="10">
        <v>0.124</v>
      </c>
      <c r="F245" s="10">
        <v>0.124</v>
      </c>
      <c r="G245" s="10">
        <v>0.124</v>
      </c>
      <c r="H245" s="10">
        <v>0.124</v>
      </c>
      <c r="I245" s="10">
        <v>0.124</v>
      </c>
      <c r="J245" s="10">
        <v>0.124</v>
      </c>
    </row>
    <row r="246" spans="1:10" ht="14.45" hidden="1" customHeight="1">
      <c r="A246" s="57" t="s">
        <v>284</v>
      </c>
      <c r="B246" s="10" t="s">
        <v>103</v>
      </c>
      <c r="C246" s="10">
        <v>4.7640799999999999</v>
      </c>
      <c r="D246" s="10">
        <v>4.7640799999999999</v>
      </c>
      <c r="E246" s="10">
        <v>4.7640799999999999</v>
      </c>
      <c r="F246" s="10">
        <v>4.7640799999999999</v>
      </c>
      <c r="G246" s="10">
        <v>4.7640799999999999</v>
      </c>
      <c r="H246" s="10">
        <v>4.7640799999999999</v>
      </c>
      <c r="I246" s="10">
        <v>4.7640799999999999</v>
      </c>
      <c r="J246" s="10">
        <v>4.7640799999999999</v>
      </c>
    </row>
    <row r="247" spans="1:10" ht="14.45" hidden="1" customHeight="1">
      <c r="A247" s="57" t="s">
        <v>284</v>
      </c>
      <c r="B247" s="10" t="s">
        <v>94</v>
      </c>
      <c r="C247" s="10">
        <v>45.92</v>
      </c>
      <c r="D247" s="10">
        <v>45.92</v>
      </c>
      <c r="E247" s="10">
        <v>45.92</v>
      </c>
      <c r="F247" s="10">
        <v>45.92</v>
      </c>
      <c r="G247" s="10">
        <v>38.065051538894394</v>
      </c>
      <c r="H247" s="10">
        <v>0</v>
      </c>
      <c r="I247" s="10">
        <v>0</v>
      </c>
      <c r="J247" s="10">
        <v>0</v>
      </c>
    </row>
    <row r="248" spans="1:10" ht="14.45" hidden="1" customHeight="1">
      <c r="A248" s="57" t="s">
        <v>284</v>
      </c>
      <c r="B248" s="10" t="s">
        <v>170</v>
      </c>
      <c r="C248" s="10">
        <v>6.4</v>
      </c>
      <c r="D248" s="10">
        <v>6.4</v>
      </c>
      <c r="E248" s="10">
        <v>6.4</v>
      </c>
      <c r="F248" s="10">
        <v>6.4</v>
      </c>
      <c r="G248" s="10">
        <v>4.1589999999999998</v>
      </c>
      <c r="H248" s="10">
        <v>0</v>
      </c>
      <c r="I248" s="10">
        <v>0</v>
      </c>
      <c r="J248" s="10">
        <v>0</v>
      </c>
    </row>
    <row r="249" spans="1:10" ht="14.45" hidden="1" customHeight="1">
      <c r="A249" s="57" t="s">
        <v>284</v>
      </c>
      <c r="B249" s="10" t="s">
        <v>97</v>
      </c>
      <c r="C249" s="10">
        <v>52.9</v>
      </c>
      <c r="D249" s="10">
        <v>52.9</v>
      </c>
      <c r="E249" s="10">
        <v>52.9</v>
      </c>
      <c r="F249" s="10">
        <v>52.9</v>
      </c>
      <c r="G249" s="10">
        <v>40.299583333333331</v>
      </c>
      <c r="H249" s="10">
        <v>0</v>
      </c>
      <c r="I249" s="10">
        <v>0</v>
      </c>
      <c r="J249" s="10">
        <v>0</v>
      </c>
    </row>
    <row r="250" spans="1:10" ht="14.45" hidden="1" customHeight="1">
      <c r="A250" s="75" t="s">
        <v>284</v>
      </c>
      <c r="B250" s="62" t="s">
        <v>339</v>
      </c>
      <c r="C250" s="10">
        <v>0</v>
      </c>
      <c r="D250" s="10">
        <v>0</v>
      </c>
      <c r="E250" s="10">
        <v>5</v>
      </c>
      <c r="F250" s="10">
        <v>5</v>
      </c>
      <c r="G250" s="10">
        <v>5</v>
      </c>
      <c r="H250" s="10">
        <v>5</v>
      </c>
      <c r="I250" s="10">
        <v>5</v>
      </c>
      <c r="J250" s="10">
        <v>5</v>
      </c>
    </row>
    <row r="251" spans="1:10" ht="14.45" hidden="1" customHeight="1">
      <c r="A251" s="10" t="s">
        <v>285</v>
      </c>
      <c r="B251" s="10" t="s">
        <v>475</v>
      </c>
      <c r="C251" s="10">
        <v>3.1381006179656872</v>
      </c>
      <c r="D251" s="10">
        <v>3.1381006179656872</v>
      </c>
      <c r="E251" s="10">
        <v>1.5690503089828436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</row>
    <row r="252" spans="1:10" ht="14.45" hidden="1" customHeight="1">
      <c r="A252" s="10" t="s">
        <v>285</v>
      </c>
      <c r="B252" s="10" t="s">
        <v>108</v>
      </c>
      <c r="C252" s="10">
        <v>1.2242789012967534</v>
      </c>
      <c r="D252" s="10">
        <v>1.2242789012967534</v>
      </c>
      <c r="E252" s="10">
        <v>0.61213945064837672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</row>
    <row r="253" spans="1:10" ht="14.45" hidden="1" customHeight="1">
      <c r="A253" s="10" t="s">
        <v>285</v>
      </c>
      <c r="B253" s="10" t="s">
        <v>481</v>
      </c>
      <c r="C253" s="10">
        <v>0.82183535377115269</v>
      </c>
      <c r="D253" s="10">
        <v>0.82183535377115269</v>
      </c>
      <c r="E253" s="10">
        <v>0.41091767688557634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</row>
    <row r="254" spans="1:10" ht="14.45" hidden="1" customHeight="1">
      <c r="A254" s="10" t="s">
        <v>285</v>
      </c>
      <c r="B254" s="10" t="s">
        <v>485</v>
      </c>
      <c r="C254" s="10">
        <v>0.12966768182326782</v>
      </c>
      <c r="D254" s="10">
        <v>0.12966768182326782</v>
      </c>
      <c r="E254" s="10">
        <v>6.4833840911633911E-2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</row>
    <row r="255" spans="1:10" ht="14.45" hidden="1" customHeight="1">
      <c r="A255" s="57" t="s">
        <v>285</v>
      </c>
      <c r="B255" s="10" t="s">
        <v>142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</row>
    <row r="256" spans="1:10" ht="14.45" hidden="1" customHeight="1">
      <c r="A256" s="58" t="s">
        <v>285</v>
      </c>
      <c r="B256" s="58" t="s">
        <v>243</v>
      </c>
      <c r="C256" s="58">
        <v>0.16929999999999998</v>
      </c>
      <c r="D256" s="58">
        <v>0.15239999999999998</v>
      </c>
      <c r="E256" s="58">
        <v>0.1182</v>
      </c>
      <c r="F256" s="58">
        <v>7.1000000000000008E-2</v>
      </c>
      <c r="G256" s="58">
        <v>3.5499999999999997E-2</v>
      </c>
      <c r="H256" s="58">
        <v>1.4200000000000001E-2</v>
      </c>
      <c r="I256" s="58">
        <v>2.8999999999999998E-3</v>
      </c>
      <c r="J256" s="58">
        <v>0</v>
      </c>
    </row>
    <row r="257" spans="1:10" ht="14.45" hidden="1" customHeight="1">
      <c r="A257" s="74" t="s">
        <v>285</v>
      </c>
      <c r="B257" s="58" t="s">
        <v>244</v>
      </c>
      <c r="C257" s="58">
        <v>8.3600000000000008E-2</v>
      </c>
      <c r="D257" s="58">
        <v>7.5300000000000006E-2</v>
      </c>
      <c r="E257" s="58">
        <v>5.8400000000000001E-2</v>
      </c>
      <c r="F257" s="58">
        <v>3.5100000000000006E-2</v>
      </c>
      <c r="G257" s="58">
        <v>1.7600000000000001E-2</v>
      </c>
      <c r="H257" s="58">
        <v>7.1000000000000004E-3</v>
      </c>
      <c r="I257" s="58">
        <v>1.5E-3</v>
      </c>
      <c r="J257" s="58">
        <v>0</v>
      </c>
    </row>
    <row r="258" spans="1:10" ht="14.45" hidden="1" customHeight="1">
      <c r="A258" s="58" t="s">
        <v>285</v>
      </c>
      <c r="B258" s="58" t="s">
        <v>245</v>
      </c>
      <c r="C258" s="58">
        <v>4.0000000000000001E-3</v>
      </c>
      <c r="D258" s="58">
        <v>3.5999999999999999E-3</v>
      </c>
      <c r="E258" s="58">
        <v>2.8E-3</v>
      </c>
      <c r="F258" s="58">
        <v>1.7000000000000001E-3</v>
      </c>
      <c r="G258" s="58">
        <v>9.0000000000000008E-4</v>
      </c>
      <c r="H258" s="58">
        <v>0</v>
      </c>
      <c r="I258" s="58">
        <v>0</v>
      </c>
      <c r="J258" s="58">
        <v>0</v>
      </c>
    </row>
    <row r="259" spans="1:10" ht="14.45" hidden="1" customHeight="1">
      <c r="A259" s="58" t="s">
        <v>285</v>
      </c>
      <c r="B259" s="58" t="s">
        <v>217</v>
      </c>
      <c r="C259" s="58">
        <v>9.1300000000000006E-2</v>
      </c>
      <c r="D259" s="58">
        <v>8.2200000000000009E-2</v>
      </c>
      <c r="E259" s="58">
        <v>6.3800000000000009E-2</v>
      </c>
      <c r="F259" s="58">
        <v>3.8300000000000001E-2</v>
      </c>
      <c r="G259" s="58">
        <v>1.9199999999999998E-2</v>
      </c>
      <c r="H259" s="58">
        <v>7.7000000000000002E-3</v>
      </c>
      <c r="I259" s="58">
        <v>1.6000000000000001E-3</v>
      </c>
      <c r="J259" s="58">
        <v>0</v>
      </c>
    </row>
    <row r="260" spans="1:10" ht="14.45" hidden="1" customHeight="1">
      <c r="A260" s="58" t="s">
        <v>285</v>
      </c>
      <c r="B260" s="58" t="s">
        <v>237</v>
      </c>
      <c r="C260" s="58">
        <v>1.1099999999999999E-2</v>
      </c>
      <c r="D260" s="58">
        <v>0.01</v>
      </c>
      <c r="E260" s="58">
        <v>7.8000000000000005E-3</v>
      </c>
      <c r="F260" s="58">
        <v>4.7000000000000002E-3</v>
      </c>
      <c r="G260" s="58">
        <v>2.3999999999999998E-3</v>
      </c>
      <c r="H260" s="58">
        <v>1E-3</v>
      </c>
      <c r="I260" s="58">
        <v>0</v>
      </c>
      <c r="J260" s="58">
        <v>0</v>
      </c>
    </row>
    <row r="261" spans="1:10" ht="14.45" hidden="1" customHeight="1">
      <c r="A261" s="58" t="s">
        <v>285</v>
      </c>
      <c r="B261" s="58" t="s">
        <v>226</v>
      </c>
      <c r="C261" s="58">
        <v>1.7527999999999999</v>
      </c>
      <c r="D261" s="58">
        <v>1.5775999999999999</v>
      </c>
      <c r="E261" s="58">
        <v>1.2226999999999999</v>
      </c>
      <c r="F261" s="58">
        <v>0.73370000000000002</v>
      </c>
      <c r="G261" s="58">
        <v>0.3669</v>
      </c>
      <c r="H261" s="58">
        <v>0.14679999999999999</v>
      </c>
      <c r="I261" s="58">
        <v>2.9399999999999999E-2</v>
      </c>
      <c r="J261" s="58">
        <v>0</v>
      </c>
    </row>
    <row r="262" spans="1:10" ht="14.45" hidden="1" customHeight="1">
      <c r="A262" s="58" t="s">
        <v>285</v>
      </c>
      <c r="B262" s="58" t="s">
        <v>219</v>
      </c>
      <c r="C262" s="58">
        <v>1.9900000000000001E-2</v>
      </c>
      <c r="D262" s="58">
        <v>1.7999999999999999E-2</v>
      </c>
      <c r="E262" s="58">
        <v>1.3999999999999999E-2</v>
      </c>
      <c r="F262" s="58">
        <v>8.3999999999999995E-3</v>
      </c>
      <c r="G262" s="58">
        <v>4.1999999999999997E-3</v>
      </c>
      <c r="H262" s="58">
        <v>1.7000000000000001E-3</v>
      </c>
      <c r="I262" s="58">
        <v>3.9999999999999996E-4</v>
      </c>
      <c r="J262" s="58">
        <v>0</v>
      </c>
    </row>
    <row r="263" spans="1:10" ht="14.45" hidden="1" customHeight="1">
      <c r="A263" s="58" t="s">
        <v>285</v>
      </c>
      <c r="B263" s="58" t="s">
        <v>227</v>
      </c>
      <c r="C263" s="58">
        <v>0.15309999999999999</v>
      </c>
      <c r="D263" s="58">
        <v>0.13779999999999998</v>
      </c>
      <c r="E263" s="58">
        <v>0.10680000000000001</v>
      </c>
      <c r="F263" s="58">
        <v>6.4100000000000004E-2</v>
      </c>
      <c r="G263" s="58">
        <v>3.2100000000000004E-2</v>
      </c>
      <c r="H263" s="58">
        <v>1.29E-2</v>
      </c>
      <c r="I263" s="58">
        <v>2.5999999999999999E-3</v>
      </c>
      <c r="J263" s="58">
        <v>0</v>
      </c>
    </row>
    <row r="264" spans="1:10" ht="14.45" hidden="1" customHeight="1">
      <c r="A264" s="58" t="s">
        <v>285</v>
      </c>
      <c r="B264" s="58" t="s">
        <v>206</v>
      </c>
      <c r="C264" s="58">
        <v>1.3566</v>
      </c>
      <c r="D264" s="58">
        <v>1.2210000000000001</v>
      </c>
      <c r="E264" s="58">
        <v>0.94630000000000003</v>
      </c>
      <c r="F264" s="58">
        <v>0.56779999999999997</v>
      </c>
      <c r="G264" s="58">
        <v>0.28389999999999999</v>
      </c>
      <c r="H264" s="58">
        <v>0.11360000000000001</v>
      </c>
      <c r="I264" s="58">
        <v>2.2800000000000001E-2</v>
      </c>
    </row>
    <row r="265" spans="1:10" ht="14.45" hidden="1" customHeight="1">
      <c r="A265" s="58" t="s">
        <v>285</v>
      </c>
      <c r="B265" s="58" t="s">
        <v>233</v>
      </c>
      <c r="C265" s="58">
        <v>0.3795</v>
      </c>
      <c r="D265" s="58">
        <v>0.34160000000000001</v>
      </c>
      <c r="E265" s="58">
        <v>0.26479999999999998</v>
      </c>
      <c r="F265" s="58">
        <v>0.15889999999999999</v>
      </c>
      <c r="G265" s="58">
        <v>7.9500000000000001E-2</v>
      </c>
      <c r="H265" s="58">
        <v>3.1800000000000002E-2</v>
      </c>
      <c r="I265" s="58">
        <v>6.4000000000000003E-3</v>
      </c>
    </row>
    <row r="266" spans="1:10" ht="14.45" hidden="1" customHeight="1">
      <c r="A266" s="58" t="s">
        <v>285</v>
      </c>
      <c r="B266" s="58" t="s">
        <v>224</v>
      </c>
      <c r="C266" s="58">
        <v>15.9542</v>
      </c>
      <c r="D266" s="58">
        <v>14.3588</v>
      </c>
      <c r="E266" s="58">
        <v>11.1281</v>
      </c>
      <c r="F266" s="58">
        <v>6.6768999999999998</v>
      </c>
      <c r="G266" s="58">
        <v>3.3385000000000002</v>
      </c>
      <c r="H266" s="58">
        <v>1.3353999999999999</v>
      </c>
      <c r="I266" s="58">
        <v>0.2671</v>
      </c>
    </row>
    <row r="267" spans="1:10" ht="14.45" hidden="1" customHeight="1">
      <c r="A267" s="58" t="s">
        <v>285</v>
      </c>
      <c r="B267" s="58" t="s">
        <v>225</v>
      </c>
      <c r="C267" s="58">
        <v>0.40770000000000001</v>
      </c>
      <c r="D267" s="58">
        <v>0.36699999999999999</v>
      </c>
      <c r="E267" s="58">
        <v>0.28449999999999998</v>
      </c>
      <c r="F267" s="58">
        <v>0.17069999999999999</v>
      </c>
      <c r="G267" s="58">
        <v>8.5400000000000004E-2</v>
      </c>
      <c r="H267" s="58">
        <v>3.4200000000000001E-2</v>
      </c>
      <c r="I267" s="58">
        <v>6.8999999999999999E-3</v>
      </c>
    </row>
    <row r="268" spans="1:10" ht="14.45" hidden="1" customHeight="1">
      <c r="A268" s="74" t="s">
        <v>285</v>
      </c>
      <c r="B268" s="58" t="s">
        <v>228</v>
      </c>
      <c r="C268" s="58">
        <v>4.9000000000000002E-2</v>
      </c>
      <c r="D268" s="58">
        <v>4.41E-2</v>
      </c>
      <c r="E268" s="58">
        <v>3.4200000000000001E-2</v>
      </c>
      <c r="F268" s="58">
        <v>2.06E-2</v>
      </c>
      <c r="G268" s="58">
        <v>1.03E-2</v>
      </c>
      <c r="H268" s="58">
        <v>4.2000000000000006E-3</v>
      </c>
      <c r="I268" s="58">
        <v>9.0000000000000008E-4</v>
      </c>
      <c r="J268" s="58">
        <v>0</v>
      </c>
    </row>
    <row r="269" spans="1:10" ht="14.45" hidden="1" customHeight="1">
      <c r="A269" s="58" t="s">
        <v>285</v>
      </c>
      <c r="B269" s="58" t="s">
        <v>230</v>
      </c>
      <c r="C269" s="58">
        <v>5.1962000000000002</v>
      </c>
      <c r="D269" s="58">
        <v>4.6765999999999996</v>
      </c>
      <c r="E269" s="58">
        <v>3.6244000000000001</v>
      </c>
      <c r="F269" s="58">
        <v>2.1747000000000001</v>
      </c>
      <c r="G269" s="58">
        <v>1.0873999999999999</v>
      </c>
      <c r="H269" s="58">
        <v>0.435</v>
      </c>
      <c r="I269" s="58">
        <v>8.6999999999999994E-2</v>
      </c>
      <c r="J269" s="58">
        <v>0</v>
      </c>
    </row>
    <row r="270" spans="1:10" ht="14.45" hidden="1" customHeight="1">
      <c r="A270" s="58" t="s">
        <v>285</v>
      </c>
      <c r="B270" s="58" t="s">
        <v>229</v>
      </c>
      <c r="C270" s="58">
        <v>0.1096</v>
      </c>
      <c r="D270" s="58">
        <v>9.8699999999999996E-2</v>
      </c>
      <c r="E270" s="58">
        <v>7.6499999999999999E-2</v>
      </c>
      <c r="F270" s="58">
        <v>4.5900000000000003E-2</v>
      </c>
      <c r="G270" s="58">
        <v>2.3E-2</v>
      </c>
      <c r="H270" s="58">
        <v>9.1999999999999998E-3</v>
      </c>
      <c r="I270" s="58">
        <v>1.9E-3</v>
      </c>
      <c r="J270" s="58">
        <v>0</v>
      </c>
    </row>
    <row r="271" spans="1:10" ht="14.45" hidden="1" customHeight="1">
      <c r="A271" s="58" t="s">
        <v>285</v>
      </c>
      <c r="B271" s="58" t="s">
        <v>231</v>
      </c>
      <c r="C271" s="58">
        <v>0.1023</v>
      </c>
      <c r="D271" s="58">
        <v>9.2100000000000001E-2</v>
      </c>
      <c r="E271" s="58">
        <v>7.1400000000000005E-2</v>
      </c>
      <c r="F271" s="58">
        <v>4.2900000000000001E-2</v>
      </c>
      <c r="G271" s="58">
        <v>2.1499999999999998E-2</v>
      </c>
      <c r="H271" s="58">
        <v>8.6E-3</v>
      </c>
      <c r="I271" s="58">
        <v>1.8E-3</v>
      </c>
      <c r="J271" s="58">
        <v>0</v>
      </c>
    </row>
    <row r="272" spans="1:10" ht="14.45" hidden="1" customHeight="1">
      <c r="A272" s="58" t="s">
        <v>285</v>
      </c>
      <c r="B272" s="58" t="s">
        <v>240</v>
      </c>
      <c r="C272" s="58">
        <v>1.83E-2</v>
      </c>
      <c r="D272" s="58">
        <v>1.6500000000000001E-2</v>
      </c>
      <c r="E272" s="58">
        <v>1.2799999999999999E-2</v>
      </c>
      <c r="F272" s="58">
        <v>7.7000000000000002E-3</v>
      </c>
      <c r="G272" s="58">
        <v>3.8999999999999998E-3</v>
      </c>
      <c r="H272" s="58">
        <v>1.6000000000000001E-3</v>
      </c>
      <c r="I272" s="58">
        <v>3.9999999999999996E-4</v>
      </c>
      <c r="J272" s="58">
        <v>0</v>
      </c>
    </row>
    <row r="273" spans="1:10" ht="14.45" hidden="1" customHeight="1">
      <c r="A273" s="57" t="s">
        <v>285</v>
      </c>
      <c r="B273" s="10" t="s">
        <v>163</v>
      </c>
      <c r="C273" s="10">
        <v>1.696</v>
      </c>
      <c r="D273" s="10">
        <v>1.696</v>
      </c>
      <c r="E273" s="10">
        <v>1.696</v>
      </c>
      <c r="F273" s="10">
        <v>1.696</v>
      </c>
      <c r="G273" s="10">
        <v>1.696</v>
      </c>
      <c r="H273" s="10">
        <v>1.696</v>
      </c>
      <c r="I273" s="10">
        <v>0.37692439305044506</v>
      </c>
      <c r="J273" s="10">
        <v>2.5394945520181102E-2</v>
      </c>
    </row>
    <row r="274" spans="1:10" ht="14.45" hidden="1" customHeight="1">
      <c r="A274" s="57" t="s">
        <v>285</v>
      </c>
      <c r="B274" s="10" t="s">
        <v>107</v>
      </c>
      <c r="C274" s="10">
        <v>3.6560000000000001</v>
      </c>
      <c r="D274" s="10">
        <v>3.6560000000000001</v>
      </c>
      <c r="E274" s="10">
        <v>3.6560000000000001</v>
      </c>
      <c r="F274" s="10">
        <v>1.6129625816666668</v>
      </c>
      <c r="G274" s="10">
        <v>0.71183595333333349</v>
      </c>
      <c r="H274" s="10">
        <v>0.44142070333333339</v>
      </c>
      <c r="I274" s="10">
        <v>0.22663373333333336</v>
      </c>
      <c r="J274" s="10">
        <v>0</v>
      </c>
    </row>
    <row r="275" spans="1:10" ht="14.45" hidden="1" customHeight="1">
      <c r="A275" s="57" t="s">
        <v>285</v>
      </c>
      <c r="B275" s="10" t="s">
        <v>106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</row>
    <row r="276" spans="1:10" ht="14.45" hidden="1" customHeight="1">
      <c r="A276" s="57" t="s">
        <v>285</v>
      </c>
      <c r="B276" s="10" t="s">
        <v>22</v>
      </c>
      <c r="C276" s="10">
        <v>1.350741</v>
      </c>
      <c r="D276" s="10">
        <v>1.3281793350555897</v>
      </c>
      <c r="E276" s="10">
        <v>1.2599782187840243</v>
      </c>
      <c r="F276" s="10">
        <v>1.2213046634279698</v>
      </c>
      <c r="G276" s="10">
        <v>0.55789010750943901</v>
      </c>
      <c r="H276" s="10">
        <v>0.14643640599218236</v>
      </c>
      <c r="I276" s="10">
        <v>2.7242778630184161E-2</v>
      </c>
      <c r="J276" s="10">
        <v>4.889090400940925E-3</v>
      </c>
    </row>
    <row r="277" spans="1:10" ht="14.45" hidden="1" customHeight="1">
      <c r="A277" s="10" t="s">
        <v>285</v>
      </c>
      <c r="B277" s="10" t="s">
        <v>490</v>
      </c>
      <c r="C277" s="10">
        <v>1.8260000000000001</v>
      </c>
      <c r="D277" s="10">
        <v>1.8260000000000001</v>
      </c>
      <c r="E277" s="10">
        <v>1.8260000000000001</v>
      </c>
      <c r="F277" s="10">
        <v>1.8260000000000001</v>
      </c>
      <c r="G277" s="10">
        <v>1.8260000000000001</v>
      </c>
      <c r="H277" s="10">
        <v>0</v>
      </c>
      <c r="I277" s="10">
        <v>0</v>
      </c>
      <c r="J277" s="10">
        <v>0</v>
      </c>
    </row>
    <row r="278" spans="1:10" ht="14.45" hidden="1" customHeight="1">
      <c r="A278" s="59" t="s">
        <v>285</v>
      </c>
      <c r="B278" s="10" t="s">
        <v>23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</row>
    <row r="279" spans="1:10" ht="14.45" hidden="1" customHeight="1">
      <c r="A279" s="57" t="s">
        <v>285</v>
      </c>
      <c r="B279" s="10" t="s">
        <v>58</v>
      </c>
      <c r="C279" s="10">
        <v>1.0069999999999999</v>
      </c>
      <c r="D279" s="10">
        <v>1.0069999999999999</v>
      </c>
      <c r="E279" s="10">
        <v>0.78200000000000003</v>
      </c>
      <c r="F279" s="10">
        <v>0.25747204625574116</v>
      </c>
      <c r="G279" s="10">
        <v>0.23110589402032169</v>
      </c>
      <c r="H279" s="10">
        <v>0.22524896900623004</v>
      </c>
      <c r="I279" s="10">
        <v>0.22524896900623004</v>
      </c>
      <c r="J279" s="10">
        <v>0</v>
      </c>
    </row>
    <row r="280" spans="1:10" ht="14.45" hidden="1" customHeight="1">
      <c r="A280" s="58" t="s">
        <v>285</v>
      </c>
      <c r="B280" s="58" t="s">
        <v>102</v>
      </c>
      <c r="C280" s="58">
        <v>0</v>
      </c>
      <c r="D280" s="58">
        <v>0</v>
      </c>
      <c r="E280" s="58">
        <v>0</v>
      </c>
      <c r="F280" s="58">
        <v>0</v>
      </c>
      <c r="G280" s="58">
        <v>0</v>
      </c>
      <c r="H280" s="58">
        <v>0</v>
      </c>
      <c r="I280" s="58">
        <v>0</v>
      </c>
      <c r="J280" s="58">
        <v>0</v>
      </c>
    </row>
    <row r="281" spans="1:10" ht="14.45" hidden="1" customHeight="1">
      <c r="A281" s="57" t="s">
        <v>285</v>
      </c>
      <c r="B281" s="10" t="s">
        <v>103</v>
      </c>
      <c r="C281" s="10">
        <v>6.0000000000000001E-3</v>
      </c>
      <c r="D281" s="10">
        <v>6.0000000000000001E-3</v>
      </c>
      <c r="E281" s="10">
        <v>6.0000000000000001E-3</v>
      </c>
      <c r="F281" s="10">
        <v>6.0000000000000001E-3</v>
      </c>
      <c r="G281" s="10">
        <v>6.0000000000000001E-3</v>
      </c>
      <c r="H281" s="10">
        <v>6.0000000000000001E-3</v>
      </c>
      <c r="I281" s="10">
        <v>6.0000000000000001E-3</v>
      </c>
      <c r="J281" s="10">
        <v>6.0000000000000001E-3</v>
      </c>
    </row>
    <row r="282" spans="1:10" ht="14.45" hidden="1" customHeight="1">
      <c r="A282" s="57" t="s">
        <v>285</v>
      </c>
      <c r="B282" s="10" t="s">
        <v>94</v>
      </c>
      <c r="C282" s="10">
        <v>0.95499999999999996</v>
      </c>
      <c r="D282" s="10">
        <v>0.95499999999999996</v>
      </c>
      <c r="E282" s="10">
        <v>0.95499999999999996</v>
      </c>
      <c r="F282" s="10">
        <v>0.95499999999999996</v>
      </c>
      <c r="G282" s="10">
        <v>0.71950000000000003</v>
      </c>
      <c r="H282" s="10">
        <v>0</v>
      </c>
      <c r="I282" s="10">
        <v>0</v>
      </c>
      <c r="J282" s="10">
        <v>0</v>
      </c>
    </row>
    <row r="283" spans="1:10" ht="14.45" hidden="1" customHeight="1">
      <c r="A283" s="57" t="s">
        <v>285</v>
      </c>
      <c r="B283" s="10" t="s">
        <v>170</v>
      </c>
      <c r="C283" s="10">
        <v>1.7</v>
      </c>
      <c r="D283" s="10">
        <v>1.7</v>
      </c>
      <c r="E283" s="10">
        <v>1.7</v>
      </c>
      <c r="F283" s="10">
        <v>1.7</v>
      </c>
      <c r="G283" s="10">
        <v>1.7</v>
      </c>
      <c r="H283" s="10">
        <v>0</v>
      </c>
      <c r="I283" s="10">
        <v>0</v>
      </c>
      <c r="J283" s="10">
        <v>0</v>
      </c>
    </row>
    <row r="284" spans="1:10" ht="14.45" hidden="1" customHeight="1">
      <c r="A284" s="57" t="s">
        <v>285</v>
      </c>
      <c r="B284" s="10" t="s">
        <v>97</v>
      </c>
      <c r="C284" s="10">
        <v>4.423</v>
      </c>
      <c r="D284" s="10">
        <v>4.4000000000000004</v>
      </c>
      <c r="E284" s="10">
        <v>4.4000000000000004</v>
      </c>
      <c r="F284" s="10">
        <v>4.4000000000000004</v>
      </c>
      <c r="G284" s="10">
        <v>4.4000000000000004</v>
      </c>
      <c r="H284" s="10">
        <v>0</v>
      </c>
      <c r="I284" s="10">
        <v>0</v>
      </c>
      <c r="J284" s="10">
        <v>0</v>
      </c>
    </row>
    <row r="285" spans="1:10" ht="14.45" hidden="1" customHeight="1">
      <c r="A285" s="66" t="s">
        <v>308</v>
      </c>
      <c r="B285" s="10" t="s">
        <v>475</v>
      </c>
      <c r="C285" s="10">
        <v>0.14570383572979015</v>
      </c>
      <c r="D285" s="10">
        <v>0.14570383572979015</v>
      </c>
      <c r="E285" s="10">
        <v>7.2851917864895074E-2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</row>
    <row r="286" spans="1:10" ht="14.45" hidden="1" customHeight="1">
      <c r="A286" s="10" t="s">
        <v>308</v>
      </c>
      <c r="B286" s="10" t="s">
        <v>108</v>
      </c>
      <c r="C286" s="10">
        <v>4.86377351890043E-2</v>
      </c>
      <c r="D286" s="10">
        <v>4.86377351890043E-2</v>
      </c>
      <c r="E286" s="10">
        <v>2.431886759450215E-2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</row>
    <row r="287" spans="1:10" ht="14.45" hidden="1" customHeight="1">
      <c r="A287" s="10" t="s">
        <v>308</v>
      </c>
      <c r="B287" s="10" t="s">
        <v>481</v>
      </c>
      <c r="C287" s="10">
        <v>1.0288548118326918E-4</v>
      </c>
      <c r="D287" s="10">
        <v>1.0288548118326918E-4</v>
      </c>
      <c r="E287" s="10">
        <v>1.0353296690500151E-4</v>
      </c>
      <c r="F287" s="10">
        <v>1.0418045262673386E-4</v>
      </c>
      <c r="G287" s="10">
        <v>9.9092833568221981E-5</v>
      </c>
      <c r="H287" s="10">
        <v>9.4005214509710103E-5</v>
      </c>
      <c r="I287" s="10">
        <v>4.7002607254855052E-5</v>
      </c>
      <c r="J287" s="10">
        <v>0</v>
      </c>
    </row>
    <row r="288" spans="1:10" ht="14.45" hidden="1" customHeight="1">
      <c r="A288" s="10" t="s">
        <v>308</v>
      </c>
      <c r="B288" s="10" t="s">
        <v>485</v>
      </c>
      <c r="C288" s="10">
        <v>3.0167039235835091E-2</v>
      </c>
      <c r="D288" s="10">
        <v>3.0167039235835091E-2</v>
      </c>
      <c r="E288" s="10">
        <v>1.5083519617917545E-2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</row>
    <row r="289" spans="1:10" ht="14.45" hidden="1" customHeight="1">
      <c r="A289" s="57" t="s">
        <v>308</v>
      </c>
      <c r="B289" s="10" t="s">
        <v>142</v>
      </c>
      <c r="C289" s="10">
        <v>0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</row>
    <row r="290" spans="1:10" ht="14.45" hidden="1" customHeight="1">
      <c r="A290" s="58" t="s">
        <v>308</v>
      </c>
      <c r="B290" s="58" t="s">
        <v>244</v>
      </c>
      <c r="C290" s="58">
        <v>4.0000000000000001E-3</v>
      </c>
      <c r="D290" s="58">
        <v>3.5999999999999999E-3</v>
      </c>
      <c r="E290" s="58">
        <v>2.8E-3</v>
      </c>
      <c r="F290" s="58">
        <v>1.7000000000000001E-3</v>
      </c>
      <c r="G290" s="58">
        <v>9.0000000000000008E-4</v>
      </c>
      <c r="H290" s="58">
        <v>0</v>
      </c>
      <c r="I290" s="58">
        <v>0</v>
      </c>
      <c r="J290" s="58">
        <v>0</v>
      </c>
    </row>
    <row r="291" spans="1:10" ht="14.45" hidden="1" customHeight="1">
      <c r="A291" s="58" t="s">
        <v>308</v>
      </c>
      <c r="B291" s="58" t="s">
        <v>245</v>
      </c>
      <c r="C291" s="58">
        <v>5.0000000000000001E-4</v>
      </c>
      <c r="D291" s="58">
        <v>0</v>
      </c>
      <c r="E291" s="58">
        <v>0</v>
      </c>
      <c r="F291" s="58">
        <v>0</v>
      </c>
      <c r="G291" s="58">
        <v>0</v>
      </c>
      <c r="H291" s="58">
        <v>0</v>
      </c>
      <c r="I291" s="58">
        <v>0</v>
      </c>
      <c r="J291" s="58">
        <v>0</v>
      </c>
    </row>
    <row r="292" spans="1:10" ht="14.45" hidden="1" customHeight="1">
      <c r="A292" s="74" t="s">
        <v>308</v>
      </c>
      <c r="B292" s="58" t="s">
        <v>217</v>
      </c>
      <c r="C292" s="58">
        <v>4.7100000000000003E-2</v>
      </c>
      <c r="D292" s="58">
        <v>4.24E-2</v>
      </c>
      <c r="E292" s="58">
        <v>3.2900000000000006E-2</v>
      </c>
      <c r="F292" s="58">
        <v>1.9799999999999998E-2</v>
      </c>
      <c r="G292" s="58">
        <v>9.9000000000000008E-3</v>
      </c>
      <c r="H292" s="58">
        <v>4.0000000000000001E-3</v>
      </c>
      <c r="I292" s="58">
        <v>8.0000000000000004E-4</v>
      </c>
      <c r="J292" s="58">
        <v>0</v>
      </c>
    </row>
    <row r="293" spans="1:10" ht="14.45" hidden="1" customHeight="1">
      <c r="A293" s="58" t="s">
        <v>308</v>
      </c>
      <c r="B293" s="58" t="s">
        <v>237</v>
      </c>
      <c r="C293" s="58">
        <v>3.1999999999999997E-3</v>
      </c>
      <c r="D293" s="58">
        <v>2.8999999999999998E-3</v>
      </c>
      <c r="E293" s="58">
        <v>2.3E-3</v>
      </c>
      <c r="F293" s="58">
        <v>1.4E-3</v>
      </c>
      <c r="G293" s="58">
        <v>6.9999999999999999E-4</v>
      </c>
      <c r="H293" s="58">
        <v>0</v>
      </c>
      <c r="I293" s="58">
        <v>0</v>
      </c>
      <c r="J293" s="58">
        <v>0</v>
      </c>
    </row>
    <row r="294" spans="1:10" ht="14.45" hidden="1" customHeight="1">
      <c r="A294" s="58" t="s">
        <v>308</v>
      </c>
      <c r="B294" s="58" t="s">
        <v>226</v>
      </c>
      <c r="C294" s="58">
        <v>0.31559999999999999</v>
      </c>
      <c r="D294" s="58">
        <v>0.28409999999999996</v>
      </c>
      <c r="E294" s="58">
        <v>0.22019999999999998</v>
      </c>
      <c r="F294" s="58">
        <v>0.13219999999999998</v>
      </c>
      <c r="G294" s="58">
        <v>6.6100000000000006E-2</v>
      </c>
      <c r="H294" s="58">
        <v>2.6499999999999999E-2</v>
      </c>
      <c r="I294" s="58">
        <v>5.3E-3</v>
      </c>
      <c r="J294" s="58">
        <v>0</v>
      </c>
    </row>
    <row r="295" spans="1:10" ht="14.45" hidden="1" customHeight="1">
      <c r="A295" s="58" t="s">
        <v>308</v>
      </c>
      <c r="B295" s="58" t="s">
        <v>227</v>
      </c>
      <c r="C295" s="58">
        <v>2.4899999999999999E-2</v>
      </c>
      <c r="D295" s="58">
        <v>2.2499999999999999E-2</v>
      </c>
      <c r="E295" s="58">
        <v>1.7499999999999998E-2</v>
      </c>
      <c r="F295" s="58">
        <v>1.0500000000000001E-2</v>
      </c>
      <c r="G295" s="58">
        <v>5.3E-3</v>
      </c>
      <c r="H295" s="58">
        <v>2.1999999999999997E-3</v>
      </c>
      <c r="I295" s="58">
        <v>5.0000000000000001E-4</v>
      </c>
      <c r="J295" s="58">
        <v>0</v>
      </c>
    </row>
    <row r="296" spans="1:10" ht="14.45" hidden="1" customHeight="1">
      <c r="A296" s="58" t="s">
        <v>308</v>
      </c>
      <c r="B296" s="58" t="s">
        <v>206</v>
      </c>
      <c r="C296" s="58">
        <v>0.50259999999999994</v>
      </c>
      <c r="D296" s="58">
        <v>0.45239999999999997</v>
      </c>
      <c r="E296" s="58">
        <v>0.35070000000000001</v>
      </c>
      <c r="F296" s="58">
        <v>0.21049999999999999</v>
      </c>
      <c r="G296" s="58">
        <v>0.1053</v>
      </c>
      <c r="H296" s="58">
        <v>4.2200000000000001E-2</v>
      </c>
      <c r="I296" s="58">
        <v>8.4999999999999989E-3</v>
      </c>
    </row>
    <row r="297" spans="1:10" ht="14.45" hidden="1" customHeight="1">
      <c r="A297" s="58" t="s">
        <v>308</v>
      </c>
      <c r="B297" s="58" t="s">
        <v>233</v>
      </c>
      <c r="C297" s="58">
        <v>0.1477</v>
      </c>
      <c r="D297" s="58">
        <v>0.13299999999999998</v>
      </c>
      <c r="E297" s="58">
        <v>0.1031</v>
      </c>
      <c r="F297" s="58">
        <v>6.1900000000000004E-2</v>
      </c>
      <c r="G297" s="58">
        <v>3.1E-2</v>
      </c>
      <c r="H297" s="58">
        <v>1.24E-2</v>
      </c>
      <c r="I297" s="58">
        <v>2.4999999999999996E-3</v>
      </c>
    </row>
    <row r="298" spans="1:10" ht="14.45" hidden="1" customHeight="1">
      <c r="A298" s="58" t="s">
        <v>308</v>
      </c>
      <c r="B298" s="58" t="s">
        <v>224</v>
      </c>
      <c r="C298" s="58">
        <v>3.5145000000000004</v>
      </c>
      <c r="D298" s="58">
        <v>3.1631</v>
      </c>
      <c r="E298" s="58">
        <v>2.4515000000000002</v>
      </c>
      <c r="F298" s="58">
        <v>1.4709000000000001</v>
      </c>
      <c r="G298" s="58">
        <v>0.73550000000000004</v>
      </c>
      <c r="H298" s="58">
        <v>0.29420000000000002</v>
      </c>
      <c r="I298" s="58">
        <v>5.8900000000000001E-2</v>
      </c>
    </row>
    <row r="299" spans="1:10" ht="14.45" hidden="1" customHeight="1">
      <c r="A299" s="58" t="s">
        <v>308</v>
      </c>
      <c r="B299" s="58" t="s">
        <v>225</v>
      </c>
      <c r="C299" s="58">
        <v>5.4400000000000004E-2</v>
      </c>
      <c r="D299" s="58">
        <v>4.9000000000000002E-2</v>
      </c>
      <c r="E299" s="58">
        <v>3.8000000000000006E-2</v>
      </c>
      <c r="F299" s="58">
        <v>2.2800000000000001E-2</v>
      </c>
      <c r="G299" s="58">
        <v>1.14E-2</v>
      </c>
      <c r="H299" s="58">
        <v>4.5999999999999999E-3</v>
      </c>
      <c r="I299" s="58">
        <v>1E-3</v>
      </c>
    </row>
    <row r="300" spans="1:10" ht="14.45" hidden="1" customHeight="1">
      <c r="A300" s="58" t="s">
        <v>308</v>
      </c>
      <c r="B300" s="58" t="s">
        <v>228</v>
      </c>
      <c r="C300" s="58">
        <v>4.6000000000000006E-2</v>
      </c>
      <c r="D300" s="58">
        <v>4.1399999999999999E-2</v>
      </c>
      <c r="E300" s="58">
        <v>3.2100000000000004E-2</v>
      </c>
      <c r="F300" s="58">
        <v>1.9299999999999998E-2</v>
      </c>
      <c r="G300" s="58">
        <v>9.6999999999999986E-3</v>
      </c>
      <c r="H300" s="58">
        <v>3.8999999999999998E-3</v>
      </c>
      <c r="I300" s="58">
        <v>8.0000000000000004E-4</v>
      </c>
      <c r="J300" s="58">
        <v>0</v>
      </c>
    </row>
    <row r="301" spans="1:10" ht="14.45" hidden="1" customHeight="1">
      <c r="A301" s="58" t="s">
        <v>308</v>
      </c>
      <c r="B301" s="58" t="s">
        <v>230</v>
      </c>
      <c r="C301" s="58">
        <v>1.1123000000000001</v>
      </c>
      <c r="D301" s="58">
        <v>1.0010999999999999</v>
      </c>
      <c r="E301" s="58">
        <v>0.77590000000000003</v>
      </c>
      <c r="F301" s="58">
        <v>0.46560000000000001</v>
      </c>
      <c r="G301" s="58">
        <v>0.23280000000000001</v>
      </c>
      <c r="H301" s="58">
        <v>9.3200000000000005E-2</v>
      </c>
      <c r="I301" s="58">
        <v>1.8699999999999998E-2</v>
      </c>
      <c r="J301" s="58">
        <v>0</v>
      </c>
    </row>
    <row r="302" spans="1:10" ht="14.45" hidden="1" customHeight="1">
      <c r="A302" s="58" t="s">
        <v>308</v>
      </c>
      <c r="B302" s="58" t="s">
        <v>231</v>
      </c>
      <c r="C302" s="58">
        <v>0.1454</v>
      </c>
      <c r="D302" s="58">
        <v>0.13089999999999999</v>
      </c>
      <c r="E302" s="58">
        <v>0.10150000000000001</v>
      </c>
      <c r="F302" s="58">
        <v>6.0900000000000003E-2</v>
      </c>
      <c r="G302" s="58">
        <v>3.0499999999999999E-2</v>
      </c>
      <c r="H302" s="58">
        <v>1.2200000000000001E-2</v>
      </c>
      <c r="I302" s="58">
        <v>2.4999999999999996E-3</v>
      </c>
      <c r="J302" s="58">
        <v>0</v>
      </c>
    </row>
    <row r="303" spans="1:10" ht="14.45" hidden="1" customHeight="1">
      <c r="A303" s="58" t="s">
        <v>308</v>
      </c>
      <c r="B303" s="58" t="s">
        <v>240</v>
      </c>
      <c r="C303" s="58">
        <v>1.9E-3</v>
      </c>
      <c r="D303" s="58">
        <v>1.8E-3</v>
      </c>
      <c r="E303" s="58">
        <v>1.4E-3</v>
      </c>
      <c r="F303" s="58">
        <v>9.0000000000000008E-4</v>
      </c>
      <c r="G303" s="58">
        <v>0</v>
      </c>
      <c r="H303" s="58">
        <v>0</v>
      </c>
      <c r="I303" s="58">
        <v>0</v>
      </c>
      <c r="J303" s="58">
        <v>0</v>
      </c>
    </row>
    <row r="304" spans="1:10" ht="14.45" hidden="1" customHeight="1">
      <c r="A304" s="57" t="s">
        <v>308</v>
      </c>
      <c r="B304" s="10" t="s">
        <v>163</v>
      </c>
      <c r="C304" s="10">
        <v>0.10100000000000001</v>
      </c>
      <c r="D304" s="10">
        <v>0.10100000000000001</v>
      </c>
      <c r="E304" s="10">
        <v>0.10100000000000001</v>
      </c>
      <c r="F304" s="10">
        <v>5.0500000000000003E-2</v>
      </c>
      <c r="G304" s="10">
        <v>2.5250000000000002E-2</v>
      </c>
      <c r="H304" s="10">
        <v>0</v>
      </c>
      <c r="I304" s="10">
        <v>0</v>
      </c>
      <c r="J304" s="10">
        <v>0</v>
      </c>
    </row>
    <row r="305" spans="1:10" ht="14.45" hidden="1" customHeight="1">
      <c r="A305" s="57" t="s">
        <v>308</v>
      </c>
      <c r="B305" s="10" t="s">
        <v>107</v>
      </c>
      <c r="C305" s="10">
        <v>7.3849999999999998</v>
      </c>
      <c r="D305" s="10">
        <v>4.431</v>
      </c>
      <c r="E305" s="10">
        <v>0.73850000000000005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</row>
    <row r="306" spans="1:10" ht="14.45" hidden="1" customHeight="1">
      <c r="A306" s="57" t="s">
        <v>308</v>
      </c>
      <c r="B306" s="10" t="s">
        <v>106</v>
      </c>
      <c r="C306" s="10">
        <v>0</v>
      </c>
      <c r="D306" s="10">
        <v>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</row>
    <row r="307" spans="1:10" ht="14.45" hidden="1" customHeight="1">
      <c r="A307" s="57" t="s">
        <v>308</v>
      </c>
      <c r="B307" s="10" t="s">
        <v>22</v>
      </c>
      <c r="C307" s="10">
        <v>0.15</v>
      </c>
      <c r="D307" s="10">
        <v>0.15</v>
      </c>
      <c r="E307" s="10">
        <v>0.15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</row>
    <row r="308" spans="1:10" ht="14.45" hidden="1" customHeight="1">
      <c r="A308" s="10" t="s">
        <v>308</v>
      </c>
      <c r="B308" s="10" t="s">
        <v>488</v>
      </c>
      <c r="C308" s="10">
        <v>0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</row>
    <row r="309" spans="1:10" ht="14.45" hidden="1" customHeight="1">
      <c r="A309" s="10" t="s">
        <v>308</v>
      </c>
      <c r="B309" s="10" t="s">
        <v>490</v>
      </c>
      <c r="C309" s="10">
        <v>0.25</v>
      </c>
      <c r="D309" s="10">
        <v>0.25</v>
      </c>
      <c r="E309" s="10">
        <v>0.23137350178166505</v>
      </c>
      <c r="F309" s="10">
        <v>0.21274700356333009</v>
      </c>
      <c r="G309" s="10">
        <v>0.16557337220602528</v>
      </c>
      <c r="H309" s="10">
        <v>0.11839974084872043</v>
      </c>
      <c r="I309" s="10">
        <v>5.9199870424360215E-2</v>
      </c>
      <c r="J309" s="10">
        <v>0</v>
      </c>
    </row>
    <row r="310" spans="1:10" ht="14.45" hidden="1" customHeight="1">
      <c r="A310" s="57" t="s">
        <v>308</v>
      </c>
      <c r="B310" s="10" t="s">
        <v>23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</row>
    <row r="311" spans="1:10" ht="14.45" hidden="1" customHeight="1">
      <c r="A311" s="57" t="s">
        <v>308</v>
      </c>
      <c r="B311" s="10" t="s">
        <v>58</v>
      </c>
      <c r="C311" s="10">
        <v>2</v>
      </c>
      <c r="D311" s="10">
        <v>1.2</v>
      </c>
      <c r="E311" s="10">
        <v>0.2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</row>
    <row r="312" spans="1:10" ht="14.45" hidden="1" customHeight="1">
      <c r="A312" s="58" t="s">
        <v>308</v>
      </c>
      <c r="B312" s="58" t="s">
        <v>102</v>
      </c>
      <c r="C312" s="58">
        <v>0</v>
      </c>
      <c r="D312" s="58">
        <v>0</v>
      </c>
      <c r="E312" s="58">
        <v>0</v>
      </c>
      <c r="F312" s="58">
        <v>0</v>
      </c>
      <c r="G312" s="58">
        <v>0</v>
      </c>
      <c r="H312" s="58">
        <v>0</v>
      </c>
      <c r="I312" s="58">
        <v>0</v>
      </c>
      <c r="J312" s="58">
        <v>0</v>
      </c>
    </row>
    <row r="313" spans="1:10" ht="14.45" hidden="1" customHeight="1">
      <c r="A313" s="57" t="s">
        <v>308</v>
      </c>
      <c r="B313" s="10" t="s">
        <v>103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</row>
    <row r="314" spans="1:10" ht="14.45" hidden="1" customHeight="1">
      <c r="A314" s="57" t="s">
        <v>308</v>
      </c>
      <c r="B314" s="10" t="s">
        <v>94</v>
      </c>
      <c r="C314" s="10">
        <v>0</v>
      </c>
      <c r="D314" s="10">
        <v>0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</row>
    <row r="315" spans="1:10" ht="14.45" hidden="1" customHeight="1">
      <c r="A315" s="57" t="s">
        <v>308</v>
      </c>
      <c r="B315" s="10" t="s">
        <v>170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</row>
    <row r="316" spans="1:10" ht="14.45" hidden="1" customHeight="1">
      <c r="A316" s="57" t="s">
        <v>308</v>
      </c>
      <c r="B316" s="10" t="s">
        <v>97</v>
      </c>
      <c r="C316" s="10">
        <v>0.4</v>
      </c>
      <c r="D316" s="10">
        <v>0.4</v>
      </c>
      <c r="E316" s="10">
        <v>0.4</v>
      </c>
      <c r="F316" s="10">
        <v>0.34753067002201954</v>
      </c>
      <c r="G316" s="10">
        <v>0.15870818915801613</v>
      </c>
      <c r="H316" s="10">
        <v>0</v>
      </c>
      <c r="I316" s="10">
        <v>0</v>
      </c>
      <c r="J316" s="10">
        <v>0</v>
      </c>
    </row>
    <row r="317" spans="1:10" ht="14.45" hidden="1" customHeight="1">
      <c r="A317" s="61" t="s">
        <v>308</v>
      </c>
      <c r="B317" s="62" t="s">
        <v>339</v>
      </c>
      <c r="C317" s="10">
        <v>0</v>
      </c>
      <c r="D317" s="10">
        <v>4.5</v>
      </c>
      <c r="E317" s="10">
        <v>4.5</v>
      </c>
      <c r="F317" s="10">
        <v>4.5</v>
      </c>
      <c r="G317" s="10">
        <v>4.5</v>
      </c>
      <c r="H317" s="10">
        <v>4.5</v>
      </c>
      <c r="I317" s="10">
        <v>4.5</v>
      </c>
      <c r="J317" s="10">
        <v>4.5</v>
      </c>
    </row>
    <row r="318" spans="1:10" ht="14.45" hidden="1" customHeight="1">
      <c r="A318" s="10" t="s">
        <v>286</v>
      </c>
      <c r="B318" s="10" t="s">
        <v>475</v>
      </c>
      <c r="C318" s="10">
        <v>0.42088243664816954</v>
      </c>
      <c r="D318" s="10">
        <v>0.42088243664816954</v>
      </c>
      <c r="E318" s="10">
        <v>0.36908152136839484</v>
      </c>
      <c r="F318" s="10">
        <v>0.31728060608862013</v>
      </c>
      <c r="G318" s="10">
        <v>0.15864030304431007</v>
      </c>
      <c r="H318" s="10">
        <v>0</v>
      </c>
      <c r="I318" s="10">
        <v>0</v>
      </c>
      <c r="J318" s="10">
        <v>0</v>
      </c>
    </row>
    <row r="319" spans="1:10" ht="14.45" hidden="1" customHeight="1">
      <c r="A319" s="10" t="s">
        <v>286</v>
      </c>
      <c r="B319" s="10" t="s">
        <v>108</v>
      </c>
      <c r="C319" s="10">
        <v>0.1063162082422778</v>
      </c>
      <c r="D319" s="10">
        <v>0.1063162082422778</v>
      </c>
      <c r="E319" s="10">
        <v>7.3118657052001351E-2</v>
      </c>
      <c r="F319" s="10">
        <v>3.9921105861724863E-2</v>
      </c>
      <c r="G319" s="10">
        <v>1.9960552930862432E-2</v>
      </c>
      <c r="H319" s="10">
        <v>0</v>
      </c>
      <c r="I319" s="10">
        <v>0</v>
      </c>
      <c r="J319" s="10">
        <v>0</v>
      </c>
    </row>
    <row r="320" spans="1:10" ht="14.45" hidden="1" customHeight="1">
      <c r="A320" s="10" t="s">
        <v>286</v>
      </c>
      <c r="B320" s="10" t="s">
        <v>481</v>
      </c>
      <c r="C320" s="10">
        <v>3.8474065410688447</v>
      </c>
      <c r="D320" s="10">
        <v>3.8474065410688447</v>
      </c>
      <c r="E320" s="10">
        <v>3.8716192946312664</v>
      </c>
      <c r="F320" s="10">
        <v>3.8958320481936886</v>
      </c>
      <c r="G320" s="10">
        <v>3.7055803370769582</v>
      </c>
      <c r="H320" s="10">
        <v>3.5153286259602279</v>
      </c>
      <c r="I320" s="10">
        <v>1.7576643129801139</v>
      </c>
      <c r="J320" s="10">
        <v>0</v>
      </c>
    </row>
    <row r="321" spans="1:10" ht="14.45" hidden="1" customHeight="1">
      <c r="A321" s="10" t="s">
        <v>286</v>
      </c>
      <c r="B321" s="10" t="s">
        <v>485</v>
      </c>
      <c r="C321" s="10">
        <v>0.33997779285760349</v>
      </c>
      <c r="D321" s="10">
        <v>0.33997779285760349</v>
      </c>
      <c r="E321" s="10">
        <v>0.16998889642880174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</row>
    <row r="322" spans="1:10" ht="14.45" hidden="1" customHeight="1">
      <c r="A322" s="57" t="s">
        <v>286</v>
      </c>
      <c r="B322" s="10" t="s">
        <v>142</v>
      </c>
      <c r="C322" s="10">
        <v>11.09</v>
      </c>
      <c r="D322" s="10">
        <v>11.09</v>
      </c>
      <c r="E322" s="10">
        <v>11.09</v>
      </c>
      <c r="F322" s="10">
        <v>11.09</v>
      </c>
      <c r="G322" s="10">
        <v>11.09</v>
      </c>
      <c r="H322" s="10">
        <v>11.09</v>
      </c>
      <c r="I322" s="10">
        <v>11.09</v>
      </c>
      <c r="J322" s="10">
        <v>11.09</v>
      </c>
    </row>
    <row r="323" spans="1:10" ht="14.45" hidden="1" customHeight="1">
      <c r="A323" s="58" t="s">
        <v>286</v>
      </c>
      <c r="B323" s="58" t="s">
        <v>243</v>
      </c>
      <c r="C323" s="58">
        <v>9.373899999999999</v>
      </c>
      <c r="D323" s="58">
        <v>8.4366000000000003</v>
      </c>
      <c r="E323" s="58">
        <v>6.5383999999999993</v>
      </c>
      <c r="F323" s="58">
        <v>3.9231000000000003</v>
      </c>
      <c r="G323" s="58">
        <v>1.9616</v>
      </c>
      <c r="H323" s="58">
        <v>0.78469999999999995</v>
      </c>
      <c r="I323" s="58">
        <v>0.157</v>
      </c>
      <c r="J323" s="58">
        <v>0</v>
      </c>
    </row>
    <row r="324" spans="1:10" ht="14.45" hidden="1" customHeight="1">
      <c r="A324" s="58" t="s">
        <v>286</v>
      </c>
      <c r="B324" s="58" t="s">
        <v>244</v>
      </c>
      <c r="C324" s="58">
        <v>1.8063</v>
      </c>
      <c r="D324" s="58">
        <v>1.6256999999999999</v>
      </c>
      <c r="E324" s="58">
        <v>1.26</v>
      </c>
      <c r="F324" s="58">
        <v>0.75600000000000001</v>
      </c>
      <c r="G324" s="58">
        <v>0.378</v>
      </c>
      <c r="H324" s="58">
        <v>0.1512</v>
      </c>
      <c r="I324" s="58">
        <v>3.0300000000000001E-2</v>
      </c>
      <c r="J324" s="58">
        <v>0</v>
      </c>
    </row>
    <row r="325" spans="1:10" ht="14.45" hidden="1" customHeight="1">
      <c r="A325" s="58" t="s">
        <v>286</v>
      </c>
      <c r="B325" s="58" t="s">
        <v>245</v>
      </c>
      <c r="C325" s="58">
        <v>1.8832</v>
      </c>
      <c r="D325" s="58">
        <v>1.6949000000000001</v>
      </c>
      <c r="E325" s="58">
        <v>1.3135999999999999</v>
      </c>
      <c r="F325" s="58">
        <v>0.78820000000000001</v>
      </c>
      <c r="G325" s="58">
        <v>0.39410000000000001</v>
      </c>
      <c r="H325" s="58">
        <v>0.15769999999999998</v>
      </c>
      <c r="I325" s="58">
        <v>3.1600000000000003E-2</v>
      </c>
      <c r="J325" s="58">
        <v>0</v>
      </c>
    </row>
    <row r="326" spans="1:10" ht="14.45" hidden="1" customHeight="1">
      <c r="A326" s="58" t="s">
        <v>286</v>
      </c>
      <c r="B326" s="58" t="s">
        <v>217</v>
      </c>
      <c r="C326" s="58">
        <v>1.8010999999999999</v>
      </c>
      <c r="D326" s="58">
        <v>1.621</v>
      </c>
      <c r="E326" s="58">
        <v>1.2563</v>
      </c>
      <c r="F326" s="58">
        <v>0.75380000000000003</v>
      </c>
      <c r="G326" s="58">
        <v>0.37690000000000001</v>
      </c>
      <c r="H326" s="58">
        <v>0.15079999999999999</v>
      </c>
      <c r="I326" s="58">
        <v>3.0199999999999998E-2</v>
      </c>
      <c r="J326" s="58">
        <v>0</v>
      </c>
    </row>
    <row r="327" spans="1:10" ht="14.45" hidden="1" customHeight="1">
      <c r="A327" s="58" t="s">
        <v>286</v>
      </c>
      <c r="B327" s="58" t="s">
        <v>237</v>
      </c>
      <c r="C327" s="58">
        <v>0.59109999999999996</v>
      </c>
      <c r="D327" s="58">
        <v>0.53200000000000003</v>
      </c>
      <c r="E327" s="58">
        <v>0.4123</v>
      </c>
      <c r="F327" s="58">
        <v>0.24739999999999998</v>
      </c>
      <c r="G327" s="58">
        <v>0.1237</v>
      </c>
      <c r="H327" s="58">
        <v>4.9500000000000002E-2</v>
      </c>
      <c r="I327" s="58">
        <v>9.9000000000000008E-3</v>
      </c>
      <c r="J327" s="58">
        <v>0</v>
      </c>
    </row>
    <row r="328" spans="1:10" ht="14.45" hidden="1" customHeight="1">
      <c r="A328" s="58" t="s">
        <v>286</v>
      </c>
      <c r="B328" s="58" t="s">
        <v>226</v>
      </c>
      <c r="C328" s="58">
        <v>15.7941</v>
      </c>
      <c r="D328" s="58">
        <v>14.214700000000001</v>
      </c>
      <c r="E328" s="58">
        <v>11.016399999999999</v>
      </c>
      <c r="F328" s="58">
        <v>6.6098999999999997</v>
      </c>
      <c r="G328" s="58">
        <v>3.3050000000000002</v>
      </c>
      <c r="H328" s="58">
        <v>1.3220000000000001</v>
      </c>
      <c r="I328" s="58">
        <v>0.26440000000000002</v>
      </c>
      <c r="J328" s="58">
        <v>0</v>
      </c>
    </row>
    <row r="329" spans="1:10" ht="14.45" hidden="1" customHeight="1">
      <c r="A329" s="58" t="s">
        <v>286</v>
      </c>
      <c r="B329" s="58" t="s">
        <v>219</v>
      </c>
      <c r="C329" s="58">
        <v>2.0199999999999999E-2</v>
      </c>
      <c r="D329" s="58">
        <v>1.8200000000000001E-2</v>
      </c>
      <c r="E329" s="58">
        <v>1.4199999999999999E-2</v>
      </c>
      <c r="F329" s="58">
        <v>8.6E-3</v>
      </c>
      <c r="G329" s="58">
        <v>4.3E-3</v>
      </c>
      <c r="H329" s="58">
        <v>1.8E-3</v>
      </c>
      <c r="I329" s="58">
        <v>3.9999999999999996E-4</v>
      </c>
      <c r="J329" s="58">
        <v>0</v>
      </c>
    </row>
    <row r="330" spans="1:10" ht="14.45" hidden="1" customHeight="1">
      <c r="A330" s="58" t="s">
        <v>286</v>
      </c>
      <c r="B330" s="58" t="s">
        <v>227</v>
      </c>
      <c r="C330" s="58">
        <v>1.7113</v>
      </c>
      <c r="D330" s="58">
        <v>1.5402</v>
      </c>
      <c r="E330" s="58">
        <v>1.1937</v>
      </c>
      <c r="F330" s="58">
        <v>0.71629999999999994</v>
      </c>
      <c r="G330" s="58">
        <v>0.35819999999999996</v>
      </c>
      <c r="H330" s="58">
        <v>0.14329999999999998</v>
      </c>
      <c r="I330" s="58">
        <v>2.87E-2</v>
      </c>
      <c r="J330" s="58">
        <v>0</v>
      </c>
    </row>
    <row r="331" spans="1:10" ht="14.45" hidden="1" customHeight="1">
      <c r="A331" s="58" t="s">
        <v>286</v>
      </c>
      <c r="B331" s="58" t="s">
        <v>206</v>
      </c>
      <c r="C331" s="58">
        <v>5.9816000000000003</v>
      </c>
      <c r="D331" s="58">
        <v>5.3834999999999997</v>
      </c>
      <c r="E331" s="58">
        <v>4.1722999999999999</v>
      </c>
      <c r="F331" s="58">
        <v>2.5034000000000001</v>
      </c>
      <c r="G331" s="58">
        <v>1.2517</v>
      </c>
      <c r="H331" s="58">
        <v>0.50070000000000003</v>
      </c>
      <c r="I331" s="58">
        <v>0.1002</v>
      </c>
    </row>
    <row r="332" spans="1:10" ht="14.45" hidden="1" customHeight="1">
      <c r="A332" s="58" t="s">
        <v>286</v>
      </c>
      <c r="B332" s="58" t="s">
        <v>233</v>
      </c>
      <c r="C332" s="58">
        <v>5.7199</v>
      </c>
      <c r="D332" s="58">
        <v>5.1479999999999997</v>
      </c>
      <c r="E332" s="58">
        <v>3.9897</v>
      </c>
      <c r="F332" s="58">
        <v>2.3939000000000004</v>
      </c>
      <c r="G332" s="58">
        <v>1.1970000000000001</v>
      </c>
      <c r="H332" s="58">
        <v>0.4788</v>
      </c>
      <c r="I332" s="58">
        <v>9.5799999999999996E-2</v>
      </c>
    </row>
    <row r="333" spans="1:10" ht="14.45" hidden="1" customHeight="1">
      <c r="A333" s="58" t="s">
        <v>286</v>
      </c>
      <c r="B333" s="58" t="s">
        <v>224</v>
      </c>
      <c r="C333" s="58">
        <v>45.367800000000003</v>
      </c>
      <c r="D333" s="58">
        <v>40.831100000000006</v>
      </c>
      <c r="E333" s="58">
        <v>31.644200000000001</v>
      </c>
      <c r="F333" s="58">
        <v>18.986599999999999</v>
      </c>
      <c r="G333" s="58">
        <v>9.4932999999999996</v>
      </c>
      <c r="H333" s="58">
        <v>3.7974000000000001</v>
      </c>
      <c r="I333" s="58">
        <v>0.75949999999999995</v>
      </c>
    </row>
    <row r="334" spans="1:10" ht="14.45" hidden="1" customHeight="1">
      <c r="A334" s="58" t="s">
        <v>286</v>
      </c>
      <c r="B334" s="58" t="s">
        <v>225</v>
      </c>
      <c r="C334" s="58">
        <v>5.7122999999999999</v>
      </c>
      <c r="D334" s="58">
        <v>5.1410999999999998</v>
      </c>
      <c r="E334" s="58">
        <v>3.9844000000000004</v>
      </c>
      <c r="F334" s="58">
        <v>2.3907000000000003</v>
      </c>
      <c r="G334" s="58">
        <v>1.1954</v>
      </c>
      <c r="H334" s="58">
        <v>0.47820000000000001</v>
      </c>
      <c r="I334" s="58">
        <v>9.5700000000000007E-2</v>
      </c>
    </row>
    <row r="335" spans="1:10" ht="14.45" hidden="1" customHeight="1">
      <c r="A335" s="58" t="s">
        <v>286</v>
      </c>
      <c r="B335" s="58" t="s">
        <v>228</v>
      </c>
      <c r="C335" s="58">
        <v>0.5746</v>
      </c>
      <c r="D335" s="58">
        <v>0.51719999999999999</v>
      </c>
      <c r="E335" s="58">
        <v>0.40089999999999998</v>
      </c>
      <c r="F335" s="58">
        <v>0.24059999999999998</v>
      </c>
      <c r="G335" s="58">
        <v>0.1203</v>
      </c>
      <c r="H335" s="58">
        <v>4.82E-2</v>
      </c>
      <c r="I335" s="58">
        <v>9.6999999999999986E-3</v>
      </c>
      <c r="J335" s="58">
        <v>0</v>
      </c>
    </row>
    <row r="336" spans="1:10" ht="14.45" hidden="1" customHeight="1">
      <c r="A336" s="58" t="s">
        <v>286</v>
      </c>
      <c r="B336" s="58" t="s">
        <v>230</v>
      </c>
      <c r="C336" s="58">
        <v>62.989600000000003</v>
      </c>
      <c r="D336" s="58">
        <v>56.690700000000007</v>
      </c>
      <c r="E336" s="58">
        <v>43.935300000000005</v>
      </c>
      <c r="F336" s="58">
        <v>26.3612</v>
      </c>
      <c r="G336" s="58">
        <v>13.1806</v>
      </c>
      <c r="H336" s="58">
        <v>5.2722999999999995</v>
      </c>
      <c r="I336" s="58">
        <v>1.0545</v>
      </c>
      <c r="J336" s="58">
        <v>0</v>
      </c>
    </row>
    <row r="337" spans="1:10" ht="14.45" hidden="1" customHeight="1">
      <c r="A337" s="58" t="s">
        <v>286</v>
      </c>
      <c r="B337" s="58" t="s">
        <v>229</v>
      </c>
      <c r="C337" s="58">
        <v>1.4201999999999999</v>
      </c>
      <c r="D337" s="58">
        <v>1.2782</v>
      </c>
      <c r="E337" s="58">
        <v>0.99070000000000003</v>
      </c>
      <c r="F337" s="58">
        <v>0.59450000000000003</v>
      </c>
      <c r="G337" s="58">
        <v>0.29730000000000001</v>
      </c>
      <c r="H337" s="58">
        <v>0.11900000000000001</v>
      </c>
      <c r="I337" s="58">
        <v>2.3800000000000002E-2</v>
      </c>
      <c r="J337" s="58">
        <v>0</v>
      </c>
    </row>
    <row r="338" spans="1:10" ht="14.45" hidden="1" customHeight="1">
      <c r="A338" s="58" t="s">
        <v>286</v>
      </c>
      <c r="B338" s="58" t="s">
        <v>231</v>
      </c>
      <c r="C338" s="58">
        <v>1.6118999999999999</v>
      </c>
      <c r="D338" s="58">
        <v>1.4508000000000001</v>
      </c>
      <c r="E338" s="58">
        <v>1.1244000000000001</v>
      </c>
      <c r="F338" s="58">
        <v>0.67469999999999997</v>
      </c>
      <c r="G338" s="58">
        <v>0.33739999999999998</v>
      </c>
      <c r="H338" s="58">
        <v>0.13499999999999998</v>
      </c>
      <c r="I338" s="58">
        <v>2.7E-2</v>
      </c>
      <c r="J338" s="58">
        <v>0</v>
      </c>
    </row>
    <row r="339" spans="1:10" ht="14.45" hidden="1" customHeight="1">
      <c r="A339" s="58" t="s">
        <v>286</v>
      </c>
      <c r="B339" s="58" t="s">
        <v>240</v>
      </c>
      <c r="C339" s="58">
        <v>0.16419999999999998</v>
      </c>
      <c r="D339" s="58">
        <v>0.14779999999999999</v>
      </c>
      <c r="E339" s="58">
        <v>0.11460000000000001</v>
      </c>
      <c r="F339" s="58">
        <v>6.88E-2</v>
      </c>
      <c r="G339" s="58">
        <v>3.44E-2</v>
      </c>
      <c r="H339" s="58">
        <v>1.38E-2</v>
      </c>
      <c r="I339" s="58">
        <v>2.8E-3</v>
      </c>
      <c r="J339" s="58">
        <v>0</v>
      </c>
    </row>
    <row r="340" spans="1:10" ht="14.45" hidden="1" customHeight="1">
      <c r="A340" s="57" t="s">
        <v>286</v>
      </c>
      <c r="B340" s="10" t="s">
        <v>163</v>
      </c>
      <c r="C340" s="10">
        <v>1.43</v>
      </c>
      <c r="D340" s="10">
        <v>1.43</v>
      </c>
      <c r="E340" s="10">
        <v>1.43</v>
      </c>
      <c r="F340" s="10">
        <v>1.43</v>
      </c>
      <c r="G340" s="10">
        <v>0.81596658642486042</v>
      </c>
      <c r="H340" s="10">
        <v>0.75823382734139166</v>
      </c>
      <c r="I340" s="10">
        <v>0.41599057902126241</v>
      </c>
      <c r="J340" s="10">
        <v>0.1586190305472796</v>
      </c>
    </row>
    <row r="341" spans="1:10" ht="14.45" hidden="1" customHeight="1">
      <c r="A341" s="57" t="s">
        <v>286</v>
      </c>
      <c r="B341" s="10" t="s">
        <v>107</v>
      </c>
      <c r="C341" s="10">
        <v>7.4070840000000002</v>
      </c>
      <c r="D341" s="10">
        <v>6.3842422535848726</v>
      </c>
      <c r="E341" s="10">
        <v>5.6428547402571967</v>
      </c>
      <c r="F341" s="10">
        <v>3.9069787836020629</v>
      </c>
      <c r="G341" s="10">
        <v>0.72514941149335255</v>
      </c>
      <c r="H341" s="10">
        <v>0.72514941149335255</v>
      </c>
      <c r="I341" s="10">
        <v>0.56414062710794888</v>
      </c>
      <c r="J341" s="10">
        <v>0</v>
      </c>
    </row>
    <row r="342" spans="1:10" ht="14.45" hidden="1" customHeight="1">
      <c r="A342" s="57" t="s">
        <v>286</v>
      </c>
      <c r="B342" s="10" t="s">
        <v>106</v>
      </c>
      <c r="C342" s="10">
        <v>2.16</v>
      </c>
      <c r="D342" s="10">
        <v>0.70615384615384624</v>
      </c>
      <c r="E342" s="10">
        <v>0.36</v>
      </c>
      <c r="F342" s="10">
        <v>0.36</v>
      </c>
      <c r="G342" s="10">
        <v>0.36</v>
      </c>
      <c r="H342" s="10">
        <v>0</v>
      </c>
      <c r="I342" s="10">
        <v>0</v>
      </c>
      <c r="J342" s="10">
        <v>0</v>
      </c>
    </row>
    <row r="343" spans="1:10" ht="14.45" hidden="1" customHeight="1">
      <c r="A343" s="57" t="s">
        <v>286</v>
      </c>
      <c r="B343" s="10" t="s">
        <v>22</v>
      </c>
      <c r="C343" s="10">
        <v>31.721177924999996</v>
      </c>
      <c r="D343" s="10">
        <v>31.418395336983941</v>
      </c>
      <c r="E343" s="10">
        <v>31.41784398105246</v>
      </c>
      <c r="F343" s="10">
        <v>31.219367542167451</v>
      </c>
      <c r="G343" s="10">
        <v>30.098185100819087</v>
      </c>
      <c r="H343" s="10">
        <v>28.375304446181502</v>
      </c>
      <c r="I343" s="10">
        <v>15.810014605012677</v>
      </c>
      <c r="J343" s="10">
        <v>1.9857091952813646</v>
      </c>
    </row>
    <row r="344" spans="1:10" ht="14.45" hidden="1" customHeight="1">
      <c r="A344" s="10" t="s">
        <v>286</v>
      </c>
      <c r="B344" s="10" t="s">
        <v>488</v>
      </c>
      <c r="C344" s="10">
        <v>26.250145</v>
      </c>
      <c r="D344" s="10">
        <v>26.250145</v>
      </c>
      <c r="E344" s="10">
        <v>21.87551767187697</v>
      </c>
      <c r="F344" s="10">
        <v>17.500890343753937</v>
      </c>
      <c r="G344" s="10">
        <v>17.500890343753937</v>
      </c>
      <c r="H344" s="10">
        <v>17.500890343753937</v>
      </c>
      <c r="I344" s="10">
        <v>8.7504451718769687</v>
      </c>
      <c r="J344" s="10">
        <v>0</v>
      </c>
    </row>
    <row r="345" spans="1:10" ht="14.45" hidden="1" customHeight="1">
      <c r="A345" s="10" t="s">
        <v>286</v>
      </c>
      <c r="B345" s="10" t="s">
        <v>490</v>
      </c>
      <c r="C345" s="10">
        <v>0.246</v>
      </c>
      <c r="D345" s="10">
        <v>0.246</v>
      </c>
      <c r="E345" s="10">
        <v>0.246</v>
      </c>
      <c r="F345" s="10">
        <v>0.246</v>
      </c>
      <c r="G345" s="10">
        <v>0.246</v>
      </c>
      <c r="H345" s="10">
        <v>0.246</v>
      </c>
      <c r="I345" s="10">
        <v>0.123</v>
      </c>
      <c r="J345" s="10">
        <v>0</v>
      </c>
    </row>
    <row r="346" spans="1:10" ht="14.45" hidden="1" customHeight="1">
      <c r="A346" s="57" t="s">
        <v>286</v>
      </c>
      <c r="B346" s="10" t="s">
        <v>23</v>
      </c>
      <c r="C346" s="10">
        <v>7.12</v>
      </c>
      <c r="D346" s="10">
        <v>7.12</v>
      </c>
      <c r="E346" s="10">
        <v>7.12</v>
      </c>
      <c r="F346" s="10">
        <v>3.11917765279154</v>
      </c>
      <c r="G346" s="10">
        <v>0</v>
      </c>
      <c r="H346" s="10">
        <v>0</v>
      </c>
      <c r="I346" s="10">
        <v>0</v>
      </c>
      <c r="J346" s="10">
        <v>0</v>
      </c>
    </row>
    <row r="347" spans="1:10" ht="14.45" hidden="1" customHeight="1">
      <c r="A347" s="57" t="s">
        <v>286</v>
      </c>
      <c r="B347" s="10" t="s">
        <v>58</v>
      </c>
      <c r="C347" s="10">
        <v>2.3876949999999999</v>
      </c>
      <c r="D347" s="10">
        <v>1.7907712499999999</v>
      </c>
      <c r="E347" s="10">
        <v>1.3430784375</v>
      </c>
      <c r="F347" s="10">
        <v>1.007308828125</v>
      </c>
      <c r="G347" s="10">
        <v>0.75548162109375006</v>
      </c>
      <c r="H347" s="10">
        <v>0</v>
      </c>
      <c r="I347" s="10">
        <v>0</v>
      </c>
      <c r="J347" s="10">
        <v>0</v>
      </c>
    </row>
    <row r="348" spans="1:10" ht="14.45" hidden="1" customHeight="1">
      <c r="A348" s="58" t="s">
        <v>286</v>
      </c>
      <c r="B348" s="58" t="s">
        <v>102</v>
      </c>
      <c r="C348" s="58">
        <v>7.49</v>
      </c>
      <c r="D348" s="58">
        <v>7.49</v>
      </c>
      <c r="E348" s="58">
        <v>7.49</v>
      </c>
      <c r="F348" s="58">
        <v>7.49</v>
      </c>
      <c r="G348" s="58">
        <v>7.49</v>
      </c>
      <c r="H348" s="58">
        <v>7.49</v>
      </c>
      <c r="I348" s="58">
        <v>7.49</v>
      </c>
      <c r="J348" s="58">
        <v>7.49</v>
      </c>
    </row>
    <row r="349" spans="1:10" ht="14.45" hidden="1" customHeight="1">
      <c r="A349" s="57" t="s">
        <v>286</v>
      </c>
      <c r="B349" s="10" t="s">
        <v>103</v>
      </c>
      <c r="C349" s="10">
        <v>1.33</v>
      </c>
      <c r="D349" s="10">
        <v>1.33</v>
      </c>
      <c r="E349" s="10">
        <v>1.33</v>
      </c>
      <c r="F349" s="10">
        <v>1.33</v>
      </c>
      <c r="G349" s="10">
        <v>1.33</v>
      </c>
      <c r="H349" s="10">
        <v>1.33</v>
      </c>
      <c r="I349" s="10">
        <v>1.33</v>
      </c>
      <c r="J349" s="10">
        <v>1.33</v>
      </c>
    </row>
    <row r="350" spans="1:10" ht="14.45" hidden="1" customHeight="1">
      <c r="A350" s="57" t="s">
        <v>286</v>
      </c>
      <c r="B350" s="10" t="s">
        <v>94</v>
      </c>
      <c r="C350" s="10">
        <v>5.915</v>
      </c>
      <c r="D350" s="10">
        <v>5.915</v>
      </c>
      <c r="E350" s="10">
        <v>5.915</v>
      </c>
      <c r="F350" s="10">
        <v>5.915</v>
      </c>
      <c r="G350" s="10">
        <v>5.915</v>
      </c>
      <c r="H350" s="10">
        <v>0</v>
      </c>
      <c r="I350" s="10">
        <v>0</v>
      </c>
      <c r="J350" s="10">
        <v>0</v>
      </c>
    </row>
    <row r="351" spans="1:10" ht="14.45" hidden="1" customHeight="1">
      <c r="A351" s="57" t="s">
        <v>286</v>
      </c>
      <c r="B351" s="10" t="s">
        <v>170</v>
      </c>
      <c r="C351" s="10">
        <v>0</v>
      </c>
      <c r="D351" s="10">
        <v>0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</row>
    <row r="352" spans="1:10" ht="14.45" hidden="1" customHeight="1">
      <c r="A352" s="57" t="s">
        <v>286</v>
      </c>
      <c r="B352" s="10" t="s">
        <v>97</v>
      </c>
      <c r="C352" s="10">
        <v>23.1</v>
      </c>
      <c r="D352" s="10">
        <v>23.1</v>
      </c>
      <c r="E352" s="10">
        <v>23.1</v>
      </c>
      <c r="F352" s="10">
        <v>23.1</v>
      </c>
      <c r="G352" s="10">
        <v>9.4570802951505009</v>
      </c>
      <c r="H352" s="10">
        <v>0</v>
      </c>
      <c r="I352" s="10">
        <v>0</v>
      </c>
      <c r="J352" s="10">
        <v>0</v>
      </c>
    </row>
    <row r="353" spans="1:10" ht="14.45" hidden="1" customHeight="1">
      <c r="A353" s="61" t="s">
        <v>286</v>
      </c>
      <c r="B353" s="62" t="s">
        <v>339</v>
      </c>
      <c r="C353" s="10">
        <v>67.2</v>
      </c>
      <c r="D353" s="10">
        <v>68.900000000000006</v>
      </c>
      <c r="E353" s="10">
        <v>68.900000000000006</v>
      </c>
      <c r="F353" s="10">
        <v>68.900000000000006</v>
      </c>
      <c r="G353" s="10">
        <v>68.900000000000006</v>
      </c>
      <c r="H353" s="10">
        <v>68.900000000000006</v>
      </c>
      <c r="I353" s="10">
        <v>68.900000000000006</v>
      </c>
      <c r="J353" s="10">
        <v>68.900000000000006</v>
      </c>
    </row>
    <row r="354" spans="1:10" ht="14.45" hidden="1" customHeight="1">
      <c r="A354" s="10" t="s">
        <v>287</v>
      </c>
      <c r="B354" s="10" t="s">
        <v>475</v>
      </c>
      <c r="C354" s="10">
        <v>4.0332886425402661</v>
      </c>
      <c r="D354" s="10">
        <v>4.0332886425402661</v>
      </c>
      <c r="E354" s="10">
        <v>2.016644321270133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</row>
    <row r="355" spans="1:10" ht="14.45" hidden="1" customHeight="1">
      <c r="A355" s="10" t="s">
        <v>287</v>
      </c>
      <c r="B355" s="10" t="s">
        <v>108</v>
      </c>
      <c r="C355" s="10">
        <v>1.4708957250909236</v>
      </c>
      <c r="D355" s="10">
        <v>1.4708957250909236</v>
      </c>
      <c r="E355" s="10">
        <v>0.73544786254546179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</row>
    <row r="356" spans="1:10" ht="14.45" hidden="1" customHeight="1">
      <c r="A356" s="10" t="s">
        <v>287</v>
      </c>
      <c r="B356" s="10" t="s">
        <v>481</v>
      </c>
      <c r="C356" s="10">
        <v>1.0252975775348701</v>
      </c>
      <c r="D356" s="10">
        <v>0.6252975775348707</v>
      </c>
      <c r="E356" s="10">
        <v>0.31264878876743535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</row>
    <row r="357" spans="1:10" ht="14.45" hidden="1" customHeight="1">
      <c r="A357" s="10" t="s">
        <v>287</v>
      </c>
      <c r="B357" s="10" t="s">
        <v>485</v>
      </c>
      <c r="C357" s="10">
        <v>3.3394883298029657E-2</v>
      </c>
      <c r="D357" s="10">
        <v>3.3394883298029657E-2</v>
      </c>
      <c r="E357" s="10">
        <v>1.6697441649014828E-2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</row>
    <row r="358" spans="1:10" ht="14.45" hidden="1" customHeight="1">
      <c r="A358" s="57" t="s">
        <v>287</v>
      </c>
      <c r="B358" s="10" t="s">
        <v>142</v>
      </c>
      <c r="C358" s="10">
        <v>0</v>
      </c>
      <c r="D358" s="10">
        <v>0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</row>
    <row r="359" spans="1:10" ht="14.45" hidden="1" customHeight="1">
      <c r="A359" s="58" t="s">
        <v>287</v>
      </c>
      <c r="B359" s="58" t="s">
        <v>243</v>
      </c>
      <c r="C359" s="58">
        <v>4.4449999999999994</v>
      </c>
      <c r="D359" s="58">
        <v>4.0004999999999997</v>
      </c>
      <c r="E359" s="58">
        <v>3.1004</v>
      </c>
      <c r="F359" s="58">
        <v>1.8603000000000001</v>
      </c>
      <c r="G359" s="58">
        <v>0.93020000000000003</v>
      </c>
      <c r="H359" s="58">
        <v>0.37209999999999999</v>
      </c>
      <c r="I359" s="58">
        <v>7.4499999999999997E-2</v>
      </c>
      <c r="J359" s="58">
        <v>0</v>
      </c>
    </row>
    <row r="360" spans="1:10" ht="14.45" hidden="1" customHeight="1">
      <c r="A360" s="58" t="s">
        <v>287</v>
      </c>
      <c r="B360" s="58" t="s">
        <v>244</v>
      </c>
      <c r="C360" s="58">
        <v>5.4600000000000003E-2</v>
      </c>
      <c r="D360" s="58">
        <v>4.9200000000000001E-2</v>
      </c>
      <c r="E360" s="58">
        <v>3.8200000000000005E-2</v>
      </c>
      <c r="F360" s="58">
        <v>2.3E-2</v>
      </c>
      <c r="G360" s="58">
        <v>1.15E-2</v>
      </c>
      <c r="H360" s="58">
        <v>4.5999999999999999E-3</v>
      </c>
      <c r="I360" s="58">
        <v>1E-3</v>
      </c>
      <c r="J360" s="58">
        <v>0</v>
      </c>
    </row>
    <row r="361" spans="1:10" ht="14.45" hidden="1" customHeight="1">
      <c r="A361" s="58" t="s">
        <v>287</v>
      </c>
      <c r="B361" s="58" t="s">
        <v>245</v>
      </c>
      <c r="C361" s="58">
        <v>0.19</v>
      </c>
      <c r="D361" s="58">
        <v>0.17100000000000001</v>
      </c>
      <c r="E361" s="58">
        <v>0.1326</v>
      </c>
      <c r="F361" s="58">
        <v>7.9600000000000004E-2</v>
      </c>
      <c r="G361" s="58">
        <v>3.9800000000000002E-2</v>
      </c>
      <c r="H361" s="58">
        <v>1.6E-2</v>
      </c>
      <c r="I361" s="58">
        <v>3.2000000000000002E-3</v>
      </c>
      <c r="J361" s="58">
        <v>0</v>
      </c>
    </row>
    <row r="362" spans="1:10" ht="14.45" hidden="1" customHeight="1">
      <c r="A362" s="58" t="s">
        <v>287</v>
      </c>
      <c r="B362" s="58" t="s">
        <v>217</v>
      </c>
      <c r="C362" s="58">
        <v>4.4874000000000001</v>
      </c>
      <c r="D362" s="58">
        <v>4.0386999999999995</v>
      </c>
      <c r="E362" s="58">
        <v>3.1300000000000003</v>
      </c>
      <c r="F362" s="58">
        <v>1.8779999999999999</v>
      </c>
      <c r="G362" s="58">
        <v>0.93899999999999995</v>
      </c>
      <c r="H362" s="58">
        <v>0.37559999999999999</v>
      </c>
      <c r="I362" s="58">
        <v>7.5200000000000003E-2</v>
      </c>
      <c r="J362" s="58">
        <v>0</v>
      </c>
    </row>
    <row r="363" spans="1:10" ht="14.45" hidden="1" customHeight="1">
      <c r="A363" s="58" t="s">
        <v>287</v>
      </c>
      <c r="B363" s="58" t="s">
        <v>237</v>
      </c>
      <c r="C363" s="58">
        <v>0.10490000000000001</v>
      </c>
      <c r="D363" s="58">
        <v>9.4500000000000001E-2</v>
      </c>
      <c r="E363" s="58">
        <v>7.3300000000000004E-2</v>
      </c>
      <c r="F363" s="58">
        <v>4.4000000000000004E-2</v>
      </c>
      <c r="G363" s="58">
        <v>2.1999999999999999E-2</v>
      </c>
      <c r="H363" s="58">
        <v>8.8000000000000005E-3</v>
      </c>
      <c r="I363" s="58">
        <v>1.8E-3</v>
      </c>
      <c r="J363" s="58">
        <v>0</v>
      </c>
    </row>
    <row r="364" spans="1:10" ht="14.45" hidden="1" customHeight="1">
      <c r="A364" s="58" t="s">
        <v>287</v>
      </c>
      <c r="B364" s="58" t="s">
        <v>226</v>
      </c>
      <c r="C364" s="58">
        <v>14.1942</v>
      </c>
      <c r="D364" s="58">
        <v>12.774799999999999</v>
      </c>
      <c r="E364" s="58">
        <v>9.9004999999999992</v>
      </c>
      <c r="F364" s="58">
        <v>5.9402999999999997</v>
      </c>
      <c r="G364" s="58">
        <v>2.9702000000000002</v>
      </c>
      <c r="H364" s="58">
        <v>1.1880999999999999</v>
      </c>
      <c r="I364" s="58">
        <v>0.23769999999999999</v>
      </c>
      <c r="J364" s="58">
        <v>0</v>
      </c>
    </row>
    <row r="365" spans="1:10" ht="14.45" hidden="1" customHeight="1">
      <c r="A365" s="58" t="s">
        <v>287</v>
      </c>
      <c r="B365" s="58" t="s">
        <v>219</v>
      </c>
      <c r="C365" s="58">
        <v>5.0300000000000004E-2</v>
      </c>
      <c r="D365" s="58">
        <v>4.53E-2</v>
      </c>
      <c r="E365" s="58">
        <v>3.5200000000000002E-2</v>
      </c>
      <c r="F365" s="58">
        <v>2.12E-2</v>
      </c>
      <c r="G365" s="58">
        <v>1.06E-2</v>
      </c>
      <c r="H365" s="58">
        <v>4.3E-3</v>
      </c>
      <c r="I365" s="58">
        <v>9.0000000000000008E-4</v>
      </c>
      <c r="J365" s="58">
        <v>0</v>
      </c>
    </row>
    <row r="366" spans="1:10" ht="14.45" hidden="1" customHeight="1">
      <c r="A366" s="58" t="s">
        <v>287</v>
      </c>
      <c r="B366" s="58" t="s">
        <v>227</v>
      </c>
      <c r="C366" s="58">
        <v>0.71140000000000003</v>
      </c>
      <c r="D366" s="58">
        <v>0.64029999999999998</v>
      </c>
      <c r="E366" s="58">
        <v>0.49629999999999996</v>
      </c>
      <c r="F366" s="58">
        <v>0.29780000000000001</v>
      </c>
      <c r="G366" s="58">
        <v>0.1489</v>
      </c>
      <c r="H366" s="58">
        <v>5.96E-2</v>
      </c>
      <c r="I366" s="58">
        <v>1.2E-2</v>
      </c>
      <c r="J366" s="58">
        <v>0</v>
      </c>
    </row>
    <row r="367" spans="1:10" ht="14.45" hidden="1" customHeight="1">
      <c r="A367" s="58" t="s">
        <v>287</v>
      </c>
      <c r="B367" s="58" t="s">
        <v>206</v>
      </c>
      <c r="C367" s="58">
        <v>1.7244999999999999</v>
      </c>
      <c r="D367" s="58">
        <v>1.5521</v>
      </c>
      <c r="E367" s="58">
        <v>1.2029000000000001</v>
      </c>
      <c r="F367" s="58">
        <v>0.7218</v>
      </c>
      <c r="G367" s="58">
        <v>0.3609</v>
      </c>
      <c r="H367" s="58">
        <v>0.1444</v>
      </c>
      <c r="I367" s="58">
        <v>2.8899999999999999E-2</v>
      </c>
    </row>
    <row r="368" spans="1:10" ht="14.45" hidden="1" customHeight="1">
      <c r="A368" s="58" t="s">
        <v>287</v>
      </c>
      <c r="B368" s="58" t="s">
        <v>233</v>
      </c>
      <c r="C368" s="58">
        <v>1.9499</v>
      </c>
      <c r="D368" s="58">
        <v>1.7549999999999999</v>
      </c>
      <c r="E368" s="58">
        <v>1.3602000000000001</v>
      </c>
      <c r="F368" s="58">
        <v>0.81620000000000004</v>
      </c>
      <c r="G368" s="58">
        <v>0.40810000000000002</v>
      </c>
      <c r="H368" s="58">
        <v>0.1633</v>
      </c>
      <c r="I368" s="58">
        <v>3.27E-2</v>
      </c>
    </row>
    <row r="369" spans="1:14" ht="14.45" hidden="1" customHeight="1">
      <c r="A369" s="58" t="s">
        <v>287</v>
      </c>
      <c r="B369" s="58" t="s">
        <v>224</v>
      </c>
      <c r="C369" s="58">
        <v>19.473299999999998</v>
      </c>
      <c r="D369" s="58">
        <v>17.526</v>
      </c>
      <c r="E369" s="58">
        <v>13.582699999999999</v>
      </c>
      <c r="F369" s="58">
        <v>8.1496999999999993</v>
      </c>
      <c r="G369" s="58">
        <v>4.0748999999999995</v>
      </c>
      <c r="H369" s="58">
        <v>1.63</v>
      </c>
      <c r="I369" s="58">
        <v>0.32600000000000001</v>
      </c>
    </row>
    <row r="370" spans="1:14" ht="14.45" hidden="1" customHeight="1">
      <c r="A370" s="58" t="s">
        <v>287</v>
      </c>
      <c r="B370" s="58" t="s">
        <v>225</v>
      </c>
      <c r="C370" s="58">
        <v>0.82150000000000001</v>
      </c>
      <c r="D370" s="58">
        <v>0.73939999999999995</v>
      </c>
      <c r="E370" s="58">
        <v>0.57309999999999994</v>
      </c>
      <c r="F370" s="58">
        <v>0.34389999999999998</v>
      </c>
      <c r="G370" s="58">
        <v>0.17199999999999999</v>
      </c>
      <c r="H370" s="58">
        <v>6.88E-2</v>
      </c>
      <c r="I370" s="58">
        <v>1.38E-2</v>
      </c>
    </row>
    <row r="371" spans="1:14" ht="14.45" hidden="1" customHeight="1">
      <c r="A371" s="58" t="s">
        <v>287</v>
      </c>
      <c r="B371" s="58" t="s">
        <v>228</v>
      </c>
      <c r="C371" s="58">
        <v>0.14699999999999999</v>
      </c>
      <c r="D371" s="58">
        <v>0.1323</v>
      </c>
      <c r="E371" s="58">
        <v>0.1026</v>
      </c>
      <c r="F371" s="58">
        <v>6.1600000000000002E-2</v>
      </c>
      <c r="G371" s="58">
        <v>3.0800000000000001E-2</v>
      </c>
      <c r="H371" s="58">
        <v>1.24E-2</v>
      </c>
      <c r="I371" s="58">
        <v>2.4999999999999996E-3</v>
      </c>
      <c r="J371" s="58">
        <v>0</v>
      </c>
    </row>
    <row r="372" spans="1:14" ht="14.45" hidden="1" customHeight="1">
      <c r="A372" s="58" t="s">
        <v>287</v>
      </c>
      <c r="B372" s="58" t="s">
        <v>230</v>
      </c>
      <c r="C372" s="58">
        <v>11.4549</v>
      </c>
      <c r="D372" s="58">
        <v>10.3095</v>
      </c>
      <c r="E372" s="58">
        <v>7.9898999999999996</v>
      </c>
      <c r="F372" s="58">
        <v>4.7939999999999996</v>
      </c>
      <c r="G372" s="58">
        <v>2.3969999999999998</v>
      </c>
      <c r="H372" s="58">
        <v>0.95879999999999999</v>
      </c>
      <c r="I372" s="58">
        <v>0.1918</v>
      </c>
      <c r="J372" s="58">
        <v>0</v>
      </c>
    </row>
    <row r="373" spans="1:14" ht="14.45" hidden="1" customHeight="1">
      <c r="A373" s="58" t="s">
        <v>287</v>
      </c>
      <c r="B373" s="58" t="s">
        <v>229</v>
      </c>
      <c r="C373" s="58">
        <v>1.67E-2</v>
      </c>
      <c r="D373" s="58">
        <v>1.5099999999999999E-2</v>
      </c>
      <c r="E373" s="58">
        <v>1.18E-2</v>
      </c>
      <c r="F373" s="58">
        <v>7.1000000000000004E-3</v>
      </c>
      <c r="G373" s="58">
        <v>3.5999999999999999E-3</v>
      </c>
      <c r="H373" s="58">
        <v>1.5E-3</v>
      </c>
      <c r="I373" s="58">
        <v>2.9999999999999997E-4</v>
      </c>
      <c r="J373" s="58">
        <v>0</v>
      </c>
    </row>
    <row r="374" spans="1:14" ht="14.45" hidden="1" customHeight="1">
      <c r="A374" s="58" t="s">
        <v>287</v>
      </c>
      <c r="B374" s="58" t="s">
        <v>231</v>
      </c>
      <c r="C374" s="58">
        <v>2.4250000000000003</v>
      </c>
      <c r="D374" s="58">
        <v>2.1825000000000001</v>
      </c>
      <c r="E374" s="58">
        <v>1.6915</v>
      </c>
      <c r="F374" s="58">
        <v>1.0148999999999999</v>
      </c>
      <c r="G374" s="58">
        <v>0.50749999999999995</v>
      </c>
      <c r="H374" s="58">
        <v>0.20300000000000001</v>
      </c>
      <c r="I374" s="58">
        <v>4.0599999999999997E-2</v>
      </c>
      <c r="J374" s="58">
        <v>0</v>
      </c>
    </row>
    <row r="375" spans="1:14" ht="14.45" hidden="1" customHeight="1">
      <c r="A375" s="58" t="s">
        <v>287</v>
      </c>
      <c r="B375" s="58" t="s">
        <v>240</v>
      </c>
      <c r="C375" s="58">
        <v>1.6299999999999999E-2</v>
      </c>
      <c r="D375" s="58">
        <v>1.47E-2</v>
      </c>
      <c r="E375" s="58">
        <v>1.1399999999999999E-2</v>
      </c>
      <c r="F375" s="58">
        <v>6.8999999999999999E-3</v>
      </c>
      <c r="G375" s="58">
        <v>3.4999999999999996E-3</v>
      </c>
      <c r="H375" s="58">
        <v>1.4E-3</v>
      </c>
      <c r="I375" s="58">
        <v>3.0000000000000003E-4</v>
      </c>
      <c r="J375" s="58">
        <v>0</v>
      </c>
    </row>
    <row r="376" spans="1:14" ht="14.45" hidden="1" customHeight="1">
      <c r="A376" s="57" t="s">
        <v>287</v>
      </c>
      <c r="B376" s="10" t="s">
        <v>163</v>
      </c>
      <c r="C376" s="10">
        <v>1.99</v>
      </c>
      <c r="D376" s="10">
        <v>1.6336569940706875</v>
      </c>
      <c r="E376" s="10">
        <v>1.5861703012279045</v>
      </c>
      <c r="F376" s="10">
        <v>1.2485332207661104</v>
      </c>
      <c r="G376" s="10">
        <v>0.89380056068646563</v>
      </c>
      <c r="H376" s="10">
        <v>0.73831889244270044</v>
      </c>
      <c r="I376" s="10">
        <v>0.42748512401203964</v>
      </c>
      <c r="J376" s="10">
        <v>0.10365444549584352</v>
      </c>
      <c r="N376" s="65"/>
    </row>
    <row r="377" spans="1:14" ht="14.45" hidden="1" customHeight="1">
      <c r="A377" s="57" t="s">
        <v>287</v>
      </c>
      <c r="B377" s="10" t="s">
        <v>107</v>
      </c>
      <c r="C377" s="10">
        <v>3.43</v>
      </c>
      <c r="D377" s="10">
        <v>2.9560635635635637</v>
      </c>
      <c r="E377" s="10">
        <v>2.2172622622622624</v>
      </c>
      <c r="F377" s="10">
        <v>1.6581031031031033</v>
      </c>
      <c r="G377" s="10">
        <v>1.0116366366366367</v>
      </c>
      <c r="H377" s="10">
        <v>0.68668668668668675</v>
      </c>
      <c r="I377" s="10">
        <v>0</v>
      </c>
      <c r="J377" s="10">
        <v>0</v>
      </c>
    </row>
    <row r="378" spans="1:14" ht="14.45" hidden="1" customHeight="1">
      <c r="A378" s="57" t="s">
        <v>287</v>
      </c>
      <c r="B378" s="10" t="s">
        <v>106</v>
      </c>
      <c r="C378" s="10">
        <v>0</v>
      </c>
      <c r="D378" s="10">
        <v>0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N378" s="65"/>
    </row>
    <row r="379" spans="1:14" ht="14.45" hidden="1" customHeight="1">
      <c r="A379" s="57" t="s">
        <v>287</v>
      </c>
      <c r="B379" s="10" t="s">
        <v>22</v>
      </c>
      <c r="C379" s="10">
        <v>1.8700000000000003</v>
      </c>
      <c r="D379" s="10">
        <v>1.5847708153208819</v>
      </c>
      <c r="E379" s="10">
        <v>1.5719610001637212</v>
      </c>
      <c r="F379" s="10">
        <v>1.2929752683997648</v>
      </c>
      <c r="G379" s="10">
        <v>1.0554774621561094</v>
      </c>
      <c r="H379" s="10">
        <v>0.17205528461228017</v>
      </c>
      <c r="I379" s="10">
        <v>0.17205528461228017</v>
      </c>
      <c r="J379" s="10">
        <v>2.1045057997880874E-2</v>
      </c>
    </row>
    <row r="380" spans="1:14" ht="14.45" hidden="1" customHeight="1">
      <c r="A380" s="10" t="s">
        <v>287</v>
      </c>
      <c r="B380" s="10" t="s">
        <v>488</v>
      </c>
      <c r="C380" s="10">
        <v>1.1399999999999999</v>
      </c>
      <c r="D380" s="10">
        <v>1.1399999999999999</v>
      </c>
      <c r="E380" s="10">
        <v>0.56999999999999995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N380" s="65"/>
    </row>
    <row r="381" spans="1:14" ht="14.45" hidden="1" customHeight="1">
      <c r="A381" s="10" t="s">
        <v>287</v>
      </c>
      <c r="B381" s="10" t="s">
        <v>490</v>
      </c>
      <c r="C381" s="10">
        <v>1.179</v>
      </c>
      <c r="D381" s="10">
        <v>1.179</v>
      </c>
      <c r="E381" s="10">
        <v>0.58950000000000002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N381" s="65"/>
    </row>
    <row r="382" spans="1:14" ht="14.45" hidden="1" customHeight="1">
      <c r="A382" s="57" t="s">
        <v>287</v>
      </c>
      <c r="B382" s="10" t="s">
        <v>23</v>
      </c>
      <c r="C382" s="10">
        <v>2.75</v>
      </c>
      <c r="D382" s="10">
        <v>2.75</v>
      </c>
      <c r="E382" s="10">
        <v>2.75</v>
      </c>
      <c r="F382" s="10">
        <v>1.375</v>
      </c>
      <c r="G382" s="10">
        <v>0</v>
      </c>
      <c r="H382" s="10">
        <v>0</v>
      </c>
      <c r="I382" s="10">
        <v>0</v>
      </c>
      <c r="J382" s="10">
        <v>0</v>
      </c>
    </row>
    <row r="383" spans="1:14" ht="14.45" hidden="1" customHeight="1">
      <c r="A383" s="57" t="s">
        <v>287</v>
      </c>
      <c r="B383" s="10" t="s">
        <v>58</v>
      </c>
      <c r="C383" s="10">
        <v>3.41</v>
      </c>
      <c r="D383" s="10">
        <v>2.7536550259220749</v>
      </c>
      <c r="E383" s="10">
        <v>2.7432056570787626</v>
      </c>
      <c r="F383" s="10">
        <v>2.6888519482498903</v>
      </c>
      <c r="G383" s="10">
        <v>2.670213632858021</v>
      </c>
      <c r="H383" s="10">
        <v>0.52141415287523307</v>
      </c>
      <c r="I383" s="10">
        <v>0.41648311788516906</v>
      </c>
      <c r="J383" s="10">
        <v>0.27015441399783369</v>
      </c>
    </row>
    <row r="384" spans="1:14" ht="14.45" hidden="1" customHeight="1">
      <c r="A384" s="58" t="s">
        <v>287</v>
      </c>
      <c r="B384" s="58" t="s">
        <v>102</v>
      </c>
      <c r="C384" s="58">
        <v>0</v>
      </c>
      <c r="D384" s="58">
        <v>0</v>
      </c>
      <c r="E384" s="58">
        <v>0</v>
      </c>
      <c r="F384" s="58">
        <v>0</v>
      </c>
      <c r="G384" s="58">
        <v>0</v>
      </c>
      <c r="H384" s="58">
        <v>0</v>
      </c>
      <c r="I384" s="58">
        <v>0</v>
      </c>
      <c r="J384" s="58">
        <v>0</v>
      </c>
    </row>
    <row r="385" spans="1:12" ht="14.45" hidden="1" customHeight="1">
      <c r="A385" s="57" t="s">
        <v>287</v>
      </c>
      <c r="B385" s="10" t="s">
        <v>103</v>
      </c>
      <c r="C385" s="10">
        <v>3.15</v>
      </c>
      <c r="D385" s="10">
        <v>3.15</v>
      </c>
      <c r="E385" s="10">
        <v>3.15</v>
      </c>
      <c r="F385" s="10">
        <v>3.15</v>
      </c>
      <c r="G385" s="10">
        <v>3.15</v>
      </c>
      <c r="H385" s="10">
        <v>3.15</v>
      </c>
      <c r="I385" s="10">
        <v>3.15</v>
      </c>
      <c r="J385" s="10">
        <v>3.15</v>
      </c>
    </row>
    <row r="386" spans="1:12" ht="14.45" hidden="1" customHeight="1">
      <c r="A386" s="57" t="s">
        <v>287</v>
      </c>
      <c r="B386" s="10" t="s">
        <v>94</v>
      </c>
      <c r="C386" s="10">
        <v>0.1</v>
      </c>
      <c r="D386" s="10">
        <v>7.9999999999999988E-2</v>
      </c>
      <c r="E386" s="10">
        <v>5.4999999999999959E-2</v>
      </c>
      <c r="F386" s="10">
        <v>2.9999999999999964E-2</v>
      </c>
      <c r="G386" s="10">
        <v>4.999999999999968E-3</v>
      </c>
      <c r="H386" s="10">
        <v>0</v>
      </c>
      <c r="I386" s="10">
        <v>0</v>
      </c>
      <c r="J386" s="10">
        <v>0</v>
      </c>
    </row>
    <row r="387" spans="1:12" ht="14.45" hidden="1" customHeight="1">
      <c r="A387" s="57" t="s">
        <v>287</v>
      </c>
      <c r="B387" s="10" t="s">
        <v>170</v>
      </c>
      <c r="C387" s="10">
        <v>0</v>
      </c>
      <c r="D387" s="10">
        <v>0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</row>
    <row r="388" spans="1:12" ht="14.45" hidden="1" customHeight="1">
      <c r="A388" s="57" t="s">
        <v>287</v>
      </c>
      <c r="B388" s="10" t="s">
        <v>97</v>
      </c>
      <c r="C388" s="10">
        <v>2</v>
      </c>
      <c r="D388" s="10">
        <v>2</v>
      </c>
      <c r="E388" s="10">
        <v>2</v>
      </c>
      <c r="F388" s="10">
        <v>0.81575695598449005</v>
      </c>
      <c r="G388" s="10">
        <v>0.63189739656568233</v>
      </c>
      <c r="H388" s="10">
        <v>0</v>
      </c>
      <c r="I388" s="10">
        <v>0</v>
      </c>
      <c r="J388" s="10">
        <v>0</v>
      </c>
    </row>
    <row r="389" spans="1:12" ht="14.45" hidden="1" customHeight="1">
      <c r="A389" s="61" t="s">
        <v>287</v>
      </c>
      <c r="B389" s="62" t="s">
        <v>339</v>
      </c>
      <c r="C389" s="10">
        <v>0</v>
      </c>
      <c r="D389" s="10">
        <v>0.6</v>
      </c>
      <c r="E389" s="10">
        <v>0.6</v>
      </c>
      <c r="F389" s="10">
        <v>0.6</v>
      </c>
      <c r="G389" s="10">
        <v>0.6</v>
      </c>
      <c r="H389" s="10">
        <v>0.6</v>
      </c>
      <c r="I389" s="10">
        <v>0.6</v>
      </c>
      <c r="J389" s="10">
        <v>0.6</v>
      </c>
    </row>
    <row r="390" spans="1:12" ht="14.45" customHeight="1">
      <c r="A390" s="10" t="s">
        <v>288</v>
      </c>
      <c r="B390" s="10" t="s">
        <v>475</v>
      </c>
      <c r="C390" s="10">
        <v>1.9843843503449012</v>
      </c>
      <c r="D390" s="10">
        <v>1.9843843503449012</v>
      </c>
      <c r="E390" s="10">
        <v>1.7401524303024518</v>
      </c>
      <c r="F390" s="10">
        <v>1.4959205102600024</v>
      </c>
      <c r="G390" s="10">
        <v>0.74796025513000119</v>
      </c>
      <c r="H390" s="10">
        <v>0</v>
      </c>
      <c r="I390" s="10">
        <v>0</v>
      </c>
      <c r="J390" s="10">
        <v>0</v>
      </c>
    </row>
    <row r="391" spans="1:12" ht="14.45" customHeight="1">
      <c r="A391" s="10" t="s">
        <v>288</v>
      </c>
      <c r="B391" s="10" t="s">
        <v>108</v>
      </c>
      <c r="C391" s="10">
        <v>0.26943922952022442</v>
      </c>
      <c r="D391" s="10">
        <v>0.26943922952022442</v>
      </c>
      <c r="E391" s="10">
        <v>0.18530603136964055</v>
      </c>
      <c r="F391" s="10">
        <v>0.1011728332190566</v>
      </c>
      <c r="G391" s="10">
        <v>5.0586416609528298E-2</v>
      </c>
      <c r="H391" s="10">
        <v>0</v>
      </c>
      <c r="I391" s="10">
        <v>0</v>
      </c>
      <c r="J391" s="10">
        <v>0</v>
      </c>
    </row>
    <row r="392" spans="1:12" ht="14.45" customHeight="1">
      <c r="A392" s="10" t="s">
        <v>288</v>
      </c>
      <c r="B392" s="10" t="s">
        <v>481</v>
      </c>
      <c r="C392" s="10">
        <v>3.3807382064437497</v>
      </c>
      <c r="D392" s="10">
        <v>3.3807382064437497</v>
      </c>
      <c r="E392" s="10">
        <v>3.2220626941609583</v>
      </c>
      <c r="F392" s="10">
        <v>3.0633871818781655</v>
      </c>
      <c r="G392" s="10">
        <v>2.6175149700931577</v>
      </c>
      <c r="H392" s="10">
        <v>2.1716427583081499</v>
      </c>
      <c r="I392" s="10">
        <v>1.085821379154075</v>
      </c>
      <c r="J392" s="10">
        <v>0</v>
      </c>
    </row>
    <row r="393" spans="1:12" ht="14.45" customHeight="1">
      <c r="A393" s="10" t="s">
        <v>288</v>
      </c>
      <c r="B393" s="10" t="s">
        <v>485</v>
      </c>
      <c r="C393" s="10">
        <v>0.29296643911372411</v>
      </c>
      <c r="D393" s="10">
        <v>0.29296643911372411</v>
      </c>
      <c r="E393" s="10">
        <v>0.14648321955686205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</row>
    <row r="394" spans="1:12">
      <c r="A394" s="57" t="s">
        <v>288</v>
      </c>
      <c r="B394" s="10" t="s">
        <v>142</v>
      </c>
      <c r="C394" s="10">
        <v>4.5119999999999996</v>
      </c>
      <c r="D394" s="10">
        <v>4.5119999999999996</v>
      </c>
      <c r="E394" s="10">
        <v>4.5119999999999996</v>
      </c>
      <c r="F394" s="10">
        <v>4.5119999999999996</v>
      </c>
      <c r="G394" s="10">
        <v>4.5119999999999996</v>
      </c>
      <c r="H394" s="10">
        <v>4.5119999999999996</v>
      </c>
      <c r="I394" s="10">
        <v>4.5119999999999996</v>
      </c>
      <c r="J394" s="10">
        <v>4.5119999999999996</v>
      </c>
    </row>
    <row r="395" spans="1:12">
      <c r="A395" s="58" t="s">
        <v>288</v>
      </c>
      <c r="B395" s="58" t="s">
        <v>243</v>
      </c>
      <c r="C395" s="58">
        <v>17.362300000000001</v>
      </c>
      <c r="D395" s="58">
        <v>15.626099999999999</v>
      </c>
      <c r="E395" s="58">
        <v>12.110300000000001</v>
      </c>
      <c r="F395" s="58">
        <v>7.2661999999999995</v>
      </c>
      <c r="G395" s="58">
        <v>3.6331000000000002</v>
      </c>
      <c r="H395" s="58">
        <v>1.4533</v>
      </c>
      <c r="I395" s="58">
        <v>0.29070000000000001</v>
      </c>
      <c r="J395" s="58">
        <v>0</v>
      </c>
    </row>
    <row r="396" spans="1:12">
      <c r="A396" s="58" t="s">
        <v>288</v>
      </c>
      <c r="B396" s="58" t="s">
        <v>244</v>
      </c>
      <c r="C396" s="58">
        <v>2.5130000000000003</v>
      </c>
      <c r="D396" s="58">
        <v>2.2616999999999998</v>
      </c>
      <c r="E396" s="58">
        <v>1.7528999999999999</v>
      </c>
      <c r="F396" s="58">
        <v>1.0518000000000001</v>
      </c>
      <c r="G396" s="58">
        <v>0.52590000000000003</v>
      </c>
      <c r="H396" s="58">
        <v>0.21039999999999998</v>
      </c>
      <c r="I396" s="58">
        <v>4.2100000000000005E-2</v>
      </c>
      <c r="J396" s="58">
        <v>0</v>
      </c>
    </row>
    <row r="397" spans="1:12">
      <c r="A397" s="58" t="s">
        <v>288</v>
      </c>
      <c r="B397" s="58" t="s">
        <v>245</v>
      </c>
      <c r="C397" s="58">
        <v>1.2524</v>
      </c>
      <c r="D397" s="58">
        <v>1.1272</v>
      </c>
      <c r="E397" s="58">
        <v>0.87360000000000004</v>
      </c>
      <c r="F397" s="58">
        <v>0.5242</v>
      </c>
      <c r="G397" s="58">
        <v>0.2621</v>
      </c>
      <c r="H397" s="58">
        <v>0.10490000000000001</v>
      </c>
      <c r="I397" s="58">
        <v>2.0999999999999998E-2</v>
      </c>
      <c r="J397" s="58">
        <v>0</v>
      </c>
    </row>
    <row r="398" spans="1:12">
      <c r="A398" s="58" t="s">
        <v>288</v>
      </c>
      <c r="B398" s="58" t="s">
        <v>217</v>
      </c>
      <c r="C398" s="58">
        <v>0.95779999999999998</v>
      </c>
      <c r="D398" s="58">
        <v>0.86209999999999998</v>
      </c>
      <c r="E398" s="58">
        <v>0.66820000000000002</v>
      </c>
      <c r="F398" s="58">
        <v>0.40099999999999997</v>
      </c>
      <c r="G398" s="58">
        <v>0.20050000000000001</v>
      </c>
      <c r="H398" s="58">
        <v>8.0199999999999994E-2</v>
      </c>
      <c r="I398" s="58">
        <v>1.61E-2</v>
      </c>
      <c r="J398" s="58">
        <v>0</v>
      </c>
    </row>
    <row r="399" spans="1:12">
      <c r="A399" s="58" t="s">
        <v>288</v>
      </c>
      <c r="B399" s="58" t="s">
        <v>237</v>
      </c>
      <c r="C399" s="58">
        <v>0.1084</v>
      </c>
      <c r="D399" s="58">
        <v>9.7600000000000006E-2</v>
      </c>
      <c r="E399" s="58">
        <v>7.5700000000000003E-2</v>
      </c>
      <c r="F399" s="58">
        <v>4.5500000000000006E-2</v>
      </c>
      <c r="G399" s="58">
        <v>2.2800000000000001E-2</v>
      </c>
      <c r="H399" s="58">
        <v>9.1999999999999998E-3</v>
      </c>
      <c r="I399" s="58">
        <v>1.9E-3</v>
      </c>
      <c r="J399" s="58">
        <v>0</v>
      </c>
    </row>
    <row r="400" spans="1:12" ht="14.45" customHeight="1">
      <c r="A400" s="58" t="s">
        <v>288</v>
      </c>
      <c r="B400" s="58" t="s">
        <v>226</v>
      </c>
      <c r="C400" s="58">
        <v>20.888300000000001</v>
      </c>
      <c r="D400" s="58">
        <v>18.799499999999998</v>
      </c>
      <c r="E400" s="58">
        <v>14.569699999999999</v>
      </c>
      <c r="F400" s="58">
        <v>8.7418999999999993</v>
      </c>
      <c r="G400" s="58">
        <v>4.3709999999999996</v>
      </c>
      <c r="H400" s="58">
        <v>1.7484</v>
      </c>
      <c r="I400" s="58">
        <v>0.34970000000000001</v>
      </c>
      <c r="J400" s="58">
        <v>0</v>
      </c>
      <c r="K400" s="10">
        <v>2</v>
      </c>
      <c r="L400" s="10">
        <v>2</v>
      </c>
    </row>
    <row r="401" spans="1:10" ht="14.45" customHeight="1">
      <c r="A401" s="58" t="s">
        <v>288</v>
      </c>
      <c r="B401" s="58" t="s">
        <v>219</v>
      </c>
      <c r="C401" s="58">
        <v>0.20759999999999998</v>
      </c>
      <c r="D401" s="58">
        <v>0.18689999999999998</v>
      </c>
      <c r="E401" s="58">
        <v>0.1449</v>
      </c>
      <c r="F401" s="58">
        <v>8.7000000000000008E-2</v>
      </c>
      <c r="G401" s="58">
        <v>4.3499999999999997E-2</v>
      </c>
      <c r="H401" s="58">
        <v>1.7399999999999999E-2</v>
      </c>
      <c r="I401" s="58">
        <v>3.4999999999999996E-3</v>
      </c>
      <c r="J401" s="58">
        <v>0</v>
      </c>
    </row>
    <row r="402" spans="1:10" ht="14.45" customHeight="1">
      <c r="A402" s="58" t="s">
        <v>288</v>
      </c>
      <c r="B402" s="58" t="s">
        <v>227</v>
      </c>
      <c r="C402" s="58">
        <v>1.0936999999999999</v>
      </c>
      <c r="D402" s="58">
        <v>0.98439999999999994</v>
      </c>
      <c r="E402" s="58">
        <v>0.76300000000000001</v>
      </c>
      <c r="F402" s="58">
        <v>0.45779999999999998</v>
      </c>
      <c r="G402" s="58">
        <v>0.22889999999999999</v>
      </c>
      <c r="H402" s="58">
        <v>9.1600000000000001E-2</v>
      </c>
      <c r="I402" s="58">
        <v>1.84E-2</v>
      </c>
      <c r="J402" s="58">
        <v>0</v>
      </c>
    </row>
    <row r="403" spans="1:10" ht="14.45" customHeight="1">
      <c r="A403" s="58" t="s">
        <v>288</v>
      </c>
      <c r="B403" s="58" t="s">
        <v>206</v>
      </c>
      <c r="C403" s="58">
        <v>9.4969000000000001</v>
      </c>
      <c r="D403" s="58">
        <v>8.5472999999999999</v>
      </c>
      <c r="E403" s="58">
        <v>6.6242000000000001</v>
      </c>
      <c r="F403" s="58">
        <v>3.9746000000000001</v>
      </c>
      <c r="G403" s="58">
        <v>1.9873000000000001</v>
      </c>
      <c r="H403" s="58">
        <v>0.79500000000000004</v>
      </c>
      <c r="I403" s="58">
        <v>0.159</v>
      </c>
    </row>
    <row r="404" spans="1:10" ht="14.45" customHeight="1">
      <c r="A404" s="58" t="s">
        <v>288</v>
      </c>
      <c r="B404" s="58" t="s">
        <v>233</v>
      </c>
      <c r="C404" s="58">
        <v>8.0768000000000004</v>
      </c>
      <c r="D404" s="58">
        <v>7.2691999999999997</v>
      </c>
      <c r="E404" s="58">
        <v>5.6337000000000002</v>
      </c>
      <c r="F404" s="58">
        <v>3.3803000000000001</v>
      </c>
      <c r="G404" s="58">
        <v>1.6901999999999999</v>
      </c>
      <c r="H404" s="58">
        <v>0.67610000000000003</v>
      </c>
      <c r="I404" s="58">
        <v>0.13529999999999998</v>
      </c>
    </row>
    <row r="405" spans="1:10" ht="14.45" customHeight="1">
      <c r="A405" s="58" t="s">
        <v>288</v>
      </c>
      <c r="B405" s="58" t="s">
        <v>224</v>
      </c>
      <c r="C405" s="58">
        <v>151.8843</v>
      </c>
      <c r="D405" s="58">
        <v>136.69589999999999</v>
      </c>
      <c r="E405" s="58">
        <v>105.93940000000001</v>
      </c>
      <c r="F405" s="58">
        <v>63.563700000000004</v>
      </c>
      <c r="G405" s="58">
        <v>31.7819</v>
      </c>
      <c r="H405" s="58">
        <v>12.7128</v>
      </c>
      <c r="I405" s="58">
        <v>2.5426000000000002</v>
      </c>
    </row>
    <row r="406" spans="1:10" ht="14.45" customHeight="1">
      <c r="A406" s="58" t="s">
        <v>288</v>
      </c>
      <c r="B406" s="58" t="s">
        <v>207</v>
      </c>
      <c r="C406" s="58">
        <v>7.8899999999999998E-2</v>
      </c>
      <c r="D406" s="58">
        <v>7.1099999999999997E-2</v>
      </c>
      <c r="E406" s="58">
        <v>5.5200000000000006E-2</v>
      </c>
      <c r="F406" s="58">
        <v>3.32E-2</v>
      </c>
      <c r="G406" s="58">
        <v>1.66E-2</v>
      </c>
      <c r="H406" s="58">
        <v>6.7000000000000002E-3</v>
      </c>
      <c r="I406" s="58">
        <v>1.4E-3</v>
      </c>
    </row>
    <row r="407" spans="1:10" ht="14.45" customHeight="1">
      <c r="A407" s="58" t="s">
        <v>288</v>
      </c>
      <c r="B407" s="58" t="s">
        <v>225</v>
      </c>
      <c r="C407" s="58">
        <v>10.876300000000001</v>
      </c>
      <c r="D407" s="58">
        <v>9.7887000000000004</v>
      </c>
      <c r="E407" s="58">
        <v>7.5862999999999996</v>
      </c>
      <c r="F407" s="58">
        <v>4.5518000000000001</v>
      </c>
      <c r="G407" s="58">
        <v>2.2759</v>
      </c>
      <c r="H407" s="58">
        <v>0.91039999999999999</v>
      </c>
      <c r="I407" s="58">
        <v>0.18209999999999998</v>
      </c>
    </row>
    <row r="408" spans="1:10" ht="14.45" customHeight="1">
      <c r="A408" s="58" t="s">
        <v>288</v>
      </c>
      <c r="B408" s="58" t="s">
        <v>228</v>
      </c>
      <c r="C408" s="58">
        <v>0.95689999999999997</v>
      </c>
      <c r="D408" s="58">
        <v>0.86129999999999995</v>
      </c>
      <c r="E408" s="58">
        <v>0.66759999999999997</v>
      </c>
      <c r="F408" s="58">
        <v>0.40060000000000001</v>
      </c>
      <c r="G408" s="58">
        <v>0.20030000000000001</v>
      </c>
      <c r="H408" s="58">
        <v>8.0200000000000007E-2</v>
      </c>
      <c r="I408" s="58">
        <v>1.61E-2</v>
      </c>
      <c r="J408" s="58">
        <v>0</v>
      </c>
    </row>
    <row r="409" spans="1:10" ht="14.45" customHeight="1">
      <c r="A409" s="58" t="s">
        <v>288</v>
      </c>
      <c r="B409" s="58" t="s">
        <v>230</v>
      </c>
      <c r="C409" s="58">
        <v>73.750500000000002</v>
      </c>
      <c r="D409" s="58">
        <v>66.375500000000002</v>
      </c>
      <c r="E409" s="58">
        <v>51.441100000000006</v>
      </c>
      <c r="F409" s="58">
        <v>30.864699999999999</v>
      </c>
      <c r="G409" s="58">
        <v>15.432399999999999</v>
      </c>
      <c r="H409" s="58">
        <v>6.173</v>
      </c>
      <c r="I409" s="58">
        <v>1.2345999999999999</v>
      </c>
      <c r="J409" s="58">
        <v>0</v>
      </c>
    </row>
    <row r="410" spans="1:10" ht="14.45" customHeight="1">
      <c r="A410" s="58" t="s">
        <v>288</v>
      </c>
      <c r="B410" s="58" t="s">
        <v>229</v>
      </c>
      <c r="C410" s="58">
        <v>2.5442</v>
      </c>
      <c r="D410" s="58">
        <v>2.2898000000000001</v>
      </c>
      <c r="E410" s="58">
        <v>1.7746</v>
      </c>
      <c r="F410" s="58">
        <v>1.0648</v>
      </c>
      <c r="G410" s="58">
        <v>0.53239999999999998</v>
      </c>
      <c r="H410" s="58">
        <v>0.21299999999999999</v>
      </c>
      <c r="I410" s="58">
        <v>4.2599999999999999E-2</v>
      </c>
      <c r="J410" s="58">
        <v>0</v>
      </c>
    </row>
    <row r="411" spans="1:10" ht="14.45" customHeight="1">
      <c r="A411" s="58" t="s">
        <v>288</v>
      </c>
      <c r="B411" s="58" t="s">
        <v>231</v>
      </c>
      <c r="C411" s="58">
        <v>1.7912999999999999</v>
      </c>
      <c r="D411" s="58">
        <v>1.6122000000000001</v>
      </c>
      <c r="E411" s="58">
        <v>1.2495000000000001</v>
      </c>
      <c r="F411" s="58">
        <v>0.74970000000000003</v>
      </c>
      <c r="G411" s="58">
        <v>0.37490000000000001</v>
      </c>
      <c r="H411" s="58">
        <v>0.15</v>
      </c>
      <c r="I411" s="58">
        <v>0.03</v>
      </c>
      <c r="J411" s="58">
        <v>0</v>
      </c>
    </row>
    <row r="412" spans="1:10" ht="14.45" customHeight="1">
      <c r="A412" s="58" t="s">
        <v>288</v>
      </c>
      <c r="B412" s="58" t="s">
        <v>240</v>
      </c>
      <c r="C412" s="58">
        <v>0.21209999999999998</v>
      </c>
      <c r="D412" s="58">
        <v>0.19089999999999999</v>
      </c>
      <c r="E412" s="58">
        <v>0.14799999999999999</v>
      </c>
      <c r="F412" s="58">
        <v>8.8800000000000004E-2</v>
      </c>
      <c r="G412" s="58">
        <v>4.4400000000000002E-2</v>
      </c>
      <c r="H412" s="58">
        <v>1.78E-2</v>
      </c>
      <c r="I412" s="58">
        <v>3.5999999999999999E-3</v>
      </c>
      <c r="J412" s="58">
        <v>0</v>
      </c>
    </row>
    <row r="413" spans="1:10" ht="14.45" customHeight="1">
      <c r="A413" s="57" t="s">
        <v>288</v>
      </c>
      <c r="B413" s="10" t="s">
        <v>163</v>
      </c>
      <c r="C413" s="58">
        <v>1.52</v>
      </c>
      <c r="D413" s="58">
        <v>0.9910000000000001</v>
      </c>
      <c r="E413" s="58">
        <v>0.91800000000000015</v>
      </c>
      <c r="F413" s="58">
        <v>0.81500000000000017</v>
      </c>
      <c r="G413" s="58">
        <v>0.76700000000000013</v>
      </c>
      <c r="H413" s="58">
        <v>0.66000000000000014</v>
      </c>
      <c r="I413" s="58">
        <v>0.66000000000000014</v>
      </c>
      <c r="J413" s="58">
        <v>0.66000000000000014</v>
      </c>
    </row>
    <row r="414" spans="1:10" ht="14.45" customHeight="1">
      <c r="A414" s="57" t="s">
        <v>288</v>
      </c>
      <c r="B414" s="10" t="s">
        <v>107</v>
      </c>
      <c r="C414" s="10">
        <v>2.9</v>
      </c>
      <c r="D414" s="10">
        <v>2.172155475088549</v>
      </c>
      <c r="E414" s="10">
        <v>1.6137165502912105</v>
      </c>
      <c r="F414" s="10">
        <v>1.6107262481503946</v>
      </c>
      <c r="G414" s="10">
        <v>8.1784763551310299E-2</v>
      </c>
      <c r="H414" s="10">
        <v>6.4789879717674212E-3</v>
      </c>
      <c r="I414" s="10">
        <v>0</v>
      </c>
      <c r="J414" s="10">
        <v>0</v>
      </c>
    </row>
    <row r="415" spans="1:10">
      <c r="A415" s="57" t="s">
        <v>288</v>
      </c>
      <c r="B415" s="10" t="s">
        <v>106</v>
      </c>
      <c r="C415" s="10">
        <v>0</v>
      </c>
      <c r="D415" s="10">
        <v>0</v>
      </c>
      <c r="E415" s="10">
        <v>0</v>
      </c>
      <c r="F415" s="10">
        <v>0</v>
      </c>
      <c r="G415" s="10">
        <v>0</v>
      </c>
      <c r="H415" s="10">
        <v>0</v>
      </c>
      <c r="I415" s="10">
        <v>0</v>
      </c>
      <c r="J415" s="10">
        <v>0</v>
      </c>
    </row>
    <row r="416" spans="1:10">
      <c r="A416" s="57" t="s">
        <v>288</v>
      </c>
      <c r="B416" s="10" t="s">
        <v>22</v>
      </c>
      <c r="C416" s="10">
        <v>6.339999999999999</v>
      </c>
      <c r="D416" s="10">
        <v>5.7282325681876207</v>
      </c>
      <c r="E416" s="10">
        <v>5.7052896996095717</v>
      </c>
      <c r="F416" s="10">
        <v>5.6624853022590633</v>
      </c>
      <c r="G416" s="10">
        <v>5.2233801749316839</v>
      </c>
      <c r="H416" s="10">
        <v>4.2443864069727422</v>
      </c>
      <c r="I416" s="10">
        <v>3.150310061327684</v>
      </c>
      <c r="J416" s="10">
        <v>1.8791638469705014</v>
      </c>
    </row>
    <row r="417" spans="1:10">
      <c r="A417" s="10" t="s">
        <v>288</v>
      </c>
      <c r="B417" s="10" t="s">
        <v>488</v>
      </c>
      <c r="C417" s="10">
        <v>6.0719999999999983</v>
      </c>
      <c r="D417" s="10">
        <v>6.0719999999999983</v>
      </c>
      <c r="E417" s="10">
        <v>4.9750000000000005</v>
      </c>
      <c r="F417" s="10">
        <v>3.8779999999999992</v>
      </c>
      <c r="G417" s="10">
        <v>3.4779999999999993</v>
      </c>
      <c r="H417" s="10">
        <v>3.0779999999999998</v>
      </c>
      <c r="I417" s="10">
        <v>1.5389999999999999</v>
      </c>
      <c r="J417" s="10">
        <v>0</v>
      </c>
    </row>
    <row r="418" spans="1:10">
      <c r="A418" s="10" t="s">
        <v>288</v>
      </c>
      <c r="B418" s="10" t="s">
        <v>489</v>
      </c>
      <c r="C418" s="10">
        <v>0.1295</v>
      </c>
      <c r="D418" s="10">
        <v>0.1295</v>
      </c>
      <c r="E418" s="10">
        <v>6.4750000000000002E-2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</row>
    <row r="419" spans="1:10">
      <c r="A419" s="10" t="s">
        <v>288</v>
      </c>
      <c r="B419" s="10" t="s">
        <v>490</v>
      </c>
      <c r="C419" s="10">
        <v>0.47300000000000003</v>
      </c>
      <c r="D419" s="10">
        <v>0.47300000000000003</v>
      </c>
      <c r="E419" s="10">
        <v>0.32900000000000001</v>
      </c>
      <c r="F419" s="10">
        <v>0.185</v>
      </c>
      <c r="G419" s="10">
        <v>0.185</v>
      </c>
      <c r="H419" s="10">
        <v>0.185</v>
      </c>
      <c r="I419" s="10">
        <v>9.2499999999999999E-2</v>
      </c>
      <c r="J419" s="10">
        <v>0</v>
      </c>
    </row>
    <row r="420" spans="1:10">
      <c r="A420" s="57" t="s">
        <v>288</v>
      </c>
      <c r="B420" s="10" t="s">
        <v>23</v>
      </c>
      <c r="C420" s="10">
        <v>63.13</v>
      </c>
      <c r="D420" s="10">
        <v>63.13</v>
      </c>
      <c r="E420" s="10">
        <v>60</v>
      </c>
      <c r="F420" s="10">
        <v>55</v>
      </c>
      <c r="G420" s="10">
        <v>45</v>
      </c>
      <c r="H420" s="10">
        <v>40</v>
      </c>
      <c r="I420" s="10">
        <v>28</v>
      </c>
      <c r="J420" s="10">
        <v>15</v>
      </c>
    </row>
    <row r="421" spans="1:10">
      <c r="A421" s="57" t="s">
        <v>288</v>
      </c>
      <c r="B421" s="10" t="s">
        <v>58</v>
      </c>
      <c r="C421" s="10">
        <v>6.2</v>
      </c>
      <c r="D421" s="10">
        <v>6.2</v>
      </c>
      <c r="E421" s="10">
        <v>6.2</v>
      </c>
      <c r="F421" s="10">
        <v>6.2</v>
      </c>
      <c r="G421" s="10">
        <v>6.2</v>
      </c>
      <c r="H421" s="10">
        <v>0.53447975336208287</v>
      </c>
      <c r="I421" s="10">
        <v>0.53139384254590449</v>
      </c>
      <c r="J421" s="10">
        <v>6.8507220119158413E-2</v>
      </c>
    </row>
    <row r="422" spans="1:10">
      <c r="A422" s="58" t="s">
        <v>288</v>
      </c>
      <c r="B422" s="58" t="s">
        <v>102</v>
      </c>
      <c r="C422" s="58">
        <v>8.57</v>
      </c>
      <c r="D422" s="58">
        <v>8.57</v>
      </c>
      <c r="E422" s="58">
        <v>8.57</v>
      </c>
      <c r="F422" s="58">
        <v>8.57</v>
      </c>
      <c r="G422" s="58">
        <v>8.57</v>
      </c>
      <c r="H422" s="58">
        <v>8.57</v>
      </c>
      <c r="I422" s="58">
        <v>8.57</v>
      </c>
      <c r="J422" s="58">
        <v>8.57</v>
      </c>
    </row>
    <row r="423" spans="1:10">
      <c r="A423" s="57" t="s">
        <v>288</v>
      </c>
      <c r="B423" s="10" t="s">
        <v>103</v>
      </c>
      <c r="C423" s="10">
        <v>10.324999999999999</v>
      </c>
      <c r="D423" s="10">
        <v>10.324999999999999</v>
      </c>
      <c r="E423" s="10">
        <v>10.324999999999999</v>
      </c>
      <c r="F423" s="10">
        <v>10.324999999999999</v>
      </c>
      <c r="G423" s="10">
        <v>10.324999999999999</v>
      </c>
      <c r="H423" s="10">
        <v>10.324999999999999</v>
      </c>
      <c r="I423" s="10">
        <v>10.324999999999999</v>
      </c>
      <c r="J423" s="10">
        <v>10.324999999999999</v>
      </c>
    </row>
    <row r="424" spans="1:10">
      <c r="A424" s="57" t="s">
        <v>288</v>
      </c>
      <c r="B424" s="10" t="s">
        <v>94</v>
      </c>
      <c r="C424" s="10">
        <v>8.9</v>
      </c>
      <c r="D424" s="10">
        <v>8.9</v>
      </c>
      <c r="E424" s="10">
        <v>8.9</v>
      </c>
      <c r="F424" s="10">
        <v>8.9</v>
      </c>
      <c r="G424" s="10">
        <v>8.9</v>
      </c>
      <c r="H424" s="10">
        <v>0</v>
      </c>
      <c r="I424" s="10">
        <v>0</v>
      </c>
      <c r="J424" s="10">
        <v>0</v>
      </c>
    </row>
    <row r="425" spans="1:10">
      <c r="A425" s="57" t="s">
        <v>288</v>
      </c>
      <c r="B425" s="10" t="s">
        <v>170</v>
      </c>
      <c r="C425" s="10">
        <v>0</v>
      </c>
      <c r="D425" s="10">
        <v>0</v>
      </c>
      <c r="E425" s="10">
        <v>0</v>
      </c>
      <c r="F425" s="10">
        <v>0</v>
      </c>
      <c r="G425" s="10">
        <v>0</v>
      </c>
      <c r="H425" s="10">
        <v>0</v>
      </c>
      <c r="I425" s="10">
        <v>0</v>
      </c>
      <c r="J425" s="10">
        <v>0</v>
      </c>
    </row>
    <row r="426" spans="1:10">
      <c r="A426" s="57" t="s">
        <v>288</v>
      </c>
      <c r="B426" s="10" t="s">
        <v>97</v>
      </c>
      <c r="C426" s="10">
        <v>15</v>
      </c>
      <c r="D426" s="10">
        <v>15</v>
      </c>
      <c r="E426" s="10">
        <v>15</v>
      </c>
      <c r="F426" s="10">
        <v>15</v>
      </c>
      <c r="G426" s="10">
        <v>15</v>
      </c>
      <c r="H426" s="10">
        <v>0</v>
      </c>
      <c r="I426" s="10">
        <v>0</v>
      </c>
      <c r="J426" s="10">
        <v>0</v>
      </c>
    </row>
    <row r="427" spans="1:10">
      <c r="A427" s="61" t="s">
        <v>288</v>
      </c>
      <c r="B427" s="62" t="s">
        <v>339</v>
      </c>
      <c r="C427" s="10">
        <v>21.3</v>
      </c>
      <c r="D427" s="10">
        <v>34.299999999999997</v>
      </c>
      <c r="E427" s="10">
        <v>34.299999999999997</v>
      </c>
      <c r="F427" s="10">
        <v>34.299999999999997</v>
      </c>
      <c r="G427" s="10">
        <v>34.299999999999997</v>
      </c>
      <c r="H427" s="10">
        <v>34.299999999999997</v>
      </c>
      <c r="I427" s="10">
        <v>34.299999999999997</v>
      </c>
      <c r="J427" s="10">
        <v>34.299999999999997</v>
      </c>
    </row>
    <row r="428" spans="1:10" hidden="1">
      <c r="A428" s="10" t="s">
        <v>289</v>
      </c>
      <c r="B428" s="10" t="s">
        <v>475</v>
      </c>
      <c r="C428" s="10">
        <v>2.3920476913559417E-3</v>
      </c>
      <c r="D428" s="10">
        <v>2.3920476913559417E-3</v>
      </c>
      <c r="E428" s="10">
        <v>2.0976418216505951E-3</v>
      </c>
      <c r="F428" s="10">
        <v>1.8032359519452484E-3</v>
      </c>
      <c r="G428" s="10">
        <v>9.0161797597262418E-4</v>
      </c>
      <c r="H428" s="10">
        <v>0</v>
      </c>
      <c r="I428" s="10">
        <v>0</v>
      </c>
      <c r="J428" s="10">
        <v>0</v>
      </c>
    </row>
    <row r="429" spans="1:10" hidden="1">
      <c r="A429" s="10" t="s">
        <v>289</v>
      </c>
      <c r="B429" s="10" t="s">
        <v>108</v>
      </c>
      <c r="C429" s="10">
        <v>5.0736590506128658E-2</v>
      </c>
      <c r="D429" s="10">
        <v>5.0736590506128658E-2</v>
      </c>
      <c r="E429" s="10">
        <v>3.4893939715677426E-2</v>
      </c>
      <c r="F429" s="10">
        <v>1.9051288925226176E-2</v>
      </c>
      <c r="G429" s="10">
        <v>9.5256444626130882E-3</v>
      </c>
      <c r="H429" s="10">
        <v>0</v>
      </c>
      <c r="I429" s="10">
        <v>0</v>
      </c>
      <c r="J429" s="10">
        <v>0</v>
      </c>
    </row>
    <row r="430" spans="1:10" hidden="1">
      <c r="A430" s="10" t="s">
        <v>289</v>
      </c>
      <c r="B430" s="10" t="s">
        <v>481</v>
      </c>
      <c r="C430" s="10">
        <v>0.59751403570602801</v>
      </c>
      <c r="D430" s="10">
        <v>0.19751403570602827</v>
      </c>
      <c r="E430" s="10">
        <v>0.19752891846352857</v>
      </c>
      <c r="F430" s="10">
        <v>0.19754380122102888</v>
      </c>
      <c r="G430" s="10">
        <v>0.19461685891263095</v>
      </c>
      <c r="H430" s="10">
        <v>0.19168991660423298</v>
      </c>
      <c r="I430" s="10">
        <v>9.5844958302116492E-2</v>
      </c>
      <c r="J430" s="10">
        <v>0</v>
      </c>
    </row>
    <row r="431" spans="1:10" hidden="1">
      <c r="A431" s="10" t="s">
        <v>289</v>
      </c>
      <c r="B431" s="10" t="s">
        <v>485</v>
      </c>
      <c r="C431" s="10">
        <v>0.13293826027585132</v>
      </c>
      <c r="D431" s="10">
        <v>0.13293826027585132</v>
      </c>
      <c r="E431" s="10">
        <v>6.6469130137925658E-2</v>
      </c>
      <c r="F431" s="10">
        <v>0</v>
      </c>
      <c r="G431" s="10">
        <v>0</v>
      </c>
      <c r="H431" s="10">
        <v>0</v>
      </c>
      <c r="I431" s="10">
        <v>0</v>
      </c>
      <c r="J431" s="10">
        <v>0</v>
      </c>
    </row>
    <row r="432" spans="1:10" hidden="1">
      <c r="A432" s="57" t="s">
        <v>289</v>
      </c>
      <c r="B432" s="10" t="s">
        <v>142</v>
      </c>
      <c r="C432" s="10">
        <v>1.4119999999999999</v>
      </c>
      <c r="D432" s="10">
        <v>1.4119999999999999</v>
      </c>
      <c r="E432" s="10">
        <v>1.4119999999999999</v>
      </c>
      <c r="F432" s="10">
        <v>1.4119999999999999</v>
      </c>
      <c r="G432" s="10">
        <v>1.4119999999999999</v>
      </c>
      <c r="H432" s="10">
        <v>1.4119999999999999</v>
      </c>
      <c r="I432" s="10">
        <v>1.4119999999999999</v>
      </c>
      <c r="J432" s="10">
        <v>1.4119999999999999</v>
      </c>
    </row>
    <row r="433" spans="1:10" hidden="1">
      <c r="A433" s="58" t="s">
        <v>289</v>
      </c>
      <c r="B433" s="58" t="s">
        <v>243</v>
      </c>
      <c r="C433" s="58">
        <v>2.5453000000000001</v>
      </c>
      <c r="D433" s="58">
        <v>2.2908000000000004</v>
      </c>
      <c r="E433" s="58">
        <v>1.7754000000000001</v>
      </c>
      <c r="F433" s="58">
        <v>1.0652999999999999</v>
      </c>
      <c r="G433" s="58">
        <v>0.53269999999999995</v>
      </c>
      <c r="H433" s="58">
        <v>0.21309999999999998</v>
      </c>
      <c r="I433" s="58">
        <v>4.2700000000000002E-2</v>
      </c>
      <c r="J433" s="58">
        <v>0</v>
      </c>
    </row>
    <row r="434" spans="1:10" hidden="1">
      <c r="A434" s="58" t="s">
        <v>289</v>
      </c>
      <c r="B434" s="58" t="s">
        <v>244</v>
      </c>
      <c r="C434" s="58">
        <v>0.2024</v>
      </c>
      <c r="D434" s="58">
        <v>0.1822</v>
      </c>
      <c r="E434" s="58">
        <v>0.14129999999999998</v>
      </c>
      <c r="F434" s="58">
        <v>8.48E-2</v>
      </c>
      <c r="G434" s="58">
        <v>4.24E-2</v>
      </c>
      <c r="H434" s="58">
        <v>1.6999999999999998E-2</v>
      </c>
      <c r="I434" s="58">
        <v>3.3999999999999998E-3</v>
      </c>
      <c r="J434" s="58">
        <v>0</v>
      </c>
    </row>
    <row r="435" spans="1:10" hidden="1">
      <c r="A435" s="58" t="s">
        <v>289</v>
      </c>
      <c r="B435" s="58" t="s">
        <v>245</v>
      </c>
      <c r="C435" s="58">
        <v>0.24509999999999998</v>
      </c>
      <c r="D435" s="58">
        <v>0.22059999999999999</v>
      </c>
      <c r="E435" s="58">
        <v>0.17099999999999999</v>
      </c>
      <c r="F435" s="58">
        <v>0.1026</v>
      </c>
      <c r="G435" s="58">
        <v>5.1299999999999998E-2</v>
      </c>
      <c r="H435" s="58">
        <v>2.06E-2</v>
      </c>
      <c r="I435" s="58">
        <v>4.2000000000000006E-3</v>
      </c>
      <c r="J435" s="58">
        <v>0</v>
      </c>
    </row>
    <row r="436" spans="1:10" hidden="1">
      <c r="A436" s="58" t="s">
        <v>289</v>
      </c>
      <c r="B436" s="58" t="s">
        <v>217</v>
      </c>
      <c r="C436" s="58">
        <v>0.14099999999999999</v>
      </c>
      <c r="D436" s="58">
        <v>0.12690000000000001</v>
      </c>
      <c r="E436" s="58">
        <v>9.8400000000000001E-2</v>
      </c>
      <c r="F436" s="58">
        <v>5.91E-2</v>
      </c>
      <c r="G436" s="58">
        <v>2.9599999999999998E-2</v>
      </c>
      <c r="H436" s="58">
        <v>1.1899999999999999E-2</v>
      </c>
      <c r="I436" s="58">
        <v>2.3999999999999998E-3</v>
      </c>
      <c r="J436" s="58">
        <v>0</v>
      </c>
    </row>
    <row r="437" spans="1:10" hidden="1">
      <c r="A437" s="58" t="s">
        <v>289</v>
      </c>
      <c r="B437" s="58" t="s">
        <v>237</v>
      </c>
      <c r="C437" s="58">
        <v>2.69E-2</v>
      </c>
      <c r="D437" s="58">
        <v>2.4299999999999999E-2</v>
      </c>
      <c r="E437" s="58">
        <v>1.89E-2</v>
      </c>
      <c r="F437" s="58">
        <v>1.1399999999999999E-2</v>
      </c>
      <c r="G437" s="58">
        <v>5.7000000000000002E-3</v>
      </c>
      <c r="H437" s="58">
        <v>2.3E-3</v>
      </c>
      <c r="I437" s="58">
        <v>5.0000000000000001E-4</v>
      </c>
      <c r="J437" s="58">
        <v>0</v>
      </c>
    </row>
    <row r="438" spans="1:10" hidden="1">
      <c r="A438" s="58" t="s">
        <v>289</v>
      </c>
      <c r="B438" s="58" t="s">
        <v>226</v>
      </c>
      <c r="C438" s="58">
        <v>1.5006999999999999</v>
      </c>
      <c r="D438" s="58">
        <v>1.3507</v>
      </c>
      <c r="E438" s="58">
        <v>1.0468</v>
      </c>
      <c r="F438" s="58">
        <v>0.62809999999999999</v>
      </c>
      <c r="G438" s="58">
        <v>0.31409999999999999</v>
      </c>
      <c r="H438" s="58">
        <v>0.12569999999999998</v>
      </c>
      <c r="I438" s="58">
        <v>2.52E-2</v>
      </c>
      <c r="J438" s="58">
        <v>0</v>
      </c>
    </row>
    <row r="439" spans="1:10" hidden="1">
      <c r="A439" s="58" t="s">
        <v>289</v>
      </c>
      <c r="B439" s="58" t="s">
        <v>227</v>
      </c>
      <c r="C439" s="58">
        <v>0.30359999999999998</v>
      </c>
      <c r="D439" s="58">
        <v>0.27329999999999999</v>
      </c>
      <c r="E439" s="58">
        <v>0.21189999999999998</v>
      </c>
      <c r="F439" s="58">
        <v>0.12719999999999998</v>
      </c>
      <c r="G439" s="58">
        <v>6.3600000000000004E-2</v>
      </c>
      <c r="H439" s="58">
        <v>2.5499999999999998E-2</v>
      </c>
      <c r="I439" s="58">
        <v>5.1000000000000004E-3</v>
      </c>
      <c r="J439" s="58">
        <v>0</v>
      </c>
    </row>
    <row r="440" spans="1:10" hidden="1">
      <c r="A440" s="58" t="s">
        <v>289</v>
      </c>
      <c r="B440" s="58" t="s">
        <v>206</v>
      </c>
      <c r="C440" s="58">
        <v>1.1060000000000001</v>
      </c>
      <c r="D440" s="58">
        <v>0.99539999999999995</v>
      </c>
      <c r="E440" s="58">
        <v>0.77149999999999996</v>
      </c>
      <c r="F440" s="58">
        <v>0.46289999999999998</v>
      </c>
      <c r="G440" s="58">
        <v>0.23149999999999998</v>
      </c>
      <c r="H440" s="58">
        <v>9.2600000000000002E-2</v>
      </c>
      <c r="I440" s="58">
        <v>1.8599999999999998E-2</v>
      </c>
    </row>
    <row r="441" spans="1:10" hidden="1">
      <c r="A441" s="58" t="s">
        <v>289</v>
      </c>
      <c r="B441" s="58" t="s">
        <v>233</v>
      </c>
      <c r="C441" s="58">
        <v>0.97719999999999996</v>
      </c>
      <c r="D441" s="58">
        <v>0.87949999999999995</v>
      </c>
      <c r="E441" s="58">
        <v>0.68169999999999997</v>
      </c>
      <c r="F441" s="58">
        <v>0.40909999999999996</v>
      </c>
      <c r="G441" s="58">
        <v>0.20459999999999998</v>
      </c>
      <c r="H441" s="58">
        <v>8.1900000000000001E-2</v>
      </c>
      <c r="I441" s="58">
        <v>1.6399999999999998E-2</v>
      </c>
    </row>
    <row r="442" spans="1:10" hidden="1">
      <c r="A442" s="58" t="s">
        <v>289</v>
      </c>
      <c r="B442" s="58" t="s">
        <v>224</v>
      </c>
      <c r="C442" s="58">
        <v>16.808199999999999</v>
      </c>
      <c r="D442" s="58">
        <v>15.1274</v>
      </c>
      <c r="E442" s="58">
        <v>11.723799999999999</v>
      </c>
      <c r="F442" s="58">
        <v>7.0343</v>
      </c>
      <c r="G442" s="58">
        <v>3.5172000000000003</v>
      </c>
      <c r="H442" s="58">
        <v>1.4069</v>
      </c>
      <c r="I442" s="58">
        <v>0.28139999999999998</v>
      </c>
    </row>
    <row r="443" spans="1:10" hidden="1">
      <c r="A443" s="58" t="s">
        <v>289</v>
      </c>
      <c r="B443" s="58" t="s">
        <v>207</v>
      </c>
      <c r="C443" s="58">
        <v>6.4000000000000003E-3</v>
      </c>
      <c r="D443" s="58">
        <v>5.8000000000000005E-3</v>
      </c>
      <c r="E443" s="58">
        <v>4.5000000000000005E-3</v>
      </c>
      <c r="F443" s="58">
        <v>2.7000000000000001E-3</v>
      </c>
      <c r="G443" s="58">
        <v>1.4E-3</v>
      </c>
      <c r="H443" s="58">
        <v>6.0000000000000006E-4</v>
      </c>
      <c r="I443" s="58">
        <v>0</v>
      </c>
    </row>
    <row r="444" spans="1:10" hidden="1">
      <c r="A444" s="58" t="s">
        <v>289</v>
      </c>
      <c r="B444" s="58" t="s">
        <v>225</v>
      </c>
      <c r="C444" s="58">
        <v>2.1284000000000001</v>
      </c>
      <c r="D444" s="58">
        <v>1.9156</v>
      </c>
      <c r="E444" s="58">
        <v>1.4845999999999999</v>
      </c>
      <c r="F444" s="58">
        <v>0.89080000000000004</v>
      </c>
      <c r="G444" s="58">
        <v>0.44540000000000002</v>
      </c>
      <c r="H444" s="58">
        <v>0.1782</v>
      </c>
      <c r="I444" s="58">
        <v>3.5700000000000003E-2</v>
      </c>
    </row>
    <row r="445" spans="1:10" hidden="1">
      <c r="A445" s="58" t="s">
        <v>289</v>
      </c>
      <c r="B445" s="58" t="s">
        <v>228</v>
      </c>
      <c r="C445" s="58">
        <v>1.1242000000000001</v>
      </c>
      <c r="D445" s="58">
        <v>1.0118</v>
      </c>
      <c r="E445" s="58">
        <v>0.78420000000000001</v>
      </c>
      <c r="F445" s="58">
        <v>0.47059999999999996</v>
      </c>
      <c r="G445" s="58">
        <v>0.23530000000000001</v>
      </c>
      <c r="H445" s="58">
        <v>9.4200000000000006E-2</v>
      </c>
      <c r="I445" s="58">
        <v>1.89E-2</v>
      </c>
      <c r="J445" s="58">
        <v>0</v>
      </c>
    </row>
    <row r="446" spans="1:10" hidden="1">
      <c r="A446" s="58" t="s">
        <v>289</v>
      </c>
      <c r="B446" s="58" t="s">
        <v>230</v>
      </c>
      <c r="C446" s="58">
        <v>9.1875999999999998</v>
      </c>
      <c r="D446" s="58">
        <v>8.2689000000000004</v>
      </c>
      <c r="E446" s="58">
        <v>6.4083999999999994</v>
      </c>
      <c r="F446" s="58">
        <v>3.8451000000000004</v>
      </c>
      <c r="G446" s="58">
        <v>1.9226000000000001</v>
      </c>
      <c r="H446" s="58">
        <v>0.76910000000000001</v>
      </c>
      <c r="I446" s="58">
        <v>0.15389999999999998</v>
      </c>
      <c r="J446" s="58">
        <v>0</v>
      </c>
    </row>
    <row r="447" spans="1:10" hidden="1">
      <c r="A447" s="58" t="s">
        <v>289</v>
      </c>
      <c r="B447" s="58" t="s">
        <v>231</v>
      </c>
      <c r="C447" s="58">
        <v>0.84599999999999997</v>
      </c>
      <c r="D447" s="58">
        <v>0.76139999999999997</v>
      </c>
      <c r="E447" s="58">
        <v>0.59009999999999996</v>
      </c>
      <c r="F447" s="58">
        <v>0.35409999999999997</v>
      </c>
      <c r="G447" s="58">
        <v>0.17709999999999998</v>
      </c>
      <c r="H447" s="58">
        <v>7.0900000000000005E-2</v>
      </c>
      <c r="I447" s="58">
        <v>1.4199999999999999E-2</v>
      </c>
      <c r="J447" s="58">
        <v>0</v>
      </c>
    </row>
    <row r="448" spans="1:10" hidden="1">
      <c r="A448" s="58" t="s">
        <v>289</v>
      </c>
      <c r="B448" s="58" t="s">
        <v>240</v>
      </c>
      <c r="C448" s="58">
        <v>1.9E-3</v>
      </c>
      <c r="D448" s="58">
        <v>1.8E-3</v>
      </c>
      <c r="E448" s="58">
        <v>1.4E-3</v>
      </c>
      <c r="F448" s="58">
        <v>9.0000000000000008E-4</v>
      </c>
      <c r="G448" s="58">
        <v>0</v>
      </c>
      <c r="H448" s="58">
        <v>0</v>
      </c>
      <c r="I448" s="58">
        <v>0</v>
      </c>
      <c r="J448" s="58">
        <v>0</v>
      </c>
    </row>
    <row r="449" spans="1:33" hidden="1">
      <c r="A449" s="57" t="s">
        <v>289</v>
      </c>
      <c r="B449" s="10" t="s">
        <v>163</v>
      </c>
      <c r="C449" s="10">
        <v>0.35</v>
      </c>
      <c r="D449" s="10">
        <v>0.1328515175328675</v>
      </c>
      <c r="E449" s="10">
        <v>0.1328515175328675</v>
      </c>
      <c r="F449" s="10">
        <v>0.1328515175328675</v>
      </c>
      <c r="G449" s="10">
        <v>0.13140725952042137</v>
      </c>
      <c r="H449" s="10">
        <v>0.13004965698872203</v>
      </c>
      <c r="I449" s="10">
        <v>5.0554807467663491E-2</v>
      </c>
      <c r="J449" s="10">
        <v>6.585816536754243E-3</v>
      </c>
    </row>
    <row r="450" spans="1:33" hidden="1">
      <c r="A450" s="57" t="s">
        <v>289</v>
      </c>
      <c r="B450" s="10" t="s">
        <v>107</v>
      </c>
      <c r="C450" s="10">
        <v>0</v>
      </c>
      <c r="D450" s="10">
        <v>0</v>
      </c>
      <c r="E450" s="10">
        <v>0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</row>
    <row r="451" spans="1:33" hidden="1">
      <c r="A451" s="57" t="s">
        <v>289</v>
      </c>
      <c r="B451" s="10" t="s">
        <v>106</v>
      </c>
      <c r="C451" s="10">
        <v>3.9119999999999999</v>
      </c>
      <c r="D451" s="10">
        <v>2.3858125426704384</v>
      </c>
      <c r="E451" s="10">
        <v>1.4624691309860527</v>
      </c>
      <c r="F451" s="10">
        <v>0.76805383790110204</v>
      </c>
      <c r="G451" s="10">
        <v>0.53149478201802003</v>
      </c>
      <c r="H451" s="10">
        <v>0.25182093045937776</v>
      </c>
      <c r="I451" s="10">
        <v>0</v>
      </c>
      <c r="J451" s="10">
        <v>0</v>
      </c>
    </row>
    <row r="452" spans="1:33" hidden="1">
      <c r="A452" s="57" t="s">
        <v>289</v>
      </c>
      <c r="B452" s="10" t="s">
        <v>22</v>
      </c>
      <c r="C452" s="10">
        <v>5.202</v>
      </c>
      <c r="D452" s="10">
        <v>5.1967427790876144</v>
      </c>
      <c r="E452" s="10">
        <v>5.1612598833167933</v>
      </c>
      <c r="F452" s="10">
        <v>5.0839988444635829</v>
      </c>
      <c r="G452" s="10">
        <v>5.0342705575612516</v>
      </c>
      <c r="H452" s="10">
        <v>4.4147191063568316</v>
      </c>
      <c r="I452" s="10">
        <v>3.1519728258750508</v>
      </c>
      <c r="J452" s="10">
        <v>0.92554630536320481</v>
      </c>
    </row>
    <row r="453" spans="1:33" hidden="1">
      <c r="A453" s="10" t="s">
        <v>289</v>
      </c>
      <c r="B453" s="10" t="s">
        <v>488</v>
      </c>
      <c r="C453" s="10">
        <v>4.6992120000000002</v>
      </c>
      <c r="D453" s="10">
        <v>4.6992120000000002</v>
      </c>
      <c r="E453" s="10">
        <v>4.9224000438413364</v>
      </c>
      <c r="F453" s="10">
        <v>5.145588087682671</v>
      </c>
      <c r="G453" s="10">
        <v>4.9155872219902568</v>
      </c>
      <c r="H453" s="10">
        <v>4.6855863562978417</v>
      </c>
      <c r="I453" s="10">
        <v>2.3427931781489209</v>
      </c>
      <c r="J453" s="10">
        <v>0</v>
      </c>
    </row>
    <row r="454" spans="1:33" hidden="1">
      <c r="A454" s="10" t="s">
        <v>289</v>
      </c>
      <c r="B454" s="10" t="s">
        <v>490</v>
      </c>
      <c r="C454" s="10">
        <v>0.14799999999999999</v>
      </c>
      <c r="D454" s="10">
        <v>0.14799999999999999</v>
      </c>
      <c r="E454" s="10">
        <v>0.14799999999999999</v>
      </c>
      <c r="F454" s="10">
        <v>0.14799999999999999</v>
      </c>
      <c r="G454" s="10">
        <v>0.14799999999999999</v>
      </c>
      <c r="H454" s="10">
        <v>0.14799999999999999</v>
      </c>
      <c r="I454" s="10">
        <v>7.3999999999999996E-2</v>
      </c>
      <c r="J454" s="10">
        <v>0</v>
      </c>
    </row>
    <row r="455" spans="1:33" hidden="1">
      <c r="A455" s="57" t="s">
        <v>289</v>
      </c>
      <c r="B455" s="10" t="s">
        <v>23</v>
      </c>
      <c r="C455" s="10">
        <v>0</v>
      </c>
      <c r="D455" s="10">
        <v>0</v>
      </c>
      <c r="E455" s="10">
        <v>0</v>
      </c>
      <c r="F455" s="10">
        <v>0</v>
      </c>
      <c r="G455" s="10">
        <v>0</v>
      </c>
      <c r="H455" s="10">
        <v>0</v>
      </c>
      <c r="I455" s="10">
        <v>0</v>
      </c>
      <c r="J455" s="10">
        <v>0</v>
      </c>
    </row>
    <row r="456" spans="1:33" hidden="1">
      <c r="A456" s="57" t="s">
        <v>289</v>
      </c>
      <c r="B456" s="10" t="s">
        <v>58</v>
      </c>
      <c r="C456" s="10">
        <v>1.3</v>
      </c>
      <c r="D456" s="10">
        <v>0.97500000000000009</v>
      </c>
      <c r="E456" s="10">
        <v>0.73125000000000007</v>
      </c>
      <c r="F456" s="10">
        <v>0.54843750000000002</v>
      </c>
      <c r="G456" s="10">
        <v>0.41132812500000004</v>
      </c>
      <c r="H456" s="10">
        <v>0</v>
      </c>
      <c r="I456" s="10">
        <v>0</v>
      </c>
      <c r="J456" s="10">
        <v>0</v>
      </c>
    </row>
    <row r="457" spans="1:33" hidden="1">
      <c r="A457" s="58" t="s">
        <v>289</v>
      </c>
      <c r="B457" s="58" t="s">
        <v>102</v>
      </c>
      <c r="C457" s="58">
        <v>3.17</v>
      </c>
      <c r="D457" s="58">
        <v>3.17</v>
      </c>
      <c r="E457" s="58">
        <v>3.17</v>
      </c>
      <c r="F457" s="58">
        <v>3.17</v>
      </c>
      <c r="G457" s="58">
        <v>3.17</v>
      </c>
      <c r="H457" s="58">
        <v>3.17</v>
      </c>
      <c r="I457" s="58">
        <v>3.17</v>
      </c>
      <c r="J457" s="58">
        <v>3.17</v>
      </c>
    </row>
    <row r="458" spans="1:33" hidden="1">
      <c r="A458" s="57" t="s">
        <v>289</v>
      </c>
      <c r="B458" s="10" t="s">
        <v>103</v>
      </c>
      <c r="C458" s="10">
        <v>0.22600000000000001</v>
      </c>
      <c r="D458" s="10">
        <v>0.22600000000000001</v>
      </c>
      <c r="E458" s="10">
        <v>0.22600000000000001</v>
      </c>
      <c r="F458" s="10">
        <v>0.22600000000000001</v>
      </c>
      <c r="G458" s="10">
        <v>0.22600000000000001</v>
      </c>
      <c r="H458" s="10">
        <v>0.22600000000000001</v>
      </c>
      <c r="I458" s="10">
        <v>0.22600000000000001</v>
      </c>
      <c r="J458" s="10">
        <v>0.22600000000000001</v>
      </c>
    </row>
    <row r="459" spans="1:33" hidden="1">
      <c r="A459" s="57" t="s">
        <v>289</v>
      </c>
      <c r="B459" s="10" t="s">
        <v>94</v>
      </c>
      <c r="C459" s="10">
        <v>3.12</v>
      </c>
      <c r="D459" s="10">
        <v>2.9849672385130535</v>
      </c>
      <c r="E459" s="10">
        <v>2.9843789459129066</v>
      </c>
      <c r="F459" s="10">
        <v>2.9823689461957401</v>
      </c>
      <c r="G459" s="10">
        <v>2.4811436508709686</v>
      </c>
      <c r="H459" s="10">
        <v>0</v>
      </c>
      <c r="I459" s="10">
        <v>0</v>
      </c>
      <c r="J459" s="10">
        <v>0</v>
      </c>
    </row>
    <row r="460" spans="1:33" hidden="1">
      <c r="A460" s="57" t="s">
        <v>289</v>
      </c>
      <c r="B460" s="10" t="s">
        <v>170</v>
      </c>
      <c r="C460" s="10">
        <v>0</v>
      </c>
      <c r="D460" s="10">
        <v>0</v>
      </c>
      <c r="E460" s="10">
        <v>0</v>
      </c>
      <c r="F460" s="10">
        <v>0</v>
      </c>
      <c r="G460" s="10">
        <v>0</v>
      </c>
      <c r="H460" s="10">
        <v>0</v>
      </c>
      <c r="I460" s="10">
        <v>0</v>
      </c>
      <c r="J460" s="10">
        <v>0</v>
      </c>
    </row>
    <row r="461" spans="1:33" hidden="1">
      <c r="A461" s="57" t="s">
        <v>289</v>
      </c>
      <c r="B461" s="10" t="s">
        <v>97</v>
      </c>
      <c r="C461" s="10">
        <v>2.8439999999999999</v>
      </c>
      <c r="D461" s="10">
        <v>2.8439999999999999</v>
      </c>
      <c r="E461" s="10">
        <v>2.8439999999999999</v>
      </c>
      <c r="F461" s="10">
        <v>1.1519357229967235</v>
      </c>
      <c r="G461" s="10">
        <v>0.19112570157788833</v>
      </c>
      <c r="H461" s="10">
        <v>0</v>
      </c>
      <c r="I461" s="10">
        <v>0</v>
      </c>
      <c r="J461" s="10">
        <v>0</v>
      </c>
    </row>
    <row r="462" spans="1:33" hidden="1">
      <c r="A462" s="61" t="s">
        <v>289</v>
      </c>
      <c r="B462" s="62" t="s">
        <v>339</v>
      </c>
      <c r="C462" s="10">
        <v>5</v>
      </c>
      <c r="D462" s="10">
        <v>10.625</v>
      </c>
      <c r="E462" s="10">
        <v>10.625</v>
      </c>
      <c r="F462" s="10">
        <v>10.625</v>
      </c>
      <c r="G462" s="10">
        <v>10.625</v>
      </c>
      <c r="H462" s="10">
        <v>10.625</v>
      </c>
      <c r="I462" s="10">
        <v>10.625</v>
      </c>
      <c r="J462" s="10">
        <v>10.625</v>
      </c>
    </row>
    <row r="463" spans="1:33" hidden="1">
      <c r="A463" s="10" t="s">
        <v>290</v>
      </c>
      <c r="B463" s="10" t="s">
        <v>475</v>
      </c>
      <c r="C463" s="10">
        <v>0.1336716183068748</v>
      </c>
      <c r="D463" s="10">
        <v>0.1336716183068748</v>
      </c>
      <c r="E463" s="10">
        <v>0.11721972682295174</v>
      </c>
      <c r="F463" s="10">
        <v>0.10076783533902869</v>
      </c>
      <c r="G463" s="10">
        <v>5.0383917669514347E-2</v>
      </c>
      <c r="H463" s="10">
        <v>0</v>
      </c>
      <c r="I463" s="10">
        <v>0</v>
      </c>
      <c r="J463" s="10">
        <v>0</v>
      </c>
      <c r="X463" s="10" t="s">
        <v>288</v>
      </c>
      <c r="Y463" s="10" t="s">
        <v>337</v>
      </c>
      <c r="Z463" s="10">
        <v>8.2040000000000006</v>
      </c>
      <c r="AA463" s="10">
        <v>8.2040000000000006</v>
      </c>
      <c r="AB463" s="10">
        <v>8.2040000000000006</v>
      </c>
      <c r="AC463" s="10">
        <v>8.2040000000000006</v>
      </c>
      <c r="AD463" s="10">
        <v>8.2040000000000006</v>
      </c>
      <c r="AE463" s="10">
        <v>8.2040000000000006</v>
      </c>
      <c r="AF463" s="10">
        <v>8.2040000000000006</v>
      </c>
      <c r="AG463" s="10">
        <v>8.2040000000000006</v>
      </c>
    </row>
    <row r="464" spans="1:33" hidden="1">
      <c r="A464" s="10" t="s">
        <v>290</v>
      </c>
      <c r="B464" s="10" t="s">
        <v>108</v>
      </c>
      <c r="C464" s="10">
        <v>1.3511293249086563E-2</v>
      </c>
      <c r="D464" s="10">
        <v>1.3511293249086563E-2</v>
      </c>
      <c r="E464" s="10">
        <v>9.2923518788184285E-3</v>
      </c>
      <c r="F464" s="10">
        <v>5.07341050855029E-3</v>
      </c>
      <c r="G464" s="10">
        <v>2.536705254275145E-3</v>
      </c>
      <c r="H464" s="10">
        <v>0</v>
      </c>
      <c r="I464" s="10">
        <v>0</v>
      </c>
      <c r="J464" s="10">
        <v>0</v>
      </c>
    </row>
    <row r="465" spans="1:33" hidden="1">
      <c r="A465" s="10" t="s">
        <v>290</v>
      </c>
      <c r="B465" s="10" t="s">
        <v>481</v>
      </c>
      <c r="C465" s="10">
        <v>0.64499861591134955</v>
      </c>
      <c r="D465" s="10">
        <v>0.64499861591134955</v>
      </c>
      <c r="E465" s="10">
        <v>0.57095540745213869</v>
      </c>
      <c r="F465" s="10">
        <v>0.4969121989929276</v>
      </c>
      <c r="G465" s="10">
        <v>0.4969121989929276</v>
      </c>
      <c r="H465" s="10">
        <v>0.4969121989929276</v>
      </c>
      <c r="I465" s="10">
        <v>0.2484560994964638</v>
      </c>
      <c r="J465" s="10">
        <v>0</v>
      </c>
      <c r="X465" s="10" t="s">
        <v>278</v>
      </c>
      <c r="Y465" s="10" t="s">
        <v>337</v>
      </c>
      <c r="Z465" s="10">
        <v>4.6710000000000003</v>
      </c>
      <c r="AA465" s="10">
        <v>4.6710000000000003</v>
      </c>
      <c r="AB465" s="10">
        <v>4.6710000000000003</v>
      </c>
      <c r="AC465" s="10">
        <v>4.6710000000000003</v>
      </c>
      <c r="AD465" s="10">
        <v>4.6710000000000003</v>
      </c>
      <c r="AE465" s="10">
        <v>4.6710000000000003</v>
      </c>
      <c r="AF465" s="10">
        <v>4.6710000000000003</v>
      </c>
      <c r="AG465" s="10">
        <v>4.6710000000000003</v>
      </c>
    </row>
    <row r="466" spans="1:33" hidden="1">
      <c r="A466" s="10" t="s">
        <v>290</v>
      </c>
      <c r="B466" s="10" t="s">
        <v>485</v>
      </c>
      <c r="C466" s="10">
        <v>6.8313677422780217E-2</v>
      </c>
      <c r="D466" s="10">
        <v>6.8313677422780217E-2</v>
      </c>
      <c r="E466" s="10">
        <v>3.4156838711390108E-2</v>
      </c>
      <c r="F466" s="10">
        <v>0</v>
      </c>
      <c r="G466" s="10">
        <v>0</v>
      </c>
      <c r="H466" s="10">
        <v>0</v>
      </c>
      <c r="I466" s="10">
        <v>0</v>
      </c>
      <c r="J466" s="10">
        <v>0</v>
      </c>
    </row>
    <row r="467" spans="1:33" hidden="1">
      <c r="A467" s="57" t="s">
        <v>290</v>
      </c>
      <c r="B467" s="10" t="s">
        <v>142</v>
      </c>
      <c r="C467" s="10">
        <v>0.30000000000000027</v>
      </c>
      <c r="D467" s="10">
        <v>0.30000000000000027</v>
      </c>
      <c r="E467" s="10">
        <v>0.30000000000000027</v>
      </c>
      <c r="F467" s="10">
        <v>0.30000000000000027</v>
      </c>
      <c r="G467" s="10">
        <v>0.30000000000000027</v>
      </c>
      <c r="H467" s="10">
        <v>0.30000000000000027</v>
      </c>
      <c r="I467" s="10">
        <v>0.30000000000000027</v>
      </c>
      <c r="J467" s="10">
        <v>0.30000000000000027</v>
      </c>
    </row>
    <row r="468" spans="1:33" hidden="1">
      <c r="A468" s="58" t="s">
        <v>290</v>
      </c>
      <c r="B468" s="58" t="s">
        <v>243</v>
      </c>
      <c r="C468" s="58">
        <v>3.7500000000000006E-2</v>
      </c>
      <c r="D468" s="58">
        <v>3.3800000000000004E-2</v>
      </c>
      <c r="E468" s="58">
        <v>2.6200000000000001E-2</v>
      </c>
      <c r="F468" s="58">
        <v>1.5799999999999998E-2</v>
      </c>
      <c r="G468" s="58">
        <v>7.9000000000000008E-3</v>
      </c>
      <c r="H468" s="58">
        <v>3.1999999999999997E-3</v>
      </c>
      <c r="I468" s="58">
        <v>6.9999999999999999E-4</v>
      </c>
      <c r="J468" s="58">
        <v>0</v>
      </c>
    </row>
    <row r="469" spans="1:33" hidden="1">
      <c r="A469" s="58" t="s">
        <v>290</v>
      </c>
      <c r="B469" s="58" t="s">
        <v>244</v>
      </c>
      <c r="C469" s="58">
        <v>6.13E-2</v>
      </c>
      <c r="D469" s="58">
        <v>5.5200000000000006E-2</v>
      </c>
      <c r="E469" s="58">
        <v>4.2800000000000005E-2</v>
      </c>
      <c r="F469" s="58">
        <v>2.5700000000000001E-2</v>
      </c>
      <c r="G469" s="58">
        <v>1.29E-2</v>
      </c>
      <c r="H469" s="58">
        <v>5.2000000000000006E-3</v>
      </c>
      <c r="I469" s="58">
        <v>1.1000000000000001E-3</v>
      </c>
      <c r="J469" s="58">
        <v>0</v>
      </c>
    </row>
    <row r="470" spans="1:33" hidden="1">
      <c r="A470" s="58" t="s">
        <v>290</v>
      </c>
      <c r="B470" s="58" t="s">
        <v>245</v>
      </c>
      <c r="C470" s="58">
        <v>1.5E-3</v>
      </c>
      <c r="D470" s="58">
        <v>1.4E-3</v>
      </c>
      <c r="E470" s="58">
        <v>1.1000000000000001E-3</v>
      </c>
      <c r="F470" s="58">
        <v>0</v>
      </c>
      <c r="G470" s="58">
        <v>0</v>
      </c>
      <c r="H470" s="58">
        <v>0</v>
      </c>
      <c r="I470" s="58">
        <v>0</v>
      </c>
      <c r="J470" s="58">
        <v>0</v>
      </c>
    </row>
    <row r="471" spans="1:33" hidden="1">
      <c r="A471" s="58" t="s">
        <v>290</v>
      </c>
      <c r="B471" s="58" t="s">
        <v>217</v>
      </c>
      <c r="C471" s="58">
        <v>1.1899999999999999E-2</v>
      </c>
      <c r="D471" s="58">
        <v>1.0799999999999999E-2</v>
      </c>
      <c r="E471" s="58">
        <v>8.3999999999999995E-3</v>
      </c>
      <c r="F471" s="58">
        <v>5.1000000000000004E-3</v>
      </c>
      <c r="G471" s="58">
        <v>2.5999999999999999E-3</v>
      </c>
      <c r="H471" s="58">
        <v>1.1000000000000001E-3</v>
      </c>
      <c r="I471" s="58">
        <v>0</v>
      </c>
      <c r="J471" s="58">
        <v>0</v>
      </c>
    </row>
    <row r="472" spans="1:33" hidden="1">
      <c r="A472" s="58" t="s">
        <v>290</v>
      </c>
      <c r="B472" s="58" t="s">
        <v>237</v>
      </c>
      <c r="C472" s="58">
        <v>7.6E-3</v>
      </c>
      <c r="D472" s="58">
        <v>6.8999999999999999E-3</v>
      </c>
      <c r="E472" s="58">
        <v>5.4000000000000003E-3</v>
      </c>
      <c r="F472" s="58">
        <v>3.3E-3</v>
      </c>
      <c r="G472" s="58">
        <v>1.7000000000000001E-3</v>
      </c>
      <c r="H472" s="58">
        <v>6.9999999999999999E-4</v>
      </c>
      <c r="I472" s="58">
        <v>0</v>
      </c>
      <c r="J472" s="58">
        <v>0</v>
      </c>
    </row>
    <row r="473" spans="1:33" hidden="1">
      <c r="A473" s="58" t="s">
        <v>290</v>
      </c>
      <c r="B473" s="58" t="s">
        <v>226</v>
      </c>
      <c r="C473" s="58">
        <v>0.72160000000000002</v>
      </c>
      <c r="D473" s="58">
        <v>0.64949999999999997</v>
      </c>
      <c r="E473" s="58">
        <v>0.50339999999999996</v>
      </c>
      <c r="F473" s="58">
        <v>0.30209999999999998</v>
      </c>
      <c r="G473" s="58">
        <v>0.15109999999999998</v>
      </c>
      <c r="H473" s="58">
        <v>6.0500000000000005E-2</v>
      </c>
      <c r="I473" s="58">
        <v>1.21E-2</v>
      </c>
      <c r="J473" s="58">
        <v>0</v>
      </c>
    </row>
    <row r="474" spans="1:33" hidden="1">
      <c r="A474" s="58" t="s">
        <v>290</v>
      </c>
      <c r="B474" s="58" t="s">
        <v>219</v>
      </c>
      <c r="C474" s="58">
        <v>1.8E-3</v>
      </c>
      <c r="D474" s="58">
        <v>1.7000000000000001E-3</v>
      </c>
      <c r="E474" s="58">
        <v>1.4E-3</v>
      </c>
      <c r="F474" s="58">
        <v>9.0000000000000008E-4</v>
      </c>
      <c r="G474" s="58">
        <v>0</v>
      </c>
      <c r="H474" s="58">
        <v>0</v>
      </c>
      <c r="I474" s="58">
        <v>0</v>
      </c>
      <c r="J474" s="58">
        <v>0</v>
      </c>
    </row>
    <row r="475" spans="1:33" hidden="1">
      <c r="A475" s="58" t="s">
        <v>290</v>
      </c>
      <c r="B475" s="58" t="s">
        <v>220</v>
      </c>
      <c r="C475" s="58">
        <v>6.2000000000000006E-3</v>
      </c>
      <c r="D475" s="58">
        <v>5.5999999999999999E-3</v>
      </c>
      <c r="E475" s="58">
        <v>4.4000000000000003E-3</v>
      </c>
      <c r="F475" s="58">
        <v>2.6999999999999997E-3</v>
      </c>
      <c r="G475" s="58">
        <v>1.4E-3</v>
      </c>
      <c r="H475" s="58">
        <v>6.0000000000000006E-4</v>
      </c>
      <c r="I475" s="58">
        <v>0</v>
      </c>
      <c r="J475" s="58">
        <v>0</v>
      </c>
    </row>
    <row r="476" spans="1:33" hidden="1">
      <c r="A476" s="58" t="s">
        <v>290</v>
      </c>
      <c r="B476" s="58" t="s">
        <v>227</v>
      </c>
      <c r="C476" s="58">
        <v>9.6799999999999997E-2</v>
      </c>
      <c r="D476" s="58">
        <v>8.72E-2</v>
      </c>
      <c r="E476" s="58">
        <v>6.7600000000000007E-2</v>
      </c>
      <c r="F476" s="58">
        <v>4.0600000000000004E-2</v>
      </c>
      <c r="G476" s="58">
        <v>2.0299999999999999E-2</v>
      </c>
      <c r="H476" s="58">
        <v>8.199999999999999E-3</v>
      </c>
      <c r="I476" s="58">
        <v>1.7000000000000001E-3</v>
      </c>
      <c r="J476" s="58">
        <v>0</v>
      </c>
    </row>
    <row r="477" spans="1:33" hidden="1">
      <c r="A477" s="58" t="s">
        <v>290</v>
      </c>
      <c r="B477" s="58" t="s">
        <v>206</v>
      </c>
      <c r="C477" s="58">
        <v>1.5740000000000001</v>
      </c>
      <c r="D477" s="58">
        <v>1.4166000000000001</v>
      </c>
      <c r="E477" s="58">
        <v>1.0979000000000001</v>
      </c>
      <c r="F477" s="58">
        <v>0.65879999999999994</v>
      </c>
      <c r="G477" s="58">
        <v>0.32940000000000003</v>
      </c>
      <c r="H477" s="58">
        <v>0.1318</v>
      </c>
      <c r="I477" s="58">
        <v>2.64E-2</v>
      </c>
    </row>
    <row r="478" spans="1:33" hidden="1">
      <c r="A478" s="58" t="s">
        <v>290</v>
      </c>
      <c r="B478" s="58" t="s">
        <v>233</v>
      </c>
      <c r="C478" s="58">
        <v>0.33560000000000001</v>
      </c>
      <c r="D478" s="58">
        <v>0.30209999999999998</v>
      </c>
      <c r="E478" s="58">
        <v>0.23419999999999999</v>
      </c>
      <c r="F478" s="58">
        <v>0.1406</v>
      </c>
      <c r="G478" s="58">
        <v>7.0300000000000001E-2</v>
      </c>
      <c r="H478" s="58">
        <v>2.8199999999999999E-2</v>
      </c>
      <c r="I478" s="58">
        <v>5.7000000000000002E-3</v>
      </c>
    </row>
    <row r="479" spans="1:33" hidden="1">
      <c r="A479" s="58" t="s">
        <v>290</v>
      </c>
      <c r="B479" s="58" t="s">
        <v>224</v>
      </c>
      <c r="C479" s="58">
        <v>4.5112999999999994</v>
      </c>
      <c r="D479" s="58">
        <v>4.0602</v>
      </c>
      <c r="E479" s="58">
        <v>3.1467000000000001</v>
      </c>
      <c r="F479" s="58">
        <v>1.8880999999999999</v>
      </c>
      <c r="G479" s="58">
        <v>0.94409999999999994</v>
      </c>
      <c r="H479" s="58">
        <v>0.37769999999999998</v>
      </c>
      <c r="I479" s="58">
        <v>7.5600000000000001E-2</v>
      </c>
    </row>
    <row r="480" spans="1:33" hidden="1">
      <c r="A480" s="58" t="s">
        <v>290</v>
      </c>
      <c r="B480" s="58" t="s">
        <v>207</v>
      </c>
      <c r="C480" s="58">
        <v>4.2000000000000006E-3</v>
      </c>
      <c r="D480" s="58">
        <v>3.8E-3</v>
      </c>
      <c r="E480" s="58">
        <v>2.9999999999999996E-3</v>
      </c>
      <c r="F480" s="58">
        <v>1.8E-3</v>
      </c>
      <c r="G480" s="58">
        <v>8.9999999999999998E-4</v>
      </c>
      <c r="H480" s="58">
        <v>0</v>
      </c>
      <c r="I480" s="58">
        <v>0</v>
      </c>
    </row>
    <row r="481" spans="1:33" hidden="1">
      <c r="A481" s="58" t="s">
        <v>290</v>
      </c>
      <c r="B481" s="58" t="s">
        <v>225</v>
      </c>
      <c r="C481" s="58">
        <v>0.16049999999999998</v>
      </c>
      <c r="D481" s="58">
        <v>0.14449999999999999</v>
      </c>
      <c r="E481" s="58">
        <v>0.112</v>
      </c>
      <c r="F481" s="58">
        <v>6.7199999999999996E-2</v>
      </c>
      <c r="G481" s="58">
        <v>3.3599999999999998E-2</v>
      </c>
      <c r="H481" s="58">
        <v>1.35E-2</v>
      </c>
      <c r="I481" s="58">
        <v>2.7000000000000001E-3</v>
      </c>
      <c r="X481" s="10" t="s">
        <v>298</v>
      </c>
      <c r="Y481" s="10" t="s">
        <v>337</v>
      </c>
      <c r="Z481" s="10">
        <v>23.4</v>
      </c>
      <c r="AA481" s="10">
        <v>23.4</v>
      </c>
      <c r="AB481" s="10">
        <v>23.4</v>
      </c>
      <c r="AC481" s="10">
        <v>23.4</v>
      </c>
      <c r="AD481" s="10">
        <v>23.4</v>
      </c>
      <c r="AE481" s="10">
        <v>23.4</v>
      </c>
      <c r="AF481" s="10">
        <v>23.4</v>
      </c>
      <c r="AG481" s="10">
        <v>23.4</v>
      </c>
    </row>
    <row r="482" spans="1:33" hidden="1">
      <c r="A482" s="58" t="s">
        <v>290</v>
      </c>
      <c r="B482" s="58" t="s">
        <v>228</v>
      </c>
      <c r="C482" s="58">
        <v>4.1600000000000005E-2</v>
      </c>
      <c r="D482" s="58">
        <v>3.7500000000000006E-2</v>
      </c>
      <c r="E482" s="58">
        <v>2.9100000000000001E-2</v>
      </c>
      <c r="F482" s="58">
        <v>1.7499999999999998E-2</v>
      </c>
      <c r="G482" s="58">
        <v>8.7999999999999988E-3</v>
      </c>
      <c r="H482" s="58">
        <v>3.5999999999999999E-3</v>
      </c>
      <c r="I482" s="58">
        <v>8.0000000000000004E-4</v>
      </c>
      <c r="J482" s="58">
        <v>0</v>
      </c>
    </row>
    <row r="483" spans="1:33" hidden="1">
      <c r="A483" s="58" t="s">
        <v>290</v>
      </c>
      <c r="B483" s="58" t="s">
        <v>230</v>
      </c>
      <c r="C483" s="58">
        <v>4.2596999999999996</v>
      </c>
      <c r="D483" s="58">
        <v>3.8338000000000001</v>
      </c>
      <c r="E483" s="58">
        <v>2.9712000000000001</v>
      </c>
      <c r="F483" s="58">
        <v>1.7827999999999999</v>
      </c>
      <c r="G483" s="58">
        <v>0.89139999999999997</v>
      </c>
      <c r="H483" s="58">
        <v>0.35659999999999997</v>
      </c>
      <c r="I483" s="58">
        <v>7.1400000000000005E-2</v>
      </c>
      <c r="J483" s="58">
        <v>0</v>
      </c>
    </row>
    <row r="484" spans="1:33" hidden="1">
      <c r="A484" s="58" t="s">
        <v>290</v>
      </c>
      <c r="B484" s="58" t="s">
        <v>229</v>
      </c>
      <c r="C484" s="58">
        <v>2.4799999999999999E-2</v>
      </c>
      <c r="D484" s="58">
        <v>2.24E-2</v>
      </c>
      <c r="E484" s="58">
        <v>1.7399999999999999E-2</v>
      </c>
      <c r="F484" s="58">
        <v>1.0499999999999999E-2</v>
      </c>
      <c r="G484" s="58">
        <v>5.3E-3</v>
      </c>
      <c r="H484" s="58">
        <v>2.1999999999999997E-3</v>
      </c>
      <c r="I484" s="58">
        <v>5.0000000000000001E-4</v>
      </c>
      <c r="J484" s="58">
        <v>0</v>
      </c>
    </row>
    <row r="485" spans="1:33" hidden="1">
      <c r="A485" s="58" t="s">
        <v>290</v>
      </c>
      <c r="B485" s="58" t="s">
        <v>231</v>
      </c>
      <c r="C485" s="58">
        <v>8.4000000000000005E-2</v>
      </c>
      <c r="D485" s="58">
        <v>7.5600000000000001E-2</v>
      </c>
      <c r="E485" s="58">
        <v>5.8600000000000006E-2</v>
      </c>
      <c r="F485" s="58">
        <v>3.5200000000000002E-2</v>
      </c>
      <c r="G485" s="58">
        <v>1.7600000000000001E-2</v>
      </c>
      <c r="H485" s="58">
        <v>7.1000000000000004E-3</v>
      </c>
      <c r="I485" s="58">
        <v>1.5E-3</v>
      </c>
      <c r="J485" s="58">
        <v>0</v>
      </c>
    </row>
    <row r="486" spans="1:33" hidden="1">
      <c r="A486" s="58" t="s">
        <v>290</v>
      </c>
      <c r="B486" s="58" t="s">
        <v>240</v>
      </c>
      <c r="C486" s="58">
        <v>5.5000000000000005E-3</v>
      </c>
      <c r="D486" s="58">
        <v>5.0000000000000001E-3</v>
      </c>
      <c r="E486" s="58">
        <v>3.8999999999999998E-3</v>
      </c>
      <c r="F486" s="58">
        <v>2.3999999999999998E-3</v>
      </c>
      <c r="G486" s="58">
        <v>1.1999999999999999E-3</v>
      </c>
      <c r="H486" s="58">
        <v>5.0000000000000001E-4</v>
      </c>
      <c r="I486" s="58">
        <v>0</v>
      </c>
      <c r="J486" s="58">
        <v>0</v>
      </c>
      <c r="X486" s="10" t="s">
        <v>303</v>
      </c>
      <c r="Y486" s="10" t="s">
        <v>337</v>
      </c>
      <c r="Z486" s="10">
        <v>4.55</v>
      </c>
      <c r="AA486" s="10">
        <v>4.55</v>
      </c>
      <c r="AB486" s="10">
        <v>4.55</v>
      </c>
      <c r="AC486" s="10">
        <v>4.55</v>
      </c>
      <c r="AD486" s="10">
        <v>4.55</v>
      </c>
      <c r="AE486" s="10">
        <v>4.55</v>
      </c>
      <c r="AF486" s="10">
        <v>4.55</v>
      </c>
      <c r="AG486" s="10">
        <v>4.55</v>
      </c>
    </row>
    <row r="487" spans="1:33" hidden="1">
      <c r="A487" s="57" t="s">
        <v>290</v>
      </c>
      <c r="B487" s="10" t="s">
        <v>163</v>
      </c>
      <c r="C487" s="10">
        <v>0.3</v>
      </c>
      <c r="D487" s="10">
        <v>0.24</v>
      </c>
      <c r="E487" s="10">
        <v>0.192</v>
      </c>
      <c r="F487" s="10">
        <v>0.15360000000000001</v>
      </c>
      <c r="G487" s="10">
        <v>0.12288000000000002</v>
      </c>
      <c r="H487" s="10">
        <v>9.8304000000000016E-2</v>
      </c>
      <c r="I487" s="10">
        <v>0</v>
      </c>
      <c r="J487" s="10">
        <v>0</v>
      </c>
    </row>
    <row r="488" spans="1:33" hidden="1">
      <c r="A488" s="57" t="s">
        <v>290</v>
      </c>
      <c r="B488" s="10" t="s">
        <v>107</v>
      </c>
      <c r="C488" s="10">
        <v>0.3</v>
      </c>
      <c r="D488" s="10">
        <v>0.18805970149253734</v>
      </c>
      <c r="E488" s="10">
        <v>0.18805970149253734</v>
      </c>
      <c r="F488" s="10">
        <v>0.18805970149253734</v>
      </c>
      <c r="G488" s="10">
        <v>0.18805970149253734</v>
      </c>
      <c r="H488" s="10">
        <v>0.18805970149253734</v>
      </c>
      <c r="I488" s="10">
        <v>0.18805970149253734</v>
      </c>
      <c r="J488" s="10">
        <v>0</v>
      </c>
    </row>
    <row r="489" spans="1:33" hidden="1">
      <c r="A489" s="57" t="s">
        <v>290</v>
      </c>
      <c r="B489" s="10" t="s">
        <v>106</v>
      </c>
      <c r="C489" s="10">
        <v>0</v>
      </c>
      <c r="D489" s="10">
        <v>0</v>
      </c>
      <c r="E489" s="10">
        <v>0</v>
      </c>
      <c r="F489" s="10">
        <v>0</v>
      </c>
      <c r="G489" s="10">
        <v>0</v>
      </c>
      <c r="H489" s="10">
        <v>0</v>
      </c>
      <c r="I489" s="10">
        <v>0</v>
      </c>
      <c r="J489" s="10">
        <v>0</v>
      </c>
    </row>
    <row r="490" spans="1:33" hidden="1">
      <c r="A490" s="57" t="s">
        <v>290</v>
      </c>
      <c r="B490" s="10" t="s">
        <v>22</v>
      </c>
      <c r="C490" s="10">
        <v>0.69999999999999984</v>
      </c>
      <c r="D490" s="10">
        <v>0.53486109649874691</v>
      </c>
      <c r="E490" s="10">
        <v>0.5062682284933897</v>
      </c>
      <c r="F490" s="10">
        <v>0.5062682284933897</v>
      </c>
      <c r="G490" s="10">
        <v>0.48447183677647987</v>
      </c>
      <c r="H490" s="10">
        <v>0.22160689371287226</v>
      </c>
      <c r="I490" s="10">
        <v>0.14538713700399408</v>
      </c>
      <c r="J490" s="10">
        <v>0</v>
      </c>
    </row>
    <row r="491" spans="1:33" hidden="1">
      <c r="A491" s="10" t="s">
        <v>290</v>
      </c>
      <c r="B491" s="10" t="s">
        <v>488</v>
      </c>
      <c r="C491" s="10">
        <v>0.58899999999999997</v>
      </c>
      <c r="D491" s="10">
        <v>0.58899999999999997</v>
      </c>
      <c r="E491" s="10">
        <v>0.53815107913669058</v>
      </c>
      <c r="F491" s="10">
        <v>0.48730215827338125</v>
      </c>
      <c r="G491" s="10">
        <v>0.48730215827338125</v>
      </c>
      <c r="H491" s="10">
        <v>0.48730215827338125</v>
      </c>
      <c r="I491" s="10">
        <v>0.24365107913669062</v>
      </c>
      <c r="J491" s="10">
        <v>0</v>
      </c>
    </row>
    <row r="492" spans="1:33" hidden="1">
      <c r="A492" s="10" t="s">
        <v>290</v>
      </c>
      <c r="B492" s="10" t="s">
        <v>490</v>
      </c>
      <c r="C492" s="10">
        <v>0.104</v>
      </c>
      <c r="D492" s="10">
        <v>0.104</v>
      </c>
      <c r="E492" s="10">
        <v>9.6251376741172651E-2</v>
      </c>
      <c r="F492" s="10">
        <v>8.8502753482345306E-2</v>
      </c>
      <c r="G492" s="10">
        <v>6.8878522837706499E-2</v>
      </c>
      <c r="H492" s="10">
        <v>4.9254292193067692E-2</v>
      </c>
      <c r="I492" s="10">
        <v>2.4627146096533846E-2</v>
      </c>
      <c r="J492" s="10">
        <v>0</v>
      </c>
    </row>
    <row r="493" spans="1:33" hidden="1">
      <c r="A493" s="57" t="s">
        <v>290</v>
      </c>
      <c r="B493" s="10" t="s">
        <v>23</v>
      </c>
      <c r="C493" s="10">
        <v>0</v>
      </c>
      <c r="D493" s="10">
        <v>0</v>
      </c>
      <c r="E493" s="10">
        <v>0</v>
      </c>
      <c r="F493" s="10">
        <v>0</v>
      </c>
      <c r="G493" s="10">
        <v>0</v>
      </c>
      <c r="H493" s="10">
        <v>0</v>
      </c>
      <c r="I493" s="10">
        <v>0</v>
      </c>
      <c r="J493" s="10">
        <v>0</v>
      </c>
    </row>
    <row r="494" spans="1:33" hidden="1">
      <c r="A494" s="57" t="s">
        <v>290</v>
      </c>
      <c r="B494" s="10" t="s">
        <v>58</v>
      </c>
      <c r="C494" s="10">
        <v>1</v>
      </c>
      <c r="D494" s="10">
        <v>0.46604618446545099</v>
      </c>
      <c r="E494" s="10">
        <v>8.2473331130907948E-2</v>
      </c>
      <c r="F494" s="10">
        <v>1.2473331130907954E-2</v>
      </c>
      <c r="G494" s="10">
        <v>0</v>
      </c>
      <c r="H494" s="10">
        <v>0</v>
      </c>
      <c r="I494" s="10">
        <v>0</v>
      </c>
      <c r="J494" s="10">
        <v>0</v>
      </c>
    </row>
    <row r="495" spans="1:33" hidden="1">
      <c r="A495" s="58" t="s">
        <v>290</v>
      </c>
      <c r="B495" s="58" t="s">
        <v>102</v>
      </c>
      <c r="C495" s="58">
        <v>0.3</v>
      </c>
      <c r="D495" s="58">
        <v>0.3</v>
      </c>
      <c r="E495" s="58">
        <v>0.3</v>
      </c>
      <c r="F495" s="58">
        <v>0.3</v>
      </c>
      <c r="G495" s="58">
        <v>0.3</v>
      </c>
      <c r="H495" s="58">
        <v>0.3</v>
      </c>
      <c r="I495" s="58">
        <v>0.3</v>
      </c>
      <c r="J495" s="58">
        <v>0.3</v>
      </c>
    </row>
    <row r="496" spans="1:33" hidden="1">
      <c r="A496" s="57" t="s">
        <v>290</v>
      </c>
      <c r="B496" s="10" t="s">
        <v>103</v>
      </c>
      <c r="C496" s="10">
        <v>1.9</v>
      </c>
      <c r="D496" s="10">
        <v>1.9</v>
      </c>
      <c r="E496" s="10">
        <v>1.9</v>
      </c>
      <c r="F496" s="10">
        <v>1.9</v>
      </c>
      <c r="G496" s="10">
        <v>1.9</v>
      </c>
      <c r="H496" s="10">
        <v>1.9</v>
      </c>
      <c r="I496" s="10">
        <v>1.9</v>
      </c>
      <c r="J496" s="10">
        <v>1.9</v>
      </c>
    </row>
    <row r="497" spans="1:10" hidden="1">
      <c r="A497" s="57" t="s">
        <v>290</v>
      </c>
      <c r="B497" s="10" t="s">
        <v>94</v>
      </c>
      <c r="C497" s="10">
        <v>0</v>
      </c>
      <c r="D497" s="10">
        <v>0</v>
      </c>
      <c r="E497" s="10">
        <v>0</v>
      </c>
      <c r="F497" s="10">
        <v>0</v>
      </c>
      <c r="G497" s="10">
        <v>0</v>
      </c>
      <c r="H497" s="10">
        <v>0</v>
      </c>
      <c r="I497" s="10">
        <v>0</v>
      </c>
      <c r="J497" s="10">
        <v>0</v>
      </c>
    </row>
    <row r="498" spans="1:10" hidden="1">
      <c r="A498" s="57" t="s">
        <v>290</v>
      </c>
      <c r="B498" s="10" t="s">
        <v>170</v>
      </c>
      <c r="C498" s="10">
        <v>0</v>
      </c>
      <c r="D498" s="10">
        <v>0</v>
      </c>
      <c r="E498" s="10">
        <v>0</v>
      </c>
      <c r="F498" s="10">
        <v>0</v>
      </c>
      <c r="G498" s="10">
        <v>0</v>
      </c>
      <c r="H498" s="10">
        <v>0</v>
      </c>
      <c r="I498" s="10">
        <v>0</v>
      </c>
      <c r="J498" s="10">
        <v>0</v>
      </c>
    </row>
    <row r="499" spans="1:10" hidden="1">
      <c r="A499" s="57" t="s">
        <v>290</v>
      </c>
      <c r="B499" s="10" t="s">
        <v>97</v>
      </c>
      <c r="C499" s="10">
        <v>0.58299999999999996</v>
      </c>
      <c r="D499" s="10">
        <v>0.58299999999999996</v>
      </c>
      <c r="E499" s="10">
        <v>0.58299999999999996</v>
      </c>
      <c r="F499" s="10">
        <v>0.58299999999999996</v>
      </c>
      <c r="G499" s="10">
        <v>0.58299999999999996</v>
      </c>
      <c r="H499" s="10">
        <v>0</v>
      </c>
      <c r="I499" s="10">
        <v>0</v>
      </c>
      <c r="J499" s="10">
        <v>0</v>
      </c>
    </row>
    <row r="500" spans="1:10" hidden="1">
      <c r="A500" s="61" t="s">
        <v>290</v>
      </c>
      <c r="B500" s="62" t="s">
        <v>339</v>
      </c>
      <c r="C500" s="10">
        <v>0</v>
      </c>
      <c r="D500" s="10">
        <v>2.6</v>
      </c>
      <c r="E500" s="10">
        <v>6</v>
      </c>
      <c r="F500" s="10">
        <v>6</v>
      </c>
      <c r="G500" s="10">
        <v>6</v>
      </c>
      <c r="H500" s="10">
        <v>6</v>
      </c>
      <c r="I500" s="10">
        <v>6</v>
      </c>
      <c r="J500" s="10">
        <v>6</v>
      </c>
    </row>
    <row r="501" spans="1:10" hidden="1">
      <c r="A501" s="10" t="s">
        <v>291</v>
      </c>
      <c r="B501" s="10" t="s">
        <v>475</v>
      </c>
      <c r="C501" s="10">
        <v>0.21607304245050721</v>
      </c>
      <c r="D501" s="10">
        <v>0.21607304245050721</v>
      </c>
      <c r="E501" s="10">
        <v>0.18947943722582938</v>
      </c>
      <c r="F501" s="10">
        <v>0.16288583200115159</v>
      </c>
      <c r="G501" s="10">
        <v>8.1442916000575794E-2</v>
      </c>
      <c r="H501" s="10">
        <v>0</v>
      </c>
      <c r="I501" s="10">
        <v>0</v>
      </c>
      <c r="J501" s="10">
        <v>0</v>
      </c>
    </row>
    <row r="502" spans="1:10" hidden="1">
      <c r="A502" s="10" t="s">
        <v>291</v>
      </c>
      <c r="B502" s="10" t="s">
        <v>108</v>
      </c>
      <c r="C502" s="10">
        <v>0.12613580222594301</v>
      </c>
      <c r="D502" s="10">
        <v>0.12613580222594301</v>
      </c>
      <c r="E502" s="10">
        <v>0.12613580222594301</v>
      </c>
      <c r="F502" s="10">
        <v>0.12613580222594301</v>
      </c>
      <c r="G502" s="10">
        <v>0.12613580222594301</v>
      </c>
      <c r="H502" s="10">
        <v>0.12613580222594301</v>
      </c>
      <c r="I502" s="10">
        <v>6.3067901112971503E-2</v>
      </c>
      <c r="J502" s="10">
        <v>0</v>
      </c>
    </row>
    <row r="503" spans="1:10" hidden="1">
      <c r="A503" s="10" t="s">
        <v>291</v>
      </c>
      <c r="B503" s="10" t="s">
        <v>481</v>
      </c>
      <c r="C503" s="10">
        <v>1.0444903772284053</v>
      </c>
      <c r="D503" s="10">
        <v>1.0444903772284053</v>
      </c>
      <c r="E503" s="10">
        <v>1.0389146765535815</v>
      </c>
      <c r="F503" s="10">
        <v>1.0333389758787574</v>
      </c>
      <c r="G503" s="10">
        <v>1.0064593765343297</v>
      </c>
      <c r="H503" s="10">
        <v>0.97957977718990219</v>
      </c>
      <c r="I503" s="10">
        <v>0.48978988859495109</v>
      </c>
      <c r="J503" s="10">
        <v>0</v>
      </c>
    </row>
    <row r="504" spans="1:10" hidden="1">
      <c r="A504" s="10" t="s">
        <v>291</v>
      </c>
      <c r="B504" s="10" t="s">
        <v>485</v>
      </c>
      <c r="C504" s="10">
        <v>2.6486752683935779E-4</v>
      </c>
      <c r="D504" s="10">
        <v>2.6486752683935779E-4</v>
      </c>
      <c r="E504" s="10">
        <v>1.324337634196789E-4</v>
      </c>
      <c r="F504" s="10">
        <v>0</v>
      </c>
      <c r="G504" s="10">
        <v>0</v>
      </c>
      <c r="H504" s="10">
        <v>0</v>
      </c>
      <c r="I504" s="10">
        <v>0</v>
      </c>
      <c r="J504" s="10">
        <v>0</v>
      </c>
    </row>
    <row r="505" spans="1:10" hidden="1">
      <c r="A505" s="57" t="s">
        <v>291</v>
      </c>
      <c r="B505" s="10" t="s">
        <v>142</v>
      </c>
      <c r="C505" s="10">
        <v>0</v>
      </c>
      <c r="D505" s="10">
        <v>0</v>
      </c>
      <c r="E505" s="10">
        <v>0</v>
      </c>
      <c r="F505" s="10">
        <v>0</v>
      </c>
      <c r="G505" s="10">
        <v>0</v>
      </c>
      <c r="H505" s="10">
        <v>0</v>
      </c>
      <c r="I505" s="10">
        <v>0</v>
      </c>
      <c r="J505" s="10">
        <v>0</v>
      </c>
    </row>
    <row r="506" spans="1:10" hidden="1">
      <c r="A506" s="58" t="s">
        <v>291</v>
      </c>
      <c r="B506" s="58" t="s">
        <v>243</v>
      </c>
      <c r="C506" s="58">
        <v>2.0387000000000004</v>
      </c>
      <c r="D506" s="58">
        <v>1.8349</v>
      </c>
      <c r="E506" s="58">
        <v>1.4220999999999999</v>
      </c>
      <c r="F506" s="58">
        <v>0.85329999999999995</v>
      </c>
      <c r="G506" s="58">
        <v>0.42669999999999997</v>
      </c>
      <c r="H506" s="58">
        <v>0.17069999999999999</v>
      </c>
      <c r="I506" s="58">
        <v>3.4200000000000001E-2</v>
      </c>
      <c r="J506" s="58">
        <v>0</v>
      </c>
    </row>
    <row r="507" spans="1:10" hidden="1">
      <c r="A507" s="58" t="s">
        <v>291</v>
      </c>
      <c r="B507" s="58" t="s">
        <v>244</v>
      </c>
      <c r="C507" s="58">
        <v>0.2097</v>
      </c>
      <c r="D507" s="58">
        <v>0.1888</v>
      </c>
      <c r="E507" s="58">
        <v>0.1464</v>
      </c>
      <c r="F507" s="58">
        <v>8.7900000000000006E-2</v>
      </c>
      <c r="G507" s="58">
        <v>4.4000000000000004E-2</v>
      </c>
      <c r="H507" s="58">
        <v>1.7600000000000001E-2</v>
      </c>
      <c r="I507" s="58">
        <v>3.5999999999999999E-3</v>
      </c>
      <c r="J507" s="58">
        <v>0</v>
      </c>
    </row>
    <row r="508" spans="1:10" hidden="1">
      <c r="A508" s="58" t="s">
        <v>291</v>
      </c>
      <c r="B508" s="58" t="s">
        <v>245</v>
      </c>
      <c r="C508" s="58">
        <v>1.7899999999999999E-2</v>
      </c>
      <c r="D508" s="58">
        <v>1.6199999999999999E-2</v>
      </c>
      <c r="E508" s="58">
        <v>1.26E-2</v>
      </c>
      <c r="F508" s="58">
        <v>7.6E-3</v>
      </c>
      <c r="G508" s="58">
        <v>3.8E-3</v>
      </c>
      <c r="H508" s="58">
        <v>1.6000000000000001E-3</v>
      </c>
      <c r="I508" s="58">
        <v>3.9999999999999996E-4</v>
      </c>
      <c r="J508" s="58">
        <v>0</v>
      </c>
    </row>
    <row r="509" spans="1:10" hidden="1">
      <c r="A509" s="58" t="s">
        <v>291</v>
      </c>
      <c r="B509" s="58" t="s">
        <v>217</v>
      </c>
      <c r="C509" s="58">
        <v>6.4899999999999999E-2</v>
      </c>
      <c r="D509" s="58">
        <v>5.8500000000000003E-2</v>
      </c>
      <c r="E509" s="58">
        <v>4.5400000000000003E-2</v>
      </c>
      <c r="F509" s="58">
        <v>2.7299999999999998E-2</v>
      </c>
      <c r="G509" s="58">
        <v>1.3699999999999999E-2</v>
      </c>
      <c r="H509" s="58">
        <v>5.5000000000000005E-3</v>
      </c>
      <c r="I509" s="58">
        <v>1.1000000000000001E-3</v>
      </c>
      <c r="J509" s="58">
        <v>0</v>
      </c>
    </row>
    <row r="510" spans="1:10" hidden="1">
      <c r="A510" s="58" t="s">
        <v>291</v>
      </c>
      <c r="B510" s="58" t="s">
        <v>237</v>
      </c>
      <c r="C510" s="58">
        <v>1.18E-2</v>
      </c>
      <c r="D510" s="58">
        <v>1.0699999999999999E-2</v>
      </c>
      <c r="E510" s="58">
        <v>8.3000000000000001E-3</v>
      </c>
      <c r="F510" s="58">
        <v>5.0000000000000001E-3</v>
      </c>
      <c r="G510" s="58">
        <v>2.5000000000000001E-3</v>
      </c>
      <c r="H510" s="58">
        <v>1E-3</v>
      </c>
      <c r="I510" s="58">
        <v>0</v>
      </c>
      <c r="J510" s="58">
        <v>0</v>
      </c>
    </row>
    <row r="511" spans="1:10" hidden="1">
      <c r="A511" s="58" t="s">
        <v>291</v>
      </c>
      <c r="B511" s="58" t="s">
        <v>226</v>
      </c>
      <c r="C511" s="58">
        <v>2.3361000000000001</v>
      </c>
      <c r="D511" s="58">
        <v>2.1025</v>
      </c>
      <c r="E511" s="58">
        <v>1.6294999999999999</v>
      </c>
      <c r="F511" s="58">
        <v>0.97770000000000001</v>
      </c>
      <c r="G511" s="58">
        <v>0.4889</v>
      </c>
      <c r="H511" s="58">
        <v>0.1956</v>
      </c>
      <c r="I511" s="58">
        <v>3.9200000000000006E-2</v>
      </c>
      <c r="J511" s="58">
        <v>0</v>
      </c>
    </row>
    <row r="512" spans="1:10" hidden="1">
      <c r="A512" s="58" t="s">
        <v>291</v>
      </c>
      <c r="B512" s="58" t="s">
        <v>219</v>
      </c>
      <c r="C512" s="58">
        <v>4.7000000000000002E-3</v>
      </c>
      <c r="D512" s="58">
        <v>4.3E-3</v>
      </c>
      <c r="E512" s="58">
        <v>3.3999999999999998E-3</v>
      </c>
      <c r="F512" s="58">
        <v>2.0999999999999999E-3</v>
      </c>
      <c r="G512" s="58">
        <v>1.1000000000000001E-3</v>
      </c>
      <c r="H512" s="58">
        <v>0</v>
      </c>
      <c r="I512" s="58">
        <v>0</v>
      </c>
      <c r="J512" s="58">
        <v>0</v>
      </c>
    </row>
    <row r="513" spans="1:10" hidden="1">
      <c r="A513" s="58" t="s">
        <v>291</v>
      </c>
      <c r="B513" s="58" t="s">
        <v>220</v>
      </c>
      <c r="C513" s="58">
        <v>3.0000000000000003E-4</v>
      </c>
      <c r="D513" s="58">
        <v>0</v>
      </c>
      <c r="E513" s="58">
        <v>0</v>
      </c>
      <c r="F513" s="58">
        <v>0</v>
      </c>
      <c r="G513" s="58">
        <v>0</v>
      </c>
      <c r="H513" s="58">
        <v>0</v>
      </c>
      <c r="I513" s="58">
        <v>0</v>
      </c>
      <c r="J513" s="58">
        <v>0</v>
      </c>
    </row>
    <row r="514" spans="1:10" hidden="1">
      <c r="A514" s="58" t="s">
        <v>291</v>
      </c>
      <c r="B514" s="58" t="s">
        <v>227</v>
      </c>
      <c r="C514" s="58">
        <v>0.1085</v>
      </c>
      <c r="D514" s="58">
        <v>9.7700000000000009E-2</v>
      </c>
      <c r="E514" s="58">
        <v>7.5800000000000006E-2</v>
      </c>
      <c r="F514" s="58">
        <v>4.5500000000000006E-2</v>
      </c>
      <c r="G514" s="58">
        <v>2.2800000000000001E-2</v>
      </c>
      <c r="H514" s="58">
        <v>9.1999999999999998E-3</v>
      </c>
      <c r="I514" s="58">
        <v>1.9E-3</v>
      </c>
      <c r="J514" s="58">
        <v>0</v>
      </c>
    </row>
    <row r="515" spans="1:10" hidden="1">
      <c r="A515" s="58" t="s">
        <v>291</v>
      </c>
      <c r="B515" s="58" t="s">
        <v>206</v>
      </c>
      <c r="C515" s="58">
        <v>2.4415</v>
      </c>
      <c r="D515" s="58">
        <v>2.1974</v>
      </c>
      <c r="E515" s="58">
        <v>1.7030000000000001</v>
      </c>
      <c r="F515" s="58">
        <v>1.0218</v>
      </c>
      <c r="G515" s="58">
        <v>0.51090000000000002</v>
      </c>
      <c r="H515" s="58">
        <v>0.2044</v>
      </c>
      <c r="I515" s="58">
        <v>4.0900000000000006E-2</v>
      </c>
    </row>
    <row r="516" spans="1:10" hidden="1">
      <c r="A516" s="58" t="s">
        <v>291</v>
      </c>
      <c r="B516" s="58" t="s">
        <v>233</v>
      </c>
      <c r="C516" s="58">
        <v>0.60509999999999997</v>
      </c>
      <c r="D516" s="58">
        <v>0.54459999999999997</v>
      </c>
      <c r="E516" s="58">
        <v>0.42209999999999998</v>
      </c>
      <c r="F516" s="58">
        <v>0.25329999999999997</v>
      </c>
      <c r="G516" s="58">
        <v>0.12669999999999998</v>
      </c>
      <c r="H516" s="58">
        <v>5.0700000000000002E-2</v>
      </c>
      <c r="I516" s="58">
        <v>1.0199999999999999E-2</v>
      </c>
    </row>
    <row r="517" spans="1:10" hidden="1">
      <c r="A517" s="58" t="s">
        <v>291</v>
      </c>
      <c r="B517" s="58" t="s">
        <v>224</v>
      </c>
      <c r="C517" s="58">
        <v>22.185199999999998</v>
      </c>
      <c r="D517" s="58">
        <v>19.966699999999999</v>
      </c>
      <c r="E517" s="58">
        <v>15.4742</v>
      </c>
      <c r="F517" s="58">
        <v>9.2845999999999993</v>
      </c>
      <c r="G517" s="58">
        <v>4.6422999999999996</v>
      </c>
      <c r="H517" s="58">
        <v>1.857</v>
      </c>
      <c r="I517" s="58">
        <v>0.37140000000000001</v>
      </c>
    </row>
    <row r="518" spans="1:10" hidden="1">
      <c r="A518" s="58" t="s">
        <v>291</v>
      </c>
      <c r="B518" s="58" t="s">
        <v>207</v>
      </c>
      <c r="C518" s="58">
        <v>0.12969999999999998</v>
      </c>
      <c r="D518" s="58">
        <v>0.1168</v>
      </c>
      <c r="E518" s="58">
        <v>9.06E-2</v>
      </c>
      <c r="F518" s="58">
        <v>5.4400000000000004E-2</v>
      </c>
      <c r="G518" s="58">
        <v>2.7199999999999998E-2</v>
      </c>
      <c r="H518" s="58">
        <v>1.09E-2</v>
      </c>
      <c r="I518" s="58">
        <v>2.1999999999999997E-3</v>
      </c>
    </row>
    <row r="519" spans="1:10" hidden="1">
      <c r="A519" s="58" t="s">
        <v>291</v>
      </c>
      <c r="B519" s="58" t="s">
        <v>225</v>
      </c>
      <c r="C519" s="58">
        <v>0.1517</v>
      </c>
      <c r="D519" s="58">
        <v>0.1366</v>
      </c>
      <c r="E519" s="58">
        <v>0.10590000000000001</v>
      </c>
      <c r="F519" s="58">
        <v>6.3600000000000004E-2</v>
      </c>
      <c r="G519" s="58">
        <v>3.1800000000000002E-2</v>
      </c>
      <c r="H519" s="58">
        <v>1.2799999999999999E-2</v>
      </c>
      <c r="I519" s="58">
        <v>2.5999999999999999E-3</v>
      </c>
    </row>
    <row r="520" spans="1:10" hidden="1">
      <c r="A520" s="58" t="s">
        <v>291</v>
      </c>
      <c r="B520" s="58" t="s">
        <v>228</v>
      </c>
      <c r="C520" s="58">
        <v>8.9599999999999999E-2</v>
      </c>
      <c r="D520" s="58">
        <v>8.0700000000000008E-2</v>
      </c>
      <c r="E520" s="58">
        <v>6.2600000000000003E-2</v>
      </c>
      <c r="F520" s="58">
        <v>3.7600000000000001E-2</v>
      </c>
      <c r="G520" s="58">
        <v>1.8800000000000001E-2</v>
      </c>
      <c r="H520" s="58">
        <v>7.6E-3</v>
      </c>
      <c r="I520" s="58">
        <v>1.6000000000000001E-3</v>
      </c>
      <c r="J520" s="58">
        <v>0</v>
      </c>
    </row>
    <row r="521" spans="1:10" hidden="1">
      <c r="A521" s="58" t="s">
        <v>291</v>
      </c>
      <c r="B521" s="58" t="s">
        <v>230</v>
      </c>
      <c r="C521" s="58">
        <v>12.2255</v>
      </c>
      <c r="D521" s="58">
        <v>11.003</v>
      </c>
      <c r="E521" s="58">
        <v>8.5274000000000001</v>
      </c>
      <c r="F521" s="58">
        <v>5.1164999999999994</v>
      </c>
      <c r="G521" s="58">
        <v>2.5583</v>
      </c>
      <c r="H521" s="58">
        <v>1.0234000000000001</v>
      </c>
      <c r="I521" s="58">
        <v>0.20469999999999999</v>
      </c>
      <c r="J521" s="58">
        <v>0</v>
      </c>
    </row>
    <row r="522" spans="1:10" hidden="1">
      <c r="A522" s="58" t="s">
        <v>291</v>
      </c>
      <c r="B522" s="58" t="s">
        <v>229</v>
      </c>
      <c r="C522" s="58">
        <v>1.6000000000000001E-3</v>
      </c>
      <c r="D522" s="58">
        <v>1.5E-3</v>
      </c>
      <c r="E522" s="58">
        <v>1.2000000000000001E-3</v>
      </c>
      <c r="F522" s="58">
        <v>8.0000000000000004E-4</v>
      </c>
      <c r="G522" s="58">
        <v>0</v>
      </c>
      <c r="H522" s="58">
        <v>0</v>
      </c>
      <c r="I522" s="58">
        <v>0</v>
      </c>
      <c r="J522" s="58">
        <v>0</v>
      </c>
    </row>
    <row r="523" spans="1:10" hidden="1">
      <c r="A523" s="58" t="s">
        <v>291</v>
      </c>
      <c r="B523" s="58" t="s">
        <v>231</v>
      </c>
      <c r="C523" s="58">
        <v>1.9903</v>
      </c>
      <c r="D523" s="58">
        <v>1.7912999999999999</v>
      </c>
      <c r="E523" s="58">
        <v>1.3883000000000001</v>
      </c>
      <c r="F523" s="58">
        <v>0.83299999999999996</v>
      </c>
      <c r="G523" s="58">
        <v>0.41649999999999998</v>
      </c>
      <c r="H523" s="58">
        <v>0.1666</v>
      </c>
      <c r="I523" s="58">
        <v>3.3400000000000006E-2</v>
      </c>
      <c r="J523" s="58">
        <v>0</v>
      </c>
    </row>
    <row r="524" spans="1:10" hidden="1">
      <c r="A524" s="58" t="s">
        <v>291</v>
      </c>
      <c r="B524" s="58" t="s">
        <v>240</v>
      </c>
      <c r="C524" s="58">
        <v>1.0999999999999999E-2</v>
      </c>
      <c r="D524" s="58">
        <v>9.9000000000000008E-3</v>
      </c>
      <c r="E524" s="58">
        <v>7.7000000000000002E-3</v>
      </c>
      <c r="F524" s="58">
        <v>4.7000000000000002E-3</v>
      </c>
      <c r="G524" s="58">
        <v>2.3999999999999998E-3</v>
      </c>
      <c r="H524" s="58">
        <v>1E-3</v>
      </c>
      <c r="I524" s="58">
        <v>0</v>
      </c>
      <c r="J524" s="58">
        <v>0</v>
      </c>
    </row>
    <row r="525" spans="1:10" hidden="1">
      <c r="A525" s="57" t="s">
        <v>291</v>
      </c>
      <c r="B525" s="10" t="s">
        <v>163</v>
      </c>
      <c r="C525" s="10">
        <v>0.42</v>
      </c>
      <c r="D525" s="10">
        <v>0.27990514410798972</v>
      </c>
      <c r="E525" s="10">
        <v>0.27990514410798972</v>
      </c>
      <c r="F525" s="10">
        <v>0.27990514410798972</v>
      </c>
      <c r="G525" s="10">
        <v>0.27918278000729652</v>
      </c>
      <c r="H525" s="10">
        <v>0.27626924480116744</v>
      </c>
      <c r="I525" s="10">
        <v>0.16154906968259752</v>
      </c>
      <c r="J525" s="10">
        <v>8.9824881430134965E-2</v>
      </c>
    </row>
    <row r="526" spans="1:10" hidden="1">
      <c r="A526" s="57" t="s">
        <v>291</v>
      </c>
      <c r="B526" s="10" t="s">
        <v>107</v>
      </c>
      <c r="C526" s="10">
        <v>0.36</v>
      </c>
      <c r="D526" s="10">
        <v>0</v>
      </c>
      <c r="E526" s="10">
        <v>0</v>
      </c>
      <c r="F526" s="10">
        <v>0</v>
      </c>
      <c r="G526" s="10">
        <v>0</v>
      </c>
      <c r="H526" s="10">
        <v>0</v>
      </c>
      <c r="I526" s="10">
        <v>0</v>
      </c>
      <c r="J526" s="10">
        <v>0</v>
      </c>
    </row>
    <row r="527" spans="1:10" hidden="1">
      <c r="A527" s="57" t="s">
        <v>291</v>
      </c>
      <c r="B527" s="10" t="s">
        <v>106</v>
      </c>
      <c r="C527" s="10">
        <v>0.84899999999999998</v>
      </c>
      <c r="D527" s="10">
        <v>9.5080579076754993E-3</v>
      </c>
      <c r="E527" s="10">
        <v>0</v>
      </c>
      <c r="F527" s="10">
        <v>0</v>
      </c>
      <c r="G527" s="10">
        <v>0</v>
      </c>
      <c r="H527" s="10">
        <v>0</v>
      </c>
      <c r="I527" s="10">
        <v>0</v>
      </c>
      <c r="J527" s="10">
        <v>0</v>
      </c>
    </row>
    <row r="528" spans="1:10" hidden="1">
      <c r="A528" s="57" t="s">
        <v>291</v>
      </c>
      <c r="B528" s="10" t="s">
        <v>22</v>
      </c>
      <c r="C528" s="10">
        <v>3.669999999999999</v>
      </c>
      <c r="D528" s="10">
        <v>3.611690401157245</v>
      </c>
      <c r="E528" s="10">
        <v>3.6095572136438476</v>
      </c>
      <c r="F528" s="10">
        <v>3.6055699472636653</v>
      </c>
      <c r="G528" s="10">
        <v>3.273207137781216</v>
      </c>
      <c r="H528" s="10">
        <v>2.1698423468791517</v>
      </c>
      <c r="I528" s="10">
        <v>1.515084018925255</v>
      </c>
      <c r="J528" s="10">
        <v>1.1922543813909225</v>
      </c>
    </row>
    <row r="529" spans="1:10" hidden="1">
      <c r="A529" s="10" t="s">
        <v>291</v>
      </c>
      <c r="B529" s="10" t="s">
        <v>488</v>
      </c>
      <c r="C529" s="10">
        <v>2.2440000000000002</v>
      </c>
      <c r="D529" s="10">
        <v>2.2440000000000002</v>
      </c>
      <c r="E529" s="10">
        <v>1.8844123314065513</v>
      </c>
      <c r="F529" s="10">
        <v>1.5248246628131019</v>
      </c>
      <c r="G529" s="10">
        <v>1.4599691714836223</v>
      </c>
      <c r="H529" s="10">
        <v>1.3951136801541426</v>
      </c>
      <c r="I529" s="10">
        <v>0.69755684007707131</v>
      </c>
      <c r="J529" s="10">
        <v>0</v>
      </c>
    </row>
    <row r="530" spans="1:10" hidden="1">
      <c r="A530" s="10" t="s">
        <v>291</v>
      </c>
      <c r="B530" s="10" t="s">
        <v>489</v>
      </c>
      <c r="C530" s="10">
        <v>0.73199999999999998</v>
      </c>
      <c r="D530" s="10">
        <v>0.73199999999999998</v>
      </c>
      <c r="E530" s="10">
        <v>0.61949999999999994</v>
      </c>
      <c r="F530" s="10">
        <v>0.50700000000000001</v>
      </c>
      <c r="G530" s="10">
        <v>0.39449999999999996</v>
      </c>
      <c r="H530" s="10">
        <v>0.28199999999999997</v>
      </c>
      <c r="I530" s="10">
        <v>0.14099999999999999</v>
      </c>
      <c r="J530" s="10">
        <v>0</v>
      </c>
    </row>
    <row r="531" spans="1:10" hidden="1">
      <c r="A531" s="10" t="s">
        <v>291</v>
      </c>
      <c r="B531" s="10" t="s">
        <v>490</v>
      </c>
      <c r="C531" s="10">
        <v>0.71899999999999997</v>
      </c>
      <c r="D531" s="10">
        <v>0.71899999999999997</v>
      </c>
      <c r="E531" s="10">
        <v>0.71899999999999997</v>
      </c>
      <c r="F531" s="10">
        <v>0.71899999999999997</v>
      </c>
      <c r="G531" s="10">
        <v>0.71899999999999997</v>
      </c>
      <c r="H531" s="10">
        <v>0.71899999999999997</v>
      </c>
      <c r="I531" s="10">
        <v>0.35949999999999999</v>
      </c>
      <c r="J531" s="10">
        <v>0</v>
      </c>
    </row>
    <row r="532" spans="1:10" hidden="1">
      <c r="A532" s="57" t="s">
        <v>291</v>
      </c>
      <c r="B532" s="10" t="s">
        <v>23</v>
      </c>
      <c r="C532" s="10">
        <v>1.8879999999999999</v>
      </c>
      <c r="D532" s="10">
        <v>1.8879999999999999</v>
      </c>
      <c r="E532" s="10">
        <v>1.8879999999999999</v>
      </c>
      <c r="F532" s="10">
        <v>1.8879999999999999</v>
      </c>
      <c r="G532" s="10">
        <v>0.94399999999999995</v>
      </c>
      <c r="H532" s="10">
        <v>0</v>
      </c>
      <c r="I532" s="10">
        <v>0</v>
      </c>
      <c r="J532" s="10">
        <v>0</v>
      </c>
    </row>
    <row r="533" spans="1:10" hidden="1">
      <c r="A533" s="57" t="s">
        <v>291</v>
      </c>
      <c r="B533" s="10" t="s">
        <v>58</v>
      </c>
      <c r="C533" s="10">
        <v>0.40699999999999997</v>
      </c>
      <c r="D533" s="10">
        <v>0.31843755751167596</v>
      </c>
      <c r="E533" s="10">
        <v>0.31843755751167596</v>
      </c>
      <c r="F533" s="10">
        <v>0.30800763928676844</v>
      </c>
      <c r="G533" s="10">
        <v>0.30800763928676844</v>
      </c>
      <c r="H533" s="10">
        <v>2.4944181120544464E-3</v>
      </c>
      <c r="I533" s="10">
        <v>0</v>
      </c>
      <c r="J533" s="10">
        <v>0</v>
      </c>
    </row>
    <row r="534" spans="1:10" hidden="1">
      <c r="A534" s="58" t="s">
        <v>291</v>
      </c>
      <c r="B534" s="58" t="s">
        <v>102</v>
      </c>
      <c r="C534" s="58">
        <v>0</v>
      </c>
      <c r="D534" s="58">
        <v>0</v>
      </c>
      <c r="E534" s="58">
        <v>0</v>
      </c>
      <c r="F534" s="58">
        <v>0</v>
      </c>
      <c r="G534" s="58">
        <v>0</v>
      </c>
      <c r="H534" s="58">
        <v>0</v>
      </c>
      <c r="I534" s="58">
        <v>0</v>
      </c>
      <c r="J534" s="58">
        <v>0</v>
      </c>
    </row>
    <row r="535" spans="1:10" hidden="1">
      <c r="A535" s="57" t="s">
        <v>291</v>
      </c>
      <c r="B535" s="10" t="s">
        <v>103</v>
      </c>
      <c r="C535" s="10">
        <v>0.05</v>
      </c>
      <c r="D535" s="10">
        <v>0.05</v>
      </c>
      <c r="E535" s="10">
        <v>0.05</v>
      </c>
      <c r="F535" s="10">
        <v>0.05</v>
      </c>
      <c r="G535" s="10">
        <v>0.05</v>
      </c>
      <c r="H535" s="10">
        <v>0.05</v>
      </c>
      <c r="I535" s="10">
        <v>0.05</v>
      </c>
      <c r="J535" s="10">
        <v>0.05</v>
      </c>
    </row>
    <row r="536" spans="1:10" hidden="1">
      <c r="A536" s="57" t="s">
        <v>291</v>
      </c>
      <c r="B536" s="10" t="s">
        <v>94</v>
      </c>
      <c r="C536" s="10">
        <v>0.79700000000000004</v>
      </c>
      <c r="D536" s="10">
        <v>0.79700000000000004</v>
      </c>
      <c r="E536" s="10">
        <v>0.79700000000000004</v>
      </c>
      <c r="F536" s="10">
        <v>0.79700000000000004</v>
      </c>
      <c r="G536" s="10">
        <v>0.79700000000000004</v>
      </c>
      <c r="H536" s="10">
        <v>0</v>
      </c>
      <c r="I536" s="10">
        <v>0</v>
      </c>
      <c r="J536" s="10">
        <v>0</v>
      </c>
    </row>
    <row r="537" spans="1:10" hidden="1">
      <c r="A537" s="57" t="s">
        <v>291</v>
      </c>
      <c r="B537" s="10" t="s">
        <v>170</v>
      </c>
      <c r="C537" s="10">
        <v>0</v>
      </c>
      <c r="D537" s="10">
        <v>0</v>
      </c>
      <c r="E537" s="10">
        <v>0</v>
      </c>
      <c r="F537" s="10">
        <v>0</v>
      </c>
      <c r="G537" s="10">
        <v>0</v>
      </c>
      <c r="H537" s="10">
        <v>0</v>
      </c>
      <c r="I537" s="10">
        <v>0</v>
      </c>
      <c r="J537" s="10">
        <v>0</v>
      </c>
    </row>
    <row r="538" spans="1:10" hidden="1">
      <c r="A538" s="57" t="s">
        <v>291</v>
      </c>
      <c r="B538" s="10" t="s">
        <v>97</v>
      </c>
      <c r="C538" s="10">
        <v>0.33</v>
      </c>
      <c r="D538" s="10">
        <v>0.33</v>
      </c>
      <c r="E538" s="10">
        <v>0.33</v>
      </c>
      <c r="F538" s="10">
        <v>0.30844221105527642</v>
      </c>
      <c r="G538" s="10">
        <v>7.7386934673366839E-2</v>
      </c>
      <c r="H538" s="10">
        <v>0</v>
      </c>
      <c r="I538" s="10">
        <v>0</v>
      </c>
      <c r="J538" s="10">
        <v>0</v>
      </c>
    </row>
    <row r="539" spans="1:10" hidden="1">
      <c r="A539" s="10" t="s">
        <v>292</v>
      </c>
      <c r="B539" s="10" t="s">
        <v>475</v>
      </c>
      <c r="C539" s="10">
        <v>1.0274559931653139E-2</v>
      </c>
      <c r="D539" s="10">
        <v>1.0274559931653139E-2</v>
      </c>
      <c r="E539" s="10">
        <v>5.1372799658265696E-3</v>
      </c>
      <c r="F539" s="10">
        <v>0</v>
      </c>
      <c r="G539" s="10">
        <v>0</v>
      </c>
      <c r="H539" s="10">
        <v>0</v>
      </c>
      <c r="I539" s="10">
        <v>0</v>
      </c>
      <c r="J539" s="10">
        <v>0</v>
      </c>
    </row>
    <row r="540" spans="1:10" hidden="1">
      <c r="A540" s="10" t="s">
        <v>292</v>
      </c>
      <c r="B540" s="10" t="s">
        <v>108</v>
      </c>
      <c r="C540" s="10">
        <v>7.950552328064929E-3</v>
      </c>
      <c r="D540" s="10">
        <v>7.950552328064929E-3</v>
      </c>
      <c r="E540" s="10">
        <v>5.4679687947956444E-3</v>
      </c>
      <c r="F540" s="10">
        <v>2.9853852615263567E-3</v>
      </c>
      <c r="G540" s="10">
        <v>1.4926926307631783E-3</v>
      </c>
      <c r="H540" s="10">
        <v>0</v>
      </c>
      <c r="I540" s="10">
        <v>0</v>
      </c>
      <c r="J540" s="10">
        <v>0</v>
      </c>
    </row>
    <row r="541" spans="1:10" hidden="1">
      <c r="A541" s="10" t="s">
        <v>292</v>
      </c>
      <c r="B541" s="10" t="s">
        <v>481</v>
      </c>
      <c r="C541" s="10">
        <v>0.69933489747971</v>
      </c>
      <c r="D541" s="10">
        <v>0.29933489747970954</v>
      </c>
      <c r="E541" s="10">
        <v>0.14966744873985477</v>
      </c>
      <c r="F541" s="10">
        <v>0</v>
      </c>
      <c r="G541" s="10">
        <v>0</v>
      </c>
      <c r="H541" s="10">
        <v>0</v>
      </c>
      <c r="I541" s="10">
        <v>0</v>
      </c>
      <c r="J541" s="10">
        <v>0</v>
      </c>
    </row>
    <row r="542" spans="1:10" hidden="1">
      <c r="A542" s="57" t="s">
        <v>292</v>
      </c>
      <c r="B542" s="10" t="s">
        <v>142</v>
      </c>
      <c r="C542" s="10">
        <v>0.29200000000000004</v>
      </c>
      <c r="D542" s="10">
        <v>0.29200000000000004</v>
      </c>
      <c r="E542" s="10">
        <v>0.29200000000000004</v>
      </c>
      <c r="F542" s="10">
        <v>0.29200000000000004</v>
      </c>
      <c r="G542" s="10">
        <v>0.29200000000000004</v>
      </c>
      <c r="H542" s="10">
        <v>0.29200000000000004</v>
      </c>
      <c r="I542" s="10">
        <v>0.29200000000000004</v>
      </c>
      <c r="J542" s="10">
        <v>0.29200000000000004</v>
      </c>
    </row>
    <row r="543" spans="1:10" hidden="1">
      <c r="A543" s="58" t="s">
        <v>292</v>
      </c>
      <c r="B543" s="58" t="s">
        <v>243</v>
      </c>
      <c r="C543" s="58">
        <v>1.1329</v>
      </c>
      <c r="D543" s="58">
        <v>1.0197000000000001</v>
      </c>
      <c r="E543" s="58">
        <v>0.7903</v>
      </c>
      <c r="F543" s="58">
        <v>0.47420000000000001</v>
      </c>
      <c r="G543" s="58">
        <v>0.23710000000000001</v>
      </c>
      <c r="H543" s="58">
        <v>9.4899999999999998E-2</v>
      </c>
      <c r="I543" s="58">
        <v>1.9E-2</v>
      </c>
      <c r="J543" s="58">
        <v>0</v>
      </c>
    </row>
    <row r="544" spans="1:10" hidden="1">
      <c r="A544" s="58" t="s">
        <v>292</v>
      </c>
      <c r="B544" s="58" t="s">
        <v>244</v>
      </c>
      <c r="C544" s="58">
        <v>6.2E-2</v>
      </c>
      <c r="D544" s="58">
        <v>5.5800000000000002E-2</v>
      </c>
      <c r="E544" s="58">
        <v>4.3300000000000005E-2</v>
      </c>
      <c r="F544" s="58">
        <v>2.5999999999999999E-2</v>
      </c>
      <c r="G544" s="58">
        <v>1.2999999999999999E-2</v>
      </c>
      <c r="H544" s="58">
        <v>5.1999999999999998E-3</v>
      </c>
      <c r="I544" s="58">
        <v>1.1000000000000001E-3</v>
      </c>
      <c r="J544" s="58">
        <v>0</v>
      </c>
    </row>
    <row r="545" spans="1:10" hidden="1">
      <c r="A545" s="58" t="s">
        <v>292</v>
      </c>
      <c r="B545" s="58" t="s">
        <v>245</v>
      </c>
      <c r="C545" s="58">
        <v>1.3653</v>
      </c>
      <c r="D545" s="58">
        <v>1.2287999999999999</v>
      </c>
      <c r="E545" s="58">
        <v>0.95240000000000002</v>
      </c>
      <c r="F545" s="58">
        <v>0.57150000000000001</v>
      </c>
      <c r="G545" s="58">
        <v>0.2858</v>
      </c>
      <c r="H545" s="58">
        <v>0.1144</v>
      </c>
      <c r="I545" s="58">
        <v>2.29E-2</v>
      </c>
      <c r="J545" s="58">
        <v>0</v>
      </c>
    </row>
    <row r="546" spans="1:10" hidden="1">
      <c r="A546" s="58" t="s">
        <v>292</v>
      </c>
      <c r="B546" s="58" t="s">
        <v>217</v>
      </c>
      <c r="C546" s="58">
        <v>0.1012</v>
      </c>
      <c r="D546" s="58">
        <v>9.11E-2</v>
      </c>
      <c r="E546" s="58">
        <v>7.0699999999999999E-2</v>
      </c>
      <c r="F546" s="58">
        <v>4.2500000000000003E-2</v>
      </c>
      <c r="G546" s="58">
        <v>2.1299999999999999E-2</v>
      </c>
      <c r="H546" s="58">
        <v>8.6E-3</v>
      </c>
      <c r="I546" s="58">
        <v>1.8E-3</v>
      </c>
      <c r="J546" s="58">
        <v>0</v>
      </c>
    </row>
    <row r="547" spans="1:10" hidden="1">
      <c r="A547" s="58" t="s">
        <v>292</v>
      </c>
      <c r="B547" s="58" t="s">
        <v>237</v>
      </c>
      <c r="C547" s="58">
        <v>1.38E-2</v>
      </c>
      <c r="D547" s="58">
        <v>1.2499999999999999E-2</v>
      </c>
      <c r="E547" s="58">
        <v>9.6999999999999986E-3</v>
      </c>
      <c r="F547" s="58">
        <v>5.8999999999999999E-3</v>
      </c>
      <c r="G547" s="58">
        <v>2.9999999999999996E-3</v>
      </c>
      <c r="H547" s="58">
        <v>1.1999999999999999E-3</v>
      </c>
      <c r="I547" s="58">
        <v>3.0000000000000003E-4</v>
      </c>
      <c r="J547" s="58">
        <v>0</v>
      </c>
    </row>
    <row r="548" spans="1:10" hidden="1">
      <c r="A548" s="58" t="s">
        <v>292</v>
      </c>
      <c r="B548" s="58" t="s">
        <v>226</v>
      </c>
      <c r="C548" s="58">
        <v>1.2772999999999999</v>
      </c>
      <c r="D548" s="58">
        <v>1.1496</v>
      </c>
      <c r="E548" s="58">
        <v>0.89100000000000001</v>
      </c>
      <c r="F548" s="58">
        <v>0.53459999999999996</v>
      </c>
      <c r="G548" s="58">
        <v>0.26729999999999998</v>
      </c>
      <c r="H548" s="58">
        <v>0.107</v>
      </c>
      <c r="I548" s="58">
        <v>2.1399999999999999E-2</v>
      </c>
      <c r="J548" s="58">
        <v>0</v>
      </c>
    </row>
    <row r="549" spans="1:10" hidden="1">
      <c r="A549" s="58" t="s">
        <v>292</v>
      </c>
      <c r="B549" s="58" t="s">
        <v>219</v>
      </c>
      <c r="C549" s="58">
        <v>1.29E-2</v>
      </c>
      <c r="D549" s="58">
        <v>1.1699999999999999E-2</v>
      </c>
      <c r="E549" s="58">
        <v>9.0999999999999987E-3</v>
      </c>
      <c r="F549" s="58">
        <v>5.5000000000000005E-3</v>
      </c>
      <c r="G549" s="58">
        <v>2.8E-3</v>
      </c>
      <c r="H549" s="58">
        <v>1.2000000000000001E-3</v>
      </c>
      <c r="I549" s="58">
        <v>3.0000000000000003E-4</v>
      </c>
      <c r="J549" s="58">
        <v>0</v>
      </c>
    </row>
    <row r="550" spans="1:10" hidden="1">
      <c r="A550" s="58" t="s">
        <v>292</v>
      </c>
      <c r="B550" s="58" t="s">
        <v>227</v>
      </c>
      <c r="C550" s="58">
        <v>0.1075</v>
      </c>
      <c r="D550" s="58">
        <v>9.6799999999999997E-2</v>
      </c>
      <c r="E550" s="58">
        <v>7.51E-2</v>
      </c>
      <c r="F550" s="58">
        <v>4.5100000000000001E-2</v>
      </c>
      <c r="G550" s="58">
        <v>2.2599999999999999E-2</v>
      </c>
      <c r="H550" s="58">
        <v>9.0999999999999987E-3</v>
      </c>
      <c r="I550" s="58">
        <v>1.9E-3</v>
      </c>
      <c r="J550" s="58">
        <v>0</v>
      </c>
    </row>
    <row r="551" spans="1:10" hidden="1">
      <c r="A551" s="58" t="s">
        <v>292</v>
      </c>
      <c r="B551" s="58" t="s">
        <v>206</v>
      </c>
      <c r="C551" s="58">
        <v>6.6500000000000004E-2</v>
      </c>
      <c r="D551" s="58">
        <v>5.9900000000000002E-2</v>
      </c>
      <c r="E551" s="58">
        <v>4.65E-2</v>
      </c>
      <c r="F551" s="58">
        <v>2.7900000000000001E-2</v>
      </c>
      <c r="G551" s="58">
        <v>1.3999999999999999E-2</v>
      </c>
      <c r="H551" s="58">
        <v>5.5999999999999999E-3</v>
      </c>
      <c r="I551" s="58">
        <v>1.2000000000000001E-3</v>
      </c>
    </row>
    <row r="552" spans="1:10" hidden="1">
      <c r="A552" s="58" t="s">
        <v>292</v>
      </c>
      <c r="B552" s="58" t="s">
        <v>233</v>
      </c>
      <c r="C552" s="58">
        <v>0.38369999999999999</v>
      </c>
      <c r="D552" s="58">
        <v>0.34539999999999998</v>
      </c>
      <c r="E552" s="58">
        <v>0.26769999999999999</v>
      </c>
      <c r="F552" s="58">
        <v>0.16069999999999998</v>
      </c>
      <c r="G552" s="58">
        <v>8.0399999999999999E-2</v>
      </c>
      <c r="H552" s="58">
        <v>3.2199999999999999E-2</v>
      </c>
      <c r="I552" s="58">
        <v>6.5000000000000006E-3</v>
      </c>
    </row>
    <row r="553" spans="1:10" hidden="1">
      <c r="A553" s="58" t="s">
        <v>292</v>
      </c>
      <c r="B553" s="58" t="s">
        <v>224</v>
      </c>
      <c r="C553" s="58">
        <v>9.8650000000000002</v>
      </c>
      <c r="D553" s="58">
        <v>8.8785000000000007</v>
      </c>
      <c r="E553" s="58">
        <v>6.8808999999999996</v>
      </c>
      <c r="F553" s="58">
        <v>4.1285999999999996</v>
      </c>
      <c r="G553" s="58">
        <v>2.0642999999999998</v>
      </c>
      <c r="H553" s="58">
        <v>0.82579999999999998</v>
      </c>
      <c r="I553" s="58">
        <v>0.16519999999999999</v>
      </c>
    </row>
    <row r="554" spans="1:10" hidden="1">
      <c r="A554" s="58" t="s">
        <v>292</v>
      </c>
      <c r="B554" s="58" t="s">
        <v>207</v>
      </c>
      <c r="C554" s="58">
        <v>0.51559999999999995</v>
      </c>
      <c r="D554" s="58">
        <v>0.46410000000000001</v>
      </c>
      <c r="E554" s="58">
        <v>0.35969999999999996</v>
      </c>
      <c r="F554" s="58">
        <v>0.21589999999999998</v>
      </c>
      <c r="G554" s="58">
        <v>0.108</v>
      </c>
      <c r="H554" s="58">
        <v>4.3200000000000002E-2</v>
      </c>
      <c r="I554" s="58">
        <v>8.6999999999999994E-3</v>
      </c>
    </row>
    <row r="555" spans="1:10" hidden="1">
      <c r="A555" s="58" t="s">
        <v>292</v>
      </c>
      <c r="B555" s="58" t="s">
        <v>225</v>
      </c>
      <c r="C555" s="58">
        <v>1.6362000000000001</v>
      </c>
      <c r="D555" s="58">
        <v>1.4725999999999999</v>
      </c>
      <c r="E555" s="58">
        <v>1.1413</v>
      </c>
      <c r="F555" s="58">
        <v>0.68479999999999996</v>
      </c>
      <c r="G555" s="58">
        <v>0.34239999999999998</v>
      </c>
      <c r="H555" s="58">
        <v>0.13699999999999998</v>
      </c>
      <c r="I555" s="58">
        <v>2.7400000000000001E-2</v>
      </c>
    </row>
    <row r="556" spans="1:10" hidden="1">
      <c r="A556" s="58" t="s">
        <v>292</v>
      </c>
      <c r="B556" s="58" t="s">
        <v>228</v>
      </c>
      <c r="C556" s="58">
        <v>3.2100000000000004E-2</v>
      </c>
      <c r="D556" s="58">
        <v>2.8899999999999999E-2</v>
      </c>
      <c r="E556" s="58">
        <v>2.24E-2</v>
      </c>
      <c r="F556" s="58">
        <v>1.35E-2</v>
      </c>
      <c r="G556" s="58">
        <v>6.8000000000000005E-3</v>
      </c>
      <c r="H556" s="58">
        <v>2.8E-3</v>
      </c>
      <c r="I556" s="58">
        <v>6.0000000000000006E-4</v>
      </c>
      <c r="J556" s="58">
        <v>0</v>
      </c>
    </row>
    <row r="557" spans="1:10" hidden="1">
      <c r="A557" s="58" t="s">
        <v>292</v>
      </c>
      <c r="B557" s="58" t="s">
        <v>230</v>
      </c>
      <c r="C557" s="58">
        <v>4.3316999999999997</v>
      </c>
      <c r="D557" s="58">
        <v>3.8986000000000001</v>
      </c>
      <c r="E557" s="58">
        <v>3.0215000000000001</v>
      </c>
      <c r="F557" s="58">
        <v>1.8129</v>
      </c>
      <c r="G557" s="58">
        <v>0.90649999999999997</v>
      </c>
      <c r="H557" s="58">
        <v>0.36259999999999998</v>
      </c>
      <c r="I557" s="58">
        <v>7.2599999999999998E-2</v>
      </c>
      <c r="J557" s="58">
        <v>0</v>
      </c>
    </row>
    <row r="558" spans="1:10" hidden="1">
      <c r="A558" s="58" t="s">
        <v>292</v>
      </c>
      <c r="B558" s="58" t="s">
        <v>229</v>
      </c>
      <c r="C558" s="58">
        <v>2.35E-2</v>
      </c>
      <c r="D558" s="58">
        <v>2.12E-2</v>
      </c>
      <c r="E558" s="58">
        <v>1.6500000000000001E-2</v>
      </c>
      <c r="F558" s="58">
        <v>9.9000000000000008E-3</v>
      </c>
      <c r="G558" s="58">
        <v>5.0000000000000001E-3</v>
      </c>
      <c r="H558" s="58">
        <v>2E-3</v>
      </c>
      <c r="I558" s="58">
        <v>4.0000000000000002E-4</v>
      </c>
      <c r="J558" s="58">
        <v>0</v>
      </c>
    </row>
    <row r="559" spans="1:10" hidden="1">
      <c r="A559" s="58" t="s">
        <v>292</v>
      </c>
      <c r="B559" s="58" t="s">
        <v>231</v>
      </c>
      <c r="C559" s="58">
        <v>0.39360000000000001</v>
      </c>
      <c r="D559" s="58">
        <v>0.3543</v>
      </c>
      <c r="E559" s="58">
        <v>0.27460000000000001</v>
      </c>
      <c r="F559" s="58">
        <v>0.1648</v>
      </c>
      <c r="G559" s="58">
        <v>8.2400000000000001E-2</v>
      </c>
      <c r="H559" s="58">
        <v>3.3000000000000002E-2</v>
      </c>
      <c r="I559" s="58">
        <v>6.6E-3</v>
      </c>
      <c r="J559" s="58">
        <v>0</v>
      </c>
    </row>
    <row r="560" spans="1:10" hidden="1">
      <c r="A560" s="58" t="s">
        <v>292</v>
      </c>
      <c r="B560" s="58" t="s">
        <v>240</v>
      </c>
      <c r="C560" s="58">
        <v>9.1999999999999998E-3</v>
      </c>
      <c r="D560" s="58">
        <v>8.3000000000000001E-3</v>
      </c>
      <c r="E560" s="58">
        <v>6.5000000000000006E-3</v>
      </c>
      <c r="F560" s="58">
        <v>3.8999999999999998E-3</v>
      </c>
      <c r="G560" s="58">
        <v>2E-3</v>
      </c>
      <c r="H560" s="58">
        <v>8.0000000000000004E-4</v>
      </c>
      <c r="I560" s="58">
        <v>0</v>
      </c>
      <c r="J560" s="58">
        <v>0</v>
      </c>
    </row>
    <row r="561" spans="1:10" hidden="1">
      <c r="A561" s="57" t="s">
        <v>292</v>
      </c>
      <c r="B561" s="10" t="s">
        <v>163</v>
      </c>
      <c r="C561" s="10">
        <v>0.1124</v>
      </c>
      <c r="D561" s="10">
        <v>0.1121393393504819</v>
      </c>
      <c r="E561" s="10">
        <v>0.1121393393504819</v>
      </c>
      <c r="F561" s="10">
        <v>0.11211718319527288</v>
      </c>
      <c r="G561" s="10">
        <v>0.11083994601263415</v>
      </c>
      <c r="H561" s="10">
        <v>7.4868776379136026E-2</v>
      </c>
      <c r="I561" s="10">
        <v>2.416845542331846E-3</v>
      </c>
      <c r="J561" s="10">
        <v>2.416845542331846E-3</v>
      </c>
    </row>
    <row r="562" spans="1:10" hidden="1">
      <c r="A562" s="57" t="s">
        <v>292</v>
      </c>
      <c r="B562" s="10" t="s">
        <v>107</v>
      </c>
      <c r="C562" s="10">
        <v>0.85499999999999998</v>
      </c>
      <c r="D562" s="10">
        <v>0.85499999999999998</v>
      </c>
      <c r="E562" s="10">
        <v>0.85499999999999998</v>
      </c>
      <c r="F562" s="10">
        <v>0.85499999999999998</v>
      </c>
      <c r="G562" s="10">
        <v>0.56999999999999995</v>
      </c>
      <c r="H562" s="10">
        <v>0</v>
      </c>
      <c r="I562" s="10">
        <v>0</v>
      </c>
      <c r="J562" s="10">
        <v>0</v>
      </c>
    </row>
    <row r="563" spans="1:10" hidden="1">
      <c r="A563" s="57" t="s">
        <v>292</v>
      </c>
      <c r="B563" s="10" t="s">
        <v>106</v>
      </c>
      <c r="C563" s="10">
        <v>0.31060000000000004</v>
      </c>
      <c r="D563" s="10">
        <v>0.18636000000000003</v>
      </c>
      <c r="E563" s="10">
        <v>3.1060000000000001E-2</v>
      </c>
      <c r="F563" s="10">
        <v>0</v>
      </c>
      <c r="G563" s="10">
        <v>0</v>
      </c>
      <c r="H563" s="10">
        <v>0</v>
      </c>
      <c r="I563" s="10">
        <v>0</v>
      </c>
      <c r="J563" s="10">
        <v>0</v>
      </c>
    </row>
    <row r="564" spans="1:10" hidden="1">
      <c r="A564" s="57" t="s">
        <v>292</v>
      </c>
      <c r="B564" s="10" t="s">
        <v>22</v>
      </c>
      <c r="C564" s="10">
        <v>4.1820000000000004</v>
      </c>
      <c r="D564" s="10">
        <v>3.5659222205776389</v>
      </c>
      <c r="E564" s="10">
        <v>3.0565665761733238</v>
      </c>
      <c r="F564" s="10">
        <v>3.0565665761733238</v>
      </c>
      <c r="G564" s="10">
        <v>2.9060883657978778</v>
      </c>
      <c r="H564" s="10">
        <v>2.5414236814473492</v>
      </c>
      <c r="I564" s="10">
        <v>1.644472646682037</v>
      </c>
      <c r="J564" s="10">
        <v>5.5602232344402402E-3</v>
      </c>
    </row>
    <row r="565" spans="1:10" hidden="1">
      <c r="A565" s="10" t="s">
        <v>292</v>
      </c>
      <c r="B565" s="10" t="s">
        <v>488</v>
      </c>
      <c r="C565" s="10">
        <v>2.9159999999999999</v>
      </c>
      <c r="D565" s="10">
        <v>2.9159999999999999</v>
      </c>
      <c r="E565" s="10">
        <v>1.1616946713815388</v>
      </c>
      <c r="F565" s="10">
        <v>0</v>
      </c>
      <c r="G565" s="10">
        <v>0</v>
      </c>
      <c r="H565" s="10">
        <v>0</v>
      </c>
      <c r="I565" s="10">
        <v>0</v>
      </c>
      <c r="J565" s="10">
        <v>0</v>
      </c>
    </row>
    <row r="566" spans="1:10" hidden="1">
      <c r="A566" s="10" t="s">
        <v>292</v>
      </c>
      <c r="B566" s="10" t="s">
        <v>489</v>
      </c>
      <c r="C566" s="10">
        <v>1.2083999999999999E-2</v>
      </c>
      <c r="D566" s="10">
        <v>1.2083999999999999E-2</v>
      </c>
      <c r="E566" s="10">
        <v>6.0419999999999996E-3</v>
      </c>
      <c r="F566" s="10">
        <v>0</v>
      </c>
      <c r="G566" s="10">
        <v>0</v>
      </c>
      <c r="H566" s="10">
        <v>0</v>
      </c>
      <c r="I566" s="10">
        <v>0</v>
      </c>
      <c r="J566" s="10">
        <v>0</v>
      </c>
    </row>
    <row r="567" spans="1:10" hidden="1">
      <c r="A567" s="10" t="s">
        <v>292</v>
      </c>
      <c r="B567" s="10" t="s">
        <v>490</v>
      </c>
      <c r="C567" s="10">
        <v>1.1879999999999999</v>
      </c>
      <c r="D567" s="10">
        <v>1.1879999999999999</v>
      </c>
      <c r="E567" s="10">
        <v>0.59399999999999997</v>
      </c>
      <c r="F567" s="10">
        <v>0</v>
      </c>
      <c r="G567" s="10">
        <v>0</v>
      </c>
      <c r="H567" s="10">
        <v>0</v>
      </c>
      <c r="I567" s="10">
        <v>0</v>
      </c>
      <c r="J567" s="10">
        <v>0</v>
      </c>
    </row>
    <row r="568" spans="1:10" hidden="1">
      <c r="A568" s="57" t="s">
        <v>292</v>
      </c>
      <c r="B568" s="10" t="s">
        <v>23</v>
      </c>
      <c r="C568" s="10">
        <v>0</v>
      </c>
      <c r="D568" s="10">
        <v>0</v>
      </c>
      <c r="E568" s="10">
        <v>0</v>
      </c>
      <c r="F568" s="10">
        <v>0</v>
      </c>
      <c r="G568" s="10">
        <v>0</v>
      </c>
      <c r="H568" s="10">
        <v>0</v>
      </c>
      <c r="I568" s="10">
        <v>0</v>
      </c>
      <c r="J568" s="10">
        <v>0</v>
      </c>
    </row>
    <row r="569" spans="1:10" hidden="1">
      <c r="A569" s="57" t="s">
        <v>292</v>
      </c>
      <c r="B569" s="10" t="s">
        <v>58</v>
      </c>
      <c r="C569" s="10">
        <v>1.0805</v>
      </c>
      <c r="D569" s="10">
        <v>0.60264067713008107</v>
      </c>
      <c r="E569" s="10">
        <v>0.52039067713008103</v>
      </c>
      <c r="F569" s="10">
        <v>0.50394067713008095</v>
      </c>
      <c r="G569" s="10">
        <v>0.50236290418978646</v>
      </c>
      <c r="H569" s="10">
        <v>0.50236290418978646</v>
      </c>
      <c r="I569" s="10">
        <v>0.2619103080888962</v>
      </c>
      <c r="J569" s="10">
        <v>0</v>
      </c>
    </row>
    <row r="570" spans="1:10" hidden="1">
      <c r="A570" s="58" t="s">
        <v>292</v>
      </c>
      <c r="B570" s="58" t="s">
        <v>102</v>
      </c>
      <c r="C570" s="58">
        <v>0.29199999999999998</v>
      </c>
      <c r="D570" s="58">
        <v>0.29199999999999998</v>
      </c>
      <c r="E570" s="58">
        <v>0.29199999999999998</v>
      </c>
      <c r="F570" s="58">
        <v>0.29199999999999998</v>
      </c>
      <c r="G570" s="58">
        <v>0.29199999999999998</v>
      </c>
      <c r="H570" s="58">
        <v>0.29199999999999998</v>
      </c>
      <c r="I570" s="58">
        <v>0.29199999999999998</v>
      </c>
      <c r="J570" s="58">
        <v>0.29199999999999998</v>
      </c>
    </row>
    <row r="571" spans="1:10" hidden="1">
      <c r="A571" s="57" t="s">
        <v>292</v>
      </c>
      <c r="B571" s="10" t="s">
        <v>103</v>
      </c>
      <c r="C571" s="10">
        <v>0.23799999999999999</v>
      </c>
      <c r="D571" s="10">
        <v>0.23799999999999999</v>
      </c>
      <c r="E571" s="10">
        <v>0.23799999999999999</v>
      </c>
      <c r="F571" s="10">
        <v>0.23799999999999999</v>
      </c>
      <c r="G571" s="10">
        <v>0.23799999999999999</v>
      </c>
      <c r="H571" s="10">
        <v>0.23799999999999999</v>
      </c>
      <c r="I571" s="10">
        <v>0.23799999999999999</v>
      </c>
      <c r="J571" s="10">
        <v>0.23799999999999999</v>
      </c>
    </row>
    <row r="572" spans="1:10" hidden="1">
      <c r="A572" s="57" t="s">
        <v>292</v>
      </c>
      <c r="B572" s="10" t="s">
        <v>94</v>
      </c>
      <c r="C572" s="10">
        <v>5.3999999999999999E-2</v>
      </c>
      <c r="D572" s="10">
        <v>5.3999999999999999E-2</v>
      </c>
      <c r="E572" s="10">
        <v>5.3999999999999999E-2</v>
      </c>
      <c r="F572" s="10">
        <v>5.3999999999999999E-2</v>
      </c>
      <c r="G572" s="10">
        <v>5.3999999999999999E-2</v>
      </c>
      <c r="H572" s="10">
        <v>0</v>
      </c>
      <c r="I572" s="10">
        <v>0</v>
      </c>
      <c r="J572" s="10">
        <v>0</v>
      </c>
    </row>
    <row r="573" spans="1:10" hidden="1">
      <c r="A573" s="57" t="s">
        <v>292</v>
      </c>
      <c r="B573" s="10" t="s">
        <v>170</v>
      </c>
      <c r="C573" s="10">
        <v>2.5000000000000001E-2</v>
      </c>
      <c r="D573" s="10">
        <v>2.5000000000000001E-2</v>
      </c>
      <c r="E573" s="10">
        <v>2.5000000000000001E-2</v>
      </c>
      <c r="F573" s="10">
        <v>0</v>
      </c>
      <c r="G573" s="10">
        <v>0</v>
      </c>
      <c r="H573" s="10">
        <v>0</v>
      </c>
      <c r="I573" s="10">
        <v>0</v>
      </c>
      <c r="J573" s="10">
        <v>0</v>
      </c>
    </row>
    <row r="574" spans="1:10" hidden="1">
      <c r="A574" s="57" t="s">
        <v>292</v>
      </c>
      <c r="B574" s="10" t="s">
        <v>97</v>
      </c>
      <c r="C574" s="10">
        <v>3.6</v>
      </c>
      <c r="D574" s="10">
        <v>3.6</v>
      </c>
      <c r="E574" s="10">
        <v>3.6</v>
      </c>
      <c r="F574" s="10">
        <v>3.6</v>
      </c>
      <c r="G574" s="10">
        <v>3.6</v>
      </c>
      <c r="H574" s="10">
        <v>0</v>
      </c>
      <c r="I574" s="10">
        <v>0</v>
      </c>
      <c r="J574" s="10">
        <v>0</v>
      </c>
    </row>
    <row r="575" spans="1:10" hidden="1">
      <c r="A575" s="61" t="s">
        <v>292</v>
      </c>
      <c r="B575" s="62" t="s">
        <v>339</v>
      </c>
      <c r="C575" s="10">
        <v>0</v>
      </c>
      <c r="D575" s="10">
        <v>0</v>
      </c>
      <c r="E575" s="10">
        <v>0</v>
      </c>
      <c r="F575" s="10">
        <v>0</v>
      </c>
      <c r="G575" s="10">
        <v>0</v>
      </c>
      <c r="H575" s="10">
        <v>0</v>
      </c>
      <c r="I575" s="10">
        <v>0</v>
      </c>
      <c r="J575" s="10">
        <v>0</v>
      </c>
    </row>
    <row r="576" spans="1:10" hidden="1">
      <c r="A576" s="61" t="s">
        <v>467</v>
      </c>
      <c r="B576" s="61" t="s">
        <v>467</v>
      </c>
      <c r="C576" s="10">
        <v>1</v>
      </c>
      <c r="D576" s="58">
        <v>0.9</v>
      </c>
      <c r="E576" s="58">
        <v>0.69750000000000001</v>
      </c>
      <c r="F576" s="58">
        <v>0.41849999999999998</v>
      </c>
      <c r="G576" s="58">
        <v>0.20929999999999999</v>
      </c>
      <c r="H576" s="58">
        <v>8.3799999999999999E-2</v>
      </c>
      <c r="I576" s="58">
        <v>1.6799999999999999E-2</v>
      </c>
      <c r="J576" s="10">
        <v>0</v>
      </c>
    </row>
    <row r="577" spans="1:10" hidden="1">
      <c r="A577" s="10" t="s">
        <v>293</v>
      </c>
      <c r="B577" s="10" t="s">
        <v>475</v>
      </c>
      <c r="C577" s="10">
        <v>1.3886758748658832</v>
      </c>
      <c r="D577" s="10">
        <v>1.3886758748658832</v>
      </c>
      <c r="E577" s="10">
        <v>1.217761921036236</v>
      </c>
      <c r="F577" s="10">
        <v>1.0468479672065889</v>
      </c>
      <c r="G577" s="10">
        <v>0.52342398360329445</v>
      </c>
      <c r="H577" s="10">
        <v>0</v>
      </c>
      <c r="I577" s="10">
        <v>0</v>
      </c>
      <c r="J577" s="10">
        <v>0</v>
      </c>
    </row>
    <row r="578" spans="1:10" hidden="1">
      <c r="A578" s="10" t="s">
        <v>293</v>
      </c>
      <c r="B578" s="10" t="s">
        <v>108</v>
      </c>
      <c r="C578" s="10">
        <v>0.15624144869215281</v>
      </c>
      <c r="D578" s="10">
        <v>0.15624144869215281</v>
      </c>
      <c r="E578" s="10">
        <v>0.10745459317167824</v>
      </c>
      <c r="F578" s="10">
        <v>5.8667737651203623E-2</v>
      </c>
      <c r="G578" s="10">
        <v>2.9333868825601812E-2</v>
      </c>
      <c r="H578" s="10">
        <v>0</v>
      </c>
      <c r="I578" s="10">
        <v>0</v>
      </c>
      <c r="J578" s="10">
        <v>0</v>
      </c>
    </row>
    <row r="579" spans="1:10" hidden="1">
      <c r="A579" s="10" t="s">
        <v>293</v>
      </c>
      <c r="B579" s="10" t="s">
        <v>481</v>
      </c>
      <c r="C579" s="10">
        <v>5.6932129235389795</v>
      </c>
      <c r="D579" s="10">
        <v>5.6932129235389795</v>
      </c>
      <c r="E579" s="10">
        <v>5.6932237359415803</v>
      </c>
      <c r="F579" s="10">
        <v>5.693234548344182</v>
      </c>
      <c r="G579" s="10">
        <v>5.618214494962535</v>
      </c>
      <c r="H579" s="10">
        <v>5.5431944415808889</v>
      </c>
      <c r="I579" s="10">
        <v>2.9993785022566977</v>
      </c>
      <c r="J579" s="10">
        <v>0.45556256293250647</v>
      </c>
    </row>
    <row r="580" spans="1:10" hidden="1">
      <c r="A580" s="10" t="s">
        <v>293</v>
      </c>
      <c r="B580" s="10" t="s">
        <v>485</v>
      </c>
      <c r="C580" s="10">
        <v>0.75466792184901943</v>
      </c>
      <c r="D580" s="10">
        <v>0.75466792184901943</v>
      </c>
      <c r="E580" s="10">
        <v>0.37733396092450971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</row>
    <row r="581" spans="1:10" hidden="1">
      <c r="A581" s="57" t="s">
        <v>293</v>
      </c>
      <c r="B581" s="10" t="s">
        <v>142</v>
      </c>
      <c r="C581" s="10">
        <v>5.6929999999999996</v>
      </c>
      <c r="D581" s="10">
        <v>5.6929999999999996</v>
      </c>
      <c r="E581" s="10">
        <v>5.6929999999999996</v>
      </c>
      <c r="F581" s="10">
        <v>5.6929999999999996</v>
      </c>
      <c r="G581" s="10">
        <v>5.6929999999999996</v>
      </c>
      <c r="H581" s="10">
        <v>5.6929999999999996</v>
      </c>
      <c r="I581" s="10">
        <v>5.6929999999999996</v>
      </c>
      <c r="J581" s="10">
        <v>5.6929999999999996</v>
      </c>
    </row>
    <row r="582" spans="1:10" hidden="1">
      <c r="A582" s="58" t="s">
        <v>293</v>
      </c>
      <c r="B582" s="58" t="s">
        <v>243</v>
      </c>
      <c r="C582" s="58">
        <v>11.3714</v>
      </c>
      <c r="D582" s="58">
        <v>10.234299999999999</v>
      </c>
      <c r="E582" s="58">
        <v>7.9315999999999995</v>
      </c>
      <c r="F582" s="58">
        <v>4.7589999999999995</v>
      </c>
      <c r="G582" s="58">
        <v>2.3795000000000002</v>
      </c>
      <c r="H582" s="58">
        <v>0.95179999999999998</v>
      </c>
      <c r="I582" s="58">
        <v>0.19039999999999999</v>
      </c>
      <c r="J582" s="58">
        <v>0</v>
      </c>
    </row>
    <row r="583" spans="1:10" hidden="1">
      <c r="A583" s="58" t="s">
        <v>293</v>
      </c>
      <c r="B583" s="58" t="s">
        <v>244</v>
      </c>
      <c r="C583" s="58">
        <v>1.7814000000000001</v>
      </c>
      <c r="D583" s="58">
        <v>1.6032999999999999</v>
      </c>
      <c r="E583" s="58">
        <v>1.2425999999999999</v>
      </c>
      <c r="F583" s="58">
        <v>0.74560000000000004</v>
      </c>
      <c r="G583" s="58">
        <v>0.37280000000000002</v>
      </c>
      <c r="H583" s="58">
        <v>0.1492</v>
      </c>
      <c r="I583" s="58">
        <v>2.9899999999999999E-2</v>
      </c>
      <c r="J583" s="58">
        <v>0</v>
      </c>
    </row>
    <row r="584" spans="1:10" hidden="1">
      <c r="A584" s="58" t="s">
        <v>293</v>
      </c>
      <c r="B584" s="58" t="s">
        <v>245</v>
      </c>
      <c r="C584" s="58">
        <v>3.2756000000000003</v>
      </c>
      <c r="D584" s="58">
        <v>2.9481000000000002</v>
      </c>
      <c r="E584" s="58">
        <v>2.2848000000000002</v>
      </c>
      <c r="F584" s="58">
        <v>1.3709</v>
      </c>
      <c r="G584" s="58">
        <v>0.6855</v>
      </c>
      <c r="H584" s="58">
        <v>0.2742</v>
      </c>
      <c r="I584" s="58">
        <v>5.4900000000000004E-2</v>
      </c>
      <c r="J584" s="58">
        <v>0</v>
      </c>
    </row>
    <row r="585" spans="1:10" hidden="1">
      <c r="A585" s="58" t="s">
        <v>293</v>
      </c>
      <c r="B585" s="58" t="s">
        <v>217</v>
      </c>
      <c r="C585" s="58">
        <v>0.14939999999999998</v>
      </c>
      <c r="D585" s="58">
        <v>0.13449999999999998</v>
      </c>
      <c r="E585" s="58">
        <v>0.1043</v>
      </c>
      <c r="F585" s="58">
        <v>6.2600000000000003E-2</v>
      </c>
      <c r="G585" s="58">
        <v>3.1300000000000001E-2</v>
      </c>
      <c r="H585" s="58">
        <v>1.26E-2</v>
      </c>
      <c r="I585" s="58">
        <v>2.5999999999999999E-3</v>
      </c>
      <c r="J585" s="58">
        <v>0</v>
      </c>
    </row>
    <row r="586" spans="1:10" hidden="1">
      <c r="A586" s="58" t="s">
        <v>293</v>
      </c>
      <c r="B586" s="58" t="s">
        <v>237</v>
      </c>
      <c r="C586" s="58">
        <v>0.14259999999999998</v>
      </c>
      <c r="D586" s="58">
        <v>0.12839999999999999</v>
      </c>
      <c r="E586" s="58">
        <v>9.9600000000000008E-2</v>
      </c>
      <c r="F586" s="58">
        <v>5.9800000000000006E-2</v>
      </c>
      <c r="G586" s="58">
        <v>2.9899999999999999E-2</v>
      </c>
      <c r="H586" s="58">
        <v>1.2E-2</v>
      </c>
      <c r="I586" s="58">
        <v>2.3999999999999998E-3</v>
      </c>
      <c r="J586" s="58">
        <v>0</v>
      </c>
    </row>
    <row r="587" spans="1:10" hidden="1">
      <c r="A587" s="58" t="s">
        <v>293</v>
      </c>
      <c r="B587" s="58" t="s">
        <v>226</v>
      </c>
      <c r="C587" s="58">
        <v>15.527200000000001</v>
      </c>
      <c r="D587" s="58">
        <v>13.974499999999999</v>
      </c>
      <c r="E587" s="58">
        <v>10.830299999999999</v>
      </c>
      <c r="F587" s="58">
        <v>6.4981999999999998</v>
      </c>
      <c r="G587" s="58">
        <v>3.2490999999999999</v>
      </c>
      <c r="H587" s="58">
        <v>1.2997000000000001</v>
      </c>
      <c r="I587" s="58">
        <v>0.26</v>
      </c>
      <c r="J587" s="58">
        <v>0</v>
      </c>
    </row>
    <row r="588" spans="1:10" hidden="1">
      <c r="A588" s="58" t="s">
        <v>293</v>
      </c>
      <c r="B588" s="58" t="s">
        <v>219</v>
      </c>
      <c r="C588" s="58">
        <v>2.0000000000000001E-4</v>
      </c>
      <c r="D588" s="58">
        <v>0</v>
      </c>
      <c r="E588" s="58">
        <v>0</v>
      </c>
      <c r="F588" s="58">
        <v>0</v>
      </c>
      <c r="G588" s="58">
        <v>0</v>
      </c>
      <c r="H588" s="58">
        <v>0</v>
      </c>
      <c r="I588" s="58">
        <v>0</v>
      </c>
      <c r="J588" s="58">
        <v>0</v>
      </c>
    </row>
    <row r="589" spans="1:10" hidden="1">
      <c r="A589" s="58" t="s">
        <v>293</v>
      </c>
      <c r="B589" s="58" t="s">
        <v>227</v>
      </c>
      <c r="C589" s="58">
        <v>0.4572</v>
      </c>
      <c r="D589" s="58">
        <v>0.41149999999999998</v>
      </c>
      <c r="E589" s="58">
        <v>0.31900000000000001</v>
      </c>
      <c r="F589" s="58">
        <v>0.19139999999999999</v>
      </c>
      <c r="G589" s="58">
        <v>9.5699999999999993E-2</v>
      </c>
      <c r="H589" s="58">
        <v>3.8300000000000001E-2</v>
      </c>
      <c r="I589" s="58">
        <v>7.7000000000000002E-3</v>
      </c>
      <c r="J589" s="58">
        <v>0</v>
      </c>
    </row>
    <row r="590" spans="1:10" hidden="1">
      <c r="A590" s="58" t="s">
        <v>293</v>
      </c>
      <c r="B590" s="58" t="s">
        <v>206</v>
      </c>
      <c r="C590" s="58">
        <v>8.7066999999999997</v>
      </c>
      <c r="D590" s="58">
        <v>7.8361000000000001</v>
      </c>
      <c r="E590" s="58">
        <v>6.0729999999999995</v>
      </c>
      <c r="F590" s="58">
        <v>3.6438000000000001</v>
      </c>
      <c r="G590" s="58">
        <v>1.8219000000000001</v>
      </c>
      <c r="H590" s="58">
        <v>0.7288</v>
      </c>
      <c r="I590" s="58">
        <v>0.14579999999999999</v>
      </c>
    </row>
    <row r="591" spans="1:10" hidden="1">
      <c r="A591" s="58" t="s">
        <v>293</v>
      </c>
      <c r="B591" s="58" t="s">
        <v>233</v>
      </c>
      <c r="C591" s="58">
        <v>4.1261000000000001</v>
      </c>
      <c r="D591" s="58">
        <v>3.7135000000000002</v>
      </c>
      <c r="E591" s="58">
        <v>2.8780000000000001</v>
      </c>
      <c r="F591" s="58">
        <v>1.7267999999999999</v>
      </c>
      <c r="G591" s="58">
        <v>0.86339999999999995</v>
      </c>
      <c r="H591" s="58">
        <v>0.34539999999999998</v>
      </c>
      <c r="I591" s="58">
        <v>6.9100000000000009E-2</v>
      </c>
    </row>
    <row r="592" spans="1:10" hidden="1">
      <c r="A592" s="58" t="s">
        <v>293</v>
      </c>
      <c r="B592" s="58" t="s">
        <v>224</v>
      </c>
      <c r="C592" s="58">
        <v>231.11320000000001</v>
      </c>
      <c r="D592" s="58">
        <v>208.00190000000001</v>
      </c>
      <c r="E592" s="58">
        <v>161.20150000000001</v>
      </c>
      <c r="F592" s="58">
        <v>96.7209</v>
      </c>
      <c r="G592" s="58">
        <v>48.360500000000002</v>
      </c>
      <c r="H592" s="58">
        <v>19.344200000000001</v>
      </c>
      <c r="I592" s="58">
        <v>3.8689</v>
      </c>
    </row>
    <row r="593" spans="1:10" hidden="1">
      <c r="A593" s="58" t="s">
        <v>293</v>
      </c>
      <c r="B593" s="58" t="s">
        <v>225</v>
      </c>
      <c r="C593" s="58">
        <v>3.9803000000000002</v>
      </c>
      <c r="D593" s="58">
        <v>3.5823</v>
      </c>
      <c r="E593" s="58">
        <v>2.7763</v>
      </c>
      <c r="F593" s="58">
        <v>1.6657999999999999</v>
      </c>
      <c r="G593" s="58">
        <v>0.83289999999999997</v>
      </c>
      <c r="H593" s="58">
        <v>0.3332</v>
      </c>
      <c r="I593" s="58">
        <v>6.6700000000000009E-2</v>
      </c>
    </row>
    <row r="594" spans="1:10" hidden="1">
      <c r="A594" s="58" t="s">
        <v>293</v>
      </c>
      <c r="B594" s="58" t="s">
        <v>228</v>
      </c>
      <c r="C594" s="58">
        <v>1.0979000000000001</v>
      </c>
      <c r="D594" s="58">
        <v>0.98819999999999997</v>
      </c>
      <c r="E594" s="58">
        <v>0.76590000000000003</v>
      </c>
      <c r="F594" s="58">
        <v>0.45960000000000001</v>
      </c>
      <c r="G594" s="58">
        <v>0.2298</v>
      </c>
      <c r="H594" s="58">
        <v>9.1999999999999998E-2</v>
      </c>
      <c r="I594" s="58">
        <v>1.84E-2</v>
      </c>
      <c r="J594" s="58">
        <v>0</v>
      </c>
    </row>
    <row r="595" spans="1:10" hidden="1">
      <c r="A595" s="58" t="s">
        <v>293</v>
      </c>
      <c r="B595" s="58" t="s">
        <v>230</v>
      </c>
      <c r="C595" s="58">
        <v>75.438800000000001</v>
      </c>
      <c r="D595" s="58">
        <v>67.89500000000001</v>
      </c>
      <c r="E595" s="58">
        <v>52.618700000000004</v>
      </c>
      <c r="F595" s="58">
        <v>31.571300000000001</v>
      </c>
      <c r="G595" s="58">
        <v>15.7857</v>
      </c>
      <c r="H595" s="58">
        <v>6.3142999999999994</v>
      </c>
      <c r="I595" s="58">
        <v>1.2628999999999999</v>
      </c>
      <c r="J595" s="58">
        <v>0</v>
      </c>
    </row>
    <row r="596" spans="1:10" hidden="1">
      <c r="A596" s="58" t="s">
        <v>293</v>
      </c>
      <c r="B596" s="58" t="s">
        <v>229</v>
      </c>
      <c r="C596" s="58">
        <v>8.8999999999999999E-3</v>
      </c>
      <c r="D596" s="58">
        <v>8.0999999999999996E-3</v>
      </c>
      <c r="E596" s="58">
        <v>6.3E-3</v>
      </c>
      <c r="F596" s="58">
        <v>3.8E-3</v>
      </c>
      <c r="G596" s="58">
        <v>1.9E-3</v>
      </c>
      <c r="H596" s="58">
        <v>8.0000000000000004E-4</v>
      </c>
      <c r="I596" s="58">
        <v>0</v>
      </c>
      <c r="J596" s="58">
        <v>0</v>
      </c>
    </row>
    <row r="597" spans="1:10" hidden="1">
      <c r="A597" s="58" t="s">
        <v>293</v>
      </c>
      <c r="B597" s="58" t="s">
        <v>231</v>
      </c>
      <c r="C597" s="58">
        <v>3.0724</v>
      </c>
      <c r="D597" s="58">
        <v>2.7652000000000001</v>
      </c>
      <c r="E597" s="58">
        <v>2.1431</v>
      </c>
      <c r="F597" s="58">
        <v>1.2859</v>
      </c>
      <c r="G597" s="58">
        <v>0.64300000000000002</v>
      </c>
      <c r="H597" s="58">
        <v>0.25719999999999998</v>
      </c>
      <c r="I597" s="58">
        <v>5.1500000000000004E-2</v>
      </c>
      <c r="J597" s="58">
        <v>0</v>
      </c>
    </row>
    <row r="598" spans="1:10" hidden="1">
      <c r="A598" s="58" t="s">
        <v>293</v>
      </c>
      <c r="B598" s="58" t="s">
        <v>240</v>
      </c>
      <c r="C598" s="58">
        <v>0.27689999999999998</v>
      </c>
      <c r="D598" s="58">
        <v>0.24929999999999999</v>
      </c>
      <c r="E598" s="58">
        <v>0.1933</v>
      </c>
      <c r="F598" s="58">
        <v>0.11600000000000001</v>
      </c>
      <c r="G598" s="58">
        <v>5.8000000000000003E-2</v>
      </c>
      <c r="H598" s="58">
        <v>2.3199999999999998E-2</v>
      </c>
      <c r="I598" s="58">
        <v>4.7000000000000002E-3</v>
      </c>
      <c r="J598" s="58">
        <v>0</v>
      </c>
    </row>
    <row r="599" spans="1:10" hidden="1">
      <c r="A599" s="57" t="s">
        <v>293</v>
      </c>
      <c r="B599" s="10" t="s">
        <v>163</v>
      </c>
      <c r="C599" s="10">
        <v>3.7</v>
      </c>
      <c r="D599" s="10">
        <v>3.7</v>
      </c>
      <c r="E599" s="10">
        <v>3.7</v>
      </c>
      <c r="F599" s="10">
        <v>1.85</v>
      </c>
      <c r="G599" s="10">
        <v>0.92500000000000004</v>
      </c>
      <c r="H599" s="10">
        <v>0.58907789853078252</v>
      </c>
      <c r="I599" s="10">
        <v>0.45109770614718564</v>
      </c>
      <c r="J599" s="10">
        <v>9.8733246634387803E-2</v>
      </c>
    </row>
    <row r="600" spans="1:10" hidden="1">
      <c r="A600" s="57" t="s">
        <v>293</v>
      </c>
      <c r="B600" s="10" t="s">
        <v>107</v>
      </c>
      <c r="C600" s="10">
        <v>8.4</v>
      </c>
      <c r="D600" s="10">
        <v>6.5448321724825878</v>
      </c>
      <c r="E600" s="10">
        <v>4.8432816492247381</v>
      </c>
      <c r="F600" s="10">
        <v>4.4390255853837806</v>
      </c>
      <c r="G600" s="10">
        <v>4.4350565258478882</v>
      </c>
      <c r="H600" s="10">
        <v>4.2586538798081977</v>
      </c>
      <c r="I600" s="10">
        <v>1.7147807217108257</v>
      </c>
      <c r="J600" s="10">
        <v>1.7052255783836756</v>
      </c>
    </row>
    <row r="601" spans="1:10" hidden="1">
      <c r="A601" s="57" t="s">
        <v>293</v>
      </c>
      <c r="B601" s="10" t="s">
        <v>106</v>
      </c>
      <c r="C601" s="10">
        <v>0</v>
      </c>
      <c r="D601" s="10">
        <v>0</v>
      </c>
      <c r="E601" s="10">
        <v>0</v>
      </c>
      <c r="F601" s="10">
        <v>0</v>
      </c>
      <c r="G601" s="10">
        <v>0</v>
      </c>
      <c r="H601" s="10">
        <v>0</v>
      </c>
      <c r="I601" s="10">
        <v>0</v>
      </c>
      <c r="J601" s="10">
        <v>0</v>
      </c>
    </row>
    <row r="602" spans="1:10" hidden="1">
      <c r="A602" s="57" t="s">
        <v>293</v>
      </c>
      <c r="B602" s="10" t="s">
        <v>22</v>
      </c>
      <c r="C602" s="10">
        <v>45.70000000000001</v>
      </c>
      <c r="D602" s="10">
        <v>43.092164718808213</v>
      </c>
      <c r="E602" s="10">
        <v>42.762393616518679</v>
      </c>
      <c r="F602" s="10">
        <v>41.970985553821464</v>
      </c>
      <c r="G602" s="10">
        <v>39.102971112204123</v>
      </c>
      <c r="H602" s="10">
        <v>32.454758573592891</v>
      </c>
      <c r="I602" s="10">
        <v>17.445626430949002</v>
      </c>
      <c r="J602" s="10">
        <v>2.4159806019349026</v>
      </c>
    </row>
    <row r="603" spans="1:10" hidden="1">
      <c r="A603" s="10" t="s">
        <v>293</v>
      </c>
      <c r="B603" s="10" t="s">
        <v>488</v>
      </c>
      <c r="C603" s="10">
        <v>38.101478</v>
      </c>
      <c r="D603" s="10">
        <v>38.101478</v>
      </c>
      <c r="E603" s="10">
        <v>38.101478</v>
      </c>
      <c r="F603" s="10">
        <v>38.101478</v>
      </c>
      <c r="G603" s="10">
        <v>32.527493340329549</v>
      </c>
      <c r="H603" s="10">
        <v>26.953508680659084</v>
      </c>
      <c r="I603" s="10">
        <v>13.476754340329542</v>
      </c>
      <c r="J603" s="10">
        <v>0</v>
      </c>
    </row>
    <row r="604" spans="1:10" hidden="1">
      <c r="A604" s="10" t="s">
        <v>293</v>
      </c>
      <c r="B604" s="10" t="s">
        <v>489</v>
      </c>
      <c r="C604" s="10">
        <v>0.25</v>
      </c>
      <c r="D604" s="10">
        <v>0.25</v>
      </c>
      <c r="E604" s="10">
        <v>0.25</v>
      </c>
      <c r="F604" s="10">
        <v>0.25</v>
      </c>
      <c r="G604" s="10">
        <v>0.125</v>
      </c>
      <c r="H604" s="10">
        <v>0</v>
      </c>
      <c r="I604" s="10">
        <v>0</v>
      </c>
      <c r="J604" s="10">
        <v>0</v>
      </c>
    </row>
    <row r="605" spans="1:10" hidden="1">
      <c r="A605" s="10" t="s">
        <v>293</v>
      </c>
      <c r="B605" s="10" t="s">
        <v>490</v>
      </c>
      <c r="C605" s="10">
        <v>2.8949769999999999</v>
      </c>
      <c r="D605" s="10">
        <v>2.8949769999999999</v>
      </c>
      <c r="E605" s="10">
        <v>2.8949769999999999</v>
      </c>
      <c r="F605" s="10">
        <v>2.8949769999999999</v>
      </c>
      <c r="G605" s="10">
        <v>2.5841209261030729</v>
      </c>
      <c r="H605" s="10">
        <v>2.2732648522061463</v>
      </c>
      <c r="I605" s="10">
        <v>1.1366324261030731</v>
      </c>
      <c r="J605" s="10">
        <v>0</v>
      </c>
    </row>
    <row r="606" spans="1:10" hidden="1">
      <c r="A606" s="57" t="s">
        <v>293</v>
      </c>
      <c r="B606" s="10" t="s">
        <v>23</v>
      </c>
      <c r="C606" s="10">
        <v>0</v>
      </c>
      <c r="D606" s="10">
        <v>0</v>
      </c>
      <c r="E606" s="10">
        <v>0</v>
      </c>
      <c r="F606" s="10">
        <v>0</v>
      </c>
      <c r="G606" s="10">
        <v>0</v>
      </c>
      <c r="H606" s="10">
        <v>0</v>
      </c>
      <c r="I606" s="10">
        <v>0</v>
      </c>
      <c r="J606" s="10">
        <v>0</v>
      </c>
    </row>
    <row r="607" spans="1:10" hidden="1">
      <c r="A607" s="57" t="s">
        <v>293</v>
      </c>
      <c r="B607" s="10" t="s">
        <v>58</v>
      </c>
      <c r="C607" s="10">
        <v>13.9</v>
      </c>
      <c r="D607" s="10">
        <v>11.271039678156191</v>
      </c>
      <c r="E607" s="10">
        <v>10.278397626082668</v>
      </c>
      <c r="F607" s="10">
        <v>10.009275599824408</v>
      </c>
      <c r="G607" s="10">
        <v>0.56316973118454827</v>
      </c>
      <c r="H607" s="10">
        <v>0.13227955839022515</v>
      </c>
      <c r="I607" s="10">
        <v>3.7976952350590423E-3</v>
      </c>
      <c r="J607" s="10">
        <v>1.9475360179789963E-3</v>
      </c>
    </row>
    <row r="608" spans="1:10" hidden="1">
      <c r="A608" s="58" t="s">
        <v>293</v>
      </c>
      <c r="B608" s="58" t="s">
        <v>102</v>
      </c>
      <c r="C608" s="58">
        <v>15.102</v>
      </c>
      <c r="D608" s="58">
        <v>15.102</v>
      </c>
      <c r="E608" s="58">
        <v>15.102</v>
      </c>
      <c r="F608" s="58">
        <v>15.102</v>
      </c>
      <c r="G608" s="58">
        <v>15.102</v>
      </c>
      <c r="H608" s="58">
        <v>15.102</v>
      </c>
      <c r="I608" s="58">
        <v>15.102</v>
      </c>
      <c r="J608" s="58">
        <v>15.102</v>
      </c>
    </row>
    <row r="609" spans="1:10" hidden="1">
      <c r="A609" s="57" t="s">
        <v>293</v>
      </c>
      <c r="B609" s="10" t="s">
        <v>337</v>
      </c>
      <c r="C609" s="10">
        <v>9.4090000000000007</v>
      </c>
      <c r="D609" s="10">
        <v>9.4090000000000007</v>
      </c>
      <c r="E609" s="10">
        <v>9.4090000000000007</v>
      </c>
      <c r="F609" s="10">
        <v>9.4090000000000007</v>
      </c>
      <c r="G609" s="10">
        <v>9.4090000000000007</v>
      </c>
      <c r="H609" s="10">
        <v>9.4090000000000007</v>
      </c>
      <c r="I609" s="10">
        <v>9.4090000000000007</v>
      </c>
      <c r="J609" s="10">
        <v>9.4090000000000007</v>
      </c>
    </row>
    <row r="610" spans="1:10" hidden="1">
      <c r="A610" s="57" t="s">
        <v>293</v>
      </c>
      <c r="B610" s="10" t="s">
        <v>103</v>
      </c>
      <c r="C610" s="10">
        <v>7.3680000000000003</v>
      </c>
      <c r="D610" s="10">
        <v>7.3680000000000003</v>
      </c>
      <c r="E610" s="10">
        <v>7.3680000000000003</v>
      </c>
      <c r="F610" s="10">
        <v>7.3680000000000003</v>
      </c>
      <c r="G610" s="10">
        <v>7.3680000000000003</v>
      </c>
      <c r="H610" s="10">
        <v>7.3680000000000003</v>
      </c>
      <c r="I610" s="10">
        <v>7.3680000000000003</v>
      </c>
      <c r="J610" s="10">
        <v>7.3680000000000003</v>
      </c>
    </row>
    <row r="611" spans="1:10" hidden="1">
      <c r="A611" s="57" t="s">
        <v>293</v>
      </c>
      <c r="B611" s="10" t="s">
        <v>94</v>
      </c>
      <c r="C611" s="10">
        <v>19.876999999999999</v>
      </c>
      <c r="D611" s="10">
        <v>19.876999999999999</v>
      </c>
      <c r="E611" s="10">
        <v>19.876999999999999</v>
      </c>
      <c r="F611" s="10">
        <v>19.876999999999999</v>
      </c>
      <c r="G611" s="10">
        <v>10.567106877342658</v>
      </c>
      <c r="H611" s="10">
        <v>0</v>
      </c>
      <c r="I611" s="10">
        <v>0</v>
      </c>
      <c r="J611" s="10">
        <v>0</v>
      </c>
    </row>
    <row r="612" spans="1:10" hidden="1">
      <c r="A612" s="57" t="s">
        <v>293</v>
      </c>
      <c r="B612" s="10" t="s">
        <v>170</v>
      </c>
      <c r="C612" s="10">
        <v>0</v>
      </c>
      <c r="D612" s="10">
        <v>0</v>
      </c>
      <c r="E612" s="10">
        <v>0</v>
      </c>
      <c r="F612" s="10">
        <v>0</v>
      </c>
      <c r="G612" s="10">
        <v>0</v>
      </c>
      <c r="H612" s="10">
        <v>0</v>
      </c>
      <c r="I612" s="10">
        <v>0</v>
      </c>
      <c r="J612" s="10">
        <v>0</v>
      </c>
    </row>
    <row r="613" spans="1:10" hidden="1">
      <c r="A613" s="57" t="s">
        <v>293</v>
      </c>
      <c r="B613" s="10" t="s">
        <v>97</v>
      </c>
      <c r="C613" s="10">
        <v>10.5</v>
      </c>
      <c r="D613" s="10">
        <v>10.5</v>
      </c>
      <c r="E613" s="10">
        <v>10.5</v>
      </c>
      <c r="F613" s="10">
        <v>7.5148398387857931</v>
      </c>
      <c r="G613" s="10">
        <v>2.450285511633826</v>
      </c>
      <c r="H613" s="10">
        <v>0</v>
      </c>
      <c r="I613" s="10">
        <v>0</v>
      </c>
      <c r="J613" s="10">
        <v>0</v>
      </c>
    </row>
    <row r="614" spans="1:10" hidden="1">
      <c r="A614" s="61" t="s">
        <v>293</v>
      </c>
      <c r="B614" s="62" t="s">
        <v>339</v>
      </c>
      <c r="C614" s="10">
        <v>15.100000000000001</v>
      </c>
      <c r="D614" s="10">
        <v>14.8</v>
      </c>
      <c r="E614" s="10">
        <v>22.8</v>
      </c>
      <c r="F614" s="10">
        <v>22.8</v>
      </c>
      <c r="G614" s="10">
        <v>22.8</v>
      </c>
      <c r="H614" s="10">
        <v>22.8</v>
      </c>
      <c r="I614" s="10">
        <v>22.8</v>
      </c>
      <c r="J614" s="10">
        <v>22.8</v>
      </c>
    </row>
    <row r="615" spans="1:10" hidden="1">
      <c r="A615" s="10" t="s">
        <v>309</v>
      </c>
      <c r="B615" s="10" t="s">
        <v>475</v>
      </c>
      <c r="C615" s="10">
        <v>0.29188830347734457</v>
      </c>
      <c r="D615" s="10">
        <v>0.29188830347734457</v>
      </c>
      <c r="E615" s="10">
        <v>0.14594415173867228</v>
      </c>
      <c r="F615" s="10">
        <v>0</v>
      </c>
      <c r="G615" s="10">
        <v>0</v>
      </c>
      <c r="H615" s="10">
        <v>0</v>
      </c>
      <c r="I615" s="10">
        <v>0</v>
      </c>
      <c r="J615" s="10">
        <v>0</v>
      </c>
    </row>
    <row r="616" spans="1:10" hidden="1">
      <c r="A616" s="10" t="s">
        <v>309</v>
      </c>
      <c r="B616" s="10" t="s">
        <v>481</v>
      </c>
      <c r="C616" s="10">
        <v>0.12021180189673342</v>
      </c>
      <c r="D616" s="10">
        <v>0.12021180189673342</v>
      </c>
      <c r="E616" s="10">
        <v>6.0105900948366708E-2</v>
      </c>
      <c r="F616" s="10">
        <v>0</v>
      </c>
      <c r="G616" s="10">
        <v>0</v>
      </c>
      <c r="H616" s="10">
        <v>0</v>
      </c>
      <c r="I616" s="10">
        <v>0</v>
      </c>
      <c r="J616" s="10">
        <v>0</v>
      </c>
    </row>
    <row r="617" spans="1:10" hidden="1">
      <c r="A617" s="10" t="s">
        <v>309</v>
      </c>
      <c r="B617" s="10" t="s">
        <v>485</v>
      </c>
      <c r="C617" s="10">
        <v>8.3699683877766079E-2</v>
      </c>
      <c r="D617" s="10">
        <v>8.3699683877766079E-2</v>
      </c>
      <c r="E617" s="10">
        <v>4.1849841938883039E-2</v>
      </c>
      <c r="F617" s="10">
        <v>0</v>
      </c>
      <c r="G617" s="10">
        <v>0</v>
      </c>
      <c r="H617" s="10">
        <v>0</v>
      </c>
      <c r="I617" s="10">
        <v>0</v>
      </c>
      <c r="J617" s="10">
        <v>0</v>
      </c>
    </row>
    <row r="618" spans="1:10" hidden="1">
      <c r="A618" s="57" t="s">
        <v>309</v>
      </c>
      <c r="B618" s="10" t="s">
        <v>142</v>
      </c>
      <c r="C618" s="10">
        <v>0.90000000000000013</v>
      </c>
      <c r="D618" s="10">
        <v>0.90000000000000013</v>
      </c>
      <c r="E618" s="10">
        <v>0.90000000000000013</v>
      </c>
      <c r="F618" s="10">
        <v>0.90000000000000013</v>
      </c>
      <c r="G618" s="10">
        <v>0.90000000000000013</v>
      </c>
      <c r="H618" s="10">
        <v>0.90000000000000013</v>
      </c>
      <c r="I618" s="10">
        <v>0.90000000000000013</v>
      </c>
      <c r="J618" s="10">
        <v>0.90000000000000013</v>
      </c>
    </row>
    <row r="619" spans="1:10" hidden="1">
      <c r="A619" s="58" t="s">
        <v>309</v>
      </c>
      <c r="B619" s="58" t="s">
        <v>244</v>
      </c>
      <c r="C619" s="58">
        <v>1.29E-2</v>
      </c>
      <c r="D619" s="58">
        <v>1.1699999999999999E-2</v>
      </c>
      <c r="E619" s="58">
        <v>9.0999999999999987E-3</v>
      </c>
      <c r="F619" s="58">
        <v>5.5000000000000005E-3</v>
      </c>
      <c r="G619" s="58">
        <v>2.8E-3</v>
      </c>
      <c r="H619" s="58">
        <v>1.2000000000000001E-3</v>
      </c>
      <c r="I619" s="58">
        <v>3.0000000000000003E-4</v>
      </c>
      <c r="J619" s="58">
        <v>0</v>
      </c>
    </row>
    <row r="620" spans="1:10" hidden="1">
      <c r="A620" s="58" t="s">
        <v>309</v>
      </c>
      <c r="B620" s="58" t="s">
        <v>245</v>
      </c>
      <c r="C620" s="58">
        <v>1E-4</v>
      </c>
      <c r="D620" s="58">
        <v>0</v>
      </c>
      <c r="E620" s="58">
        <v>0</v>
      </c>
      <c r="F620" s="58">
        <v>0</v>
      </c>
      <c r="G620" s="58">
        <v>0</v>
      </c>
      <c r="H620" s="58">
        <v>0</v>
      </c>
      <c r="I620" s="58">
        <v>0</v>
      </c>
      <c r="J620" s="58">
        <v>0</v>
      </c>
    </row>
    <row r="621" spans="1:10" hidden="1">
      <c r="A621" s="58" t="s">
        <v>309</v>
      </c>
      <c r="B621" s="58" t="s">
        <v>217</v>
      </c>
      <c r="C621" s="58">
        <v>5.2700000000000004E-2</v>
      </c>
      <c r="D621" s="58">
        <v>4.7500000000000001E-2</v>
      </c>
      <c r="E621" s="58">
        <v>3.6900000000000002E-2</v>
      </c>
      <c r="F621" s="58">
        <v>2.2200000000000001E-2</v>
      </c>
      <c r="G621" s="58">
        <v>1.11E-2</v>
      </c>
      <c r="H621" s="58">
        <v>4.5000000000000005E-3</v>
      </c>
      <c r="I621" s="58">
        <v>8.9999999999999998E-4</v>
      </c>
      <c r="J621" s="58">
        <v>0</v>
      </c>
    </row>
    <row r="622" spans="1:10" hidden="1">
      <c r="A622" s="58" t="s">
        <v>309</v>
      </c>
      <c r="B622" s="58" t="s">
        <v>237</v>
      </c>
      <c r="C622" s="58">
        <v>5.5000000000000005E-3</v>
      </c>
      <c r="D622" s="58">
        <v>5.0000000000000001E-3</v>
      </c>
      <c r="E622" s="58">
        <v>3.8999999999999998E-3</v>
      </c>
      <c r="F622" s="58">
        <v>2.3999999999999998E-3</v>
      </c>
      <c r="G622" s="58">
        <v>1.1999999999999999E-3</v>
      </c>
      <c r="H622" s="58">
        <v>5.0000000000000001E-4</v>
      </c>
      <c r="I622" s="58">
        <v>0</v>
      </c>
      <c r="J622" s="58">
        <v>0</v>
      </c>
    </row>
    <row r="623" spans="1:10" hidden="1">
      <c r="A623" s="58" t="s">
        <v>309</v>
      </c>
      <c r="B623" s="58" t="s">
        <v>226</v>
      </c>
      <c r="C623" s="58">
        <v>0.58740000000000003</v>
      </c>
      <c r="D623" s="58">
        <v>0.52869999999999995</v>
      </c>
      <c r="E623" s="58">
        <v>0.4098</v>
      </c>
      <c r="F623" s="58">
        <v>0.24589999999999998</v>
      </c>
      <c r="G623" s="58">
        <v>0.123</v>
      </c>
      <c r="H623" s="58">
        <v>4.9200000000000001E-2</v>
      </c>
      <c r="I623" s="58">
        <v>9.8999999999999991E-3</v>
      </c>
      <c r="J623" s="58">
        <v>0</v>
      </c>
    </row>
    <row r="624" spans="1:10" hidden="1">
      <c r="A624" s="58" t="s">
        <v>309</v>
      </c>
      <c r="B624" s="58" t="s">
        <v>219</v>
      </c>
      <c r="C624" s="58">
        <v>1.4E-3</v>
      </c>
      <c r="D624" s="58">
        <v>1.2999999999999999E-3</v>
      </c>
      <c r="E624" s="58">
        <v>1.1000000000000001E-3</v>
      </c>
      <c r="F624" s="58">
        <v>0</v>
      </c>
      <c r="G624" s="58">
        <v>0</v>
      </c>
      <c r="H624" s="58">
        <v>0</v>
      </c>
      <c r="I624" s="58">
        <v>0</v>
      </c>
      <c r="J624" s="58">
        <v>0</v>
      </c>
    </row>
    <row r="625" spans="1:10" hidden="1">
      <c r="A625" s="58" t="s">
        <v>309</v>
      </c>
      <c r="B625" s="58" t="s">
        <v>227</v>
      </c>
      <c r="C625" s="58">
        <v>2.1999999999999999E-2</v>
      </c>
      <c r="D625" s="58">
        <v>1.9800000000000002E-2</v>
      </c>
      <c r="E625" s="58">
        <v>1.5399999999999999E-2</v>
      </c>
      <c r="F625" s="58">
        <v>9.2999999999999992E-3</v>
      </c>
      <c r="G625" s="58">
        <v>4.7000000000000002E-3</v>
      </c>
      <c r="H625" s="58">
        <v>1.9E-3</v>
      </c>
      <c r="I625" s="58">
        <v>3.9999999999999996E-4</v>
      </c>
      <c r="J625" s="58">
        <v>0</v>
      </c>
    </row>
    <row r="626" spans="1:10" hidden="1">
      <c r="A626" s="58" t="s">
        <v>309</v>
      </c>
      <c r="B626" s="58" t="s">
        <v>206</v>
      </c>
      <c r="C626" s="58">
        <v>0.7147</v>
      </c>
      <c r="D626" s="58">
        <v>0.64329999999999998</v>
      </c>
      <c r="E626" s="58">
        <v>0.49859999999999999</v>
      </c>
      <c r="F626" s="58">
        <v>0.29919999999999997</v>
      </c>
      <c r="G626" s="58">
        <v>0.14960000000000001</v>
      </c>
      <c r="H626" s="58">
        <v>5.9900000000000002E-2</v>
      </c>
      <c r="I626" s="58">
        <v>1.2E-2</v>
      </c>
    </row>
    <row r="627" spans="1:10" hidden="1">
      <c r="A627" s="58" t="s">
        <v>309</v>
      </c>
      <c r="B627" s="58" t="s">
        <v>233</v>
      </c>
      <c r="C627" s="58">
        <v>5.4000000000000006E-2</v>
      </c>
      <c r="D627" s="58">
        <v>4.8599999999999997E-2</v>
      </c>
      <c r="E627" s="58">
        <v>3.7700000000000004E-2</v>
      </c>
      <c r="F627" s="58">
        <v>2.2699999999999998E-2</v>
      </c>
      <c r="G627" s="58">
        <v>1.1399999999999999E-2</v>
      </c>
      <c r="H627" s="58">
        <v>4.5999999999999999E-3</v>
      </c>
      <c r="I627" s="58">
        <v>1E-3</v>
      </c>
    </row>
    <row r="628" spans="1:10" hidden="1">
      <c r="A628" s="58" t="s">
        <v>309</v>
      </c>
      <c r="B628" s="58" t="s">
        <v>224</v>
      </c>
      <c r="C628" s="58">
        <v>4.5912999999999995</v>
      </c>
      <c r="D628" s="58">
        <v>4.1322000000000001</v>
      </c>
      <c r="E628" s="58">
        <v>3.2025000000000001</v>
      </c>
      <c r="F628" s="58">
        <v>1.9215</v>
      </c>
      <c r="G628" s="58">
        <v>0.96079999999999999</v>
      </c>
      <c r="H628" s="58">
        <v>0.38439999999999996</v>
      </c>
      <c r="I628" s="58">
        <v>7.6899999999999996E-2</v>
      </c>
    </row>
    <row r="629" spans="1:10" hidden="1">
      <c r="A629" s="58" t="s">
        <v>309</v>
      </c>
      <c r="B629" s="58" t="s">
        <v>207</v>
      </c>
      <c r="C629" s="58">
        <v>8.2100000000000006E-2</v>
      </c>
      <c r="D629" s="58">
        <v>7.3900000000000007E-2</v>
      </c>
      <c r="E629" s="58">
        <v>5.7300000000000004E-2</v>
      </c>
      <c r="F629" s="58">
        <v>3.44E-2</v>
      </c>
      <c r="G629" s="58">
        <v>1.72E-2</v>
      </c>
      <c r="H629" s="58">
        <v>6.8999999999999999E-3</v>
      </c>
      <c r="I629" s="58">
        <v>1.4E-3</v>
      </c>
    </row>
    <row r="630" spans="1:10" hidden="1">
      <c r="A630" s="58" t="s">
        <v>309</v>
      </c>
      <c r="B630" s="58" t="s">
        <v>225</v>
      </c>
      <c r="C630" s="58">
        <v>5.8400000000000001E-2</v>
      </c>
      <c r="D630" s="58">
        <v>5.2600000000000001E-2</v>
      </c>
      <c r="E630" s="58">
        <v>4.0800000000000003E-2</v>
      </c>
      <c r="F630" s="58">
        <v>2.4500000000000001E-2</v>
      </c>
      <c r="G630" s="58">
        <v>1.23E-2</v>
      </c>
      <c r="H630" s="58">
        <v>5.0000000000000001E-3</v>
      </c>
      <c r="I630" s="58">
        <v>1E-3</v>
      </c>
    </row>
    <row r="631" spans="1:10" hidden="1">
      <c r="A631" s="58" t="s">
        <v>309</v>
      </c>
      <c r="B631" s="58" t="s">
        <v>228</v>
      </c>
      <c r="C631" s="58">
        <v>0.10540000000000001</v>
      </c>
      <c r="D631" s="58">
        <v>9.4899999999999998E-2</v>
      </c>
      <c r="E631" s="58">
        <v>7.3599999999999999E-2</v>
      </c>
      <c r="F631" s="58">
        <v>4.4200000000000003E-2</v>
      </c>
      <c r="G631" s="58">
        <v>2.2100000000000002E-2</v>
      </c>
      <c r="H631" s="58">
        <v>8.8999999999999999E-3</v>
      </c>
      <c r="I631" s="58">
        <v>1.8E-3</v>
      </c>
      <c r="J631" s="58">
        <v>0</v>
      </c>
    </row>
    <row r="632" spans="1:10" hidden="1">
      <c r="A632" s="58" t="s">
        <v>309</v>
      </c>
      <c r="B632" s="58" t="s">
        <v>230</v>
      </c>
      <c r="C632" s="58">
        <v>5.0858999999999996</v>
      </c>
      <c r="D632" s="58">
        <v>4.5773999999999999</v>
      </c>
      <c r="E632" s="58">
        <v>3.5475000000000003</v>
      </c>
      <c r="F632" s="58">
        <v>2.1284999999999998</v>
      </c>
      <c r="G632" s="58">
        <v>1.0643</v>
      </c>
      <c r="H632" s="58">
        <v>0.42580000000000001</v>
      </c>
      <c r="I632" s="58">
        <v>8.5199999999999998E-2</v>
      </c>
      <c r="J632" s="58">
        <v>0</v>
      </c>
    </row>
    <row r="633" spans="1:10" hidden="1">
      <c r="A633" s="58" t="s">
        <v>309</v>
      </c>
      <c r="B633" s="58" t="s">
        <v>229</v>
      </c>
      <c r="C633" s="58">
        <v>5.1000000000000004E-3</v>
      </c>
      <c r="D633" s="58">
        <v>4.5999999999999999E-3</v>
      </c>
      <c r="E633" s="58">
        <v>3.5999999999999999E-3</v>
      </c>
      <c r="F633" s="58">
        <v>2.1999999999999997E-3</v>
      </c>
      <c r="G633" s="58">
        <v>1.1000000000000001E-3</v>
      </c>
      <c r="H633" s="58">
        <v>0</v>
      </c>
      <c r="I633" s="58">
        <v>0</v>
      </c>
      <c r="J633" s="58">
        <v>0</v>
      </c>
    </row>
    <row r="634" spans="1:10" hidden="1">
      <c r="A634" s="58" t="s">
        <v>309</v>
      </c>
      <c r="B634" s="58" t="s">
        <v>231</v>
      </c>
      <c r="C634" s="58">
        <v>4.2700000000000002E-2</v>
      </c>
      <c r="D634" s="58">
        <v>3.85E-2</v>
      </c>
      <c r="E634" s="58">
        <v>2.9899999999999999E-2</v>
      </c>
      <c r="F634" s="58">
        <v>1.7999999999999999E-2</v>
      </c>
      <c r="G634" s="58">
        <v>8.9999999999999993E-3</v>
      </c>
      <c r="H634" s="58">
        <v>3.5999999999999999E-3</v>
      </c>
      <c r="I634" s="58">
        <v>8.0000000000000004E-4</v>
      </c>
      <c r="J634" s="58">
        <v>0</v>
      </c>
    </row>
    <row r="635" spans="1:10" hidden="1">
      <c r="A635" s="58" t="s">
        <v>309</v>
      </c>
      <c r="B635" s="58" t="s">
        <v>240</v>
      </c>
      <c r="C635" s="58">
        <v>3.6999999999999997E-3</v>
      </c>
      <c r="D635" s="58">
        <v>3.3999999999999998E-3</v>
      </c>
      <c r="E635" s="58">
        <v>2.6999999999999997E-3</v>
      </c>
      <c r="F635" s="58">
        <v>1.7000000000000001E-3</v>
      </c>
      <c r="G635" s="58">
        <v>9.0000000000000008E-4</v>
      </c>
      <c r="H635" s="58">
        <v>0</v>
      </c>
      <c r="I635" s="58">
        <v>0</v>
      </c>
      <c r="J635" s="58">
        <v>0</v>
      </c>
    </row>
    <row r="636" spans="1:10" hidden="1">
      <c r="A636" s="57" t="s">
        <v>309</v>
      </c>
      <c r="B636" s="10" t="s">
        <v>163</v>
      </c>
      <c r="C636" s="10">
        <v>7.0190000000000002E-2</v>
      </c>
      <c r="D636" s="10">
        <v>7.0190000000000002E-2</v>
      </c>
      <c r="E636" s="10">
        <v>7.0190000000000002E-2</v>
      </c>
      <c r="F636" s="10">
        <v>7.0190000000000002E-2</v>
      </c>
      <c r="G636" s="10">
        <v>7.0190000000000002E-2</v>
      </c>
      <c r="H636" s="10">
        <v>7.0190000000000002E-2</v>
      </c>
      <c r="I636" s="10">
        <v>6.9651898190739053E-2</v>
      </c>
      <c r="J636" s="10">
        <v>2.1524072370438515E-2</v>
      </c>
    </row>
    <row r="637" spans="1:10" hidden="1">
      <c r="A637" s="57" t="s">
        <v>309</v>
      </c>
      <c r="B637" s="10" t="s">
        <v>107</v>
      </c>
      <c r="C637" s="10">
        <v>0</v>
      </c>
      <c r="D637" s="10">
        <v>0</v>
      </c>
      <c r="E637" s="10">
        <v>0</v>
      </c>
      <c r="F637" s="10">
        <v>0</v>
      </c>
      <c r="G637" s="10">
        <v>0</v>
      </c>
      <c r="H637" s="10">
        <v>0</v>
      </c>
      <c r="I637" s="10">
        <v>0</v>
      </c>
      <c r="J637" s="10">
        <v>0</v>
      </c>
    </row>
    <row r="638" spans="1:10" hidden="1">
      <c r="A638" s="57" t="s">
        <v>309</v>
      </c>
      <c r="B638" s="10" t="s">
        <v>106</v>
      </c>
      <c r="C638" s="10">
        <v>0</v>
      </c>
      <c r="D638" s="10">
        <v>0</v>
      </c>
      <c r="E638" s="10">
        <v>0</v>
      </c>
      <c r="F638" s="10">
        <v>0</v>
      </c>
      <c r="G638" s="10">
        <v>0</v>
      </c>
      <c r="H638" s="10">
        <v>0</v>
      </c>
      <c r="I638" s="10">
        <v>0</v>
      </c>
      <c r="J638" s="10">
        <v>0</v>
      </c>
    </row>
    <row r="639" spans="1:10" hidden="1">
      <c r="A639" s="57" t="s">
        <v>309</v>
      </c>
      <c r="B639" s="10" t="s">
        <v>22</v>
      </c>
      <c r="C639" s="10">
        <v>0.5444500000000001</v>
      </c>
      <c r="D639" s="10">
        <v>0.35646669088435984</v>
      </c>
      <c r="E639" s="10">
        <v>0.32655421241829258</v>
      </c>
      <c r="F639" s="10">
        <v>0.29664173395222537</v>
      </c>
      <c r="G639" s="10">
        <v>0.29664173395222537</v>
      </c>
      <c r="H639" s="10">
        <v>0.29248722305416047</v>
      </c>
      <c r="I639" s="10">
        <v>0.28028396285596829</v>
      </c>
      <c r="J639" s="10">
        <v>0.22988797213037626</v>
      </c>
    </row>
    <row r="640" spans="1:10" hidden="1">
      <c r="A640" s="10" t="s">
        <v>309</v>
      </c>
      <c r="B640" s="10" t="s">
        <v>488</v>
      </c>
      <c r="C640" s="10">
        <v>0.49</v>
      </c>
      <c r="D640" s="10">
        <v>0.49</v>
      </c>
      <c r="E640" s="10">
        <v>0.245</v>
      </c>
      <c r="F640" s="10">
        <v>0</v>
      </c>
      <c r="G640" s="10">
        <v>0</v>
      </c>
      <c r="H640" s="10">
        <v>0</v>
      </c>
      <c r="I640" s="10">
        <v>0</v>
      </c>
      <c r="J640" s="10">
        <v>0</v>
      </c>
    </row>
    <row r="641" spans="1:10" hidden="1">
      <c r="A641" s="10" t="s">
        <v>309</v>
      </c>
      <c r="B641" s="10" t="s">
        <v>489</v>
      </c>
      <c r="C641" s="10">
        <v>0.6</v>
      </c>
      <c r="D641" s="10">
        <v>0.6</v>
      </c>
      <c r="E641" s="10">
        <v>0.3</v>
      </c>
      <c r="F641" s="10">
        <v>0</v>
      </c>
      <c r="G641" s="10">
        <v>0</v>
      </c>
      <c r="H641" s="10">
        <v>0</v>
      </c>
      <c r="I641" s="10">
        <v>0</v>
      </c>
      <c r="J641" s="10">
        <v>0</v>
      </c>
    </row>
    <row r="642" spans="1:10" hidden="1">
      <c r="A642" s="10" t="s">
        <v>309</v>
      </c>
      <c r="B642" s="10" t="s">
        <v>490</v>
      </c>
      <c r="C642" s="10">
        <v>0</v>
      </c>
      <c r="D642" s="10">
        <v>0</v>
      </c>
      <c r="E642" s="10">
        <v>0</v>
      </c>
      <c r="F642" s="10">
        <v>0</v>
      </c>
      <c r="G642" s="10">
        <v>0</v>
      </c>
      <c r="H642" s="10">
        <v>0</v>
      </c>
      <c r="I642" s="10">
        <v>0</v>
      </c>
      <c r="J642" s="10">
        <v>0</v>
      </c>
    </row>
    <row r="643" spans="1:10" hidden="1">
      <c r="A643" s="57" t="s">
        <v>309</v>
      </c>
      <c r="B643" s="10" t="s">
        <v>23</v>
      </c>
      <c r="C643" s="10">
        <v>0</v>
      </c>
      <c r="D643" s="10">
        <v>0</v>
      </c>
      <c r="E643" s="10">
        <v>0</v>
      </c>
      <c r="F643" s="10">
        <v>0</v>
      </c>
      <c r="G643" s="10">
        <v>0</v>
      </c>
      <c r="H643" s="10">
        <v>0</v>
      </c>
      <c r="I643" s="10">
        <v>0</v>
      </c>
      <c r="J643" s="10">
        <v>0</v>
      </c>
    </row>
    <row r="644" spans="1:10" hidden="1">
      <c r="A644" s="57" t="s">
        <v>309</v>
      </c>
      <c r="B644" s="10" t="s">
        <v>58</v>
      </c>
      <c r="C644" s="10">
        <v>1.2039</v>
      </c>
      <c r="D644" s="10">
        <v>0.72233999999999987</v>
      </c>
      <c r="E644" s="10">
        <v>0.12038999999999998</v>
      </c>
      <c r="F644" s="10">
        <v>0</v>
      </c>
      <c r="G644" s="10">
        <v>0</v>
      </c>
      <c r="H644" s="10">
        <v>0</v>
      </c>
      <c r="I644" s="10">
        <v>0</v>
      </c>
      <c r="J644" s="10">
        <v>0</v>
      </c>
    </row>
    <row r="645" spans="1:10" hidden="1">
      <c r="A645" s="58" t="s">
        <v>309</v>
      </c>
      <c r="B645" s="58" t="s">
        <v>102</v>
      </c>
      <c r="C645" s="58">
        <v>0.11600000000000001</v>
      </c>
      <c r="D645" s="58">
        <v>0.11600000000000001</v>
      </c>
      <c r="E645" s="58">
        <v>0.11600000000000001</v>
      </c>
      <c r="F645" s="58">
        <v>0.11600000000000001</v>
      </c>
      <c r="G645" s="58">
        <v>0.11600000000000001</v>
      </c>
      <c r="H645" s="58">
        <v>0.11600000000000001</v>
      </c>
      <c r="I645" s="58">
        <v>0.11600000000000001</v>
      </c>
      <c r="J645" s="58">
        <v>0.11600000000000001</v>
      </c>
    </row>
    <row r="646" spans="1:10" hidden="1">
      <c r="A646" s="57" t="s">
        <v>309</v>
      </c>
      <c r="B646" s="10" t="s">
        <v>103</v>
      </c>
      <c r="C646" s="10">
        <v>0.2</v>
      </c>
      <c r="D646" s="10">
        <v>0.2</v>
      </c>
      <c r="E646" s="10">
        <v>0.2</v>
      </c>
      <c r="F646" s="10">
        <v>0.2</v>
      </c>
      <c r="G646" s="10">
        <v>0.2</v>
      </c>
      <c r="H646" s="10">
        <v>0.2</v>
      </c>
      <c r="I646" s="10">
        <v>0.2</v>
      </c>
      <c r="J646" s="10">
        <v>0.2</v>
      </c>
    </row>
    <row r="647" spans="1:10" hidden="1">
      <c r="A647" s="57" t="s">
        <v>309</v>
      </c>
      <c r="B647" s="10" t="s">
        <v>94</v>
      </c>
      <c r="C647" s="10">
        <v>7.1000000000000008E-2</v>
      </c>
      <c r="D647" s="10">
        <v>7.1000000000000008E-2</v>
      </c>
      <c r="E647" s="10">
        <v>7.1000000000000008E-2</v>
      </c>
      <c r="F647" s="10">
        <v>7.1000000000000008E-2</v>
      </c>
      <c r="G647" s="10">
        <v>7.1000000000000008E-2</v>
      </c>
      <c r="H647" s="10">
        <v>0</v>
      </c>
      <c r="I647" s="10">
        <v>0</v>
      </c>
      <c r="J647" s="10">
        <v>0</v>
      </c>
    </row>
    <row r="648" spans="1:10" hidden="1">
      <c r="A648" s="57" t="s">
        <v>309</v>
      </c>
      <c r="B648" s="10" t="s">
        <v>170</v>
      </c>
      <c r="C648" s="10">
        <v>0</v>
      </c>
      <c r="D648" s="10">
        <v>0</v>
      </c>
      <c r="E648" s="10">
        <v>0</v>
      </c>
      <c r="F648" s="10">
        <v>0</v>
      </c>
      <c r="G648" s="10">
        <v>0</v>
      </c>
      <c r="H648" s="10">
        <v>0</v>
      </c>
      <c r="I648" s="10">
        <v>0</v>
      </c>
      <c r="J648" s="10">
        <v>0</v>
      </c>
    </row>
    <row r="649" spans="1:10" hidden="1">
      <c r="A649" s="57" t="s">
        <v>309</v>
      </c>
      <c r="B649" s="10" t="s">
        <v>97</v>
      </c>
      <c r="C649" s="10">
        <v>0.5</v>
      </c>
      <c r="D649" s="10">
        <v>0.5</v>
      </c>
      <c r="E649" s="10">
        <v>0.5</v>
      </c>
      <c r="F649" s="10">
        <v>0.49860659544821179</v>
      </c>
      <c r="G649" s="10">
        <v>0.20483046911286573</v>
      </c>
      <c r="H649" s="10">
        <v>0</v>
      </c>
      <c r="I649" s="10">
        <v>0</v>
      </c>
      <c r="J649" s="10">
        <v>0</v>
      </c>
    </row>
    <row r="650" spans="1:10" hidden="1">
      <c r="A650" s="61" t="s">
        <v>309</v>
      </c>
      <c r="B650" s="62" t="s">
        <v>339</v>
      </c>
      <c r="C650" s="10">
        <v>4</v>
      </c>
      <c r="D650" s="10">
        <v>4</v>
      </c>
      <c r="E650" s="10">
        <v>4</v>
      </c>
      <c r="F650" s="10">
        <v>4</v>
      </c>
      <c r="G650" s="10">
        <v>4</v>
      </c>
      <c r="H650" s="10">
        <v>4</v>
      </c>
      <c r="I650" s="10">
        <v>4</v>
      </c>
      <c r="J650" s="10">
        <v>4</v>
      </c>
    </row>
    <row r="651" spans="1:10" hidden="1">
      <c r="A651" s="10" t="s">
        <v>294</v>
      </c>
      <c r="B651" s="10" t="s">
        <v>475</v>
      </c>
      <c r="C651" s="10">
        <v>5.6209798270893375E-2</v>
      </c>
      <c r="D651" s="10">
        <v>5.6209798270893375E-2</v>
      </c>
      <c r="E651" s="10">
        <v>4.9291669252937265E-2</v>
      </c>
      <c r="F651" s="10">
        <v>4.2373540234981161E-2</v>
      </c>
      <c r="G651" s="10">
        <v>2.118677011749058E-2</v>
      </c>
      <c r="H651" s="10">
        <v>0</v>
      </c>
      <c r="I651" s="10">
        <v>0</v>
      </c>
      <c r="J651" s="10">
        <v>0</v>
      </c>
    </row>
    <row r="652" spans="1:10" hidden="1">
      <c r="A652" s="10" t="s">
        <v>294</v>
      </c>
      <c r="B652" s="10" t="s">
        <v>481</v>
      </c>
      <c r="C652" s="10">
        <v>5.1707204610951005E-2</v>
      </c>
      <c r="D652" s="10">
        <v>5.1707204610951005E-2</v>
      </c>
      <c r="E652" s="10">
        <v>5.1707204610951005E-2</v>
      </c>
      <c r="F652" s="10">
        <v>5.1707204610951005E-2</v>
      </c>
      <c r="G652" s="10">
        <v>5.1707204610951005E-2</v>
      </c>
      <c r="H652" s="10">
        <v>5.1707204610951005E-2</v>
      </c>
      <c r="I652" s="10">
        <v>2.5853602305475502E-2</v>
      </c>
      <c r="J652" s="10">
        <v>0</v>
      </c>
    </row>
    <row r="653" spans="1:10" hidden="1">
      <c r="A653" s="57" t="s">
        <v>294</v>
      </c>
      <c r="B653" s="10" t="s">
        <v>142</v>
      </c>
      <c r="C653" s="10">
        <v>1.21</v>
      </c>
      <c r="D653" s="10">
        <v>1.21</v>
      </c>
      <c r="E653" s="10">
        <v>1.21</v>
      </c>
      <c r="F653" s="10">
        <v>1.21</v>
      </c>
      <c r="G653" s="10">
        <v>1.21</v>
      </c>
      <c r="H653" s="10">
        <v>1.21</v>
      </c>
      <c r="I653" s="10">
        <v>1.21</v>
      </c>
      <c r="J653" s="10">
        <v>1.21</v>
      </c>
    </row>
    <row r="654" spans="1:10" hidden="1">
      <c r="A654" s="58" t="s">
        <v>294</v>
      </c>
      <c r="B654" s="58" t="s">
        <v>243</v>
      </c>
      <c r="C654" s="58">
        <v>0.50690000000000002</v>
      </c>
      <c r="D654" s="58">
        <v>0.45629999999999998</v>
      </c>
      <c r="E654" s="58">
        <v>0.35370000000000001</v>
      </c>
      <c r="F654" s="58">
        <v>0.21229999999999999</v>
      </c>
      <c r="G654" s="58">
        <v>0.1062</v>
      </c>
      <c r="H654" s="58">
        <v>4.2500000000000003E-2</v>
      </c>
      <c r="I654" s="58">
        <v>8.5000000000000006E-3</v>
      </c>
      <c r="J654" s="58">
        <v>0</v>
      </c>
    </row>
    <row r="655" spans="1:10" hidden="1">
      <c r="A655" s="58" t="s">
        <v>294</v>
      </c>
      <c r="B655" s="58" t="s">
        <v>244</v>
      </c>
      <c r="C655" s="58">
        <v>0.1077</v>
      </c>
      <c r="D655" s="58">
        <v>9.7000000000000003E-2</v>
      </c>
      <c r="E655" s="58">
        <v>7.5200000000000003E-2</v>
      </c>
      <c r="F655" s="58">
        <v>4.5200000000000004E-2</v>
      </c>
      <c r="G655" s="58">
        <v>2.2599999999999999E-2</v>
      </c>
      <c r="H655" s="58">
        <v>9.0999999999999987E-3</v>
      </c>
      <c r="I655" s="58">
        <v>1.9E-3</v>
      </c>
      <c r="J655" s="58">
        <v>0</v>
      </c>
    </row>
    <row r="656" spans="1:10" hidden="1">
      <c r="A656" s="58" t="s">
        <v>294</v>
      </c>
      <c r="B656" s="58" t="s">
        <v>245</v>
      </c>
      <c r="C656" s="58">
        <v>0.30369999999999997</v>
      </c>
      <c r="D656" s="58">
        <v>0.27339999999999998</v>
      </c>
      <c r="E656" s="58">
        <v>0.21189999999999998</v>
      </c>
      <c r="F656" s="58">
        <v>0.12719999999999998</v>
      </c>
      <c r="G656" s="58">
        <v>6.3600000000000004E-2</v>
      </c>
      <c r="H656" s="58">
        <v>2.5499999999999998E-2</v>
      </c>
      <c r="I656" s="58">
        <v>5.1000000000000004E-3</v>
      </c>
      <c r="J656" s="58">
        <v>0</v>
      </c>
    </row>
    <row r="657" spans="1:10" hidden="1">
      <c r="A657" s="58" t="s">
        <v>294</v>
      </c>
      <c r="B657" s="58" t="s">
        <v>217</v>
      </c>
      <c r="C657" s="58">
        <v>5.5000000000000005E-3</v>
      </c>
      <c r="D657" s="58">
        <v>5.0000000000000001E-3</v>
      </c>
      <c r="E657" s="58">
        <v>3.8999999999999998E-3</v>
      </c>
      <c r="F657" s="58">
        <v>2.3999999999999998E-3</v>
      </c>
      <c r="G657" s="58">
        <v>1.1999999999999999E-3</v>
      </c>
      <c r="H657" s="58">
        <v>5.0000000000000001E-4</v>
      </c>
      <c r="I657" s="58">
        <v>0</v>
      </c>
      <c r="J657" s="58">
        <v>0</v>
      </c>
    </row>
    <row r="658" spans="1:10" hidden="1">
      <c r="A658" s="58" t="s">
        <v>294</v>
      </c>
      <c r="B658" s="58" t="s">
        <v>237</v>
      </c>
      <c r="C658" s="58">
        <v>4.0000000000000001E-3</v>
      </c>
      <c r="D658" s="58">
        <v>3.5999999999999999E-3</v>
      </c>
      <c r="E658" s="58">
        <v>2.8E-3</v>
      </c>
      <c r="F658" s="58">
        <v>1.7000000000000001E-3</v>
      </c>
      <c r="G658" s="58">
        <v>9.0000000000000008E-4</v>
      </c>
      <c r="H658" s="58">
        <v>0</v>
      </c>
      <c r="I658" s="58">
        <v>0</v>
      </c>
      <c r="J658" s="58">
        <v>0</v>
      </c>
    </row>
    <row r="659" spans="1:10" hidden="1">
      <c r="A659" s="58" t="s">
        <v>294</v>
      </c>
      <c r="B659" s="58" t="s">
        <v>226</v>
      </c>
      <c r="C659" s="58">
        <v>7.5900000000000009E-2</v>
      </c>
      <c r="D659" s="58">
        <v>6.8400000000000002E-2</v>
      </c>
      <c r="E659" s="58">
        <v>5.3100000000000001E-2</v>
      </c>
      <c r="F659" s="58">
        <v>3.1900000000000005E-2</v>
      </c>
      <c r="G659" s="58">
        <v>1.6E-2</v>
      </c>
      <c r="H659" s="58">
        <v>6.4000000000000003E-3</v>
      </c>
      <c r="I659" s="58">
        <v>1.2999999999999999E-3</v>
      </c>
      <c r="J659" s="58">
        <v>0</v>
      </c>
    </row>
    <row r="660" spans="1:10" hidden="1">
      <c r="A660" s="58" t="s">
        <v>294</v>
      </c>
      <c r="B660" s="58" t="s">
        <v>219</v>
      </c>
      <c r="C660" s="58">
        <v>1.2999999999999999E-3</v>
      </c>
      <c r="D660" s="58">
        <v>1.2000000000000001E-3</v>
      </c>
      <c r="E660" s="58">
        <v>1E-3</v>
      </c>
      <c r="F660" s="58">
        <v>0</v>
      </c>
      <c r="G660" s="58">
        <v>0</v>
      </c>
      <c r="H660" s="58">
        <v>0</v>
      </c>
      <c r="I660" s="58">
        <v>0</v>
      </c>
      <c r="J660" s="58">
        <v>0</v>
      </c>
    </row>
    <row r="661" spans="1:10" hidden="1">
      <c r="A661" s="58" t="s">
        <v>294</v>
      </c>
      <c r="B661" s="58" t="s">
        <v>227</v>
      </c>
      <c r="C661" s="58">
        <v>9.0000000000000008E-4</v>
      </c>
      <c r="D661" s="58">
        <v>0</v>
      </c>
      <c r="E661" s="58">
        <v>0</v>
      </c>
      <c r="F661" s="58">
        <v>0</v>
      </c>
      <c r="G661" s="58">
        <v>0</v>
      </c>
      <c r="H661" s="58">
        <v>0</v>
      </c>
      <c r="I661" s="58">
        <v>0</v>
      </c>
      <c r="J661" s="58">
        <v>0</v>
      </c>
    </row>
    <row r="662" spans="1:10" hidden="1">
      <c r="A662" s="58" t="s">
        <v>294</v>
      </c>
      <c r="B662" s="58" t="s">
        <v>206</v>
      </c>
      <c r="C662" s="58">
        <v>3.2000000000000001E-2</v>
      </c>
      <c r="D662" s="58">
        <v>2.8799999999999999E-2</v>
      </c>
      <c r="E662" s="58">
        <v>2.24E-2</v>
      </c>
      <c r="F662" s="58">
        <v>1.35E-2</v>
      </c>
      <c r="G662" s="58">
        <v>6.8000000000000005E-3</v>
      </c>
      <c r="H662" s="58">
        <v>2.8E-3</v>
      </c>
      <c r="I662" s="58">
        <v>6.0000000000000006E-4</v>
      </c>
    </row>
    <row r="663" spans="1:10" hidden="1">
      <c r="A663" s="58" t="s">
        <v>294</v>
      </c>
      <c r="B663" s="58" t="s">
        <v>233</v>
      </c>
      <c r="C663" s="58">
        <v>5.21E-2</v>
      </c>
      <c r="D663" s="58">
        <v>4.6900000000000004E-2</v>
      </c>
      <c r="E663" s="58">
        <v>3.6400000000000002E-2</v>
      </c>
      <c r="F663" s="58">
        <v>2.1899999999999999E-2</v>
      </c>
      <c r="G663" s="58">
        <v>1.0999999999999999E-2</v>
      </c>
      <c r="H663" s="58">
        <v>4.4000000000000003E-3</v>
      </c>
      <c r="I663" s="58">
        <v>9.0000000000000008E-4</v>
      </c>
    </row>
    <row r="664" spans="1:10" hidden="1">
      <c r="A664" s="58" t="s">
        <v>294</v>
      </c>
      <c r="B664" s="58" t="s">
        <v>224</v>
      </c>
      <c r="C664" s="58">
        <v>2.4663000000000004</v>
      </c>
      <c r="D664" s="58">
        <v>2.2197</v>
      </c>
      <c r="E664" s="58">
        <v>1.7202999999999999</v>
      </c>
      <c r="F664" s="58">
        <v>1.0322</v>
      </c>
      <c r="G664" s="58">
        <v>0.5161</v>
      </c>
      <c r="H664" s="58">
        <v>0.20649999999999999</v>
      </c>
      <c r="I664" s="58">
        <v>4.1300000000000003E-2</v>
      </c>
    </row>
    <row r="665" spans="1:10" hidden="1">
      <c r="A665" s="58" t="s">
        <v>294</v>
      </c>
      <c r="B665" s="58" t="s">
        <v>207</v>
      </c>
      <c r="C665" s="58">
        <v>9.0000000000000008E-4</v>
      </c>
      <c r="D665" s="58">
        <v>0</v>
      </c>
      <c r="E665" s="58">
        <v>0</v>
      </c>
      <c r="F665" s="58">
        <v>0</v>
      </c>
      <c r="G665" s="58">
        <v>0</v>
      </c>
      <c r="H665" s="58">
        <v>0</v>
      </c>
      <c r="I665" s="58">
        <v>0</v>
      </c>
    </row>
    <row r="666" spans="1:10" hidden="1">
      <c r="A666" s="58" t="s">
        <v>294</v>
      </c>
      <c r="B666" s="58" t="s">
        <v>225</v>
      </c>
      <c r="C666" s="58">
        <v>0.33</v>
      </c>
      <c r="D666" s="58">
        <v>0.29699999999999999</v>
      </c>
      <c r="E666" s="58">
        <v>0.23019999999999999</v>
      </c>
      <c r="F666" s="58">
        <v>0.13819999999999999</v>
      </c>
      <c r="G666" s="58">
        <v>6.9099999999999995E-2</v>
      </c>
      <c r="H666" s="58">
        <v>2.7699999999999999E-2</v>
      </c>
      <c r="I666" s="58">
        <v>5.5999999999999999E-3</v>
      </c>
    </row>
    <row r="667" spans="1:10" hidden="1">
      <c r="A667" s="58" t="s">
        <v>294</v>
      </c>
      <c r="B667" s="58" t="s">
        <v>230</v>
      </c>
      <c r="C667" s="58">
        <v>1.0581</v>
      </c>
      <c r="D667" s="58">
        <v>0.95230000000000004</v>
      </c>
      <c r="E667" s="58">
        <v>0.73809999999999998</v>
      </c>
      <c r="F667" s="58">
        <v>0.44290000000000002</v>
      </c>
      <c r="G667" s="58">
        <v>0.2215</v>
      </c>
      <c r="H667" s="58">
        <v>8.8599999999999998E-2</v>
      </c>
      <c r="I667" s="58">
        <v>1.78E-2</v>
      </c>
      <c r="J667" s="58">
        <v>0</v>
      </c>
    </row>
    <row r="668" spans="1:10" hidden="1">
      <c r="A668" s="58" t="s">
        <v>294</v>
      </c>
      <c r="B668" s="58" t="s">
        <v>231</v>
      </c>
      <c r="C668" s="58">
        <v>3.9900000000000005E-2</v>
      </c>
      <c r="D668" s="58">
        <v>3.6000000000000004E-2</v>
      </c>
      <c r="E668" s="58">
        <v>2.7900000000000001E-2</v>
      </c>
      <c r="F668" s="58">
        <v>1.6799999999999999E-2</v>
      </c>
      <c r="G668" s="58">
        <v>8.3999999999999995E-3</v>
      </c>
      <c r="H668" s="58">
        <v>3.3999999999999998E-3</v>
      </c>
      <c r="I668" s="58">
        <v>6.9999999999999999E-4</v>
      </c>
      <c r="J668" s="58">
        <v>0</v>
      </c>
    </row>
    <row r="669" spans="1:10" hidden="1">
      <c r="A669" s="58" t="s">
        <v>294</v>
      </c>
      <c r="B669" s="58" t="s">
        <v>240</v>
      </c>
      <c r="C669" s="58">
        <v>1.03E-2</v>
      </c>
      <c r="D669" s="58">
        <v>9.2999999999999992E-3</v>
      </c>
      <c r="E669" s="58">
        <v>7.3000000000000001E-3</v>
      </c>
      <c r="F669" s="58">
        <v>4.4000000000000003E-3</v>
      </c>
      <c r="G669" s="58">
        <v>2.2000000000000001E-3</v>
      </c>
      <c r="H669" s="58">
        <v>9.0000000000000008E-4</v>
      </c>
      <c r="I669" s="58">
        <v>0</v>
      </c>
      <c r="J669" s="58">
        <v>0</v>
      </c>
    </row>
    <row r="670" spans="1:10" hidden="1">
      <c r="A670" s="57" t="s">
        <v>294</v>
      </c>
      <c r="B670" s="10" t="s">
        <v>163</v>
      </c>
      <c r="C670" s="10">
        <v>0.221</v>
      </c>
      <c r="D670" s="10">
        <v>2.1000000000000001E-2</v>
      </c>
      <c r="E670" s="10">
        <v>2.1000000000000001E-2</v>
      </c>
      <c r="F670" s="10">
        <v>0.01</v>
      </c>
      <c r="G670" s="10">
        <v>0.01</v>
      </c>
      <c r="H670" s="10">
        <v>7.0967741935483875E-3</v>
      </c>
      <c r="I670" s="10">
        <v>5.8064516129032262E-3</v>
      </c>
      <c r="J670" s="10">
        <v>5.8064516129032262E-3</v>
      </c>
    </row>
    <row r="671" spans="1:10" hidden="1">
      <c r="A671" s="57" t="s">
        <v>294</v>
      </c>
      <c r="B671" s="10" t="s">
        <v>107</v>
      </c>
      <c r="C671" s="10">
        <v>0</v>
      </c>
      <c r="D671" s="10">
        <v>0</v>
      </c>
      <c r="E671" s="10">
        <v>0</v>
      </c>
      <c r="F671" s="10">
        <v>0</v>
      </c>
      <c r="G671" s="10">
        <v>0</v>
      </c>
      <c r="H671" s="10">
        <v>0</v>
      </c>
      <c r="I671" s="10">
        <v>0</v>
      </c>
      <c r="J671" s="10">
        <v>0</v>
      </c>
    </row>
    <row r="672" spans="1:10" hidden="1">
      <c r="A672" s="57" t="s">
        <v>294</v>
      </c>
      <c r="B672" s="10" t="s">
        <v>106</v>
      </c>
      <c r="C672" s="10">
        <v>0</v>
      </c>
      <c r="D672" s="10">
        <v>0</v>
      </c>
      <c r="E672" s="10">
        <v>0</v>
      </c>
      <c r="F672" s="10">
        <v>0</v>
      </c>
      <c r="G672" s="10">
        <v>0</v>
      </c>
      <c r="H672" s="10">
        <v>0</v>
      </c>
      <c r="I672" s="10">
        <v>0</v>
      </c>
      <c r="J672" s="10">
        <v>0</v>
      </c>
    </row>
    <row r="673" spans="1:10" hidden="1">
      <c r="A673" s="57" t="s">
        <v>294</v>
      </c>
      <c r="B673" s="10" t="s">
        <v>22</v>
      </c>
      <c r="C673" s="10">
        <v>0.52</v>
      </c>
      <c r="D673" s="10">
        <v>0.52</v>
      </c>
      <c r="E673" s="10">
        <v>0.52</v>
      </c>
      <c r="F673" s="10">
        <v>0.51943371782274261</v>
      </c>
      <c r="G673" s="10">
        <v>0.49028103401156181</v>
      </c>
      <c r="H673" s="10">
        <v>0.45235097645289235</v>
      </c>
      <c r="I673" s="10">
        <v>1.410281284357351E-3</v>
      </c>
      <c r="J673" s="10">
        <v>0</v>
      </c>
    </row>
    <row r="674" spans="1:10" hidden="1">
      <c r="A674" s="10" t="s">
        <v>294</v>
      </c>
      <c r="B674" s="10" t="s">
        <v>488</v>
      </c>
      <c r="C674" s="10">
        <v>0</v>
      </c>
      <c r="D674" s="10">
        <v>0</v>
      </c>
      <c r="E674" s="10">
        <v>0</v>
      </c>
      <c r="F674" s="10">
        <v>0</v>
      </c>
      <c r="G674" s="10">
        <v>0</v>
      </c>
      <c r="H674" s="10">
        <v>0</v>
      </c>
      <c r="I674" s="10">
        <v>0</v>
      </c>
      <c r="J674" s="10">
        <v>0</v>
      </c>
    </row>
    <row r="675" spans="1:10" hidden="1">
      <c r="A675" s="10" t="s">
        <v>294</v>
      </c>
      <c r="B675" s="10" t="s">
        <v>490</v>
      </c>
      <c r="C675" s="10">
        <v>1.5144999999999999E-2</v>
      </c>
      <c r="D675" s="10">
        <v>1.5144999999999999E-2</v>
      </c>
      <c r="E675" s="10">
        <v>1.4016606737933267E-2</v>
      </c>
      <c r="F675" s="10">
        <v>1.2888213475866536E-2</v>
      </c>
      <c r="G675" s="10">
        <v>1.003043488824101E-2</v>
      </c>
      <c r="H675" s="10">
        <v>7.1726563006154825E-3</v>
      </c>
      <c r="I675" s="10">
        <v>3.5863281503077413E-3</v>
      </c>
      <c r="J675" s="10">
        <v>0</v>
      </c>
    </row>
    <row r="676" spans="1:10" hidden="1">
      <c r="A676" s="57" t="s">
        <v>294</v>
      </c>
      <c r="B676" s="10" t="s">
        <v>23</v>
      </c>
      <c r="C676" s="10">
        <v>0</v>
      </c>
      <c r="D676" s="10">
        <v>0</v>
      </c>
      <c r="E676" s="10">
        <v>0</v>
      </c>
      <c r="F676" s="10">
        <v>0</v>
      </c>
      <c r="G676" s="10">
        <v>0</v>
      </c>
      <c r="H676" s="10">
        <v>0</v>
      </c>
      <c r="I676" s="10">
        <v>0</v>
      </c>
      <c r="J676" s="10">
        <v>0</v>
      </c>
    </row>
    <row r="677" spans="1:10" hidden="1">
      <c r="A677" s="57" t="s">
        <v>294</v>
      </c>
      <c r="B677" s="10" t="s">
        <v>58</v>
      </c>
      <c r="C677" s="10">
        <v>0.01</v>
      </c>
      <c r="D677" s="10">
        <v>6.0000000000000001E-3</v>
      </c>
      <c r="E677" s="10">
        <v>1E-3</v>
      </c>
      <c r="F677" s="10">
        <v>0</v>
      </c>
      <c r="G677" s="10">
        <v>0</v>
      </c>
      <c r="H677" s="10">
        <v>0</v>
      </c>
      <c r="I677" s="10">
        <v>0</v>
      </c>
      <c r="J677" s="10">
        <v>0</v>
      </c>
    </row>
    <row r="678" spans="1:10" hidden="1">
      <c r="A678" s="58" t="s">
        <v>294</v>
      </c>
      <c r="B678" s="58" t="s">
        <v>102</v>
      </c>
      <c r="C678" s="58">
        <v>1.21</v>
      </c>
      <c r="D678" s="58">
        <v>1.21</v>
      </c>
      <c r="E678" s="58">
        <v>1.21</v>
      </c>
      <c r="F678" s="58">
        <v>1.21</v>
      </c>
      <c r="G678" s="58">
        <v>1.21</v>
      </c>
      <c r="H678" s="58">
        <v>1.21</v>
      </c>
      <c r="I678" s="58">
        <v>1.21</v>
      </c>
      <c r="J678" s="58">
        <v>1.21</v>
      </c>
    </row>
    <row r="679" spans="1:10" hidden="1">
      <c r="A679" s="57" t="s">
        <v>294</v>
      </c>
      <c r="B679" s="10" t="s">
        <v>103</v>
      </c>
      <c r="C679" s="10">
        <v>0.04</v>
      </c>
      <c r="D679" s="10">
        <v>0.04</v>
      </c>
      <c r="E679" s="10">
        <v>0.04</v>
      </c>
      <c r="F679" s="10">
        <v>0.04</v>
      </c>
      <c r="G679" s="10">
        <v>0.04</v>
      </c>
      <c r="H679" s="10">
        <v>0.04</v>
      </c>
      <c r="I679" s="10">
        <v>0.04</v>
      </c>
      <c r="J679" s="10">
        <v>0.04</v>
      </c>
    </row>
    <row r="680" spans="1:10" hidden="1">
      <c r="A680" s="57" t="s">
        <v>294</v>
      </c>
      <c r="B680" s="10" t="s">
        <v>94</v>
      </c>
      <c r="C680" s="10">
        <v>0.114</v>
      </c>
      <c r="D680" s="10">
        <v>0.114</v>
      </c>
      <c r="E680" s="10">
        <v>6.1780645161290317E-2</v>
      </c>
      <c r="F680" s="10">
        <v>0</v>
      </c>
      <c r="G680" s="10">
        <v>0</v>
      </c>
      <c r="H680" s="10">
        <v>0</v>
      </c>
      <c r="I680" s="10">
        <v>0</v>
      </c>
      <c r="J680" s="10">
        <v>0</v>
      </c>
    </row>
    <row r="681" spans="1:10" hidden="1">
      <c r="A681" s="57" t="s">
        <v>294</v>
      </c>
      <c r="B681" s="10" t="s">
        <v>170</v>
      </c>
      <c r="C681" s="10">
        <v>0</v>
      </c>
      <c r="D681" s="10">
        <v>0</v>
      </c>
      <c r="E681" s="10">
        <v>0</v>
      </c>
      <c r="F681" s="10">
        <v>0</v>
      </c>
      <c r="G681" s="10">
        <v>0</v>
      </c>
      <c r="H681" s="10">
        <v>0</v>
      </c>
      <c r="I681" s="10">
        <v>0</v>
      </c>
      <c r="J681" s="10">
        <v>0</v>
      </c>
    </row>
    <row r="682" spans="1:10" hidden="1">
      <c r="A682" s="57" t="s">
        <v>294</v>
      </c>
      <c r="B682" s="10" t="s">
        <v>97</v>
      </c>
      <c r="C682" s="10">
        <v>0.06</v>
      </c>
      <c r="D682" s="10">
        <v>0.06</v>
      </c>
      <c r="E682" s="10">
        <v>0.06</v>
      </c>
      <c r="F682" s="10">
        <v>2.470031545741325E-2</v>
      </c>
      <c r="G682" s="10">
        <v>1.4479495268138801E-2</v>
      </c>
      <c r="H682" s="10">
        <v>0</v>
      </c>
      <c r="I682" s="10">
        <v>0</v>
      </c>
      <c r="J682" s="10">
        <v>0</v>
      </c>
    </row>
    <row r="683" spans="1:10" hidden="1">
      <c r="A683" s="10" t="s">
        <v>310</v>
      </c>
      <c r="B683" s="10" t="s">
        <v>475</v>
      </c>
      <c r="C683" s="10">
        <v>0.55536593020336433</v>
      </c>
      <c r="D683" s="10">
        <v>0.55536593020336433</v>
      </c>
      <c r="E683" s="10">
        <v>0.27768296510168217</v>
      </c>
      <c r="F683" s="10">
        <v>0</v>
      </c>
      <c r="G683" s="10">
        <v>0</v>
      </c>
      <c r="H683" s="10">
        <v>0</v>
      </c>
      <c r="I683" s="10">
        <v>0</v>
      </c>
      <c r="J683" s="10">
        <v>0</v>
      </c>
    </row>
    <row r="684" spans="1:10" hidden="1">
      <c r="A684" s="10" t="s">
        <v>310</v>
      </c>
      <c r="B684" s="10" t="s">
        <v>108</v>
      </c>
      <c r="C684" s="10">
        <v>6.4169595782073811E-3</v>
      </c>
      <c r="D684" s="10">
        <v>6.4169595782073811E-3</v>
      </c>
      <c r="E684" s="10">
        <v>4.413244927304682E-3</v>
      </c>
      <c r="F684" s="10">
        <v>2.4095302764019807E-3</v>
      </c>
      <c r="G684" s="10">
        <v>1.2047651382009904E-3</v>
      </c>
      <c r="H684" s="10">
        <v>0</v>
      </c>
      <c r="I684" s="10">
        <v>0</v>
      </c>
      <c r="J684" s="10">
        <v>0</v>
      </c>
    </row>
    <row r="685" spans="1:10" hidden="1">
      <c r="A685" s="10" t="s">
        <v>310</v>
      </c>
      <c r="B685" s="10" t="s">
        <v>481</v>
      </c>
      <c r="C685" s="10">
        <v>0.70809753954305799</v>
      </c>
      <c r="D685" s="10">
        <v>0.70809753954305799</v>
      </c>
      <c r="E685" s="10">
        <v>0.35404876977152899</v>
      </c>
      <c r="F685" s="10">
        <v>0</v>
      </c>
      <c r="G685" s="10">
        <v>0</v>
      </c>
      <c r="H685" s="10">
        <v>0</v>
      </c>
      <c r="I685" s="10">
        <v>0</v>
      </c>
      <c r="J685" s="10">
        <v>0</v>
      </c>
    </row>
    <row r="686" spans="1:10" hidden="1">
      <c r="A686" s="57" t="s">
        <v>310</v>
      </c>
      <c r="B686" s="10" t="s">
        <v>142</v>
      </c>
      <c r="C686" s="10">
        <v>0</v>
      </c>
      <c r="D686" s="10">
        <v>0</v>
      </c>
      <c r="E686" s="10">
        <v>0</v>
      </c>
      <c r="F686" s="10">
        <v>0</v>
      </c>
      <c r="G686" s="10">
        <v>0</v>
      </c>
      <c r="H686" s="10">
        <v>0</v>
      </c>
      <c r="I686" s="10">
        <v>0</v>
      </c>
      <c r="J686" s="10">
        <v>0</v>
      </c>
    </row>
    <row r="687" spans="1:10" hidden="1">
      <c r="A687" s="58" t="s">
        <v>310</v>
      </c>
      <c r="B687" s="58" t="s">
        <v>244</v>
      </c>
      <c r="C687" s="58">
        <v>1.2E-2</v>
      </c>
      <c r="D687" s="58">
        <v>1.0800000000000001E-2</v>
      </c>
      <c r="E687" s="58">
        <v>8.3999999999999995E-3</v>
      </c>
      <c r="F687" s="58">
        <v>5.1000000000000004E-3</v>
      </c>
      <c r="G687" s="58">
        <v>2.5999999999999999E-3</v>
      </c>
      <c r="H687" s="58">
        <v>1.1000000000000001E-3</v>
      </c>
      <c r="I687" s="58">
        <v>0</v>
      </c>
      <c r="J687" s="58">
        <v>0</v>
      </c>
    </row>
    <row r="688" spans="1:10" hidden="1">
      <c r="A688" s="58" t="s">
        <v>310</v>
      </c>
      <c r="B688" s="58" t="s">
        <v>245</v>
      </c>
      <c r="C688" s="58">
        <v>3.6200000000000003E-2</v>
      </c>
      <c r="D688" s="58">
        <v>3.2600000000000004E-2</v>
      </c>
      <c r="E688" s="58">
        <v>2.53E-2</v>
      </c>
      <c r="F688" s="58">
        <v>1.52E-2</v>
      </c>
      <c r="G688" s="58">
        <v>7.6E-3</v>
      </c>
      <c r="H688" s="58">
        <v>3.0999999999999999E-3</v>
      </c>
      <c r="I688" s="58">
        <v>6.9999999999999999E-4</v>
      </c>
      <c r="J688" s="58">
        <v>0</v>
      </c>
    </row>
    <row r="689" spans="1:10" hidden="1">
      <c r="A689" s="58" t="s">
        <v>310</v>
      </c>
      <c r="B689" s="58" t="s">
        <v>217</v>
      </c>
      <c r="C689" s="58">
        <v>6.9900000000000004E-2</v>
      </c>
      <c r="D689" s="58">
        <v>6.3E-2</v>
      </c>
      <c r="E689" s="58">
        <v>4.8900000000000006E-2</v>
      </c>
      <c r="F689" s="58">
        <v>2.9399999999999999E-2</v>
      </c>
      <c r="G689" s="58">
        <v>1.47E-2</v>
      </c>
      <c r="H689" s="58">
        <v>5.8999999999999999E-3</v>
      </c>
      <c r="I689" s="58">
        <v>1.2000000000000001E-3</v>
      </c>
      <c r="J689" s="58">
        <v>0</v>
      </c>
    </row>
    <row r="690" spans="1:10" hidden="1">
      <c r="A690" s="58" t="s">
        <v>310</v>
      </c>
      <c r="B690" s="58" t="s">
        <v>237</v>
      </c>
      <c r="C690" s="58">
        <v>5.8999999999999999E-3</v>
      </c>
      <c r="D690" s="58">
        <v>5.4000000000000003E-3</v>
      </c>
      <c r="E690" s="58">
        <v>4.2000000000000006E-3</v>
      </c>
      <c r="F690" s="58">
        <v>2.5999999999999999E-3</v>
      </c>
      <c r="G690" s="58">
        <v>1.2999999999999999E-3</v>
      </c>
      <c r="H690" s="58">
        <v>6.0000000000000006E-4</v>
      </c>
      <c r="I690" s="58">
        <v>0</v>
      </c>
      <c r="J690" s="58">
        <v>0</v>
      </c>
    </row>
    <row r="691" spans="1:10" hidden="1">
      <c r="A691" s="58" t="s">
        <v>310</v>
      </c>
      <c r="B691" s="58" t="s">
        <v>226</v>
      </c>
      <c r="C691" s="58">
        <v>0.17409999999999998</v>
      </c>
      <c r="D691" s="58">
        <v>0.15669999999999998</v>
      </c>
      <c r="E691" s="58">
        <v>0.1215</v>
      </c>
      <c r="F691" s="58">
        <v>7.2900000000000006E-2</v>
      </c>
      <c r="G691" s="58">
        <v>3.6500000000000005E-2</v>
      </c>
      <c r="H691" s="58">
        <v>1.46E-2</v>
      </c>
      <c r="I691" s="58">
        <v>2.9999999999999996E-3</v>
      </c>
      <c r="J691" s="58">
        <v>0</v>
      </c>
    </row>
    <row r="692" spans="1:10" hidden="1">
      <c r="A692" s="58" t="s">
        <v>310</v>
      </c>
      <c r="B692" s="58" t="s">
        <v>219</v>
      </c>
      <c r="C692" s="58">
        <v>3.0000000000000003E-4</v>
      </c>
      <c r="D692" s="58">
        <v>0</v>
      </c>
      <c r="E692" s="58">
        <v>0</v>
      </c>
      <c r="F692" s="58">
        <v>0</v>
      </c>
      <c r="G692" s="58">
        <v>0</v>
      </c>
      <c r="H692" s="58">
        <v>0</v>
      </c>
      <c r="I692" s="58">
        <v>0</v>
      </c>
      <c r="J692" s="58">
        <v>0</v>
      </c>
    </row>
    <row r="693" spans="1:10" hidden="1">
      <c r="A693" s="58" t="s">
        <v>310</v>
      </c>
      <c r="B693" s="58" t="s">
        <v>227</v>
      </c>
      <c r="C693" s="58">
        <v>6.6E-3</v>
      </c>
      <c r="D693" s="58">
        <v>6.0000000000000001E-3</v>
      </c>
      <c r="E693" s="58">
        <v>4.7000000000000002E-3</v>
      </c>
      <c r="F693" s="58">
        <v>2.8999999999999998E-3</v>
      </c>
      <c r="G693" s="58">
        <v>1.5E-3</v>
      </c>
      <c r="H693" s="58">
        <v>5.9999999999999995E-4</v>
      </c>
      <c r="I693" s="58">
        <v>0</v>
      </c>
      <c r="J693" s="58">
        <v>0</v>
      </c>
    </row>
    <row r="694" spans="1:10" hidden="1">
      <c r="A694" s="58" t="s">
        <v>310</v>
      </c>
      <c r="B694" s="58" t="s">
        <v>206</v>
      </c>
      <c r="C694" s="58">
        <v>0.7319</v>
      </c>
      <c r="D694" s="58">
        <v>0.65879999999999994</v>
      </c>
      <c r="E694" s="58">
        <v>0.51059999999999994</v>
      </c>
      <c r="F694" s="58">
        <v>0.30640000000000001</v>
      </c>
      <c r="G694" s="58">
        <v>0.1532</v>
      </c>
      <c r="H694" s="58">
        <v>6.13E-2</v>
      </c>
      <c r="I694" s="58">
        <v>1.23E-2</v>
      </c>
    </row>
    <row r="695" spans="1:10" hidden="1">
      <c r="A695" s="58" t="s">
        <v>310</v>
      </c>
      <c r="B695" s="58" t="s">
        <v>233</v>
      </c>
      <c r="C695" s="58">
        <v>6.8500000000000005E-2</v>
      </c>
      <c r="D695" s="58">
        <v>6.1700000000000005E-2</v>
      </c>
      <c r="E695" s="58">
        <v>4.7900000000000005E-2</v>
      </c>
      <c r="F695" s="58">
        <v>2.8799999999999999E-2</v>
      </c>
      <c r="G695" s="58">
        <v>1.44E-2</v>
      </c>
      <c r="H695" s="58">
        <v>5.8000000000000005E-3</v>
      </c>
      <c r="I695" s="58">
        <v>1.2000000000000001E-3</v>
      </c>
    </row>
    <row r="696" spans="1:10" hidden="1">
      <c r="A696" s="58" t="s">
        <v>310</v>
      </c>
      <c r="B696" s="58" t="s">
        <v>224</v>
      </c>
      <c r="C696" s="58">
        <v>4.6063000000000001</v>
      </c>
      <c r="D696" s="58">
        <v>4.1456999999999997</v>
      </c>
      <c r="E696" s="58">
        <v>3.2130000000000001</v>
      </c>
      <c r="F696" s="58">
        <v>1.9278</v>
      </c>
      <c r="G696" s="58">
        <v>0.96389999999999998</v>
      </c>
      <c r="H696" s="58">
        <v>0.3856</v>
      </c>
      <c r="I696" s="58">
        <v>7.7200000000000005E-2</v>
      </c>
    </row>
    <row r="697" spans="1:10" hidden="1">
      <c r="A697" s="58" t="s">
        <v>310</v>
      </c>
      <c r="B697" s="58" t="s">
        <v>207</v>
      </c>
      <c r="C697" s="58">
        <v>2.4799999999999999E-2</v>
      </c>
      <c r="D697" s="58">
        <v>2.24E-2</v>
      </c>
      <c r="E697" s="58">
        <v>1.7399999999999999E-2</v>
      </c>
      <c r="F697" s="58">
        <v>1.0499999999999999E-2</v>
      </c>
      <c r="G697" s="58">
        <v>5.3E-3</v>
      </c>
      <c r="H697" s="58">
        <v>2.1999999999999997E-3</v>
      </c>
      <c r="I697" s="58">
        <v>5.0000000000000001E-4</v>
      </c>
    </row>
    <row r="698" spans="1:10" hidden="1">
      <c r="A698" s="58" t="s">
        <v>310</v>
      </c>
      <c r="B698" s="58" t="s">
        <v>225</v>
      </c>
      <c r="C698" s="58">
        <v>0.1376</v>
      </c>
      <c r="D698" s="58">
        <v>0.1239</v>
      </c>
      <c r="E698" s="58">
        <v>9.6100000000000005E-2</v>
      </c>
      <c r="F698" s="58">
        <v>5.7700000000000001E-2</v>
      </c>
      <c r="G698" s="58">
        <v>2.8899999999999999E-2</v>
      </c>
      <c r="H698" s="58">
        <v>1.1599999999999999E-2</v>
      </c>
      <c r="I698" s="58">
        <v>2.3999999999999998E-3</v>
      </c>
    </row>
    <row r="699" spans="1:10" hidden="1">
      <c r="A699" s="58" t="s">
        <v>310</v>
      </c>
      <c r="B699" s="58" t="s">
        <v>228</v>
      </c>
      <c r="C699" s="58">
        <v>0.18959999999999999</v>
      </c>
      <c r="D699" s="58">
        <v>0.17069999999999999</v>
      </c>
      <c r="E699" s="58">
        <v>0.1323</v>
      </c>
      <c r="F699" s="58">
        <v>7.9399999999999998E-2</v>
      </c>
      <c r="G699" s="58">
        <v>3.9699999999999999E-2</v>
      </c>
      <c r="H699" s="58">
        <v>1.5900000000000001E-2</v>
      </c>
      <c r="I699" s="58">
        <v>3.1999999999999997E-3</v>
      </c>
      <c r="J699" s="58">
        <v>0</v>
      </c>
    </row>
    <row r="700" spans="1:10" hidden="1">
      <c r="A700" s="58" t="s">
        <v>310</v>
      </c>
      <c r="B700" s="58" t="s">
        <v>230</v>
      </c>
      <c r="C700" s="58">
        <v>1.8713</v>
      </c>
      <c r="D700" s="58">
        <v>1.6841999999999999</v>
      </c>
      <c r="E700" s="58">
        <v>1.3052999999999999</v>
      </c>
      <c r="F700" s="58">
        <v>0.78320000000000001</v>
      </c>
      <c r="G700" s="58">
        <v>0.3916</v>
      </c>
      <c r="H700" s="58">
        <v>0.15669999999999998</v>
      </c>
      <c r="I700" s="58">
        <v>3.1400000000000004E-2</v>
      </c>
      <c r="J700" s="58">
        <v>0</v>
      </c>
    </row>
    <row r="701" spans="1:10" hidden="1">
      <c r="A701" s="58" t="s">
        <v>310</v>
      </c>
      <c r="B701" s="58" t="s">
        <v>229</v>
      </c>
      <c r="C701" s="58">
        <v>2.6999999999999997E-3</v>
      </c>
      <c r="D701" s="58">
        <v>2.4999999999999996E-3</v>
      </c>
      <c r="E701" s="58">
        <v>2E-3</v>
      </c>
      <c r="F701" s="58">
        <v>1.1999999999999999E-3</v>
      </c>
      <c r="G701" s="58">
        <v>5.9999999999999995E-4</v>
      </c>
      <c r="H701" s="58">
        <v>0</v>
      </c>
      <c r="I701" s="58">
        <v>0</v>
      </c>
      <c r="J701" s="58">
        <v>0</v>
      </c>
    </row>
    <row r="702" spans="1:10" hidden="1">
      <c r="A702" s="58" t="s">
        <v>310</v>
      </c>
      <c r="B702" s="58" t="s">
        <v>231</v>
      </c>
      <c r="C702" s="58">
        <v>0.10540000000000001</v>
      </c>
      <c r="D702" s="58">
        <v>9.4899999999999998E-2</v>
      </c>
      <c r="E702" s="58">
        <v>7.3599999999999999E-2</v>
      </c>
      <c r="F702" s="58">
        <v>4.4200000000000003E-2</v>
      </c>
      <c r="G702" s="58">
        <v>2.2100000000000002E-2</v>
      </c>
      <c r="H702" s="58">
        <v>8.8999999999999999E-3</v>
      </c>
      <c r="I702" s="58">
        <v>1.8E-3</v>
      </c>
      <c r="J702" s="58">
        <v>0</v>
      </c>
    </row>
    <row r="703" spans="1:10" hidden="1">
      <c r="A703" s="58" t="s">
        <v>310</v>
      </c>
      <c r="B703" s="58" t="s">
        <v>240</v>
      </c>
      <c r="C703" s="58">
        <v>3.0999999999999999E-3</v>
      </c>
      <c r="D703" s="58">
        <v>2.8E-3</v>
      </c>
      <c r="E703" s="58">
        <v>2.1999999999999997E-3</v>
      </c>
      <c r="F703" s="58">
        <v>1.4E-3</v>
      </c>
      <c r="G703" s="58">
        <v>6.9999999999999999E-4</v>
      </c>
      <c r="H703" s="58">
        <v>0</v>
      </c>
      <c r="I703" s="58">
        <v>0</v>
      </c>
      <c r="J703" s="58">
        <v>0</v>
      </c>
    </row>
    <row r="704" spans="1:10" hidden="1">
      <c r="A704" s="57" t="s">
        <v>310</v>
      </c>
      <c r="B704" s="10" t="s">
        <v>163</v>
      </c>
      <c r="C704" s="10">
        <v>0.13</v>
      </c>
      <c r="D704" s="10">
        <v>0.13</v>
      </c>
      <c r="E704" s="10">
        <v>0.13</v>
      </c>
      <c r="F704" s="10">
        <v>0.13</v>
      </c>
      <c r="G704" s="10">
        <v>0.13</v>
      </c>
      <c r="H704" s="10">
        <v>0.12141660215837166</v>
      </c>
      <c r="I704" s="10">
        <v>0.10700438656406054</v>
      </c>
      <c r="J704" s="10">
        <v>0.10700438656406054</v>
      </c>
    </row>
    <row r="705" spans="1:10" hidden="1">
      <c r="A705" s="57" t="s">
        <v>310</v>
      </c>
      <c r="B705" s="10" t="s">
        <v>107</v>
      </c>
      <c r="C705" s="10">
        <v>0</v>
      </c>
      <c r="D705" s="10">
        <v>0</v>
      </c>
      <c r="E705" s="10">
        <v>0</v>
      </c>
      <c r="F705" s="10">
        <v>0</v>
      </c>
      <c r="G705" s="10">
        <v>0</v>
      </c>
      <c r="H705" s="10">
        <v>0</v>
      </c>
      <c r="I705" s="10">
        <v>0</v>
      </c>
      <c r="J705" s="10">
        <v>0</v>
      </c>
    </row>
    <row r="706" spans="1:10" hidden="1">
      <c r="A706" s="57" t="s">
        <v>310</v>
      </c>
      <c r="B706" s="10" t="s">
        <v>106</v>
      </c>
      <c r="C706" s="10">
        <v>0</v>
      </c>
      <c r="D706" s="10">
        <v>0</v>
      </c>
      <c r="E706" s="10">
        <v>0</v>
      </c>
      <c r="F706" s="10">
        <v>0</v>
      </c>
      <c r="G706" s="10">
        <v>0</v>
      </c>
      <c r="H706" s="10">
        <v>0</v>
      </c>
      <c r="I706" s="10">
        <v>0</v>
      </c>
      <c r="J706" s="10">
        <v>0</v>
      </c>
    </row>
    <row r="707" spans="1:10" hidden="1">
      <c r="A707" s="57" t="s">
        <v>310</v>
      </c>
      <c r="B707" s="10" t="s">
        <v>22</v>
      </c>
      <c r="C707" s="10">
        <v>1.0309999999999997</v>
      </c>
      <c r="D707" s="10">
        <v>1.0309999999999997</v>
      </c>
      <c r="E707" s="10">
        <v>1.0309999999999997</v>
      </c>
      <c r="F707" s="10">
        <v>1.0309999999999997</v>
      </c>
      <c r="G707" s="10">
        <v>1.0024730333603997</v>
      </c>
      <c r="H707" s="10">
        <v>0.99412003920710479</v>
      </c>
      <c r="I707" s="10">
        <v>0.84921050670842968</v>
      </c>
      <c r="J707" s="10">
        <v>0.39154660093568983</v>
      </c>
    </row>
    <row r="708" spans="1:10" hidden="1">
      <c r="A708" s="10" t="s">
        <v>310</v>
      </c>
      <c r="B708" s="10" t="s">
        <v>488</v>
      </c>
      <c r="C708" s="10">
        <v>1.024</v>
      </c>
      <c r="D708" s="10">
        <v>1.024</v>
      </c>
      <c r="E708" s="10">
        <v>1.0020404771478355</v>
      </c>
      <c r="F708" s="10">
        <v>0.98008095429567088</v>
      </c>
      <c r="G708" s="10">
        <v>0.90287950676852979</v>
      </c>
      <c r="H708" s="10">
        <v>0.82567805924138882</v>
      </c>
      <c r="I708" s="10">
        <v>0.41283902962069441</v>
      </c>
      <c r="J708" s="10">
        <v>0</v>
      </c>
    </row>
    <row r="709" spans="1:10" hidden="1">
      <c r="A709" s="10" t="s">
        <v>310</v>
      </c>
      <c r="B709" s="10" t="s">
        <v>490</v>
      </c>
      <c r="C709" s="10">
        <v>0</v>
      </c>
      <c r="D709" s="10">
        <v>0</v>
      </c>
      <c r="E709" s="10">
        <v>0</v>
      </c>
      <c r="F709" s="10">
        <v>0</v>
      </c>
      <c r="G709" s="10">
        <v>0</v>
      </c>
      <c r="H709" s="10">
        <v>0</v>
      </c>
      <c r="I709" s="10">
        <v>0</v>
      </c>
      <c r="J709" s="10">
        <v>0</v>
      </c>
    </row>
    <row r="710" spans="1:10" hidden="1">
      <c r="A710" s="57" t="s">
        <v>310</v>
      </c>
      <c r="B710" s="10" t="s">
        <v>23</v>
      </c>
      <c r="C710" s="10">
        <v>0</v>
      </c>
      <c r="D710" s="10">
        <v>0</v>
      </c>
      <c r="E710" s="10">
        <v>0</v>
      </c>
      <c r="F710" s="10">
        <v>0</v>
      </c>
      <c r="G710" s="10">
        <v>0</v>
      </c>
      <c r="H710" s="10">
        <v>0</v>
      </c>
      <c r="I710" s="10">
        <v>0</v>
      </c>
      <c r="J710" s="10">
        <v>0</v>
      </c>
    </row>
    <row r="711" spans="1:10" hidden="1">
      <c r="A711" s="57" t="s">
        <v>310</v>
      </c>
      <c r="B711" s="10" t="s">
        <v>58</v>
      </c>
      <c r="C711" s="10">
        <v>0.109</v>
      </c>
      <c r="D711" s="10">
        <v>6.5399999999999986E-2</v>
      </c>
      <c r="E711" s="10">
        <v>1.09E-2</v>
      </c>
      <c r="F711" s="10">
        <v>0</v>
      </c>
      <c r="G711" s="10">
        <v>0</v>
      </c>
      <c r="H711" s="10">
        <v>0</v>
      </c>
      <c r="I711" s="10">
        <v>0</v>
      </c>
      <c r="J711" s="10">
        <v>0</v>
      </c>
    </row>
    <row r="712" spans="1:10" hidden="1">
      <c r="A712" s="58" t="s">
        <v>310</v>
      </c>
      <c r="B712" s="58" t="s">
        <v>102</v>
      </c>
      <c r="C712" s="58">
        <v>0</v>
      </c>
      <c r="D712" s="58">
        <v>0</v>
      </c>
      <c r="E712" s="58">
        <v>0</v>
      </c>
      <c r="F712" s="58">
        <v>0</v>
      </c>
      <c r="G712" s="58">
        <v>0</v>
      </c>
      <c r="H712" s="58">
        <v>0</v>
      </c>
      <c r="I712" s="58">
        <v>0</v>
      </c>
      <c r="J712" s="58">
        <v>0</v>
      </c>
    </row>
    <row r="713" spans="1:10" hidden="1">
      <c r="A713" s="57" t="s">
        <v>310</v>
      </c>
      <c r="B713" s="10" t="s">
        <v>103</v>
      </c>
      <c r="C713" s="10">
        <v>1.5940000000000001</v>
      </c>
      <c r="D713" s="10">
        <v>1.5940000000000001</v>
      </c>
      <c r="E713" s="10">
        <v>1.5940000000000001</v>
      </c>
      <c r="F713" s="10">
        <v>1.5940000000000001</v>
      </c>
      <c r="G713" s="10">
        <v>1.5940000000000001</v>
      </c>
      <c r="H713" s="10">
        <v>1.5940000000000001</v>
      </c>
      <c r="I713" s="10">
        <v>1.5940000000000001</v>
      </c>
      <c r="J713" s="10">
        <v>1.5940000000000001</v>
      </c>
    </row>
    <row r="714" spans="1:10" hidden="1">
      <c r="A714" s="57" t="s">
        <v>310</v>
      </c>
      <c r="B714" s="10" t="s">
        <v>94</v>
      </c>
      <c r="C714" s="10">
        <v>0</v>
      </c>
      <c r="D714" s="10">
        <v>0</v>
      </c>
      <c r="E714" s="10">
        <v>0</v>
      </c>
      <c r="F714" s="10">
        <v>0</v>
      </c>
      <c r="G714" s="10">
        <v>0</v>
      </c>
      <c r="H714" s="10">
        <v>0</v>
      </c>
      <c r="I714" s="10">
        <v>0</v>
      </c>
      <c r="J714" s="10">
        <v>0</v>
      </c>
    </row>
    <row r="715" spans="1:10" hidden="1">
      <c r="A715" s="57" t="s">
        <v>310</v>
      </c>
      <c r="B715" s="10" t="s">
        <v>170</v>
      </c>
      <c r="C715" s="10">
        <v>0</v>
      </c>
      <c r="D715" s="10">
        <v>0</v>
      </c>
      <c r="E715" s="10">
        <v>0</v>
      </c>
      <c r="F715" s="10">
        <v>0</v>
      </c>
      <c r="G715" s="10">
        <v>0</v>
      </c>
      <c r="H715" s="10">
        <v>0</v>
      </c>
      <c r="I715" s="10">
        <v>0</v>
      </c>
      <c r="J715" s="10">
        <v>0</v>
      </c>
    </row>
    <row r="716" spans="1:10" hidden="1">
      <c r="A716" s="57" t="s">
        <v>310</v>
      </c>
      <c r="B716" s="10" t="s">
        <v>97</v>
      </c>
      <c r="C716" s="10">
        <v>0.13500000000000001</v>
      </c>
      <c r="D716" s="10">
        <v>0.13500000000000001</v>
      </c>
      <c r="E716" s="10">
        <v>0.13500000000000001</v>
      </c>
      <c r="F716" s="10">
        <v>1.0465116279069767E-2</v>
      </c>
      <c r="G716" s="10">
        <v>0</v>
      </c>
      <c r="H716" s="10">
        <v>0</v>
      </c>
      <c r="I716" s="10">
        <v>0</v>
      </c>
      <c r="J716" s="10">
        <v>0</v>
      </c>
    </row>
    <row r="717" spans="1:10" hidden="1">
      <c r="A717" s="57" t="s">
        <v>295</v>
      </c>
      <c r="B717" s="10" t="s">
        <v>142</v>
      </c>
      <c r="C717" s="10">
        <v>0.65</v>
      </c>
      <c r="D717" s="10">
        <v>0.65</v>
      </c>
      <c r="E717" s="10">
        <v>0.65</v>
      </c>
      <c r="F717" s="10">
        <v>0.65</v>
      </c>
      <c r="G717" s="10">
        <v>0.65</v>
      </c>
      <c r="H717" s="10">
        <v>0.65</v>
      </c>
      <c r="I717" s="10">
        <v>0.65</v>
      </c>
      <c r="J717" s="10">
        <v>0.65</v>
      </c>
    </row>
    <row r="718" spans="1:10" hidden="1">
      <c r="A718" s="57" t="s">
        <v>295</v>
      </c>
      <c r="B718" s="10" t="s">
        <v>163</v>
      </c>
      <c r="C718" s="10">
        <v>0</v>
      </c>
      <c r="D718" s="10">
        <v>0</v>
      </c>
      <c r="E718" s="10">
        <v>0</v>
      </c>
      <c r="F718" s="10">
        <v>0</v>
      </c>
      <c r="G718" s="10">
        <v>0</v>
      </c>
      <c r="H718" s="10">
        <v>0</v>
      </c>
      <c r="I718" s="10">
        <v>0</v>
      </c>
      <c r="J718" s="10">
        <v>0</v>
      </c>
    </row>
    <row r="719" spans="1:10" hidden="1">
      <c r="A719" s="57" t="s">
        <v>295</v>
      </c>
      <c r="B719" s="10" t="s">
        <v>107</v>
      </c>
      <c r="C719" s="10">
        <v>0</v>
      </c>
      <c r="D719" s="10">
        <v>0</v>
      </c>
      <c r="E719" s="10">
        <v>0</v>
      </c>
      <c r="F719" s="10">
        <v>0</v>
      </c>
      <c r="G719" s="10">
        <v>0</v>
      </c>
      <c r="H719" s="10">
        <v>0</v>
      </c>
      <c r="I719" s="10">
        <v>0</v>
      </c>
      <c r="J719" s="10">
        <v>0</v>
      </c>
    </row>
    <row r="720" spans="1:10" hidden="1">
      <c r="A720" s="57" t="s">
        <v>295</v>
      </c>
      <c r="B720" s="10" t="s">
        <v>106</v>
      </c>
      <c r="C720" s="10">
        <v>0.2</v>
      </c>
      <c r="D720" s="10">
        <v>0.2</v>
      </c>
      <c r="E720" s="10">
        <v>0</v>
      </c>
      <c r="F720" s="10">
        <v>0</v>
      </c>
      <c r="G720" s="10">
        <v>0</v>
      </c>
      <c r="H720" s="10">
        <v>0</v>
      </c>
      <c r="I720" s="10">
        <v>0</v>
      </c>
      <c r="J720" s="10">
        <v>0</v>
      </c>
    </row>
    <row r="721" spans="1:10" hidden="1">
      <c r="A721" s="57" t="s">
        <v>295</v>
      </c>
      <c r="B721" s="10" t="s">
        <v>23</v>
      </c>
      <c r="C721" s="10">
        <v>0</v>
      </c>
      <c r="D721" s="10">
        <v>0</v>
      </c>
      <c r="E721" s="10">
        <v>0</v>
      </c>
      <c r="F721" s="10">
        <v>0</v>
      </c>
      <c r="G721" s="10">
        <v>0</v>
      </c>
      <c r="H721" s="10">
        <v>0</v>
      </c>
      <c r="I721" s="10">
        <v>0</v>
      </c>
      <c r="J721" s="10">
        <v>0</v>
      </c>
    </row>
    <row r="722" spans="1:10" hidden="1">
      <c r="A722" s="57" t="s">
        <v>295</v>
      </c>
      <c r="B722" s="10" t="s">
        <v>58</v>
      </c>
      <c r="C722" s="10">
        <v>0</v>
      </c>
      <c r="D722" s="10">
        <v>0</v>
      </c>
      <c r="E722" s="10">
        <v>0</v>
      </c>
      <c r="F722" s="10">
        <v>0</v>
      </c>
      <c r="G722" s="10">
        <v>0</v>
      </c>
      <c r="H722" s="10">
        <v>0</v>
      </c>
      <c r="I722" s="10">
        <v>0</v>
      </c>
      <c r="J722" s="10">
        <v>0</v>
      </c>
    </row>
    <row r="723" spans="1:10" hidden="1">
      <c r="A723" s="57" t="s">
        <v>295</v>
      </c>
      <c r="B723" s="10" t="s">
        <v>94</v>
      </c>
      <c r="C723" s="10">
        <v>0</v>
      </c>
      <c r="D723" s="10">
        <v>0</v>
      </c>
      <c r="E723" s="10">
        <v>0</v>
      </c>
      <c r="F723" s="10">
        <v>0</v>
      </c>
      <c r="G723" s="10">
        <v>0</v>
      </c>
      <c r="H723" s="10">
        <v>0</v>
      </c>
      <c r="I723" s="10">
        <v>0</v>
      </c>
      <c r="J723" s="10">
        <v>0</v>
      </c>
    </row>
    <row r="724" spans="1:10" hidden="1">
      <c r="A724" s="57" t="s">
        <v>295</v>
      </c>
      <c r="B724" s="10" t="s">
        <v>170</v>
      </c>
      <c r="C724" s="10">
        <v>0</v>
      </c>
      <c r="D724" s="10">
        <v>0</v>
      </c>
      <c r="E724" s="10">
        <v>0</v>
      </c>
      <c r="F724" s="10">
        <v>0</v>
      </c>
      <c r="G724" s="10">
        <v>0</v>
      </c>
      <c r="H724" s="10">
        <v>0</v>
      </c>
      <c r="I724" s="10">
        <v>0</v>
      </c>
      <c r="J724" s="10">
        <v>0</v>
      </c>
    </row>
    <row r="725" spans="1:10" hidden="1">
      <c r="A725" s="57" t="s">
        <v>295</v>
      </c>
      <c r="B725" s="10" t="s">
        <v>97</v>
      </c>
      <c r="C725" s="10">
        <v>0</v>
      </c>
      <c r="D725" s="10">
        <v>0</v>
      </c>
      <c r="E725" s="10">
        <v>0</v>
      </c>
      <c r="F725" s="10">
        <v>0</v>
      </c>
      <c r="G725" s="10">
        <v>0</v>
      </c>
      <c r="H725" s="10">
        <v>0</v>
      </c>
      <c r="I725" s="10">
        <v>0</v>
      </c>
      <c r="J725" s="10">
        <v>0</v>
      </c>
    </row>
    <row r="726" spans="1:10" hidden="1">
      <c r="A726" s="57" t="s">
        <v>296</v>
      </c>
      <c r="B726" s="10" t="s">
        <v>142</v>
      </c>
      <c r="C726" s="10">
        <v>0.56600000000000006</v>
      </c>
      <c r="D726" s="10">
        <v>0.56600000000000006</v>
      </c>
      <c r="E726" s="10">
        <v>0.56600000000000006</v>
      </c>
      <c r="F726" s="10">
        <v>0.56600000000000006</v>
      </c>
      <c r="G726" s="10">
        <v>0.56600000000000006</v>
      </c>
      <c r="H726" s="10">
        <v>0.56600000000000006</v>
      </c>
      <c r="I726" s="10">
        <v>0.56600000000000006</v>
      </c>
      <c r="J726" s="10">
        <v>0.56600000000000006</v>
      </c>
    </row>
    <row r="727" spans="1:10" hidden="1">
      <c r="A727" s="57" t="s">
        <v>296</v>
      </c>
      <c r="B727" s="10" t="s">
        <v>163</v>
      </c>
      <c r="C727" s="10">
        <v>1.6E-2</v>
      </c>
      <c r="D727" s="10">
        <v>1.2799999999999997E-2</v>
      </c>
      <c r="E727" s="10">
        <v>8.7999999999999936E-3</v>
      </c>
      <c r="F727" s="10">
        <v>4.7999999999999944E-3</v>
      </c>
      <c r="G727" s="10">
        <v>7.9999999999999494E-4</v>
      </c>
      <c r="H727" s="10">
        <v>0</v>
      </c>
      <c r="I727" s="10">
        <v>0</v>
      </c>
      <c r="J727" s="10">
        <v>0</v>
      </c>
    </row>
    <row r="728" spans="1:10" hidden="1">
      <c r="A728" s="57" t="s">
        <v>296</v>
      </c>
      <c r="B728" s="10" t="s">
        <v>107</v>
      </c>
      <c r="C728" s="10">
        <v>0</v>
      </c>
      <c r="D728" s="10">
        <v>0</v>
      </c>
      <c r="E728" s="10">
        <v>0</v>
      </c>
      <c r="F728" s="10">
        <v>0</v>
      </c>
      <c r="G728" s="10">
        <v>0</v>
      </c>
      <c r="H728" s="10">
        <v>0</v>
      </c>
      <c r="I728" s="10">
        <v>0</v>
      </c>
      <c r="J728" s="10">
        <v>0</v>
      </c>
    </row>
    <row r="729" spans="1:10" hidden="1">
      <c r="A729" s="57" t="s">
        <v>296</v>
      </c>
      <c r="B729" s="10" t="s">
        <v>106</v>
      </c>
      <c r="C729" s="10">
        <v>0.61499999999999999</v>
      </c>
      <c r="D729" s="10">
        <v>0.52170509708737867</v>
      </c>
      <c r="E729" s="10">
        <v>0.17390169902912619</v>
      </c>
      <c r="F729" s="10">
        <v>0</v>
      </c>
      <c r="G729" s="10">
        <v>0</v>
      </c>
      <c r="H729" s="10">
        <v>0</v>
      </c>
      <c r="I729" s="10">
        <v>0</v>
      </c>
      <c r="J729" s="10">
        <v>0</v>
      </c>
    </row>
    <row r="730" spans="1:10" hidden="1">
      <c r="A730" s="57" t="s">
        <v>296</v>
      </c>
      <c r="B730" s="10" t="s">
        <v>22</v>
      </c>
      <c r="C730" s="10">
        <v>0.23000000000000004</v>
      </c>
      <c r="D730" s="10">
        <v>0.23000000000000004</v>
      </c>
      <c r="E730" s="10">
        <v>0.23000000000000004</v>
      </c>
      <c r="F730" s="10">
        <v>0.23000000000000004</v>
      </c>
      <c r="G730" s="10">
        <v>0.23000000000000004</v>
      </c>
      <c r="H730" s="10">
        <v>0.23000000000000004</v>
      </c>
      <c r="I730" s="10">
        <v>0.23000000000000004</v>
      </c>
      <c r="J730" s="10">
        <v>0.20550105115627193</v>
      </c>
    </row>
    <row r="731" spans="1:10" hidden="1">
      <c r="A731" s="57" t="s">
        <v>296</v>
      </c>
      <c r="B731" s="10" t="s">
        <v>23</v>
      </c>
      <c r="C731" s="10">
        <v>0</v>
      </c>
      <c r="D731" s="10">
        <v>0</v>
      </c>
      <c r="E731" s="10">
        <v>0</v>
      </c>
      <c r="F731" s="10">
        <v>0</v>
      </c>
      <c r="G731" s="10">
        <v>0</v>
      </c>
      <c r="H731" s="10">
        <v>0</v>
      </c>
      <c r="I731" s="10">
        <v>0</v>
      </c>
      <c r="J731" s="10">
        <v>0</v>
      </c>
    </row>
    <row r="732" spans="1:10" hidden="1">
      <c r="A732" s="57" t="s">
        <v>296</v>
      </c>
      <c r="B732" s="10" t="s">
        <v>58</v>
      </c>
      <c r="C732" s="10">
        <v>0.19800000000000004</v>
      </c>
      <c r="D732" s="10">
        <v>0</v>
      </c>
      <c r="E732" s="10">
        <v>0</v>
      </c>
      <c r="F732" s="10">
        <v>0</v>
      </c>
      <c r="G732" s="10">
        <v>0</v>
      </c>
      <c r="H732" s="10">
        <v>0</v>
      </c>
      <c r="I732" s="10">
        <v>0</v>
      </c>
      <c r="J732" s="10">
        <v>0</v>
      </c>
    </row>
    <row r="733" spans="1:10" hidden="1">
      <c r="A733" s="57" t="s">
        <v>296</v>
      </c>
      <c r="B733" s="10" t="s">
        <v>94</v>
      </c>
      <c r="C733" s="10">
        <v>1.9E-2</v>
      </c>
      <c r="D733" s="10">
        <v>1.9E-2</v>
      </c>
      <c r="E733" s="10">
        <v>1.9E-2</v>
      </c>
      <c r="F733" s="10">
        <v>1.9E-2</v>
      </c>
      <c r="G733" s="10">
        <v>0</v>
      </c>
      <c r="H733" s="10">
        <v>0</v>
      </c>
      <c r="I733" s="10">
        <v>0</v>
      </c>
      <c r="J733" s="10">
        <v>0</v>
      </c>
    </row>
    <row r="734" spans="1:10" hidden="1">
      <c r="A734" s="57" t="s">
        <v>296</v>
      </c>
      <c r="B734" s="10" t="s">
        <v>170</v>
      </c>
      <c r="C734" s="10">
        <v>0</v>
      </c>
      <c r="D734" s="10">
        <v>0</v>
      </c>
      <c r="E734" s="10">
        <v>0</v>
      </c>
      <c r="F734" s="10">
        <v>0</v>
      </c>
      <c r="G734" s="10">
        <v>0</v>
      </c>
      <c r="H734" s="10">
        <v>0</v>
      </c>
      <c r="I734" s="10">
        <v>0</v>
      </c>
      <c r="J734" s="10">
        <v>0</v>
      </c>
    </row>
    <row r="735" spans="1:10" hidden="1">
      <c r="A735" s="57" t="s">
        <v>296</v>
      </c>
      <c r="B735" s="10" t="s">
        <v>97</v>
      </c>
      <c r="C735" s="10">
        <v>6.5000000000000002E-2</v>
      </c>
      <c r="D735" s="10">
        <v>6.5000000000000002E-2</v>
      </c>
      <c r="E735" s="10">
        <v>6.5000000000000002E-2</v>
      </c>
      <c r="F735" s="10">
        <v>6.5000000000000002E-2</v>
      </c>
      <c r="G735" s="10">
        <v>6.5000000000000002E-2</v>
      </c>
      <c r="H735" s="10">
        <v>0</v>
      </c>
      <c r="I735" s="10">
        <v>0</v>
      </c>
      <c r="J735" s="10">
        <v>0</v>
      </c>
    </row>
    <row r="736" spans="1:10" hidden="1">
      <c r="A736" s="79" t="s">
        <v>508</v>
      </c>
      <c r="B736" s="79" t="s">
        <v>481</v>
      </c>
      <c r="C736" s="79">
        <v>0.25700000000000001</v>
      </c>
      <c r="D736" s="10">
        <v>0.25700000000000001</v>
      </c>
      <c r="E736" s="10">
        <v>0.24199999999999999</v>
      </c>
      <c r="F736" s="10">
        <v>0.22700000000000001</v>
      </c>
      <c r="G736" s="10">
        <v>0.22700000000000001</v>
      </c>
      <c r="H736" s="10">
        <v>0.22700000000000001</v>
      </c>
      <c r="I736" s="10">
        <v>0.1135</v>
      </c>
      <c r="J736" s="10">
        <v>0</v>
      </c>
    </row>
    <row r="737" spans="1:10" hidden="1">
      <c r="A737" s="79" t="s">
        <v>508</v>
      </c>
      <c r="B737" s="79" t="s">
        <v>485</v>
      </c>
      <c r="C737" s="79">
        <v>0.03</v>
      </c>
      <c r="D737" s="10">
        <v>0.03</v>
      </c>
      <c r="E737" s="10">
        <v>1.4999999999999999E-2</v>
      </c>
      <c r="F737" s="10">
        <v>0</v>
      </c>
      <c r="G737" s="10">
        <v>0</v>
      </c>
      <c r="H737" s="10">
        <v>0</v>
      </c>
      <c r="I737" s="10">
        <v>0</v>
      </c>
      <c r="J737" s="10">
        <v>0</v>
      </c>
    </row>
    <row r="738" spans="1:10" hidden="1">
      <c r="A738" s="10" t="s">
        <v>508</v>
      </c>
      <c r="B738" s="10" t="s">
        <v>488</v>
      </c>
      <c r="C738" s="10">
        <v>0.2</v>
      </c>
      <c r="D738" s="10">
        <v>0.2</v>
      </c>
      <c r="E738" s="10">
        <v>0.1</v>
      </c>
      <c r="F738" s="10">
        <v>0</v>
      </c>
      <c r="G738" s="10">
        <v>0</v>
      </c>
      <c r="H738" s="10">
        <v>0</v>
      </c>
      <c r="I738" s="10">
        <v>0</v>
      </c>
      <c r="J738" s="10">
        <v>0</v>
      </c>
    </row>
    <row r="739" spans="1:10" hidden="1">
      <c r="A739" s="10" t="s">
        <v>508</v>
      </c>
      <c r="B739" s="10" t="s">
        <v>489</v>
      </c>
      <c r="C739" s="10">
        <v>0.14399999999999999</v>
      </c>
      <c r="D739" s="10">
        <v>0.14399999999999999</v>
      </c>
      <c r="E739" s="10">
        <v>7.1999999999999995E-2</v>
      </c>
      <c r="F739" s="10">
        <v>0</v>
      </c>
      <c r="G739" s="10">
        <v>0</v>
      </c>
      <c r="H739" s="10">
        <v>0</v>
      </c>
      <c r="I739" s="10">
        <v>0</v>
      </c>
      <c r="J739" s="10">
        <v>0</v>
      </c>
    </row>
    <row r="740" spans="1:10" hidden="1">
      <c r="A740" s="10" t="s">
        <v>297</v>
      </c>
      <c r="B740" s="10" t="s">
        <v>475</v>
      </c>
      <c r="C740" s="10">
        <v>0.77303123733549517</v>
      </c>
      <c r="D740" s="10">
        <v>0.77303123733549517</v>
      </c>
      <c r="E740" s="10">
        <v>0.67788893120189575</v>
      </c>
      <c r="F740" s="10">
        <v>0.58274662506829633</v>
      </c>
      <c r="G740" s="10">
        <v>0.29137331253414817</v>
      </c>
      <c r="H740" s="10">
        <v>0</v>
      </c>
      <c r="I740" s="10">
        <v>0</v>
      </c>
      <c r="J740" s="10">
        <v>0</v>
      </c>
    </row>
    <row r="741" spans="1:10" hidden="1">
      <c r="A741" s="10" t="s">
        <v>297</v>
      </c>
      <c r="B741" s="10" t="s">
        <v>108</v>
      </c>
      <c r="C741" s="10">
        <v>0.2530789433601342</v>
      </c>
      <c r="D741" s="10">
        <v>0.2530789433601342</v>
      </c>
      <c r="E741" s="10">
        <v>0.1740542930619105</v>
      </c>
      <c r="F741" s="10">
        <v>9.5029642763686736E-2</v>
      </c>
      <c r="G741" s="10">
        <v>4.7514821381843368E-2</v>
      </c>
      <c r="H741" s="10">
        <v>0</v>
      </c>
      <c r="I741" s="10">
        <v>0</v>
      </c>
      <c r="J741" s="10">
        <v>0</v>
      </c>
    </row>
    <row r="742" spans="1:10" hidden="1">
      <c r="A742" s="10" t="s">
        <v>297</v>
      </c>
      <c r="B742" s="10" t="s">
        <v>481</v>
      </c>
      <c r="C742" s="10">
        <v>7.0832925362139108</v>
      </c>
      <c r="D742" s="10">
        <v>7.0832925362139108</v>
      </c>
      <c r="E742" s="10">
        <v>6.7885528383686475</v>
      </c>
      <c r="F742" s="10">
        <v>6.4938131405233825</v>
      </c>
      <c r="G742" s="10">
        <v>5.8078096405935744</v>
      </c>
      <c r="H742" s="10">
        <v>5.1218061406637654</v>
      </c>
      <c r="I742" s="10">
        <v>2.5609030703318827</v>
      </c>
      <c r="J742" s="10">
        <v>0</v>
      </c>
    </row>
    <row r="743" spans="1:10" hidden="1">
      <c r="A743" s="10" t="s">
        <v>297</v>
      </c>
      <c r="B743" s="10" t="s">
        <v>485</v>
      </c>
      <c r="C743" s="10">
        <v>0.34926226886663964</v>
      </c>
      <c r="D743" s="10">
        <v>0.34926226886663964</v>
      </c>
      <c r="E743" s="10">
        <v>0.17463113443331982</v>
      </c>
      <c r="F743" s="10">
        <v>0</v>
      </c>
      <c r="G743" s="10">
        <v>0</v>
      </c>
      <c r="H743" s="10">
        <v>0</v>
      </c>
      <c r="I743" s="10">
        <v>0</v>
      </c>
      <c r="J743" s="10">
        <v>0</v>
      </c>
    </row>
    <row r="744" spans="1:10" hidden="1">
      <c r="A744" s="57" t="s">
        <v>297</v>
      </c>
      <c r="B744" s="10" t="s">
        <v>142</v>
      </c>
      <c r="C744" s="10">
        <v>0</v>
      </c>
      <c r="D744" s="10">
        <v>0</v>
      </c>
      <c r="E744" s="10">
        <v>0</v>
      </c>
      <c r="F744" s="10">
        <v>0</v>
      </c>
      <c r="G744" s="10">
        <v>0</v>
      </c>
      <c r="H744" s="10">
        <v>0</v>
      </c>
      <c r="I744" s="10">
        <v>0</v>
      </c>
      <c r="J744" s="10">
        <v>0</v>
      </c>
    </row>
    <row r="745" spans="1:10" hidden="1">
      <c r="A745" s="58" t="s">
        <v>297</v>
      </c>
      <c r="B745" s="58" t="s">
        <v>243</v>
      </c>
      <c r="C745" s="58">
        <v>7.1747999999999994</v>
      </c>
      <c r="D745" s="58">
        <v>6.4573999999999998</v>
      </c>
      <c r="E745" s="58">
        <v>5.0045000000000002</v>
      </c>
      <c r="F745" s="58">
        <v>3.0026999999999999</v>
      </c>
      <c r="G745" s="58">
        <v>1.5014000000000001</v>
      </c>
      <c r="H745" s="58">
        <v>0.60060000000000002</v>
      </c>
      <c r="I745" s="58">
        <v>0.1202</v>
      </c>
      <c r="J745" s="58">
        <v>0</v>
      </c>
    </row>
    <row r="746" spans="1:10" hidden="1">
      <c r="A746" s="58" t="s">
        <v>297</v>
      </c>
      <c r="B746" s="58" t="s">
        <v>244</v>
      </c>
      <c r="C746" s="58">
        <v>1.536</v>
      </c>
      <c r="D746" s="58">
        <v>1.3824000000000001</v>
      </c>
      <c r="E746" s="58">
        <v>1.0713999999999999</v>
      </c>
      <c r="F746" s="58">
        <v>0.64290000000000003</v>
      </c>
      <c r="G746" s="58">
        <v>0.32150000000000001</v>
      </c>
      <c r="H746" s="58">
        <v>0.12859999999999999</v>
      </c>
      <c r="I746" s="58">
        <v>2.58E-2</v>
      </c>
      <c r="J746" s="58">
        <v>0</v>
      </c>
    </row>
    <row r="747" spans="1:10" hidden="1">
      <c r="A747" s="58" t="s">
        <v>297</v>
      </c>
      <c r="B747" s="58" t="s">
        <v>245</v>
      </c>
      <c r="C747" s="58">
        <v>8.5500000000000007E-2</v>
      </c>
      <c r="D747" s="58">
        <v>7.6999999999999999E-2</v>
      </c>
      <c r="E747" s="58">
        <v>5.9700000000000003E-2</v>
      </c>
      <c r="F747" s="58">
        <v>3.5900000000000001E-2</v>
      </c>
      <c r="G747" s="58">
        <v>1.7999999999999999E-2</v>
      </c>
      <c r="H747" s="58">
        <v>7.1999999999999998E-3</v>
      </c>
      <c r="I747" s="58">
        <v>1.5E-3</v>
      </c>
      <c r="J747" s="58">
        <v>0</v>
      </c>
    </row>
    <row r="748" spans="1:10" hidden="1">
      <c r="A748" s="58" t="s">
        <v>297</v>
      </c>
      <c r="B748" s="58" t="s">
        <v>217</v>
      </c>
      <c r="C748" s="58">
        <v>8.8400000000000006E-2</v>
      </c>
      <c r="D748" s="58">
        <v>7.9600000000000004E-2</v>
      </c>
      <c r="E748" s="58">
        <v>6.1700000000000005E-2</v>
      </c>
      <c r="F748" s="58">
        <v>3.7100000000000001E-2</v>
      </c>
      <c r="G748" s="58">
        <v>1.8599999999999998E-2</v>
      </c>
      <c r="H748" s="58">
        <v>7.5000000000000006E-3</v>
      </c>
      <c r="I748" s="58">
        <v>1.5E-3</v>
      </c>
      <c r="J748" s="58">
        <v>0</v>
      </c>
    </row>
    <row r="749" spans="1:10" hidden="1">
      <c r="A749" s="58" t="s">
        <v>297</v>
      </c>
      <c r="B749" s="58" t="s">
        <v>237</v>
      </c>
      <c r="C749" s="58">
        <v>3.8100000000000002E-2</v>
      </c>
      <c r="D749" s="58">
        <v>3.4300000000000004E-2</v>
      </c>
      <c r="E749" s="58">
        <v>2.6599999999999999E-2</v>
      </c>
      <c r="F749" s="58">
        <v>1.6E-2</v>
      </c>
      <c r="G749" s="58">
        <v>8.0000000000000002E-3</v>
      </c>
      <c r="H749" s="58">
        <v>3.2000000000000002E-3</v>
      </c>
      <c r="I749" s="58">
        <v>6.9999999999999999E-4</v>
      </c>
      <c r="J749" s="58">
        <v>0</v>
      </c>
    </row>
    <row r="750" spans="1:10" hidden="1">
      <c r="A750" s="58" t="s">
        <v>297</v>
      </c>
      <c r="B750" s="58" t="s">
        <v>226</v>
      </c>
      <c r="C750" s="58">
        <v>8.1855999999999991</v>
      </c>
      <c r="D750" s="58">
        <v>7.3670999999999998</v>
      </c>
      <c r="E750" s="58">
        <v>5.7096</v>
      </c>
      <c r="F750" s="58">
        <v>3.4258000000000002</v>
      </c>
      <c r="G750" s="58">
        <v>1.7129000000000001</v>
      </c>
      <c r="H750" s="58">
        <v>0.68520000000000003</v>
      </c>
      <c r="I750" s="58">
        <v>0.1371</v>
      </c>
      <c r="J750" s="58">
        <v>0</v>
      </c>
    </row>
    <row r="751" spans="1:10" hidden="1">
      <c r="A751" s="58" t="s">
        <v>297</v>
      </c>
      <c r="B751" s="58" t="s">
        <v>219</v>
      </c>
      <c r="C751" s="58">
        <v>2.07E-2</v>
      </c>
      <c r="D751" s="58">
        <v>1.8699999999999998E-2</v>
      </c>
      <c r="E751" s="58">
        <v>1.4499999999999999E-2</v>
      </c>
      <c r="F751" s="58">
        <v>8.6999999999999994E-3</v>
      </c>
      <c r="G751" s="58">
        <v>4.4000000000000003E-3</v>
      </c>
      <c r="H751" s="58">
        <v>1.8E-3</v>
      </c>
      <c r="I751" s="58">
        <v>3.9999999999999996E-4</v>
      </c>
      <c r="J751" s="58">
        <v>0</v>
      </c>
    </row>
    <row r="752" spans="1:10" hidden="1">
      <c r="A752" s="58" t="s">
        <v>297</v>
      </c>
      <c r="B752" s="58" t="s">
        <v>227</v>
      </c>
      <c r="C752" s="58">
        <v>0.4214</v>
      </c>
      <c r="D752" s="58">
        <v>0.37929999999999997</v>
      </c>
      <c r="E752" s="58">
        <v>0.29399999999999998</v>
      </c>
      <c r="F752" s="58">
        <v>0.1764</v>
      </c>
      <c r="G752" s="58">
        <v>8.8200000000000001E-2</v>
      </c>
      <c r="H752" s="58">
        <v>3.5300000000000005E-2</v>
      </c>
      <c r="I752" s="58">
        <v>7.1000000000000004E-3</v>
      </c>
      <c r="J752" s="58">
        <v>0</v>
      </c>
    </row>
    <row r="753" spans="1:10" hidden="1">
      <c r="A753" s="58" t="s">
        <v>297</v>
      </c>
      <c r="B753" s="58" t="s">
        <v>206</v>
      </c>
      <c r="C753" s="58">
        <v>0.79659999999999997</v>
      </c>
      <c r="D753" s="58">
        <v>0.71699999999999997</v>
      </c>
      <c r="E753" s="58">
        <v>0.55569999999999997</v>
      </c>
      <c r="F753" s="58">
        <v>0.33349999999999996</v>
      </c>
      <c r="G753" s="58">
        <v>0.16679999999999998</v>
      </c>
      <c r="H753" s="58">
        <v>6.6799999999999998E-2</v>
      </c>
      <c r="I753" s="58">
        <v>1.3399999999999999E-2</v>
      </c>
    </row>
    <row r="754" spans="1:10" hidden="1">
      <c r="A754" s="58" t="s">
        <v>297</v>
      </c>
      <c r="B754" s="58" t="s">
        <v>233</v>
      </c>
      <c r="C754" s="58">
        <v>0.88619999999999999</v>
      </c>
      <c r="D754" s="58">
        <v>0.79759999999999998</v>
      </c>
      <c r="E754" s="58">
        <v>0.61819999999999997</v>
      </c>
      <c r="F754" s="58">
        <v>0.371</v>
      </c>
      <c r="G754" s="58">
        <v>0.1855</v>
      </c>
      <c r="H754" s="58">
        <v>7.4200000000000002E-2</v>
      </c>
      <c r="I754" s="58">
        <v>1.49E-2</v>
      </c>
    </row>
    <row r="755" spans="1:10" hidden="1">
      <c r="A755" s="58" t="s">
        <v>297</v>
      </c>
      <c r="B755" s="58" t="s">
        <v>224</v>
      </c>
      <c r="C755" s="58">
        <v>52.877800000000001</v>
      </c>
      <c r="D755" s="58">
        <v>47.590100000000007</v>
      </c>
      <c r="E755" s="58">
        <v>36.882400000000004</v>
      </c>
      <c r="F755" s="58">
        <v>22.1295</v>
      </c>
      <c r="G755" s="58">
        <v>11.0648</v>
      </c>
      <c r="H755" s="58">
        <v>4.4260000000000002</v>
      </c>
      <c r="I755" s="58">
        <v>0.88519999999999999</v>
      </c>
    </row>
    <row r="756" spans="1:10" hidden="1">
      <c r="A756" s="58" t="s">
        <v>297</v>
      </c>
      <c r="B756" s="58" t="s">
        <v>207</v>
      </c>
      <c r="C756" s="58">
        <v>1.8E-3</v>
      </c>
      <c r="D756" s="58">
        <v>1.7000000000000001E-3</v>
      </c>
      <c r="E756" s="58">
        <v>1.4E-3</v>
      </c>
      <c r="F756" s="58">
        <v>9.0000000000000008E-4</v>
      </c>
      <c r="G756" s="58">
        <v>0</v>
      </c>
      <c r="H756" s="58">
        <v>0</v>
      </c>
      <c r="I756" s="58">
        <v>0</v>
      </c>
    </row>
    <row r="757" spans="1:10" hidden="1">
      <c r="A757" s="58" t="s">
        <v>297</v>
      </c>
      <c r="B757" s="58" t="s">
        <v>225</v>
      </c>
      <c r="C757" s="58">
        <v>0.28299999999999997</v>
      </c>
      <c r="D757" s="58">
        <v>0.25469999999999998</v>
      </c>
      <c r="E757" s="58">
        <v>0.19739999999999999</v>
      </c>
      <c r="F757" s="58">
        <v>0.11850000000000001</v>
      </c>
      <c r="G757" s="58">
        <v>5.9300000000000005E-2</v>
      </c>
      <c r="H757" s="58">
        <v>2.3799999999999998E-2</v>
      </c>
      <c r="I757" s="58">
        <v>4.8000000000000004E-3</v>
      </c>
    </row>
    <row r="758" spans="1:10" hidden="1">
      <c r="A758" s="58" t="s">
        <v>297</v>
      </c>
      <c r="B758" s="58" t="s">
        <v>228</v>
      </c>
      <c r="C758" s="58">
        <v>0.19849999999999998</v>
      </c>
      <c r="D758" s="58">
        <v>0.1787</v>
      </c>
      <c r="E758" s="58">
        <v>0.13849999999999998</v>
      </c>
      <c r="F758" s="58">
        <v>8.3099999999999993E-2</v>
      </c>
      <c r="G758" s="58">
        <v>4.1600000000000005E-2</v>
      </c>
      <c r="H758" s="58">
        <v>1.67E-2</v>
      </c>
      <c r="I758" s="58">
        <v>3.3999999999999998E-3</v>
      </c>
      <c r="J758" s="58">
        <v>0</v>
      </c>
    </row>
    <row r="759" spans="1:10" hidden="1">
      <c r="A759" s="58" t="s">
        <v>297</v>
      </c>
      <c r="B759" s="58" t="s">
        <v>230</v>
      </c>
      <c r="C759" s="58">
        <v>58.117200000000004</v>
      </c>
      <c r="D759" s="58">
        <v>52.305500000000002</v>
      </c>
      <c r="E759" s="58">
        <v>40.536800000000007</v>
      </c>
      <c r="F759" s="58">
        <v>24.322099999999999</v>
      </c>
      <c r="G759" s="58">
        <v>12.161099999999999</v>
      </c>
      <c r="H759" s="58">
        <v>4.8644999999999996</v>
      </c>
      <c r="I759" s="58">
        <v>0.97289999999999999</v>
      </c>
      <c r="J759" s="58">
        <v>0</v>
      </c>
    </row>
    <row r="760" spans="1:10" hidden="1">
      <c r="A760" s="58" t="s">
        <v>297</v>
      </c>
      <c r="B760" s="58" t="s">
        <v>229</v>
      </c>
      <c r="C760" s="58">
        <v>4.19E-2</v>
      </c>
      <c r="D760" s="58">
        <v>3.78E-2</v>
      </c>
      <c r="E760" s="58">
        <v>2.93E-2</v>
      </c>
      <c r="F760" s="58">
        <v>1.7600000000000001E-2</v>
      </c>
      <c r="G760" s="58">
        <v>8.8000000000000005E-3</v>
      </c>
      <c r="H760" s="58">
        <v>3.5999999999999999E-3</v>
      </c>
      <c r="I760" s="58">
        <v>8.0000000000000004E-4</v>
      </c>
      <c r="J760" s="58">
        <v>0</v>
      </c>
    </row>
    <row r="761" spans="1:10" hidden="1">
      <c r="A761" s="58" t="s">
        <v>297</v>
      </c>
      <c r="B761" s="58" t="s">
        <v>231</v>
      </c>
      <c r="C761" s="58">
        <v>3.2600000000000004E-2</v>
      </c>
      <c r="D761" s="58">
        <v>2.9399999999999999E-2</v>
      </c>
      <c r="E761" s="58">
        <v>2.2800000000000001E-2</v>
      </c>
      <c r="F761" s="58">
        <v>1.3699999999999999E-2</v>
      </c>
      <c r="G761" s="58">
        <v>6.8999999999999999E-3</v>
      </c>
      <c r="H761" s="58">
        <v>2.8E-3</v>
      </c>
      <c r="I761" s="58">
        <v>6.0000000000000006E-4</v>
      </c>
      <c r="J761" s="58">
        <v>0</v>
      </c>
    </row>
    <row r="762" spans="1:10" hidden="1">
      <c r="A762" s="58" t="s">
        <v>297</v>
      </c>
      <c r="B762" s="58" t="s">
        <v>240</v>
      </c>
      <c r="C762" s="58">
        <v>6.8900000000000003E-2</v>
      </c>
      <c r="D762" s="58">
        <v>6.2100000000000002E-2</v>
      </c>
      <c r="E762" s="58">
        <v>4.82E-2</v>
      </c>
      <c r="F762" s="58">
        <v>2.8999999999999998E-2</v>
      </c>
      <c r="G762" s="58">
        <v>1.4500000000000001E-2</v>
      </c>
      <c r="H762" s="58">
        <v>5.7999999999999996E-3</v>
      </c>
      <c r="I762" s="58">
        <v>1.2000000000000001E-3</v>
      </c>
      <c r="J762" s="58">
        <v>0</v>
      </c>
    </row>
    <row r="763" spans="1:10" hidden="1">
      <c r="A763" s="57" t="s">
        <v>297</v>
      </c>
      <c r="B763" s="10" t="s">
        <v>163</v>
      </c>
      <c r="C763" s="10">
        <v>1.468</v>
      </c>
      <c r="D763" s="10">
        <v>1.101</v>
      </c>
      <c r="E763" s="10">
        <v>0.82574999999999998</v>
      </c>
      <c r="F763" s="10">
        <v>0.61931249999999993</v>
      </c>
      <c r="G763" s="10">
        <v>0.46448437499999995</v>
      </c>
      <c r="H763" s="10">
        <v>0</v>
      </c>
      <c r="I763" s="10">
        <v>0</v>
      </c>
      <c r="J763" s="10">
        <v>0</v>
      </c>
    </row>
    <row r="764" spans="1:10" hidden="1">
      <c r="A764" s="57" t="s">
        <v>297</v>
      </c>
      <c r="B764" s="10" t="s">
        <v>107</v>
      </c>
      <c r="C764" s="10">
        <v>5.66</v>
      </c>
      <c r="D764" s="10">
        <v>5.66</v>
      </c>
      <c r="E764" s="10">
        <v>4.4037731196054253</v>
      </c>
      <c r="F764" s="10">
        <v>3.6535265104808872</v>
      </c>
      <c r="G764" s="10">
        <v>2.9149116317303738</v>
      </c>
      <c r="H764" s="10">
        <v>2.4193999177969587</v>
      </c>
      <c r="I764" s="10">
        <v>0.93053842992190705</v>
      </c>
      <c r="J764" s="10">
        <v>0.93053842992190705</v>
      </c>
    </row>
    <row r="765" spans="1:10" hidden="1">
      <c r="A765" s="57" t="s">
        <v>297</v>
      </c>
      <c r="B765" s="10" t="s">
        <v>106</v>
      </c>
      <c r="C765" s="10">
        <v>0</v>
      </c>
      <c r="D765" s="10">
        <v>0</v>
      </c>
      <c r="E765" s="10">
        <v>0</v>
      </c>
      <c r="F765" s="10">
        <v>0</v>
      </c>
      <c r="G765" s="10">
        <v>0</v>
      </c>
      <c r="H765" s="10">
        <v>0</v>
      </c>
      <c r="I765" s="10">
        <v>0</v>
      </c>
      <c r="J765" s="10">
        <v>0</v>
      </c>
    </row>
    <row r="766" spans="1:10" hidden="1">
      <c r="A766" s="57" t="s">
        <v>297</v>
      </c>
      <c r="B766" s="10" t="s">
        <v>22</v>
      </c>
      <c r="C766" s="10">
        <v>19.64</v>
      </c>
      <c r="D766" s="10">
        <v>18.012723770456017</v>
      </c>
      <c r="E766" s="10">
        <v>17.309327441547254</v>
      </c>
      <c r="F766" s="10">
        <v>15.286741235559633</v>
      </c>
      <c r="G766" s="10">
        <v>13.009654973132518</v>
      </c>
      <c r="H766" s="10">
        <v>8.7339541298357659</v>
      </c>
      <c r="I766" s="10">
        <v>7.4568132702914838</v>
      </c>
      <c r="J766" s="10">
        <v>4.1411334242927333</v>
      </c>
    </row>
    <row r="767" spans="1:10" hidden="1">
      <c r="A767" s="10" t="s">
        <v>297</v>
      </c>
      <c r="B767" s="10" t="s">
        <v>488</v>
      </c>
      <c r="C767" s="10">
        <v>12.50835</v>
      </c>
      <c r="D767" s="10">
        <v>12.50835</v>
      </c>
      <c r="E767" s="10">
        <v>11.57640296404276</v>
      </c>
      <c r="F767" s="10">
        <v>10.64445592808552</v>
      </c>
      <c r="G767" s="10">
        <v>8.284198760932945</v>
      </c>
      <c r="H767" s="10">
        <v>5.923941593780369</v>
      </c>
      <c r="I767" s="10">
        <v>2.9619707968901845</v>
      </c>
      <c r="J767" s="10">
        <v>0</v>
      </c>
    </row>
    <row r="768" spans="1:10" hidden="1">
      <c r="A768" s="10" t="s">
        <v>297</v>
      </c>
      <c r="B768" s="10" t="s">
        <v>489</v>
      </c>
      <c r="C768" s="10">
        <v>0.64200000000000002</v>
      </c>
      <c r="D768" s="10">
        <v>0.64200000000000002</v>
      </c>
      <c r="E768" s="10">
        <v>0.46700000000000003</v>
      </c>
      <c r="F768" s="10">
        <v>0.29200000000000004</v>
      </c>
      <c r="G768" s="10">
        <v>0.29200000000000004</v>
      </c>
      <c r="H768" s="10">
        <v>0.29200000000000004</v>
      </c>
      <c r="I768" s="10">
        <v>0.14600000000000002</v>
      </c>
      <c r="J768" s="10">
        <v>0</v>
      </c>
    </row>
    <row r="769" spans="1:10" hidden="1">
      <c r="A769" s="10" t="s">
        <v>297</v>
      </c>
      <c r="B769" s="10" t="s">
        <v>490</v>
      </c>
      <c r="C769" s="10">
        <v>0.40114</v>
      </c>
      <c r="D769" s="10">
        <v>0.40114</v>
      </c>
      <c r="E769" s="10">
        <v>0.37125266601878848</v>
      </c>
      <c r="F769" s="10">
        <v>0.34136533203757691</v>
      </c>
      <c r="G769" s="10">
        <v>0.2656724101068999</v>
      </c>
      <c r="H769" s="10">
        <v>0.18997948817622284</v>
      </c>
      <c r="I769" s="10">
        <v>9.4989744088111422E-2</v>
      </c>
      <c r="J769" s="10">
        <v>0</v>
      </c>
    </row>
    <row r="770" spans="1:10" hidden="1">
      <c r="A770" s="57" t="s">
        <v>297</v>
      </c>
      <c r="B770" s="10" t="s">
        <v>23</v>
      </c>
      <c r="C770" s="10">
        <v>0.48599999999999999</v>
      </c>
      <c r="D770" s="10">
        <v>0.48599999999999999</v>
      </c>
      <c r="E770" s="10">
        <v>0</v>
      </c>
      <c r="F770" s="10">
        <v>0</v>
      </c>
      <c r="G770" s="10">
        <v>0</v>
      </c>
      <c r="H770" s="10">
        <v>0</v>
      </c>
      <c r="I770" s="10">
        <v>0</v>
      </c>
      <c r="J770" s="10">
        <v>0</v>
      </c>
    </row>
    <row r="771" spans="1:10" hidden="1">
      <c r="A771" s="57" t="s">
        <v>297</v>
      </c>
      <c r="B771" s="10" t="s">
        <v>58</v>
      </c>
      <c r="C771" s="10">
        <v>1.5449999999999999</v>
      </c>
      <c r="D771" s="10">
        <v>1.5449999999999999</v>
      </c>
      <c r="E771" s="10">
        <v>1.5449999999999999</v>
      </c>
      <c r="F771" s="10">
        <v>1.5449999999999999</v>
      </c>
      <c r="G771" s="10">
        <v>0</v>
      </c>
      <c r="H771" s="10">
        <v>0</v>
      </c>
      <c r="I771" s="10">
        <v>0</v>
      </c>
      <c r="J771" s="10">
        <v>0</v>
      </c>
    </row>
    <row r="772" spans="1:10" hidden="1">
      <c r="A772" s="58" t="s">
        <v>297</v>
      </c>
      <c r="B772" s="58" t="s">
        <v>102</v>
      </c>
      <c r="C772" s="58">
        <v>0</v>
      </c>
      <c r="D772" s="58">
        <v>0</v>
      </c>
      <c r="E772" s="58">
        <v>0</v>
      </c>
      <c r="F772" s="58">
        <v>0</v>
      </c>
      <c r="G772" s="58">
        <v>0</v>
      </c>
      <c r="H772" s="58">
        <v>0</v>
      </c>
      <c r="I772" s="58">
        <v>0</v>
      </c>
      <c r="J772" s="58">
        <v>0</v>
      </c>
    </row>
    <row r="773" spans="1:10" hidden="1">
      <c r="A773" s="57" t="s">
        <v>297</v>
      </c>
      <c r="B773" s="10" t="s">
        <v>103</v>
      </c>
      <c r="C773" s="10">
        <v>3.7999999999999999E-2</v>
      </c>
      <c r="D773" s="10">
        <v>3.7999999999999999E-2</v>
      </c>
      <c r="E773" s="10">
        <v>3.7999999999999999E-2</v>
      </c>
      <c r="F773" s="10">
        <v>3.7999999999999999E-2</v>
      </c>
      <c r="G773" s="10">
        <v>3.7999999999999999E-2</v>
      </c>
      <c r="H773" s="10">
        <v>3.7999999999999999E-2</v>
      </c>
      <c r="I773" s="10">
        <v>3.7999999999999999E-2</v>
      </c>
      <c r="J773" s="10">
        <v>3.7999999999999999E-2</v>
      </c>
    </row>
    <row r="774" spans="1:10" hidden="1">
      <c r="A774" s="57" t="s">
        <v>297</v>
      </c>
      <c r="B774" s="10" t="s">
        <v>94</v>
      </c>
      <c r="C774" s="10">
        <v>4.181</v>
      </c>
      <c r="D774" s="10">
        <v>4.181</v>
      </c>
      <c r="E774" s="10">
        <v>4.181</v>
      </c>
      <c r="F774" s="10">
        <v>4.181</v>
      </c>
      <c r="G774" s="10">
        <v>4.181</v>
      </c>
      <c r="H774" s="10">
        <v>0</v>
      </c>
      <c r="I774" s="10">
        <v>0</v>
      </c>
      <c r="J774" s="10">
        <v>0</v>
      </c>
    </row>
    <row r="775" spans="1:10" hidden="1">
      <c r="A775" s="57" t="s">
        <v>297</v>
      </c>
      <c r="B775" s="10" t="s">
        <v>170</v>
      </c>
      <c r="C775" s="10">
        <v>1.1000000000000001</v>
      </c>
      <c r="D775" s="10">
        <v>1.1000000000000001</v>
      </c>
      <c r="E775" s="10">
        <v>1.1000000000000001</v>
      </c>
      <c r="F775" s="10">
        <v>0.34639871382636656</v>
      </c>
      <c r="G775" s="10">
        <v>0</v>
      </c>
      <c r="H775" s="10">
        <v>0</v>
      </c>
      <c r="I775" s="10">
        <v>0</v>
      </c>
      <c r="J775" s="10">
        <v>0</v>
      </c>
    </row>
    <row r="776" spans="1:10" hidden="1">
      <c r="A776" s="57" t="s">
        <v>297</v>
      </c>
      <c r="B776" s="10" t="s">
        <v>97</v>
      </c>
      <c r="C776" s="10">
        <v>3.4</v>
      </c>
      <c r="D776" s="10">
        <v>3.4</v>
      </c>
      <c r="E776" s="10">
        <v>3.4</v>
      </c>
      <c r="F776" s="10">
        <v>1.7169554925706851</v>
      </c>
      <c r="G776" s="10">
        <v>0.90105038814490379</v>
      </c>
      <c r="H776" s="10">
        <v>0</v>
      </c>
      <c r="I776" s="10">
        <v>0</v>
      </c>
      <c r="J776" s="10">
        <v>0</v>
      </c>
    </row>
    <row r="777" spans="1:10" hidden="1">
      <c r="A777" s="61" t="s">
        <v>297</v>
      </c>
      <c r="B777" s="62" t="s">
        <v>339</v>
      </c>
      <c r="C777" s="10">
        <v>12</v>
      </c>
      <c r="D777" s="10">
        <v>12</v>
      </c>
      <c r="E777" s="10">
        <v>12</v>
      </c>
      <c r="F777" s="10">
        <v>12</v>
      </c>
      <c r="G777" s="10">
        <v>12</v>
      </c>
      <c r="H777" s="10">
        <v>12</v>
      </c>
      <c r="I777" s="10">
        <v>12</v>
      </c>
      <c r="J777" s="10">
        <v>12</v>
      </c>
    </row>
    <row r="778" spans="1:10" hidden="1">
      <c r="A778" s="79" t="s">
        <v>298</v>
      </c>
      <c r="B778" s="79" t="s">
        <v>475</v>
      </c>
      <c r="C778" s="79">
        <v>5.3999999999999999E-2</v>
      </c>
      <c r="D778" s="10">
        <v>5.3999999999999999E-2</v>
      </c>
      <c r="E778" s="10">
        <v>2.7E-2</v>
      </c>
      <c r="F778" s="10">
        <v>0</v>
      </c>
      <c r="G778" s="10">
        <v>0</v>
      </c>
      <c r="H778" s="10">
        <v>0</v>
      </c>
      <c r="I778" s="10">
        <v>0</v>
      </c>
      <c r="J778" s="10">
        <v>0</v>
      </c>
    </row>
    <row r="779" spans="1:10" hidden="1">
      <c r="A779" s="79" t="s">
        <v>298</v>
      </c>
      <c r="B779" s="79" t="s">
        <v>481</v>
      </c>
      <c r="C779" s="79">
        <v>0.37</v>
      </c>
      <c r="D779" s="10">
        <v>0.37</v>
      </c>
      <c r="E779" s="10">
        <v>0.185</v>
      </c>
      <c r="F779" s="10">
        <v>0</v>
      </c>
      <c r="G779" s="10">
        <v>0</v>
      </c>
      <c r="H779" s="10">
        <v>0</v>
      </c>
      <c r="I779" s="10">
        <v>0</v>
      </c>
      <c r="J779" s="10">
        <v>0</v>
      </c>
    </row>
    <row r="780" spans="1:10" hidden="1">
      <c r="A780" s="57" t="s">
        <v>298</v>
      </c>
      <c r="B780" s="10" t="s">
        <v>142</v>
      </c>
      <c r="C780" s="10">
        <v>1.3</v>
      </c>
      <c r="D780" s="10">
        <v>1.3</v>
      </c>
      <c r="E780" s="10">
        <v>1.3</v>
      </c>
      <c r="F780" s="10">
        <v>1.3</v>
      </c>
      <c r="G780" s="10">
        <v>1.3</v>
      </c>
      <c r="H780" s="10">
        <v>1.3</v>
      </c>
      <c r="I780" s="10">
        <v>1.3</v>
      </c>
      <c r="J780" s="10">
        <v>1.3</v>
      </c>
    </row>
    <row r="781" spans="1:10" hidden="1">
      <c r="A781" s="58" t="s">
        <v>298</v>
      </c>
      <c r="B781" s="58" t="s">
        <v>243</v>
      </c>
      <c r="C781" s="58">
        <v>13.586499999999999</v>
      </c>
      <c r="D781" s="58">
        <v>12.2279</v>
      </c>
      <c r="E781" s="58">
        <v>9.4766999999999992</v>
      </c>
      <c r="F781" s="58">
        <v>5.6860999999999997</v>
      </c>
      <c r="G781" s="58">
        <v>2.8431000000000002</v>
      </c>
      <c r="H781" s="58">
        <v>1.1373</v>
      </c>
      <c r="I781" s="58">
        <v>0.22749999999999998</v>
      </c>
      <c r="J781" s="58">
        <v>0</v>
      </c>
    </row>
    <row r="782" spans="1:10" hidden="1">
      <c r="A782" s="58" t="s">
        <v>298</v>
      </c>
      <c r="B782" s="58" t="s">
        <v>244</v>
      </c>
      <c r="C782" s="58">
        <v>0.17609999999999998</v>
      </c>
      <c r="D782" s="58">
        <v>0.1585</v>
      </c>
      <c r="E782" s="58">
        <v>0.12290000000000001</v>
      </c>
      <c r="F782" s="58">
        <v>7.3800000000000004E-2</v>
      </c>
      <c r="G782" s="58">
        <v>3.6900000000000002E-2</v>
      </c>
      <c r="H782" s="58">
        <v>1.4799999999999999E-2</v>
      </c>
      <c r="I782" s="58">
        <v>2.9999999999999996E-3</v>
      </c>
      <c r="J782" s="58">
        <v>0</v>
      </c>
    </row>
    <row r="783" spans="1:10" hidden="1">
      <c r="A783" s="58" t="s">
        <v>298</v>
      </c>
      <c r="B783" s="58" t="s">
        <v>245</v>
      </c>
      <c r="C783" s="58">
        <v>0.36499999999999999</v>
      </c>
      <c r="D783" s="58">
        <v>0.32850000000000001</v>
      </c>
      <c r="E783" s="58">
        <v>0.25459999999999999</v>
      </c>
      <c r="F783" s="58">
        <v>0.15279999999999999</v>
      </c>
      <c r="G783" s="58">
        <v>7.6399999999999996E-2</v>
      </c>
      <c r="H783" s="58">
        <v>3.0599999999999999E-2</v>
      </c>
      <c r="I783" s="58">
        <v>6.2000000000000006E-3</v>
      </c>
      <c r="J783" s="58">
        <v>0</v>
      </c>
    </row>
    <row r="784" spans="1:10" hidden="1">
      <c r="A784" s="58" t="s">
        <v>298</v>
      </c>
      <c r="B784" s="58" t="s">
        <v>217</v>
      </c>
      <c r="C784" s="58">
        <v>9.3700000000000006E-2</v>
      </c>
      <c r="D784" s="58">
        <v>8.4400000000000003E-2</v>
      </c>
      <c r="E784" s="58">
        <v>6.5500000000000003E-2</v>
      </c>
      <c r="F784" s="58">
        <v>3.9300000000000002E-2</v>
      </c>
      <c r="G784" s="58">
        <v>1.9699999999999999E-2</v>
      </c>
      <c r="H784" s="58">
        <v>7.899999999999999E-3</v>
      </c>
      <c r="I784" s="58">
        <v>1.6000000000000001E-3</v>
      </c>
      <c r="J784" s="58">
        <v>0</v>
      </c>
    </row>
    <row r="785" spans="1:10" hidden="1">
      <c r="A785" s="58" t="s">
        <v>298</v>
      </c>
      <c r="B785" s="58" t="s">
        <v>237</v>
      </c>
      <c r="C785" s="58">
        <v>3.3300000000000003E-2</v>
      </c>
      <c r="D785" s="58">
        <v>0.03</v>
      </c>
      <c r="E785" s="58">
        <v>2.3299999999999998E-2</v>
      </c>
      <c r="F785" s="58">
        <v>1.3999999999999999E-2</v>
      </c>
      <c r="G785" s="58">
        <v>7.0000000000000001E-3</v>
      </c>
      <c r="H785" s="58">
        <v>2.8E-3</v>
      </c>
      <c r="I785" s="58">
        <v>6.0000000000000006E-4</v>
      </c>
      <c r="J785" s="58">
        <v>0</v>
      </c>
    </row>
    <row r="786" spans="1:10" hidden="1">
      <c r="A786" s="58" t="s">
        <v>298</v>
      </c>
      <c r="B786" s="58" t="s">
        <v>226</v>
      </c>
      <c r="C786" s="58">
        <v>1.4556</v>
      </c>
      <c r="D786" s="58">
        <v>1.3101</v>
      </c>
      <c r="E786" s="58">
        <v>1.0154000000000001</v>
      </c>
      <c r="F786" s="58">
        <v>0.60929999999999995</v>
      </c>
      <c r="G786" s="58">
        <v>0.30469999999999997</v>
      </c>
      <c r="H786" s="58">
        <v>0.12190000000000001</v>
      </c>
      <c r="I786" s="58">
        <v>2.4399999999999998E-2</v>
      </c>
      <c r="J786" s="58">
        <v>0</v>
      </c>
    </row>
    <row r="787" spans="1:10" hidden="1">
      <c r="A787" s="58" t="s">
        <v>298</v>
      </c>
      <c r="B787" s="58" t="s">
        <v>227</v>
      </c>
      <c r="C787" s="58">
        <v>0.18359999999999999</v>
      </c>
      <c r="D787" s="58">
        <v>0.1653</v>
      </c>
      <c r="E787" s="58">
        <v>0.12819999999999998</v>
      </c>
      <c r="F787" s="58">
        <v>7.6999999999999999E-2</v>
      </c>
      <c r="G787" s="58">
        <v>3.85E-2</v>
      </c>
      <c r="H787" s="58">
        <v>1.54E-2</v>
      </c>
      <c r="I787" s="58">
        <v>3.0999999999999999E-3</v>
      </c>
      <c r="J787" s="58">
        <v>0</v>
      </c>
    </row>
    <row r="788" spans="1:10" hidden="1">
      <c r="A788" s="58" t="s">
        <v>298</v>
      </c>
      <c r="B788" s="58" t="s">
        <v>206</v>
      </c>
      <c r="C788" s="58">
        <v>0.71389999999999998</v>
      </c>
      <c r="D788" s="58">
        <v>0.64259999999999995</v>
      </c>
      <c r="E788" s="58">
        <v>0.49809999999999999</v>
      </c>
      <c r="F788" s="58">
        <v>0.2989</v>
      </c>
      <c r="G788" s="58">
        <v>0.14949999999999999</v>
      </c>
      <c r="H788" s="58">
        <v>5.9799999999999999E-2</v>
      </c>
      <c r="I788" s="58">
        <v>1.2E-2</v>
      </c>
    </row>
    <row r="789" spans="1:10" hidden="1">
      <c r="A789" s="58" t="s">
        <v>298</v>
      </c>
      <c r="B789" s="58" t="s">
        <v>224</v>
      </c>
      <c r="C789" s="58">
        <v>0.253</v>
      </c>
      <c r="D789" s="58">
        <v>0.253</v>
      </c>
      <c r="E789" s="58">
        <v>0.253</v>
      </c>
      <c r="F789" s="58">
        <v>0.253</v>
      </c>
      <c r="G789" s="58">
        <v>0.253</v>
      </c>
      <c r="H789" s="58">
        <v>0.253</v>
      </c>
      <c r="I789" s="58">
        <v>0</v>
      </c>
    </row>
    <row r="790" spans="1:10" hidden="1">
      <c r="A790" s="58" t="s">
        <v>298</v>
      </c>
      <c r="B790" s="58" t="s">
        <v>225</v>
      </c>
      <c r="C790" s="58">
        <v>0.42699999999999999</v>
      </c>
      <c r="D790" s="58">
        <v>0.29430000000000001</v>
      </c>
      <c r="E790" s="58">
        <v>0.2281</v>
      </c>
      <c r="F790" s="58">
        <v>0.13689999999999999</v>
      </c>
      <c r="G790" s="58">
        <v>6.8500000000000005E-2</v>
      </c>
      <c r="H790" s="58">
        <v>2.7400000000000001E-2</v>
      </c>
      <c r="I790" s="58">
        <v>5.5000000000000005E-3</v>
      </c>
    </row>
    <row r="791" spans="1:10" hidden="1">
      <c r="A791" s="58" t="s">
        <v>298</v>
      </c>
      <c r="B791" s="58" t="s">
        <v>233</v>
      </c>
      <c r="C791" s="58">
        <v>8.8000000000000007</v>
      </c>
      <c r="D791" s="58">
        <v>7.5138173302107703</v>
      </c>
      <c r="E791" s="58">
        <v>6.7735362997658104</v>
      </c>
      <c r="F791" s="58">
        <v>4.56487119437939</v>
      </c>
      <c r="G791" s="58">
        <v>3.2833723653395799</v>
      </c>
      <c r="H791" s="58">
        <v>2.5133489461358298</v>
      </c>
      <c r="I791" s="58">
        <v>1.10304449648711</v>
      </c>
    </row>
    <row r="792" spans="1:10" hidden="1">
      <c r="A792" s="58" t="s">
        <v>298</v>
      </c>
      <c r="B792" s="58" t="s">
        <v>228</v>
      </c>
      <c r="C792" s="58">
        <v>6.4299999999999996E-2</v>
      </c>
      <c r="D792" s="58">
        <v>5.79E-2</v>
      </c>
      <c r="E792" s="58">
        <v>4.4900000000000002E-2</v>
      </c>
      <c r="F792" s="58">
        <v>2.7E-2</v>
      </c>
      <c r="G792" s="58">
        <v>1.35E-2</v>
      </c>
      <c r="H792" s="58">
        <v>5.4000000000000003E-3</v>
      </c>
      <c r="I792" s="58">
        <v>1.1000000000000001E-3</v>
      </c>
      <c r="J792" s="58">
        <v>0</v>
      </c>
    </row>
    <row r="793" spans="1:10" hidden="1">
      <c r="A793" s="58" t="s">
        <v>298</v>
      </c>
      <c r="B793" s="58" t="s">
        <v>230</v>
      </c>
      <c r="C793" s="58">
        <v>1.4997</v>
      </c>
      <c r="D793" s="58">
        <v>1.3497999999999999</v>
      </c>
      <c r="E793" s="58">
        <v>1.0461</v>
      </c>
      <c r="F793" s="58">
        <v>0.62770000000000004</v>
      </c>
      <c r="G793" s="58">
        <v>0.31390000000000001</v>
      </c>
      <c r="H793" s="58">
        <v>0.12559999999999999</v>
      </c>
      <c r="I793" s="58">
        <v>2.52E-2</v>
      </c>
      <c r="J793" s="58">
        <v>0</v>
      </c>
    </row>
    <row r="794" spans="1:10" hidden="1">
      <c r="A794" s="58" t="s">
        <v>298</v>
      </c>
      <c r="B794" s="58" t="s">
        <v>229</v>
      </c>
      <c r="C794" s="58">
        <v>0.13339999999999999</v>
      </c>
      <c r="D794" s="58">
        <v>0.1201</v>
      </c>
      <c r="E794" s="58">
        <v>9.3100000000000002E-2</v>
      </c>
      <c r="F794" s="58">
        <v>5.5900000000000005E-2</v>
      </c>
      <c r="G794" s="58">
        <v>2.8000000000000001E-2</v>
      </c>
      <c r="H794" s="58">
        <v>1.12E-2</v>
      </c>
      <c r="I794" s="58">
        <v>2.3E-3</v>
      </c>
      <c r="J794" s="58">
        <v>0</v>
      </c>
    </row>
    <row r="795" spans="1:10" hidden="1">
      <c r="A795" s="58" t="s">
        <v>298</v>
      </c>
      <c r="B795" s="58" t="s">
        <v>231</v>
      </c>
      <c r="C795" s="58">
        <v>6.0600000000000001E-2</v>
      </c>
      <c r="D795" s="58">
        <v>5.4600000000000003E-2</v>
      </c>
      <c r="E795" s="58">
        <v>4.24E-2</v>
      </c>
      <c r="F795" s="58">
        <v>2.5499999999999998E-2</v>
      </c>
      <c r="G795" s="58">
        <v>1.2799999999999999E-2</v>
      </c>
      <c r="H795" s="58">
        <v>5.2000000000000006E-3</v>
      </c>
      <c r="I795" s="58">
        <v>1.1000000000000001E-3</v>
      </c>
      <c r="J795" s="58">
        <v>0</v>
      </c>
    </row>
    <row r="796" spans="1:10" hidden="1">
      <c r="A796" s="58" t="s">
        <v>298</v>
      </c>
      <c r="B796" s="58" t="s">
        <v>240</v>
      </c>
      <c r="C796" s="58">
        <v>8.199999999999999E-3</v>
      </c>
      <c r="D796" s="58">
        <v>7.4000000000000003E-3</v>
      </c>
      <c r="E796" s="58">
        <v>5.8000000000000005E-3</v>
      </c>
      <c r="F796" s="58">
        <v>3.4999999999999996E-3</v>
      </c>
      <c r="G796" s="58">
        <v>1.8E-3</v>
      </c>
      <c r="H796" s="58">
        <v>8.0000000000000004E-4</v>
      </c>
      <c r="I796" s="58">
        <v>0</v>
      </c>
      <c r="J796" s="58">
        <v>0</v>
      </c>
    </row>
    <row r="797" spans="1:10" hidden="1">
      <c r="A797" s="57" t="s">
        <v>298</v>
      </c>
      <c r="B797" s="10" t="s">
        <v>163</v>
      </c>
      <c r="C797" s="10">
        <v>0.55000000000000004</v>
      </c>
      <c r="D797" s="10">
        <v>0.41250000000000003</v>
      </c>
      <c r="E797" s="10">
        <v>0.30937500000000001</v>
      </c>
      <c r="F797" s="10">
        <v>0.23203125000000002</v>
      </c>
      <c r="G797" s="10">
        <v>0.17402343750000002</v>
      </c>
      <c r="H797" s="10">
        <v>0</v>
      </c>
      <c r="I797" s="10">
        <v>0</v>
      </c>
      <c r="J797" s="10">
        <v>0</v>
      </c>
    </row>
    <row r="798" spans="1:10" hidden="1">
      <c r="A798" s="57" t="s">
        <v>298</v>
      </c>
      <c r="B798" s="10" t="s">
        <v>107</v>
      </c>
      <c r="C798" s="10">
        <v>0</v>
      </c>
      <c r="D798" s="10">
        <v>0</v>
      </c>
      <c r="E798" s="10">
        <v>0</v>
      </c>
      <c r="F798" s="10">
        <v>0</v>
      </c>
      <c r="G798" s="10">
        <v>0</v>
      </c>
      <c r="H798" s="10">
        <v>0</v>
      </c>
      <c r="I798" s="10">
        <v>0</v>
      </c>
      <c r="J798" s="10">
        <v>0</v>
      </c>
    </row>
    <row r="799" spans="1:10" hidden="1">
      <c r="A799" s="57" t="s">
        <v>298</v>
      </c>
      <c r="B799" s="10" t="s">
        <v>106</v>
      </c>
      <c r="C799" s="10">
        <v>0</v>
      </c>
      <c r="D799" s="10">
        <v>0</v>
      </c>
      <c r="E799" s="10">
        <v>0</v>
      </c>
      <c r="F799" s="10">
        <v>0</v>
      </c>
      <c r="G799" s="10">
        <v>0</v>
      </c>
      <c r="H799" s="10">
        <v>0</v>
      </c>
      <c r="I799" s="10">
        <v>0</v>
      </c>
      <c r="J799" s="10">
        <v>0</v>
      </c>
    </row>
    <row r="800" spans="1:10" hidden="1">
      <c r="A800" s="57" t="s">
        <v>298</v>
      </c>
      <c r="B800" s="10" t="s">
        <v>22</v>
      </c>
      <c r="C800" s="10">
        <v>1.2</v>
      </c>
      <c r="D800" s="10">
        <v>1.1986305740770413</v>
      </c>
      <c r="E800" s="10">
        <v>1.1545624478762258</v>
      </c>
      <c r="F800" s="10">
        <v>1.1106586527861655</v>
      </c>
      <c r="G800" s="10">
        <v>1.1105078333445169</v>
      </c>
      <c r="H800" s="10">
        <v>1.109146623977096</v>
      </c>
      <c r="I800" s="10">
        <v>1.1017488025511493</v>
      </c>
      <c r="J800" s="10">
        <v>5.3681496179986382E-2</v>
      </c>
    </row>
    <row r="801" spans="1:10" hidden="1">
      <c r="A801" s="10" t="s">
        <v>298</v>
      </c>
      <c r="B801" s="10" t="s">
        <v>488</v>
      </c>
      <c r="C801" s="10">
        <v>0</v>
      </c>
      <c r="D801" s="10">
        <v>0</v>
      </c>
      <c r="E801" s="10">
        <v>0</v>
      </c>
      <c r="F801" s="10">
        <v>0</v>
      </c>
      <c r="G801" s="10">
        <v>0</v>
      </c>
      <c r="H801" s="10">
        <v>0</v>
      </c>
      <c r="I801" s="10">
        <v>0</v>
      </c>
      <c r="J801" s="10">
        <v>0</v>
      </c>
    </row>
    <row r="802" spans="1:10" hidden="1">
      <c r="A802" s="10" t="s">
        <v>298</v>
      </c>
      <c r="B802" s="10" t="s">
        <v>490</v>
      </c>
      <c r="C802" s="10">
        <v>0.42599999999999999</v>
      </c>
      <c r="D802" s="10">
        <v>0.42599999999999999</v>
      </c>
      <c r="E802" s="10">
        <v>0.21299999999999999</v>
      </c>
      <c r="F802" s="10">
        <v>0</v>
      </c>
      <c r="G802" s="10">
        <v>0</v>
      </c>
      <c r="H802" s="10">
        <v>0</v>
      </c>
      <c r="I802" s="10">
        <v>0</v>
      </c>
      <c r="J802" s="10">
        <v>0</v>
      </c>
    </row>
    <row r="803" spans="1:10" hidden="1">
      <c r="A803" s="57" t="s">
        <v>298</v>
      </c>
      <c r="B803" s="10" t="s">
        <v>23</v>
      </c>
      <c r="C803" s="10">
        <v>0</v>
      </c>
      <c r="D803" s="10">
        <v>0</v>
      </c>
      <c r="E803" s="10">
        <v>0</v>
      </c>
      <c r="F803" s="10">
        <v>0</v>
      </c>
      <c r="G803" s="10">
        <v>0</v>
      </c>
      <c r="H803" s="10">
        <v>0</v>
      </c>
      <c r="I803" s="10">
        <v>0</v>
      </c>
      <c r="J803" s="10">
        <v>0</v>
      </c>
    </row>
    <row r="804" spans="1:10" hidden="1">
      <c r="A804" s="57" t="s">
        <v>298</v>
      </c>
      <c r="B804" s="10" t="s">
        <v>58</v>
      </c>
      <c r="C804" s="10">
        <v>0</v>
      </c>
      <c r="D804" s="10">
        <v>0</v>
      </c>
      <c r="E804" s="10">
        <v>0</v>
      </c>
      <c r="F804" s="10">
        <v>0</v>
      </c>
      <c r="G804" s="10">
        <v>0</v>
      </c>
      <c r="H804" s="10">
        <v>0</v>
      </c>
      <c r="I804" s="10">
        <v>0</v>
      </c>
      <c r="J804" s="10">
        <v>0</v>
      </c>
    </row>
    <row r="805" spans="1:10" hidden="1">
      <c r="A805" s="58" t="s">
        <v>298</v>
      </c>
      <c r="B805" s="58" t="s">
        <v>102</v>
      </c>
      <c r="C805" s="58">
        <v>24.475189050000001</v>
      </c>
      <c r="D805" s="58">
        <v>24.475189050000001</v>
      </c>
      <c r="E805" s="58">
        <v>24.475189050000001</v>
      </c>
      <c r="F805" s="58">
        <v>24.475189050000001</v>
      </c>
      <c r="G805" s="58">
        <v>24.475189050000001</v>
      </c>
      <c r="H805" s="58">
        <v>24.475189050000001</v>
      </c>
      <c r="I805" s="58">
        <v>24.475189050000001</v>
      </c>
      <c r="J805" s="58">
        <v>24.475189050000001</v>
      </c>
    </row>
    <row r="806" spans="1:10" hidden="1">
      <c r="A806" s="57" t="s">
        <v>298</v>
      </c>
      <c r="B806" s="10" t="s">
        <v>337</v>
      </c>
      <c r="C806" s="10">
        <v>23.4</v>
      </c>
      <c r="D806" s="10">
        <v>23.4</v>
      </c>
      <c r="E806" s="10">
        <v>23.4</v>
      </c>
      <c r="F806" s="10">
        <v>23.4</v>
      </c>
      <c r="G806" s="10">
        <v>23.4</v>
      </c>
      <c r="H806" s="10">
        <v>23.4</v>
      </c>
      <c r="I806" s="10">
        <v>23.4</v>
      </c>
      <c r="J806" s="10">
        <v>23.4</v>
      </c>
    </row>
    <row r="807" spans="1:10" hidden="1">
      <c r="A807" s="57" t="s">
        <v>298</v>
      </c>
      <c r="B807" s="10" t="s">
        <v>103</v>
      </c>
      <c r="C807" s="10">
        <v>8.4738115189999998</v>
      </c>
      <c r="D807" s="10">
        <v>8.4738115189999998</v>
      </c>
      <c r="E807" s="10">
        <v>8.4738115189999998</v>
      </c>
      <c r="F807" s="10">
        <v>8.4738115189999998</v>
      </c>
      <c r="G807" s="10">
        <v>8.4738115189999998</v>
      </c>
      <c r="H807" s="10">
        <v>8.4738115189999998</v>
      </c>
      <c r="I807" s="10">
        <v>8.4738115189999998</v>
      </c>
      <c r="J807" s="10">
        <v>8.4738115189999998</v>
      </c>
    </row>
    <row r="808" spans="1:10" hidden="1">
      <c r="A808" s="57" t="s">
        <v>298</v>
      </c>
      <c r="B808" s="10" t="s">
        <v>94</v>
      </c>
      <c r="C808" s="10">
        <v>0</v>
      </c>
      <c r="D808" s="10">
        <v>0</v>
      </c>
      <c r="E808" s="10">
        <v>0</v>
      </c>
      <c r="F808" s="10">
        <v>0</v>
      </c>
      <c r="G808" s="10">
        <v>0</v>
      </c>
      <c r="H808" s="10">
        <v>0</v>
      </c>
      <c r="I808" s="10">
        <v>0</v>
      </c>
      <c r="J808" s="10">
        <v>0</v>
      </c>
    </row>
    <row r="809" spans="1:10" hidden="1">
      <c r="A809" s="57" t="s">
        <v>298</v>
      </c>
      <c r="B809" s="10" t="s">
        <v>170</v>
      </c>
      <c r="C809" s="10">
        <v>0</v>
      </c>
      <c r="D809" s="10">
        <v>0</v>
      </c>
      <c r="E809" s="10">
        <v>0</v>
      </c>
      <c r="F809" s="10">
        <v>0</v>
      </c>
      <c r="G809" s="10">
        <v>0</v>
      </c>
      <c r="H809" s="10">
        <v>0</v>
      </c>
      <c r="I809" s="10">
        <v>0</v>
      </c>
      <c r="J809" s="10">
        <v>0</v>
      </c>
    </row>
    <row r="810" spans="1:10" hidden="1">
      <c r="A810" s="57" t="s">
        <v>298</v>
      </c>
      <c r="B810" s="10" t="s">
        <v>98</v>
      </c>
      <c r="C810" s="10">
        <v>1.7</v>
      </c>
      <c r="D810" s="10">
        <v>4.5999999999999996</v>
      </c>
      <c r="E810" s="10">
        <v>4.5999999999999996</v>
      </c>
      <c r="F810" s="10">
        <v>3.9767749999999999</v>
      </c>
      <c r="G810" s="10">
        <v>3.613</v>
      </c>
      <c r="H810" s="10">
        <v>3.5030000000000001</v>
      </c>
      <c r="I810" s="10">
        <v>3.0529999999999999</v>
      </c>
      <c r="J810" s="10">
        <v>0</v>
      </c>
    </row>
    <row r="811" spans="1:10" hidden="1">
      <c r="A811" s="61" t="s">
        <v>298</v>
      </c>
      <c r="B811" s="62" t="s">
        <v>339</v>
      </c>
      <c r="C811" s="10">
        <v>0</v>
      </c>
      <c r="D811" s="10">
        <v>0.1</v>
      </c>
      <c r="E811" s="10">
        <v>0.1</v>
      </c>
      <c r="F811" s="10">
        <v>0.1</v>
      </c>
      <c r="G811" s="10">
        <v>0.1</v>
      </c>
      <c r="H811" s="10">
        <v>0.1</v>
      </c>
      <c r="I811" s="10">
        <v>0.1</v>
      </c>
      <c r="J811" s="10">
        <v>0.1</v>
      </c>
    </row>
    <row r="812" spans="1:10" hidden="1">
      <c r="A812" s="79" t="s">
        <v>357</v>
      </c>
      <c r="B812" s="79" t="s">
        <v>481</v>
      </c>
      <c r="C812" s="79">
        <v>0.308</v>
      </c>
      <c r="D812" s="10">
        <v>0.308</v>
      </c>
      <c r="E812" s="10">
        <v>0.154</v>
      </c>
      <c r="F812" s="10">
        <v>0</v>
      </c>
      <c r="G812" s="10">
        <v>0</v>
      </c>
      <c r="H812" s="10">
        <v>0</v>
      </c>
      <c r="I812" s="10">
        <v>0</v>
      </c>
      <c r="J812" s="10">
        <v>0</v>
      </c>
    </row>
    <row r="813" spans="1:10" hidden="1">
      <c r="A813" s="79" t="s">
        <v>357</v>
      </c>
      <c r="B813" s="79" t="s">
        <v>485</v>
      </c>
      <c r="C813" s="79">
        <v>2.8000000000000001E-2</v>
      </c>
      <c r="D813" s="10">
        <v>2.8000000000000001E-2</v>
      </c>
      <c r="E813" s="10">
        <v>1.4E-2</v>
      </c>
      <c r="F813" s="10">
        <v>0</v>
      </c>
      <c r="G813" s="10">
        <v>0</v>
      </c>
      <c r="H813" s="10">
        <v>0</v>
      </c>
      <c r="I813" s="10">
        <v>0</v>
      </c>
      <c r="J813" s="10">
        <v>0</v>
      </c>
    </row>
    <row r="814" spans="1:10" hidden="1">
      <c r="A814" s="58" t="s">
        <v>357</v>
      </c>
      <c r="B814" s="58" t="s">
        <v>243</v>
      </c>
      <c r="C814" s="58">
        <v>2.4269000000000003</v>
      </c>
      <c r="D814" s="58">
        <v>2.1843000000000004</v>
      </c>
      <c r="E814" s="58">
        <v>1.6929000000000001</v>
      </c>
      <c r="F814" s="58">
        <v>1.0158</v>
      </c>
      <c r="G814" s="58">
        <v>0.50790000000000002</v>
      </c>
      <c r="H814" s="58">
        <v>0.20319999999999999</v>
      </c>
      <c r="I814" s="58">
        <v>4.07E-2</v>
      </c>
      <c r="J814" s="58">
        <v>0</v>
      </c>
    </row>
    <row r="815" spans="1:10" hidden="1">
      <c r="A815" s="58" t="s">
        <v>357</v>
      </c>
      <c r="B815" s="58" t="s">
        <v>244</v>
      </c>
      <c r="C815" s="58">
        <v>0.27499999999999997</v>
      </c>
      <c r="D815" s="58">
        <v>0.2475</v>
      </c>
      <c r="E815" s="58">
        <v>0.19189999999999999</v>
      </c>
      <c r="F815" s="58">
        <v>0.1152</v>
      </c>
      <c r="G815" s="58">
        <v>5.7599999999999998E-2</v>
      </c>
      <c r="H815" s="58">
        <v>2.3099999999999999E-2</v>
      </c>
      <c r="I815" s="58">
        <v>4.7000000000000002E-3</v>
      </c>
      <c r="J815" s="58">
        <v>0</v>
      </c>
    </row>
    <row r="816" spans="1:10" hidden="1">
      <c r="A816" s="58" t="s">
        <v>357</v>
      </c>
      <c r="B816" s="58" t="s">
        <v>245</v>
      </c>
      <c r="C816" s="58">
        <v>3.6999999999999997E-3</v>
      </c>
      <c r="D816" s="58">
        <v>3.3999999999999998E-3</v>
      </c>
      <c r="E816" s="58">
        <v>2.6999999999999997E-3</v>
      </c>
      <c r="F816" s="58">
        <v>1.7000000000000001E-3</v>
      </c>
      <c r="G816" s="58">
        <v>9.0000000000000008E-4</v>
      </c>
      <c r="H816" s="58">
        <v>0</v>
      </c>
      <c r="I816" s="58">
        <v>0</v>
      </c>
      <c r="J816" s="58">
        <v>0</v>
      </c>
    </row>
    <row r="817" spans="1:10" hidden="1">
      <c r="A817" s="58" t="s">
        <v>357</v>
      </c>
      <c r="B817" s="58" t="s">
        <v>217</v>
      </c>
      <c r="C817" s="58">
        <v>0.1002</v>
      </c>
      <c r="D817" s="58">
        <v>9.0200000000000002E-2</v>
      </c>
      <c r="E817" s="58">
        <v>7.0000000000000007E-2</v>
      </c>
      <c r="F817" s="58">
        <v>4.2000000000000003E-2</v>
      </c>
      <c r="G817" s="58">
        <v>2.1000000000000001E-2</v>
      </c>
      <c r="H817" s="58">
        <v>8.3999999999999995E-3</v>
      </c>
      <c r="I817" s="58">
        <v>1.7000000000000001E-3</v>
      </c>
      <c r="J817" s="58">
        <v>0</v>
      </c>
    </row>
    <row r="818" spans="1:10" hidden="1">
      <c r="A818" s="58" t="s">
        <v>357</v>
      </c>
      <c r="B818" s="58" t="s">
        <v>237</v>
      </c>
      <c r="C818" s="58">
        <v>1.89E-2</v>
      </c>
      <c r="D818" s="58">
        <v>1.7100000000000001E-2</v>
      </c>
      <c r="E818" s="58">
        <v>1.3299999999999999E-2</v>
      </c>
      <c r="F818" s="58">
        <v>8.0000000000000002E-3</v>
      </c>
      <c r="G818" s="58">
        <v>4.0000000000000001E-3</v>
      </c>
      <c r="H818" s="58">
        <v>1.6000000000000001E-3</v>
      </c>
      <c r="I818" s="58">
        <v>3.9999999999999996E-4</v>
      </c>
      <c r="J818" s="58">
        <v>0</v>
      </c>
    </row>
    <row r="819" spans="1:10" hidden="1">
      <c r="A819" s="58" t="s">
        <v>357</v>
      </c>
      <c r="B819" s="58" t="s">
        <v>226</v>
      </c>
      <c r="C819" s="58">
        <v>1.7054</v>
      </c>
      <c r="D819" s="58">
        <v>1.5348999999999999</v>
      </c>
      <c r="E819" s="58">
        <v>1.1896</v>
      </c>
      <c r="F819" s="58">
        <v>0.71379999999999999</v>
      </c>
      <c r="G819" s="58">
        <v>0.3569</v>
      </c>
      <c r="H819" s="58">
        <v>0.14279999999999998</v>
      </c>
      <c r="I819" s="58">
        <v>2.86E-2</v>
      </c>
      <c r="J819" s="58">
        <v>0</v>
      </c>
    </row>
    <row r="820" spans="1:10" hidden="1">
      <c r="A820" s="58" t="s">
        <v>357</v>
      </c>
      <c r="B820" s="58" t="s">
        <v>219</v>
      </c>
      <c r="C820" s="58">
        <v>1.4199999999999999E-2</v>
      </c>
      <c r="D820" s="58">
        <v>1.2799999999999999E-2</v>
      </c>
      <c r="E820" s="58">
        <v>0.01</v>
      </c>
      <c r="F820" s="58">
        <v>6.0000000000000001E-3</v>
      </c>
      <c r="G820" s="58">
        <v>3.0000000000000001E-3</v>
      </c>
      <c r="H820" s="58">
        <v>1.1999999999999999E-3</v>
      </c>
      <c r="I820" s="58">
        <v>3.0000000000000003E-4</v>
      </c>
      <c r="J820" s="58">
        <v>0</v>
      </c>
    </row>
    <row r="821" spans="1:10" hidden="1">
      <c r="A821" s="58" t="s">
        <v>357</v>
      </c>
      <c r="B821" s="58" t="s">
        <v>220</v>
      </c>
      <c r="C821" s="58">
        <v>5.5200000000000006E-2</v>
      </c>
      <c r="D821" s="58">
        <v>4.9700000000000001E-2</v>
      </c>
      <c r="E821" s="58">
        <v>3.8600000000000002E-2</v>
      </c>
      <c r="F821" s="58">
        <v>2.3199999999999998E-2</v>
      </c>
      <c r="G821" s="58">
        <v>1.1599999999999999E-2</v>
      </c>
      <c r="H821" s="58">
        <v>4.7000000000000002E-3</v>
      </c>
      <c r="I821" s="58">
        <v>1E-3</v>
      </c>
      <c r="J821" s="58">
        <v>0</v>
      </c>
    </row>
    <row r="822" spans="1:10" hidden="1">
      <c r="A822" s="58" t="s">
        <v>357</v>
      </c>
      <c r="B822" s="58" t="s">
        <v>227</v>
      </c>
      <c r="C822" s="58">
        <v>0.19879999999999998</v>
      </c>
      <c r="D822" s="58">
        <v>0.17899999999999999</v>
      </c>
      <c r="E822" s="58">
        <v>0.13879999999999998</v>
      </c>
      <c r="F822" s="58">
        <v>8.3299999999999999E-2</v>
      </c>
      <c r="G822" s="58">
        <v>4.1700000000000001E-2</v>
      </c>
      <c r="H822" s="58">
        <v>1.67E-2</v>
      </c>
      <c r="I822" s="58">
        <v>3.3999999999999998E-3</v>
      </c>
      <c r="J822" s="58">
        <v>0</v>
      </c>
    </row>
    <row r="823" spans="1:10" hidden="1">
      <c r="A823" s="58" t="s">
        <v>357</v>
      </c>
      <c r="B823" s="58" t="s">
        <v>206</v>
      </c>
      <c r="C823" s="58">
        <v>3.9504999999999999</v>
      </c>
      <c r="D823" s="58">
        <v>3.5555000000000003</v>
      </c>
      <c r="E823" s="58">
        <v>2.7556000000000003</v>
      </c>
      <c r="F823" s="58">
        <v>1.6534</v>
      </c>
      <c r="G823" s="58">
        <v>0.82669999999999999</v>
      </c>
      <c r="H823" s="58">
        <v>0.33069999999999999</v>
      </c>
      <c r="I823" s="58">
        <v>6.6200000000000009E-2</v>
      </c>
    </row>
    <row r="824" spans="1:10" hidden="1">
      <c r="A824" s="58" t="s">
        <v>357</v>
      </c>
      <c r="B824" s="58" t="s">
        <v>224</v>
      </c>
      <c r="C824" s="58">
        <v>6.2256</v>
      </c>
      <c r="D824" s="58">
        <v>5.6030999999999995</v>
      </c>
      <c r="E824" s="58">
        <v>4.3424999999999994</v>
      </c>
      <c r="F824" s="58">
        <v>2.6055000000000001</v>
      </c>
      <c r="G824" s="58">
        <v>1.3028</v>
      </c>
      <c r="H824" s="58">
        <v>0.5212</v>
      </c>
      <c r="I824" s="58">
        <v>0.1043</v>
      </c>
    </row>
    <row r="825" spans="1:10" hidden="1">
      <c r="A825" s="58" t="s">
        <v>357</v>
      </c>
      <c r="B825" s="58" t="s">
        <v>207</v>
      </c>
      <c r="C825" s="58">
        <v>0.77649999999999997</v>
      </c>
      <c r="D825" s="58">
        <v>0.69889999999999997</v>
      </c>
      <c r="E825" s="58">
        <v>0.54169999999999996</v>
      </c>
      <c r="F825" s="58">
        <v>0.3251</v>
      </c>
      <c r="G825" s="58">
        <v>0.16259999999999999</v>
      </c>
      <c r="H825" s="58">
        <v>6.5100000000000005E-2</v>
      </c>
      <c r="I825" s="58">
        <v>1.3099999999999999E-2</v>
      </c>
    </row>
    <row r="826" spans="1:10" hidden="1">
      <c r="A826" s="58" t="s">
        <v>357</v>
      </c>
      <c r="B826" s="58" t="s">
        <v>225</v>
      </c>
      <c r="C826" s="58">
        <v>0.84699999999999998</v>
      </c>
      <c r="D826" s="58">
        <v>0.76229999999999998</v>
      </c>
      <c r="E826" s="58">
        <v>0.59079999999999999</v>
      </c>
      <c r="F826" s="58">
        <v>0.35449999999999998</v>
      </c>
      <c r="G826" s="58">
        <v>0.17729999999999999</v>
      </c>
      <c r="H826" s="58">
        <v>7.1000000000000008E-2</v>
      </c>
      <c r="I826" s="58">
        <v>1.4200000000000001E-2</v>
      </c>
    </row>
    <row r="827" spans="1:10" hidden="1">
      <c r="A827" s="58" t="s">
        <v>357</v>
      </c>
      <c r="B827" s="58" t="s">
        <v>228</v>
      </c>
      <c r="C827" s="58">
        <v>0.16879999999999998</v>
      </c>
      <c r="D827" s="58">
        <v>0.152</v>
      </c>
      <c r="E827" s="58">
        <v>0.1178</v>
      </c>
      <c r="F827" s="58">
        <v>7.0699999999999999E-2</v>
      </c>
      <c r="G827" s="58">
        <v>3.5400000000000001E-2</v>
      </c>
      <c r="H827" s="58">
        <v>1.4199999999999999E-2</v>
      </c>
      <c r="I827" s="58">
        <v>2.8999999999999998E-3</v>
      </c>
      <c r="J827" s="58">
        <v>0</v>
      </c>
    </row>
    <row r="828" spans="1:10" hidden="1">
      <c r="A828" s="58" t="s">
        <v>357</v>
      </c>
      <c r="B828" s="58" t="s">
        <v>230</v>
      </c>
      <c r="C828" s="58">
        <v>5.1757999999999997</v>
      </c>
      <c r="D828" s="58">
        <v>4.6582999999999997</v>
      </c>
      <c r="E828" s="58">
        <v>3.6102000000000003</v>
      </c>
      <c r="F828" s="58">
        <v>2.1662000000000003</v>
      </c>
      <c r="G828" s="58">
        <v>1.0831</v>
      </c>
      <c r="H828" s="58">
        <v>0.43329999999999996</v>
      </c>
      <c r="I828" s="58">
        <v>8.6699999999999999E-2</v>
      </c>
      <c r="J828" s="58">
        <v>0</v>
      </c>
    </row>
    <row r="829" spans="1:10" hidden="1">
      <c r="A829" s="58" t="s">
        <v>357</v>
      </c>
      <c r="B829" s="58" t="s">
        <v>229</v>
      </c>
      <c r="C829" s="58">
        <v>0.22399999999999998</v>
      </c>
      <c r="D829" s="58">
        <v>0.2016</v>
      </c>
      <c r="E829" s="58">
        <v>0.15629999999999999</v>
      </c>
      <c r="F829" s="58">
        <v>9.3800000000000008E-2</v>
      </c>
      <c r="G829" s="58">
        <v>4.6899999999999997E-2</v>
      </c>
      <c r="H829" s="58">
        <v>1.8800000000000001E-2</v>
      </c>
      <c r="I829" s="58">
        <v>3.8E-3</v>
      </c>
      <c r="J829" s="58">
        <v>0</v>
      </c>
    </row>
    <row r="830" spans="1:10" hidden="1">
      <c r="A830" s="58" t="s">
        <v>357</v>
      </c>
      <c r="B830" s="58" t="s">
        <v>231</v>
      </c>
      <c r="C830" s="58">
        <v>0.65359999999999996</v>
      </c>
      <c r="D830" s="58">
        <v>0.58829999999999993</v>
      </c>
      <c r="E830" s="58">
        <v>0.45600000000000002</v>
      </c>
      <c r="F830" s="58">
        <v>0.27360000000000001</v>
      </c>
      <c r="G830" s="58">
        <v>0.1368</v>
      </c>
      <c r="H830" s="58">
        <v>5.4800000000000001E-2</v>
      </c>
      <c r="I830" s="58">
        <v>1.0999999999999999E-2</v>
      </c>
      <c r="J830" s="58">
        <v>0</v>
      </c>
    </row>
    <row r="831" spans="1:10" hidden="1">
      <c r="A831" s="58" t="s">
        <v>357</v>
      </c>
      <c r="B831" s="58" t="s">
        <v>240</v>
      </c>
      <c r="C831" s="58">
        <v>1.3599999999999999E-2</v>
      </c>
      <c r="D831" s="58">
        <v>1.23E-2</v>
      </c>
      <c r="E831" s="58">
        <v>9.5999999999999992E-3</v>
      </c>
      <c r="F831" s="58">
        <v>5.8000000000000005E-3</v>
      </c>
      <c r="G831" s="58">
        <v>2.8999999999999998E-3</v>
      </c>
      <c r="H831" s="58">
        <v>1.2000000000000001E-3</v>
      </c>
      <c r="I831" s="58">
        <v>3.0000000000000003E-4</v>
      </c>
      <c r="J831" s="58">
        <v>0</v>
      </c>
    </row>
    <row r="832" spans="1:10" hidden="1">
      <c r="A832" s="61" t="s">
        <v>357</v>
      </c>
      <c r="B832" s="10" t="s">
        <v>163</v>
      </c>
      <c r="C832" s="58">
        <v>1.6E-2</v>
      </c>
      <c r="D832" s="58">
        <v>1.6E-2</v>
      </c>
      <c r="E832" s="58">
        <v>1.6E-2</v>
      </c>
      <c r="F832" s="58">
        <v>1.6E-2</v>
      </c>
      <c r="G832" s="58">
        <v>1.6E-2</v>
      </c>
      <c r="H832" s="58">
        <v>1.6E-2</v>
      </c>
      <c r="I832" s="58">
        <v>1.6E-2</v>
      </c>
      <c r="J832" s="58">
        <v>1.6E-2</v>
      </c>
    </row>
    <row r="833" spans="1:10" hidden="1">
      <c r="A833" s="61" t="s">
        <v>357</v>
      </c>
      <c r="B833" s="10" t="s">
        <v>107</v>
      </c>
      <c r="C833" s="58">
        <v>0</v>
      </c>
      <c r="D833" s="58">
        <v>0</v>
      </c>
      <c r="E833" s="58">
        <v>0</v>
      </c>
      <c r="F833" s="58">
        <v>0</v>
      </c>
      <c r="G833" s="58">
        <v>0</v>
      </c>
      <c r="H833" s="58">
        <v>0</v>
      </c>
      <c r="I833" s="58">
        <v>0</v>
      </c>
      <c r="J833" s="58">
        <v>0</v>
      </c>
    </row>
    <row r="834" spans="1:10" hidden="1">
      <c r="A834" s="61" t="s">
        <v>357</v>
      </c>
      <c r="B834" s="10" t="s">
        <v>106</v>
      </c>
      <c r="C834" s="58">
        <v>8.4039999999999999</v>
      </c>
      <c r="D834" s="58">
        <v>8.4039999999999999</v>
      </c>
      <c r="E834" s="58">
        <v>8.4039999999999999</v>
      </c>
      <c r="F834" s="58">
        <v>8.4039999999999999</v>
      </c>
      <c r="G834" s="58">
        <v>8.4039999999999999</v>
      </c>
      <c r="H834" s="58">
        <v>8.4039999999999999</v>
      </c>
      <c r="I834" s="58">
        <v>8.4039999999999999</v>
      </c>
      <c r="J834" s="58">
        <v>8.4039999999999999</v>
      </c>
    </row>
    <row r="835" spans="1:10" hidden="1">
      <c r="A835" s="61" t="s">
        <v>357</v>
      </c>
      <c r="B835" s="10" t="s">
        <v>22</v>
      </c>
      <c r="C835" s="58">
        <v>0.54</v>
      </c>
      <c r="D835" s="58">
        <v>0.54</v>
      </c>
      <c r="E835" s="58">
        <v>0.54</v>
      </c>
      <c r="F835" s="58">
        <v>0.54</v>
      </c>
      <c r="G835" s="58">
        <v>0.54</v>
      </c>
      <c r="H835" s="58">
        <v>0.54</v>
      </c>
      <c r="I835" s="58">
        <v>0.54</v>
      </c>
      <c r="J835" s="58">
        <v>0.54</v>
      </c>
    </row>
    <row r="836" spans="1:10" hidden="1">
      <c r="A836" s="61" t="s">
        <v>357</v>
      </c>
      <c r="B836" s="10" t="s">
        <v>23</v>
      </c>
      <c r="C836" s="58">
        <v>0</v>
      </c>
      <c r="D836" s="58">
        <v>0</v>
      </c>
      <c r="E836" s="58">
        <v>0</v>
      </c>
      <c r="F836" s="58">
        <v>0</v>
      </c>
      <c r="G836" s="58">
        <v>0</v>
      </c>
      <c r="H836" s="58">
        <v>0</v>
      </c>
      <c r="I836" s="58">
        <v>0</v>
      </c>
      <c r="J836" s="58">
        <v>0</v>
      </c>
    </row>
    <row r="837" spans="1:10" hidden="1">
      <c r="A837" s="61" t="s">
        <v>357</v>
      </c>
      <c r="B837" s="10" t="s">
        <v>58</v>
      </c>
      <c r="C837" s="58">
        <v>0.19800000000000004</v>
      </c>
      <c r="D837" s="58">
        <v>0.19800000000000004</v>
      </c>
      <c r="E837" s="58">
        <v>0.19800000000000004</v>
      </c>
      <c r="F837" s="58">
        <v>0.19800000000000004</v>
      </c>
      <c r="G837" s="58">
        <v>0.19800000000000004</v>
      </c>
      <c r="H837" s="58">
        <v>0.19800000000000004</v>
      </c>
      <c r="I837" s="58">
        <v>0.19800000000000004</v>
      </c>
      <c r="J837" s="58">
        <v>0.19800000000000004</v>
      </c>
    </row>
    <row r="838" spans="1:10" hidden="1">
      <c r="A838" s="61" t="s">
        <v>357</v>
      </c>
      <c r="B838" s="58" t="s">
        <v>102</v>
      </c>
      <c r="C838" s="58">
        <v>4.4089999999999998</v>
      </c>
      <c r="D838" s="58">
        <v>4.4089999999999998</v>
      </c>
      <c r="E838" s="58">
        <v>4.4089999999999998</v>
      </c>
      <c r="F838" s="58">
        <v>4.4089999999999998</v>
      </c>
      <c r="G838" s="58">
        <v>4.4089999999999998</v>
      </c>
      <c r="H838" s="58">
        <v>4.4089999999999998</v>
      </c>
      <c r="I838" s="58">
        <v>4.4089999999999998</v>
      </c>
      <c r="J838" s="58">
        <v>4.4089999999999998</v>
      </c>
    </row>
    <row r="839" spans="1:10" hidden="1">
      <c r="A839" s="61" t="s">
        <v>357</v>
      </c>
      <c r="B839" s="10" t="s">
        <v>103</v>
      </c>
      <c r="C839" s="58">
        <v>3.6240000000000001</v>
      </c>
      <c r="D839" s="58">
        <v>3.6240000000000001</v>
      </c>
      <c r="E839" s="58">
        <v>3.6240000000000001</v>
      </c>
      <c r="F839" s="58">
        <v>3.6240000000000001</v>
      </c>
      <c r="G839" s="58">
        <v>3.6240000000000001</v>
      </c>
      <c r="H839" s="58">
        <v>3.6240000000000001</v>
      </c>
      <c r="I839" s="58">
        <v>3.6240000000000001</v>
      </c>
      <c r="J839" s="58">
        <v>3.6240000000000001</v>
      </c>
    </row>
    <row r="840" spans="1:10" hidden="1">
      <c r="A840" s="61" t="s">
        <v>357</v>
      </c>
      <c r="B840" s="10" t="s">
        <v>94</v>
      </c>
      <c r="C840" s="58">
        <v>1.9E-2</v>
      </c>
      <c r="D840" s="58">
        <v>1.9E-2</v>
      </c>
      <c r="E840" s="58">
        <v>1.9E-2</v>
      </c>
      <c r="F840" s="58">
        <v>1.9E-2</v>
      </c>
      <c r="G840" s="58">
        <v>1.9E-2</v>
      </c>
      <c r="H840" s="58">
        <v>1.9E-2</v>
      </c>
      <c r="I840" s="58">
        <v>1.9E-2</v>
      </c>
      <c r="J840" s="58">
        <v>1.9E-2</v>
      </c>
    </row>
    <row r="841" spans="1:10" hidden="1">
      <c r="A841" s="61" t="s">
        <v>357</v>
      </c>
      <c r="B841" s="10" t="s">
        <v>170</v>
      </c>
      <c r="C841" s="58">
        <v>0</v>
      </c>
      <c r="D841" s="58">
        <v>0</v>
      </c>
      <c r="E841" s="58">
        <v>0</v>
      </c>
      <c r="F841" s="58">
        <v>0</v>
      </c>
      <c r="G841" s="58">
        <v>0</v>
      </c>
      <c r="H841" s="58">
        <v>0</v>
      </c>
      <c r="I841" s="58">
        <v>0</v>
      </c>
      <c r="J841" s="58">
        <v>0</v>
      </c>
    </row>
    <row r="842" spans="1:10" hidden="1">
      <c r="A842" s="61" t="s">
        <v>357</v>
      </c>
      <c r="B842" s="10" t="s">
        <v>97</v>
      </c>
      <c r="C842" s="58">
        <v>2.8129999999999997</v>
      </c>
      <c r="D842" s="58">
        <v>2.8129999999999997</v>
      </c>
      <c r="E842" s="58">
        <v>2.8129999999999997</v>
      </c>
      <c r="F842" s="58">
        <v>2.8129999999999997</v>
      </c>
      <c r="G842" s="58">
        <v>2.8129999999999997</v>
      </c>
      <c r="H842" s="58">
        <v>2.8129999999999997</v>
      </c>
      <c r="I842" s="58">
        <v>2.8129999999999997</v>
      </c>
      <c r="J842" s="58">
        <v>2.8129999999999997</v>
      </c>
    </row>
    <row r="843" spans="1:10" hidden="1">
      <c r="A843" s="10" t="s">
        <v>299</v>
      </c>
      <c r="B843" s="10" t="s">
        <v>475</v>
      </c>
      <c r="C843" s="10">
        <v>1.3009650000000001</v>
      </c>
      <c r="D843" s="10">
        <v>1.3009650000000001</v>
      </c>
      <c r="E843" s="10">
        <v>1.3009650000000001</v>
      </c>
      <c r="F843" s="10">
        <v>1.3009650000000001</v>
      </c>
      <c r="G843" s="10">
        <v>1.3009650000000001</v>
      </c>
      <c r="H843" s="10">
        <v>1.3009650000000001</v>
      </c>
      <c r="I843" s="10">
        <v>0.65048250000000007</v>
      </c>
      <c r="J843" s="10">
        <v>0</v>
      </c>
    </row>
    <row r="844" spans="1:10" hidden="1">
      <c r="A844" s="10" t="s">
        <v>299</v>
      </c>
      <c r="B844" s="10" t="s">
        <v>108</v>
      </c>
      <c r="C844" s="10">
        <v>6.6964400000000008</v>
      </c>
      <c r="D844" s="10">
        <v>6.6964400000000008</v>
      </c>
      <c r="E844" s="10">
        <v>3.9610176978066618</v>
      </c>
      <c r="F844" s="10">
        <v>1.2255953956133228</v>
      </c>
      <c r="G844" s="10">
        <v>0.61279769780666138</v>
      </c>
      <c r="H844" s="10">
        <v>0</v>
      </c>
      <c r="I844" s="10">
        <v>0</v>
      </c>
      <c r="J844" s="10">
        <v>0</v>
      </c>
    </row>
    <row r="845" spans="1:10" hidden="1">
      <c r="A845" s="10" t="s">
        <v>299</v>
      </c>
      <c r="B845" s="10" t="s">
        <v>481</v>
      </c>
      <c r="C845" s="10">
        <v>1.2404550000000001</v>
      </c>
      <c r="D845" s="10">
        <v>1.2404550000000001</v>
      </c>
      <c r="E845" s="10">
        <v>1.2413504691238348</v>
      </c>
      <c r="F845" s="10">
        <v>1.2422459382476689</v>
      </c>
      <c r="G845" s="10">
        <v>1.1000710262148339</v>
      </c>
      <c r="H845" s="10">
        <v>0.95789611418199805</v>
      </c>
      <c r="I845" s="10">
        <v>0.47894805709099902</v>
      </c>
      <c r="J845" s="10">
        <v>0</v>
      </c>
    </row>
    <row r="846" spans="1:10" hidden="1">
      <c r="A846" s="10" t="s">
        <v>299</v>
      </c>
      <c r="B846" s="10" t="s">
        <v>485</v>
      </c>
      <c r="C846" s="10">
        <v>0.70595000000000008</v>
      </c>
      <c r="D846" s="10">
        <v>0.70595000000000008</v>
      </c>
      <c r="E846" s="10">
        <v>0.35297500000000004</v>
      </c>
      <c r="F846" s="10">
        <v>0</v>
      </c>
      <c r="G846" s="10">
        <v>0</v>
      </c>
      <c r="H846" s="10">
        <v>0</v>
      </c>
      <c r="I846" s="10">
        <v>0</v>
      </c>
      <c r="J846" s="10">
        <v>0</v>
      </c>
    </row>
    <row r="847" spans="1:10" hidden="1">
      <c r="A847" s="57" t="s">
        <v>299</v>
      </c>
      <c r="B847" s="10" t="s">
        <v>142</v>
      </c>
      <c r="C847" s="10">
        <v>1.4129999999999998</v>
      </c>
      <c r="D847" s="10">
        <v>1.4129999999999998</v>
      </c>
      <c r="E847" s="10">
        <v>1.4129999999999998</v>
      </c>
      <c r="F847" s="10">
        <v>1.4129999999999998</v>
      </c>
      <c r="G847" s="10">
        <v>1.4129999999999998</v>
      </c>
      <c r="H847" s="10">
        <v>1.4129999999999998</v>
      </c>
      <c r="I847" s="10">
        <v>1.4129999999999998</v>
      </c>
      <c r="J847" s="10">
        <v>1.4129999999999998</v>
      </c>
    </row>
    <row r="848" spans="1:10" hidden="1">
      <c r="A848" s="58" t="s">
        <v>299</v>
      </c>
      <c r="B848" s="58" t="s">
        <v>243</v>
      </c>
      <c r="C848" s="58">
        <v>7.8784999999999998</v>
      </c>
      <c r="D848" s="58">
        <v>7.0907</v>
      </c>
      <c r="E848" s="58">
        <v>5.4952999999999994</v>
      </c>
      <c r="F848" s="58">
        <v>3.2972000000000001</v>
      </c>
      <c r="G848" s="58">
        <v>1.6486000000000001</v>
      </c>
      <c r="H848" s="58">
        <v>0.65949999999999998</v>
      </c>
      <c r="I848" s="58">
        <v>0.13189999999999999</v>
      </c>
      <c r="J848" s="58">
        <v>0</v>
      </c>
    </row>
    <row r="849" spans="1:10" hidden="1">
      <c r="A849" s="58" t="s">
        <v>299</v>
      </c>
      <c r="B849" s="58" t="s">
        <v>244</v>
      </c>
      <c r="C849" s="58">
        <v>1.2587999999999999</v>
      </c>
      <c r="D849" s="58">
        <v>1.133</v>
      </c>
      <c r="E849" s="58">
        <v>0.87809999999999999</v>
      </c>
      <c r="F849" s="58">
        <v>0.52690000000000003</v>
      </c>
      <c r="G849" s="58">
        <v>0.26350000000000001</v>
      </c>
      <c r="H849" s="58">
        <v>0.10539999999999999</v>
      </c>
      <c r="I849" s="58">
        <v>2.1100000000000001E-2</v>
      </c>
      <c r="J849" s="58">
        <v>0</v>
      </c>
    </row>
    <row r="850" spans="1:10" hidden="1">
      <c r="A850" s="58" t="s">
        <v>299</v>
      </c>
      <c r="B850" s="58" t="s">
        <v>245</v>
      </c>
      <c r="C850" s="58">
        <v>0.77910000000000001</v>
      </c>
      <c r="D850" s="58">
        <v>0.70119999999999993</v>
      </c>
      <c r="E850" s="58">
        <v>0.54349999999999998</v>
      </c>
      <c r="F850" s="58">
        <v>0.3261</v>
      </c>
      <c r="G850" s="58">
        <v>0.16309999999999999</v>
      </c>
      <c r="H850" s="58">
        <v>6.5299999999999997E-2</v>
      </c>
      <c r="I850" s="58">
        <v>1.3099999999999999E-2</v>
      </c>
      <c r="J850" s="58">
        <v>0</v>
      </c>
    </row>
    <row r="851" spans="1:10" hidden="1">
      <c r="A851" s="58" t="s">
        <v>299</v>
      </c>
      <c r="B851" s="58" t="s">
        <v>217</v>
      </c>
      <c r="C851" s="58">
        <v>1.1234999999999999</v>
      </c>
      <c r="D851" s="58">
        <v>1.0112000000000001</v>
      </c>
      <c r="E851" s="58">
        <v>0.78369999999999995</v>
      </c>
      <c r="F851" s="58">
        <v>0.4703</v>
      </c>
      <c r="G851" s="58">
        <v>0.23519999999999999</v>
      </c>
      <c r="H851" s="58">
        <v>9.4100000000000003E-2</v>
      </c>
      <c r="I851" s="58">
        <v>1.89E-2</v>
      </c>
      <c r="J851" s="58">
        <v>0</v>
      </c>
    </row>
    <row r="852" spans="1:10" hidden="1">
      <c r="A852" s="58" t="s">
        <v>299</v>
      </c>
      <c r="B852" s="58" t="s">
        <v>237</v>
      </c>
      <c r="C852" s="58">
        <v>3.1600000000000003E-2</v>
      </c>
      <c r="D852" s="58">
        <v>2.8500000000000001E-2</v>
      </c>
      <c r="E852" s="58">
        <v>2.2099999999999998E-2</v>
      </c>
      <c r="F852" s="58">
        <v>1.3299999999999999E-2</v>
      </c>
      <c r="G852" s="58">
        <v>6.7000000000000002E-3</v>
      </c>
      <c r="H852" s="58">
        <v>2.6999999999999997E-3</v>
      </c>
      <c r="I852" s="58">
        <v>6.0000000000000006E-4</v>
      </c>
      <c r="J852" s="58">
        <v>0</v>
      </c>
    </row>
    <row r="853" spans="1:10" hidden="1">
      <c r="A853" s="58" t="s">
        <v>299</v>
      </c>
      <c r="B853" s="58" t="s">
        <v>226</v>
      </c>
      <c r="C853" s="58">
        <v>8.9040999999999997</v>
      </c>
      <c r="D853" s="58">
        <v>8.0137</v>
      </c>
      <c r="E853" s="58">
        <v>6.2107000000000001</v>
      </c>
      <c r="F853" s="58">
        <v>3.7265000000000001</v>
      </c>
      <c r="G853" s="58">
        <v>1.8633</v>
      </c>
      <c r="H853" s="58">
        <v>0.74539999999999995</v>
      </c>
      <c r="I853" s="58">
        <v>0.14909999999999998</v>
      </c>
      <c r="J853" s="58">
        <v>0</v>
      </c>
    </row>
    <row r="854" spans="1:10" hidden="1">
      <c r="A854" s="58" t="s">
        <v>299</v>
      </c>
      <c r="B854" s="58" t="s">
        <v>219</v>
      </c>
      <c r="C854" s="58">
        <v>0.73460000000000003</v>
      </c>
      <c r="D854" s="58">
        <v>0.66120000000000001</v>
      </c>
      <c r="E854" s="58">
        <v>0.51249999999999996</v>
      </c>
      <c r="F854" s="58">
        <v>0.3075</v>
      </c>
      <c r="G854" s="58">
        <v>0.15379999999999999</v>
      </c>
      <c r="H854" s="58">
        <v>6.1600000000000002E-2</v>
      </c>
      <c r="I854" s="58">
        <v>1.24E-2</v>
      </c>
      <c r="J854" s="58">
        <v>0</v>
      </c>
    </row>
    <row r="855" spans="1:10" hidden="1">
      <c r="A855" s="58" t="s">
        <v>299</v>
      </c>
      <c r="B855" s="58" t="s">
        <v>220</v>
      </c>
      <c r="C855" s="58">
        <v>3.6999999999999997E-3</v>
      </c>
      <c r="D855" s="58">
        <v>3.3999999999999998E-3</v>
      </c>
      <c r="E855" s="58">
        <v>2.6999999999999997E-3</v>
      </c>
      <c r="F855" s="58">
        <v>1.7000000000000001E-3</v>
      </c>
      <c r="G855" s="58">
        <v>9.0000000000000008E-4</v>
      </c>
      <c r="H855" s="58">
        <v>0</v>
      </c>
      <c r="I855" s="58">
        <v>0</v>
      </c>
      <c r="J855" s="58">
        <v>0</v>
      </c>
    </row>
    <row r="856" spans="1:10" hidden="1">
      <c r="A856" s="58" t="s">
        <v>299</v>
      </c>
      <c r="B856" s="58" t="s">
        <v>227</v>
      </c>
      <c r="C856" s="58">
        <v>0.17549999999999999</v>
      </c>
      <c r="D856" s="58">
        <v>0.158</v>
      </c>
      <c r="E856" s="58">
        <v>0.1225</v>
      </c>
      <c r="F856" s="58">
        <v>7.3499999999999996E-2</v>
      </c>
      <c r="G856" s="58">
        <v>3.6800000000000006E-2</v>
      </c>
      <c r="H856" s="58">
        <v>1.4799999999999999E-2</v>
      </c>
      <c r="I856" s="58">
        <v>2.9999999999999996E-3</v>
      </c>
      <c r="J856" s="58">
        <v>0</v>
      </c>
    </row>
    <row r="857" spans="1:10" hidden="1">
      <c r="A857" s="58" t="s">
        <v>299</v>
      </c>
      <c r="B857" s="58" t="s">
        <v>206</v>
      </c>
      <c r="C857" s="58">
        <v>3.8180000000000001</v>
      </c>
      <c r="D857" s="58">
        <v>3.4361999999999999</v>
      </c>
      <c r="E857" s="58">
        <v>2.6631</v>
      </c>
      <c r="F857" s="58">
        <v>1.5979000000000001</v>
      </c>
      <c r="G857" s="58">
        <v>0.79900000000000004</v>
      </c>
      <c r="H857" s="58">
        <v>0.3196</v>
      </c>
      <c r="I857" s="58">
        <v>6.4000000000000001E-2</v>
      </c>
    </row>
    <row r="858" spans="1:10" hidden="1">
      <c r="A858" s="58" t="s">
        <v>299</v>
      </c>
      <c r="B858" s="58" t="s">
        <v>233</v>
      </c>
      <c r="C858" s="58">
        <v>1.4896</v>
      </c>
      <c r="D858" s="58">
        <v>1.3407</v>
      </c>
      <c r="E858" s="58">
        <v>1.0390999999999999</v>
      </c>
      <c r="F858" s="58">
        <v>0.62349999999999994</v>
      </c>
      <c r="G858" s="58">
        <v>0.31179999999999997</v>
      </c>
      <c r="H858" s="58">
        <v>0.12480000000000001</v>
      </c>
      <c r="I858" s="58">
        <v>2.4999999999999998E-2</v>
      </c>
    </row>
    <row r="859" spans="1:10" hidden="1">
      <c r="A859" s="58" t="s">
        <v>299</v>
      </c>
      <c r="B859" s="58" t="s">
        <v>224</v>
      </c>
      <c r="C859" s="58">
        <v>68.930700000000002</v>
      </c>
      <c r="D859" s="58">
        <v>62.037700000000001</v>
      </c>
      <c r="E859" s="58">
        <v>48.079300000000003</v>
      </c>
      <c r="F859" s="58">
        <v>28.8476</v>
      </c>
      <c r="G859" s="58">
        <v>14.4238</v>
      </c>
      <c r="H859" s="58">
        <v>5.7695999999999996</v>
      </c>
      <c r="I859" s="58">
        <v>1.1539999999999999</v>
      </c>
    </row>
    <row r="860" spans="1:10" hidden="1">
      <c r="A860" s="58" t="s">
        <v>299</v>
      </c>
      <c r="B860" s="58" t="s">
        <v>207</v>
      </c>
      <c r="C860" s="58">
        <v>9.2906999999999993</v>
      </c>
      <c r="D860" s="58">
        <v>8.361699999999999</v>
      </c>
      <c r="E860" s="58">
        <v>6.4803999999999995</v>
      </c>
      <c r="F860" s="58">
        <v>3.8883000000000001</v>
      </c>
      <c r="G860" s="58">
        <v>1.9441999999999999</v>
      </c>
      <c r="H860" s="58">
        <v>0.77769999999999995</v>
      </c>
      <c r="I860" s="58">
        <v>0.15559999999999999</v>
      </c>
    </row>
    <row r="861" spans="1:10" hidden="1">
      <c r="A861" s="58" t="s">
        <v>299</v>
      </c>
      <c r="B861" s="58" t="s">
        <v>225</v>
      </c>
      <c r="C861" s="58">
        <v>1.3582000000000001</v>
      </c>
      <c r="D861" s="58">
        <v>1.2223999999999999</v>
      </c>
      <c r="E861" s="58">
        <v>0.94740000000000002</v>
      </c>
      <c r="F861" s="58">
        <v>0.56850000000000001</v>
      </c>
      <c r="G861" s="58">
        <v>0.2843</v>
      </c>
      <c r="H861" s="58">
        <v>0.1138</v>
      </c>
      <c r="I861" s="58">
        <v>2.2800000000000001E-2</v>
      </c>
    </row>
    <row r="862" spans="1:10" hidden="1">
      <c r="A862" s="58" t="s">
        <v>299</v>
      </c>
      <c r="B862" s="58" t="s">
        <v>228</v>
      </c>
      <c r="C862" s="58">
        <v>0.4209</v>
      </c>
      <c r="D862" s="58">
        <v>0.37890000000000001</v>
      </c>
      <c r="E862" s="58">
        <v>0.29370000000000002</v>
      </c>
      <c r="F862" s="58">
        <v>0.17629999999999998</v>
      </c>
      <c r="G862" s="58">
        <v>8.8200000000000001E-2</v>
      </c>
      <c r="H862" s="58">
        <v>3.5300000000000005E-2</v>
      </c>
      <c r="I862" s="58">
        <v>7.1000000000000004E-3</v>
      </c>
      <c r="J862" s="58">
        <v>0</v>
      </c>
    </row>
    <row r="863" spans="1:10" hidden="1">
      <c r="A863" s="58" t="s">
        <v>299</v>
      </c>
      <c r="B863" s="58" t="s">
        <v>230</v>
      </c>
      <c r="C863" s="58">
        <v>31.817699999999999</v>
      </c>
      <c r="D863" s="58">
        <v>28.635999999999999</v>
      </c>
      <c r="E863" s="58">
        <v>22.192900000000002</v>
      </c>
      <c r="F863" s="58">
        <v>13.315799999999999</v>
      </c>
      <c r="G863" s="58">
        <v>6.6578999999999997</v>
      </c>
      <c r="H863" s="58">
        <v>2.6632000000000002</v>
      </c>
      <c r="I863" s="58">
        <v>0.53269999999999995</v>
      </c>
      <c r="J863" s="58">
        <v>0</v>
      </c>
    </row>
    <row r="864" spans="1:10" hidden="1">
      <c r="A864" s="58" t="s">
        <v>299</v>
      </c>
      <c r="B864" s="58" t="s">
        <v>229</v>
      </c>
      <c r="C864" s="58">
        <v>7.2592999999999996</v>
      </c>
      <c r="D864" s="58">
        <v>6.5333999999999994</v>
      </c>
      <c r="E864" s="58">
        <v>5.0633999999999997</v>
      </c>
      <c r="F864" s="58">
        <v>3.0381</v>
      </c>
      <c r="G864" s="58">
        <v>1.5190999999999999</v>
      </c>
      <c r="H864" s="58">
        <v>0.60770000000000002</v>
      </c>
      <c r="I864" s="58">
        <v>0.1216</v>
      </c>
      <c r="J864" s="58">
        <v>0</v>
      </c>
    </row>
    <row r="865" spans="1:10" hidden="1">
      <c r="A865" s="58" t="s">
        <v>299</v>
      </c>
      <c r="B865" s="58" t="s">
        <v>231</v>
      </c>
      <c r="C865" s="58">
        <v>0.48809999999999998</v>
      </c>
      <c r="D865" s="58">
        <v>0.43929999999999997</v>
      </c>
      <c r="E865" s="58">
        <v>0.34049999999999997</v>
      </c>
      <c r="F865" s="58">
        <v>0.20430000000000001</v>
      </c>
      <c r="G865" s="58">
        <v>0.1022</v>
      </c>
      <c r="H865" s="58">
        <v>4.0900000000000006E-2</v>
      </c>
      <c r="I865" s="58">
        <v>8.199999999999999E-3</v>
      </c>
      <c r="J865" s="58">
        <v>0</v>
      </c>
    </row>
    <row r="866" spans="1:10" hidden="1">
      <c r="A866" s="58" t="s">
        <v>299</v>
      </c>
      <c r="B866" s="58" t="s">
        <v>240</v>
      </c>
      <c r="C866" s="58">
        <v>7.2000000000000008E-2</v>
      </c>
      <c r="D866" s="58">
        <v>6.4799999999999996E-2</v>
      </c>
      <c r="E866" s="58">
        <v>5.0300000000000004E-2</v>
      </c>
      <c r="F866" s="58">
        <v>3.0199999999999998E-2</v>
      </c>
      <c r="G866" s="58">
        <v>1.5100000000000001E-2</v>
      </c>
      <c r="H866" s="58">
        <v>6.1000000000000004E-3</v>
      </c>
      <c r="I866" s="58">
        <v>1.2999999999999999E-3</v>
      </c>
      <c r="J866" s="58">
        <v>0</v>
      </c>
    </row>
    <row r="867" spans="1:10" hidden="1">
      <c r="A867" s="57" t="s">
        <v>299</v>
      </c>
      <c r="B867" s="10" t="s">
        <v>163</v>
      </c>
      <c r="C867" s="10">
        <v>1.8980399999999999</v>
      </c>
      <c r="D867" s="10">
        <v>1.7550359763024801</v>
      </c>
      <c r="E867" s="10">
        <v>0.87751798815124005</v>
      </c>
      <c r="F867" s="10">
        <v>0.43875899407562002</v>
      </c>
      <c r="G867" s="10">
        <v>0.21937949703781001</v>
      </c>
      <c r="H867" s="10">
        <v>0.10968974851890501</v>
      </c>
      <c r="I867" s="10">
        <v>5.4844874259452503E-2</v>
      </c>
      <c r="J867" s="10">
        <v>2.7422437129726251E-2</v>
      </c>
    </row>
    <row r="868" spans="1:10" hidden="1">
      <c r="A868" s="57" t="s">
        <v>299</v>
      </c>
      <c r="B868" s="10" t="s">
        <v>107</v>
      </c>
      <c r="C868" s="10">
        <v>17.190200000000001</v>
      </c>
      <c r="D868" s="10">
        <v>13.202088509960891</v>
      </c>
      <c r="E868" s="10">
        <v>8.9452492187217629</v>
      </c>
      <c r="F868" s="10">
        <v>4.5964348638635784</v>
      </c>
      <c r="G868" s="10">
        <v>3.3130266449946091</v>
      </c>
      <c r="H868" s="10">
        <v>3.082528347173656</v>
      </c>
      <c r="I868" s="10">
        <v>2.0778485130283553</v>
      </c>
      <c r="J868" s="10">
        <v>1.1536279190506369</v>
      </c>
    </row>
    <row r="869" spans="1:10" hidden="1">
      <c r="A869" s="57" t="s">
        <v>299</v>
      </c>
      <c r="B869" s="10" t="s">
        <v>106</v>
      </c>
      <c r="C869" s="10">
        <v>8.2830019999999998</v>
      </c>
      <c r="D869" s="10">
        <v>5.81820745881822</v>
      </c>
      <c r="E869" s="10">
        <v>3.5129975279111996</v>
      </c>
      <c r="F869" s="10">
        <v>1.866419005834757</v>
      </c>
      <c r="G869" s="10">
        <v>1.80856624695099</v>
      </c>
      <c r="H869" s="10">
        <v>1.1810863236732105</v>
      </c>
      <c r="I869" s="10">
        <v>1.1810863236732105</v>
      </c>
      <c r="J869" s="10">
        <v>0.76365641726572309</v>
      </c>
    </row>
    <row r="870" spans="1:10" hidden="1">
      <c r="A870" s="57" t="s">
        <v>299</v>
      </c>
      <c r="B870" s="10" t="s">
        <v>22</v>
      </c>
      <c r="C870" s="10">
        <v>1.6317959999999996</v>
      </c>
      <c r="D870" s="10">
        <v>1.5904860568215515</v>
      </c>
      <c r="E870" s="10">
        <v>1.5904860568215515</v>
      </c>
      <c r="F870" s="10">
        <v>1.5680103462713069</v>
      </c>
      <c r="G870" s="10">
        <v>1.5680103462713069</v>
      </c>
      <c r="H870" s="10">
        <v>1.253404014891458</v>
      </c>
      <c r="I870" s="10">
        <v>0.30804026973626114</v>
      </c>
      <c r="J870" s="10">
        <v>0.24216178975716554</v>
      </c>
    </row>
    <row r="871" spans="1:10" hidden="1">
      <c r="A871" s="10" t="s">
        <v>299</v>
      </c>
      <c r="B871" s="10" t="s">
        <v>488</v>
      </c>
      <c r="C871" s="10">
        <v>0.74129999999999996</v>
      </c>
      <c r="D871" s="10">
        <v>0.74129999999999996</v>
      </c>
      <c r="E871" s="10">
        <v>0.6860687074829932</v>
      </c>
      <c r="F871" s="10">
        <v>0.63083741496598633</v>
      </c>
      <c r="G871" s="10">
        <v>0.49095816326530611</v>
      </c>
      <c r="H871" s="10">
        <v>0.35107891156462578</v>
      </c>
      <c r="I871" s="10">
        <v>0.17553945578231289</v>
      </c>
      <c r="J871" s="10">
        <v>0</v>
      </c>
    </row>
    <row r="872" spans="1:10" hidden="1">
      <c r="A872" s="10" t="s">
        <v>299</v>
      </c>
      <c r="B872" s="10" t="s">
        <v>490</v>
      </c>
      <c r="C872" s="10">
        <v>0.11700000000000001</v>
      </c>
      <c r="D872" s="10">
        <v>0.11700000000000001</v>
      </c>
      <c r="E872" s="10">
        <v>0.10828279883381925</v>
      </c>
      <c r="F872" s="10">
        <v>9.9565597667638492E-2</v>
      </c>
      <c r="G872" s="10">
        <v>7.7488338192419834E-2</v>
      </c>
      <c r="H872" s="10">
        <v>5.5411078717201169E-2</v>
      </c>
      <c r="I872" s="10">
        <v>2.7705539358600585E-2</v>
      </c>
      <c r="J872" s="10">
        <v>0</v>
      </c>
    </row>
    <row r="873" spans="1:10" hidden="1">
      <c r="A873" s="57" t="s">
        <v>299</v>
      </c>
      <c r="B873" s="10" t="s">
        <v>23</v>
      </c>
      <c r="C873" s="10">
        <v>0</v>
      </c>
      <c r="D873" s="10">
        <v>0</v>
      </c>
      <c r="E873" s="10">
        <v>0</v>
      </c>
      <c r="F873" s="10">
        <v>0</v>
      </c>
      <c r="G873" s="10">
        <v>0</v>
      </c>
      <c r="H873" s="10">
        <v>0</v>
      </c>
      <c r="I873" s="10">
        <v>0</v>
      </c>
      <c r="J873" s="10">
        <v>0</v>
      </c>
    </row>
    <row r="874" spans="1:10" hidden="1">
      <c r="A874" s="57" t="s">
        <v>299</v>
      </c>
      <c r="B874" s="10" t="s">
        <v>58</v>
      </c>
      <c r="C874" s="10">
        <v>2.3210819999999996</v>
      </c>
      <c r="D874" s="10">
        <v>1.3926491999999997</v>
      </c>
      <c r="E874" s="10">
        <v>0.23210819999999996</v>
      </c>
      <c r="F874" s="10">
        <v>0</v>
      </c>
      <c r="G874" s="10">
        <v>0</v>
      </c>
      <c r="H874" s="10">
        <v>0</v>
      </c>
      <c r="I874" s="10">
        <v>0</v>
      </c>
      <c r="J874" s="10">
        <v>0</v>
      </c>
    </row>
    <row r="875" spans="1:10" hidden="1">
      <c r="A875" s="58" t="s">
        <v>299</v>
      </c>
      <c r="B875" s="58" t="s">
        <v>102</v>
      </c>
      <c r="C875" s="58">
        <v>2.391</v>
      </c>
      <c r="D875" s="58">
        <v>2.391</v>
      </c>
      <c r="E875" s="58">
        <v>2.391</v>
      </c>
      <c r="F875" s="58">
        <v>2.391</v>
      </c>
      <c r="G875" s="58">
        <v>2.391</v>
      </c>
      <c r="H875" s="58">
        <v>2.391</v>
      </c>
      <c r="I875" s="58">
        <v>2.391</v>
      </c>
      <c r="J875" s="58">
        <v>2.391</v>
      </c>
    </row>
    <row r="876" spans="1:10" hidden="1">
      <c r="A876" s="57" t="s">
        <v>299</v>
      </c>
      <c r="B876" s="10" t="s">
        <v>103</v>
      </c>
      <c r="C876" s="10">
        <v>0.95899999999999996</v>
      </c>
      <c r="D876" s="10">
        <v>0.95899999999999996</v>
      </c>
      <c r="E876" s="10">
        <v>0.95899999999999996</v>
      </c>
      <c r="F876" s="10">
        <v>0.95899999999999996</v>
      </c>
      <c r="G876" s="10">
        <v>0.95899999999999996</v>
      </c>
      <c r="H876" s="10">
        <v>0.95899999999999996</v>
      </c>
      <c r="I876" s="10">
        <v>0.95899999999999996</v>
      </c>
      <c r="J876" s="10">
        <v>0.95899999999999996</v>
      </c>
    </row>
    <row r="877" spans="1:10" hidden="1">
      <c r="A877" s="57" t="s">
        <v>299</v>
      </c>
      <c r="B877" s="10" t="s">
        <v>94</v>
      </c>
      <c r="C877" s="10">
        <v>0.496</v>
      </c>
      <c r="D877" s="10">
        <v>0.496</v>
      </c>
      <c r="E877" s="10">
        <v>0.496</v>
      </c>
      <c r="F877" s="10">
        <v>0.496</v>
      </c>
      <c r="G877" s="10">
        <v>0.496</v>
      </c>
      <c r="H877" s="10">
        <v>0</v>
      </c>
      <c r="I877" s="10">
        <v>0</v>
      </c>
      <c r="J877" s="10">
        <v>0</v>
      </c>
    </row>
    <row r="878" spans="1:10" hidden="1">
      <c r="A878" s="57" t="s">
        <v>299</v>
      </c>
      <c r="B878" s="10" t="s">
        <v>170</v>
      </c>
      <c r="C878" s="10">
        <v>0</v>
      </c>
      <c r="D878" s="10">
        <v>0</v>
      </c>
      <c r="E878" s="10">
        <v>0</v>
      </c>
      <c r="F878" s="10">
        <v>0</v>
      </c>
      <c r="G878" s="10">
        <v>0</v>
      </c>
      <c r="H878" s="10">
        <v>0</v>
      </c>
      <c r="I878" s="10">
        <v>0</v>
      </c>
      <c r="J878" s="10">
        <v>0</v>
      </c>
    </row>
    <row r="879" spans="1:10" hidden="1">
      <c r="A879" s="57" t="s">
        <v>299</v>
      </c>
      <c r="B879" s="10" t="s">
        <v>97</v>
      </c>
      <c r="C879" s="10">
        <v>5.0999999999999996</v>
      </c>
      <c r="D879" s="10">
        <v>5.0999999999999996</v>
      </c>
      <c r="E879" s="10">
        <v>5.0999999999999996</v>
      </c>
      <c r="F879" s="10">
        <v>4.3589483938534563</v>
      </c>
      <c r="G879" s="10">
        <v>2.6762691911355572</v>
      </c>
      <c r="H879" s="10">
        <v>0</v>
      </c>
      <c r="I879" s="10">
        <v>0</v>
      </c>
      <c r="J879" s="10">
        <v>0</v>
      </c>
    </row>
    <row r="880" spans="1:10" hidden="1">
      <c r="A880" s="61" t="s">
        <v>299</v>
      </c>
      <c r="B880" s="62" t="s">
        <v>339</v>
      </c>
      <c r="C880" s="10">
        <v>4.6727811216203303</v>
      </c>
      <c r="D880" s="10">
        <v>5</v>
      </c>
      <c r="E880" s="10">
        <v>5</v>
      </c>
      <c r="F880" s="10">
        <v>5</v>
      </c>
      <c r="G880" s="10">
        <v>5</v>
      </c>
      <c r="H880" s="10">
        <v>5</v>
      </c>
      <c r="I880" s="10">
        <v>5</v>
      </c>
      <c r="J880" s="10">
        <v>5</v>
      </c>
    </row>
    <row r="881" spans="1:10" hidden="1">
      <c r="A881" s="10" t="s">
        <v>300</v>
      </c>
      <c r="B881" s="10" t="s">
        <v>475</v>
      </c>
      <c r="C881" s="10">
        <v>0.57226059880239522</v>
      </c>
      <c r="D881" s="10">
        <v>0.57226059880239522</v>
      </c>
      <c r="E881" s="10">
        <v>0.50182852510363885</v>
      </c>
      <c r="F881" s="10">
        <v>0.43139645140488253</v>
      </c>
      <c r="G881" s="10">
        <v>0.21569822570244127</v>
      </c>
      <c r="H881" s="10">
        <v>0</v>
      </c>
      <c r="I881" s="10">
        <v>0</v>
      </c>
      <c r="J881" s="10">
        <v>0</v>
      </c>
    </row>
    <row r="882" spans="1:10" hidden="1">
      <c r="A882" s="10" t="s">
        <v>300</v>
      </c>
      <c r="B882" s="10" t="s">
        <v>481</v>
      </c>
      <c r="C882" s="10">
        <v>1.0701654905573399</v>
      </c>
      <c r="D882" s="10">
        <v>0.57016549055734678</v>
      </c>
      <c r="E882" s="10">
        <v>0.57505008588143613</v>
      </c>
      <c r="F882" s="10">
        <v>0.5799346812055256</v>
      </c>
      <c r="G882" s="10">
        <v>0.5799346812055256</v>
      </c>
      <c r="H882" s="10">
        <v>0.5799346812055256</v>
      </c>
      <c r="I882" s="10">
        <v>0.2899673406027628</v>
      </c>
      <c r="J882" s="10">
        <v>0</v>
      </c>
    </row>
    <row r="883" spans="1:10" hidden="1">
      <c r="A883" s="10" t="s">
        <v>300</v>
      </c>
      <c r="B883" s="10" t="s">
        <v>485</v>
      </c>
      <c r="C883" s="10">
        <v>8.725442653155227E-2</v>
      </c>
      <c r="D883" s="10">
        <v>8.725442653155227E-2</v>
      </c>
      <c r="E883" s="10">
        <v>4.3627213265776135E-2</v>
      </c>
      <c r="F883" s="10">
        <v>0</v>
      </c>
      <c r="G883" s="10">
        <v>0</v>
      </c>
      <c r="H883" s="10">
        <v>0</v>
      </c>
      <c r="I883" s="10">
        <v>0</v>
      </c>
      <c r="J883" s="10">
        <v>0</v>
      </c>
    </row>
    <row r="884" spans="1:10" hidden="1">
      <c r="A884" s="57" t="s">
        <v>300</v>
      </c>
      <c r="B884" s="10" t="s">
        <v>142</v>
      </c>
      <c r="C884" s="10">
        <v>0</v>
      </c>
      <c r="D884" s="10">
        <v>0</v>
      </c>
      <c r="E884" s="10">
        <v>0</v>
      </c>
      <c r="F884" s="10">
        <v>0</v>
      </c>
      <c r="G884" s="10">
        <v>0</v>
      </c>
      <c r="H884" s="10">
        <v>0</v>
      </c>
      <c r="I884" s="10">
        <v>0</v>
      </c>
      <c r="J884" s="10">
        <v>0</v>
      </c>
    </row>
    <row r="885" spans="1:10" hidden="1">
      <c r="A885" s="58" t="s">
        <v>300</v>
      </c>
      <c r="B885" s="58" t="s">
        <v>243</v>
      </c>
      <c r="C885" s="58">
        <v>0.42959999999999998</v>
      </c>
      <c r="D885" s="58">
        <v>0.38669999999999999</v>
      </c>
      <c r="E885" s="58">
        <v>0.29969999999999997</v>
      </c>
      <c r="F885" s="58">
        <v>0.17989999999999998</v>
      </c>
      <c r="G885" s="58">
        <v>0.09</v>
      </c>
      <c r="H885" s="58">
        <v>3.5999999999999997E-2</v>
      </c>
      <c r="I885" s="58">
        <v>7.1999999999999998E-3</v>
      </c>
      <c r="J885" s="58">
        <v>0</v>
      </c>
    </row>
    <row r="886" spans="1:10" hidden="1">
      <c r="A886" s="58" t="s">
        <v>300</v>
      </c>
      <c r="B886" s="58" t="s">
        <v>244</v>
      </c>
      <c r="C886" s="58">
        <v>0.19109999999999999</v>
      </c>
      <c r="D886" s="58">
        <v>0.17199999999999999</v>
      </c>
      <c r="E886" s="58">
        <v>0.1333</v>
      </c>
      <c r="F886" s="58">
        <v>0.08</v>
      </c>
      <c r="G886" s="58">
        <v>0.04</v>
      </c>
      <c r="H886" s="58">
        <v>1.6E-2</v>
      </c>
      <c r="I886" s="58">
        <v>3.2000000000000002E-3</v>
      </c>
      <c r="J886" s="58">
        <v>0</v>
      </c>
    </row>
    <row r="887" spans="1:10" hidden="1">
      <c r="A887" s="58" t="s">
        <v>300</v>
      </c>
      <c r="B887" s="58" t="s">
        <v>245</v>
      </c>
      <c r="C887" s="58">
        <v>0.23809999999999998</v>
      </c>
      <c r="D887" s="58">
        <v>0.21429999999999999</v>
      </c>
      <c r="E887" s="58">
        <v>0.1661</v>
      </c>
      <c r="F887" s="58">
        <v>9.9699999999999997E-2</v>
      </c>
      <c r="G887" s="58">
        <v>4.99E-2</v>
      </c>
      <c r="H887" s="58">
        <v>0.02</v>
      </c>
      <c r="I887" s="58">
        <v>4.0000000000000001E-3</v>
      </c>
      <c r="J887" s="58">
        <v>0</v>
      </c>
    </row>
    <row r="888" spans="1:10" hidden="1">
      <c r="A888" s="58" t="s">
        <v>300</v>
      </c>
      <c r="B888" s="58" t="s">
        <v>217</v>
      </c>
      <c r="C888" s="58">
        <v>2.9369000000000001</v>
      </c>
      <c r="D888" s="58">
        <v>2.6433000000000004</v>
      </c>
      <c r="E888" s="58">
        <v>2.0486000000000004</v>
      </c>
      <c r="F888" s="58">
        <v>1.2292000000000001</v>
      </c>
      <c r="G888" s="58">
        <v>0.61460000000000004</v>
      </c>
      <c r="H888" s="58">
        <v>0.24589999999999998</v>
      </c>
      <c r="I888" s="58">
        <v>4.9200000000000001E-2</v>
      </c>
      <c r="J888" s="58">
        <v>0</v>
      </c>
    </row>
    <row r="889" spans="1:10" hidden="1">
      <c r="A889" s="58" t="s">
        <v>300</v>
      </c>
      <c r="B889" s="58" t="s">
        <v>237</v>
      </c>
      <c r="C889" s="58">
        <v>1.5238</v>
      </c>
      <c r="D889" s="58">
        <v>1.3714999999999999</v>
      </c>
      <c r="E889" s="58">
        <v>1.0629999999999999</v>
      </c>
      <c r="F889" s="58">
        <v>0.63780000000000003</v>
      </c>
      <c r="G889" s="58">
        <v>0.31890000000000002</v>
      </c>
      <c r="H889" s="58">
        <v>0.12759999999999999</v>
      </c>
      <c r="I889" s="58">
        <v>2.5599999999999998E-2</v>
      </c>
      <c r="J889" s="58">
        <v>0</v>
      </c>
    </row>
    <row r="890" spans="1:10" hidden="1">
      <c r="A890" s="58" t="s">
        <v>300</v>
      </c>
      <c r="B890" s="58" t="s">
        <v>226</v>
      </c>
      <c r="C890" s="58">
        <v>12</v>
      </c>
      <c r="D890" s="58">
        <v>10.8</v>
      </c>
      <c r="E890" s="58">
        <v>8.3699999999999992</v>
      </c>
      <c r="F890" s="58">
        <v>5.0220000000000002</v>
      </c>
      <c r="G890" s="58">
        <v>2.5110000000000001</v>
      </c>
      <c r="H890" s="58">
        <v>1.0044</v>
      </c>
      <c r="I890" s="58">
        <v>0.2009</v>
      </c>
      <c r="J890" s="58">
        <v>0</v>
      </c>
    </row>
    <row r="891" spans="1:10" hidden="1">
      <c r="A891" s="58" t="s">
        <v>300</v>
      </c>
      <c r="B891" s="58" t="s">
        <v>227</v>
      </c>
      <c r="C891" s="58">
        <v>2.5911</v>
      </c>
      <c r="D891" s="58">
        <v>2.3320000000000003</v>
      </c>
      <c r="E891" s="58">
        <v>1.8072999999999999</v>
      </c>
      <c r="F891" s="58">
        <v>1.0844</v>
      </c>
      <c r="G891" s="58">
        <v>0.54220000000000002</v>
      </c>
      <c r="H891" s="58">
        <v>0.21689999999999998</v>
      </c>
      <c r="I891" s="58">
        <v>4.3400000000000001E-2</v>
      </c>
      <c r="J891" s="58">
        <v>0</v>
      </c>
    </row>
    <row r="892" spans="1:10" hidden="1">
      <c r="A892" s="58" t="s">
        <v>300</v>
      </c>
      <c r="B892" s="58" t="s">
        <v>206</v>
      </c>
      <c r="C892" s="58">
        <v>1.0387</v>
      </c>
      <c r="D892" s="58">
        <v>0.93489999999999995</v>
      </c>
      <c r="E892" s="58">
        <v>0.72460000000000002</v>
      </c>
      <c r="F892" s="58">
        <v>0.43479999999999996</v>
      </c>
      <c r="G892" s="58">
        <v>0.21740000000000001</v>
      </c>
      <c r="H892" s="58">
        <v>8.7000000000000008E-2</v>
      </c>
      <c r="I892" s="58">
        <v>1.7399999999999999E-2</v>
      </c>
    </row>
    <row r="893" spans="1:10" hidden="1">
      <c r="A893" s="58" t="s">
        <v>300</v>
      </c>
      <c r="B893" s="58" t="s">
        <v>233</v>
      </c>
      <c r="C893" s="58">
        <v>1.6531</v>
      </c>
      <c r="D893" s="58">
        <v>1.4878</v>
      </c>
      <c r="E893" s="58">
        <v>1.1531</v>
      </c>
      <c r="F893" s="58">
        <v>0.69189999999999996</v>
      </c>
      <c r="G893" s="58">
        <v>0.34599999999999997</v>
      </c>
      <c r="H893" s="58">
        <v>0.1384</v>
      </c>
      <c r="I893" s="58">
        <v>2.7699999999999999E-2</v>
      </c>
    </row>
    <row r="894" spans="1:10" hidden="1">
      <c r="A894" s="58" t="s">
        <v>300</v>
      </c>
      <c r="B894" s="58" t="s">
        <v>224</v>
      </c>
      <c r="C894" s="58">
        <v>9.7439</v>
      </c>
      <c r="D894" s="58">
        <v>8.7696000000000005</v>
      </c>
      <c r="E894" s="58">
        <v>6.7965</v>
      </c>
      <c r="F894" s="58">
        <v>4.0778999999999996</v>
      </c>
      <c r="G894" s="58">
        <v>2.0390000000000001</v>
      </c>
      <c r="H894" s="58">
        <v>0.81559999999999999</v>
      </c>
      <c r="I894" s="58">
        <v>0.16319999999999998</v>
      </c>
    </row>
    <row r="895" spans="1:10" hidden="1">
      <c r="A895" s="58" t="s">
        <v>300</v>
      </c>
      <c r="B895" s="58" t="s">
        <v>225</v>
      </c>
      <c r="C895" s="58">
        <v>0.8085</v>
      </c>
      <c r="D895" s="58">
        <v>0.72770000000000001</v>
      </c>
      <c r="E895" s="58">
        <v>0.56399999999999995</v>
      </c>
      <c r="F895" s="58">
        <v>0.33839999999999998</v>
      </c>
      <c r="G895" s="58">
        <v>0.16919999999999999</v>
      </c>
      <c r="H895" s="58">
        <v>6.7699999999999996E-2</v>
      </c>
      <c r="I895" s="58">
        <v>1.3599999999999999E-2</v>
      </c>
    </row>
    <row r="896" spans="1:10" hidden="1">
      <c r="A896" s="58" t="s">
        <v>300</v>
      </c>
      <c r="B896" s="58" t="s">
        <v>228</v>
      </c>
      <c r="C896" s="58">
        <v>9.7600000000000006E-2</v>
      </c>
      <c r="D896" s="58">
        <v>8.7900000000000006E-2</v>
      </c>
      <c r="E896" s="58">
        <v>6.8199999999999997E-2</v>
      </c>
      <c r="F896" s="58">
        <v>4.1000000000000002E-2</v>
      </c>
      <c r="G896" s="58">
        <v>2.0500000000000001E-2</v>
      </c>
      <c r="H896" s="58">
        <v>8.2000000000000007E-3</v>
      </c>
      <c r="I896" s="58">
        <v>1.7000000000000001E-3</v>
      </c>
      <c r="J896" s="58">
        <v>0</v>
      </c>
    </row>
    <row r="897" spans="1:10" hidden="1">
      <c r="A897" s="58" t="s">
        <v>300</v>
      </c>
      <c r="B897" s="58" t="s">
        <v>230</v>
      </c>
      <c r="C897" s="58">
        <v>13.720800000000001</v>
      </c>
      <c r="D897" s="58">
        <v>12.348799999999999</v>
      </c>
      <c r="E897" s="58">
        <v>9.5703999999999994</v>
      </c>
      <c r="F897" s="58">
        <v>5.7423000000000002</v>
      </c>
      <c r="G897" s="58">
        <v>2.8712000000000004</v>
      </c>
      <c r="H897" s="58">
        <v>1.1485000000000001</v>
      </c>
      <c r="I897" s="58">
        <v>0.22969999999999999</v>
      </c>
      <c r="J897" s="58">
        <v>0</v>
      </c>
    </row>
    <row r="898" spans="1:10" hidden="1">
      <c r="A898" s="58" t="s">
        <v>300</v>
      </c>
      <c r="B898" s="58" t="s">
        <v>229</v>
      </c>
      <c r="C898" s="58">
        <v>6.3899999999999998E-2</v>
      </c>
      <c r="D898" s="58">
        <v>5.7600000000000005E-2</v>
      </c>
      <c r="E898" s="58">
        <v>4.4700000000000004E-2</v>
      </c>
      <c r="F898" s="58">
        <v>2.69E-2</v>
      </c>
      <c r="G898" s="58">
        <v>1.35E-2</v>
      </c>
      <c r="H898" s="58">
        <v>5.4000000000000003E-3</v>
      </c>
      <c r="I898" s="58">
        <v>1.1000000000000001E-3</v>
      </c>
      <c r="J898" s="58">
        <v>0</v>
      </c>
    </row>
    <row r="899" spans="1:10" hidden="1">
      <c r="A899" s="58" t="s">
        <v>300</v>
      </c>
      <c r="B899" s="58" t="s">
        <v>231</v>
      </c>
      <c r="C899" s="58">
        <v>0.35020000000000001</v>
      </c>
      <c r="D899" s="58">
        <v>0.31519999999999998</v>
      </c>
      <c r="E899" s="58">
        <v>0.24429999999999999</v>
      </c>
      <c r="F899" s="58">
        <v>0.14659999999999998</v>
      </c>
      <c r="G899" s="58">
        <v>7.3300000000000004E-2</v>
      </c>
      <c r="H899" s="58">
        <v>2.9399999999999999E-2</v>
      </c>
      <c r="I899" s="58">
        <v>5.8999999999999999E-3</v>
      </c>
      <c r="J899" s="58">
        <v>0</v>
      </c>
    </row>
    <row r="900" spans="1:10" hidden="1">
      <c r="A900" s="58" t="s">
        <v>300</v>
      </c>
      <c r="B900" s="58" t="s">
        <v>240</v>
      </c>
      <c r="C900" s="58">
        <v>5.3100000000000001E-2</v>
      </c>
      <c r="D900" s="58">
        <v>4.7800000000000002E-2</v>
      </c>
      <c r="E900" s="58">
        <v>3.7100000000000001E-2</v>
      </c>
      <c r="F900" s="58">
        <v>2.23E-2</v>
      </c>
      <c r="G900" s="58">
        <v>1.12E-2</v>
      </c>
      <c r="H900" s="58">
        <v>4.5000000000000005E-3</v>
      </c>
      <c r="I900" s="58">
        <v>8.9999999999999998E-4</v>
      </c>
      <c r="J900" s="58">
        <v>0</v>
      </c>
    </row>
    <row r="901" spans="1:10" hidden="1">
      <c r="A901" s="57" t="s">
        <v>300</v>
      </c>
      <c r="B901" s="10" t="s">
        <v>163</v>
      </c>
      <c r="C901" s="10">
        <v>0.61299999999999999</v>
      </c>
      <c r="D901" s="10">
        <v>0.61299999999999999</v>
      </c>
      <c r="E901" s="10">
        <v>0.61299999999999999</v>
      </c>
      <c r="F901" s="10">
        <v>0.30649999999999999</v>
      </c>
      <c r="G901" s="10">
        <v>0.15325</v>
      </c>
      <c r="H901" s="10">
        <v>0</v>
      </c>
      <c r="I901" s="10">
        <v>0</v>
      </c>
      <c r="J901" s="10">
        <v>0</v>
      </c>
    </row>
    <row r="902" spans="1:10" hidden="1">
      <c r="A902" s="57" t="s">
        <v>300</v>
      </c>
      <c r="B902" s="10" t="s">
        <v>107</v>
      </c>
      <c r="C902" s="10">
        <v>1.756</v>
      </c>
      <c r="D902" s="10">
        <v>1.756</v>
      </c>
      <c r="E902" s="10">
        <v>1.756</v>
      </c>
      <c r="F902" s="10">
        <v>1.756</v>
      </c>
      <c r="G902" s="10">
        <v>1.4680085197018105</v>
      </c>
      <c r="H902" s="10">
        <v>0.58720340788072423</v>
      </c>
      <c r="I902" s="10">
        <v>0</v>
      </c>
      <c r="J902" s="10">
        <v>0</v>
      </c>
    </row>
    <row r="903" spans="1:10" hidden="1">
      <c r="A903" s="57" t="s">
        <v>300</v>
      </c>
      <c r="B903" s="10" t="s">
        <v>106</v>
      </c>
      <c r="C903" s="10">
        <v>0</v>
      </c>
      <c r="D903" s="10">
        <v>0</v>
      </c>
      <c r="E903" s="10">
        <v>0</v>
      </c>
      <c r="F903" s="10">
        <v>0</v>
      </c>
      <c r="G903" s="10">
        <v>0</v>
      </c>
      <c r="H903" s="10">
        <v>0</v>
      </c>
      <c r="I903" s="10">
        <v>0</v>
      </c>
      <c r="J903" s="10">
        <v>0</v>
      </c>
    </row>
    <row r="904" spans="1:10" hidden="1">
      <c r="A904" s="57" t="s">
        <v>300</v>
      </c>
      <c r="B904" s="10" t="s">
        <v>22</v>
      </c>
      <c r="C904" s="10">
        <v>3.8290000000000002</v>
      </c>
      <c r="D904" s="10">
        <v>3.8175504376603291</v>
      </c>
      <c r="E904" s="10">
        <v>3.8175504376603291</v>
      </c>
      <c r="F904" s="10">
        <v>3.8169126170666199</v>
      </c>
      <c r="G904" s="10">
        <v>3.8037366865116957</v>
      </c>
      <c r="H904" s="10">
        <v>2.8147546537585866</v>
      </c>
      <c r="I904" s="10">
        <v>1.9636473096783238</v>
      </c>
      <c r="J904" s="10">
        <v>0.69401521004711486</v>
      </c>
    </row>
    <row r="905" spans="1:10" hidden="1">
      <c r="A905" s="10" t="s">
        <v>300</v>
      </c>
      <c r="B905" s="10" t="s">
        <v>488</v>
      </c>
      <c r="C905" s="10">
        <v>3.8919520000000003</v>
      </c>
      <c r="D905" s="10">
        <v>3.8919520000000003</v>
      </c>
      <c r="E905" s="10">
        <v>3.3888400601692266</v>
      </c>
      <c r="F905" s="10">
        <v>2.8857281203384524</v>
      </c>
      <c r="G905" s="10">
        <v>2.8857281203384524</v>
      </c>
      <c r="H905" s="10">
        <v>2.8857281203384524</v>
      </c>
      <c r="I905" s="10">
        <v>1.4428640601692262</v>
      </c>
      <c r="J905" s="10">
        <v>0</v>
      </c>
    </row>
    <row r="906" spans="1:10" hidden="1">
      <c r="A906" s="10" t="s">
        <v>300</v>
      </c>
      <c r="B906" s="10" t="s">
        <v>490</v>
      </c>
      <c r="C906" s="10">
        <v>0</v>
      </c>
      <c r="D906" s="10">
        <v>0</v>
      </c>
      <c r="E906" s="10">
        <v>0</v>
      </c>
      <c r="F906" s="10">
        <v>0</v>
      </c>
      <c r="G906" s="10">
        <v>0</v>
      </c>
      <c r="H906" s="10">
        <v>0</v>
      </c>
      <c r="I906" s="10">
        <v>0</v>
      </c>
      <c r="J906" s="10">
        <v>0</v>
      </c>
    </row>
    <row r="907" spans="1:10" hidden="1">
      <c r="A907" s="57" t="s">
        <v>300</v>
      </c>
      <c r="B907" s="10" t="s">
        <v>23</v>
      </c>
      <c r="C907" s="10">
        <v>0</v>
      </c>
      <c r="D907" s="10">
        <v>0</v>
      </c>
      <c r="E907" s="10">
        <v>0</v>
      </c>
      <c r="F907" s="10">
        <v>0</v>
      </c>
      <c r="G907" s="10">
        <v>0</v>
      </c>
      <c r="H907" s="10">
        <v>0</v>
      </c>
      <c r="I907" s="10">
        <v>0</v>
      </c>
      <c r="J907" s="10">
        <v>0</v>
      </c>
    </row>
    <row r="908" spans="1:10" hidden="1">
      <c r="A908" s="57" t="s">
        <v>300</v>
      </c>
      <c r="B908" s="10" t="s">
        <v>58</v>
      </c>
      <c r="C908" s="10">
        <v>1.3185</v>
      </c>
      <c r="D908" s="10">
        <v>0.79110000000000003</v>
      </c>
      <c r="E908" s="10">
        <v>0.13184999999999999</v>
      </c>
      <c r="F908" s="10">
        <v>0</v>
      </c>
      <c r="G908" s="10">
        <v>0</v>
      </c>
      <c r="H908" s="10">
        <v>0</v>
      </c>
      <c r="I908" s="10">
        <v>0</v>
      </c>
      <c r="J908" s="10">
        <v>0</v>
      </c>
    </row>
    <row r="909" spans="1:10" hidden="1">
      <c r="A909" s="58" t="s">
        <v>300</v>
      </c>
      <c r="B909" s="58" t="s">
        <v>102</v>
      </c>
      <c r="C909" s="58">
        <v>0</v>
      </c>
      <c r="D909" s="58">
        <v>0</v>
      </c>
      <c r="E909" s="58">
        <v>0</v>
      </c>
      <c r="F909" s="58">
        <v>0</v>
      </c>
      <c r="G909" s="58">
        <v>0</v>
      </c>
      <c r="H909" s="58">
        <v>0</v>
      </c>
      <c r="I909" s="58">
        <v>0</v>
      </c>
      <c r="J909" s="58">
        <v>0</v>
      </c>
    </row>
    <row r="910" spans="1:10" hidden="1">
      <c r="A910" s="57" t="s">
        <v>300</v>
      </c>
      <c r="B910" s="10" t="s">
        <v>103</v>
      </c>
      <c r="C910" s="10">
        <v>4.3730000000000002</v>
      </c>
      <c r="D910" s="10">
        <v>4.3730000000000002</v>
      </c>
      <c r="E910" s="10">
        <v>4.3730000000000002</v>
      </c>
      <c r="F910" s="10">
        <v>4.3730000000000002</v>
      </c>
      <c r="G910" s="10">
        <v>4.3730000000000002</v>
      </c>
      <c r="H910" s="10">
        <v>4.3730000000000002</v>
      </c>
      <c r="I910" s="10">
        <v>4.3730000000000002</v>
      </c>
      <c r="J910" s="10">
        <v>4.3730000000000002</v>
      </c>
    </row>
    <row r="911" spans="1:10" hidden="1">
      <c r="A911" s="57" t="s">
        <v>300</v>
      </c>
      <c r="B911" s="10" t="s">
        <v>94</v>
      </c>
      <c r="C911" s="10">
        <v>0.66</v>
      </c>
      <c r="D911" s="10">
        <v>0.66</v>
      </c>
      <c r="E911" s="10">
        <v>0.66</v>
      </c>
      <c r="F911" s="10">
        <v>0.66</v>
      </c>
      <c r="G911" s="10">
        <v>0.66</v>
      </c>
      <c r="H911" s="10">
        <v>0</v>
      </c>
      <c r="I911" s="10">
        <v>0</v>
      </c>
      <c r="J911" s="10">
        <v>0</v>
      </c>
    </row>
    <row r="912" spans="1:10" hidden="1">
      <c r="A912" s="57" t="s">
        <v>300</v>
      </c>
      <c r="B912" s="10" t="s">
        <v>170</v>
      </c>
      <c r="C912" s="10">
        <v>0</v>
      </c>
      <c r="D912" s="10">
        <v>0</v>
      </c>
      <c r="E912" s="10">
        <v>0</v>
      </c>
      <c r="F912" s="10">
        <v>0</v>
      </c>
      <c r="G912" s="10">
        <v>0</v>
      </c>
      <c r="H912" s="10">
        <v>0</v>
      </c>
      <c r="I912" s="10">
        <v>0</v>
      </c>
      <c r="J912" s="10">
        <v>0</v>
      </c>
    </row>
    <row r="913" spans="1:10" hidden="1">
      <c r="A913" s="57" t="s">
        <v>300</v>
      </c>
      <c r="B913" s="10" t="s">
        <v>97</v>
      </c>
      <c r="C913" s="10">
        <v>4.9420000000000002</v>
      </c>
      <c r="D913" s="10">
        <v>4.9420000000000002</v>
      </c>
      <c r="E913" s="10">
        <v>4.9420000000000002</v>
      </c>
      <c r="F913" s="10">
        <v>3.5554110156366838</v>
      </c>
      <c r="G913" s="10">
        <v>0.37147739677012798</v>
      </c>
      <c r="H913" s="10">
        <v>0</v>
      </c>
      <c r="I913" s="10">
        <v>0</v>
      </c>
      <c r="J913" s="10">
        <v>0</v>
      </c>
    </row>
    <row r="914" spans="1:10" hidden="1">
      <c r="A914" s="61" t="s">
        <v>300</v>
      </c>
      <c r="B914" s="62" t="s">
        <v>339</v>
      </c>
      <c r="C914" s="10">
        <v>7.6</v>
      </c>
      <c r="D914" s="10">
        <v>7.9</v>
      </c>
      <c r="E914" s="10">
        <v>7.9</v>
      </c>
      <c r="F914" s="10">
        <v>7.9</v>
      </c>
      <c r="G914" s="10">
        <v>7.9</v>
      </c>
      <c r="H914" s="10">
        <v>7.9</v>
      </c>
      <c r="I914" s="10">
        <v>7.9</v>
      </c>
      <c r="J914" s="10">
        <v>7.9</v>
      </c>
    </row>
    <row r="915" spans="1:10" hidden="1">
      <c r="A915" s="10" t="s">
        <v>301</v>
      </c>
      <c r="B915" s="10" t="s">
        <v>475</v>
      </c>
      <c r="C915" s="10">
        <v>9.1554356650857455E-2</v>
      </c>
      <c r="D915" s="10">
        <v>9.1554356650857455E-2</v>
      </c>
      <c r="E915" s="10">
        <v>8.028612813998269E-2</v>
      </c>
      <c r="F915" s="10">
        <v>6.9017899629107926E-2</v>
      </c>
      <c r="G915" s="10">
        <v>3.4508949814553963E-2</v>
      </c>
      <c r="H915" s="10">
        <v>0</v>
      </c>
      <c r="I915" s="10">
        <v>0</v>
      </c>
      <c r="J915" s="10">
        <v>0</v>
      </c>
    </row>
    <row r="916" spans="1:10" hidden="1">
      <c r="A916" s="10" t="s">
        <v>301</v>
      </c>
      <c r="B916" s="10" t="s">
        <v>108</v>
      </c>
      <c r="C916" s="10">
        <v>0.11850572897707229</v>
      </c>
      <c r="D916" s="10">
        <v>0.11850572897707229</v>
      </c>
      <c r="E916" s="10">
        <v>0.11850572897707229</v>
      </c>
      <c r="F916" s="10">
        <v>0.11850572897707229</v>
      </c>
      <c r="G916" s="10">
        <v>7.4863392526592409E-2</v>
      </c>
      <c r="H916" s="10">
        <v>3.1221056076112527E-2</v>
      </c>
      <c r="I916" s="10">
        <v>1.5610528038056263E-2</v>
      </c>
      <c r="J916" s="10">
        <v>0</v>
      </c>
    </row>
    <row r="917" spans="1:10" hidden="1">
      <c r="A917" s="10" t="s">
        <v>301</v>
      </c>
      <c r="B917" s="10" t="s">
        <v>109</v>
      </c>
      <c r="C917" s="10">
        <v>0.26094016283924049</v>
      </c>
      <c r="D917" s="10">
        <v>0.26094016283924049</v>
      </c>
      <c r="E917" s="10">
        <v>0.13047008141962024</v>
      </c>
      <c r="F917" s="10">
        <v>0</v>
      </c>
      <c r="G917" s="10">
        <v>0</v>
      </c>
      <c r="H917" s="10">
        <v>0</v>
      </c>
      <c r="I917" s="10">
        <v>0</v>
      </c>
      <c r="J917" s="10">
        <v>0</v>
      </c>
    </row>
    <row r="918" spans="1:10" hidden="1">
      <c r="A918" s="10" t="s">
        <v>301</v>
      </c>
      <c r="B918" s="10" t="s">
        <v>481</v>
      </c>
      <c r="C918" s="10">
        <v>1.0925291511869839</v>
      </c>
      <c r="D918" s="10">
        <v>1.0925291511869839</v>
      </c>
      <c r="E918" s="10">
        <v>0.66049190674626257</v>
      </c>
      <c r="F918" s="10">
        <v>0.22845466230554132</v>
      </c>
      <c r="G918" s="10">
        <v>0.22845466230554132</v>
      </c>
      <c r="H918" s="10">
        <v>0.22845466230554132</v>
      </c>
      <c r="I918" s="10">
        <v>0.11422733115277066</v>
      </c>
      <c r="J918" s="10">
        <v>0</v>
      </c>
    </row>
    <row r="919" spans="1:10" hidden="1">
      <c r="A919" s="10" t="s">
        <v>301</v>
      </c>
      <c r="B919" s="10" t="s">
        <v>485</v>
      </c>
      <c r="C919" s="10">
        <v>4.931939778498598E-2</v>
      </c>
      <c r="D919" s="10">
        <v>4.931939778498598E-2</v>
      </c>
      <c r="E919" s="10">
        <v>2.465969889249299E-2</v>
      </c>
      <c r="F919" s="10">
        <v>0</v>
      </c>
      <c r="G919" s="10">
        <v>0</v>
      </c>
      <c r="H919" s="10">
        <v>0</v>
      </c>
      <c r="I919" s="10">
        <v>0</v>
      </c>
      <c r="J919" s="10">
        <v>0</v>
      </c>
    </row>
    <row r="920" spans="1:10" hidden="1">
      <c r="A920" s="57" t="s">
        <v>301</v>
      </c>
      <c r="B920" s="10" t="s">
        <v>142</v>
      </c>
      <c r="C920" s="10">
        <v>0</v>
      </c>
      <c r="D920" s="10">
        <v>0</v>
      </c>
      <c r="E920" s="10">
        <v>0</v>
      </c>
      <c r="F920" s="10">
        <v>0</v>
      </c>
      <c r="G920" s="10">
        <v>0</v>
      </c>
      <c r="H920" s="10">
        <v>0</v>
      </c>
      <c r="I920" s="10">
        <v>0</v>
      </c>
      <c r="J920" s="10">
        <v>0</v>
      </c>
    </row>
    <row r="921" spans="1:10" hidden="1">
      <c r="A921" s="58" t="s">
        <v>301</v>
      </c>
      <c r="B921" s="58" t="s">
        <v>243</v>
      </c>
      <c r="C921" s="58">
        <v>4.5861000000000001</v>
      </c>
      <c r="D921" s="58">
        <v>4.1274999999999995</v>
      </c>
      <c r="E921" s="58">
        <v>3.1989000000000001</v>
      </c>
      <c r="F921" s="58">
        <v>1.9194</v>
      </c>
      <c r="G921" s="58">
        <v>0.9597</v>
      </c>
      <c r="H921" s="58">
        <v>0.38389999999999996</v>
      </c>
      <c r="I921" s="58">
        <v>7.6800000000000007E-2</v>
      </c>
      <c r="J921" s="58">
        <v>0</v>
      </c>
    </row>
    <row r="922" spans="1:10" hidden="1">
      <c r="A922" s="58" t="s">
        <v>301</v>
      </c>
      <c r="B922" s="58" t="s">
        <v>244</v>
      </c>
      <c r="C922" s="58">
        <v>1.0330999999999999</v>
      </c>
      <c r="D922" s="58">
        <v>0.92979999999999996</v>
      </c>
      <c r="E922" s="58">
        <v>0.72060000000000002</v>
      </c>
      <c r="F922" s="58">
        <v>0.43240000000000001</v>
      </c>
      <c r="G922" s="58">
        <v>0.2162</v>
      </c>
      <c r="H922" s="58">
        <v>8.6500000000000007E-2</v>
      </c>
      <c r="I922" s="58">
        <v>1.7299999999999999E-2</v>
      </c>
      <c r="J922" s="58">
        <v>0</v>
      </c>
    </row>
    <row r="923" spans="1:10" hidden="1">
      <c r="A923" s="58" t="s">
        <v>301</v>
      </c>
      <c r="B923" s="58" t="s">
        <v>245</v>
      </c>
      <c r="C923" s="58">
        <v>0.31819999999999998</v>
      </c>
      <c r="D923" s="58">
        <v>0.28639999999999999</v>
      </c>
      <c r="E923" s="58">
        <v>0.22199999999999998</v>
      </c>
      <c r="F923" s="58">
        <v>0.13320000000000001</v>
      </c>
      <c r="G923" s="58">
        <v>6.6600000000000006E-2</v>
      </c>
      <c r="H923" s="58">
        <v>2.6699999999999998E-2</v>
      </c>
      <c r="I923" s="58">
        <v>5.4000000000000003E-3</v>
      </c>
      <c r="J923" s="58">
        <v>0</v>
      </c>
    </row>
    <row r="924" spans="1:10" hidden="1">
      <c r="A924" s="58" t="s">
        <v>301</v>
      </c>
      <c r="B924" s="58" t="s">
        <v>217</v>
      </c>
      <c r="C924" s="58">
        <v>8.6400000000000005E-2</v>
      </c>
      <c r="D924" s="58">
        <v>7.7800000000000008E-2</v>
      </c>
      <c r="E924" s="58">
        <v>6.0299999999999999E-2</v>
      </c>
      <c r="F924" s="58">
        <v>3.6200000000000003E-2</v>
      </c>
      <c r="G924" s="58">
        <v>1.8100000000000002E-2</v>
      </c>
      <c r="H924" s="58">
        <v>7.3000000000000001E-3</v>
      </c>
      <c r="I924" s="58">
        <v>1.5E-3</v>
      </c>
      <c r="J924" s="58">
        <v>0</v>
      </c>
    </row>
    <row r="925" spans="1:10" hidden="1">
      <c r="A925" s="58" t="s">
        <v>301</v>
      </c>
      <c r="B925" s="58" t="s">
        <v>237</v>
      </c>
      <c r="C925" s="58">
        <v>2.7199999999999998E-2</v>
      </c>
      <c r="D925" s="58">
        <v>2.4500000000000001E-2</v>
      </c>
      <c r="E925" s="58">
        <v>1.9E-2</v>
      </c>
      <c r="F925" s="58">
        <v>1.14E-2</v>
      </c>
      <c r="G925" s="58">
        <v>5.7000000000000002E-3</v>
      </c>
      <c r="H925" s="58">
        <v>2.3E-3</v>
      </c>
      <c r="I925" s="58">
        <v>5.0000000000000001E-4</v>
      </c>
      <c r="J925" s="58">
        <v>0</v>
      </c>
    </row>
    <row r="926" spans="1:10" hidden="1">
      <c r="A926" s="58" t="s">
        <v>301</v>
      </c>
      <c r="B926" s="58" t="s">
        <v>226</v>
      </c>
      <c r="C926" s="58">
        <v>1.9489000000000001</v>
      </c>
      <c r="D926" s="58">
        <v>1.7541</v>
      </c>
      <c r="E926" s="58">
        <v>1.3594999999999999</v>
      </c>
      <c r="F926" s="58">
        <v>0.81569999999999998</v>
      </c>
      <c r="G926" s="58">
        <v>0.40789999999999998</v>
      </c>
      <c r="H926" s="58">
        <v>0.16319999999999998</v>
      </c>
      <c r="I926" s="58">
        <v>3.27E-2</v>
      </c>
      <c r="J926" s="58">
        <v>0</v>
      </c>
    </row>
    <row r="927" spans="1:10" hidden="1">
      <c r="A927" s="58" t="s">
        <v>301</v>
      </c>
      <c r="B927" s="58" t="s">
        <v>219</v>
      </c>
      <c r="C927" s="58">
        <v>3.8E-3</v>
      </c>
      <c r="D927" s="58">
        <v>3.4999999999999996E-3</v>
      </c>
      <c r="E927" s="58">
        <v>2.8E-3</v>
      </c>
      <c r="F927" s="58">
        <v>1.7000000000000001E-3</v>
      </c>
      <c r="G927" s="58">
        <v>9.0000000000000008E-4</v>
      </c>
      <c r="H927" s="58">
        <v>0</v>
      </c>
      <c r="I927" s="58">
        <v>0</v>
      </c>
      <c r="J927" s="58">
        <v>0</v>
      </c>
    </row>
    <row r="928" spans="1:10" hidden="1">
      <c r="A928" s="58" t="s">
        <v>301</v>
      </c>
      <c r="B928" s="58" t="s">
        <v>220</v>
      </c>
      <c r="C928" s="58">
        <v>3.0000000000000003E-4</v>
      </c>
      <c r="D928" s="58">
        <v>0</v>
      </c>
      <c r="E928" s="58">
        <v>0</v>
      </c>
      <c r="F928" s="58">
        <v>0</v>
      </c>
      <c r="G928" s="58">
        <v>0</v>
      </c>
      <c r="H928" s="58">
        <v>0</v>
      </c>
      <c r="I928" s="58">
        <v>0</v>
      </c>
      <c r="J928" s="58">
        <v>0</v>
      </c>
    </row>
    <row r="929" spans="1:10" hidden="1">
      <c r="A929" s="58" t="s">
        <v>301</v>
      </c>
      <c r="B929" s="58" t="s">
        <v>227</v>
      </c>
      <c r="C929" s="58">
        <v>0.155</v>
      </c>
      <c r="D929" s="58">
        <v>0.13950000000000001</v>
      </c>
      <c r="E929" s="58">
        <v>0.1082</v>
      </c>
      <c r="F929" s="58">
        <v>6.5000000000000002E-2</v>
      </c>
      <c r="G929" s="58">
        <v>3.2500000000000001E-2</v>
      </c>
      <c r="H929" s="58">
        <v>1.2999999999999999E-2</v>
      </c>
      <c r="I929" s="58">
        <v>2.5999999999999999E-3</v>
      </c>
      <c r="J929" s="58">
        <v>0</v>
      </c>
    </row>
    <row r="930" spans="1:10" hidden="1">
      <c r="A930" s="58" t="s">
        <v>301</v>
      </c>
      <c r="B930" s="58" t="s">
        <v>206</v>
      </c>
      <c r="C930" s="58">
        <v>4.0064000000000002</v>
      </c>
      <c r="D930" s="58">
        <v>3.6058000000000003</v>
      </c>
      <c r="E930" s="58">
        <v>2.7945000000000002</v>
      </c>
      <c r="F930" s="58">
        <v>1.6767000000000001</v>
      </c>
      <c r="G930" s="58">
        <v>0.83840000000000003</v>
      </c>
      <c r="H930" s="58">
        <v>0.33539999999999998</v>
      </c>
      <c r="I930" s="58">
        <v>6.7100000000000007E-2</v>
      </c>
    </row>
    <row r="931" spans="1:10" hidden="1">
      <c r="A931" s="58" t="s">
        <v>301</v>
      </c>
      <c r="B931" s="58" t="s">
        <v>233</v>
      </c>
      <c r="C931" s="58">
        <v>0.25029999999999997</v>
      </c>
      <c r="D931" s="58">
        <v>0.2253</v>
      </c>
      <c r="E931" s="58">
        <v>0.17469999999999999</v>
      </c>
      <c r="F931" s="58">
        <v>0.10490000000000001</v>
      </c>
      <c r="G931" s="58">
        <v>5.2500000000000005E-2</v>
      </c>
      <c r="H931" s="58">
        <v>2.1000000000000001E-2</v>
      </c>
      <c r="I931" s="58">
        <v>4.1999999999999997E-3</v>
      </c>
    </row>
    <row r="932" spans="1:10" hidden="1">
      <c r="A932" s="58" t="s">
        <v>301</v>
      </c>
      <c r="B932" s="58" t="s">
        <v>224</v>
      </c>
      <c r="C932" s="58">
        <v>21.5687</v>
      </c>
      <c r="D932" s="58">
        <v>19.411899999999999</v>
      </c>
      <c r="E932" s="58">
        <v>15.0443</v>
      </c>
      <c r="F932" s="58">
        <v>9.0266000000000002</v>
      </c>
      <c r="G932" s="58">
        <v>4.5133000000000001</v>
      </c>
      <c r="H932" s="58">
        <v>1.8053999999999999</v>
      </c>
      <c r="I932" s="58">
        <v>0.36109999999999998</v>
      </c>
    </row>
    <row r="933" spans="1:10" hidden="1">
      <c r="A933" s="58" t="s">
        <v>301</v>
      </c>
      <c r="B933" s="58" t="s">
        <v>207</v>
      </c>
      <c r="C933" s="58">
        <v>0.1091</v>
      </c>
      <c r="D933" s="58">
        <v>9.820000000000001E-2</v>
      </c>
      <c r="E933" s="58">
        <v>7.6200000000000004E-2</v>
      </c>
      <c r="F933" s="58">
        <v>4.58E-2</v>
      </c>
      <c r="G933" s="58">
        <v>2.29E-2</v>
      </c>
      <c r="H933" s="58">
        <v>9.1999999999999998E-3</v>
      </c>
      <c r="I933" s="58">
        <v>1.9E-3</v>
      </c>
    </row>
    <row r="934" spans="1:10" hidden="1">
      <c r="A934" s="58" t="s">
        <v>301</v>
      </c>
      <c r="B934" s="58" t="s">
        <v>225</v>
      </c>
      <c r="C934" s="58">
        <v>0.4214</v>
      </c>
      <c r="D934" s="58">
        <v>0.37929999999999997</v>
      </c>
      <c r="E934" s="58">
        <v>0.29399999999999998</v>
      </c>
      <c r="F934" s="58">
        <v>0.1764</v>
      </c>
      <c r="G934" s="58">
        <v>8.8200000000000001E-2</v>
      </c>
      <c r="H934" s="58">
        <v>3.5300000000000005E-2</v>
      </c>
      <c r="I934" s="58">
        <v>7.1000000000000004E-3</v>
      </c>
    </row>
    <row r="935" spans="1:10" hidden="1">
      <c r="A935" s="58" t="s">
        <v>301</v>
      </c>
      <c r="B935" s="58" t="s">
        <v>228</v>
      </c>
      <c r="C935" s="58">
        <v>0.29270000000000002</v>
      </c>
      <c r="D935" s="58">
        <v>0.26350000000000001</v>
      </c>
      <c r="E935" s="58">
        <v>0.20429999999999998</v>
      </c>
      <c r="F935" s="58">
        <v>0.1226</v>
      </c>
      <c r="G935" s="58">
        <v>6.13E-2</v>
      </c>
      <c r="H935" s="58">
        <v>2.46E-2</v>
      </c>
      <c r="I935" s="58">
        <v>5.0000000000000001E-3</v>
      </c>
      <c r="J935" s="58">
        <v>0</v>
      </c>
    </row>
    <row r="936" spans="1:10" hidden="1">
      <c r="A936" s="58" t="s">
        <v>301</v>
      </c>
      <c r="B936" s="58" t="s">
        <v>230</v>
      </c>
      <c r="C936" s="58">
        <v>20.372299999999999</v>
      </c>
      <c r="D936" s="58">
        <v>18.335100000000001</v>
      </c>
      <c r="E936" s="58">
        <v>14.2098</v>
      </c>
      <c r="F936" s="58">
        <v>8.5259</v>
      </c>
      <c r="G936" s="58">
        <v>4.2629999999999999</v>
      </c>
      <c r="H936" s="58">
        <v>1.7052</v>
      </c>
      <c r="I936" s="58">
        <v>0.34110000000000001</v>
      </c>
      <c r="J936" s="58">
        <v>0</v>
      </c>
    </row>
    <row r="937" spans="1:10" hidden="1">
      <c r="A937" s="58" t="s">
        <v>301</v>
      </c>
      <c r="B937" s="58" t="s">
        <v>229</v>
      </c>
      <c r="C937" s="58">
        <v>0.65339999999999998</v>
      </c>
      <c r="D937" s="58">
        <v>0.58809999999999996</v>
      </c>
      <c r="E937" s="58">
        <v>0.45579999999999998</v>
      </c>
      <c r="F937" s="58">
        <v>0.27349999999999997</v>
      </c>
      <c r="G937" s="58">
        <v>0.13679999999999998</v>
      </c>
      <c r="H937" s="58">
        <v>5.4800000000000001E-2</v>
      </c>
      <c r="I937" s="58">
        <v>1.0999999999999999E-2</v>
      </c>
      <c r="J937" s="58">
        <v>0</v>
      </c>
    </row>
    <row r="938" spans="1:10" hidden="1">
      <c r="A938" s="58" t="s">
        <v>301</v>
      </c>
      <c r="B938" s="58" t="s">
        <v>231</v>
      </c>
      <c r="C938" s="58">
        <v>0.42109999999999997</v>
      </c>
      <c r="D938" s="58">
        <v>0.379</v>
      </c>
      <c r="E938" s="58">
        <v>0.29380000000000001</v>
      </c>
      <c r="F938" s="58">
        <v>0.17629999999999998</v>
      </c>
      <c r="G938" s="58">
        <v>8.8200000000000001E-2</v>
      </c>
      <c r="H938" s="58">
        <v>3.5300000000000005E-2</v>
      </c>
      <c r="I938" s="58">
        <v>7.1000000000000004E-3</v>
      </c>
      <c r="J938" s="58">
        <v>0</v>
      </c>
    </row>
    <row r="939" spans="1:10" hidden="1">
      <c r="A939" s="58" t="s">
        <v>301</v>
      </c>
      <c r="B939" s="58" t="s">
        <v>240</v>
      </c>
      <c r="C939" s="58">
        <v>2.2599999999999999E-2</v>
      </c>
      <c r="D939" s="58">
        <v>2.0399999999999998E-2</v>
      </c>
      <c r="E939" s="58">
        <v>1.5900000000000001E-2</v>
      </c>
      <c r="F939" s="58">
        <v>9.5999999999999992E-3</v>
      </c>
      <c r="G939" s="58">
        <v>4.7999999999999996E-3</v>
      </c>
      <c r="H939" s="58">
        <v>2E-3</v>
      </c>
      <c r="I939" s="58">
        <v>4.0000000000000002E-4</v>
      </c>
      <c r="J939" s="58">
        <v>0</v>
      </c>
    </row>
    <row r="940" spans="1:10" hidden="1">
      <c r="A940" s="57" t="s">
        <v>301</v>
      </c>
      <c r="B940" s="10" t="s">
        <v>163</v>
      </c>
      <c r="C940" s="10">
        <v>0.15</v>
      </c>
      <c r="D940" s="10">
        <v>0.15</v>
      </c>
      <c r="E940" s="10">
        <v>0.15</v>
      </c>
      <c r="F940" s="10">
        <v>0.15</v>
      </c>
      <c r="G940" s="10">
        <v>0.15</v>
      </c>
      <c r="H940" s="10">
        <v>0.15</v>
      </c>
      <c r="I940" s="10">
        <v>0.15</v>
      </c>
      <c r="J940" s="10">
        <v>7.9701299633804831E-2</v>
      </c>
    </row>
    <row r="941" spans="1:10" hidden="1">
      <c r="A941" s="57" t="s">
        <v>301</v>
      </c>
      <c r="B941" s="10" t="s">
        <v>107</v>
      </c>
      <c r="C941" s="10">
        <v>0.753</v>
      </c>
      <c r="D941" s="10">
        <v>0.46375855390574561</v>
      </c>
      <c r="E941" s="10">
        <v>0.36167333763718529</v>
      </c>
      <c r="F941" s="10">
        <v>0.15750290510006457</v>
      </c>
      <c r="G941" s="10">
        <v>0.1458360232408005</v>
      </c>
      <c r="H941" s="10">
        <v>0</v>
      </c>
      <c r="I941" s="10">
        <v>0</v>
      </c>
      <c r="J941" s="10">
        <v>0</v>
      </c>
    </row>
    <row r="942" spans="1:10" hidden="1">
      <c r="A942" s="57" t="s">
        <v>301</v>
      </c>
      <c r="B942" s="10" t="s">
        <v>106</v>
      </c>
      <c r="C942" s="10">
        <v>3.6271999999999998</v>
      </c>
      <c r="D942" s="10">
        <v>1.6117972136783065</v>
      </c>
      <c r="E942" s="10">
        <v>0.76520991496290935</v>
      </c>
      <c r="F942" s="10">
        <v>0.15487953681925096</v>
      </c>
      <c r="G942" s="10">
        <v>8.9252614438212405E-2</v>
      </c>
      <c r="H942" s="10">
        <v>1.4437922923828478E-2</v>
      </c>
      <c r="I942" s="10">
        <v>1.4437922923828478E-2</v>
      </c>
      <c r="J942" s="10">
        <v>0</v>
      </c>
    </row>
    <row r="943" spans="1:10" hidden="1">
      <c r="A943" s="57" t="s">
        <v>301</v>
      </c>
      <c r="B943" s="10" t="s">
        <v>22</v>
      </c>
      <c r="C943" s="10">
        <v>1.9189639999999999</v>
      </c>
      <c r="D943" s="10">
        <v>1.462663156915275</v>
      </c>
      <c r="E943" s="10">
        <v>1.4265631237181358</v>
      </c>
      <c r="F943" s="10">
        <v>1.4007773857201791</v>
      </c>
      <c r="G943" s="10">
        <v>1.3921821397208602</v>
      </c>
      <c r="H943" s="10">
        <v>1.3905679525221881</v>
      </c>
      <c r="I943" s="10">
        <v>1.3833146252160748</v>
      </c>
      <c r="J943" s="10">
        <v>0.9866055431218822</v>
      </c>
    </row>
    <row r="944" spans="1:10" hidden="1">
      <c r="A944" s="10" t="s">
        <v>301</v>
      </c>
      <c r="B944" s="10" t="s">
        <v>488</v>
      </c>
      <c r="C944" s="10">
        <v>0.83199999999999996</v>
      </c>
      <c r="D944" s="10">
        <v>0.83199999999999996</v>
      </c>
      <c r="E944" s="10">
        <v>0.83199999999999996</v>
      </c>
      <c r="F944" s="10">
        <v>0.83199999999999996</v>
      </c>
      <c r="G944" s="10">
        <v>0.83199999999999996</v>
      </c>
      <c r="H944" s="10">
        <v>0.83199999999999996</v>
      </c>
      <c r="I944" s="10">
        <v>0.41599999999999998</v>
      </c>
      <c r="J944" s="10">
        <v>0</v>
      </c>
    </row>
    <row r="945" spans="1:30" hidden="1">
      <c r="A945" s="10" t="s">
        <v>301</v>
      </c>
      <c r="B945" s="10" t="s">
        <v>489</v>
      </c>
      <c r="C945" s="10">
        <v>0.66250000000000009</v>
      </c>
      <c r="D945" s="10">
        <v>0.66250000000000009</v>
      </c>
      <c r="E945" s="10">
        <v>0.33125000000000004</v>
      </c>
      <c r="F945" s="10">
        <v>0</v>
      </c>
      <c r="G945" s="10">
        <v>0</v>
      </c>
      <c r="H945" s="10">
        <v>0</v>
      </c>
      <c r="I945" s="10">
        <v>0</v>
      </c>
      <c r="J945" s="10">
        <v>0</v>
      </c>
    </row>
    <row r="946" spans="1:30" s="67" customFormat="1" hidden="1">
      <c r="A946" s="10" t="s">
        <v>301</v>
      </c>
      <c r="B946" s="10" t="s">
        <v>490</v>
      </c>
      <c r="C946" s="10">
        <v>0</v>
      </c>
      <c r="D946" s="10">
        <v>0</v>
      </c>
      <c r="E946" s="10">
        <v>0</v>
      </c>
      <c r="F946" s="10">
        <v>0</v>
      </c>
      <c r="G946" s="10">
        <v>0</v>
      </c>
      <c r="H946" s="10">
        <v>0</v>
      </c>
      <c r="I946" s="10">
        <v>0</v>
      </c>
      <c r="J946" s="10">
        <v>0</v>
      </c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s="67" customFormat="1" hidden="1">
      <c r="A947" s="57" t="s">
        <v>301</v>
      </c>
      <c r="B947" s="10" t="s">
        <v>23</v>
      </c>
      <c r="C947" s="10">
        <v>1.3</v>
      </c>
      <c r="D947" s="10">
        <v>1.3</v>
      </c>
      <c r="E947" s="10">
        <v>1.3</v>
      </c>
      <c r="F947" s="10">
        <v>1.3</v>
      </c>
      <c r="G947" s="10">
        <v>1.3</v>
      </c>
      <c r="H947" s="10">
        <v>1.3</v>
      </c>
      <c r="I947" s="10">
        <v>1.3</v>
      </c>
      <c r="J947" s="10">
        <v>0.65</v>
      </c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s="67" customFormat="1" hidden="1">
      <c r="A948" s="57" t="s">
        <v>301</v>
      </c>
      <c r="B948" s="10" t="s">
        <v>58</v>
      </c>
      <c r="C948" s="10">
        <v>1.8268960000000001</v>
      </c>
      <c r="D948" s="10">
        <v>1.0961376</v>
      </c>
      <c r="E948" s="10">
        <v>0.18268960000000004</v>
      </c>
      <c r="F948" s="10">
        <v>0</v>
      </c>
      <c r="G948" s="10">
        <v>0</v>
      </c>
      <c r="H948" s="10">
        <v>0</v>
      </c>
      <c r="I948" s="10">
        <v>0</v>
      </c>
      <c r="J948" s="10">
        <v>0</v>
      </c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s="67" customFormat="1" hidden="1">
      <c r="A949" s="58" t="s">
        <v>301</v>
      </c>
      <c r="B949" s="58" t="s">
        <v>102</v>
      </c>
      <c r="C949" s="58">
        <v>0</v>
      </c>
      <c r="D949" s="58">
        <v>0</v>
      </c>
      <c r="E949" s="58">
        <v>0</v>
      </c>
      <c r="F949" s="58">
        <v>0</v>
      </c>
      <c r="G949" s="58">
        <v>0</v>
      </c>
      <c r="H949" s="58">
        <v>0</v>
      </c>
      <c r="I949" s="58">
        <v>0</v>
      </c>
      <c r="J949" s="58">
        <v>0</v>
      </c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s="67" customFormat="1" hidden="1">
      <c r="A950" s="57" t="s">
        <v>301</v>
      </c>
      <c r="B950" s="10" t="s">
        <v>103</v>
      </c>
      <c r="C950" s="10">
        <v>6.3924025000000002</v>
      </c>
      <c r="D950" s="10">
        <v>6.3924025000000002</v>
      </c>
      <c r="E950" s="10">
        <v>6.3924025000000002</v>
      </c>
      <c r="F950" s="10">
        <v>6.3924025000000002</v>
      </c>
      <c r="G950" s="10">
        <v>6.3924025000000002</v>
      </c>
      <c r="H950" s="10">
        <v>6.3924025000000002</v>
      </c>
      <c r="I950" s="10">
        <v>6.3924025000000002</v>
      </c>
      <c r="J950" s="10">
        <v>6.3924025000000002</v>
      </c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idden="1">
      <c r="A951" s="57" t="s">
        <v>301</v>
      </c>
      <c r="B951" s="10" t="s">
        <v>94</v>
      </c>
      <c r="C951" s="10">
        <v>2</v>
      </c>
      <c r="D951" s="10">
        <v>2</v>
      </c>
      <c r="E951" s="10">
        <v>2</v>
      </c>
      <c r="F951" s="10">
        <v>2</v>
      </c>
      <c r="G951" s="10">
        <v>1.995626312106368</v>
      </c>
      <c r="H951" s="10">
        <v>0</v>
      </c>
      <c r="I951" s="10">
        <v>0</v>
      </c>
      <c r="J951" s="10">
        <v>0</v>
      </c>
      <c r="M951" s="10" t="s">
        <v>519</v>
      </c>
    </row>
    <row r="952" spans="1:30" hidden="1">
      <c r="A952" s="57" t="s">
        <v>301</v>
      </c>
      <c r="B952" s="10" t="s">
        <v>170</v>
      </c>
      <c r="C952" s="10">
        <v>0.63200000000000001</v>
      </c>
      <c r="D952" s="10">
        <v>0.63200000000000001</v>
      </c>
      <c r="E952" s="10">
        <v>0.63200000000000001</v>
      </c>
      <c r="F952" s="10">
        <v>0.1895999999999998</v>
      </c>
      <c r="G952" s="10">
        <v>3.1599999999999802E-2</v>
      </c>
      <c r="H952" s="10">
        <v>0</v>
      </c>
      <c r="I952" s="10">
        <v>0</v>
      </c>
      <c r="J952" s="10">
        <v>0</v>
      </c>
      <c r="M952" s="10" t="s">
        <v>519</v>
      </c>
    </row>
    <row r="953" spans="1:30" hidden="1">
      <c r="A953" s="57" t="s">
        <v>301</v>
      </c>
      <c r="B953" s="10" t="s">
        <v>97</v>
      </c>
      <c r="C953" s="10">
        <v>3.3</v>
      </c>
      <c r="D953" s="10">
        <v>3.3</v>
      </c>
      <c r="E953" s="10">
        <v>3.3</v>
      </c>
      <c r="F953" s="10">
        <v>3.2991042787346396</v>
      </c>
      <c r="G953" s="10">
        <v>2.5882273108621621</v>
      </c>
      <c r="H953" s="10">
        <v>0</v>
      </c>
      <c r="I953" s="10">
        <v>0</v>
      </c>
      <c r="J953" s="10">
        <v>0</v>
      </c>
      <c r="M953" s="10" t="s">
        <v>519</v>
      </c>
    </row>
    <row r="954" spans="1:30" hidden="1">
      <c r="A954" s="57" t="s">
        <v>302</v>
      </c>
      <c r="B954" s="10" t="s">
        <v>142</v>
      </c>
      <c r="C954" s="10">
        <v>0.60000000000000009</v>
      </c>
      <c r="D954" s="10">
        <v>0.60000000000000009</v>
      </c>
      <c r="E954" s="10">
        <v>0.60000000000000009</v>
      </c>
      <c r="F954" s="10">
        <v>0.60000000000000009</v>
      </c>
      <c r="G954" s="10">
        <v>0.60000000000000009</v>
      </c>
      <c r="H954" s="10">
        <v>0.60000000000000009</v>
      </c>
      <c r="I954" s="10">
        <v>0.60000000000000009</v>
      </c>
      <c r="J954" s="10">
        <v>0.60000000000000009</v>
      </c>
      <c r="M954" s="10" t="s">
        <v>519</v>
      </c>
    </row>
    <row r="955" spans="1:30" hidden="1">
      <c r="A955" s="57" t="s">
        <v>302</v>
      </c>
      <c r="B955" s="10" t="s">
        <v>163</v>
      </c>
      <c r="C955" s="10">
        <v>0</v>
      </c>
      <c r="D955" s="10">
        <v>0</v>
      </c>
      <c r="E955" s="10">
        <v>0</v>
      </c>
      <c r="F955" s="10">
        <v>0</v>
      </c>
      <c r="G955" s="10">
        <v>0</v>
      </c>
      <c r="H955" s="10">
        <v>0</v>
      </c>
      <c r="I955" s="10">
        <v>0</v>
      </c>
      <c r="J955" s="10">
        <v>0</v>
      </c>
      <c r="M955" s="10" t="s">
        <v>519</v>
      </c>
    </row>
    <row r="956" spans="1:30" hidden="1">
      <c r="A956" s="57" t="s">
        <v>302</v>
      </c>
      <c r="B956" s="10" t="s">
        <v>107</v>
      </c>
      <c r="C956" s="10">
        <v>0</v>
      </c>
      <c r="D956" s="10">
        <v>0</v>
      </c>
      <c r="E956" s="10">
        <v>0</v>
      </c>
      <c r="F956" s="10">
        <v>0</v>
      </c>
      <c r="G956" s="10">
        <v>0</v>
      </c>
      <c r="H956" s="10">
        <v>0</v>
      </c>
      <c r="I956" s="10">
        <v>0</v>
      </c>
      <c r="J956" s="10">
        <v>0</v>
      </c>
      <c r="M956" s="10" t="s">
        <v>519</v>
      </c>
    </row>
    <row r="957" spans="1:30" hidden="1">
      <c r="A957" s="57" t="s">
        <v>302</v>
      </c>
      <c r="B957" s="10" t="s">
        <v>106</v>
      </c>
      <c r="C957" s="10">
        <v>5.0789999999999997</v>
      </c>
      <c r="D957" s="10">
        <v>2.2911469379223859</v>
      </c>
      <c r="E957" s="10">
        <v>0.8256810422908103</v>
      </c>
      <c r="F957" s="10">
        <v>0.41284052114540515</v>
      </c>
      <c r="G957" s="10">
        <v>0</v>
      </c>
      <c r="H957" s="10">
        <v>0</v>
      </c>
      <c r="I957" s="10">
        <v>0</v>
      </c>
      <c r="J957" s="10">
        <v>0</v>
      </c>
      <c r="M957" s="10" t="s">
        <v>519</v>
      </c>
    </row>
    <row r="958" spans="1:30" hidden="1">
      <c r="A958" s="57" t="s">
        <v>302</v>
      </c>
      <c r="B958" s="10" t="s">
        <v>22</v>
      </c>
      <c r="C958" s="10">
        <v>0.31</v>
      </c>
      <c r="D958" s="10">
        <v>0.22340366507781459</v>
      </c>
      <c r="E958" s="10">
        <v>0.17573414827647663</v>
      </c>
      <c r="F958" s="10">
        <v>2.6353428382138626E-4</v>
      </c>
      <c r="G958" s="10">
        <v>2.6353428382138626E-4</v>
      </c>
      <c r="H958" s="10">
        <v>2.6353428382138626E-4</v>
      </c>
      <c r="I958" s="10">
        <v>2.6353428382138626E-4</v>
      </c>
      <c r="J958" s="10">
        <v>2.6353428382138626E-4</v>
      </c>
      <c r="M958" s="10" t="s">
        <v>519</v>
      </c>
    </row>
    <row r="959" spans="1:30" hidden="1">
      <c r="A959" s="57" t="s">
        <v>302</v>
      </c>
      <c r="B959" s="10" t="s">
        <v>23</v>
      </c>
      <c r="C959" s="10">
        <v>0</v>
      </c>
      <c r="D959" s="10">
        <v>0</v>
      </c>
      <c r="E959" s="10">
        <v>0</v>
      </c>
      <c r="F959" s="10">
        <v>0</v>
      </c>
      <c r="G959" s="10">
        <v>0</v>
      </c>
      <c r="H959" s="10">
        <v>0</v>
      </c>
      <c r="I959" s="10">
        <v>0</v>
      </c>
      <c r="J959" s="10">
        <v>0</v>
      </c>
      <c r="M959" s="10" t="s">
        <v>519</v>
      </c>
    </row>
    <row r="960" spans="1:30" hidden="1">
      <c r="A960" s="57" t="s">
        <v>302</v>
      </c>
      <c r="B960" s="10" t="s">
        <v>58</v>
      </c>
      <c r="C960" s="10">
        <v>0</v>
      </c>
      <c r="D960" s="10">
        <v>0</v>
      </c>
      <c r="E960" s="10">
        <v>0</v>
      </c>
      <c r="F960" s="10">
        <v>0</v>
      </c>
      <c r="G960" s="10">
        <v>0</v>
      </c>
      <c r="H960" s="10">
        <v>0</v>
      </c>
      <c r="I960" s="10">
        <v>0</v>
      </c>
      <c r="J960" s="10">
        <v>0</v>
      </c>
      <c r="M960" s="10" t="s">
        <v>519</v>
      </c>
    </row>
    <row r="961" spans="1:13" hidden="1">
      <c r="A961" s="57" t="s">
        <v>302</v>
      </c>
      <c r="B961" s="10" t="s">
        <v>94</v>
      </c>
      <c r="C961" s="10">
        <v>0</v>
      </c>
      <c r="D961" s="10">
        <v>0</v>
      </c>
      <c r="E961" s="10">
        <v>0</v>
      </c>
      <c r="F961" s="10">
        <v>0</v>
      </c>
      <c r="G961" s="10">
        <v>0</v>
      </c>
      <c r="H961" s="10">
        <v>0</v>
      </c>
      <c r="I961" s="10">
        <v>0</v>
      </c>
      <c r="J961" s="10">
        <v>0</v>
      </c>
      <c r="M961" s="10" t="s">
        <v>519</v>
      </c>
    </row>
    <row r="962" spans="1:13" hidden="1">
      <c r="A962" s="57" t="s">
        <v>302</v>
      </c>
      <c r="B962" s="10" t="s">
        <v>170</v>
      </c>
      <c r="C962" s="10">
        <v>0</v>
      </c>
      <c r="D962" s="10">
        <v>0</v>
      </c>
      <c r="E962" s="10">
        <v>0</v>
      </c>
      <c r="F962" s="10">
        <v>0</v>
      </c>
      <c r="G962" s="10">
        <v>0</v>
      </c>
      <c r="H962" s="10">
        <v>0</v>
      </c>
      <c r="I962" s="10">
        <v>0</v>
      </c>
      <c r="J962" s="10">
        <v>0</v>
      </c>
      <c r="M962" s="10" t="s">
        <v>519</v>
      </c>
    </row>
    <row r="963" spans="1:13" hidden="1">
      <c r="A963" s="57" t="s">
        <v>302</v>
      </c>
      <c r="B963" s="10" t="s">
        <v>97</v>
      </c>
      <c r="C963" s="10">
        <v>2.5579999999999998</v>
      </c>
      <c r="D963" s="10">
        <v>2.5579999999999998</v>
      </c>
      <c r="E963" s="10">
        <v>2.5579999999999998</v>
      </c>
      <c r="F963" s="10">
        <v>0.76739999999999908</v>
      </c>
      <c r="G963" s="10">
        <v>0.12789999999999921</v>
      </c>
      <c r="H963" s="10">
        <v>0</v>
      </c>
      <c r="I963" s="10">
        <v>0</v>
      </c>
      <c r="J963" s="10">
        <v>0</v>
      </c>
      <c r="M963" s="10" t="s">
        <v>519</v>
      </c>
    </row>
    <row r="964" spans="1:13" hidden="1">
      <c r="A964" s="10" t="s">
        <v>303</v>
      </c>
      <c r="B964" s="10" t="s">
        <v>475</v>
      </c>
      <c r="C964" s="10">
        <v>1.9344313004221878</v>
      </c>
      <c r="D964" s="10">
        <v>1.9344313004221878</v>
      </c>
      <c r="E964" s="10">
        <v>0.9672156502110939</v>
      </c>
      <c r="F964" s="10">
        <v>0</v>
      </c>
      <c r="G964" s="10">
        <v>0</v>
      </c>
      <c r="H964" s="10">
        <v>0</v>
      </c>
      <c r="I964" s="10">
        <v>0</v>
      </c>
      <c r="J964" s="10">
        <v>0</v>
      </c>
      <c r="M964" s="10" t="s">
        <v>519</v>
      </c>
    </row>
    <row r="965" spans="1:13" hidden="1">
      <c r="A965" s="10" t="s">
        <v>303</v>
      </c>
      <c r="B965" s="10" t="s">
        <v>108</v>
      </c>
      <c r="C965" s="10">
        <v>0.34205900179743343</v>
      </c>
      <c r="D965" s="10">
        <v>0.34205900179743343</v>
      </c>
      <c r="E965" s="10">
        <v>0.17102950089871671</v>
      </c>
      <c r="F965" s="10">
        <v>0</v>
      </c>
      <c r="G965" s="10">
        <v>0</v>
      </c>
      <c r="H965" s="10">
        <v>0</v>
      </c>
      <c r="I965" s="10">
        <v>0</v>
      </c>
      <c r="J965" s="10">
        <v>0</v>
      </c>
      <c r="M965" s="10" t="s">
        <v>519</v>
      </c>
    </row>
    <row r="966" spans="1:13" hidden="1">
      <c r="A966" s="10" t="s">
        <v>303</v>
      </c>
      <c r="B966" s="10" t="s">
        <v>481</v>
      </c>
      <c r="C966" s="10">
        <v>0.14408926556033941</v>
      </c>
      <c r="D966" s="10">
        <v>0.14408926556033941</v>
      </c>
      <c r="E966" s="10">
        <v>7.2044632780169704E-2</v>
      </c>
      <c r="F966" s="10">
        <v>0</v>
      </c>
      <c r="G966" s="10">
        <v>0</v>
      </c>
      <c r="H966" s="10">
        <v>0</v>
      </c>
      <c r="I966" s="10">
        <v>0</v>
      </c>
      <c r="J966" s="10">
        <v>0</v>
      </c>
      <c r="M966" s="10" t="s">
        <v>519</v>
      </c>
    </row>
    <row r="967" spans="1:13" hidden="1">
      <c r="A967" s="10" t="s">
        <v>303</v>
      </c>
      <c r="B967" s="10" t="s">
        <v>485</v>
      </c>
      <c r="C967" s="10">
        <v>1.676691886469088E-2</v>
      </c>
      <c r="D967" s="10">
        <v>1.676691886469088E-2</v>
      </c>
      <c r="E967" s="10">
        <v>8.3834594323454401E-3</v>
      </c>
      <c r="F967" s="10">
        <v>0</v>
      </c>
      <c r="G967" s="10">
        <v>0</v>
      </c>
      <c r="H967" s="10">
        <v>0</v>
      </c>
      <c r="I967" s="10">
        <v>0</v>
      </c>
      <c r="J967" s="10">
        <v>0</v>
      </c>
      <c r="M967" s="10" t="s">
        <v>519</v>
      </c>
    </row>
    <row r="968" spans="1:13" hidden="1">
      <c r="A968" s="57" t="s">
        <v>303</v>
      </c>
      <c r="B968" s="10" t="s">
        <v>142</v>
      </c>
      <c r="C968" s="10">
        <v>0.43</v>
      </c>
      <c r="D968" s="10">
        <v>0.43</v>
      </c>
      <c r="E968" s="10">
        <v>0.43</v>
      </c>
      <c r="F968" s="10">
        <v>0.43</v>
      </c>
      <c r="G968" s="10">
        <v>0.43</v>
      </c>
      <c r="H968" s="10">
        <v>0.43</v>
      </c>
      <c r="I968" s="10">
        <v>0.43</v>
      </c>
      <c r="J968" s="10">
        <v>0.43</v>
      </c>
      <c r="M968" s="10" t="s">
        <v>519</v>
      </c>
    </row>
    <row r="969" spans="1:13" hidden="1">
      <c r="A969" s="58" t="s">
        <v>303</v>
      </c>
      <c r="B969" s="58" t="s">
        <v>243</v>
      </c>
      <c r="C969" s="58">
        <v>5.3487999999999998</v>
      </c>
      <c r="D969" s="58">
        <v>4.8140000000000001</v>
      </c>
      <c r="E969" s="58">
        <v>3.7309000000000001</v>
      </c>
      <c r="F969" s="58">
        <v>2.2386000000000004</v>
      </c>
      <c r="G969" s="58">
        <v>1.1193</v>
      </c>
      <c r="H969" s="58">
        <v>0.44779999999999998</v>
      </c>
      <c r="I969" s="58">
        <v>8.9599999999999999E-2</v>
      </c>
      <c r="J969" s="58">
        <v>0</v>
      </c>
      <c r="M969" s="10" t="s">
        <v>519</v>
      </c>
    </row>
    <row r="970" spans="1:13" hidden="1">
      <c r="A970" s="58" t="s">
        <v>303</v>
      </c>
      <c r="B970" s="58" t="s">
        <v>244</v>
      </c>
      <c r="C970" s="58">
        <v>0.14849999999999999</v>
      </c>
      <c r="D970" s="58">
        <v>0.13369999999999999</v>
      </c>
      <c r="E970" s="58">
        <v>0.1037</v>
      </c>
      <c r="F970" s="58">
        <v>6.2300000000000001E-2</v>
      </c>
      <c r="G970" s="58">
        <v>3.1199999999999999E-2</v>
      </c>
      <c r="H970" s="58">
        <v>1.2499999999999999E-2</v>
      </c>
      <c r="I970" s="58">
        <v>2.5000000000000001E-3</v>
      </c>
      <c r="J970" s="58">
        <v>0</v>
      </c>
      <c r="M970" s="10" t="s">
        <v>519</v>
      </c>
    </row>
    <row r="971" spans="1:13" hidden="1">
      <c r="A971" s="58" t="s">
        <v>303</v>
      </c>
      <c r="B971" s="58" t="s">
        <v>245</v>
      </c>
      <c r="C971" s="58">
        <v>0.30349999999999999</v>
      </c>
      <c r="D971" s="58">
        <v>0.2732</v>
      </c>
      <c r="E971" s="58">
        <v>0.21179999999999999</v>
      </c>
      <c r="F971" s="58">
        <v>0.12709999999999999</v>
      </c>
      <c r="G971" s="58">
        <v>6.3600000000000004E-2</v>
      </c>
      <c r="H971" s="58">
        <v>2.5499999999999998E-2</v>
      </c>
      <c r="I971" s="58">
        <v>5.1000000000000004E-3</v>
      </c>
      <c r="J971" s="58">
        <v>0</v>
      </c>
      <c r="M971" s="10" t="s">
        <v>519</v>
      </c>
    </row>
    <row r="972" spans="1:13" hidden="1">
      <c r="A972" s="58" t="s">
        <v>303</v>
      </c>
      <c r="B972" s="58" t="s">
        <v>217</v>
      </c>
      <c r="C972" s="58">
        <v>4.8053999999999997</v>
      </c>
      <c r="D972" s="58">
        <v>4.3248999999999995</v>
      </c>
      <c r="E972" s="58">
        <v>3.3518000000000003</v>
      </c>
      <c r="F972" s="58">
        <v>2.0111000000000003</v>
      </c>
      <c r="G972" s="58">
        <v>1.0056</v>
      </c>
      <c r="H972" s="58">
        <v>0.40229999999999999</v>
      </c>
      <c r="I972" s="58">
        <v>8.0500000000000002E-2</v>
      </c>
      <c r="J972" s="58">
        <v>0</v>
      </c>
      <c r="M972" s="10" t="s">
        <v>519</v>
      </c>
    </row>
    <row r="973" spans="1:13" hidden="1">
      <c r="A973" s="58" t="s">
        <v>303</v>
      </c>
      <c r="B973" s="58" t="s">
        <v>237</v>
      </c>
      <c r="C973" s="58">
        <v>0.12380000000000001</v>
      </c>
      <c r="D973" s="58">
        <v>0.1115</v>
      </c>
      <c r="E973" s="58">
        <v>8.6500000000000007E-2</v>
      </c>
      <c r="F973" s="58">
        <v>5.1900000000000002E-2</v>
      </c>
      <c r="G973" s="58">
        <v>2.5999999999999999E-2</v>
      </c>
      <c r="H973" s="58">
        <v>1.04E-2</v>
      </c>
      <c r="I973" s="58">
        <v>2.0999999999999999E-3</v>
      </c>
      <c r="J973" s="58">
        <v>0</v>
      </c>
      <c r="M973" s="10" t="s">
        <v>519</v>
      </c>
    </row>
    <row r="974" spans="1:13" hidden="1">
      <c r="A974" s="58" t="s">
        <v>303</v>
      </c>
      <c r="B974" s="58" t="s">
        <v>226</v>
      </c>
      <c r="C974" s="58">
        <v>13.935700000000001</v>
      </c>
      <c r="D974" s="58">
        <v>12.542199999999999</v>
      </c>
      <c r="E974" s="58">
        <v>9.7202999999999999</v>
      </c>
      <c r="F974" s="58">
        <v>5.8321999999999994</v>
      </c>
      <c r="G974" s="58">
        <v>2.9161000000000001</v>
      </c>
      <c r="H974" s="58">
        <v>1.1665000000000001</v>
      </c>
      <c r="I974" s="58">
        <v>0.23330000000000001</v>
      </c>
      <c r="J974" s="58">
        <v>0</v>
      </c>
      <c r="M974" s="10" t="s">
        <v>519</v>
      </c>
    </row>
    <row r="975" spans="1:13" hidden="1">
      <c r="A975" s="58" t="s">
        <v>303</v>
      </c>
      <c r="B975" s="58" t="s">
        <v>219</v>
      </c>
      <c r="C975" s="58">
        <v>8.0000000000000002E-3</v>
      </c>
      <c r="D975" s="58">
        <v>7.1999999999999998E-3</v>
      </c>
      <c r="E975" s="58">
        <v>5.5999999999999999E-3</v>
      </c>
      <c r="F975" s="58">
        <v>3.3999999999999998E-3</v>
      </c>
      <c r="G975" s="58">
        <v>1.6999999999999999E-3</v>
      </c>
      <c r="H975" s="58">
        <v>6.9999999999999999E-4</v>
      </c>
      <c r="I975" s="58">
        <v>0</v>
      </c>
      <c r="J975" s="58">
        <v>0</v>
      </c>
      <c r="M975" s="10" t="s">
        <v>519</v>
      </c>
    </row>
    <row r="976" spans="1:13" hidden="1">
      <c r="A976" s="58" t="s">
        <v>303</v>
      </c>
      <c r="B976" s="58" t="s">
        <v>227</v>
      </c>
      <c r="C976" s="58">
        <v>0.35449999999999998</v>
      </c>
      <c r="D976" s="58">
        <v>0.31909999999999999</v>
      </c>
      <c r="E976" s="58">
        <v>0.24739999999999998</v>
      </c>
      <c r="F976" s="58">
        <v>0.14849999999999999</v>
      </c>
      <c r="G976" s="58">
        <v>7.4300000000000005E-2</v>
      </c>
      <c r="H976" s="58">
        <v>2.98E-2</v>
      </c>
      <c r="I976" s="58">
        <v>6.0000000000000001E-3</v>
      </c>
      <c r="J976" s="58">
        <v>0</v>
      </c>
      <c r="M976" s="10" t="s">
        <v>519</v>
      </c>
    </row>
    <row r="977" spans="1:13" hidden="1">
      <c r="A977" s="58" t="s">
        <v>303</v>
      </c>
      <c r="B977" s="58" t="s">
        <v>206</v>
      </c>
      <c r="C977" s="58">
        <v>1.3523000000000001</v>
      </c>
      <c r="D977" s="58">
        <v>1.2171000000000001</v>
      </c>
      <c r="E977" s="58">
        <v>0.94330000000000003</v>
      </c>
      <c r="F977" s="58">
        <v>0.56599999999999995</v>
      </c>
      <c r="G977" s="58">
        <v>0.28299999999999997</v>
      </c>
      <c r="H977" s="58">
        <v>0.1132</v>
      </c>
      <c r="I977" s="58">
        <v>2.2699999999999998E-2</v>
      </c>
      <c r="M977" s="10" t="s">
        <v>519</v>
      </c>
    </row>
    <row r="978" spans="1:13" hidden="1">
      <c r="A978" s="58" t="s">
        <v>303</v>
      </c>
      <c r="B978" s="58" t="s">
        <v>233</v>
      </c>
      <c r="C978" s="58">
        <v>1.7204999999999999</v>
      </c>
      <c r="D978" s="58">
        <v>1.5485</v>
      </c>
      <c r="E978" s="58">
        <v>1.2000999999999999</v>
      </c>
      <c r="F978" s="58">
        <v>0.72009999999999996</v>
      </c>
      <c r="G978" s="58">
        <v>0.36009999999999998</v>
      </c>
      <c r="H978" s="58">
        <v>0.14409999999999998</v>
      </c>
      <c r="I978" s="58">
        <v>2.8899999999999999E-2</v>
      </c>
      <c r="M978" s="10" t="s">
        <v>519</v>
      </c>
    </row>
    <row r="979" spans="1:13" hidden="1">
      <c r="A979" s="58" t="s">
        <v>303</v>
      </c>
      <c r="B979" s="58" t="s">
        <v>224</v>
      </c>
      <c r="C979" s="58">
        <v>28.0976</v>
      </c>
      <c r="D979" s="58">
        <v>25.2879</v>
      </c>
      <c r="E979" s="58">
        <v>19.598199999999999</v>
      </c>
      <c r="F979" s="58">
        <v>11.759</v>
      </c>
      <c r="G979" s="58">
        <v>5.8795000000000002</v>
      </c>
      <c r="H979" s="58">
        <v>2.3517999999999999</v>
      </c>
      <c r="I979" s="58">
        <v>0.47039999999999998</v>
      </c>
      <c r="M979" s="10" t="s">
        <v>519</v>
      </c>
    </row>
    <row r="980" spans="1:13" hidden="1">
      <c r="A980" s="58" t="s">
        <v>303</v>
      </c>
      <c r="B980" s="58" t="s">
        <v>225</v>
      </c>
      <c r="C980" s="58">
        <v>0.33910000000000001</v>
      </c>
      <c r="D980" s="58">
        <v>0.30519999999999997</v>
      </c>
      <c r="E980" s="58">
        <v>0.23659999999999998</v>
      </c>
      <c r="F980" s="58">
        <v>0.14199999999999999</v>
      </c>
      <c r="G980" s="58">
        <v>7.0999999999999994E-2</v>
      </c>
      <c r="H980" s="58">
        <v>2.8400000000000002E-2</v>
      </c>
      <c r="I980" s="58">
        <v>5.7000000000000002E-3</v>
      </c>
      <c r="M980" s="10" t="s">
        <v>519</v>
      </c>
    </row>
    <row r="981" spans="1:13" hidden="1">
      <c r="A981" s="58" t="s">
        <v>303</v>
      </c>
      <c r="B981" s="58" t="s">
        <v>228</v>
      </c>
      <c r="C981" s="58">
        <v>0.19979999999999998</v>
      </c>
      <c r="D981" s="58">
        <v>0.17989999999999998</v>
      </c>
      <c r="E981" s="58">
        <v>0.13949999999999999</v>
      </c>
      <c r="F981" s="58">
        <v>8.3699999999999997E-2</v>
      </c>
      <c r="G981" s="58">
        <v>4.19E-2</v>
      </c>
      <c r="H981" s="58">
        <v>1.6799999999999999E-2</v>
      </c>
      <c r="I981" s="58">
        <v>3.3999999999999998E-3</v>
      </c>
      <c r="J981" s="58">
        <v>0</v>
      </c>
      <c r="M981" s="10" t="s">
        <v>519</v>
      </c>
    </row>
    <row r="982" spans="1:13" hidden="1">
      <c r="A982" s="58" t="s">
        <v>303</v>
      </c>
      <c r="B982" s="58" t="s">
        <v>230</v>
      </c>
      <c r="C982" s="58">
        <v>15.9262</v>
      </c>
      <c r="D982" s="58">
        <v>14.333600000000001</v>
      </c>
      <c r="E982" s="58">
        <v>11.108599999999999</v>
      </c>
      <c r="F982" s="58">
        <v>6.6651999999999996</v>
      </c>
      <c r="G982" s="58">
        <v>3.3325999999999998</v>
      </c>
      <c r="H982" s="58">
        <v>1.3331</v>
      </c>
      <c r="I982" s="58">
        <v>0.26669999999999999</v>
      </c>
      <c r="J982" s="58">
        <v>0</v>
      </c>
      <c r="M982" s="10" t="s">
        <v>519</v>
      </c>
    </row>
    <row r="983" spans="1:13" hidden="1">
      <c r="A983" s="58" t="s">
        <v>303</v>
      </c>
      <c r="B983" s="58" t="s">
        <v>231</v>
      </c>
      <c r="C983" s="58">
        <v>1.1655</v>
      </c>
      <c r="D983" s="58">
        <v>1.0489999999999999</v>
      </c>
      <c r="E983" s="58">
        <v>0.81299999999999994</v>
      </c>
      <c r="F983" s="58">
        <v>0.48780000000000001</v>
      </c>
      <c r="G983" s="58">
        <v>0.24390000000000001</v>
      </c>
      <c r="H983" s="58">
        <v>9.7600000000000006E-2</v>
      </c>
      <c r="I983" s="58">
        <v>1.9599999999999999E-2</v>
      </c>
      <c r="J983" s="58">
        <v>0</v>
      </c>
      <c r="M983" s="10" t="s">
        <v>519</v>
      </c>
    </row>
    <row r="984" spans="1:13" hidden="1">
      <c r="A984" s="58" t="s">
        <v>303</v>
      </c>
      <c r="B984" s="58" t="s">
        <v>240</v>
      </c>
      <c r="C984" s="58">
        <v>3.5100000000000006E-2</v>
      </c>
      <c r="D984" s="58">
        <v>3.1600000000000003E-2</v>
      </c>
      <c r="E984" s="58">
        <v>2.4500000000000001E-2</v>
      </c>
      <c r="F984" s="58">
        <v>1.47E-2</v>
      </c>
      <c r="G984" s="58">
        <v>7.4000000000000003E-3</v>
      </c>
      <c r="H984" s="58">
        <v>2.9999999999999996E-3</v>
      </c>
      <c r="I984" s="58">
        <v>5.9999999999999995E-4</v>
      </c>
      <c r="J984" s="58">
        <v>0</v>
      </c>
      <c r="M984" s="10" t="s">
        <v>519</v>
      </c>
    </row>
    <row r="985" spans="1:13" hidden="1">
      <c r="A985" s="57" t="s">
        <v>303</v>
      </c>
      <c r="B985" s="10" t="s">
        <v>163</v>
      </c>
      <c r="C985" s="10">
        <v>4.1500000000000004</v>
      </c>
      <c r="D985" s="10">
        <v>2.2584688648064342</v>
      </c>
      <c r="E985" s="10">
        <v>1.9688096445808991</v>
      </c>
      <c r="F985" s="10">
        <v>1.9465522802562101</v>
      </c>
      <c r="G985" s="10">
        <v>1.6506704025398999</v>
      </c>
      <c r="H985" s="10">
        <v>1.3602274723029326</v>
      </c>
      <c r="I985" s="10">
        <v>1.0617656212289854</v>
      </c>
      <c r="J985" s="10">
        <v>0.44781190053265835</v>
      </c>
      <c r="M985" s="10" t="s">
        <v>519</v>
      </c>
    </row>
    <row r="986" spans="1:13" hidden="1">
      <c r="A986" s="57" t="s">
        <v>303</v>
      </c>
      <c r="B986" s="10" t="s">
        <v>107</v>
      </c>
      <c r="C986" s="10">
        <v>0.23</v>
      </c>
      <c r="D986" s="10">
        <v>7.5727804063456722E-2</v>
      </c>
      <c r="E986" s="10">
        <v>7.5727804063456722E-2</v>
      </c>
      <c r="F986" s="10">
        <v>7.5727804063456722E-2</v>
      </c>
      <c r="G986" s="10">
        <v>7.2975229613136641E-2</v>
      </c>
      <c r="H986" s="10">
        <v>0</v>
      </c>
      <c r="I986" s="10">
        <v>0</v>
      </c>
      <c r="J986" s="10">
        <v>0</v>
      </c>
      <c r="M986" s="10" t="s">
        <v>519</v>
      </c>
    </row>
    <row r="987" spans="1:13" hidden="1">
      <c r="A987" s="57" t="s">
        <v>303</v>
      </c>
      <c r="B987" s="10" t="s">
        <v>106</v>
      </c>
      <c r="C987" s="10">
        <v>0</v>
      </c>
      <c r="D987" s="10">
        <v>0</v>
      </c>
      <c r="E987" s="10">
        <v>0</v>
      </c>
      <c r="F987" s="10">
        <v>0</v>
      </c>
      <c r="G987" s="10">
        <v>0</v>
      </c>
      <c r="H987" s="10">
        <v>0</v>
      </c>
      <c r="I987" s="10">
        <v>0</v>
      </c>
      <c r="J987" s="10">
        <v>0</v>
      </c>
      <c r="M987" s="10" t="s">
        <v>519</v>
      </c>
    </row>
    <row r="988" spans="1:13" hidden="1">
      <c r="A988" s="57" t="s">
        <v>303</v>
      </c>
      <c r="B988" s="10" t="s">
        <v>22</v>
      </c>
      <c r="C988" s="10">
        <v>0.92000000000000015</v>
      </c>
      <c r="D988" s="10">
        <v>0.79490626282184274</v>
      </c>
      <c r="E988" s="10">
        <v>0.75221708986772851</v>
      </c>
      <c r="F988" s="10">
        <v>0.73343790934883313</v>
      </c>
      <c r="G988" s="10">
        <v>0.68199810719101317</v>
      </c>
      <c r="H988" s="10">
        <v>0.64451361146282204</v>
      </c>
      <c r="I988" s="10">
        <v>0.64446555828851582</v>
      </c>
      <c r="J988" s="10">
        <v>0</v>
      </c>
      <c r="M988" s="10" t="s">
        <v>519</v>
      </c>
    </row>
    <row r="989" spans="1:13" hidden="1">
      <c r="A989" s="10" t="s">
        <v>303</v>
      </c>
      <c r="B989" s="10" t="s">
        <v>488</v>
      </c>
      <c r="C989" s="10">
        <v>1.488</v>
      </c>
      <c r="D989" s="10">
        <v>1.488</v>
      </c>
      <c r="E989" s="10">
        <v>1.3771350826044704</v>
      </c>
      <c r="F989" s="10">
        <v>1.2662701652089408</v>
      </c>
      <c r="G989" s="10">
        <v>0.9854927113702624</v>
      </c>
      <c r="H989" s="10">
        <v>0.70471525753158404</v>
      </c>
      <c r="I989" s="10">
        <v>0.35235762876579202</v>
      </c>
      <c r="J989" s="10">
        <v>0</v>
      </c>
      <c r="M989" s="10" t="s">
        <v>519</v>
      </c>
    </row>
    <row r="990" spans="1:13" hidden="1">
      <c r="A990" s="10" t="s">
        <v>303</v>
      </c>
      <c r="B990" s="10" t="s">
        <v>490</v>
      </c>
      <c r="C990" s="10">
        <v>1.482</v>
      </c>
      <c r="D990" s="10">
        <v>1.482</v>
      </c>
      <c r="E990" s="10">
        <v>1.3715821185617103</v>
      </c>
      <c r="F990" s="10">
        <v>1.2611642371234206</v>
      </c>
      <c r="G990" s="10">
        <v>0.98151895043731763</v>
      </c>
      <c r="H990" s="10">
        <v>0.70187366375121463</v>
      </c>
      <c r="I990" s="10">
        <v>0.35093683187560731</v>
      </c>
      <c r="J990" s="10">
        <v>0</v>
      </c>
      <c r="M990" s="10" t="s">
        <v>519</v>
      </c>
    </row>
    <row r="991" spans="1:13" hidden="1">
      <c r="A991" s="57" t="s">
        <v>303</v>
      </c>
      <c r="B991" s="10" t="s">
        <v>23</v>
      </c>
      <c r="C991" s="10">
        <v>10</v>
      </c>
      <c r="D991" s="10">
        <v>10</v>
      </c>
      <c r="E991" s="10">
        <v>7.9048582995951415</v>
      </c>
      <c r="F991" s="10">
        <v>5.9585020242914979</v>
      </c>
      <c r="G991" s="10">
        <v>0</v>
      </c>
      <c r="H991" s="10">
        <v>0</v>
      </c>
      <c r="I991" s="10">
        <v>0</v>
      </c>
      <c r="J991" s="10">
        <v>0</v>
      </c>
      <c r="M991" s="10" t="s">
        <v>519</v>
      </c>
    </row>
    <row r="992" spans="1:13" hidden="1">
      <c r="A992" s="57" t="s">
        <v>303</v>
      </c>
      <c r="B992" s="10" t="s">
        <v>58</v>
      </c>
      <c r="C992" s="10">
        <v>3.5999999999999992</v>
      </c>
      <c r="D992" s="10">
        <v>0.83866567186753327</v>
      </c>
      <c r="E992" s="10">
        <v>0.83866567186753327</v>
      </c>
      <c r="F992" s="10">
        <v>0.66810443859075475</v>
      </c>
      <c r="G992" s="10">
        <v>5.1056834749428334E-2</v>
      </c>
      <c r="H992" s="10">
        <v>2.7926023127447217E-2</v>
      </c>
      <c r="I992" s="10">
        <v>2.7926023127447217E-2</v>
      </c>
      <c r="J992" s="10">
        <v>0</v>
      </c>
      <c r="M992" s="10" t="s">
        <v>519</v>
      </c>
    </row>
    <row r="993" spans="1:13" hidden="1">
      <c r="A993" s="58" t="s">
        <v>303</v>
      </c>
      <c r="B993" s="58" t="s">
        <v>102</v>
      </c>
      <c r="C993" s="58">
        <v>4.9800000000000004</v>
      </c>
      <c r="D993" s="58">
        <v>4.9800000000000004</v>
      </c>
      <c r="E993" s="58">
        <v>4.9800000000000004</v>
      </c>
      <c r="F993" s="58">
        <v>4.9800000000000004</v>
      </c>
      <c r="G993" s="58">
        <v>4.9800000000000004</v>
      </c>
      <c r="H993" s="58">
        <v>4.9800000000000004</v>
      </c>
      <c r="I993" s="58">
        <v>4.9800000000000004</v>
      </c>
      <c r="J993" s="58">
        <v>4.9800000000000004</v>
      </c>
      <c r="M993" s="10" t="s">
        <v>519</v>
      </c>
    </row>
    <row r="994" spans="1:13" hidden="1">
      <c r="A994" s="57" t="s">
        <v>303</v>
      </c>
      <c r="B994" s="10" t="s">
        <v>337</v>
      </c>
      <c r="C994" s="10">
        <v>4.55</v>
      </c>
      <c r="D994" s="10">
        <v>4.55</v>
      </c>
      <c r="E994" s="10">
        <v>4.55</v>
      </c>
      <c r="F994" s="10">
        <v>4.55</v>
      </c>
      <c r="G994" s="10">
        <v>4.55</v>
      </c>
      <c r="H994" s="10">
        <v>4.55</v>
      </c>
      <c r="I994" s="10">
        <v>4.55</v>
      </c>
      <c r="J994" s="10">
        <v>4.55</v>
      </c>
      <c r="M994" s="10" t="s">
        <v>519</v>
      </c>
    </row>
    <row r="995" spans="1:13" hidden="1">
      <c r="A995" s="57" t="s">
        <v>303</v>
      </c>
      <c r="B995" s="10" t="s">
        <v>103</v>
      </c>
      <c r="C995" s="10">
        <v>11.22</v>
      </c>
      <c r="D995" s="10">
        <v>11.22</v>
      </c>
      <c r="E995" s="10">
        <v>11.22</v>
      </c>
      <c r="F995" s="10">
        <v>11.22</v>
      </c>
      <c r="G995" s="10">
        <v>11.22</v>
      </c>
      <c r="H995" s="10">
        <v>11.22</v>
      </c>
      <c r="I995" s="10">
        <v>11.22</v>
      </c>
      <c r="J995" s="10">
        <v>11.22</v>
      </c>
      <c r="M995" s="10" t="s">
        <v>519</v>
      </c>
    </row>
    <row r="996" spans="1:13" hidden="1">
      <c r="A996" s="57" t="s">
        <v>303</v>
      </c>
      <c r="B996" s="10" t="s">
        <v>94</v>
      </c>
      <c r="C996" s="10">
        <v>0.47199999999999998</v>
      </c>
      <c r="D996" s="10">
        <v>0.47199999999999998</v>
      </c>
      <c r="E996" s="10">
        <v>0.47199999999999998</v>
      </c>
      <c r="F996" s="10">
        <v>0.47199999999999998</v>
      </c>
      <c r="G996" s="10">
        <v>0.47199999999999998</v>
      </c>
      <c r="H996" s="10">
        <v>0</v>
      </c>
      <c r="I996" s="10">
        <v>0</v>
      </c>
      <c r="J996" s="10">
        <v>0</v>
      </c>
      <c r="M996" s="10" t="s">
        <v>519</v>
      </c>
    </row>
    <row r="997" spans="1:13" hidden="1">
      <c r="A997" s="57" t="s">
        <v>303</v>
      </c>
      <c r="B997" s="10" t="s">
        <v>170</v>
      </c>
      <c r="C997" s="10">
        <v>0.2</v>
      </c>
      <c r="D997" s="10">
        <v>0.2</v>
      </c>
      <c r="E997" s="10">
        <v>0.2</v>
      </c>
      <c r="F997" s="10">
        <v>0.18456160792309934</v>
      </c>
      <c r="G997" s="10">
        <v>5.5927759976696773E-2</v>
      </c>
      <c r="H997" s="10">
        <v>0</v>
      </c>
      <c r="I997" s="10">
        <v>0</v>
      </c>
      <c r="J997" s="10">
        <v>0</v>
      </c>
      <c r="M997" s="10" t="s">
        <v>519</v>
      </c>
    </row>
    <row r="998" spans="1:13" hidden="1">
      <c r="A998" s="57" t="s">
        <v>303</v>
      </c>
      <c r="B998" s="10" t="s">
        <v>97</v>
      </c>
      <c r="C998" s="10">
        <v>7.407</v>
      </c>
      <c r="D998" s="10">
        <v>7.407</v>
      </c>
      <c r="E998" s="10">
        <v>7.407</v>
      </c>
      <c r="F998" s="10">
        <v>6.1160572898388459</v>
      </c>
      <c r="G998" s="10">
        <v>4.4632875961892537</v>
      </c>
      <c r="H998" s="10">
        <v>0</v>
      </c>
      <c r="I998" s="10">
        <v>0</v>
      </c>
      <c r="J998" s="10">
        <v>0</v>
      </c>
      <c r="M998" s="10" t="s">
        <v>519</v>
      </c>
    </row>
    <row r="999" spans="1:13" hidden="1">
      <c r="A999" s="61" t="s">
        <v>303</v>
      </c>
      <c r="B999" s="62" t="s">
        <v>339</v>
      </c>
      <c r="C999" s="10">
        <v>0</v>
      </c>
      <c r="D999" s="10">
        <v>1.1000000000000001</v>
      </c>
      <c r="E999" s="10">
        <v>1.1000000000000001</v>
      </c>
      <c r="F999" s="10">
        <v>1.1000000000000001</v>
      </c>
      <c r="G999" s="10">
        <v>1.1000000000000001</v>
      </c>
      <c r="H999" s="10">
        <v>1.1000000000000001</v>
      </c>
      <c r="I999" s="10">
        <v>1.1000000000000001</v>
      </c>
      <c r="J999" s="10">
        <v>1.1000000000000001</v>
      </c>
      <c r="M999" s="10" t="s">
        <v>519</v>
      </c>
    </row>
    <row r="1000" spans="1:13" hidden="1">
      <c r="A1000" s="10" t="s">
        <v>304</v>
      </c>
      <c r="B1000" s="10" t="s">
        <v>475</v>
      </c>
      <c r="C1000" s="10">
        <v>7.7016339000494261E-2</v>
      </c>
      <c r="D1000" s="10">
        <v>7.7016339000494261E-2</v>
      </c>
      <c r="E1000" s="10">
        <v>6.7537404969664191E-2</v>
      </c>
      <c r="F1000" s="10">
        <v>5.8058470938834129E-2</v>
      </c>
      <c r="G1000" s="10">
        <v>2.9029235469417065E-2</v>
      </c>
      <c r="H1000" s="10">
        <v>0</v>
      </c>
      <c r="I1000" s="10">
        <v>0</v>
      </c>
      <c r="J1000" s="10">
        <v>0</v>
      </c>
      <c r="M1000" s="10" t="s">
        <v>519</v>
      </c>
    </row>
    <row r="1001" spans="1:13" hidden="1">
      <c r="A1001" s="10" t="s">
        <v>304</v>
      </c>
      <c r="B1001" s="10" t="s">
        <v>108</v>
      </c>
      <c r="C1001" s="10">
        <v>0.1898352672824874</v>
      </c>
      <c r="D1001" s="10">
        <v>0.1898352672824874</v>
      </c>
      <c r="E1001" s="10">
        <v>9.4917633641243698E-2</v>
      </c>
      <c r="F1001" s="10">
        <v>0</v>
      </c>
      <c r="G1001" s="10">
        <v>0</v>
      </c>
      <c r="H1001" s="10">
        <v>0</v>
      </c>
      <c r="I1001" s="10">
        <v>0</v>
      </c>
      <c r="J1001" s="10">
        <v>0</v>
      </c>
      <c r="M1001" s="10" t="s">
        <v>519</v>
      </c>
    </row>
    <row r="1002" spans="1:13" hidden="1">
      <c r="A1002" s="10" t="s">
        <v>304</v>
      </c>
      <c r="B1002" s="10" t="s">
        <v>481</v>
      </c>
      <c r="C1002" s="10">
        <v>0.11710312670731625</v>
      </c>
      <c r="D1002" s="10">
        <v>0.11710312670731625</v>
      </c>
      <c r="E1002" s="10">
        <v>0.11784008785714202</v>
      </c>
      <c r="F1002" s="10">
        <v>0.11857704900696781</v>
      </c>
      <c r="G1002" s="10">
        <v>0.11278637677221175</v>
      </c>
      <c r="H1002" s="10">
        <v>0.10699570453745569</v>
      </c>
      <c r="I1002" s="10">
        <v>5.3497852268727844E-2</v>
      </c>
      <c r="J1002" s="10">
        <v>0</v>
      </c>
      <c r="M1002" s="10" t="s">
        <v>519</v>
      </c>
    </row>
    <row r="1003" spans="1:13" hidden="1">
      <c r="A1003" s="10" t="s">
        <v>304</v>
      </c>
      <c r="B1003" s="10" t="s">
        <v>485</v>
      </c>
      <c r="C1003" s="10">
        <v>1.2292578178076398E-3</v>
      </c>
      <c r="D1003" s="10">
        <v>1.2292578178076398E-3</v>
      </c>
      <c r="E1003" s="10">
        <v>6.1462890890381992E-4</v>
      </c>
      <c r="F1003" s="10">
        <v>0</v>
      </c>
      <c r="G1003" s="10">
        <v>0</v>
      </c>
      <c r="H1003" s="10">
        <v>0</v>
      </c>
      <c r="I1003" s="10">
        <v>0</v>
      </c>
      <c r="J1003" s="10">
        <v>0</v>
      </c>
      <c r="M1003" s="10" t="s">
        <v>519</v>
      </c>
    </row>
    <row r="1004" spans="1:13" hidden="1">
      <c r="A1004" s="57" t="s">
        <v>304</v>
      </c>
      <c r="B1004" s="10" t="s">
        <v>142</v>
      </c>
      <c r="C1004" s="10">
        <v>0.17999999999999994</v>
      </c>
      <c r="D1004" s="10">
        <v>0.17999999999999994</v>
      </c>
      <c r="E1004" s="10">
        <v>0.17999999999999994</v>
      </c>
      <c r="F1004" s="10">
        <v>0.17999999999999994</v>
      </c>
      <c r="G1004" s="10">
        <v>0.17999999999999994</v>
      </c>
      <c r="H1004" s="10">
        <v>0.17999999999999994</v>
      </c>
      <c r="I1004" s="10">
        <v>0.17999999999999994</v>
      </c>
      <c r="J1004" s="10">
        <v>0.17999999999999994</v>
      </c>
      <c r="M1004" s="10" t="s">
        <v>519</v>
      </c>
    </row>
    <row r="1005" spans="1:13" hidden="1">
      <c r="A1005" s="58" t="s">
        <v>304</v>
      </c>
      <c r="B1005" s="58" t="s">
        <v>243</v>
      </c>
      <c r="C1005" s="58">
        <v>0.73509999999999998</v>
      </c>
      <c r="D1005" s="58">
        <v>0.66159999999999997</v>
      </c>
      <c r="E1005" s="58">
        <v>0.51280000000000003</v>
      </c>
      <c r="F1005" s="58">
        <v>0.30769999999999997</v>
      </c>
      <c r="G1005" s="58">
        <v>0.15389999999999998</v>
      </c>
      <c r="H1005" s="58">
        <v>6.1600000000000002E-2</v>
      </c>
      <c r="I1005" s="58">
        <v>1.24E-2</v>
      </c>
      <c r="J1005" s="58">
        <v>0</v>
      </c>
      <c r="M1005" s="10" t="s">
        <v>519</v>
      </c>
    </row>
    <row r="1006" spans="1:13" hidden="1">
      <c r="A1006" s="58" t="s">
        <v>304</v>
      </c>
      <c r="B1006" s="58" t="s">
        <v>244</v>
      </c>
      <c r="C1006" s="58">
        <v>0.12380000000000001</v>
      </c>
      <c r="D1006" s="58">
        <v>0.1115</v>
      </c>
      <c r="E1006" s="58">
        <v>8.6500000000000007E-2</v>
      </c>
      <c r="F1006" s="58">
        <v>5.1900000000000002E-2</v>
      </c>
      <c r="G1006" s="58">
        <v>2.5999999999999999E-2</v>
      </c>
      <c r="H1006" s="58">
        <v>1.04E-2</v>
      </c>
      <c r="I1006" s="58">
        <v>2.0999999999999999E-3</v>
      </c>
      <c r="J1006" s="58">
        <v>0</v>
      </c>
      <c r="M1006" s="10" t="s">
        <v>519</v>
      </c>
    </row>
    <row r="1007" spans="1:13" hidden="1">
      <c r="A1007" s="58" t="s">
        <v>304</v>
      </c>
      <c r="B1007" s="58" t="s">
        <v>245</v>
      </c>
      <c r="C1007" s="58">
        <v>0.1202</v>
      </c>
      <c r="D1007" s="58">
        <v>0.1082</v>
      </c>
      <c r="E1007" s="58">
        <v>8.3900000000000002E-2</v>
      </c>
      <c r="F1007" s="58">
        <v>5.04E-2</v>
      </c>
      <c r="G1007" s="58">
        <v>2.52E-2</v>
      </c>
      <c r="H1007" s="58">
        <v>1.01E-2</v>
      </c>
      <c r="I1007" s="58">
        <v>2.0999999999999999E-3</v>
      </c>
      <c r="J1007" s="58">
        <v>0</v>
      </c>
      <c r="M1007" s="10" t="s">
        <v>519</v>
      </c>
    </row>
    <row r="1008" spans="1:13" hidden="1">
      <c r="A1008" s="58" t="s">
        <v>304</v>
      </c>
      <c r="B1008" s="58" t="s">
        <v>217</v>
      </c>
      <c r="C1008" s="58">
        <v>3.1400000000000004E-2</v>
      </c>
      <c r="D1008" s="58">
        <v>2.8299999999999999E-2</v>
      </c>
      <c r="E1008" s="58">
        <v>2.1999999999999999E-2</v>
      </c>
      <c r="F1008" s="58">
        <v>1.32E-2</v>
      </c>
      <c r="G1008" s="58">
        <v>6.6E-3</v>
      </c>
      <c r="H1008" s="58">
        <v>2.6999999999999997E-3</v>
      </c>
      <c r="I1008" s="58">
        <v>6.0000000000000006E-4</v>
      </c>
      <c r="J1008" s="58">
        <v>0</v>
      </c>
      <c r="M1008" s="10" t="s">
        <v>519</v>
      </c>
    </row>
    <row r="1009" spans="1:13" hidden="1">
      <c r="A1009" s="58" t="s">
        <v>304</v>
      </c>
      <c r="B1009" s="58" t="s">
        <v>237</v>
      </c>
      <c r="C1009" s="58">
        <v>4.1000000000000003E-3</v>
      </c>
      <c r="D1009" s="58">
        <v>3.6999999999999997E-3</v>
      </c>
      <c r="E1009" s="58">
        <v>2.8999999999999998E-3</v>
      </c>
      <c r="F1009" s="58">
        <v>1.8E-3</v>
      </c>
      <c r="G1009" s="58">
        <v>8.9999999999999998E-4</v>
      </c>
      <c r="H1009" s="58">
        <v>0</v>
      </c>
      <c r="I1009" s="58">
        <v>0</v>
      </c>
      <c r="J1009" s="58">
        <v>0</v>
      </c>
      <c r="M1009" s="10" t="s">
        <v>519</v>
      </c>
    </row>
    <row r="1010" spans="1:13" hidden="1">
      <c r="A1010" s="58" t="s">
        <v>304</v>
      </c>
      <c r="B1010" s="58" t="s">
        <v>226</v>
      </c>
      <c r="C1010" s="58">
        <v>0.67920000000000003</v>
      </c>
      <c r="D1010" s="58">
        <v>0.61129999999999995</v>
      </c>
      <c r="E1010" s="58">
        <v>0.4738</v>
      </c>
      <c r="F1010" s="58">
        <v>0.2843</v>
      </c>
      <c r="G1010" s="58">
        <v>0.14219999999999999</v>
      </c>
      <c r="H1010" s="58">
        <v>5.6900000000000006E-2</v>
      </c>
      <c r="I1010" s="58">
        <v>1.1399999999999999E-2</v>
      </c>
      <c r="J1010" s="58">
        <v>0</v>
      </c>
      <c r="M1010" s="10" t="s">
        <v>519</v>
      </c>
    </row>
    <row r="1011" spans="1:13" hidden="1">
      <c r="A1011" s="58" t="s">
        <v>304</v>
      </c>
      <c r="B1011" s="58" t="s">
        <v>219</v>
      </c>
      <c r="C1011" s="58">
        <v>1.01E-2</v>
      </c>
      <c r="D1011" s="58">
        <v>9.0999999999999987E-3</v>
      </c>
      <c r="E1011" s="58">
        <v>7.1000000000000004E-3</v>
      </c>
      <c r="F1011" s="58">
        <v>4.3E-3</v>
      </c>
      <c r="G1011" s="58">
        <v>2.1999999999999997E-3</v>
      </c>
      <c r="H1011" s="58">
        <v>9.0000000000000008E-4</v>
      </c>
      <c r="I1011" s="58">
        <v>0</v>
      </c>
      <c r="J1011" s="58">
        <v>0</v>
      </c>
      <c r="M1011" s="10" t="s">
        <v>519</v>
      </c>
    </row>
    <row r="1012" spans="1:13" hidden="1">
      <c r="A1012" s="58" t="s">
        <v>304</v>
      </c>
      <c r="B1012" s="58" t="s">
        <v>220</v>
      </c>
      <c r="C1012" s="58">
        <v>3.3999999999999998E-3</v>
      </c>
      <c r="D1012" s="58">
        <v>3.0999999999999999E-3</v>
      </c>
      <c r="E1012" s="58">
        <v>2.4999999999999996E-3</v>
      </c>
      <c r="F1012" s="58">
        <v>1.5E-3</v>
      </c>
      <c r="G1012" s="58">
        <v>8.0000000000000004E-4</v>
      </c>
      <c r="H1012" s="58">
        <v>0</v>
      </c>
      <c r="I1012" s="58">
        <v>0</v>
      </c>
      <c r="J1012" s="58">
        <v>0</v>
      </c>
      <c r="M1012" s="10" t="s">
        <v>519</v>
      </c>
    </row>
    <row r="1013" spans="1:13" hidden="1">
      <c r="A1013" s="58" t="s">
        <v>304</v>
      </c>
      <c r="B1013" s="58" t="s">
        <v>227</v>
      </c>
      <c r="C1013" s="58">
        <v>2.92E-2</v>
      </c>
      <c r="D1013" s="58">
        <v>2.63E-2</v>
      </c>
      <c r="E1013" s="58">
        <v>2.0399999999999998E-2</v>
      </c>
      <c r="F1013" s="58">
        <v>1.23E-2</v>
      </c>
      <c r="G1013" s="58">
        <v>6.2000000000000006E-3</v>
      </c>
      <c r="H1013" s="58">
        <v>2.4999999999999996E-3</v>
      </c>
      <c r="I1013" s="58">
        <v>5.0000000000000001E-4</v>
      </c>
      <c r="J1013" s="58">
        <v>0</v>
      </c>
      <c r="M1013" s="10" t="s">
        <v>519</v>
      </c>
    </row>
    <row r="1014" spans="1:13" hidden="1">
      <c r="A1014" s="58" t="s">
        <v>304</v>
      </c>
      <c r="B1014" s="58" t="s">
        <v>206</v>
      </c>
      <c r="C1014" s="58">
        <v>0.62970000000000004</v>
      </c>
      <c r="D1014" s="58">
        <v>0.56679999999999997</v>
      </c>
      <c r="E1014" s="58">
        <v>0.43929999999999997</v>
      </c>
      <c r="F1014" s="58">
        <v>0.2636</v>
      </c>
      <c r="G1014" s="58">
        <v>0.1318</v>
      </c>
      <c r="H1014" s="58">
        <v>5.28E-2</v>
      </c>
      <c r="I1014" s="58">
        <v>1.06E-2</v>
      </c>
      <c r="M1014" s="10" t="s">
        <v>519</v>
      </c>
    </row>
    <row r="1015" spans="1:13" hidden="1">
      <c r="A1015" s="58" t="s">
        <v>304</v>
      </c>
      <c r="B1015" s="58" t="s">
        <v>233</v>
      </c>
      <c r="C1015" s="58">
        <v>0.18159999999999998</v>
      </c>
      <c r="D1015" s="58">
        <v>0.16349999999999998</v>
      </c>
      <c r="E1015" s="58">
        <v>0.1268</v>
      </c>
      <c r="F1015" s="58">
        <v>7.6100000000000001E-2</v>
      </c>
      <c r="G1015" s="58">
        <v>3.8100000000000002E-2</v>
      </c>
      <c r="H1015" s="58">
        <v>1.5299999999999999E-2</v>
      </c>
      <c r="I1015" s="58">
        <v>3.0999999999999999E-3</v>
      </c>
      <c r="M1015" s="10" t="s">
        <v>519</v>
      </c>
    </row>
    <row r="1016" spans="1:13" hidden="1">
      <c r="A1016" s="58" t="s">
        <v>304</v>
      </c>
      <c r="B1016" s="58" t="s">
        <v>224</v>
      </c>
      <c r="C1016" s="58">
        <v>3.9885000000000002</v>
      </c>
      <c r="D1016" s="58">
        <v>3.5897000000000001</v>
      </c>
      <c r="E1016" s="58">
        <v>2.7821000000000002</v>
      </c>
      <c r="F1016" s="58">
        <v>1.6693</v>
      </c>
      <c r="G1016" s="58">
        <v>0.8347</v>
      </c>
      <c r="H1016" s="58">
        <v>0.33389999999999997</v>
      </c>
      <c r="I1016" s="58">
        <v>6.6799999999999998E-2</v>
      </c>
      <c r="M1016" s="10" t="s">
        <v>519</v>
      </c>
    </row>
    <row r="1017" spans="1:13" hidden="1">
      <c r="A1017" s="58" t="s">
        <v>304</v>
      </c>
      <c r="B1017" s="58" t="s">
        <v>225</v>
      </c>
      <c r="C1017" s="58">
        <v>0.308</v>
      </c>
      <c r="D1017" s="58">
        <v>0.2772</v>
      </c>
      <c r="E1017" s="58">
        <v>0.21489999999999998</v>
      </c>
      <c r="F1017" s="58">
        <v>0.12899999999999998</v>
      </c>
      <c r="G1017" s="58">
        <v>6.4500000000000002E-2</v>
      </c>
      <c r="H1017" s="58">
        <v>2.58E-2</v>
      </c>
      <c r="I1017" s="58">
        <v>5.2000000000000006E-3</v>
      </c>
      <c r="M1017" s="10" t="s">
        <v>519</v>
      </c>
    </row>
    <row r="1018" spans="1:13" hidden="1">
      <c r="A1018" s="58" t="s">
        <v>304</v>
      </c>
      <c r="B1018" s="58" t="s">
        <v>228</v>
      </c>
      <c r="C1018" s="58">
        <v>0.1381</v>
      </c>
      <c r="D1018" s="58">
        <v>0.12430000000000001</v>
      </c>
      <c r="E1018" s="58">
        <v>9.64E-2</v>
      </c>
      <c r="F1018" s="58">
        <v>5.79E-2</v>
      </c>
      <c r="G1018" s="58">
        <v>2.8999999999999998E-2</v>
      </c>
      <c r="H1018" s="58">
        <v>1.1599999999999999E-2</v>
      </c>
      <c r="I1018" s="58">
        <v>2.3999999999999998E-3</v>
      </c>
      <c r="J1018" s="58">
        <v>0</v>
      </c>
      <c r="M1018" s="10" t="s">
        <v>519</v>
      </c>
    </row>
    <row r="1019" spans="1:13" hidden="1">
      <c r="A1019" s="58" t="s">
        <v>304</v>
      </c>
      <c r="B1019" s="58" t="s">
        <v>230</v>
      </c>
      <c r="C1019" s="58">
        <v>2.0746000000000002</v>
      </c>
      <c r="D1019" s="58">
        <v>1.8672</v>
      </c>
      <c r="E1019" s="58">
        <v>1.4471000000000001</v>
      </c>
      <c r="F1019" s="58">
        <v>0.86829999999999996</v>
      </c>
      <c r="G1019" s="58">
        <v>0.43419999999999997</v>
      </c>
      <c r="H1019" s="58">
        <v>0.17369999999999999</v>
      </c>
      <c r="I1019" s="58">
        <v>3.4800000000000005E-2</v>
      </c>
      <c r="J1019" s="58">
        <v>0</v>
      </c>
      <c r="M1019" s="10" t="s">
        <v>519</v>
      </c>
    </row>
    <row r="1020" spans="1:13" hidden="1">
      <c r="A1020" s="58" t="s">
        <v>304</v>
      </c>
      <c r="B1020" s="58" t="s">
        <v>231</v>
      </c>
      <c r="C1020" s="58">
        <v>4.0400000000000005E-2</v>
      </c>
      <c r="D1020" s="58">
        <v>3.6400000000000002E-2</v>
      </c>
      <c r="E1020" s="58">
        <v>2.8299999999999999E-2</v>
      </c>
      <c r="F1020" s="58">
        <v>1.6999999999999998E-2</v>
      </c>
      <c r="G1020" s="58">
        <v>8.5000000000000006E-3</v>
      </c>
      <c r="H1020" s="58">
        <v>3.3999999999999998E-3</v>
      </c>
      <c r="I1020" s="58">
        <v>6.9999999999999999E-4</v>
      </c>
      <c r="J1020" s="58">
        <v>0</v>
      </c>
      <c r="M1020" s="10" t="s">
        <v>519</v>
      </c>
    </row>
    <row r="1021" spans="1:13" hidden="1">
      <c r="A1021" s="58" t="s">
        <v>304</v>
      </c>
      <c r="B1021" s="58" t="s">
        <v>240</v>
      </c>
      <c r="C1021" s="58">
        <v>3.1999999999999997E-3</v>
      </c>
      <c r="D1021" s="58">
        <v>2.8999999999999998E-3</v>
      </c>
      <c r="E1021" s="58">
        <v>2.3E-3</v>
      </c>
      <c r="F1021" s="58">
        <v>1.4E-3</v>
      </c>
      <c r="G1021" s="58">
        <v>6.9999999999999999E-4</v>
      </c>
      <c r="H1021" s="58">
        <v>0</v>
      </c>
      <c r="I1021" s="58">
        <v>0</v>
      </c>
      <c r="J1021" s="58">
        <v>0</v>
      </c>
      <c r="M1021" s="10" t="s">
        <v>519</v>
      </c>
    </row>
    <row r="1022" spans="1:13" hidden="1">
      <c r="A1022" s="57" t="s">
        <v>304</v>
      </c>
      <c r="B1022" s="10" t="s">
        <v>163</v>
      </c>
      <c r="C1022" s="10">
        <v>5.7000000000000002E-2</v>
      </c>
      <c r="D1022" s="10">
        <v>5.7000000000000002E-2</v>
      </c>
      <c r="E1022" s="10">
        <v>5.7000000000000002E-2</v>
      </c>
      <c r="F1022" s="10">
        <v>5.6276482806369717E-2</v>
      </c>
      <c r="G1022" s="10">
        <v>5.2343180244634191E-2</v>
      </c>
      <c r="H1022" s="10">
        <v>5.2343180244634191E-2</v>
      </c>
      <c r="I1022" s="10">
        <v>4.9807581352411721E-2</v>
      </c>
      <c r="J1022" s="10">
        <v>0</v>
      </c>
      <c r="M1022" s="10" t="s">
        <v>519</v>
      </c>
    </row>
    <row r="1023" spans="1:13" hidden="1">
      <c r="A1023" s="57" t="s">
        <v>304</v>
      </c>
      <c r="B1023" s="10" t="s">
        <v>107</v>
      </c>
      <c r="C1023" s="10">
        <v>0.113</v>
      </c>
      <c r="D1023" s="10">
        <v>4.5564516129032256E-2</v>
      </c>
      <c r="E1023" s="10">
        <v>4.5564516129032256E-2</v>
      </c>
      <c r="F1023" s="10">
        <v>4.5564516129032256E-2</v>
      </c>
      <c r="G1023" s="10">
        <v>0</v>
      </c>
      <c r="H1023" s="10">
        <v>0</v>
      </c>
      <c r="I1023" s="10">
        <v>0</v>
      </c>
      <c r="J1023" s="10">
        <v>0</v>
      </c>
      <c r="M1023" s="10" t="s">
        <v>519</v>
      </c>
    </row>
    <row r="1024" spans="1:13" hidden="1">
      <c r="A1024" s="57" t="s">
        <v>304</v>
      </c>
      <c r="B1024" s="10" t="s">
        <v>106</v>
      </c>
      <c r="C1024" s="10">
        <v>0.85</v>
      </c>
      <c r="D1024" s="10">
        <v>0</v>
      </c>
      <c r="E1024" s="10">
        <v>0</v>
      </c>
      <c r="F1024" s="10">
        <v>0</v>
      </c>
      <c r="G1024" s="10">
        <v>0</v>
      </c>
      <c r="H1024" s="10">
        <v>0</v>
      </c>
      <c r="I1024" s="10">
        <v>0</v>
      </c>
      <c r="J1024" s="10">
        <v>0</v>
      </c>
      <c r="M1024" s="10" t="s">
        <v>519</v>
      </c>
    </row>
    <row r="1025" spans="1:13" hidden="1">
      <c r="A1025" s="57" t="s">
        <v>304</v>
      </c>
      <c r="B1025" s="10" t="s">
        <v>22</v>
      </c>
      <c r="C1025" s="10">
        <v>8.4000000000000019E-2</v>
      </c>
      <c r="D1025" s="10">
        <v>8.1053823070439818E-2</v>
      </c>
      <c r="E1025" s="10">
        <v>8.061191936421494E-2</v>
      </c>
      <c r="F1025" s="10">
        <v>8.0545130829163938E-2</v>
      </c>
      <c r="G1025" s="10">
        <v>8.0545130829163938E-2</v>
      </c>
      <c r="H1025" s="10">
        <v>7.7028599306081968E-2</v>
      </c>
      <c r="I1025" s="10">
        <v>2.3114360454685894E-2</v>
      </c>
      <c r="J1025" s="10">
        <v>1.1860722603885096E-3</v>
      </c>
      <c r="M1025" s="10" t="s">
        <v>519</v>
      </c>
    </row>
    <row r="1026" spans="1:13" hidden="1">
      <c r="A1026" s="10" t="s">
        <v>304</v>
      </c>
      <c r="B1026" s="10" t="s">
        <v>488</v>
      </c>
      <c r="C1026" s="10">
        <v>0</v>
      </c>
      <c r="D1026" s="10">
        <v>0</v>
      </c>
      <c r="E1026" s="10">
        <v>0</v>
      </c>
      <c r="F1026" s="10">
        <v>0</v>
      </c>
      <c r="G1026" s="10">
        <v>0</v>
      </c>
      <c r="H1026" s="10">
        <v>0</v>
      </c>
      <c r="I1026" s="10">
        <v>0</v>
      </c>
      <c r="J1026" s="10">
        <v>0</v>
      </c>
      <c r="M1026" s="10" t="s">
        <v>519</v>
      </c>
    </row>
    <row r="1027" spans="1:13" hidden="1">
      <c r="A1027" s="10" t="s">
        <v>304</v>
      </c>
      <c r="B1027" s="10" t="s">
        <v>490</v>
      </c>
      <c r="C1027" s="10">
        <v>0.35</v>
      </c>
      <c r="D1027" s="10">
        <v>0.35</v>
      </c>
      <c r="E1027" s="10">
        <v>0.32392290249433103</v>
      </c>
      <c r="F1027" s="10">
        <v>0.29784580498866209</v>
      </c>
      <c r="G1027" s="10">
        <v>0.23180272108843536</v>
      </c>
      <c r="H1027" s="10">
        <v>0.16575963718820858</v>
      </c>
      <c r="I1027" s="10">
        <v>8.2879818594104288E-2</v>
      </c>
      <c r="J1027" s="10">
        <v>0</v>
      </c>
      <c r="M1027" s="10" t="s">
        <v>519</v>
      </c>
    </row>
    <row r="1028" spans="1:13" hidden="1">
      <c r="A1028" s="57" t="s">
        <v>304</v>
      </c>
      <c r="B1028" s="10" t="s">
        <v>23</v>
      </c>
      <c r="C1028" s="10">
        <v>0.69599999999999995</v>
      </c>
      <c r="D1028" s="10">
        <v>0.69599999999999995</v>
      </c>
      <c r="E1028" s="10">
        <v>0.69599999999999995</v>
      </c>
      <c r="F1028" s="10">
        <v>0.69599999999999995</v>
      </c>
      <c r="G1028" s="10">
        <v>0</v>
      </c>
      <c r="H1028" s="10">
        <v>0</v>
      </c>
      <c r="I1028" s="10">
        <v>0</v>
      </c>
      <c r="J1028" s="10">
        <v>0</v>
      </c>
      <c r="M1028" s="10" t="s">
        <v>519</v>
      </c>
    </row>
    <row r="1029" spans="1:13" hidden="1">
      <c r="A1029" s="57" t="s">
        <v>304</v>
      </c>
      <c r="B1029" s="10" t="s">
        <v>58</v>
      </c>
      <c r="C1029" s="10">
        <v>0.33500000000000002</v>
      </c>
      <c r="D1029" s="10">
        <v>0.20100000000000001</v>
      </c>
      <c r="E1029" s="10">
        <v>3.3500000000000002E-2</v>
      </c>
      <c r="F1029" s="10">
        <v>0</v>
      </c>
      <c r="G1029" s="10">
        <v>0</v>
      </c>
      <c r="H1029" s="10">
        <v>0</v>
      </c>
      <c r="I1029" s="10">
        <v>0</v>
      </c>
      <c r="J1029" s="10">
        <v>0</v>
      </c>
      <c r="M1029" s="10" t="s">
        <v>519</v>
      </c>
    </row>
    <row r="1030" spans="1:13" hidden="1">
      <c r="A1030" s="58" t="s">
        <v>304</v>
      </c>
      <c r="B1030" s="58" t="s">
        <v>102</v>
      </c>
      <c r="C1030" s="58">
        <v>0.18</v>
      </c>
      <c r="D1030" s="58">
        <v>0.18</v>
      </c>
      <c r="E1030" s="58">
        <v>0.18</v>
      </c>
      <c r="F1030" s="58">
        <v>0.18</v>
      </c>
      <c r="G1030" s="58">
        <v>0.18</v>
      </c>
      <c r="H1030" s="58">
        <v>0.18</v>
      </c>
      <c r="I1030" s="58">
        <v>0.18</v>
      </c>
      <c r="J1030" s="58">
        <v>0.18</v>
      </c>
      <c r="M1030" s="10" t="s">
        <v>519</v>
      </c>
    </row>
    <row r="1031" spans="1:13" hidden="1">
      <c r="A1031" s="57" t="s">
        <v>304</v>
      </c>
      <c r="B1031" s="10" t="s">
        <v>103</v>
      </c>
      <c r="C1031" s="10">
        <v>1.073</v>
      </c>
      <c r="D1031" s="10">
        <v>1.073</v>
      </c>
      <c r="E1031" s="10">
        <v>1.073</v>
      </c>
      <c r="F1031" s="10">
        <v>1.073</v>
      </c>
      <c r="G1031" s="10">
        <v>1.073</v>
      </c>
      <c r="H1031" s="10">
        <v>1.073</v>
      </c>
      <c r="I1031" s="10">
        <v>1.073</v>
      </c>
      <c r="J1031" s="10">
        <v>1.073</v>
      </c>
      <c r="M1031" s="10" t="s">
        <v>519</v>
      </c>
    </row>
    <row r="1032" spans="1:13" hidden="1">
      <c r="A1032" s="57" t="s">
        <v>304</v>
      </c>
      <c r="B1032" s="10" t="s">
        <v>94</v>
      </c>
      <c r="C1032" s="10">
        <v>0.26800000000000002</v>
      </c>
      <c r="D1032" s="10">
        <v>0.10425220759101471</v>
      </c>
      <c r="E1032" s="10">
        <v>0.10425220759101471</v>
      </c>
      <c r="F1032" s="10">
        <v>0.10425220759101471</v>
      </c>
      <c r="G1032" s="10">
        <v>7.5147947327652963E-3</v>
      </c>
      <c r="H1032" s="10">
        <v>0</v>
      </c>
      <c r="I1032" s="10">
        <v>0</v>
      </c>
      <c r="J1032" s="10">
        <v>0</v>
      </c>
      <c r="M1032" s="10" t="s">
        <v>519</v>
      </c>
    </row>
    <row r="1033" spans="1:13" hidden="1">
      <c r="A1033" s="57" t="s">
        <v>304</v>
      </c>
      <c r="B1033" s="10" t="s">
        <v>170</v>
      </c>
      <c r="C1033" s="10">
        <v>6.0000000000000001E-3</v>
      </c>
      <c r="D1033" s="10">
        <v>6.0000000000000001E-3</v>
      </c>
      <c r="E1033" s="10">
        <v>6.0000000000000001E-3</v>
      </c>
      <c r="F1033" s="10">
        <v>1.799999999999998E-3</v>
      </c>
      <c r="G1033" s="10">
        <v>2.9999999999999808E-4</v>
      </c>
      <c r="H1033" s="10">
        <v>0</v>
      </c>
      <c r="I1033" s="10">
        <v>0</v>
      </c>
      <c r="J1033" s="10">
        <v>0</v>
      </c>
      <c r="M1033" s="10" t="s">
        <v>519</v>
      </c>
    </row>
    <row r="1034" spans="1:13" hidden="1">
      <c r="A1034" s="57" t="s">
        <v>304</v>
      </c>
      <c r="B1034" s="10" t="s">
        <v>97</v>
      </c>
      <c r="C1034" s="10">
        <v>0</v>
      </c>
      <c r="D1034" s="10">
        <v>0</v>
      </c>
      <c r="E1034" s="10">
        <v>0</v>
      </c>
      <c r="F1034" s="10">
        <v>0</v>
      </c>
      <c r="G1034" s="10">
        <v>0</v>
      </c>
      <c r="H1034" s="10">
        <v>0</v>
      </c>
      <c r="I1034" s="10">
        <v>0</v>
      </c>
      <c r="J1034" s="10">
        <v>0</v>
      </c>
      <c r="M1034" s="10" t="s">
        <v>519</v>
      </c>
    </row>
    <row r="1035" spans="1:13" hidden="1">
      <c r="A1035" s="61" t="s">
        <v>304</v>
      </c>
      <c r="B1035" s="62" t="s">
        <v>339</v>
      </c>
      <c r="C1035" s="10">
        <v>0</v>
      </c>
      <c r="D1035" s="10">
        <v>0</v>
      </c>
      <c r="E1035" s="10">
        <v>0</v>
      </c>
      <c r="F1035" s="10">
        <v>0</v>
      </c>
      <c r="G1035" s="10">
        <v>0</v>
      </c>
      <c r="H1035" s="10">
        <v>0</v>
      </c>
      <c r="I1035" s="10">
        <v>0</v>
      </c>
      <c r="J1035" s="10">
        <v>0</v>
      </c>
      <c r="M1035" s="10" t="s">
        <v>519</v>
      </c>
    </row>
    <row r="1036" spans="1:13" hidden="1">
      <c r="A1036" s="10" t="s">
        <v>305</v>
      </c>
      <c r="B1036" s="10" t="s">
        <v>475</v>
      </c>
      <c r="C1036" s="10">
        <v>0.54665641677442944</v>
      </c>
      <c r="D1036" s="10">
        <v>0.54665641677442944</v>
      </c>
      <c r="E1036" s="10">
        <v>0.47937562701757658</v>
      </c>
      <c r="F1036" s="10">
        <v>0.41209483726072371</v>
      </c>
      <c r="G1036" s="10">
        <v>0.20604741863036186</v>
      </c>
      <c r="H1036" s="10">
        <v>0</v>
      </c>
      <c r="I1036" s="10">
        <v>0</v>
      </c>
      <c r="J1036" s="10">
        <v>0</v>
      </c>
      <c r="M1036" s="10" t="s">
        <v>519</v>
      </c>
    </row>
    <row r="1037" spans="1:13" hidden="1">
      <c r="A1037" s="10" t="s">
        <v>305</v>
      </c>
      <c r="B1037" s="10" t="s">
        <v>108</v>
      </c>
      <c r="C1037" s="10">
        <v>0.37258408927897901</v>
      </c>
      <c r="D1037" s="10">
        <v>0.37258408927897901</v>
      </c>
      <c r="E1037" s="10">
        <v>0.35122032269188164</v>
      </c>
      <c r="F1037" s="10">
        <v>0.3298565561047842</v>
      </c>
      <c r="G1037" s="10">
        <v>0.3298565561047842</v>
      </c>
      <c r="H1037" s="10">
        <v>0.3298565561047842</v>
      </c>
      <c r="I1037" s="10">
        <v>0.1649282780523921</v>
      </c>
      <c r="J1037" s="10">
        <v>0</v>
      </c>
      <c r="M1037" s="10" t="s">
        <v>519</v>
      </c>
    </row>
    <row r="1038" spans="1:13" hidden="1">
      <c r="A1038" s="10" t="s">
        <v>305</v>
      </c>
      <c r="B1038" s="10" t="s">
        <v>481</v>
      </c>
      <c r="C1038" s="10">
        <v>0.48353565092285605</v>
      </c>
      <c r="D1038" s="10">
        <v>0.48353565092285605</v>
      </c>
      <c r="E1038" s="10">
        <v>0.44005222907727543</v>
      </c>
      <c r="F1038" s="10">
        <v>0.3965688072316948</v>
      </c>
      <c r="G1038" s="10">
        <v>0.3965688072316948</v>
      </c>
      <c r="H1038" s="10">
        <v>0.3965688072316948</v>
      </c>
      <c r="I1038" s="10">
        <v>0.1982844036158474</v>
      </c>
      <c r="J1038" s="10">
        <v>0</v>
      </c>
      <c r="M1038" s="10" t="s">
        <v>519</v>
      </c>
    </row>
    <row r="1039" spans="1:13" hidden="1">
      <c r="A1039" s="10" t="s">
        <v>305</v>
      </c>
      <c r="B1039" s="10" t="s">
        <v>485</v>
      </c>
      <c r="C1039" s="10">
        <v>0.24641966145810101</v>
      </c>
      <c r="D1039" s="10">
        <v>0.24641966145810101</v>
      </c>
      <c r="E1039" s="10">
        <v>0.12320983072905051</v>
      </c>
      <c r="F1039" s="10">
        <v>0</v>
      </c>
      <c r="G1039" s="10">
        <v>0</v>
      </c>
      <c r="H1039" s="10">
        <v>0</v>
      </c>
      <c r="I1039" s="10">
        <v>0</v>
      </c>
      <c r="J1039" s="10">
        <v>0</v>
      </c>
      <c r="M1039" s="10" t="s">
        <v>519</v>
      </c>
    </row>
    <row r="1040" spans="1:13" hidden="1">
      <c r="A1040" s="57" t="s">
        <v>305</v>
      </c>
      <c r="B1040" s="10" t="s">
        <v>142</v>
      </c>
      <c r="C1040" s="10">
        <v>0.96716000000000024</v>
      </c>
      <c r="D1040" s="10">
        <v>0.96716000000000024</v>
      </c>
      <c r="E1040" s="10">
        <v>0.96716000000000024</v>
      </c>
      <c r="F1040" s="10">
        <v>0.96716000000000024</v>
      </c>
      <c r="G1040" s="10">
        <v>0.96716000000000024</v>
      </c>
      <c r="H1040" s="10">
        <v>0.96716000000000024</v>
      </c>
      <c r="I1040" s="10">
        <v>0.96716000000000024</v>
      </c>
      <c r="J1040" s="10">
        <v>0.96716000000000024</v>
      </c>
      <c r="M1040" s="10" t="s">
        <v>519</v>
      </c>
    </row>
    <row r="1041" spans="1:13" hidden="1">
      <c r="A1041" s="58" t="s">
        <v>305</v>
      </c>
      <c r="B1041" s="58" t="s">
        <v>243</v>
      </c>
      <c r="C1041" s="58">
        <v>7.2018000000000004</v>
      </c>
      <c r="D1041" s="58">
        <v>6.4817</v>
      </c>
      <c r="E1041" s="58">
        <v>5.0233999999999996</v>
      </c>
      <c r="F1041" s="58">
        <v>3.0141</v>
      </c>
      <c r="G1041" s="58">
        <v>1.5070999999999999</v>
      </c>
      <c r="H1041" s="58">
        <v>0.60289999999999999</v>
      </c>
      <c r="I1041" s="58">
        <v>0.1206</v>
      </c>
      <c r="J1041" s="58">
        <v>0</v>
      </c>
      <c r="M1041" s="10" t="s">
        <v>519</v>
      </c>
    </row>
    <row r="1042" spans="1:13" hidden="1">
      <c r="A1042" s="58" t="s">
        <v>305</v>
      </c>
      <c r="B1042" s="58" t="s">
        <v>244</v>
      </c>
      <c r="C1042" s="58">
        <v>0.27179999999999999</v>
      </c>
      <c r="D1042" s="58">
        <v>0.2447</v>
      </c>
      <c r="E1042" s="58">
        <v>0.18969999999999998</v>
      </c>
      <c r="F1042" s="58">
        <v>0.1139</v>
      </c>
      <c r="G1042" s="58">
        <v>5.7000000000000002E-2</v>
      </c>
      <c r="H1042" s="58">
        <v>2.2800000000000001E-2</v>
      </c>
      <c r="I1042" s="58">
        <v>4.5999999999999999E-3</v>
      </c>
      <c r="J1042" s="58">
        <v>0</v>
      </c>
      <c r="M1042" s="10" t="s">
        <v>519</v>
      </c>
    </row>
    <row r="1043" spans="1:13" hidden="1">
      <c r="A1043" s="58" t="s">
        <v>305</v>
      </c>
      <c r="B1043" s="58" t="s">
        <v>245</v>
      </c>
      <c r="C1043" s="58">
        <v>0.1633</v>
      </c>
      <c r="D1043" s="58">
        <v>0.14699999999999999</v>
      </c>
      <c r="E1043" s="58">
        <v>0.114</v>
      </c>
      <c r="F1043" s="58">
        <v>6.8400000000000002E-2</v>
      </c>
      <c r="G1043" s="58">
        <v>3.4200000000000001E-2</v>
      </c>
      <c r="H1043" s="58">
        <v>1.3699999999999999E-2</v>
      </c>
      <c r="I1043" s="58">
        <v>2.8E-3</v>
      </c>
      <c r="J1043" s="58">
        <v>0</v>
      </c>
      <c r="M1043" s="10" t="s">
        <v>519</v>
      </c>
    </row>
    <row r="1044" spans="1:13" hidden="1">
      <c r="A1044" s="58" t="s">
        <v>305</v>
      </c>
      <c r="B1044" s="58" t="s">
        <v>217</v>
      </c>
      <c r="C1044" s="58">
        <v>0.32539999999999997</v>
      </c>
      <c r="D1044" s="58">
        <v>0.29289999999999999</v>
      </c>
      <c r="E1044" s="58">
        <v>0.22699999999999998</v>
      </c>
      <c r="F1044" s="58">
        <v>0.13619999999999999</v>
      </c>
      <c r="G1044" s="58">
        <v>6.8099999999999994E-2</v>
      </c>
      <c r="H1044" s="58">
        <v>2.7299999999999998E-2</v>
      </c>
      <c r="I1044" s="58">
        <v>5.5000000000000005E-3</v>
      </c>
      <c r="J1044" s="58">
        <v>0</v>
      </c>
      <c r="M1044" s="10" t="s">
        <v>519</v>
      </c>
    </row>
    <row r="1045" spans="1:13" hidden="1">
      <c r="A1045" s="58" t="s">
        <v>305</v>
      </c>
      <c r="B1045" s="58" t="s">
        <v>237</v>
      </c>
      <c r="C1045" s="58">
        <v>5.0900000000000001E-2</v>
      </c>
      <c r="D1045" s="58">
        <v>4.5900000000000003E-2</v>
      </c>
      <c r="E1045" s="58">
        <v>3.56E-2</v>
      </c>
      <c r="F1045" s="58">
        <v>2.1399999999999999E-2</v>
      </c>
      <c r="G1045" s="58">
        <v>1.0699999999999999E-2</v>
      </c>
      <c r="H1045" s="58">
        <v>4.3E-3</v>
      </c>
      <c r="I1045" s="58">
        <v>9.0000000000000008E-4</v>
      </c>
      <c r="J1045" s="58">
        <v>0</v>
      </c>
      <c r="M1045" s="10" t="s">
        <v>519</v>
      </c>
    </row>
    <row r="1046" spans="1:13" hidden="1">
      <c r="A1046" s="58" t="s">
        <v>305</v>
      </c>
      <c r="B1046" s="58" t="s">
        <v>226</v>
      </c>
      <c r="C1046" s="58">
        <v>1.7537</v>
      </c>
      <c r="D1046" s="58">
        <v>1.5784</v>
      </c>
      <c r="E1046" s="58">
        <v>1.2233000000000001</v>
      </c>
      <c r="F1046" s="58">
        <v>0.73399999999999999</v>
      </c>
      <c r="G1046" s="58">
        <v>0.36699999999999999</v>
      </c>
      <c r="H1046" s="58">
        <v>0.14680000000000001</v>
      </c>
      <c r="I1046" s="58">
        <v>2.9399999999999999E-2</v>
      </c>
      <c r="J1046" s="58">
        <v>0</v>
      </c>
      <c r="M1046" s="10" t="s">
        <v>519</v>
      </c>
    </row>
    <row r="1047" spans="1:13" hidden="1">
      <c r="A1047" s="58" t="s">
        <v>305</v>
      </c>
      <c r="B1047" s="58" t="s">
        <v>219</v>
      </c>
      <c r="C1047" s="58">
        <v>5.0000000000000001E-4</v>
      </c>
      <c r="D1047" s="58">
        <v>0</v>
      </c>
      <c r="E1047" s="58">
        <v>0</v>
      </c>
      <c r="F1047" s="58">
        <v>0</v>
      </c>
      <c r="G1047" s="58">
        <v>0</v>
      </c>
      <c r="H1047" s="58">
        <v>0</v>
      </c>
      <c r="I1047" s="58">
        <v>0</v>
      </c>
      <c r="J1047" s="58">
        <v>0</v>
      </c>
      <c r="M1047" s="10" t="s">
        <v>519</v>
      </c>
    </row>
    <row r="1048" spans="1:13" hidden="1">
      <c r="A1048" s="58" t="s">
        <v>305</v>
      </c>
      <c r="B1048" s="58" t="s">
        <v>220</v>
      </c>
      <c r="C1048" s="58">
        <v>8.199999999999999E-3</v>
      </c>
      <c r="D1048" s="58">
        <v>7.4000000000000003E-3</v>
      </c>
      <c r="E1048" s="58">
        <v>5.8000000000000005E-3</v>
      </c>
      <c r="F1048" s="58">
        <v>3.4999999999999996E-3</v>
      </c>
      <c r="G1048" s="58">
        <v>1.8E-3</v>
      </c>
      <c r="H1048" s="58">
        <v>8.0000000000000004E-4</v>
      </c>
      <c r="I1048" s="58">
        <v>0</v>
      </c>
      <c r="J1048" s="58">
        <v>0</v>
      </c>
      <c r="M1048" s="10" t="s">
        <v>519</v>
      </c>
    </row>
    <row r="1049" spans="1:13" hidden="1">
      <c r="A1049" s="58" t="s">
        <v>305</v>
      </c>
      <c r="B1049" s="58" t="s">
        <v>227</v>
      </c>
      <c r="C1049" s="58">
        <v>9.6999999999999986E-3</v>
      </c>
      <c r="D1049" s="58">
        <v>8.7999999999999988E-3</v>
      </c>
      <c r="E1049" s="58">
        <v>6.8999999999999999E-3</v>
      </c>
      <c r="F1049" s="58">
        <v>4.2000000000000006E-3</v>
      </c>
      <c r="G1049" s="58">
        <v>2.0999999999999999E-3</v>
      </c>
      <c r="H1049" s="58">
        <v>9.0000000000000008E-4</v>
      </c>
      <c r="I1049" s="58">
        <v>0</v>
      </c>
      <c r="J1049" s="58">
        <v>0</v>
      </c>
      <c r="M1049" s="10" t="s">
        <v>519</v>
      </c>
    </row>
    <row r="1050" spans="1:13" hidden="1">
      <c r="A1050" s="58" t="s">
        <v>305</v>
      </c>
      <c r="B1050" s="58" t="s">
        <v>206</v>
      </c>
      <c r="C1050" s="58">
        <v>7.3800000000000004E-2</v>
      </c>
      <c r="D1050" s="58">
        <v>6.6500000000000004E-2</v>
      </c>
      <c r="E1050" s="58">
        <v>5.16E-2</v>
      </c>
      <c r="F1050" s="58">
        <v>3.1E-2</v>
      </c>
      <c r="G1050" s="58">
        <v>1.55E-2</v>
      </c>
      <c r="H1050" s="58">
        <v>6.1999999999999998E-3</v>
      </c>
      <c r="I1050" s="58">
        <v>1.2999999999999999E-3</v>
      </c>
      <c r="M1050" s="10" t="s">
        <v>519</v>
      </c>
    </row>
    <row r="1051" spans="1:13" hidden="1">
      <c r="A1051" s="58" t="s">
        <v>305</v>
      </c>
      <c r="B1051" s="58" t="s">
        <v>233</v>
      </c>
      <c r="C1051" s="58">
        <v>0.1739</v>
      </c>
      <c r="D1051" s="58">
        <v>0.15659999999999999</v>
      </c>
      <c r="E1051" s="58">
        <v>0.12140000000000001</v>
      </c>
      <c r="F1051" s="58">
        <v>7.2900000000000006E-2</v>
      </c>
      <c r="G1051" s="58">
        <v>3.6500000000000005E-2</v>
      </c>
      <c r="H1051" s="58">
        <v>1.46E-2</v>
      </c>
      <c r="I1051" s="58">
        <v>2.9999999999999996E-3</v>
      </c>
      <c r="M1051" s="10" t="s">
        <v>519</v>
      </c>
    </row>
    <row r="1052" spans="1:13" hidden="1">
      <c r="A1052" s="58" t="s">
        <v>305</v>
      </c>
      <c r="B1052" s="58" t="s">
        <v>224</v>
      </c>
      <c r="C1052" s="58">
        <v>13.352399999999999</v>
      </c>
      <c r="D1052" s="58">
        <v>12.017199999999999</v>
      </c>
      <c r="E1052" s="58">
        <v>9.3133999999999997</v>
      </c>
      <c r="F1052" s="58">
        <v>5.5880999999999998</v>
      </c>
      <c r="G1052" s="58">
        <v>2.7941000000000003</v>
      </c>
      <c r="H1052" s="58">
        <v>1.1176999999999999</v>
      </c>
      <c r="I1052" s="58">
        <v>0.22359999999999999</v>
      </c>
      <c r="M1052" s="10" t="s">
        <v>519</v>
      </c>
    </row>
    <row r="1053" spans="1:13" hidden="1">
      <c r="A1053" s="58" t="s">
        <v>305</v>
      </c>
      <c r="B1053" s="58" t="s">
        <v>207</v>
      </c>
      <c r="C1053" s="58">
        <v>0.17179999999999998</v>
      </c>
      <c r="D1053" s="58">
        <v>0.15469999999999998</v>
      </c>
      <c r="E1053" s="58">
        <v>0.11990000000000001</v>
      </c>
      <c r="F1053" s="58">
        <v>7.2000000000000008E-2</v>
      </c>
      <c r="G1053" s="58">
        <v>3.5999999999999997E-2</v>
      </c>
      <c r="H1053" s="58">
        <v>1.44E-2</v>
      </c>
      <c r="I1053" s="58">
        <v>2.8999999999999998E-3</v>
      </c>
      <c r="M1053" s="10" t="s">
        <v>519</v>
      </c>
    </row>
    <row r="1054" spans="1:13" hidden="1">
      <c r="A1054" s="58" t="s">
        <v>305</v>
      </c>
      <c r="B1054" s="58" t="s">
        <v>225</v>
      </c>
      <c r="C1054" s="58">
        <v>2.47E-2</v>
      </c>
      <c r="D1054" s="58">
        <v>2.23E-2</v>
      </c>
      <c r="E1054" s="58">
        <v>1.7299999999999999E-2</v>
      </c>
      <c r="F1054" s="58">
        <v>1.04E-2</v>
      </c>
      <c r="G1054" s="58">
        <v>5.1999999999999998E-3</v>
      </c>
      <c r="H1054" s="58">
        <v>2.0999999999999999E-3</v>
      </c>
      <c r="I1054" s="58">
        <v>5.0000000000000001E-4</v>
      </c>
      <c r="M1054" s="10" t="s">
        <v>519</v>
      </c>
    </row>
    <row r="1055" spans="1:13" hidden="1">
      <c r="A1055" s="58" t="s">
        <v>305</v>
      </c>
      <c r="B1055" s="58" t="s">
        <v>228</v>
      </c>
      <c r="C1055" s="58">
        <v>0.2407</v>
      </c>
      <c r="D1055" s="58">
        <v>0.21669999999999998</v>
      </c>
      <c r="E1055" s="58">
        <v>0.16799999999999998</v>
      </c>
      <c r="F1055" s="58">
        <v>0.1008</v>
      </c>
      <c r="G1055" s="58">
        <v>5.04E-2</v>
      </c>
      <c r="H1055" s="58">
        <v>2.0199999999999999E-2</v>
      </c>
      <c r="I1055" s="58">
        <v>4.1000000000000003E-3</v>
      </c>
      <c r="J1055" s="58">
        <v>0</v>
      </c>
      <c r="M1055" s="10" t="s">
        <v>519</v>
      </c>
    </row>
    <row r="1056" spans="1:13" hidden="1">
      <c r="A1056" s="58" t="s">
        <v>305</v>
      </c>
      <c r="B1056" s="58" t="s">
        <v>230</v>
      </c>
      <c r="C1056" s="58">
        <v>7.7992999999999997</v>
      </c>
      <c r="D1056" s="58">
        <v>7.0194000000000001</v>
      </c>
      <c r="E1056" s="58">
        <v>5.4401000000000002</v>
      </c>
      <c r="F1056" s="58">
        <v>3.2641</v>
      </c>
      <c r="G1056" s="58">
        <v>1.6320999999999999</v>
      </c>
      <c r="H1056" s="58">
        <v>0.65290000000000004</v>
      </c>
      <c r="I1056" s="58">
        <v>0.13059999999999999</v>
      </c>
      <c r="J1056" s="58">
        <v>0</v>
      </c>
      <c r="M1056" s="10" t="s">
        <v>519</v>
      </c>
    </row>
    <row r="1057" spans="1:13" hidden="1">
      <c r="A1057" s="58" t="s">
        <v>305</v>
      </c>
      <c r="B1057" s="58" t="s">
        <v>229</v>
      </c>
      <c r="C1057" s="58">
        <v>2.3400000000000001E-2</v>
      </c>
      <c r="D1057" s="58">
        <v>2.1100000000000001E-2</v>
      </c>
      <c r="E1057" s="58">
        <v>1.6399999999999998E-2</v>
      </c>
      <c r="F1057" s="58">
        <v>9.8999999999999991E-3</v>
      </c>
      <c r="G1057" s="58">
        <v>5.0000000000000001E-3</v>
      </c>
      <c r="H1057" s="58">
        <v>2E-3</v>
      </c>
      <c r="I1057" s="58">
        <v>4.0000000000000002E-4</v>
      </c>
      <c r="J1057" s="58">
        <v>0</v>
      </c>
      <c r="M1057" s="10" t="s">
        <v>519</v>
      </c>
    </row>
    <row r="1058" spans="1:13" hidden="1">
      <c r="A1058" s="58" t="s">
        <v>305</v>
      </c>
      <c r="B1058" s="58" t="s">
        <v>231</v>
      </c>
      <c r="C1058" s="58">
        <v>3.8E-3</v>
      </c>
      <c r="D1058" s="58">
        <v>3.4999999999999996E-3</v>
      </c>
      <c r="E1058" s="58">
        <v>2.8E-3</v>
      </c>
      <c r="F1058" s="58">
        <v>1.7000000000000001E-3</v>
      </c>
      <c r="G1058" s="58">
        <v>9.0000000000000008E-4</v>
      </c>
      <c r="H1058" s="58">
        <v>0</v>
      </c>
      <c r="I1058" s="58">
        <v>0</v>
      </c>
      <c r="J1058" s="58">
        <v>0</v>
      </c>
      <c r="M1058" s="10" t="s">
        <v>519</v>
      </c>
    </row>
    <row r="1059" spans="1:13" hidden="1">
      <c r="A1059" s="58" t="s">
        <v>305</v>
      </c>
      <c r="B1059" s="58" t="s">
        <v>240</v>
      </c>
      <c r="C1059" s="58">
        <v>4.2000000000000006E-3</v>
      </c>
      <c r="D1059" s="58">
        <v>3.8E-3</v>
      </c>
      <c r="E1059" s="58">
        <v>2.9999999999999996E-3</v>
      </c>
      <c r="F1059" s="58">
        <v>1.8E-3</v>
      </c>
      <c r="G1059" s="58">
        <v>8.9999999999999998E-4</v>
      </c>
      <c r="H1059" s="58">
        <v>0</v>
      </c>
      <c r="I1059" s="58">
        <v>0</v>
      </c>
      <c r="J1059" s="58">
        <v>0</v>
      </c>
      <c r="M1059" s="10" t="s">
        <v>519</v>
      </c>
    </row>
    <row r="1060" spans="1:13" hidden="1">
      <c r="A1060" s="57" t="s">
        <v>305</v>
      </c>
      <c r="B1060" s="10" t="s">
        <v>163</v>
      </c>
      <c r="C1060" s="10">
        <v>0.20595638799999999</v>
      </c>
      <c r="D1060" s="10">
        <v>0.1918409189895996</v>
      </c>
      <c r="E1060" s="10">
        <v>0.1918409189895996</v>
      </c>
      <c r="F1060" s="10">
        <v>0.1918409189895996</v>
      </c>
      <c r="G1060" s="10">
        <v>0.1918409189895996</v>
      </c>
      <c r="H1060" s="10">
        <v>0.18781016144542453</v>
      </c>
      <c r="I1060" s="10">
        <v>0.18678761860838403</v>
      </c>
      <c r="J1060" s="10">
        <v>0.10203539074199473</v>
      </c>
      <c r="M1060" s="10" t="s">
        <v>519</v>
      </c>
    </row>
    <row r="1061" spans="1:13" hidden="1">
      <c r="A1061" s="57" t="s">
        <v>305</v>
      </c>
      <c r="B1061" s="10" t="s">
        <v>107</v>
      </c>
      <c r="C1061" s="10">
        <v>0.42399999999999999</v>
      </c>
      <c r="D1061" s="10">
        <v>0.1065921787709497</v>
      </c>
      <c r="E1061" s="10">
        <v>0.1065921787709497</v>
      </c>
      <c r="F1061" s="10">
        <v>3.8620354627155691E-2</v>
      </c>
      <c r="G1061" s="10">
        <v>3.8620354627155691E-2</v>
      </c>
      <c r="H1061" s="10">
        <v>3.8620354627155691E-2</v>
      </c>
      <c r="I1061" s="10">
        <v>3.8620354627155691E-2</v>
      </c>
      <c r="J1061" s="10">
        <v>0</v>
      </c>
      <c r="M1061" s="10" t="s">
        <v>519</v>
      </c>
    </row>
    <row r="1062" spans="1:13" hidden="1">
      <c r="A1062" s="57" t="s">
        <v>305</v>
      </c>
      <c r="B1062" s="10" t="s">
        <v>106</v>
      </c>
      <c r="C1062" s="10">
        <v>0.29599999999999999</v>
      </c>
      <c r="D1062" s="10">
        <v>0.22199999999999998</v>
      </c>
      <c r="E1062" s="10">
        <v>0.16649999999999998</v>
      </c>
      <c r="F1062" s="10">
        <v>0.12487499999999999</v>
      </c>
      <c r="G1062" s="10">
        <v>9.3656249999999996E-2</v>
      </c>
      <c r="H1062" s="10">
        <v>7.0242187499999997E-2</v>
      </c>
      <c r="I1062" s="10">
        <v>5.2681640624999998E-2</v>
      </c>
      <c r="J1062" s="10">
        <v>0</v>
      </c>
      <c r="M1062" s="10" t="s">
        <v>519</v>
      </c>
    </row>
    <row r="1063" spans="1:13" hidden="1">
      <c r="A1063" s="57" t="s">
        <v>305</v>
      </c>
      <c r="B1063" s="10" t="s">
        <v>22</v>
      </c>
      <c r="C1063" s="10">
        <v>0.87856000000000001</v>
      </c>
      <c r="D1063" s="10">
        <v>0.87752226148285317</v>
      </c>
      <c r="E1063" s="10">
        <v>0.87752226148285317</v>
      </c>
      <c r="F1063" s="10">
        <v>0.87752226148285317</v>
      </c>
      <c r="G1063" s="10">
        <v>0.87286135854409175</v>
      </c>
      <c r="H1063" s="10">
        <v>0.51493235052055952</v>
      </c>
      <c r="I1063" s="10">
        <v>0.5096604009764294</v>
      </c>
      <c r="J1063" s="10">
        <v>0.36952644041509092</v>
      </c>
      <c r="M1063" s="10" t="s">
        <v>519</v>
      </c>
    </row>
    <row r="1064" spans="1:13" hidden="1">
      <c r="A1064" s="10" t="s">
        <v>305</v>
      </c>
      <c r="B1064" s="10" t="s">
        <v>488</v>
      </c>
      <c r="C1064" s="10">
        <v>0.78800000000000003</v>
      </c>
      <c r="D1064" s="10">
        <v>0.78800000000000003</v>
      </c>
      <c r="E1064" s="10">
        <v>0.78800000000000003</v>
      </c>
      <c r="F1064" s="10">
        <v>0.78800000000000003</v>
      </c>
      <c r="G1064" s="10">
        <v>0.66611510791366901</v>
      </c>
      <c r="H1064" s="10">
        <v>0.5442302158273381</v>
      </c>
      <c r="I1064" s="10">
        <v>0.27211510791366905</v>
      </c>
      <c r="J1064" s="10">
        <v>0</v>
      </c>
      <c r="M1064" s="10" t="s">
        <v>519</v>
      </c>
    </row>
    <row r="1065" spans="1:13" hidden="1">
      <c r="A1065" s="10" t="s">
        <v>305</v>
      </c>
      <c r="B1065" s="10" t="s">
        <v>490</v>
      </c>
      <c r="C1065" s="10">
        <v>6.8000000000000005E-2</v>
      </c>
      <c r="D1065" s="10">
        <v>6.8000000000000005E-2</v>
      </c>
      <c r="E1065" s="10">
        <v>6.8000000000000005E-2</v>
      </c>
      <c r="F1065" s="10">
        <v>6.8000000000000005E-2</v>
      </c>
      <c r="G1065" s="10">
        <v>3.4000000000000002E-2</v>
      </c>
      <c r="H1065" s="10">
        <v>0</v>
      </c>
      <c r="I1065" s="10">
        <v>0</v>
      </c>
      <c r="J1065" s="10">
        <v>0</v>
      </c>
      <c r="M1065" s="10" t="s">
        <v>519</v>
      </c>
    </row>
    <row r="1066" spans="1:13" hidden="1">
      <c r="A1066" s="57" t="s">
        <v>305</v>
      </c>
      <c r="B1066" s="10" t="s">
        <v>23</v>
      </c>
      <c r="C1066" s="10">
        <v>1.8239000000000001</v>
      </c>
      <c r="D1066" s="10">
        <v>1.8239000000000001</v>
      </c>
      <c r="E1066" s="10">
        <v>1.8239000000000001</v>
      </c>
      <c r="F1066" s="10">
        <v>1.8239000000000001</v>
      </c>
      <c r="G1066" s="10">
        <v>0.8792133333333334</v>
      </c>
      <c r="H1066" s="10">
        <v>0.8792133333333334</v>
      </c>
      <c r="I1066" s="10">
        <v>0.8792133333333334</v>
      </c>
      <c r="J1066" s="10">
        <v>0</v>
      </c>
      <c r="M1066" s="10" t="s">
        <v>519</v>
      </c>
    </row>
    <row r="1067" spans="1:13" hidden="1">
      <c r="A1067" s="57" t="s">
        <v>305</v>
      </c>
      <c r="B1067" s="10" t="s">
        <v>58</v>
      </c>
      <c r="C1067" s="10">
        <v>0.88069900000000012</v>
      </c>
      <c r="D1067" s="10">
        <v>0.48786259548724614</v>
      </c>
      <c r="E1067" s="10">
        <v>0.17546309548724623</v>
      </c>
      <c r="F1067" s="10">
        <v>0.11298319548724621</v>
      </c>
      <c r="G1067" s="10">
        <v>0.11298319548724621</v>
      </c>
      <c r="H1067" s="10">
        <v>0.11298319548724621</v>
      </c>
      <c r="I1067" s="10">
        <v>6.8747383354173797E-2</v>
      </c>
      <c r="J1067" s="10">
        <v>6.8747383354173797E-2</v>
      </c>
      <c r="M1067" s="10" t="s">
        <v>519</v>
      </c>
    </row>
    <row r="1068" spans="1:13" hidden="1">
      <c r="A1068" s="58" t="s">
        <v>305</v>
      </c>
      <c r="B1068" s="58" t="s">
        <v>102</v>
      </c>
      <c r="C1068" s="58">
        <v>0.96716000000000002</v>
      </c>
      <c r="D1068" s="58">
        <v>0.96716000000000002</v>
      </c>
      <c r="E1068" s="58">
        <v>0.96716000000000002</v>
      </c>
      <c r="F1068" s="58">
        <v>0.96716000000000002</v>
      </c>
      <c r="G1068" s="58">
        <v>0.96716000000000002</v>
      </c>
      <c r="H1068" s="58">
        <v>0.96716000000000002</v>
      </c>
      <c r="I1068" s="58">
        <v>0.96716000000000002</v>
      </c>
      <c r="J1068" s="58">
        <v>0.96716000000000002</v>
      </c>
      <c r="M1068" s="10" t="s">
        <v>519</v>
      </c>
    </row>
    <row r="1069" spans="1:13" hidden="1">
      <c r="A1069" s="57" t="s">
        <v>305</v>
      </c>
      <c r="B1069" s="10" t="s">
        <v>103</v>
      </c>
      <c r="C1069" s="10">
        <v>1.5680499999999999</v>
      </c>
      <c r="D1069" s="10">
        <v>1.5680499999999999</v>
      </c>
      <c r="E1069" s="10">
        <v>1.5680499999999999</v>
      </c>
      <c r="F1069" s="10">
        <v>1.5680499999999999</v>
      </c>
      <c r="G1069" s="10">
        <v>1.5680499999999999</v>
      </c>
      <c r="H1069" s="10">
        <v>1.5680499999999999</v>
      </c>
      <c r="I1069" s="10">
        <v>1.5680499999999999</v>
      </c>
      <c r="J1069" s="10">
        <v>1.5680499999999999</v>
      </c>
      <c r="M1069" s="10" t="s">
        <v>519</v>
      </c>
    </row>
    <row r="1070" spans="1:13" hidden="1">
      <c r="A1070" s="57" t="s">
        <v>305</v>
      </c>
      <c r="B1070" s="10" t="s">
        <v>94</v>
      </c>
      <c r="C1070" s="10">
        <v>0.53400000000000003</v>
      </c>
      <c r="D1070" s="10">
        <v>0.51617510172939973</v>
      </c>
      <c r="E1070" s="10">
        <v>0.51617510172939973</v>
      </c>
      <c r="F1070" s="10">
        <v>0.51617510172939973</v>
      </c>
      <c r="G1070" s="10">
        <v>0.33121207400813824</v>
      </c>
      <c r="H1070" s="10">
        <v>0</v>
      </c>
      <c r="I1070" s="10">
        <v>0</v>
      </c>
      <c r="J1070" s="10">
        <v>0</v>
      </c>
      <c r="M1070" s="10" t="s">
        <v>519</v>
      </c>
    </row>
    <row r="1071" spans="1:13" hidden="1">
      <c r="A1071" s="57" t="s">
        <v>305</v>
      </c>
      <c r="B1071" s="10" t="s">
        <v>170</v>
      </c>
      <c r="C1071" s="10">
        <v>0</v>
      </c>
      <c r="D1071" s="10">
        <v>0</v>
      </c>
      <c r="E1071" s="10">
        <v>0</v>
      </c>
      <c r="F1071" s="10">
        <v>0</v>
      </c>
      <c r="G1071" s="10">
        <v>0</v>
      </c>
      <c r="H1071" s="10">
        <v>0</v>
      </c>
      <c r="I1071" s="10">
        <v>0</v>
      </c>
      <c r="J1071" s="10">
        <v>0</v>
      </c>
      <c r="M1071" s="10" t="s">
        <v>519</v>
      </c>
    </row>
    <row r="1072" spans="1:13" hidden="1">
      <c r="A1072" s="57" t="s">
        <v>305</v>
      </c>
      <c r="B1072" s="10" t="s">
        <v>97</v>
      </c>
      <c r="C1072" s="10">
        <v>3.14E-3</v>
      </c>
      <c r="D1072" s="10">
        <v>3.14E-3</v>
      </c>
      <c r="E1072" s="10">
        <v>3.14E-3</v>
      </c>
      <c r="F1072" s="10">
        <v>0</v>
      </c>
      <c r="G1072" s="10">
        <v>0</v>
      </c>
      <c r="H1072" s="10">
        <v>0</v>
      </c>
      <c r="I1072" s="10">
        <v>0</v>
      </c>
      <c r="J1072" s="10">
        <v>0</v>
      </c>
      <c r="M1072" s="10" t="s">
        <v>519</v>
      </c>
    </row>
    <row r="1073" spans="1:13" hidden="1">
      <c r="A1073" s="79" t="s">
        <v>356</v>
      </c>
      <c r="B1073" s="79" t="s">
        <v>108</v>
      </c>
      <c r="C1073" s="79">
        <v>0.55289999999999995</v>
      </c>
      <c r="D1073" s="10">
        <v>0.55289999999999995</v>
      </c>
      <c r="E1073" s="10">
        <v>0.55289999999999995</v>
      </c>
      <c r="F1073" s="10">
        <v>0.55289999999999995</v>
      </c>
      <c r="G1073" s="10">
        <v>0.55289999999999995</v>
      </c>
      <c r="H1073" s="10">
        <v>0.55289999999999995</v>
      </c>
      <c r="I1073" s="10">
        <v>0.51415000000000011</v>
      </c>
      <c r="J1073" s="10">
        <v>0.47539999999999999</v>
      </c>
      <c r="M1073" s="10" t="s">
        <v>519</v>
      </c>
    </row>
    <row r="1074" spans="1:13" hidden="1">
      <c r="A1074" s="79" t="s">
        <v>356</v>
      </c>
      <c r="B1074" s="79" t="s">
        <v>481</v>
      </c>
      <c r="C1074" s="79">
        <v>5.6461400000000008</v>
      </c>
      <c r="D1074" s="10">
        <v>5.6461400000000008</v>
      </c>
      <c r="E1074" s="10">
        <v>5.5430350000000006</v>
      </c>
      <c r="F1074" s="10">
        <v>5.4399300000000013</v>
      </c>
      <c r="G1074" s="10">
        <v>5.0397300000000005</v>
      </c>
      <c r="H1074" s="10">
        <v>4.6395300000000006</v>
      </c>
      <c r="I1074" s="10">
        <v>4.2895649999999987</v>
      </c>
      <c r="J1074" s="10">
        <v>3.9395999999999995</v>
      </c>
      <c r="M1074" s="10" t="s">
        <v>519</v>
      </c>
    </row>
    <row r="1075" spans="1:13" hidden="1">
      <c r="A1075" s="79" t="s">
        <v>356</v>
      </c>
      <c r="B1075" s="79" t="s">
        <v>485</v>
      </c>
      <c r="C1075" s="79">
        <v>0.46413599999999999</v>
      </c>
      <c r="D1075" s="10">
        <v>0.46413599999999999</v>
      </c>
      <c r="E1075" s="10">
        <v>0.232068</v>
      </c>
      <c r="F1075" s="10">
        <v>0</v>
      </c>
      <c r="G1075" s="10">
        <v>0</v>
      </c>
      <c r="H1075" s="10">
        <v>0</v>
      </c>
      <c r="I1075" s="10">
        <v>0</v>
      </c>
      <c r="J1075" s="10">
        <v>0</v>
      </c>
    </row>
    <row r="1076" spans="1:13" hidden="1">
      <c r="A1076" s="58" t="s">
        <v>356</v>
      </c>
      <c r="B1076" s="58" t="s">
        <v>243</v>
      </c>
      <c r="C1076" s="58">
        <v>21.5383</v>
      </c>
      <c r="D1076" s="58">
        <v>19.384499999999999</v>
      </c>
      <c r="E1076" s="58">
        <v>15.023</v>
      </c>
      <c r="F1076" s="58">
        <v>9.0137999999999998</v>
      </c>
      <c r="G1076" s="58">
        <v>4.5068999999999999</v>
      </c>
      <c r="H1076" s="58">
        <v>1.8028</v>
      </c>
      <c r="I1076" s="58">
        <v>0.36059999999999998</v>
      </c>
      <c r="J1076" s="58">
        <v>0</v>
      </c>
    </row>
    <row r="1077" spans="1:13" hidden="1">
      <c r="A1077" s="58" t="s">
        <v>356</v>
      </c>
      <c r="B1077" s="58" t="s">
        <v>244</v>
      </c>
      <c r="C1077" s="58">
        <v>1.3391999999999999</v>
      </c>
      <c r="D1077" s="58">
        <v>1.2053</v>
      </c>
      <c r="E1077" s="58">
        <v>0.93420000000000003</v>
      </c>
      <c r="F1077" s="58">
        <v>0.56059999999999999</v>
      </c>
      <c r="G1077" s="58">
        <v>0.28029999999999999</v>
      </c>
      <c r="H1077" s="58">
        <v>0.11220000000000001</v>
      </c>
      <c r="I1077" s="58">
        <v>2.2499999999999999E-2</v>
      </c>
      <c r="J1077" s="58">
        <v>0</v>
      </c>
    </row>
    <row r="1078" spans="1:13" hidden="1">
      <c r="A1078" s="58" t="s">
        <v>356</v>
      </c>
      <c r="B1078" s="58" t="s">
        <v>245</v>
      </c>
      <c r="C1078" s="58">
        <v>0.33610000000000001</v>
      </c>
      <c r="D1078" s="58">
        <v>0.30249999999999999</v>
      </c>
      <c r="E1078" s="58">
        <v>0.23449999999999999</v>
      </c>
      <c r="F1078" s="58">
        <v>0.14069999999999999</v>
      </c>
      <c r="G1078" s="58">
        <v>7.0400000000000004E-2</v>
      </c>
      <c r="H1078" s="58">
        <v>2.8199999999999999E-2</v>
      </c>
      <c r="I1078" s="58">
        <v>5.7000000000000002E-3</v>
      </c>
      <c r="J1078" s="58">
        <v>0</v>
      </c>
    </row>
    <row r="1079" spans="1:13" hidden="1">
      <c r="A1079" s="58" t="s">
        <v>356</v>
      </c>
      <c r="B1079" s="58" t="s">
        <v>237</v>
      </c>
      <c r="C1079" s="58">
        <v>3.9E-2</v>
      </c>
      <c r="D1079" s="58">
        <v>3.5099999999999999E-2</v>
      </c>
      <c r="E1079" s="58">
        <v>2.7299999999999998E-2</v>
      </c>
      <c r="F1079" s="58">
        <v>1.6399999999999998E-2</v>
      </c>
      <c r="G1079" s="58">
        <v>8.2000000000000007E-3</v>
      </c>
      <c r="H1079" s="58">
        <v>3.3E-3</v>
      </c>
      <c r="I1079" s="58">
        <v>6.9999999999999999E-4</v>
      </c>
      <c r="J1079" s="58">
        <v>0</v>
      </c>
    </row>
    <row r="1080" spans="1:13" hidden="1">
      <c r="A1080" s="58" t="s">
        <v>356</v>
      </c>
      <c r="B1080" s="58" t="s">
        <v>226</v>
      </c>
      <c r="C1080" s="58">
        <v>16.356400000000001</v>
      </c>
      <c r="D1080" s="58">
        <v>14.720800000000001</v>
      </c>
      <c r="E1080" s="58">
        <v>11.4087</v>
      </c>
      <c r="F1080" s="58">
        <v>6.8452999999999999</v>
      </c>
      <c r="G1080" s="58">
        <v>3.4227000000000003</v>
      </c>
      <c r="H1080" s="58">
        <v>1.3691</v>
      </c>
      <c r="I1080" s="58">
        <v>0.27389999999999998</v>
      </c>
      <c r="J1080" s="58">
        <v>0</v>
      </c>
    </row>
    <row r="1081" spans="1:13" hidden="1">
      <c r="A1081" s="58" t="s">
        <v>356</v>
      </c>
      <c r="B1081" s="58" t="s">
        <v>219</v>
      </c>
      <c r="C1081" s="58">
        <v>0.37519999999999998</v>
      </c>
      <c r="D1081" s="58">
        <v>0.3377</v>
      </c>
      <c r="E1081" s="58">
        <v>0.26179999999999998</v>
      </c>
      <c r="F1081" s="58">
        <v>0.15709999999999999</v>
      </c>
      <c r="G1081" s="58">
        <v>7.8600000000000003E-2</v>
      </c>
      <c r="H1081" s="58">
        <v>3.15E-2</v>
      </c>
      <c r="I1081" s="58">
        <v>6.3E-3</v>
      </c>
      <c r="J1081" s="58">
        <v>0</v>
      </c>
    </row>
    <row r="1082" spans="1:13" hidden="1">
      <c r="A1082" s="58" t="s">
        <v>356</v>
      </c>
      <c r="B1082" s="58" t="s">
        <v>220</v>
      </c>
      <c r="C1082" s="58">
        <v>0.90169999999999995</v>
      </c>
      <c r="D1082" s="58">
        <v>0.81159999999999999</v>
      </c>
      <c r="E1082" s="58">
        <v>0.629</v>
      </c>
      <c r="F1082" s="58">
        <v>0.37740000000000001</v>
      </c>
      <c r="G1082" s="58">
        <v>0.18870000000000001</v>
      </c>
      <c r="H1082" s="58">
        <v>7.5499999999999998E-2</v>
      </c>
      <c r="I1082" s="58">
        <v>1.5100000000000001E-2</v>
      </c>
      <c r="J1082" s="58">
        <v>0</v>
      </c>
    </row>
    <row r="1083" spans="1:13" hidden="1">
      <c r="A1083" s="58" t="s">
        <v>356</v>
      </c>
      <c r="B1083" s="58" t="s">
        <v>227</v>
      </c>
      <c r="C1083" s="58">
        <v>0.27999999999999997</v>
      </c>
      <c r="D1083" s="58">
        <v>0.252</v>
      </c>
      <c r="E1083" s="58">
        <v>0.1953</v>
      </c>
      <c r="F1083" s="58">
        <v>0.1172</v>
      </c>
      <c r="G1083" s="58">
        <v>5.8599999999999999E-2</v>
      </c>
      <c r="H1083" s="58">
        <v>2.35E-2</v>
      </c>
      <c r="I1083" s="58">
        <v>4.7000000000000002E-3</v>
      </c>
      <c r="J1083" s="58">
        <v>0</v>
      </c>
    </row>
    <row r="1084" spans="1:13" hidden="1">
      <c r="A1084" s="58" t="s">
        <v>356</v>
      </c>
      <c r="B1084" s="58" t="s">
        <v>206</v>
      </c>
      <c r="C1084" s="58">
        <v>3.7987000000000002</v>
      </c>
      <c r="D1084" s="58">
        <v>3.4189000000000003</v>
      </c>
      <c r="E1084" s="58">
        <v>2.6497000000000002</v>
      </c>
      <c r="F1084" s="58">
        <v>1.5899000000000001</v>
      </c>
      <c r="G1084" s="58">
        <v>0.79500000000000004</v>
      </c>
      <c r="H1084" s="58">
        <v>0.318</v>
      </c>
      <c r="I1084" s="58">
        <v>6.3600000000000004E-2</v>
      </c>
    </row>
    <row r="1085" spans="1:13" hidden="1">
      <c r="A1085" s="58" t="s">
        <v>356</v>
      </c>
      <c r="B1085" s="58" t="s">
        <v>224</v>
      </c>
      <c r="C1085" s="58">
        <v>73.098100000000002</v>
      </c>
      <c r="D1085" s="58">
        <v>65.788300000000007</v>
      </c>
      <c r="E1085" s="58">
        <v>50.986000000000004</v>
      </c>
      <c r="F1085" s="58">
        <v>30.5916</v>
      </c>
      <c r="G1085" s="58">
        <v>15.2958</v>
      </c>
      <c r="H1085" s="58">
        <v>6.1183999999999994</v>
      </c>
      <c r="I1085" s="58">
        <v>1.2237</v>
      </c>
    </row>
    <row r="1086" spans="1:13" hidden="1">
      <c r="A1086" s="58" t="s">
        <v>356</v>
      </c>
      <c r="B1086" s="58" t="s">
        <v>207</v>
      </c>
      <c r="C1086" s="58">
        <v>7.7779999999999996</v>
      </c>
      <c r="D1086" s="58">
        <v>7.0002000000000004</v>
      </c>
      <c r="E1086" s="58">
        <v>5.4251999999999994</v>
      </c>
      <c r="F1086" s="58">
        <v>3.2552000000000003</v>
      </c>
      <c r="G1086" s="58">
        <v>1.6275999999999999</v>
      </c>
      <c r="H1086" s="58">
        <v>0.65110000000000001</v>
      </c>
      <c r="I1086" s="58">
        <v>0.1303</v>
      </c>
    </row>
    <row r="1087" spans="1:13" hidden="1">
      <c r="A1087" s="58" t="s">
        <v>356</v>
      </c>
      <c r="B1087" s="58" t="s">
        <v>225</v>
      </c>
      <c r="C1087" s="58">
        <v>1.3043</v>
      </c>
      <c r="D1087" s="58">
        <v>1.1738999999999999</v>
      </c>
      <c r="E1087" s="58">
        <v>0.90979999999999994</v>
      </c>
      <c r="F1087" s="58">
        <v>0.54589999999999994</v>
      </c>
      <c r="G1087" s="58">
        <v>0.27299999999999996</v>
      </c>
      <c r="H1087" s="58">
        <v>0.10920000000000001</v>
      </c>
      <c r="I1087" s="58">
        <v>2.1899999999999999E-2</v>
      </c>
    </row>
    <row r="1088" spans="1:13" hidden="1">
      <c r="A1088" s="58" t="s">
        <v>356</v>
      </c>
      <c r="B1088" s="58" t="s">
        <v>230</v>
      </c>
      <c r="C1088" s="58">
        <v>48.697500000000005</v>
      </c>
      <c r="D1088" s="58">
        <v>43.827800000000003</v>
      </c>
      <c r="E1088" s="58">
        <v>33.966600000000007</v>
      </c>
      <c r="F1088" s="58">
        <v>20.38</v>
      </c>
      <c r="G1088" s="58">
        <v>10.19</v>
      </c>
      <c r="H1088" s="58">
        <v>4.0759999999999996</v>
      </c>
      <c r="I1088" s="58">
        <v>0.81520000000000004</v>
      </c>
      <c r="J1088" s="58">
        <v>0</v>
      </c>
    </row>
    <row r="1089" spans="1:12" hidden="1">
      <c r="A1089" s="58" t="s">
        <v>356</v>
      </c>
      <c r="B1089" s="58" t="s">
        <v>229</v>
      </c>
      <c r="C1089" s="58">
        <v>3.9265000000000003</v>
      </c>
      <c r="D1089" s="58">
        <v>3.5339</v>
      </c>
      <c r="E1089" s="58">
        <v>2.7388000000000003</v>
      </c>
      <c r="F1089" s="58">
        <v>1.6433</v>
      </c>
      <c r="G1089" s="58">
        <v>0.82169999999999999</v>
      </c>
      <c r="H1089" s="58">
        <v>0.32869999999999999</v>
      </c>
      <c r="I1089" s="58">
        <v>6.5799999999999997E-2</v>
      </c>
      <c r="J1089" s="58">
        <v>0</v>
      </c>
      <c r="L1089" s="64"/>
    </row>
    <row r="1090" spans="1:12" hidden="1">
      <c r="A1090" s="58" t="s">
        <v>356</v>
      </c>
      <c r="B1090" s="58" t="s">
        <v>231</v>
      </c>
      <c r="C1090" s="58">
        <v>0.84379999999999999</v>
      </c>
      <c r="D1090" s="58">
        <v>0.75949999999999995</v>
      </c>
      <c r="E1090" s="58">
        <v>0.5887</v>
      </c>
      <c r="F1090" s="58">
        <v>0.3533</v>
      </c>
      <c r="G1090" s="58">
        <v>0.1767</v>
      </c>
      <c r="H1090" s="58">
        <v>7.0699999999999999E-2</v>
      </c>
      <c r="I1090" s="58">
        <v>1.4199999999999999E-2</v>
      </c>
      <c r="J1090" s="58">
        <v>0</v>
      </c>
    </row>
    <row r="1091" spans="1:12" hidden="1">
      <c r="A1091" s="58" t="s">
        <v>356</v>
      </c>
      <c r="B1091" s="58" t="s">
        <v>240</v>
      </c>
      <c r="C1091" s="58">
        <v>3.3600000000000005E-2</v>
      </c>
      <c r="D1091" s="58">
        <v>3.0300000000000001E-2</v>
      </c>
      <c r="E1091" s="58">
        <v>2.35E-2</v>
      </c>
      <c r="F1091" s="58">
        <v>1.41E-2</v>
      </c>
      <c r="G1091" s="58">
        <v>7.1000000000000004E-3</v>
      </c>
      <c r="H1091" s="58">
        <v>2.8999999999999998E-3</v>
      </c>
      <c r="I1091" s="58">
        <v>6.0000000000000006E-4</v>
      </c>
      <c r="J1091" s="58">
        <v>0</v>
      </c>
    </row>
    <row r="1092" spans="1:12" hidden="1">
      <c r="A1092" s="61" t="s">
        <v>356</v>
      </c>
      <c r="B1092" s="62" t="s">
        <v>163</v>
      </c>
      <c r="C1092" s="10">
        <v>4.7</v>
      </c>
      <c r="D1092" s="10">
        <v>4.7</v>
      </c>
      <c r="E1092" s="10">
        <v>4.7</v>
      </c>
      <c r="F1092" s="10">
        <v>4.7</v>
      </c>
      <c r="G1092" s="10">
        <v>4.7</v>
      </c>
      <c r="H1092" s="10">
        <v>4.7</v>
      </c>
      <c r="I1092" s="10">
        <v>4.7</v>
      </c>
      <c r="J1092" s="10">
        <v>4.7</v>
      </c>
    </row>
    <row r="1093" spans="1:12" hidden="1">
      <c r="A1093" s="61" t="s">
        <v>356</v>
      </c>
      <c r="B1093" s="62" t="s">
        <v>107</v>
      </c>
      <c r="C1093" s="10">
        <v>9.3670000000000009</v>
      </c>
      <c r="D1093" s="58">
        <v>9.3670000000000009</v>
      </c>
      <c r="E1093" s="58">
        <v>9.3670000000000009</v>
      </c>
      <c r="F1093" s="58">
        <v>9.3408959591268008</v>
      </c>
      <c r="G1093" s="58">
        <v>1.9623922046285016</v>
      </c>
      <c r="H1093" s="58">
        <v>0.78723873325213145</v>
      </c>
      <c r="I1093" s="58">
        <v>0.15972959805115711</v>
      </c>
      <c r="J1093" s="58">
        <v>0</v>
      </c>
    </row>
    <row r="1094" spans="1:12" hidden="1">
      <c r="A1094" s="61" t="s">
        <v>356</v>
      </c>
      <c r="B1094" s="62" t="s">
        <v>106</v>
      </c>
      <c r="C1094" s="10">
        <v>6.8449999999999998</v>
      </c>
      <c r="D1094" s="58">
        <v>5.13375</v>
      </c>
      <c r="E1094" s="58">
        <v>3.8503125000000002</v>
      </c>
      <c r="F1094" s="58">
        <v>2.887734375</v>
      </c>
      <c r="G1094" s="58">
        <v>2.1658007812499998</v>
      </c>
      <c r="H1094" s="58">
        <v>1.6243505859374998</v>
      </c>
      <c r="I1094" s="58">
        <v>1.2182629394531248</v>
      </c>
      <c r="J1094" s="58">
        <v>0.9136972045898436</v>
      </c>
    </row>
    <row r="1095" spans="1:12" hidden="1">
      <c r="A1095" s="61" t="s">
        <v>356</v>
      </c>
      <c r="B1095" s="62" t="s">
        <v>22</v>
      </c>
      <c r="C1095" s="10">
        <v>21.2</v>
      </c>
      <c r="D1095" s="58">
        <v>19.107692307692307</v>
      </c>
      <c r="E1095" s="58">
        <v>14.83076923076923</v>
      </c>
      <c r="F1095" s="58">
        <v>8.9230769230769216</v>
      </c>
      <c r="G1095" s="58">
        <v>4.4615384615384617</v>
      </c>
      <c r="H1095" s="58">
        <v>1.7846153846153845</v>
      </c>
      <c r="I1095" s="58">
        <v>0.36923076923076925</v>
      </c>
      <c r="J1095" s="58">
        <v>0</v>
      </c>
    </row>
    <row r="1096" spans="1:12" hidden="1">
      <c r="A1096" s="10" t="s">
        <v>356</v>
      </c>
      <c r="B1096" s="10" t="s">
        <v>488</v>
      </c>
      <c r="C1096" s="10">
        <v>23.545866999999998</v>
      </c>
      <c r="D1096" s="10">
        <v>23.545866999999998</v>
      </c>
      <c r="E1096" s="10">
        <v>23.452264998623914</v>
      </c>
      <c r="F1096" s="10">
        <v>23.358662997247823</v>
      </c>
      <c r="G1096" s="10">
        <v>23.358662997247823</v>
      </c>
      <c r="H1096" s="10">
        <v>23.358662997247823</v>
      </c>
      <c r="I1096" s="10">
        <v>12.990227235572444</v>
      </c>
      <c r="J1096" s="10">
        <v>2.62179147389707</v>
      </c>
    </row>
    <row r="1097" spans="1:12" hidden="1">
      <c r="A1097" s="10" t="s">
        <v>356</v>
      </c>
      <c r="B1097" s="10" t="s">
        <v>490</v>
      </c>
      <c r="C1097" s="10">
        <v>0.34338799999999997</v>
      </c>
      <c r="D1097" s="10">
        <v>0.34338799999999997</v>
      </c>
      <c r="E1097" s="10">
        <v>0.34338799999999997</v>
      </c>
      <c r="F1097" s="10">
        <v>0.34338799999999997</v>
      </c>
      <c r="G1097" s="10">
        <v>0.34338799999999997</v>
      </c>
      <c r="H1097" s="10">
        <v>0.34338799999999997</v>
      </c>
      <c r="I1097" s="10">
        <v>0.17169399999999999</v>
      </c>
      <c r="J1097" s="10">
        <v>0</v>
      </c>
    </row>
    <row r="1098" spans="1:12" hidden="1">
      <c r="A1098" s="75" t="s">
        <v>356</v>
      </c>
      <c r="B1098" s="62" t="s">
        <v>58</v>
      </c>
      <c r="C1098" s="10">
        <v>0.4</v>
      </c>
      <c r="D1098" s="58">
        <v>0.4</v>
      </c>
      <c r="E1098" s="58">
        <v>0.27509881422924909</v>
      </c>
      <c r="F1098" s="58">
        <v>0.15019762845849802</v>
      </c>
      <c r="G1098" s="58">
        <v>7.5098814229249009E-2</v>
      </c>
      <c r="H1098" s="58">
        <v>0</v>
      </c>
      <c r="I1098" s="58">
        <v>0</v>
      </c>
      <c r="J1098" s="58">
        <v>0</v>
      </c>
    </row>
    <row r="1099" spans="1:12" hidden="1">
      <c r="A1099" s="61" t="s">
        <v>356</v>
      </c>
      <c r="B1099" s="62" t="s">
        <v>105</v>
      </c>
      <c r="C1099" s="10">
        <v>0.6</v>
      </c>
      <c r="D1099" s="58">
        <v>0.6</v>
      </c>
      <c r="E1099" s="58">
        <v>0.6</v>
      </c>
      <c r="F1099" s="58">
        <v>0.6</v>
      </c>
      <c r="G1099" s="58">
        <v>0.6</v>
      </c>
      <c r="H1099" s="58">
        <v>0.6</v>
      </c>
      <c r="I1099" s="58">
        <v>0.6</v>
      </c>
      <c r="J1099" s="58">
        <v>0.6</v>
      </c>
    </row>
    <row r="1100" spans="1:12" hidden="1">
      <c r="A1100" s="61" t="s">
        <v>356</v>
      </c>
      <c r="B1100" s="62" t="s">
        <v>102</v>
      </c>
      <c r="C1100" s="10">
        <v>19.100000000000001</v>
      </c>
      <c r="D1100" s="10">
        <v>19.100000000000001</v>
      </c>
      <c r="E1100" s="10">
        <v>19.100000000000001</v>
      </c>
      <c r="F1100" s="10">
        <v>19.100000000000001</v>
      </c>
      <c r="G1100" s="10">
        <v>19.100000000000001</v>
      </c>
      <c r="H1100" s="10">
        <v>19.100000000000001</v>
      </c>
      <c r="I1100" s="10">
        <v>19.100000000000001</v>
      </c>
      <c r="J1100" s="10">
        <v>19.100000000000001</v>
      </c>
    </row>
    <row r="1101" spans="1:12" hidden="1">
      <c r="A1101" s="61" t="s">
        <v>356</v>
      </c>
      <c r="B1101" s="62" t="s">
        <v>103</v>
      </c>
      <c r="C1101" s="10">
        <v>6.8</v>
      </c>
      <c r="D1101" s="10">
        <v>6.8</v>
      </c>
      <c r="E1101" s="10">
        <v>6.8</v>
      </c>
      <c r="F1101" s="10">
        <v>6.8</v>
      </c>
      <c r="G1101" s="10">
        <v>6.8</v>
      </c>
      <c r="H1101" s="10">
        <v>6.8</v>
      </c>
      <c r="I1101" s="10">
        <v>6.8</v>
      </c>
      <c r="J1101" s="10">
        <v>6.8</v>
      </c>
    </row>
    <row r="1102" spans="1:12" hidden="1">
      <c r="A1102" s="61" t="s">
        <v>356</v>
      </c>
      <c r="B1102" s="62" t="s">
        <v>94</v>
      </c>
      <c r="C1102" s="10">
        <v>5.0629999999999997</v>
      </c>
      <c r="D1102" s="58">
        <v>5.0629999999999997</v>
      </c>
      <c r="E1102" s="58">
        <v>5.0629999999999997</v>
      </c>
      <c r="F1102" s="58">
        <v>5.0629999999999997</v>
      </c>
      <c r="G1102" s="58">
        <v>5.0629999999999997</v>
      </c>
      <c r="H1102" s="58">
        <v>5.0629999999999997</v>
      </c>
      <c r="I1102" s="58">
        <v>5.0629999999999997</v>
      </c>
      <c r="J1102" s="58">
        <v>5.0629999999999997</v>
      </c>
    </row>
    <row r="1103" spans="1:12" hidden="1">
      <c r="A1103" s="61" t="s">
        <v>356</v>
      </c>
      <c r="B1103" s="62" t="s">
        <v>97</v>
      </c>
      <c r="C1103" s="10">
        <v>7.4</v>
      </c>
      <c r="D1103" s="10">
        <v>7.4</v>
      </c>
      <c r="E1103" s="10">
        <v>7.4</v>
      </c>
      <c r="F1103" s="10">
        <v>4.5</v>
      </c>
      <c r="G1103" s="10">
        <v>4.5</v>
      </c>
      <c r="H1103" s="10">
        <v>4.5</v>
      </c>
      <c r="I1103" s="10">
        <v>4.5</v>
      </c>
      <c r="J1103" s="10">
        <v>4.5</v>
      </c>
    </row>
    <row r="1104" spans="1:12" hidden="1">
      <c r="A1104" s="66" t="s">
        <v>307</v>
      </c>
      <c r="B1104" s="10" t="s">
        <v>475</v>
      </c>
      <c r="C1104" s="10">
        <v>0.45965751257345799</v>
      </c>
      <c r="D1104" s="10">
        <v>0.45965751257345799</v>
      </c>
      <c r="E1104" s="10">
        <v>0.4895562068248101</v>
      </c>
      <c r="F1104" s="10">
        <v>0.51945490107616221</v>
      </c>
      <c r="G1104" s="10">
        <v>0.49124817777051144</v>
      </c>
      <c r="H1104" s="10">
        <v>0.46304145446486061</v>
      </c>
      <c r="I1104" s="10">
        <v>0.46304145446486061</v>
      </c>
      <c r="J1104" s="10">
        <v>0.46304145446486061</v>
      </c>
    </row>
    <row r="1105" spans="1:10" hidden="1">
      <c r="A1105" s="10" t="s">
        <v>307</v>
      </c>
      <c r="B1105" s="10" t="s">
        <v>108</v>
      </c>
      <c r="C1105" s="10">
        <v>0.102481789095159</v>
      </c>
      <c r="D1105" s="10">
        <v>0.102481789095159</v>
      </c>
      <c r="E1105" s="10">
        <v>7.0481546650425567E-2</v>
      </c>
      <c r="F1105" s="10">
        <v>3.848130420569211E-2</v>
      </c>
      <c r="G1105" s="10">
        <v>1.9240652102846055E-2</v>
      </c>
      <c r="H1105" s="10">
        <v>0</v>
      </c>
      <c r="I1105" s="10">
        <v>0</v>
      </c>
      <c r="J1105" s="10">
        <v>0</v>
      </c>
    </row>
    <row r="1106" spans="1:10" hidden="1">
      <c r="A1106" s="10" t="s">
        <v>307</v>
      </c>
      <c r="B1106" s="10" t="s">
        <v>481</v>
      </c>
      <c r="C1106" s="10">
        <v>3.4387078350716171</v>
      </c>
      <c r="D1106" s="10">
        <v>3.4387078350716171</v>
      </c>
      <c r="E1106" s="10">
        <v>3.4214061604297474</v>
      </c>
      <c r="F1106" s="10">
        <v>3.4041044857878782</v>
      </c>
      <c r="G1106" s="10">
        <v>2.9040500434823375</v>
      </c>
      <c r="H1106" s="10">
        <v>2.4039956011767964</v>
      </c>
      <c r="I1106" s="10">
        <v>1.2019978005883982</v>
      </c>
      <c r="J1106" s="10">
        <v>0</v>
      </c>
    </row>
    <row r="1107" spans="1:10" hidden="1">
      <c r="A1107" s="10" t="s">
        <v>307</v>
      </c>
      <c r="B1107" s="10" t="s">
        <v>485</v>
      </c>
      <c r="C1107" s="10">
        <v>0.5264053719988866</v>
      </c>
      <c r="D1107" s="10">
        <v>0.5264053719988866</v>
      </c>
      <c r="E1107" s="10">
        <v>0.2632026859994433</v>
      </c>
      <c r="F1107" s="10">
        <v>0</v>
      </c>
      <c r="G1107" s="10">
        <v>0</v>
      </c>
      <c r="H1107" s="10">
        <v>0</v>
      </c>
      <c r="I1107" s="10">
        <v>0</v>
      </c>
      <c r="J1107" s="10">
        <v>0</v>
      </c>
    </row>
    <row r="1108" spans="1:10" hidden="1">
      <c r="A1108" s="57" t="s">
        <v>307</v>
      </c>
      <c r="B1108" s="10" t="s">
        <v>142</v>
      </c>
      <c r="C1108" s="10">
        <v>2.7440000000000002</v>
      </c>
      <c r="D1108" s="10">
        <v>2.7440000000000002</v>
      </c>
      <c r="E1108" s="10">
        <v>2.7440000000000002</v>
      </c>
      <c r="F1108" s="10">
        <v>2.7440000000000002</v>
      </c>
      <c r="G1108" s="10">
        <v>2.7440000000000002</v>
      </c>
      <c r="H1108" s="10">
        <v>2.7440000000000002</v>
      </c>
      <c r="I1108" s="10">
        <v>0</v>
      </c>
      <c r="J1108" s="10">
        <v>0</v>
      </c>
    </row>
    <row r="1109" spans="1:10" hidden="1">
      <c r="A1109" s="58" t="s">
        <v>307</v>
      </c>
      <c r="B1109" s="58" t="s">
        <v>243</v>
      </c>
      <c r="C1109" s="58">
        <v>10.961399999999999</v>
      </c>
      <c r="D1109" s="58">
        <v>9.8652999999999995</v>
      </c>
      <c r="E1109" s="58">
        <v>7.6456999999999997</v>
      </c>
      <c r="F1109" s="58">
        <v>4.5874999999999995</v>
      </c>
      <c r="G1109" s="58">
        <v>2.2938000000000001</v>
      </c>
      <c r="H1109" s="58">
        <v>0.91759999999999997</v>
      </c>
      <c r="I1109" s="58">
        <v>0.18359999999999999</v>
      </c>
      <c r="J1109" s="58">
        <v>0</v>
      </c>
    </row>
    <row r="1110" spans="1:10" hidden="1">
      <c r="A1110" s="58" t="s">
        <v>307</v>
      </c>
      <c r="B1110" s="58" t="s">
        <v>244</v>
      </c>
      <c r="C1110" s="58">
        <v>1.8304</v>
      </c>
      <c r="D1110" s="58">
        <v>1.6474</v>
      </c>
      <c r="E1110" s="58">
        <v>1.2767999999999999</v>
      </c>
      <c r="F1110" s="58">
        <v>0.7661</v>
      </c>
      <c r="G1110" s="58">
        <v>0.3831</v>
      </c>
      <c r="H1110" s="58">
        <v>0.15329999999999999</v>
      </c>
      <c r="I1110" s="58">
        <v>3.0699999999999998E-2</v>
      </c>
      <c r="J1110" s="58">
        <v>0</v>
      </c>
    </row>
    <row r="1111" spans="1:10" hidden="1">
      <c r="A1111" s="58" t="s">
        <v>307</v>
      </c>
      <c r="B1111" s="58" t="s">
        <v>245</v>
      </c>
      <c r="C1111" s="58">
        <v>0.41759999999999997</v>
      </c>
      <c r="D1111" s="58">
        <v>0.37590000000000001</v>
      </c>
      <c r="E1111" s="58">
        <v>0.29139999999999999</v>
      </c>
      <c r="F1111" s="58">
        <v>0.1749</v>
      </c>
      <c r="G1111" s="58">
        <v>8.7500000000000008E-2</v>
      </c>
      <c r="H1111" s="58">
        <v>3.5000000000000003E-2</v>
      </c>
      <c r="I1111" s="58">
        <v>7.0000000000000001E-3</v>
      </c>
      <c r="J1111" s="58">
        <v>0</v>
      </c>
    </row>
    <row r="1112" spans="1:10" hidden="1">
      <c r="A1112" s="58" t="s">
        <v>307</v>
      </c>
      <c r="B1112" s="58" t="s">
        <v>217</v>
      </c>
      <c r="C1112" s="58">
        <v>0.26069999999999999</v>
      </c>
      <c r="D1112" s="58">
        <v>0.23469999999999999</v>
      </c>
      <c r="E1112" s="58">
        <v>0.18189999999999998</v>
      </c>
      <c r="F1112" s="58">
        <v>0.10920000000000001</v>
      </c>
      <c r="G1112" s="58">
        <v>5.4600000000000003E-2</v>
      </c>
      <c r="H1112" s="58">
        <v>2.1899999999999999E-2</v>
      </c>
      <c r="I1112" s="58">
        <v>4.4000000000000003E-3</v>
      </c>
      <c r="J1112" s="58">
        <v>0</v>
      </c>
    </row>
    <row r="1113" spans="1:10" hidden="1">
      <c r="A1113" s="58" t="s">
        <v>307</v>
      </c>
      <c r="B1113" s="58" t="s">
        <v>237</v>
      </c>
      <c r="C1113" s="58">
        <v>9.8900000000000002E-2</v>
      </c>
      <c r="D1113" s="58">
        <v>8.9099999999999999E-2</v>
      </c>
      <c r="E1113" s="58">
        <v>6.9100000000000009E-2</v>
      </c>
      <c r="F1113" s="58">
        <v>4.1500000000000002E-2</v>
      </c>
      <c r="G1113" s="58">
        <v>2.0799999999999999E-2</v>
      </c>
      <c r="H1113" s="58">
        <v>8.3999999999999995E-3</v>
      </c>
      <c r="I1113" s="58">
        <v>1.7000000000000001E-3</v>
      </c>
      <c r="J1113" s="58">
        <v>0</v>
      </c>
    </row>
    <row r="1114" spans="1:10" hidden="1">
      <c r="A1114" s="58" t="s">
        <v>307</v>
      </c>
      <c r="B1114" s="58" t="s">
        <v>226</v>
      </c>
      <c r="C1114" s="58">
        <v>13.0938</v>
      </c>
      <c r="D1114" s="58">
        <v>11.7845</v>
      </c>
      <c r="E1114" s="58">
        <v>9.1329999999999991</v>
      </c>
      <c r="F1114" s="58">
        <v>5.4798</v>
      </c>
      <c r="G1114" s="58">
        <v>2.7399</v>
      </c>
      <c r="H1114" s="58">
        <v>1.0960000000000001</v>
      </c>
      <c r="I1114" s="58">
        <v>0.21920000000000001</v>
      </c>
      <c r="J1114" s="58">
        <v>0</v>
      </c>
    </row>
    <row r="1115" spans="1:10" hidden="1">
      <c r="A1115" s="58" t="s">
        <v>307</v>
      </c>
      <c r="B1115" s="58" t="s">
        <v>219</v>
      </c>
      <c r="C1115" s="58">
        <v>0.20659999999999998</v>
      </c>
      <c r="D1115" s="58">
        <v>0.186</v>
      </c>
      <c r="E1115" s="58">
        <v>0.14419999999999999</v>
      </c>
      <c r="F1115" s="58">
        <v>8.6599999999999996E-2</v>
      </c>
      <c r="G1115" s="58">
        <v>4.3299999999999998E-2</v>
      </c>
      <c r="H1115" s="58">
        <v>1.7399999999999999E-2</v>
      </c>
      <c r="I1115" s="58">
        <v>3.4999999999999996E-3</v>
      </c>
      <c r="J1115" s="58">
        <v>0</v>
      </c>
    </row>
    <row r="1116" spans="1:10" hidden="1">
      <c r="A1116" s="58" t="s">
        <v>307</v>
      </c>
      <c r="B1116" s="58" t="s">
        <v>227</v>
      </c>
      <c r="C1116" s="58">
        <v>0.93589999999999995</v>
      </c>
      <c r="D1116" s="58">
        <v>0.84240000000000004</v>
      </c>
      <c r="E1116" s="58">
        <v>0.65290000000000004</v>
      </c>
      <c r="F1116" s="58">
        <v>0.39179999999999998</v>
      </c>
      <c r="G1116" s="58">
        <v>0.19589999999999999</v>
      </c>
      <c r="H1116" s="58">
        <v>7.8399999999999997E-2</v>
      </c>
      <c r="I1116" s="58">
        <v>1.5699999999999999E-2</v>
      </c>
      <c r="J1116" s="58">
        <v>0</v>
      </c>
    </row>
    <row r="1117" spans="1:10" hidden="1">
      <c r="A1117" s="58" t="s">
        <v>307</v>
      </c>
      <c r="B1117" s="58" t="s">
        <v>206</v>
      </c>
      <c r="C1117" s="58">
        <v>5.8592500000000003</v>
      </c>
      <c r="D1117" s="58">
        <v>5.2733999999999996</v>
      </c>
      <c r="E1117" s="58">
        <v>4.0869</v>
      </c>
      <c r="F1117" s="58">
        <v>2.4522000000000004</v>
      </c>
      <c r="G1117" s="58">
        <v>1.2261</v>
      </c>
      <c r="H1117" s="58">
        <v>0.49049999999999999</v>
      </c>
      <c r="I1117" s="58">
        <v>9.8100000000000007E-2</v>
      </c>
    </row>
    <row r="1118" spans="1:10" hidden="1">
      <c r="A1118" s="58" t="s">
        <v>307</v>
      </c>
      <c r="B1118" s="58" t="s">
        <v>224</v>
      </c>
      <c r="C1118" s="58">
        <v>99.189000000000007</v>
      </c>
      <c r="D1118" s="58">
        <v>89.270099999999999</v>
      </c>
      <c r="E1118" s="58">
        <v>69.184399999999997</v>
      </c>
      <c r="F1118" s="58">
        <v>41.5107</v>
      </c>
      <c r="G1118" s="58">
        <v>20.755399999999998</v>
      </c>
      <c r="H1118" s="58">
        <v>8.3021999999999991</v>
      </c>
      <c r="I1118" s="58">
        <v>1.6605000000000001</v>
      </c>
    </row>
    <row r="1119" spans="1:10" hidden="1">
      <c r="A1119" s="58" t="s">
        <v>307</v>
      </c>
      <c r="B1119" s="58" t="s">
        <v>207</v>
      </c>
      <c r="C1119" s="58">
        <v>1.9537499999999999</v>
      </c>
      <c r="D1119" s="58">
        <v>1.7584</v>
      </c>
      <c r="E1119" s="58">
        <v>1.3628</v>
      </c>
      <c r="F1119" s="58">
        <v>0.81769999999999998</v>
      </c>
      <c r="G1119" s="58">
        <v>0.40889999999999999</v>
      </c>
      <c r="H1119" s="58">
        <v>0.1636</v>
      </c>
      <c r="I1119" s="58">
        <v>3.2800000000000003E-2</v>
      </c>
    </row>
    <row r="1120" spans="1:10" hidden="1">
      <c r="A1120" s="58" t="s">
        <v>307</v>
      </c>
      <c r="B1120" s="58" t="s">
        <v>225</v>
      </c>
      <c r="C1120" s="58">
        <v>11.71475</v>
      </c>
      <c r="D1120" s="58">
        <v>10.5433</v>
      </c>
      <c r="E1120" s="58">
        <v>8.1710999999999991</v>
      </c>
      <c r="F1120" s="58">
        <v>4.9026999999999994</v>
      </c>
      <c r="G1120" s="58">
        <v>2.4514</v>
      </c>
      <c r="H1120" s="58">
        <v>0.98060000000000003</v>
      </c>
      <c r="I1120" s="58">
        <v>0.19619999999999999</v>
      </c>
    </row>
    <row r="1121" spans="1:13" hidden="1">
      <c r="A1121" s="58" t="s">
        <v>307</v>
      </c>
      <c r="B1121" s="58" t="s">
        <v>228</v>
      </c>
      <c r="C1121" s="58">
        <v>0.42809999999999998</v>
      </c>
      <c r="D1121" s="58">
        <v>0.38529999999999998</v>
      </c>
      <c r="E1121" s="58">
        <v>0.29869999999999997</v>
      </c>
      <c r="F1121" s="58">
        <v>0.17929999999999999</v>
      </c>
      <c r="G1121" s="58">
        <v>8.9700000000000002E-2</v>
      </c>
      <c r="H1121" s="58">
        <v>3.5900000000000001E-2</v>
      </c>
      <c r="I1121" s="58">
        <v>7.2000000000000007E-3</v>
      </c>
      <c r="J1121" s="58">
        <v>0</v>
      </c>
    </row>
    <row r="1122" spans="1:13" hidden="1">
      <c r="A1122" s="58" t="s">
        <v>307</v>
      </c>
      <c r="B1122" s="58" t="s">
        <v>230</v>
      </c>
      <c r="C1122" s="58">
        <v>70.4679</v>
      </c>
      <c r="D1122" s="58">
        <v>63.421200000000006</v>
      </c>
      <c r="E1122" s="58">
        <v>49.151500000000006</v>
      </c>
      <c r="F1122" s="58">
        <v>29.4909</v>
      </c>
      <c r="G1122" s="58">
        <v>14.7455</v>
      </c>
      <c r="H1122" s="58">
        <v>5.8982000000000001</v>
      </c>
      <c r="I1122" s="58">
        <v>1.1797</v>
      </c>
      <c r="J1122" s="58">
        <v>0</v>
      </c>
    </row>
    <row r="1123" spans="1:13" hidden="1">
      <c r="A1123" s="58" t="s">
        <v>307</v>
      </c>
      <c r="B1123" s="58" t="s">
        <v>229</v>
      </c>
      <c r="C1123" s="58">
        <v>1.1248</v>
      </c>
      <c r="D1123" s="58">
        <v>1.0124</v>
      </c>
      <c r="E1123" s="58">
        <v>0.78469999999999995</v>
      </c>
      <c r="F1123" s="58">
        <v>0.47089999999999999</v>
      </c>
      <c r="G1123" s="58">
        <v>0.23549999999999999</v>
      </c>
      <c r="H1123" s="58">
        <v>9.4200000000000006E-2</v>
      </c>
      <c r="I1123" s="58">
        <v>1.89E-2</v>
      </c>
      <c r="J1123" s="58">
        <v>0</v>
      </c>
    </row>
    <row r="1124" spans="1:13" hidden="1">
      <c r="A1124" s="58" t="s">
        <v>307</v>
      </c>
      <c r="B1124" s="58" t="s">
        <v>231</v>
      </c>
      <c r="C1124" s="58">
        <v>7.1247999999999996</v>
      </c>
      <c r="D1124" s="58">
        <v>6.4123999999999999</v>
      </c>
      <c r="E1124" s="58">
        <v>4.9696999999999996</v>
      </c>
      <c r="F1124" s="58">
        <v>2.9819</v>
      </c>
      <c r="G1124" s="58">
        <v>1.4909999999999999</v>
      </c>
      <c r="H1124" s="58">
        <v>0.59640000000000004</v>
      </c>
      <c r="I1124" s="58">
        <v>0.1193</v>
      </c>
      <c r="J1124" s="58">
        <v>0</v>
      </c>
    </row>
    <row r="1125" spans="1:13" hidden="1">
      <c r="A1125" s="58" t="s">
        <v>307</v>
      </c>
      <c r="B1125" s="58" t="s">
        <v>240</v>
      </c>
      <c r="C1125" s="58">
        <v>0.11270000000000001</v>
      </c>
      <c r="D1125" s="58">
        <v>0.10150000000000001</v>
      </c>
      <c r="E1125" s="58">
        <v>7.8700000000000006E-2</v>
      </c>
      <c r="F1125" s="58">
        <v>4.7300000000000002E-2</v>
      </c>
      <c r="G1125" s="58">
        <v>2.3699999999999999E-2</v>
      </c>
      <c r="H1125" s="58">
        <v>9.4999999999999998E-3</v>
      </c>
      <c r="I1125" s="58">
        <v>1.9E-3</v>
      </c>
      <c r="J1125" s="58">
        <v>0</v>
      </c>
    </row>
    <row r="1126" spans="1:13" hidden="1">
      <c r="A1126" s="57" t="s">
        <v>307</v>
      </c>
      <c r="B1126" s="10" t="s">
        <v>163</v>
      </c>
      <c r="C1126" s="10">
        <v>4.5925000000000002</v>
      </c>
      <c r="D1126" s="10">
        <v>4.5925000000000002</v>
      </c>
      <c r="E1126" s="10">
        <v>4.5925000000000002</v>
      </c>
      <c r="F1126" s="10">
        <v>4.5925000000000002</v>
      </c>
      <c r="G1126" s="10">
        <v>4.5925000000000002</v>
      </c>
      <c r="H1126" s="10">
        <v>1.7838407038840733</v>
      </c>
      <c r="I1126" s="10">
        <v>1.6224192998566647</v>
      </c>
      <c r="J1126" s="10">
        <v>1.3930832777524811</v>
      </c>
    </row>
    <row r="1127" spans="1:13" hidden="1">
      <c r="A1127" s="57" t="s">
        <v>307</v>
      </c>
      <c r="B1127" s="10" t="s">
        <v>107</v>
      </c>
      <c r="C1127" s="10">
        <v>15.029</v>
      </c>
      <c r="D1127" s="10">
        <v>6.1086481674702204</v>
      </c>
      <c r="E1127" s="10">
        <v>3.1064973837626493</v>
      </c>
      <c r="F1127" s="10">
        <v>1.8610420149488194</v>
      </c>
      <c r="G1127" s="10">
        <v>0.52027564552602079</v>
      </c>
      <c r="H1127" s="10">
        <v>2.186032124058911E-2</v>
      </c>
      <c r="I1127" s="10">
        <v>0</v>
      </c>
      <c r="J1127" s="10">
        <v>0</v>
      </c>
    </row>
    <row r="1128" spans="1:13" hidden="1">
      <c r="A1128" s="57" t="s">
        <v>307</v>
      </c>
      <c r="B1128" s="10" t="s">
        <v>106</v>
      </c>
      <c r="C1128" s="10">
        <v>0</v>
      </c>
      <c r="D1128" s="10">
        <v>0</v>
      </c>
      <c r="E1128" s="10">
        <v>0</v>
      </c>
      <c r="F1128" s="10">
        <v>0</v>
      </c>
      <c r="G1128" s="10">
        <v>0</v>
      </c>
      <c r="H1128" s="10">
        <v>0</v>
      </c>
      <c r="I1128" s="10">
        <v>0</v>
      </c>
      <c r="J1128" s="10">
        <v>0</v>
      </c>
    </row>
    <row r="1129" spans="1:13" hidden="1">
      <c r="A1129" s="57" t="s">
        <v>307</v>
      </c>
      <c r="B1129" s="10" t="s">
        <v>22</v>
      </c>
      <c r="C1129" s="10">
        <v>35.206000000000003</v>
      </c>
      <c r="D1129" s="10">
        <v>34.582999999999998</v>
      </c>
      <c r="E1129" s="10">
        <v>34.780999999999999</v>
      </c>
      <c r="F1129" s="10">
        <v>30.090439031123459</v>
      </c>
      <c r="G1129" s="10">
        <v>30.090439031123459</v>
      </c>
      <c r="H1129" s="10">
        <v>26.581868768491582</v>
      </c>
      <c r="I1129" s="10">
        <v>15.533005574058619</v>
      </c>
      <c r="J1129" s="10">
        <v>9.131429051985636</v>
      </c>
    </row>
    <row r="1130" spans="1:13" hidden="1">
      <c r="A1130" s="10" t="s">
        <v>307</v>
      </c>
      <c r="B1130" s="10" t="s">
        <v>488</v>
      </c>
      <c r="C1130" s="10">
        <v>27.143999999999998</v>
      </c>
      <c r="D1130" s="10">
        <v>27.143999999999998</v>
      </c>
      <c r="E1130" s="10">
        <v>23.273828297362112</v>
      </c>
      <c r="F1130" s="10">
        <v>17.957133812949635</v>
      </c>
      <c r="G1130" s="10">
        <v>14.458356834532371</v>
      </c>
      <c r="H1130" s="10">
        <v>10.959579856115109</v>
      </c>
      <c r="I1130" s="10">
        <v>5.4797899280575546</v>
      </c>
      <c r="J1130" s="10">
        <v>0</v>
      </c>
    </row>
    <row r="1131" spans="1:13" hidden="1">
      <c r="A1131" s="10" t="s">
        <v>307</v>
      </c>
      <c r="B1131" s="10" t="s">
        <v>489</v>
      </c>
      <c r="C1131" s="10">
        <v>0.48299999999999993</v>
      </c>
      <c r="D1131" s="10">
        <v>0.48299999999999993</v>
      </c>
      <c r="E1131" s="10">
        <v>0.52133700000000005</v>
      </c>
      <c r="F1131" s="10">
        <v>0.559674</v>
      </c>
      <c r="G1131" s="10">
        <v>0.559674</v>
      </c>
      <c r="H1131" s="10">
        <v>0.559674</v>
      </c>
      <c r="I1131" s="10">
        <v>0.279837</v>
      </c>
      <c r="J1131" s="10">
        <v>0</v>
      </c>
    </row>
    <row r="1132" spans="1:13" hidden="1">
      <c r="A1132" s="10" t="s">
        <v>307</v>
      </c>
      <c r="B1132" s="10" t="s">
        <v>490</v>
      </c>
      <c r="C1132" s="10">
        <v>2.3391700000000002</v>
      </c>
      <c r="D1132" s="10">
        <v>2.3391700000000002</v>
      </c>
      <c r="E1132" s="10">
        <v>1.526754887359199</v>
      </c>
      <c r="F1132" s="10">
        <v>0.71433977471839805</v>
      </c>
      <c r="G1132" s="10">
        <v>0.61114109824780982</v>
      </c>
      <c r="H1132" s="10">
        <v>0.5079424217772216</v>
      </c>
      <c r="I1132" s="10">
        <v>0.2539712108886108</v>
      </c>
      <c r="J1132" s="10">
        <v>0</v>
      </c>
    </row>
    <row r="1133" spans="1:13" hidden="1">
      <c r="A1133" s="57" t="s">
        <v>307</v>
      </c>
      <c r="B1133" s="10" t="s">
        <v>23</v>
      </c>
      <c r="C1133" s="10">
        <v>9.2609999999999992</v>
      </c>
      <c r="D1133" s="10">
        <v>9.2609999999999992</v>
      </c>
      <c r="E1133" s="10">
        <v>8.141</v>
      </c>
      <c r="F1133" s="10">
        <v>8.141</v>
      </c>
      <c r="G1133" s="10">
        <v>3.7340130811384129</v>
      </c>
      <c r="H1133" s="10">
        <v>3.7340130811384129</v>
      </c>
      <c r="I1133" s="10">
        <v>0</v>
      </c>
      <c r="J1133" s="10">
        <v>0</v>
      </c>
    </row>
    <row r="1134" spans="1:13" hidden="1">
      <c r="A1134" s="57" t="s">
        <v>307</v>
      </c>
      <c r="B1134" s="10" t="s">
        <v>58</v>
      </c>
      <c r="C1134" s="10">
        <v>2.9940000000000002</v>
      </c>
      <c r="D1134" s="10">
        <v>2.867479686188557</v>
      </c>
      <c r="E1134" s="10">
        <v>2.831013410349585</v>
      </c>
      <c r="F1134" s="10">
        <v>2.8189078237657168</v>
      </c>
      <c r="G1134" s="10">
        <v>2.1484022867687362</v>
      </c>
      <c r="H1134" s="10">
        <v>0.98771904924194109</v>
      </c>
      <c r="I1134" s="10">
        <v>2.8619402723294649E-2</v>
      </c>
      <c r="J1134" s="10">
        <v>1.9362934681794931E-2</v>
      </c>
    </row>
    <row r="1135" spans="1:13" hidden="1">
      <c r="A1135" s="58" t="s">
        <v>307</v>
      </c>
      <c r="B1135" s="58" t="s">
        <v>102</v>
      </c>
      <c r="C1135" s="58">
        <v>0</v>
      </c>
      <c r="D1135" s="58">
        <v>0</v>
      </c>
      <c r="E1135" s="58">
        <v>0</v>
      </c>
      <c r="F1135" s="58">
        <v>0</v>
      </c>
      <c r="G1135" s="58">
        <v>0</v>
      </c>
      <c r="H1135" s="58">
        <v>0</v>
      </c>
      <c r="I1135" s="58">
        <v>0</v>
      </c>
      <c r="J1135" s="58">
        <v>0</v>
      </c>
      <c r="M1135" s="10" t="s">
        <v>519</v>
      </c>
    </row>
    <row r="1136" spans="1:13" hidden="1">
      <c r="A1136" s="57" t="s">
        <v>307</v>
      </c>
      <c r="B1136" s="10" t="s">
        <v>103</v>
      </c>
      <c r="C1136" s="10">
        <v>1.9</v>
      </c>
      <c r="D1136" s="10">
        <v>1.9</v>
      </c>
      <c r="E1136" s="10">
        <v>1.9</v>
      </c>
      <c r="F1136" s="10">
        <v>1.9</v>
      </c>
      <c r="G1136" s="10">
        <v>1.9</v>
      </c>
      <c r="H1136" s="10">
        <v>1.9</v>
      </c>
      <c r="I1136" s="10">
        <v>1.9</v>
      </c>
      <c r="J1136" s="10">
        <v>1.9</v>
      </c>
      <c r="M1136" s="10" t="s">
        <v>519</v>
      </c>
    </row>
    <row r="1137" spans="1:13" hidden="1">
      <c r="A1137" s="57" t="s">
        <v>307</v>
      </c>
      <c r="B1137" s="10" t="s">
        <v>94</v>
      </c>
      <c r="C1137" s="10">
        <v>12.962</v>
      </c>
      <c r="D1137" s="10">
        <v>12.962</v>
      </c>
      <c r="E1137" s="10">
        <v>12.962</v>
      </c>
      <c r="F1137" s="10">
        <v>12.962</v>
      </c>
      <c r="G1137" s="10">
        <v>12.962</v>
      </c>
      <c r="H1137" s="10">
        <v>0</v>
      </c>
      <c r="I1137" s="10">
        <v>0</v>
      </c>
      <c r="J1137" s="10">
        <v>0</v>
      </c>
      <c r="M1137" s="10" t="s">
        <v>519</v>
      </c>
    </row>
    <row r="1138" spans="1:13" hidden="1">
      <c r="A1138" s="57" t="s">
        <v>307</v>
      </c>
      <c r="B1138" s="10" t="s">
        <v>170</v>
      </c>
      <c r="C1138" s="10">
        <v>8.1999999999999993</v>
      </c>
      <c r="D1138" s="10">
        <v>8.1999999999999993</v>
      </c>
      <c r="E1138" s="10">
        <v>8.1999999999999993</v>
      </c>
      <c r="F1138" s="10">
        <v>4.1216350177019629</v>
      </c>
      <c r="G1138" s="10">
        <v>3.0675197940135179</v>
      </c>
      <c r="H1138" s="10">
        <v>0</v>
      </c>
      <c r="I1138" s="10">
        <v>0</v>
      </c>
      <c r="J1138" s="10">
        <v>0</v>
      </c>
      <c r="M1138" s="10" t="s">
        <v>519</v>
      </c>
    </row>
    <row r="1139" spans="1:13" hidden="1">
      <c r="A1139" s="57" t="s">
        <v>307</v>
      </c>
      <c r="B1139" s="10" t="s">
        <v>97</v>
      </c>
      <c r="C1139" s="10">
        <v>12.8</v>
      </c>
      <c r="D1139" s="10">
        <v>12.8</v>
      </c>
      <c r="E1139" s="10">
        <v>12.8</v>
      </c>
      <c r="F1139" s="10">
        <v>5.7729999999999997</v>
      </c>
      <c r="G1139" s="10">
        <v>2.3940645736451782</v>
      </c>
      <c r="H1139" s="10">
        <v>0</v>
      </c>
      <c r="I1139" s="10">
        <v>0</v>
      </c>
      <c r="J1139" s="10">
        <v>0</v>
      </c>
    </row>
    <row r="1140" spans="1:13" hidden="1">
      <c r="A1140" s="61" t="s">
        <v>307</v>
      </c>
      <c r="B1140" s="62" t="s">
        <v>339</v>
      </c>
      <c r="C1140" s="10">
        <v>53.600000000000009</v>
      </c>
      <c r="D1140" s="10">
        <v>48.1</v>
      </c>
      <c r="E1140" s="10">
        <v>48.1</v>
      </c>
      <c r="F1140" s="10">
        <v>48.1</v>
      </c>
      <c r="G1140" s="10">
        <v>48.1</v>
      </c>
      <c r="H1140" s="10">
        <v>48.1</v>
      </c>
      <c r="I1140" s="10">
        <v>48.1</v>
      </c>
      <c r="J1140" s="10">
        <v>48.1</v>
      </c>
    </row>
    <row r="1141" spans="1:13" hidden="1">
      <c r="A1141" s="10" t="s">
        <v>278</v>
      </c>
      <c r="B1141" s="10" t="s">
        <v>134</v>
      </c>
      <c r="C1141" s="10">
        <v>19.3</v>
      </c>
      <c r="D1141" s="10">
        <v>17.37</v>
      </c>
      <c r="E1141" s="10">
        <v>12.545000000000002</v>
      </c>
      <c r="F1141" s="10">
        <v>7.7200000000000006</v>
      </c>
      <c r="G1141" s="10">
        <v>2.895</v>
      </c>
    </row>
    <row r="1142" spans="1:13" hidden="1">
      <c r="A1142" s="10" t="s">
        <v>280</v>
      </c>
      <c r="B1142" s="10" t="s">
        <v>134</v>
      </c>
      <c r="C1142" s="10">
        <v>5.8</v>
      </c>
      <c r="D1142" s="10">
        <v>5.22</v>
      </c>
      <c r="E1142" s="10">
        <v>3.77</v>
      </c>
      <c r="F1142" s="10">
        <v>2.3199999999999998</v>
      </c>
      <c r="G1142" s="10">
        <v>0.87</v>
      </c>
    </row>
    <row r="1143" spans="1:13" hidden="1">
      <c r="A1143" s="10" t="s">
        <v>281</v>
      </c>
      <c r="B1143" s="10" t="s">
        <v>134</v>
      </c>
      <c r="C1143" s="10">
        <v>2.8</v>
      </c>
      <c r="D1143" s="10">
        <v>2.52</v>
      </c>
      <c r="E1143" s="10">
        <v>1.8199999999999998</v>
      </c>
      <c r="F1143" s="10">
        <v>1.1199999999999999</v>
      </c>
      <c r="G1143" s="10">
        <v>0.42</v>
      </c>
    </row>
    <row r="1144" spans="1:13" hidden="1">
      <c r="A1144" s="10" t="s">
        <v>282</v>
      </c>
      <c r="B1144" s="10" t="s">
        <v>134</v>
      </c>
      <c r="C1144" s="10">
        <v>9.3000000000000007</v>
      </c>
      <c r="D1144" s="10">
        <v>8.370000000000001</v>
      </c>
      <c r="E1144" s="10">
        <v>6.0450000000000008</v>
      </c>
      <c r="F1144" s="10">
        <v>3.7200000000000006</v>
      </c>
      <c r="G1144" s="10">
        <v>1.395</v>
      </c>
    </row>
    <row r="1145" spans="1:13" hidden="1">
      <c r="A1145" s="10" t="s">
        <v>283</v>
      </c>
      <c r="B1145" s="10" t="s">
        <v>134</v>
      </c>
      <c r="C1145" s="10">
        <v>13.6</v>
      </c>
      <c r="D1145" s="10">
        <v>12.24</v>
      </c>
      <c r="E1145" s="10">
        <v>8.84</v>
      </c>
      <c r="F1145" s="10">
        <v>5.44</v>
      </c>
      <c r="G1145" s="10">
        <v>2.04</v>
      </c>
    </row>
    <row r="1146" spans="1:13" hidden="1">
      <c r="A1146" s="10" t="s">
        <v>284</v>
      </c>
      <c r="B1146" s="10" t="s">
        <v>134</v>
      </c>
      <c r="C1146" s="10">
        <v>88.4</v>
      </c>
      <c r="D1146" s="10">
        <v>79.56</v>
      </c>
      <c r="E1146" s="10">
        <v>57.460000000000008</v>
      </c>
      <c r="F1146" s="10">
        <v>35.360000000000007</v>
      </c>
      <c r="G1146" s="10">
        <v>13.26</v>
      </c>
    </row>
    <row r="1147" spans="1:13" hidden="1">
      <c r="A1147" s="10" t="s">
        <v>285</v>
      </c>
      <c r="B1147" s="10" t="s">
        <v>134</v>
      </c>
      <c r="C1147" s="10">
        <v>2</v>
      </c>
      <c r="D1147" s="10">
        <v>1.8</v>
      </c>
      <c r="E1147" s="10">
        <v>1.3</v>
      </c>
      <c r="F1147" s="10">
        <v>0.8</v>
      </c>
      <c r="G1147" s="10">
        <v>0.3</v>
      </c>
    </row>
    <row r="1148" spans="1:13" hidden="1">
      <c r="A1148" s="10" t="s">
        <v>308</v>
      </c>
      <c r="B1148" s="10" t="s">
        <v>134</v>
      </c>
      <c r="C1148" s="10">
        <v>2</v>
      </c>
      <c r="D1148" s="10">
        <v>1.8</v>
      </c>
      <c r="E1148" s="10">
        <v>1.3</v>
      </c>
      <c r="F1148" s="10">
        <v>0.8</v>
      </c>
      <c r="G1148" s="10">
        <v>0.3</v>
      </c>
    </row>
    <row r="1149" spans="1:13" hidden="1">
      <c r="A1149" s="10" t="s">
        <v>286</v>
      </c>
      <c r="B1149" s="10" t="s">
        <v>134</v>
      </c>
      <c r="C1149" s="10">
        <v>6.1</v>
      </c>
      <c r="D1149" s="10">
        <v>5.49</v>
      </c>
      <c r="E1149" s="10">
        <v>3.9649999999999999</v>
      </c>
      <c r="F1149" s="10">
        <v>2.44</v>
      </c>
      <c r="G1149" s="10">
        <v>0.91499999999999992</v>
      </c>
    </row>
    <row r="1150" spans="1:13" hidden="1">
      <c r="A1150" s="10" t="s">
        <v>287</v>
      </c>
      <c r="B1150" s="10" t="s">
        <v>134</v>
      </c>
      <c r="C1150" s="10">
        <v>8.4</v>
      </c>
      <c r="D1150" s="10">
        <v>7.5600000000000005</v>
      </c>
      <c r="E1150" s="10">
        <v>5.4600000000000009</v>
      </c>
      <c r="F1150" s="10">
        <v>3.3600000000000003</v>
      </c>
      <c r="G1150" s="10">
        <v>1.26</v>
      </c>
    </row>
    <row r="1151" spans="1:13">
      <c r="A1151" s="10" t="s">
        <v>288</v>
      </c>
      <c r="B1151" s="10" t="s">
        <v>134</v>
      </c>
      <c r="C1151" s="10">
        <v>18.3</v>
      </c>
      <c r="D1151" s="10">
        <v>16.470000000000002</v>
      </c>
      <c r="E1151" s="10">
        <v>11.895000000000001</v>
      </c>
      <c r="F1151" s="10">
        <v>7.32</v>
      </c>
      <c r="G1151" s="10">
        <v>2.7450000000000001</v>
      </c>
    </row>
    <row r="1152" spans="1:13" hidden="1">
      <c r="A1152" s="10" t="s">
        <v>290</v>
      </c>
      <c r="B1152" s="10" t="s">
        <v>134</v>
      </c>
      <c r="C1152" s="10">
        <v>2.4</v>
      </c>
      <c r="D1152" s="10">
        <v>2.16</v>
      </c>
      <c r="E1152" s="10">
        <v>1.56</v>
      </c>
      <c r="F1152" s="10">
        <v>0.96</v>
      </c>
      <c r="G1152" s="10">
        <v>0.36</v>
      </c>
    </row>
    <row r="1153" spans="1:7" hidden="1">
      <c r="A1153" s="10" t="s">
        <v>291</v>
      </c>
      <c r="B1153" s="10" t="s">
        <v>134</v>
      </c>
      <c r="C1153" s="10">
        <v>9.1</v>
      </c>
      <c r="D1153" s="10">
        <v>8.19</v>
      </c>
      <c r="E1153" s="10">
        <v>5.915</v>
      </c>
      <c r="F1153" s="10">
        <v>3.64</v>
      </c>
      <c r="G1153" s="10">
        <v>1.365</v>
      </c>
    </row>
    <row r="1154" spans="1:7" hidden="1">
      <c r="A1154" s="10" t="s">
        <v>293</v>
      </c>
      <c r="B1154" s="10" t="s">
        <v>134</v>
      </c>
      <c r="C1154" s="10">
        <v>14.6</v>
      </c>
      <c r="D1154" s="10">
        <v>13.14</v>
      </c>
      <c r="E1154" s="10">
        <v>9.49</v>
      </c>
      <c r="F1154" s="10">
        <v>5.84</v>
      </c>
      <c r="G1154" s="10">
        <v>2.19</v>
      </c>
    </row>
    <row r="1155" spans="1:7" hidden="1">
      <c r="A1155" s="10" t="s">
        <v>309</v>
      </c>
      <c r="B1155" s="10" t="s">
        <v>134</v>
      </c>
      <c r="C1155" s="10">
        <v>13.8</v>
      </c>
      <c r="D1155" s="10">
        <v>12.420000000000002</v>
      </c>
      <c r="E1155" s="10">
        <v>8.9700000000000006</v>
      </c>
      <c r="F1155" s="10">
        <v>5.5200000000000005</v>
      </c>
      <c r="G1155" s="10">
        <v>2.0699999999999998</v>
      </c>
    </row>
    <row r="1156" spans="1:7" hidden="1">
      <c r="A1156" s="10" t="s">
        <v>294</v>
      </c>
      <c r="B1156" s="10" t="s">
        <v>134</v>
      </c>
      <c r="C1156" s="10">
        <v>0.1</v>
      </c>
      <c r="D1156" s="10">
        <v>9.0000000000000011E-2</v>
      </c>
      <c r="E1156" s="10">
        <v>6.5000000000000002E-2</v>
      </c>
      <c r="F1156" s="10">
        <v>4.0000000000000008E-2</v>
      </c>
      <c r="G1156" s="10">
        <v>1.4999999999999999E-2</v>
      </c>
    </row>
    <row r="1157" spans="1:7" hidden="1">
      <c r="A1157" s="10" t="s">
        <v>310</v>
      </c>
      <c r="B1157" s="10" t="s">
        <v>134</v>
      </c>
      <c r="C1157" s="10">
        <v>14.8</v>
      </c>
      <c r="D1157" s="10">
        <v>13.32</v>
      </c>
      <c r="E1157" s="10">
        <v>9.620000000000001</v>
      </c>
      <c r="F1157" s="10">
        <v>5.9200000000000008</v>
      </c>
      <c r="G1157" s="10">
        <v>2.2200000000000002</v>
      </c>
    </row>
    <row r="1158" spans="1:7" hidden="1">
      <c r="A1158" s="10" t="s">
        <v>297</v>
      </c>
      <c r="B1158" s="10" t="s">
        <v>134</v>
      </c>
      <c r="C1158" s="10">
        <v>6.3</v>
      </c>
      <c r="D1158" s="10">
        <v>5.67</v>
      </c>
      <c r="E1158" s="10">
        <v>4.0949999999999998</v>
      </c>
      <c r="F1158" s="10">
        <v>2.52</v>
      </c>
      <c r="G1158" s="10">
        <v>0.94499999999999995</v>
      </c>
    </row>
    <row r="1159" spans="1:7" hidden="1">
      <c r="A1159" s="10" t="s">
        <v>298</v>
      </c>
      <c r="B1159" s="10" t="s">
        <v>134</v>
      </c>
      <c r="C1159" s="10">
        <v>3.7</v>
      </c>
      <c r="D1159" s="10">
        <v>3.33</v>
      </c>
      <c r="E1159" s="10">
        <v>2.4050000000000002</v>
      </c>
      <c r="F1159" s="10">
        <v>1.4800000000000002</v>
      </c>
      <c r="G1159" s="10">
        <v>0.55500000000000005</v>
      </c>
    </row>
    <row r="1160" spans="1:7" hidden="1">
      <c r="A1160" s="10" t="s">
        <v>357</v>
      </c>
      <c r="B1160" s="10" t="s">
        <v>134</v>
      </c>
      <c r="C1160" s="10">
        <v>7.6</v>
      </c>
      <c r="D1160" s="10">
        <v>6.84</v>
      </c>
      <c r="E1160" s="10">
        <v>4.9399999999999995</v>
      </c>
      <c r="F1160" s="10">
        <v>3.04</v>
      </c>
      <c r="G1160" s="10">
        <v>1.1399999999999999</v>
      </c>
    </row>
    <row r="1161" spans="1:7" hidden="1">
      <c r="A1161" s="10" t="s">
        <v>299</v>
      </c>
      <c r="B1161" s="10" t="s">
        <v>134</v>
      </c>
      <c r="C1161" s="10">
        <v>53.1</v>
      </c>
      <c r="D1161" s="10">
        <v>47.79</v>
      </c>
      <c r="E1161" s="10">
        <v>34.515000000000001</v>
      </c>
      <c r="F1161" s="10">
        <v>21.240000000000002</v>
      </c>
      <c r="G1161" s="10">
        <v>7.9649999999999999</v>
      </c>
    </row>
    <row r="1162" spans="1:7" hidden="1">
      <c r="A1162" s="10" t="s">
        <v>300</v>
      </c>
      <c r="B1162" s="10" t="s">
        <v>134</v>
      </c>
      <c r="C1162" s="10">
        <v>2.2000000000000002</v>
      </c>
      <c r="D1162" s="10">
        <v>1.9800000000000002</v>
      </c>
      <c r="E1162" s="10">
        <v>1.4300000000000002</v>
      </c>
      <c r="F1162" s="10">
        <v>0.88000000000000012</v>
      </c>
      <c r="G1162" s="10">
        <v>0.33</v>
      </c>
    </row>
    <row r="1163" spans="1:7" hidden="1">
      <c r="A1163" s="10" t="s">
        <v>301</v>
      </c>
      <c r="B1163" s="10" t="s">
        <v>134</v>
      </c>
      <c r="C1163" s="10">
        <v>10.1</v>
      </c>
      <c r="D1163" s="10">
        <v>9.09</v>
      </c>
      <c r="E1163" s="10">
        <v>6.5650000000000004</v>
      </c>
      <c r="F1163" s="10">
        <v>4.04</v>
      </c>
      <c r="G1163" s="10">
        <v>1.5149999999999999</v>
      </c>
    </row>
    <row r="1164" spans="1:7" hidden="1">
      <c r="A1164" s="10" t="s">
        <v>303</v>
      </c>
      <c r="B1164" s="10" t="s">
        <v>134</v>
      </c>
      <c r="C1164" s="10">
        <v>18.7</v>
      </c>
      <c r="D1164" s="10">
        <v>16.829999999999998</v>
      </c>
      <c r="E1164" s="10">
        <v>12.154999999999999</v>
      </c>
      <c r="F1164" s="10">
        <v>7.48</v>
      </c>
      <c r="G1164" s="10">
        <v>2.8049999999999997</v>
      </c>
    </row>
    <row r="1165" spans="1:7" hidden="1">
      <c r="A1165" s="10" t="s">
        <v>304</v>
      </c>
      <c r="B1165" s="10" t="s">
        <v>134</v>
      </c>
      <c r="C1165" s="10">
        <v>4</v>
      </c>
      <c r="D1165" s="10">
        <v>3.6</v>
      </c>
      <c r="E1165" s="10">
        <v>2.6</v>
      </c>
      <c r="F1165" s="10">
        <v>1.6</v>
      </c>
      <c r="G1165" s="10">
        <v>0.6</v>
      </c>
    </row>
    <row r="1166" spans="1:7" hidden="1">
      <c r="A1166" s="10" t="s">
        <v>305</v>
      </c>
      <c r="B1166" s="10" t="s">
        <v>134</v>
      </c>
      <c r="C1166" s="10">
        <v>7.5</v>
      </c>
      <c r="D1166" s="10">
        <v>6.75</v>
      </c>
      <c r="E1166" s="10">
        <v>4.875</v>
      </c>
      <c r="F1166" s="10">
        <v>3</v>
      </c>
      <c r="G1166" s="10">
        <v>1.125</v>
      </c>
    </row>
    <row r="1167" spans="1:7" hidden="1">
      <c r="A1167" s="10" t="s">
        <v>356</v>
      </c>
      <c r="B1167" s="10" t="s">
        <v>134</v>
      </c>
      <c r="C1167" s="10">
        <v>26.3</v>
      </c>
      <c r="D1167" s="10">
        <v>23.67</v>
      </c>
      <c r="E1167" s="10">
        <v>17.095000000000002</v>
      </c>
      <c r="F1167" s="10">
        <v>10.520000000000001</v>
      </c>
      <c r="G1167" s="10">
        <v>3.9449999999999998</v>
      </c>
    </row>
    <row r="1168" spans="1:7" hidden="1">
      <c r="A1168" s="10" t="s">
        <v>307</v>
      </c>
      <c r="B1168" s="10" t="s">
        <v>134</v>
      </c>
      <c r="C1168" s="10">
        <v>13.9</v>
      </c>
      <c r="D1168" s="10">
        <v>12.51</v>
      </c>
      <c r="E1168" s="10">
        <v>9.0350000000000001</v>
      </c>
      <c r="F1168" s="10">
        <v>5.5600000000000005</v>
      </c>
      <c r="G1168" s="10">
        <v>2.085</v>
      </c>
    </row>
    <row r="1169" spans="1:7" hidden="1">
      <c r="A1169" s="10" t="s">
        <v>278</v>
      </c>
      <c r="B1169" s="10" t="s">
        <v>135</v>
      </c>
      <c r="C1169" s="10">
        <v>49.2</v>
      </c>
      <c r="D1169" s="10">
        <v>44.28</v>
      </c>
      <c r="E1169" s="10">
        <v>31.980000000000004</v>
      </c>
      <c r="F1169" s="10">
        <v>19.680000000000003</v>
      </c>
      <c r="G1169" s="10">
        <v>7.38</v>
      </c>
    </row>
    <row r="1170" spans="1:7" hidden="1">
      <c r="A1170" s="10" t="s">
        <v>280</v>
      </c>
      <c r="B1170" s="10" t="s">
        <v>135</v>
      </c>
      <c r="C1170" s="10">
        <v>15.5</v>
      </c>
      <c r="D1170" s="10">
        <v>13.950000000000001</v>
      </c>
      <c r="E1170" s="10">
        <v>10.075000000000001</v>
      </c>
      <c r="F1170" s="10">
        <v>6.2</v>
      </c>
      <c r="G1170" s="10">
        <v>2.3249999999999997</v>
      </c>
    </row>
    <row r="1171" spans="1:7" hidden="1">
      <c r="A1171" s="10" t="s">
        <v>281</v>
      </c>
      <c r="B1171" s="10" t="s">
        <v>135</v>
      </c>
      <c r="C1171" s="10">
        <v>8.4</v>
      </c>
      <c r="D1171" s="10">
        <v>7.5600000000000005</v>
      </c>
      <c r="E1171" s="10">
        <v>5.4600000000000009</v>
      </c>
      <c r="F1171" s="10">
        <v>3.3600000000000003</v>
      </c>
      <c r="G1171" s="10">
        <v>1.26</v>
      </c>
    </row>
    <row r="1172" spans="1:7" hidden="1">
      <c r="A1172" s="10" t="s">
        <v>282</v>
      </c>
      <c r="B1172" s="10" t="s">
        <v>135</v>
      </c>
      <c r="C1172" s="10">
        <v>23.2</v>
      </c>
      <c r="D1172" s="10">
        <v>20.88</v>
      </c>
      <c r="E1172" s="10">
        <v>15.08</v>
      </c>
      <c r="F1172" s="10">
        <v>9.2799999999999994</v>
      </c>
      <c r="G1172" s="10">
        <v>3.48</v>
      </c>
    </row>
    <row r="1173" spans="1:7" hidden="1">
      <c r="A1173" s="10" t="s">
        <v>283</v>
      </c>
      <c r="B1173" s="10" t="s">
        <v>135</v>
      </c>
      <c r="C1173" s="10">
        <v>34</v>
      </c>
      <c r="D1173" s="10">
        <v>30.6</v>
      </c>
      <c r="E1173" s="10">
        <v>22.1</v>
      </c>
      <c r="F1173" s="10">
        <v>13.600000000000001</v>
      </c>
      <c r="G1173" s="10">
        <v>5.0999999999999996</v>
      </c>
    </row>
    <row r="1174" spans="1:7" hidden="1">
      <c r="A1174" s="10" t="s">
        <v>284</v>
      </c>
      <c r="B1174" s="10" t="s">
        <v>135</v>
      </c>
      <c r="C1174" s="10">
        <v>283</v>
      </c>
      <c r="D1174" s="10">
        <v>254.70000000000002</v>
      </c>
      <c r="E1174" s="10">
        <v>183.95000000000002</v>
      </c>
      <c r="F1174" s="10">
        <v>113.2</v>
      </c>
      <c r="G1174" s="10">
        <v>42.449999999999996</v>
      </c>
    </row>
    <row r="1175" spans="1:7" hidden="1">
      <c r="A1175" s="10" t="s">
        <v>285</v>
      </c>
      <c r="B1175" s="10" t="s">
        <v>135</v>
      </c>
      <c r="C1175" s="10">
        <v>5.9</v>
      </c>
      <c r="D1175" s="10">
        <v>5.3100000000000005</v>
      </c>
      <c r="E1175" s="10">
        <v>3.8350000000000004</v>
      </c>
      <c r="F1175" s="10">
        <v>2.3600000000000003</v>
      </c>
      <c r="G1175" s="10">
        <v>0.88500000000000001</v>
      </c>
    </row>
    <row r="1176" spans="1:7" hidden="1">
      <c r="A1176" s="10" t="s">
        <v>308</v>
      </c>
      <c r="B1176" s="10" t="s">
        <v>135</v>
      </c>
      <c r="C1176" s="10">
        <v>5.2</v>
      </c>
      <c r="D1176" s="10">
        <v>4.6800000000000006</v>
      </c>
      <c r="E1176" s="10">
        <v>3.3800000000000003</v>
      </c>
      <c r="F1176" s="10">
        <v>2.08</v>
      </c>
      <c r="G1176" s="10">
        <v>0.78</v>
      </c>
    </row>
    <row r="1177" spans="1:7" hidden="1">
      <c r="A1177" s="10" t="s">
        <v>286</v>
      </c>
      <c r="B1177" s="10" t="s">
        <v>135</v>
      </c>
      <c r="C1177" s="10">
        <v>24.5</v>
      </c>
      <c r="D1177" s="10">
        <v>22.05</v>
      </c>
      <c r="E1177" s="10">
        <v>15.925000000000001</v>
      </c>
      <c r="F1177" s="10">
        <v>9.8000000000000007</v>
      </c>
      <c r="G1177" s="10">
        <v>3.6749999999999998</v>
      </c>
    </row>
    <row r="1178" spans="1:7" hidden="1">
      <c r="A1178" s="10" t="s">
        <v>287</v>
      </c>
      <c r="B1178" s="10" t="s">
        <v>135</v>
      </c>
      <c r="C1178" s="10">
        <v>23.2</v>
      </c>
      <c r="D1178" s="10">
        <v>20.88</v>
      </c>
      <c r="E1178" s="10">
        <v>15.08</v>
      </c>
      <c r="F1178" s="10">
        <v>9.2799999999999994</v>
      </c>
      <c r="G1178" s="10">
        <v>3.48</v>
      </c>
    </row>
    <row r="1179" spans="1:7">
      <c r="A1179" s="10" t="s">
        <v>288</v>
      </c>
      <c r="B1179" s="10" t="s">
        <v>135</v>
      </c>
      <c r="C1179" s="10">
        <v>82.4</v>
      </c>
      <c r="D1179" s="10">
        <v>74.160000000000011</v>
      </c>
      <c r="E1179" s="10">
        <v>53.56</v>
      </c>
      <c r="F1179" s="10">
        <v>32.96</v>
      </c>
      <c r="G1179" s="10">
        <v>12.360000000000001</v>
      </c>
    </row>
    <row r="1180" spans="1:7" hidden="1">
      <c r="A1180" s="10" t="s">
        <v>289</v>
      </c>
      <c r="B1180" s="10" t="s">
        <v>135</v>
      </c>
      <c r="C1180" s="10">
        <v>1.6</v>
      </c>
      <c r="D1180" s="10">
        <v>1.4400000000000002</v>
      </c>
      <c r="E1180" s="10">
        <v>1.04</v>
      </c>
      <c r="F1180" s="10">
        <v>0.64000000000000012</v>
      </c>
      <c r="G1180" s="10">
        <v>0.24</v>
      </c>
    </row>
    <row r="1181" spans="1:7" hidden="1">
      <c r="A1181" s="10" t="s">
        <v>290</v>
      </c>
      <c r="B1181" s="10" t="s">
        <v>135</v>
      </c>
      <c r="C1181" s="10">
        <v>6.5</v>
      </c>
      <c r="D1181" s="10">
        <v>5.8500000000000005</v>
      </c>
      <c r="E1181" s="10">
        <v>4.2250000000000005</v>
      </c>
      <c r="F1181" s="10">
        <v>2.6</v>
      </c>
      <c r="G1181" s="10">
        <v>0.97499999999999998</v>
      </c>
    </row>
    <row r="1182" spans="1:7" hidden="1">
      <c r="A1182" s="10" t="s">
        <v>291</v>
      </c>
      <c r="B1182" s="10" t="s">
        <v>135</v>
      </c>
      <c r="C1182" s="10">
        <v>22.8</v>
      </c>
      <c r="D1182" s="10">
        <v>20.52</v>
      </c>
      <c r="E1182" s="10">
        <v>14.82</v>
      </c>
      <c r="F1182" s="10">
        <v>9.120000000000001</v>
      </c>
      <c r="G1182" s="10">
        <v>3.42</v>
      </c>
    </row>
    <row r="1183" spans="1:7" hidden="1">
      <c r="A1183" s="10" t="s">
        <v>292</v>
      </c>
      <c r="B1183" s="10" t="s">
        <v>135</v>
      </c>
      <c r="C1183" s="10">
        <v>0.3</v>
      </c>
      <c r="D1183" s="10">
        <v>0.27</v>
      </c>
      <c r="E1183" s="10">
        <v>0.19500000000000001</v>
      </c>
      <c r="F1183" s="10">
        <v>0.12</v>
      </c>
      <c r="G1183" s="10">
        <v>4.4999999999999998E-2</v>
      </c>
    </row>
    <row r="1184" spans="1:7" hidden="1">
      <c r="A1184" s="10" t="s">
        <v>293</v>
      </c>
      <c r="B1184" s="10" t="s">
        <v>135</v>
      </c>
      <c r="C1184" s="10">
        <v>53.7</v>
      </c>
      <c r="D1184" s="10">
        <v>48.330000000000005</v>
      </c>
      <c r="E1184" s="10">
        <v>34.905000000000001</v>
      </c>
      <c r="F1184" s="10">
        <v>21.480000000000004</v>
      </c>
      <c r="G1184" s="10">
        <v>8.0549999999999997</v>
      </c>
    </row>
    <row r="1185" spans="1:7" hidden="1">
      <c r="A1185" s="10" t="s">
        <v>309</v>
      </c>
      <c r="B1185" s="10" t="s">
        <v>135</v>
      </c>
      <c r="C1185" s="10">
        <v>33</v>
      </c>
      <c r="D1185" s="10">
        <v>29.7</v>
      </c>
      <c r="E1185" s="10">
        <v>21.45</v>
      </c>
      <c r="F1185" s="10">
        <v>13.200000000000001</v>
      </c>
      <c r="G1185" s="10">
        <v>4.95</v>
      </c>
    </row>
    <row r="1186" spans="1:7" hidden="1">
      <c r="A1186" s="10" t="s">
        <v>294</v>
      </c>
      <c r="B1186" s="10" t="s">
        <v>135</v>
      </c>
      <c r="C1186" s="10">
        <v>0.5</v>
      </c>
      <c r="D1186" s="10">
        <v>0.45</v>
      </c>
      <c r="E1186" s="10">
        <v>0.32500000000000001</v>
      </c>
      <c r="F1186" s="10">
        <v>0.2</v>
      </c>
      <c r="G1186" s="10">
        <v>7.4999999999999997E-2</v>
      </c>
    </row>
    <row r="1187" spans="1:7" hidden="1">
      <c r="A1187" s="10" t="s">
        <v>310</v>
      </c>
      <c r="B1187" s="10" t="s">
        <v>135</v>
      </c>
      <c r="C1187" s="10">
        <v>36.4</v>
      </c>
      <c r="D1187" s="10">
        <v>32.76</v>
      </c>
      <c r="E1187" s="10">
        <v>23.66</v>
      </c>
      <c r="F1187" s="10">
        <v>14.56</v>
      </c>
      <c r="G1187" s="10">
        <v>5.46</v>
      </c>
    </row>
    <row r="1188" spans="1:7" hidden="1">
      <c r="A1188" s="10" t="s">
        <v>297</v>
      </c>
      <c r="B1188" s="10" t="s">
        <v>135</v>
      </c>
      <c r="C1188" s="10">
        <v>18.8</v>
      </c>
      <c r="D1188" s="10">
        <v>16.920000000000002</v>
      </c>
      <c r="E1188" s="10">
        <v>12.22</v>
      </c>
      <c r="F1188" s="10">
        <v>7.5200000000000005</v>
      </c>
      <c r="G1188" s="10">
        <v>2.82</v>
      </c>
    </row>
    <row r="1189" spans="1:7" hidden="1">
      <c r="A1189" s="10" t="s">
        <v>298</v>
      </c>
      <c r="B1189" s="10" t="s">
        <v>135</v>
      </c>
      <c r="C1189" s="10">
        <v>9.4</v>
      </c>
      <c r="D1189" s="10">
        <v>8.4600000000000009</v>
      </c>
      <c r="E1189" s="10">
        <v>6.11</v>
      </c>
      <c r="F1189" s="10">
        <v>3.7600000000000002</v>
      </c>
      <c r="G1189" s="10">
        <v>1.41</v>
      </c>
    </row>
    <row r="1190" spans="1:7" hidden="1">
      <c r="A1190" s="10" t="s">
        <v>357</v>
      </c>
      <c r="B1190" s="10" t="s">
        <v>135</v>
      </c>
      <c r="C1190" s="10">
        <v>21.3</v>
      </c>
      <c r="D1190" s="10">
        <v>19.170000000000002</v>
      </c>
      <c r="E1190" s="10">
        <v>13.845000000000001</v>
      </c>
      <c r="F1190" s="10">
        <v>8.5200000000000014</v>
      </c>
      <c r="G1190" s="10">
        <v>3.1949999999999998</v>
      </c>
    </row>
    <row r="1191" spans="1:7" hidden="1">
      <c r="A1191" s="10" t="s">
        <v>299</v>
      </c>
      <c r="B1191" s="10" t="s">
        <v>135</v>
      </c>
      <c r="C1191" s="10">
        <v>126</v>
      </c>
      <c r="D1191" s="10">
        <v>113.4</v>
      </c>
      <c r="E1191" s="10">
        <v>81.900000000000006</v>
      </c>
      <c r="F1191" s="10">
        <v>50.400000000000006</v>
      </c>
      <c r="G1191" s="10">
        <v>18.899999999999999</v>
      </c>
    </row>
    <row r="1192" spans="1:7" hidden="1">
      <c r="A1192" s="10" t="s">
        <v>300</v>
      </c>
      <c r="B1192" s="10" t="s">
        <v>135</v>
      </c>
      <c r="C1192" s="10">
        <v>6</v>
      </c>
      <c r="D1192" s="10">
        <v>5.4</v>
      </c>
      <c r="E1192" s="10">
        <v>3.9000000000000004</v>
      </c>
      <c r="F1192" s="10">
        <v>2.4000000000000004</v>
      </c>
      <c r="G1192" s="10">
        <v>0.89999999999999991</v>
      </c>
    </row>
    <row r="1193" spans="1:7" hidden="1">
      <c r="A1193" s="10" t="s">
        <v>301</v>
      </c>
      <c r="B1193" s="10" t="s">
        <v>135</v>
      </c>
      <c r="C1193" s="10">
        <v>26.6</v>
      </c>
      <c r="D1193" s="10">
        <v>23.94</v>
      </c>
      <c r="E1193" s="10">
        <v>17.290000000000003</v>
      </c>
      <c r="F1193" s="10">
        <v>10.64</v>
      </c>
      <c r="G1193" s="10">
        <v>3.99</v>
      </c>
    </row>
    <row r="1194" spans="1:7" hidden="1">
      <c r="A1194" s="10" t="s">
        <v>303</v>
      </c>
      <c r="B1194" s="10" t="s">
        <v>135</v>
      </c>
      <c r="C1194" s="10">
        <v>45.8</v>
      </c>
      <c r="D1194" s="10">
        <v>41.22</v>
      </c>
      <c r="E1194" s="10">
        <v>29.77</v>
      </c>
      <c r="F1194" s="10">
        <v>18.32</v>
      </c>
      <c r="G1194" s="10">
        <v>6.8699999999999992</v>
      </c>
    </row>
    <row r="1195" spans="1:7" hidden="1">
      <c r="A1195" s="10" t="s">
        <v>304</v>
      </c>
      <c r="B1195" s="10" t="s">
        <v>135</v>
      </c>
      <c r="C1195" s="10">
        <v>10.4</v>
      </c>
      <c r="D1195" s="10">
        <v>9.3600000000000012</v>
      </c>
      <c r="E1195" s="10">
        <v>6.7600000000000007</v>
      </c>
      <c r="F1195" s="10">
        <v>4.16</v>
      </c>
      <c r="G1195" s="10">
        <v>1.56</v>
      </c>
    </row>
    <row r="1196" spans="1:7" hidden="1">
      <c r="A1196" s="10" t="s">
        <v>305</v>
      </c>
      <c r="B1196" s="10" t="s">
        <v>135</v>
      </c>
      <c r="C1196" s="10">
        <v>20</v>
      </c>
      <c r="D1196" s="10">
        <v>18</v>
      </c>
      <c r="E1196" s="10">
        <v>13</v>
      </c>
      <c r="F1196" s="10">
        <v>8</v>
      </c>
      <c r="G1196" s="10">
        <v>3</v>
      </c>
    </row>
    <row r="1197" spans="1:7" hidden="1">
      <c r="A1197" s="10" t="s">
        <v>356</v>
      </c>
      <c r="B1197" s="10" t="s">
        <v>135</v>
      </c>
      <c r="C1197" s="10">
        <v>73.7</v>
      </c>
      <c r="D1197" s="10">
        <v>66.33</v>
      </c>
      <c r="E1197" s="10">
        <v>47.905000000000001</v>
      </c>
      <c r="F1197" s="10">
        <v>29.480000000000004</v>
      </c>
      <c r="G1197" s="10">
        <v>11.055</v>
      </c>
    </row>
    <row r="1198" spans="1:7" hidden="1">
      <c r="A1198" s="10" t="s">
        <v>307</v>
      </c>
      <c r="B1198" s="10" t="s">
        <v>135</v>
      </c>
      <c r="C1198" s="10">
        <v>55.6</v>
      </c>
      <c r="D1198" s="10">
        <v>50.04</v>
      </c>
      <c r="E1198" s="10">
        <v>36.14</v>
      </c>
      <c r="F1198" s="10">
        <v>22.240000000000002</v>
      </c>
      <c r="G1198" s="10">
        <v>8.34</v>
      </c>
    </row>
    <row r="1199" spans="1:7" hidden="1">
      <c r="A1199" s="10" t="s">
        <v>281</v>
      </c>
      <c r="B1199" s="10" t="s">
        <v>129</v>
      </c>
      <c r="C1199" s="10">
        <v>0.1</v>
      </c>
      <c r="D1199" s="10">
        <v>8.0000000000000016E-2</v>
      </c>
      <c r="E1199" s="10">
        <v>0.03</v>
      </c>
    </row>
    <row r="1200" spans="1:7" hidden="1">
      <c r="A1200" s="10" t="s">
        <v>284</v>
      </c>
      <c r="B1200" s="10" t="s">
        <v>129</v>
      </c>
      <c r="C1200" s="10">
        <v>2.2999999999999998</v>
      </c>
      <c r="D1200" s="10">
        <v>1.8399999999999999</v>
      </c>
      <c r="E1200" s="10">
        <v>0.69</v>
      </c>
    </row>
    <row r="1201" spans="1:5" hidden="1">
      <c r="A1201" s="10" t="s">
        <v>287</v>
      </c>
      <c r="B1201" s="10" t="s">
        <v>129</v>
      </c>
      <c r="C1201" s="10">
        <v>0</v>
      </c>
      <c r="D1201" s="10">
        <v>0</v>
      </c>
      <c r="E1201" s="10">
        <v>0</v>
      </c>
    </row>
    <row r="1202" spans="1:5">
      <c r="A1202" s="10" t="s">
        <v>288</v>
      </c>
      <c r="B1202" s="10" t="s">
        <v>129</v>
      </c>
      <c r="C1202" s="10">
        <v>0.5</v>
      </c>
      <c r="D1202" s="10">
        <v>0.4</v>
      </c>
      <c r="E1202" s="10">
        <v>0.15</v>
      </c>
    </row>
    <row r="1203" spans="1:5" hidden="1">
      <c r="A1203" s="10" t="s">
        <v>291</v>
      </c>
      <c r="B1203" s="10" t="s">
        <v>129</v>
      </c>
      <c r="C1203" s="10">
        <v>0.3</v>
      </c>
      <c r="D1203" s="10">
        <v>0.24</v>
      </c>
      <c r="E1203" s="10">
        <v>0.09</v>
      </c>
    </row>
    <row r="1204" spans="1:5" hidden="1">
      <c r="A1204" s="10" t="s">
        <v>297</v>
      </c>
      <c r="B1204" s="10" t="s">
        <v>129</v>
      </c>
      <c r="C1204" s="10">
        <v>0.5</v>
      </c>
      <c r="D1204" s="10">
        <v>0.4</v>
      </c>
      <c r="E1204" s="10">
        <v>0.15</v>
      </c>
    </row>
    <row r="1205" spans="1:5" hidden="1">
      <c r="A1205" s="10" t="s">
        <v>300</v>
      </c>
      <c r="B1205" s="10" t="s">
        <v>129</v>
      </c>
      <c r="C1205" s="10">
        <v>0.1</v>
      </c>
      <c r="D1205" s="10">
        <v>8.0000000000000016E-2</v>
      </c>
      <c r="E1205" s="10">
        <v>0.03</v>
      </c>
    </row>
    <row r="1206" spans="1:5" hidden="1">
      <c r="A1206" s="10" t="s">
        <v>307</v>
      </c>
      <c r="B1206" s="10" t="s">
        <v>129</v>
      </c>
      <c r="C1206" s="10">
        <v>0.4</v>
      </c>
      <c r="D1206" s="10">
        <v>0.32000000000000006</v>
      </c>
      <c r="E1206" s="10">
        <v>0.12</v>
      </c>
    </row>
    <row r="1207" spans="1:5" hidden="1">
      <c r="A1207" s="10" t="s">
        <v>278</v>
      </c>
      <c r="B1207" s="10" t="s">
        <v>130</v>
      </c>
      <c r="C1207" s="10">
        <v>141.30000000000001</v>
      </c>
      <c r="D1207" s="10">
        <v>113.04000000000002</v>
      </c>
      <c r="E1207" s="10">
        <v>42.39</v>
      </c>
    </row>
    <row r="1208" spans="1:5" hidden="1">
      <c r="A1208" s="10" t="s">
        <v>280</v>
      </c>
      <c r="B1208" s="10" t="s">
        <v>130</v>
      </c>
      <c r="C1208" s="10">
        <v>141.69999999999999</v>
      </c>
      <c r="D1208" s="10">
        <v>113.36</v>
      </c>
      <c r="E1208" s="10">
        <v>42.51</v>
      </c>
    </row>
    <row r="1209" spans="1:5" hidden="1">
      <c r="A1209" s="10" t="s">
        <v>281</v>
      </c>
      <c r="B1209" s="10" t="s">
        <v>130</v>
      </c>
      <c r="C1209" s="10">
        <v>31.4</v>
      </c>
      <c r="D1209" s="10">
        <v>25.12</v>
      </c>
      <c r="E1209" s="10">
        <v>9.42</v>
      </c>
    </row>
    <row r="1210" spans="1:5" hidden="1">
      <c r="A1210" s="10" t="s">
        <v>282</v>
      </c>
      <c r="B1210" s="10" t="s">
        <v>130</v>
      </c>
      <c r="C1210" s="10">
        <v>60.4</v>
      </c>
      <c r="D1210" s="10">
        <v>48.32</v>
      </c>
      <c r="E1210" s="10">
        <v>18.119999999999997</v>
      </c>
    </row>
    <row r="1211" spans="1:5" hidden="1">
      <c r="A1211" s="10" t="s">
        <v>283</v>
      </c>
      <c r="B1211" s="10" t="s">
        <v>130</v>
      </c>
      <c r="C1211" s="10">
        <v>122.3</v>
      </c>
      <c r="D1211" s="10">
        <v>97.84</v>
      </c>
      <c r="E1211" s="10">
        <v>36.69</v>
      </c>
    </row>
    <row r="1212" spans="1:5" hidden="1">
      <c r="A1212" s="10" t="s">
        <v>284</v>
      </c>
      <c r="B1212" s="10" t="s">
        <v>130</v>
      </c>
      <c r="C1212" s="10">
        <v>1273.5</v>
      </c>
      <c r="D1212" s="10">
        <v>1018.8000000000001</v>
      </c>
      <c r="E1212" s="10">
        <v>382.05</v>
      </c>
    </row>
    <row r="1213" spans="1:5" hidden="1">
      <c r="A1213" s="10" t="s">
        <v>285</v>
      </c>
      <c r="B1213" s="10" t="s">
        <v>130</v>
      </c>
      <c r="C1213" s="10">
        <v>57.5</v>
      </c>
      <c r="D1213" s="10">
        <v>46</v>
      </c>
      <c r="E1213" s="10">
        <v>17.25</v>
      </c>
    </row>
    <row r="1214" spans="1:5" hidden="1">
      <c r="A1214" s="10" t="s">
        <v>308</v>
      </c>
      <c r="B1214" s="10" t="s">
        <v>130</v>
      </c>
      <c r="C1214" s="10">
        <v>8.1</v>
      </c>
      <c r="D1214" s="10">
        <v>6.48</v>
      </c>
      <c r="E1214" s="10">
        <v>2.4299999999999997</v>
      </c>
    </row>
    <row r="1215" spans="1:5" hidden="1">
      <c r="A1215" s="10" t="s">
        <v>286</v>
      </c>
      <c r="B1215" s="10" t="s">
        <v>130</v>
      </c>
      <c r="C1215" s="10">
        <v>582.1</v>
      </c>
      <c r="D1215" s="10">
        <v>465.68000000000006</v>
      </c>
      <c r="E1215" s="10">
        <v>174.63</v>
      </c>
    </row>
    <row r="1216" spans="1:5" hidden="1">
      <c r="A1216" s="10" t="s">
        <v>287</v>
      </c>
      <c r="B1216" s="10" t="s">
        <v>130</v>
      </c>
      <c r="C1216" s="10">
        <v>73.7</v>
      </c>
      <c r="D1216" s="10">
        <v>58.960000000000008</v>
      </c>
      <c r="E1216" s="10">
        <v>22.11</v>
      </c>
    </row>
    <row r="1217" spans="1:5">
      <c r="A1217" s="10" t="s">
        <v>288</v>
      </c>
      <c r="B1217" s="10" t="s">
        <v>130</v>
      </c>
      <c r="C1217" s="10">
        <v>796.7</v>
      </c>
      <c r="D1217" s="10">
        <v>637.36000000000013</v>
      </c>
      <c r="E1217" s="10">
        <v>239.01</v>
      </c>
    </row>
    <row r="1218" spans="1:5" hidden="1">
      <c r="A1218" s="10" t="s">
        <v>289</v>
      </c>
      <c r="B1218" s="10" t="s">
        <v>130</v>
      </c>
      <c r="C1218" s="10">
        <v>52.5</v>
      </c>
      <c r="D1218" s="10">
        <v>42</v>
      </c>
      <c r="E1218" s="10">
        <v>15.75</v>
      </c>
    </row>
    <row r="1219" spans="1:5" hidden="1">
      <c r="A1219" s="10" t="s">
        <v>290</v>
      </c>
      <c r="B1219" s="10" t="s">
        <v>130</v>
      </c>
      <c r="C1219" s="10">
        <v>29.8</v>
      </c>
      <c r="D1219" s="10">
        <v>23.840000000000003</v>
      </c>
      <c r="E1219" s="10">
        <v>8.94</v>
      </c>
    </row>
    <row r="1220" spans="1:5" hidden="1">
      <c r="A1220" s="10" t="s">
        <v>291</v>
      </c>
      <c r="B1220" s="10" t="s">
        <v>130</v>
      </c>
      <c r="C1220" s="10">
        <v>77.5</v>
      </c>
      <c r="D1220" s="10">
        <v>62</v>
      </c>
      <c r="E1220" s="10">
        <v>23.25</v>
      </c>
    </row>
    <row r="1221" spans="1:5" hidden="1">
      <c r="A1221" s="10" t="s">
        <v>292</v>
      </c>
      <c r="B1221" s="10" t="s">
        <v>130</v>
      </c>
      <c r="C1221" s="10">
        <v>29.5</v>
      </c>
      <c r="D1221" s="10">
        <v>23.6</v>
      </c>
      <c r="E1221" s="10">
        <v>8.85</v>
      </c>
    </row>
    <row r="1222" spans="1:5" hidden="1">
      <c r="A1222" s="10" t="s">
        <v>293</v>
      </c>
      <c r="B1222" s="10" t="s">
        <v>130</v>
      </c>
      <c r="C1222" s="10">
        <v>419.6</v>
      </c>
      <c r="D1222" s="10">
        <v>335.68000000000006</v>
      </c>
      <c r="E1222" s="10">
        <v>125.88</v>
      </c>
    </row>
    <row r="1223" spans="1:5" hidden="1">
      <c r="A1223" s="10" t="s">
        <v>309</v>
      </c>
      <c r="B1223" s="10" t="s">
        <v>130</v>
      </c>
      <c r="C1223" s="10">
        <v>22</v>
      </c>
      <c r="D1223" s="10">
        <v>17.600000000000001</v>
      </c>
      <c r="E1223" s="10">
        <v>6.6</v>
      </c>
    </row>
    <row r="1224" spans="1:5" hidden="1">
      <c r="A1224" s="10" t="s">
        <v>294</v>
      </c>
      <c r="B1224" s="10" t="s">
        <v>130</v>
      </c>
      <c r="C1224" s="10">
        <v>6.3</v>
      </c>
      <c r="D1224" s="10">
        <v>5.04</v>
      </c>
      <c r="E1224" s="10">
        <v>1.89</v>
      </c>
    </row>
    <row r="1225" spans="1:5" hidden="1">
      <c r="A1225" s="10" t="s">
        <v>310</v>
      </c>
      <c r="B1225" s="10" t="s">
        <v>130</v>
      </c>
      <c r="C1225" s="10">
        <v>16.2</v>
      </c>
      <c r="D1225" s="10">
        <v>12.96</v>
      </c>
      <c r="E1225" s="10">
        <v>4.8599999999999994</v>
      </c>
    </row>
    <row r="1226" spans="1:5" hidden="1">
      <c r="A1226" s="10" t="s">
        <v>297</v>
      </c>
      <c r="B1226" s="10" t="s">
        <v>130</v>
      </c>
      <c r="C1226" s="10">
        <v>175.8</v>
      </c>
      <c r="D1226" s="10">
        <v>140.64000000000001</v>
      </c>
      <c r="E1226" s="10">
        <v>52.74</v>
      </c>
    </row>
    <row r="1227" spans="1:5" hidden="1">
      <c r="A1227" s="10" t="s">
        <v>298</v>
      </c>
      <c r="B1227" s="10" t="s">
        <v>130</v>
      </c>
      <c r="C1227" s="10">
        <v>68.599999999999994</v>
      </c>
      <c r="D1227" s="10">
        <v>54.879999999999995</v>
      </c>
      <c r="E1227" s="10">
        <v>20.58</v>
      </c>
    </row>
    <row r="1228" spans="1:5" hidden="1">
      <c r="A1228" s="10" t="s">
        <v>357</v>
      </c>
      <c r="B1228" s="10" t="s">
        <v>130</v>
      </c>
      <c r="C1228" s="10">
        <v>114.2</v>
      </c>
      <c r="D1228" s="10">
        <v>91.360000000000014</v>
      </c>
      <c r="E1228" s="10">
        <v>34.26</v>
      </c>
    </row>
    <row r="1229" spans="1:5" hidden="1">
      <c r="A1229" s="10" t="s">
        <v>299</v>
      </c>
      <c r="B1229" s="10" t="s">
        <v>130</v>
      </c>
      <c r="C1229" s="10">
        <v>484.2</v>
      </c>
      <c r="D1229" s="10">
        <v>387.36</v>
      </c>
      <c r="E1229" s="10">
        <v>145.26</v>
      </c>
    </row>
    <row r="1230" spans="1:5" hidden="1">
      <c r="A1230" s="10" t="s">
        <v>300</v>
      </c>
      <c r="B1230" s="10" t="s">
        <v>130</v>
      </c>
      <c r="C1230" s="10">
        <v>46.2</v>
      </c>
      <c r="D1230" s="10">
        <v>36.96</v>
      </c>
      <c r="E1230" s="10">
        <v>13.860000000000001</v>
      </c>
    </row>
    <row r="1231" spans="1:5" hidden="1">
      <c r="A1231" s="10" t="s">
        <v>301</v>
      </c>
      <c r="B1231" s="10" t="s">
        <v>130</v>
      </c>
      <c r="C1231" s="10">
        <v>55.7</v>
      </c>
      <c r="D1231" s="10">
        <v>44.56</v>
      </c>
      <c r="E1231" s="10">
        <v>16.71</v>
      </c>
    </row>
    <row r="1232" spans="1:5" hidden="1">
      <c r="A1232" s="10" t="s">
        <v>303</v>
      </c>
      <c r="B1232" s="10" t="s">
        <v>130</v>
      </c>
      <c r="C1232" s="10">
        <v>143.69999999999999</v>
      </c>
      <c r="D1232" s="10">
        <v>114.96</v>
      </c>
      <c r="E1232" s="10">
        <v>43.109999999999992</v>
      </c>
    </row>
    <row r="1233" spans="1:5" hidden="1">
      <c r="A1233" s="10" t="s">
        <v>304</v>
      </c>
      <c r="B1233" s="10" t="s">
        <v>130</v>
      </c>
      <c r="C1233" s="10">
        <v>25.6</v>
      </c>
      <c r="D1233" s="10">
        <v>20.480000000000004</v>
      </c>
      <c r="E1233" s="10">
        <v>7.68</v>
      </c>
    </row>
    <row r="1234" spans="1:5" hidden="1">
      <c r="A1234" s="10" t="s">
        <v>305</v>
      </c>
      <c r="B1234" s="10" t="s">
        <v>130</v>
      </c>
      <c r="C1234" s="10">
        <v>53.3</v>
      </c>
      <c r="D1234" s="10">
        <v>42.64</v>
      </c>
      <c r="E1234" s="10">
        <v>15.989999999999998</v>
      </c>
    </row>
    <row r="1235" spans="1:5" hidden="1">
      <c r="A1235" s="10" t="s">
        <v>356</v>
      </c>
      <c r="B1235" s="10" t="s">
        <v>130</v>
      </c>
      <c r="C1235" s="10">
        <v>394.7</v>
      </c>
      <c r="D1235" s="10">
        <v>315.76</v>
      </c>
      <c r="E1235" s="10">
        <v>118.41</v>
      </c>
    </row>
    <row r="1236" spans="1:5" hidden="1">
      <c r="A1236" s="10" t="s">
        <v>307</v>
      </c>
      <c r="B1236" s="10" t="s">
        <v>130</v>
      </c>
      <c r="C1236" s="10">
        <v>625.9</v>
      </c>
      <c r="D1236" s="10">
        <v>500.72</v>
      </c>
      <c r="E1236" s="10">
        <v>187.76999999999998</v>
      </c>
    </row>
    <row r="1237" spans="1:5" hidden="1">
      <c r="A1237" s="10" t="s">
        <v>278</v>
      </c>
      <c r="B1237" s="10" t="s">
        <v>131</v>
      </c>
      <c r="C1237" s="10">
        <v>1.6</v>
      </c>
      <c r="D1237" s="10">
        <v>1.2800000000000002</v>
      </c>
      <c r="E1237" s="10">
        <v>0.48</v>
      </c>
    </row>
    <row r="1238" spans="1:5" hidden="1">
      <c r="A1238" s="10" t="s">
        <v>280</v>
      </c>
      <c r="B1238" s="10" t="s">
        <v>131</v>
      </c>
      <c r="C1238" s="10">
        <v>2.1</v>
      </c>
      <c r="D1238" s="10">
        <v>1.6800000000000002</v>
      </c>
      <c r="E1238" s="10">
        <v>0.63</v>
      </c>
    </row>
    <row r="1239" spans="1:5" hidden="1">
      <c r="A1239" s="10" t="s">
        <v>281</v>
      </c>
      <c r="B1239" s="10" t="s">
        <v>131</v>
      </c>
      <c r="C1239" s="10">
        <v>0.3</v>
      </c>
      <c r="D1239" s="10">
        <v>0.24</v>
      </c>
      <c r="E1239" s="10">
        <v>0.09</v>
      </c>
    </row>
    <row r="1240" spans="1:5" hidden="1">
      <c r="A1240" s="10" t="s">
        <v>282</v>
      </c>
      <c r="B1240" s="10" t="s">
        <v>131</v>
      </c>
      <c r="C1240" s="10">
        <v>0.7</v>
      </c>
      <c r="D1240" s="10">
        <v>0.55999999999999994</v>
      </c>
      <c r="E1240" s="10">
        <v>0.21</v>
      </c>
    </row>
    <row r="1241" spans="1:5" hidden="1">
      <c r="A1241" s="10" t="s">
        <v>283</v>
      </c>
      <c r="B1241" s="10" t="s">
        <v>131</v>
      </c>
      <c r="C1241" s="10">
        <v>1.8</v>
      </c>
      <c r="D1241" s="10">
        <v>1.4400000000000002</v>
      </c>
      <c r="E1241" s="10">
        <v>0.54</v>
      </c>
    </row>
    <row r="1242" spans="1:5" hidden="1">
      <c r="A1242" s="10" t="s">
        <v>284</v>
      </c>
      <c r="B1242" s="10" t="s">
        <v>131</v>
      </c>
      <c r="C1242" s="10">
        <v>19.2</v>
      </c>
      <c r="D1242" s="10">
        <v>15.36</v>
      </c>
      <c r="E1242" s="10">
        <v>5.76</v>
      </c>
    </row>
    <row r="1243" spans="1:5" hidden="1">
      <c r="A1243" s="10" t="s">
        <v>285</v>
      </c>
      <c r="B1243" s="10" t="s">
        <v>131</v>
      </c>
      <c r="C1243" s="10">
        <v>0.4</v>
      </c>
      <c r="D1243" s="10">
        <v>0.32000000000000006</v>
      </c>
      <c r="E1243" s="10">
        <v>0.12</v>
      </c>
    </row>
    <row r="1244" spans="1:5" hidden="1">
      <c r="A1244" s="10" t="s">
        <v>308</v>
      </c>
      <c r="B1244" s="10" t="s">
        <v>131</v>
      </c>
      <c r="C1244" s="10">
        <v>0.1</v>
      </c>
      <c r="D1244" s="10">
        <v>8.0000000000000016E-2</v>
      </c>
      <c r="E1244" s="10">
        <v>0.03</v>
      </c>
    </row>
    <row r="1245" spans="1:5" hidden="1">
      <c r="A1245" s="10" t="s">
        <v>286</v>
      </c>
      <c r="B1245" s="10" t="s">
        <v>131</v>
      </c>
      <c r="C1245" s="10">
        <v>1.5</v>
      </c>
      <c r="D1245" s="10">
        <v>1.2000000000000002</v>
      </c>
      <c r="E1245" s="10">
        <v>0.44999999999999996</v>
      </c>
    </row>
    <row r="1246" spans="1:5" hidden="1">
      <c r="A1246" s="10" t="s">
        <v>287</v>
      </c>
      <c r="B1246" s="10" t="s">
        <v>131</v>
      </c>
      <c r="C1246" s="10">
        <v>0.4</v>
      </c>
      <c r="D1246" s="10">
        <v>0.32000000000000006</v>
      </c>
      <c r="E1246" s="10">
        <v>0.12</v>
      </c>
    </row>
    <row r="1247" spans="1:5">
      <c r="A1247" s="10" t="s">
        <v>288</v>
      </c>
      <c r="B1247" s="10" t="s">
        <v>131</v>
      </c>
      <c r="C1247" s="10">
        <v>5.9</v>
      </c>
      <c r="D1247" s="10">
        <v>4.7200000000000006</v>
      </c>
      <c r="E1247" s="10">
        <v>1.77</v>
      </c>
    </row>
    <row r="1248" spans="1:5" hidden="1">
      <c r="A1248" s="10" t="s">
        <v>289</v>
      </c>
      <c r="B1248" s="10" t="s">
        <v>131</v>
      </c>
      <c r="C1248" s="10">
        <v>0.8</v>
      </c>
      <c r="D1248" s="10">
        <v>0.64000000000000012</v>
      </c>
      <c r="E1248" s="10">
        <v>0.24</v>
      </c>
    </row>
    <row r="1249" spans="1:7" hidden="1">
      <c r="A1249" s="10" t="s">
        <v>290</v>
      </c>
      <c r="B1249" s="10" t="s">
        <v>131</v>
      </c>
      <c r="C1249" s="10">
        <v>0.4</v>
      </c>
      <c r="D1249" s="10">
        <v>0.32000000000000006</v>
      </c>
      <c r="E1249" s="10">
        <v>0.12</v>
      </c>
    </row>
    <row r="1250" spans="1:7" hidden="1">
      <c r="A1250" s="10" t="s">
        <v>291</v>
      </c>
      <c r="B1250" s="10" t="s">
        <v>131</v>
      </c>
      <c r="C1250" s="10">
        <v>1.2</v>
      </c>
      <c r="D1250" s="10">
        <v>0.96</v>
      </c>
      <c r="E1250" s="10">
        <v>0.36</v>
      </c>
    </row>
    <row r="1251" spans="1:7" hidden="1">
      <c r="A1251" s="10" t="s">
        <v>292</v>
      </c>
      <c r="B1251" s="10" t="s">
        <v>131</v>
      </c>
      <c r="C1251" s="10">
        <v>0.4</v>
      </c>
      <c r="D1251" s="10">
        <v>0.32000000000000006</v>
      </c>
      <c r="E1251" s="10">
        <v>0.12</v>
      </c>
    </row>
    <row r="1252" spans="1:7" hidden="1">
      <c r="A1252" s="10" t="s">
        <v>293</v>
      </c>
      <c r="B1252" s="10" t="s">
        <v>131</v>
      </c>
      <c r="C1252" s="10">
        <v>3.4</v>
      </c>
      <c r="D1252" s="10">
        <v>2.72</v>
      </c>
      <c r="E1252" s="10">
        <v>1.02</v>
      </c>
    </row>
    <row r="1253" spans="1:7" hidden="1">
      <c r="A1253" s="10" t="s">
        <v>294</v>
      </c>
      <c r="B1253" s="10" t="s">
        <v>131</v>
      </c>
      <c r="C1253" s="10">
        <v>0.1</v>
      </c>
      <c r="D1253" s="10">
        <v>8.0000000000000016E-2</v>
      </c>
      <c r="E1253" s="10">
        <v>0.03</v>
      </c>
    </row>
    <row r="1254" spans="1:7" hidden="1">
      <c r="A1254" s="10" t="s">
        <v>310</v>
      </c>
      <c r="B1254" s="10" t="s">
        <v>131</v>
      </c>
      <c r="C1254" s="10">
        <v>0.3</v>
      </c>
      <c r="D1254" s="10">
        <v>0.24</v>
      </c>
      <c r="E1254" s="10">
        <v>0.09</v>
      </c>
    </row>
    <row r="1255" spans="1:7" hidden="1">
      <c r="A1255" s="10" t="s">
        <v>297</v>
      </c>
      <c r="B1255" s="10" t="s">
        <v>131</v>
      </c>
      <c r="C1255" s="10">
        <v>2</v>
      </c>
      <c r="D1255" s="10">
        <v>1.6</v>
      </c>
      <c r="E1255" s="10">
        <v>0.6</v>
      </c>
    </row>
    <row r="1256" spans="1:7" hidden="1">
      <c r="A1256" s="10" t="s">
        <v>298</v>
      </c>
      <c r="B1256" s="10" t="s">
        <v>131</v>
      </c>
      <c r="C1256" s="10">
        <v>0.4</v>
      </c>
      <c r="D1256" s="10">
        <v>0.32000000000000006</v>
      </c>
      <c r="E1256" s="10">
        <v>0.12</v>
      </c>
    </row>
    <row r="1257" spans="1:7" hidden="1">
      <c r="A1257" s="10" t="s">
        <v>357</v>
      </c>
      <c r="B1257" s="10" t="s">
        <v>131</v>
      </c>
      <c r="C1257" s="10">
        <v>0.1</v>
      </c>
      <c r="D1257" s="10">
        <v>8.0000000000000016E-2</v>
      </c>
      <c r="E1257" s="10">
        <v>0.03</v>
      </c>
    </row>
    <row r="1258" spans="1:7" hidden="1">
      <c r="A1258" s="10" t="s">
        <v>299</v>
      </c>
      <c r="B1258" s="10" t="s">
        <v>131</v>
      </c>
      <c r="C1258" s="10">
        <v>8.1</v>
      </c>
      <c r="D1258" s="10">
        <v>6.48</v>
      </c>
      <c r="E1258" s="10">
        <v>2.4299999999999997</v>
      </c>
    </row>
    <row r="1259" spans="1:7" hidden="1">
      <c r="A1259" s="10" t="s">
        <v>301</v>
      </c>
      <c r="B1259" s="10" t="s">
        <v>131</v>
      </c>
      <c r="C1259" s="10">
        <v>0.5</v>
      </c>
      <c r="D1259" s="10">
        <v>0.4</v>
      </c>
      <c r="E1259" s="10">
        <v>0.15</v>
      </c>
    </row>
    <row r="1260" spans="1:7" hidden="1">
      <c r="A1260" s="10" t="s">
        <v>304</v>
      </c>
      <c r="B1260" s="10" t="s">
        <v>131</v>
      </c>
      <c r="C1260" s="10">
        <v>0.3</v>
      </c>
      <c r="D1260" s="10">
        <v>0.24</v>
      </c>
      <c r="E1260" s="10">
        <v>0.09</v>
      </c>
    </row>
    <row r="1261" spans="1:7" hidden="1">
      <c r="A1261" s="10" t="s">
        <v>305</v>
      </c>
      <c r="B1261" s="10" t="s">
        <v>131</v>
      </c>
      <c r="C1261" s="10">
        <v>0.4</v>
      </c>
      <c r="D1261" s="10">
        <v>0.32000000000000006</v>
      </c>
      <c r="E1261" s="10">
        <v>0.12</v>
      </c>
    </row>
    <row r="1262" spans="1:7" hidden="1">
      <c r="A1262" s="10" t="s">
        <v>356</v>
      </c>
      <c r="B1262" s="10" t="s">
        <v>131</v>
      </c>
      <c r="C1262" s="10">
        <v>6.4</v>
      </c>
      <c r="D1262" s="10">
        <v>5.120000000000001</v>
      </c>
      <c r="E1262" s="10">
        <v>1.92</v>
      </c>
    </row>
    <row r="1263" spans="1:7" hidden="1">
      <c r="A1263" s="10" t="s">
        <v>307</v>
      </c>
      <c r="B1263" s="10" t="s">
        <v>131</v>
      </c>
      <c r="C1263" s="10">
        <v>3.1</v>
      </c>
      <c r="D1263" s="10">
        <v>2.4800000000000004</v>
      </c>
      <c r="E1263" s="10">
        <v>0.92999999999999994</v>
      </c>
    </row>
    <row r="1264" spans="1:7" hidden="1">
      <c r="A1264" s="10" t="s">
        <v>278</v>
      </c>
      <c r="B1264" s="10" t="s">
        <v>59</v>
      </c>
      <c r="C1264" s="10">
        <v>4.3</v>
      </c>
      <c r="D1264" s="10">
        <v>3.87</v>
      </c>
      <c r="E1264" s="10">
        <v>2.7949999999999999</v>
      </c>
      <c r="F1264" s="10">
        <v>1.72</v>
      </c>
      <c r="G1264" s="10">
        <v>0.64499999999999991</v>
      </c>
    </row>
    <row r="1265" spans="1:7" hidden="1">
      <c r="A1265" s="10" t="s">
        <v>280</v>
      </c>
      <c r="B1265" s="10" t="s">
        <v>59</v>
      </c>
      <c r="C1265" s="10">
        <v>31.1</v>
      </c>
      <c r="D1265" s="10">
        <v>27.990000000000002</v>
      </c>
      <c r="E1265" s="10">
        <v>20.215</v>
      </c>
      <c r="F1265" s="10">
        <v>12.440000000000001</v>
      </c>
      <c r="G1265" s="10">
        <v>4.665</v>
      </c>
    </row>
    <row r="1266" spans="1:7" hidden="1">
      <c r="A1266" s="10" t="s">
        <v>281</v>
      </c>
      <c r="B1266" s="10" t="s">
        <v>59</v>
      </c>
      <c r="C1266" s="10">
        <v>13.4</v>
      </c>
      <c r="D1266" s="10">
        <v>12.06</v>
      </c>
      <c r="E1266" s="10">
        <v>8.7100000000000009</v>
      </c>
      <c r="F1266" s="10">
        <v>5.36</v>
      </c>
      <c r="G1266" s="10">
        <v>2.0099999999999998</v>
      </c>
    </row>
    <row r="1267" spans="1:7" hidden="1">
      <c r="A1267" s="10" t="s">
        <v>284</v>
      </c>
      <c r="B1267" s="10" t="s">
        <v>59</v>
      </c>
      <c r="C1267" s="10">
        <v>123.8</v>
      </c>
      <c r="D1267" s="10">
        <v>111.42</v>
      </c>
      <c r="E1267" s="10">
        <v>80.47</v>
      </c>
      <c r="F1267" s="10">
        <v>49.52</v>
      </c>
      <c r="G1267" s="10">
        <v>18.57</v>
      </c>
    </row>
    <row r="1268" spans="1:7">
      <c r="A1268" s="10" t="s">
        <v>288</v>
      </c>
      <c r="B1268" s="10" t="s">
        <v>59</v>
      </c>
      <c r="C1268" s="10">
        <v>18.3</v>
      </c>
      <c r="D1268" s="10">
        <v>16.470000000000002</v>
      </c>
      <c r="E1268" s="10">
        <v>11.895000000000001</v>
      </c>
      <c r="F1268" s="10">
        <v>7.32</v>
      </c>
      <c r="G1268" s="10">
        <v>2.7450000000000001</v>
      </c>
    </row>
    <row r="1269" spans="1:7" hidden="1">
      <c r="A1269" s="10" t="s">
        <v>290</v>
      </c>
      <c r="B1269" s="10" t="s">
        <v>59</v>
      </c>
      <c r="C1269" s="10">
        <v>2</v>
      </c>
      <c r="D1269" s="10">
        <v>1.8</v>
      </c>
      <c r="E1269" s="10">
        <v>1.3</v>
      </c>
      <c r="F1269" s="10">
        <v>0.8</v>
      </c>
      <c r="G1269" s="10">
        <v>0.3</v>
      </c>
    </row>
    <row r="1270" spans="1:7" hidden="1">
      <c r="A1270" s="10" t="s">
        <v>291</v>
      </c>
      <c r="B1270" s="10" t="s">
        <v>59</v>
      </c>
      <c r="C1270" s="10">
        <v>4.5999999999999996</v>
      </c>
      <c r="D1270" s="10">
        <v>4.1399999999999997</v>
      </c>
      <c r="E1270" s="10">
        <v>2.9899999999999998</v>
      </c>
      <c r="F1270" s="10">
        <v>1.8399999999999999</v>
      </c>
      <c r="G1270" s="10">
        <v>0.69</v>
      </c>
    </row>
    <row r="1271" spans="1:7" hidden="1">
      <c r="A1271" s="10" t="s">
        <v>294</v>
      </c>
      <c r="B1271" s="10" t="s">
        <v>59</v>
      </c>
      <c r="C1271" s="10">
        <v>0.5</v>
      </c>
      <c r="D1271" s="10">
        <v>0.45</v>
      </c>
      <c r="E1271" s="10">
        <v>0.32500000000000001</v>
      </c>
      <c r="F1271" s="10">
        <v>0.2</v>
      </c>
      <c r="G1271" s="10">
        <v>7.4999999999999997E-2</v>
      </c>
    </row>
    <row r="1272" spans="1:7" hidden="1">
      <c r="A1272" s="10" t="s">
        <v>297</v>
      </c>
      <c r="B1272" s="10" t="s">
        <v>59</v>
      </c>
      <c r="C1272" s="10">
        <v>113</v>
      </c>
      <c r="D1272" s="10">
        <v>101.7</v>
      </c>
      <c r="E1272" s="10">
        <v>73.45</v>
      </c>
      <c r="F1272" s="10">
        <v>45.2</v>
      </c>
      <c r="G1272" s="10">
        <v>16.95</v>
      </c>
    </row>
    <row r="1273" spans="1:7" hidden="1">
      <c r="A1273" s="10" t="s">
        <v>357</v>
      </c>
      <c r="B1273" s="10" t="s">
        <v>59</v>
      </c>
      <c r="C1273" s="10">
        <v>9.1</v>
      </c>
      <c r="D1273" s="10">
        <v>8.19</v>
      </c>
      <c r="E1273" s="10">
        <v>5.915</v>
      </c>
      <c r="F1273" s="10">
        <v>3.64</v>
      </c>
      <c r="G1273" s="10">
        <v>1.365</v>
      </c>
    </row>
    <row r="1274" spans="1:7" hidden="1">
      <c r="A1274" s="10" t="s">
        <v>301</v>
      </c>
      <c r="B1274" s="10" t="s">
        <v>59</v>
      </c>
      <c r="C1274" s="10">
        <v>34.200000000000003</v>
      </c>
      <c r="D1274" s="10">
        <v>30.780000000000005</v>
      </c>
      <c r="E1274" s="10">
        <v>22.230000000000004</v>
      </c>
      <c r="F1274" s="10">
        <v>13.680000000000001</v>
      </c>
      <c r="G1274" s="10">
        <v>5.13</v>
      </c>
    </row>
    <row r="1275" spans="1:7" hidden="1">
      <c r="A1275" s="10" t="s">
        <v>305</v>
      </c>
      <c r="B1275" s="10" t="s">
        <v>59</v>
      </c>
      <c r="C1275" s="10">
        <v>2.5</v>
      </c>
      <c r="D1275" s="10">
        <v>2.25</v>
      </c>
      <c r="E1275" s="10">
        <v>1.625</v>
      </c>
      <c r="F1275" s="10">
        <v>1</v>
      </c>
      <c r="G1275" s="10">
        <v>0.375</v>
      </c>
    </row>
    <row r="1276" spans="1:7" hidden="1">
      <c r="A1276" s="10" t="s">
        <v>356</v>
      </c>
      <c r="B1276" s="10" t="s">
        <v>59</v>
      </c>
      <c r="C1276" s="10">
        <v>31.6</v>
      </c>
      <c r="D1276" s="10">
        <v>28.44</v>
      </c>
      <c r="E1276" s="10">
        <v>20.540000000000003</v>
      </c>
      <c r="F1276" s="10">
        <v>12.64</v>
      </c>
      <c r="G1276" s="10">
        <v>4.74</v>
      </c>
    </row>
    <row r="1277" spans="1:7" hidden="1">
      <c r="A1277" s="10" t="s">
        <v>278</v>
      </c>
      <c r="B1277" s="10" t="s">
        <v>62</v>
      </c>
      <c r="C1277" s="10">
        <v>25.3</v>
      </c>
      <c r="D1277" s="10">
        <v>22.77</v>
      </c>
      <c r="E1277" s="10">
        <v>16.445</v>
      </c>
      <c r="F1277" s="10">
        <v>10.120000000000001</v>
      </c>
      <c r="G1277" s="10">
        <v>3.7949999999999999</v>
      </c>
    </row>
    <row r="1278" spans="1:7" hidden="1">
      <c r="A1278" s="10" t="s">
        <v>280</v>
      </c>
      <c r="B1278" s="10" t="s">
        <v>62</v>
      </c>
      <c r="C1278" s="10">
        <v>30.8</v>
      </c>
      <c r="D1278" s="10">
        <v>27.720000000000002</v>
      </c>
      <c r="E1278" s="10">
        <v>20.02</v>
      </c>
      <c r="F1278" s="10">
        <v>12.32</v>
      </c>
      <c r="G1278" s="10">
        <v>4.62</v>
      </c>
    </row>
    <row r="1279" spans="1:7" hidden="1">
      <c r="A1279" s="10" t="s">
        <v>281</v>
      </c>
      <c r="B1279" s="10" t="s">
        <v>62</v>
      </c>
      <c r="C1279" s="10">
        <v>16.2</v>
      </c>
      <c r="D1279" s="10">
        <v>14.58</v>
      </c>
      <c r="E1279" s="10">
        <v>10.53</v>
      </c>
      <c r="F1279" s="10">
        <v>6.48</v>
      </c>
      <c r="G1279" s="10">
        <v>2.4299999999999997</v>
      </c>
    </row>
    <row r="1280" spans="1:7" hidden="1">
      <c r="A1280" s="10" t="s">
        <v>282</v>
      </c>
      <c r="B1280" s="10" t="s">
        <v>62</v>
      </c>
      <c r="C1280" s="10">
        <v>29</v>
      </c>
      <c r="D1280" s="10">
        <v>26.1</v>
      </c>
      <c r="E1280" s="10">
        <v>18.850000000000001</v>
      </c>
      <c r="F1280" s="10">
        <v>11.600000000000001</v>
      </c>
      <c r="G1280" s="10">
        <v>4.3499999999999996</v>
      </c>
    </row>
    <row r="1281" spans="1:7" hidden="1">
      <c r="A1281" s="10" t="s">
        <v>283</v>
      </c>
      <c r="B1281" s="10" t="s">
        <v>62</v>
      </c>
      <c r="C1281" s="10">
        <v>27.2</v>
      </c>
      <c r="D1281" s="10">
        <v>24.48</v>
      </c>
      <c r="E1281" s="10">
        <v>17.68</v>
      </c>
      <c r="F1281" s="10">
        <v>10.88</v>
      </c>
      <c r="G1281" s="10">
        <v>4.08</v>
      </c>
    </row>
    <row r="1282" spans="1:7" hidden="1">
      <c r="A1282" s="10" t="s">
        <v>284</v>
      </c>
      <c r="B1282" s="10" t="s">
        <v>62</v>
      </c>
      <c r="C1282" s="10">
        <v>254.8</v>
      </c>
      <c r="D1282" s="10">
        <v>229.32000000000002</v>
      </c>
      <c r="E1282" s="10">
        <v>165.62</v>
      </c>
      <c r="F1282" s="10">
        <v>101.92000000000002</v>
      </c>
      <c r="G1282" s="10">
        <v>38.22</v>
      </c>
    </row>
    <row r="1283" spans="1:7" hidden="1">
      <c r="A1283" s="10" t="s">
        <v>285</v>
      </c>
      <c r="B1283" s="10" t="s">
        <v>62</v>
      </c>
      <c r="C1283" s="10">
        <v>17.3</v>
      </c>
      <c r="D1283" s="10">
        <v>15.57</v>
      </c>
      <c r="E1283" s="10">
        <v>11.245000000000001</v>
      </c>
      <c r="F1283" s="10">
        <v>6.9200000000000008</v>
      </c>
      <c r="G1283" s="10">
        <v>2.5950000000000002</v>
      </c>
    </row>
    <row r="1284" spans="1:7" hidden="1">
      <c r="A1284" s="10" t="s">
        <v>308</v>
      </c>
      <c r="B1284" s="10" t="s">
        <v>62</v>
      </c>
      <c r="C1284" s="10">
        <v>3.9</v>
      </c>
      <c r="D1284" s="10">
        <v>3.51</v>
      </c>
      <c r="E1284" s="10">
        <v>2.5350000000000001</v>
      </c>
      <c r="F1284" s="10">
        <v>1.56</v>
      </c>
      <c r="G1284" s="10">
        <v>0.58499999999999996</v>
      </c>
    </row>
    <row r="1285" spans="1:7" hidden="1">
      <c r="A1285" s="10" t="s">
        <v>286</v>
      </c>
      <c r="B1285" s="10" t="s">
        <v>62</v>
      </c>
      <c r="C1285" s="10">
        <v>95.1</v>
      </c>
      <c r="D1285" s="10">
        <v>85.59</v>
      </c>
      <c r="E1285" s="10">
        <v>61.814999999999998</v>
      </c>
      <c r="F1285" s="10">
        <v>38.04</v>
      </c>
      <c r="G1285" s="10">
        <v>14.264999999999999</v>
      </c>
    </row>
    <row r="1286" spans="1:7" hidden="1">
      <c r="A1286" s="10" t="s">
        <v>287</v>
      </c>
      <c r="B1286" s="10" t="s">
        <v>62</v>
      </c>
      <c r="C1286" s="10">
        <v>18.600000000000001</v>
      </c>
      <c r="D1286" s="10">
        <v>16.740000000000002</v>
      </c>
      <c r="E1286" s="10">
        <v>12.090000000000002</v>
      </c>
      <c r="F1286" s="10">
        <v>7.4400000000000013</v>
      </c>
      <c r="G1286" s="10">
        <v>2.79</v>
      </c>
    </row>
    <row r="1287" spans="1:7">
      <c r="A1287" s="10" t="s">
        <v>288</v>
      </c>
      <c r="B1287" s="10" t="s">
        <v>62</v>
      </c>
      <c r="C1287" s="10">
        <v>214</v>
      </c>
      <c r="D1287" s="10">
        <v>192.6</v>
      </c>
      <c r="E1287" s="10">
        <v>139.1</v>
      </c>
      <c r="F1287" s="10">
        <v>85.600000000000009</v>
      </c>
      <c r="G1287" s="10">
        <v>32.1</v>
      </c>
    </row>
    <row r="1288" spans="1:7" hidden="1">
      <c r="A1288" s="10" t="s">
        <v>289</v>
      </c>
      <c r="B1288" s="10" t="s">
        <v>62</v>
      </c>
      <c r="C1288" s="10">
        <v>29.4</v>
      </c>
      <c r="D1288" s="10">
        <v>26.46</v>
      </c>
      <c r="E1288" s="10">
        <v>19.11</v>
      </c>
      <c r="F1288" s="10">
        <v>11.76</v>
      </c>
      <c r="G1288" s="10">
        <v>4.4099999999999993</v>
      </c>
    </row>
    <row r="1289" spans="1:7" hidden="1">
      <c r="A1289" s="10" t="s">
        <v>290</v>
      </c>
      <c r="B1289" s="10" t="s">
        <v>62</v>
      </c>
      <c r="C1289" s="10">
        <v>7.1</v>
      </c>
      <c r="D1289" s="10">
        <v>6.39</v>
      </c>
      <c r="E1289" s="10">
        <v>4.6150000000000002</v>
      </c>
      <c r="F1289" s="10">
        <v>2.84</v>
      </c>
      <c r="G1289" s="10">
        <v>1.0649999999999999</v>
      </c>
    </row>
    <row r="1290" spans="1:7" hidden="1">
      <c r="A1290" s="10" t="s">
        <v>291</v>
      </c>
      <c r="B1290" s="10" t="s">
        <v>62</v>
      </c>
      <c r="C1290" s="10">
        <v>21.6</v>
      </c>
      <c r="D1290" s="10">
        <v>19.440000000000001</v>
      </c>
      <c r="E1290" s="10">
        <v>14.040000000000001</v>
      </c>
      <c r="F1290" s="10">
        <v>8.64</v>
      </c>
      <c r="G1290" s="10">
        <v>3.24</v>
      </c>
    </row>
    <row r="1291" spans="1:7" hidden="1">
      <c r="A1291" s="10" t="s">
        <v>292</v>
      </c>
      <c r="B1291" s="10" t="s">
        <v>62</v>
      </c>
      <c r="C1291" s="10">
        <v>16.3</v>
      </c>
      <c r="D1291" s="10">
        <v>14.670000000000002</v>
      </c>
      <c r="E1291" s="10">
        <v>10.595000000000001</v>
      </c>
      <c r="F1291" s="10">
        <v>6.5200000000000005</v>
      </c>
      <c r="G1291" s="10">
        <v>2.4449999999999998</v>
      </c>
    </row>
    <row r="1292" spans="1:7" hidden="1">
      <c r="A1292" s="10" t="s">
        <v>293</v>
      </c>
      <c r="B1292" s="10" t="s">
        <v>62</v>
      </c>
      <c r="C1292" s="10">
        <v>206.1</v>
      </c>
      <c r="D1292" s="10">
        <v>185.49</v>
      </c>
      <c r="E1292" s="10">
        <v>133.965</v>
      </c>
      <c r="F1292" s="10">
        <v>82.44</v>
      </c>
      <c r="G1292" s="10">
        <v>30.914999999999999</v>
      </c>
    </row>
    <row r="1293" spans="1:7" hidden="1">
      <c r="A1293" s="10" t="s">
        <v>309</v>
      </c>
      <c r="B1293" s="10" t="s">
        <v>62</v>
      </c>
      <c r="C1293" s="10">
        <v>7.7</v>
      </c>
      <c r="D1293" s="10">
        <v>6.9300000000000006</v>
      </c>
      <c r="E1293" s="10">
        <v>5.0049999999999999</v>
      </c>
      <c r="F1293" s="10">
        <v>3.08</v>
      </c>
      <c r="G1293" s="10">
        <v>1.155</v>
      </c>
    </row>
    <row r="1294" spans="1:7" hidden="1">
      <c r="A1294" s="10" t="s">
        <v>294</v>
      </c>
      <c r="B1294" s="10" t="s">
        <v>62</v>
      </c>
      <c r="C1294" s="10">
        <v>2.2000000000000002</v>
      </c>
      <c r="D1294" s="10">
        <v>1.9800000000000002</v>
      </c>
      <c r="E1294" s="10">
        <v>1.4300000000000002</v>
      </c>
      <c r="F1294" s="10">
        <v>0.88000000000000012</v>
      </c>
      <c r="G1294" s="10">
        <v>0.33</v>
      </c>
    </row>
    <row r="1295" spans="1:7" hidden="1">
      <c r="A1295" s="10" t="s">
        <v>310</v>
      </c>
      <c r="B1295" s="10" t="s">
        <v>62</v>
      </c>
      <c r="C1295" s="10">
        <v>4.2</v>
      </c>
      <c r="D1295" s="10">
        <v>3.7800000000000002</v>
      </c>
      <c r="E1295" s="10">
        <v>2.7300000000000004</v>
      </c>
      <c r="F1295" s="10">
        <v>1.6800000000000002</v>
      </c>
      <c r="G1295" s="10">
        <v>0.63</v>
      </c>
    </row>
    <row r="1296" spans="1:7" hidden="1">
      <c r="A1296" s="10" t="s">
        <v>297</v>
      </c>
      <c r="B1296" s="10" t="s">
        <v>62</v>
      </c>
      <c r="C1296" s="10">
        <v>39.4</v>
      </c>
      <c r="D1296" s="10">
        <v>35.46</v>
      </c>
      <c r="E1296" s="10">
        <v>25.61</v>
      </c>
      <c r="F1296" s="10">
        <v>15.76</v>
      </c>
      <c r="G1296" s="10">
        <v>5.9099999999999993</v>
      </c>
    </row>
    <row r="1297" spans="1:7" hidden="1">
      <c r="A1297" s="10" t="s">
        <v>298</v>
      </c>
      <c r="B1297" s="10" t="s">
        <v>62</v>
      </c>
      <c r="C1297" s="10">
        <v>17.600000000000001</v>
      </c>
      <c r="D1297" s="10">
        <v>15.840000000000002</v>
      </c>
      <c r="E1297" s="10">
        <v>11.440000000000001</v>
      </c>
      <c r="F1297" s="10">
        <v>7.0400000000000009</v>
      </c>
      <c r="G1297" s="10">
        <v>2.64</v>
      </c>
    </row>
    <row r="1298" spans="1:7" hidden="1">
      <c r="A1298" s="10" t="s">
        <v>357</v>
      </c>
      <c r="B1298" s="10" t="s">
        <v>62</v>
      </c>
      <c r="C1298" s="10">
        <v>11.7</v>
      </c>
      <c r="D1298" s="10">
        <v>10.53</v>
      </c>
      <c r="E1298" s="10">
        <v>7.6049999999999995</v>
      </c>
      <c r="F1298" s="10">
        <v>4.68</v>
      </c>
      <c r="G1298" s="10">
        <v>1.7549999999999999</v>
      </c>
    </row>
    <row r="1299" spans="1:7" hidden="1">
      <c r="A1299" s="10" t="s">
        <v>299</v>
      </c>
      <c r="B1299" s="10" t="s">
        <v>62</v>
      </c>
      <c r="C1299" s="10">
        <v>63.2</v>
      </c>
      <c r="D1299" s="10">
        <v>56.88</v>
      </c>
      <c r="E1299" s="10">
        <v>41.080000000000005</v>
      </c>
      <c r="F1299" s="10">
        <v>25.28</v>
      </c>
      <c r="G1299" s="10">
        <v>9.48</v>
      </c>
    </row>
    <row r="1300" spans="1:7" hidden="1">
      <c r="A1300" s="10" t="s">
        <v>300</v>
      </c>
      <c r="B1300" s="10" t="s">
        <v>62</v>
      </c>
      <c r="C1300" s="10">
        <v>25.3</v>
      </c>
      <c r="D1300" s="10">
        <v>22.77</v>
      </c>
      <c r="E1300" s="10">
        <v>16.445</v>
      </c>
      <c r="F1300" s="10">
        <v>10.120000000000001</v>
      </c>
      <c r="G1300" s="10">
        <v>3.7949999999999999</v>
      </c>
    </row>
    <row r="1301" spans="1:7" hidden="1">
      <c r="A1301" s="10" t="s">
        <v>301</v>
      </c>
      <c r="B1301" s="10" t="s">
        <v>62</v>
      </c>
      <c r="C1301" s="10">
        <v>32</v>
      </c>
      <c r="D1301" s="10">
        <v>28.8</v>
      </c>
      <c r="E1301" s="10">
        <v>20.8</v>
      </c>
      <c r="F1301" s="10">
        <v>12.8</v>
      </c>
      <c r="G1301" s="10">
        <v>4.8</v>
      </c>
    </row>
    <row r="1302" spans="1:7" hidden="1">
      <c r="A1302" s="10" t="s">
        <v>303</v>
      </c>
      <c r="B1302" s="10" t="s">
        <v>62</v>
      </c>
      <c r="C1302" s="10">
        <v>33</v>
      </c>
      <c r="D1302" s="10">
        <v>29.7</v>
      </c>
      <c r="E1302" s="10">
        <v>21.45</v>
      </c>
      <c r="F1302" s="10">
        <v>13.200000000000001</v>
      </c>
      <c r="G1302" s="10">
        <v>4.95</v>
      </c>
    </row>
    <row r="1303" spans="1:7" hidden="1">
      <c r="A1303" s="10" t="s">
        <v>304</v>
      </c>
      <c r="B1303" s="10" t="s">
        <v>62</v>
      </c>
      <c r="C1303" s="10">
        <v>7.4</v>
      </c>
      <c r="D1303" s="10">
        <v>6.66</v>
      </c>
      <c r="E1303" s="10">
        <v>4.8100000000000005</v>
      </c>
      <c r="F1303" s="10">
        <v>2.9600000000000004</v>
      </c>
      <c r="G1303" s="10">
        <v>1.1100000000000001</v>
      </c>
    </row>
    <row r="1304" spans="1:7" hidden="1">
      <c r="A1304" s="10" t="s">
        <v>305</v>
      </c>
      <c r="B1304" s="10" t="s">
        <v>62</v>
      </c>
      <c r="C1304" s="10">
        <v>9</v>
      </c>
      <c r="D1304" s="10">
        <v>8.1</v>
      </c>
      <c r="E1304" s="10">
        <v>5.8500000000000005</v>
      </c>
      <c r="F1304" s="10">
        <v>3.6</v>
      </c>
      <c r="G1304" s="10">
        <v>1.3499999999999999</v>
      </c>
    </row>
    <row r="1305" spans="1:7" hidden="1">
      <c r="A1305" s="10" t="s">
        <v>356</v>
      </c>
      <c r="B1305" s="10" t="s">
        <v>62</v>
      </c>
      <c r="C1305" s="10">
        <v>184</v>
      </c>
      <c r="D1305" s="10">
        <v>165.6</v>
      </c>
      <c r="E1305" s="10">
        <v>119.60000000000001</v>
      </c>
      <c r="F1305" s="10">
        <v>73.600000000000009</v>
      </c>
      <c r="G1305" s="10">
        <v>27.599999999999998</v>
      </c>
    </row>
    <row r="1306" spans="1:7" hidden="1">
      <c r="A1306" s="10" t="s">
        <v>307</v>
      </c>
      <c r="B1306" s="10" t="s">
        <v>62</v>
      </c>
      <c r="C1306" s="10">
        <v>68.599999999999994</v>
      </c>
      <c r="D1306" s="10">
        <v>61.739999999999995</v>
      </c>
      <c r="E1306" s="10">
        <v>44.589999999999996</v>
      </c>
      <c r="F1306" s="10">
        <v>27.439999999999998</v>
      </c>
      <c r="G1306" s="10">
        <v>10.29</v>
      </c>
    </row>
    <row r="1307" spans="1:7" hidden="1">
      <c r="A1307" s="10" t="s">
        <v>278</v>
      </c>
      <c r="B1307" s="10" t="s">
        <v>132</v>
      </c>
      <c r="C1307" s="10">
        <v>14.1</v>
      </c>
      <c r="D1307" s="10">
        <v>12.69</v>
      </c>
      <c r="E1307" s="10">
        <v>9.1650000000000009</v>
      </c>
      <c r="F1307" s="10">
        <v>5.6400000000000006</v>
      </c>
      <c r="G1307" s="10">
        <v>2.1149999999999998</v>
      </c>
    </row>
    <row r="1308" spans="1:7" hidden="1">
      <c r="A1308" s="10" t="s">
        <v>280</v>
      </c>
      <c r="B1308" s="10" t="s">
        <v>132</v>
      </c>
      <c r="C1308" s="10">
        <v>6.9</v>
      </c>
      <c r="D1308" s="10">
        <v>6.2100000000000009</v>
      </c>
      <c r="E1308" s="10">
        <v>4.4850000000000003</v>
      </c>
      <c r="F1308" s="10">
        <v>2.7600000000000002</v>
      </c>
      <c r="G1308" s="10">
        <v>1.0349999999999999</v>
      </c>
    </row>
    <row r="1309" spans="1:7" hidden="1">
      <c r="A1309" s="10" t="s">
        <v>281</v>
      </c>
      <c r="B1309" s="10" t="s">
        <v>132</v>
      </c>
      <c r="C1309" s="10">
        <v>1.8</v>
      </c>
      <c r="D1309" s="10">
        <v>1.62</v>
      </c>
      <c r="E1309" s="10">
        <v>1.1700000000000002</v>
      </c>
      <c r="F1309" s="10">
        <v>0.72000000000000008</v>
      </c>
      <c r="G1309" s="10">
        <v>0.27</v>
      </c>
    </row>
    <row r="1310" spans="1:7" hidden="1">
      <c r="A1310" s="10" t="s">
        <v>282</v>
      </c>
      <c r="B1310" s="10" t="s">
        <v>132</v>
      </c>
      <c r="C1310" s="10">
        <v>16.100000000000001</v>
      </c>
      <c r="D1310" s="10">
        <v>14.490000000000002</v>
      </c>
      <c r="E1310" s="10">
        <v>10.465000000000002</v>
      </c>
      <c r="F1310" s="10">
        <v>6.4400000000000013</v>
      </c>
      <c r="G1310" s="10">
        <v>2.415</v>
      </c>
    </row>
    <row r="1311" spans="1:7" hidden="1">
      <c r="A1311" s="10" t="s">
        <v>283</v>
      </c>
      <c r="B1311" s="10" t="s">
        <v>132</v>
      </c>
      <c r="C1311" s="10">
        <v>15.1</v>
      </c>
      <c r="D1311" s="10">
        <v>13.59</v>
      </c>
      <c r="E1311" s="10">
        <v>9.8149999999999995</v>
      </c>
      <c r="F1311" s="10">
        <v>6.04</v>
      </c>
      <c r="G1311" s="10">
        <v>2.2649999999999997</v>
      </c>
    </row>
    <row r="1312" spans="1:7" hidden="1">
      <c r="A1312" s="10" t="s">
        <v>284</v>
      </c>
      <c r="B1312" s="10" t="s">
        <v>132</v>
      </c>
      <c r="C1312" s="10">
        <v>84.9</v>
      </c>
      <c r="D1312" s="10">
        <v>76.410000000000011</v>
      </c>
      <c r="E1312" s="10">
        <v>55.185000000000002</v>
      </c>
      <c r="F1312" s="10">
        <v>33.96</v>
      </c>
      <c r="G1312" s="10">
        <v>12.735000000000001</v>
      </c>
    </row>
    <row r="1313" spans="1:7" hidden="1">
      <c r="A1313" s="10" t="s">
        <v>285</v>
      </c>
      <c r="B1313" s="10" t="s">
        <v>132</v>
      </c>
      <c r="C1313" s="10">
        <v>3.8</v>
      </c>
      <c r="D1313" s="10">
        <v>3.42</v>
      </c>
      <c r="E1313" s="10">
        <v>2.4699999999999998</v>
      </c>
      <c r="F1313" s="10">
        <v>1.52</v>
      </c>
      <c r="G1313" s="10">
        <v>0.56999999999999995</v>
      </c>
    </row>
    <row r="1314" spans="1:7" hidden="1">
      <c r="A1314" s="10" t="s">
        <v>286</v>
      </c>
      <c r="B1314" s="10" t="s">
        <v>132</v>
      </c>
      <c r="C1314" s="10">
        <v>21.1</v>
      </c>
      <c r="D1314" s="10">
        <v>18.990000000000002</v>
      </c>
      <c r="E1314" s="10">
        <v>13.715000000000002</v>
      </c>
      <c r="F1314" s="10">
        <v>8.4400000000000013</v>
      </c>
      <c r="G1314" s="10">
        <v>3.165</v>
      </c>
    </row>
    <row r="1315" spans="1:7" hidden="1">
      <c r="A1315" s="10" t="s">
        <v>287</v>
      </c>
      <c r="B1315" s="10" t="s">
        <v>132</v>
      </c>
      <c r="C1315" s="10">
        <v>2.1</v>
      </c>
      <c r="D1315" s="10">
        <v>1.8900000000000001</v>
      </c>
      <c r="E1315" s="10">
        <v>1.3650000000000002</v>
      </c>
      <c r="F1315" s="10">
        <v>0.84000000000000008</v>
      </c>
      <c r="G1315" s="10">
        <v>0.315</v>
      </c>
    </row>
    <row r="1316" spans="1:7">
      <c r="A1316" s="10" t="s">
        <v>288</v>
      </c>
      <c r="B1316" s="10" t="s">
        <v>132</v>
      </c>
      <c r="C1316" s="10">
        <v>71.3</v>
      </c>
      <c r="D1316" s="10">
        <v>64.17</v>
      </c>
      <c r="E1316" s="10">
        <v>46.344999999999999</v>
      </c>
      <c r="F1316" s="10">
        <v>28.52</v>
      </c>
      <c r="G1316" s="10">
        <v>10.694999999999999</v>
      </c>
    </row>
    <row r="1317" spans="1:7" hidden="1">
      <c r="A1317" s="10" t="s">
        <v>290</v>
      </c>
      <c r="B1317" s="10" t="s">
        <v>132</v>
      </c>
      <c r="C1317" s="10">
        <v>0.8</v>
      </c>
      <c r="D1317" s="10">
        <v>0.72000000000000008</v>
      </c>
      <c r="E1317" s="10">
        <v>0.52</v>
      </c>
      <c r="F1317" s="10">
        <v>0.32000000000000006</v>
      </c>
      <c r="G1317" s="10">
        <v>0.12</v>
      </c>
    </row>
    <row r="1318" spans="1:7" hidden="1">
      <c r="A1318" s="10" t="s">
        <v>291</v>
      </c>
      <c r="B1318" s="10" t="s">
        <v>132</v>
      </c>
      <c r="C1318" s="10">
        <v>7.2</v>
      </c>
      <c r="D1318" s="10">
        <v>6.48</v>
      </c>
      <c r="E1318" s="10">
        <v>4.6800000000000006</v>
      </c>
      <c r="F1318" s="10">
        <v>2.8800000000000003</v>
      </c>
      <c r="G1318" s="10">
        <v>1.08</v>
      </c>
    </row>
    <row r="1319" spans="1:7" hidden="1">
      <c r="A1319" s="10" t="s">
        <v>292</v>
      </c>
      <c r="B1319" s="10" t="s">
        <v>132</v>
      </c>
      <c r="C1319" s="10">
        <v>1.8</v>
      </c>
      <c r="D1319" s="10">
        <v>1.62</v>
      </c>
      <c r="E1319" s="10">
        <v>1.1700000000000002</v>
      </c>
      <c r="F1319" s="10">
        <v>0.72000000000000008</v>
      </c>
      <c r="G1319" s="10">
        <v>0.27</v>
      </c>
    </row>
    <row r="1320" spans="1:7" hidden="1">
      <c r="A1320" s="10" t="s">
        <v>293</v>
      </c>
      <c r="B1320" s="10" t="s">
        <v>132</v>
      </c>
      <c r="C1320" s="10">
        <v>45.8</v>
      </c>
      <c r="D1320" s="10">
        <v>41.22</v>
      </c>
      <c r="E1320" s="10">
        <v>29.77</v>
      </c>
      <c r="F1320" s="10">
        <v>18.32</v>
      </c>
      <c r="G1320" s="10">
        <v>6.8699999999999992</v>
      </c>
    </row>
    <row r="1321" spans="1:7" hidden="1">
      <c r="A1321" s="10" t="s">
        <v>294</v>
      </c>
      <c r="B1321" s="10" t="s">
        <v>132</v>
      </c>
      <c r="C1321" s="10">
        <v>0.2</v>
      </c>
      <c r="D1321" s="10">
        <v>0.18000000000000002</v>
      </c>
      <c r="E1321" s="10">
        <v>0.13</v>
      </c>
      <c r="F1321" s="10">
        <v>8.0000000000000016E-2</v>
      </c>
      <c r="G1321" s="10">
        <v>0.03</v>
      </c>
    </row>
    <row r="1322" spans="1:7" hidden="1">
      <c r="A1322" s="10" t="s">
        <v>310</v>
      </c>
      <c r="B1322" s="10" t="s">
        <v>132</v>
      </c>
      <c r="C1322" s="10">
        <v>0.5</v>
      </c>
      <c r="D1322" s="10">
        <v>0.45</v>
      </c>
      <c r="E1322" s="10">
        <v>0.32500000000000001</v>
      </c>
      <c r="F1322" s="10">
        <v>0.2</v>
      </c>
      <c r="G1322" s="10">
        <v>7.4999999999999997E-2</v>
      </c>
    </row>
    <row r="1323" spans="1:7" hidden="1">
      <c r="A1323" s="10" t="s">
        <v>297</v>
      </c>
      <c r="B1323" s="10" t="s">
        <v>132</v>
      </c>
      <c r="C1323" s="10">
        <v>13.1</v>
      </c>
      <c r="D1323" s="10">
        <v>11.79</v>
      </c>
      <c r="E1323" s="10">
        <v>8.5150000000000006</v>
      </c>
      <c r="F1323" s="10">
        <v>5.24</v>
      </c>
      <c r="G1323" s="10">
        <v>1.9649999999999999</v>
      </c>
    </row>
    <row r="1324" spans="1:7" hidden="1">
      <c r="A1324" s="10" t="s">
        <v>298</v>
      </c>
      <c r="B1324" s="10" t="s">
        <v>132</v>
      </c>
      <c r="C1324" s="10">
        <v>2</v>
      </c>
      <c r="D1324" s="10">
        <v>1.8</v>
      </c>
      <c r="E1324" s="10">
        <v>1.3</v>
      </c>
      <c r="F1324" s="10">
        <v>0.8</v>
      </c>
      <c r="G1324" s="10">
        <v>0.3</v>
      </c>
    </row>
    <row r="1325" spans="1:7" hidden="1">
      <c r="A1325" s="10" t="s">
        <v>299</v>
      </c>
      <c r="B1325" s="10" t="s">
        <v>132</v>
      </c>
      <c r="C1325" s="10">
        <v>14</v>
      </c>
      <c r="D1325" s="10">
        <v>12.6</v>
      </c>
      <c r="E1325" s="10">
        <v>9.1</v>
      </c>
      <c r="F1325" s="10">
        <v>5.6000000000000005</v>
      </c>
      <c r="G1325" s="10">
        <v>2.1</v>
      </c>
    </row>
    <row r="1326" spans="1:7" hidden="1">
      <c r="A1326" s="10" t="s">
        <v>300</v>
      </c>
      <c r="B1326" s="10" t="s">
        <v>132</v>
      </c>
      <c r="C1326" s="10">
        <v>2.8</v>
      </c>
      <c r="D1326" s="10">
        <v>2.52</v>
      </c>
      <c r="E1326" s="10">
        <v>1.8199999999999998</v>
      </c>
      <c r="F1326" s="10">
        <v>1.1199999999999999</v>
      </c>
      <c r="G1326" s="10">
        <v>0.42</v>
      </c>
    </row>
    <row r="1327" spans="1:7" hidden="1">
      <c r="A1327" s="10" t="s">
        <v>301</v>
      </c>
      <c r="B1327" s="10" t="s">
        <v>132</v>
      </c>
      <c r="C1327" s="10">
        <v>10.7</v>
      </c>
      <c r="D1327" s="10">
        <v>9.629999999999999</v>
      </c>
      <c r="E1327" s="10">
        <v>6.9550000000000001</v>
      </c>
      <c r="F1327" s="10">
        <v>4.28</v>
      </c>
      <c r="G1327" s="10">
        <v>1.6049999999999998</v>
      </c>
    </row>
    <row r="1328" spans="1:7" hidden="1">
      <c r="A1328" s="10" t="s">
        <v>303</v>
      </c>
      <c r="B1328" s="10" t="s">
        <v>132</v>
      </c>
      <c r="C1328" s="10">
        <v>11</v>
      </c>
      <c r="D1328" s="10">
        <v>9.9</v>
      </c>
      <c r="E1328" s="10">
        <v>7.15</v>
      </c>
      <c r="F1328" s="10">
        <v>4.4000000000000004</v>
      </c>
      <c r="G1328" s="10">
        <v>1.65</v>
      </c>
    </row>
    <row r="1329" spans="1:7" hidden="1">
      <c r="A1329" s="10" t="s">
        <v>305</v>
      </c>
      <c r="B1329" s="10" t="s">
        <v>132</v>
      </c>
      <c r="C1329" s="10">
        <v>3</v>
      </c>
      <c r="D1329" s="10">
        <v>2.7</v>
      </c>
      <c r="E1329" s="10">
        <v>1.9500000000000002</v>
      </c>
      <c r="F1329" s="10">
        <v>1.2000000000000002</v>
      </c>
      <c r="G1329" s="10">
        <v>0.44999999999999996</v>
      </c>
    </row>
    <row r="1330" spans="1:7" hidden="1">
      <c r="A1330" s="10" t="s">
        <v>356</v>
      </c>
      <c r="B1330" s="10" t="s">
        <v>132</v>
      </c>
      <c r="C1330" s="10">
        <v>61.3</v>
      </c>
      <c r="D1330" s="10">
        <v>55.17</v>
      </c>
      <c r="E1330" s="10">
        <v>39.844999999999999</v>
      </c>
      <c r="F1330" s="10">
        <v>24.52</v>
      </c>
      <c r="G1330" s="10">
        <v>9.1949999999999985</v>
      </c>
    </row>
    <row r="1331" spans="1:7" hidden="1">
      <c r="A1331" s="10" t="s">
        <v>307</v>
      </c>
      <c r="B1331" s="10" t="s">
        <v>132</v>
      </c>
      <c r="C1331" s="10">
        <v>22.9</v>
      </c>
      <c r="D1331" s="10">
        <v>20.61</v>
      </c>
      <c r="E1331" s="10">
        <v>14.885</v>
      </c>
      <c r="F1331" s="10">
        <v>9.16</v>
      </c>
      <c r="G1331" s="10">
        <v>3.4349999999999996</v>
      </c>
    </row>
    <row r="1332" spans="1:7" hidden="1">
      <c r="A1332" s="10" t="s">
        <v>278</v>
      </c>
      <c r="B1332" s="10" t="s">
        <v>133</v>
      </c>
      <c r="C1332" s="10">
        <v>42.2</v>
      </c>
      <c r="D1332" s="10">
        <v>37.980000000000004</v>
      </c>
      <c r="E1332" s="10">
        <v>27.430000000000003</v>
      </c>
      <c r="F1332" s="10">
        <v>16.880000000000003</v>
      </c>
      <c r="G1332" s="10">
        <v>6.33</v>
      </c>
    </row>
    <row r="1333" spans="1:7" hidden="1">
      <c r="A1333" s="10" t="s">
        <v>280</v>
      </c>
      <c r="B1333" s="10" t="s">
        <v>133</v>
      </c>
      <c r="C1333" s="10">
        <v>27.4</v>
      </c>
      <c r="D1333" s="10">
        <v>24.66</v>
      </c>
      <c r="E1333" s="10">
        <v>17.809999999999999</v>
      </c>
      <c r="F1333" s="10">
        <v>10.96</v>
      </c>
      <c r="G1333" s="10">
        <v>4.1099999999999994</v>
      </c>
    </row>
    <row r="1334" spans="1:7" hidden="1">
      <c r="A1334" s="10" t="s">
        <v>281</v>
      </c>
      <c r="B1334" s="10" t="s">
        <v>133</v>
      </c>
      <c r="C1334" s="10">
        <v>7.2</v>
      </c>
      <c r="D1334" s="10">
        <v>6.48</v>
      </c>
      <c r="E1334" s="10">
        <v>4.6800000000000006</v>
      </c>
      <c r="F1334" s="10">
        <v>2.8800000000000003</v>
      </c>
      <c r="G1334" s="10">
        <v>1.08</v>
      </c>
    </row>
    <row r="1335" spans="1:7" hidden="1">
      <c r="A1335" s="10" t="s">
        <v>282</v>
      </c>
      <c r="B1335" s="10" t="s">
        <v>133</v>
      </c>
      <c r="C1335" s="10">
        <v>41.9</v>
      </c>
      <c r="D1335" s="10">
        <v>37.71</v>
      </c>
      <c r="E1335" s="10">
        <v>27.234999999999999</v>
      </c>
      <c r="F1335" s="10">
        <v>16.760000000000002</v>
      </c>
      <c r="G1335" s="10">
        <v>6.2849999999999993</v>
      </c>
    </row>
    <row r="1336" spans="1:7" hidden="1">
      <c r="A1336" s="10" t="s">
        <v>283</v>
      </c>
      <c r="B1336" s="10" t="s">
        <v>133</v>
      </c>
      <c r="C1336" s="10">
        <v>42.2</v>
      </c>
      <c r="D1336" s="10">
        <v>37.980000000000004</v>
      </c>
      <c r="E1336" s="10">
        <v>27.430000000000003</v>
      </c>
      <c r="F1336" s="10">
        <v>16.880000000000003</v>
      </c>
      <c r="G1336" s="10">
        <v>6.33</v>
      </c>
    </row>
    <row r="1337" spans="1:7" hidden="1">
      <c r="A1337" s="10" t="s">
        <v>284</v>
      </c>
      <c r="B1337" s="10" t="s">
        <v>133</v>
      </c>
      <c r="C1337" s="10">
        <v>254.8</v>
      </c>
      <c r="D1337" s="10">
        <v>229.32000000000002</v>
      </c>
      <c r="E1337" s="10">
        <v>165.62</v>
      </c>
      <c r="F1337" s="10">
        <v>101.92000000000002</v>
      </c>
      <c r="G1337" s="10">
        <v>38.22</v>
      </c>
    </row>
    <row r="1338" spans="1:7" hidden="1">
      <c r="A1338" s="10" t="s">
        <v>285</v>
      </c>
      <c r="B1338" s="10" t="s">
        <v>133</v>
      </c>
      <c r="C1338" s="10">
        <v>13.4</v>
      </c>
      <c r="D1338" s="10">
        <v>12.06</v>
      </c>
      <c r="E1338" s="10">
        <v>8.7100000000000009</v>
      </c>
      <c r="F1338" s="10">
        <v>5.36</v>
      </c>
      <c r="G1338" s="10">
        <v>2.0099999999999998</v>
      </c>
    </row>
    <row r="1339" spans="1:7" hidden="1">
      <c r="A1339" s="10" t="s">
        <v>308</v>
      </c>
      <c r="B1339" s="10" t="s">
        <v>133</v>
      </c>
      <c r="C1339" s="10">
        <v>1.7</v>
      </c>
      <c r="D1339" s="10">
        <v>1.53</v>
      </c>
      <c r="E1339" s="10">
        <v>1.105</v>
      </c>
      <c r="F1339" s="10">
        <v>0.68</v>
      </c>
      <c r="G1339" s="10">
        <v>0.255</v>
      </c>
    </row>
    <row r="1340" spans="1:7" hidden="1">
      <c r="A1340" s="10" t="s">
        <v>286</v>
      </c>
      <c r="B1340" s="10" t="s">
        <v>133</v>
      </c>
      <c r="C1340" s="10">
        <v>84.5</v>
      </c>
      <c r="D1340" s="10">
        <v>76.05</v>
      </c>
      <c r="E1340" s="10">
        <v>54.925000000000004</v>
      </c>
      <c r="F1340" s="10">
        <v>33.800000000000004</v>
      </c>
      <c r="G1340" s="10">
        <v>12.674999999999999</v>
      </c>
    </row>
    <row r="1341" spans="1:7" hidden="1">
      <c r="A1341" s="10" t="s">
        <v>287</v>
      </c>
      <c r="B1341" s="10" t="s">
        <v>133</v>
      </c>
      <c r="C1341" s="10">
        <v>14.4</v>
      </c>
      <c r="D1341" s="10">
        <v>12.96</v>
      </c>
      <c r="E1341" s="10">
        <v>9.3600000000000012</v>
      </c>
      <c r="F1341" s="10">
        <v>5.7600000000000007</v>
      </c>
      <c r="G1341" s="10">
        <v>2.16</v>
      </c>
    </row>
    <row r="1342" spans="1:7">
      <c r="A1342" s="10" t="s">
        <v>288</v>
      </c>
      <c r="B1342" s="10" t="s">
        <v>133</v>
      </c>
      <c r="C1342" s="10">
        <v>237.8</v>
      </c>
      <c r="D1342" s="10">
        <v>214.02</v>
      </c>
      <c r="E1342" s="10">
        <v>154.57000000000002</v>
      </c>
      <c r="F1342" s="10">
        <v>95.12</v>
      </c>
      <c r="G1342" s="10">
        <v>35.67</v>
      </c>
    </row>
    <row r="1343" spans="1:7" hidden="1">
      <c r="A1343" s="10" t="s">
        <v>289</v>
      </c>
      <c r="B1343" s="10" t="s">
        <v>133</v>
      </c>
      <c r="C1343" s="10">
        <v>9.8000000000000007</v>
      </c>
      <c r="D1343" s="10">
        <v>8.82</v>
      </c>
      <c r="E1343" s="10">
        <v>6.370000000000001</v>
      </c>
      <c r="F1343" s="10">
        <v>3.9200000000000004</v>
      </c>
      <c r="G1343" s="10">
        <v>1.47</v>
      </c>
    </row>
    <row r="1344" spans="1:7" hidden="1">
      <c r="A1344" s="10" t="s">
        <v>290</v>
      </c>
      <c r="B1344" s="10" t="s">
        <v>133</v>
      </c>
      <c r="C1344" s="10">
        <v>3.2</v>
      </c>
      <c r="D1344" s="10">
        <v>2.8800000000000003</v>
      </c>
      <c r="E1344" s="10">
        <v>2.08</v>
      </c>
      <c r="F1344" s="10">
        <v>1.2800000000000002</v>
      </c>
      <c r="G1344" s="10">
        <v>0.48</v>
      </c>
    </row>
    <row r="1345" spans="1:7" hidden="1">
      <c r="A1345" s="10" t="s">
        <v>291</v>
      </c>
      <c r="B1345" s="10" t="s">
        <v>133</v>
      </c>
      <c r="C1345" s="10">
        <v>21.6</v>
      </c>
      <c r="D1345" s="10">
        <v>19.440000000000001</v>
      </c>
      <c r="E1345" s="10">
        <v>14.040000000000001</v>
      </c>
      <c r="F1345" s="10">
        <v>8.64</v>
      </c>
      <c r="G1345" s="10">
        <v>3.24</v>
      </c>
    </row>
    <row r="1346" spans="1:7" hidden="1">
      <c r="A1346" s="10" t="s">
        <v>292</v>
      </c>
      <c r="B1346" s="10" t="s">
        <v>133</v>
      </c>
      <c r="C1346" s="10">
        <v>7.2</v>
      </c>
      <c r="D1346" s="10">
        <v>6.48</v>
      </c>
      <c r="E1346" s="10">
        <v>4.6800000000000006</v>
      </c>
      <c r="F1346" s="10">
        <v>2.8800000000000003</v>
      </c>
      <c r="G1346" s="10">
        <v>1.08</v>
      </c>
    </row>
    <row r="1347" spans="1:7" hidden="1">
      <c r="A1347" s="10" t="s">
        <v>293</v>
      </c>
      <c r="B1347" s="10" t="s">
        <v>133</v>
      </c>
      <c r="C1347" s="10">
        <v>137.4</v>
      </c>
      <c r="D1347" s="10">
        <v>123.66000000000001</v>
      </c>
      <c r="E1347" s="10">
        <v>89.31</v>
      </c>
      <c r="F1347" s="10">
        <v>54.960000000000008</v>
      </c>
      <c r="G1347" s="10">
        <v>20.61</v>
      </c>
    </row>
    <row r="1348" spans="1:7" hidden="1">
      <c r="A1348" s="10" t="s">
        <v>309</v>
      </c>
      <c r="B1348" s="10" t="s">
        <v>133</v>
      </c>
      <c r="C1348" s="10">
        <v>1.7</v>
      </c>
      <c r="D1348" s="10">
        <v>1.53</v>
      </c>
      <c r="E1348" s="10">
        <v>1.105</v>
      </c>
      <c r="F1348" s="10">
        <v>0.68</v>
      </c>
      <c r="G1348" s="10">
        <v>0.255</v>
      </c>
    </row>
    <row r="1349" spans="1:7" hidden="1">
      <c r="A1349" s="10" t="s">
        <v>294</v>
      </c>
      <c r="B1349" s="10" t="s">
        <v>133</v>
      </c>
      <c r="C1349" s="10">
        <v>1.7</v>
      </c>
      <c r="D1349" s="10">
        <v>1.53</v>
      </c>
      <c r="E1349" s="10">
        <v>1.105</v>
      </c>
      <c r="F1349" s="10">
        <v>0.68</v>
      </c>
      <c r="G1349" s="10">
        <v>0.255</v>
      </c>
    </row>
    <row r="1350" spans="1:7" hidden="1">
      <c r="A1350" s="10" t="s">
        <v>310</v>
      </c>
      <c r="B1350" s="10" t="s">
        <v>133</v>
      </c>
      <c r="C1350" s="10">
        <v>1.9</v>
      </c>
      <c r="D1350" s="10">
        <v>1.71</v>
      </c>
      <c r="E1350" s="10">
        <v>1.2349999999999999</v>
      </c>
      <c r="F1350" s="10">
        <v>0.76</v>
      </c>
      <c r="G1350" s="10">
        <v>0.28499999999999998</v>
      </c>
    </row>
    <row r="1351" spans="1:7" hidden="1">
      <c r="A1351" s="10" t="s">
        <v>297</v>
      </c>
      <c r="B1351" s="10" t="s">
        <v>133</v>
      </c>
      <c r="C1351" s="10">
        <v>43.8</v>
      </c>
      <c r="D1351" s="10">
        <v>39.42</v>
      </c>
      <c r="E1351" s="10">
        <v>28.47</v>
      </c>
      <c r="F1351" s="10">
        <v>17.52</v>
      </c>
      <c r="G1351" s="10">
        <v>6.5699999999999994</v>
      </c>
    </row>
    <row r="1352" spans="1:7" hidden="1">
      <c r="A1352" s="10" t="s">
        <v>298</v>
      </c>
      <c r="B1352" s="10" t="s">
        <v>133</v>
      </c>
      <c r="C1352" s="10">
        <v>9.8000000000000007</v>
      </c>
      <c r="D1352" s="10">
        <v>8.82</v>
      </c>
      <c r="E1352" s="10">
        <v>6.370000000000001</v>
      </c>
      <c r="F1352" s="10">
        <v>3.9200000000000004</v>
      </c>
      <c r="G1352" s="10">
        <v>1.47</v>
      </c>
    </row>
    <row r="1353" spans="1:7" hidden="1">
      <c r="A1353" s="10" t="s">
        <v>357</v>
      </c>
      <c r="B1353" s="10" t="s">
        <v>133</v>
      </c>
      <c r="C1353" s="10">
        <v>3.9</v>
      </c>
      <c r="D1353" s="10">
        <v>3.51</v>
      </c>
      <c r="E1353" s="10">
        <v>2.5350000000000001</v>
      </c>
      <c r="F1353" s="10">
        <v>1.56</v>
      </c>
      <c r="G1353" s="10">
        <v>0.58499999999999996</v>
      </c>
    </row>
    <row r="1354" spans="1:7" hidden="1">
      <c r="A1354" s="10" t="s">
        <v>299</v>
      </c>
      <c r="B1354" s="10" t="s">
        <v>133</v>
      </c>
      <c r="C1354" s="10">
        <v>56.2</v>
      </c>
      <c r="D1354" s="10">
        <v>50.580000000000005</v>
      </c>
      <c r="E1354" s="10">
        <v>36.53</v>
      </c>
      <c r="F1354" s="10">
        <v>22.480000000000004</v>
      </c>
      <c r="G1354" s="10">
        <v>8.43</v>
      </c>
    </row>
    <row r="1355" spans="1:7" hidden="1">
      <c r="A1355" s="10" t="s">
        <v>300</v>
      </c>
      <c r="B1355" s="10" t="s">
        <v>133</v>
      </c>
      <c r="C1355" s="10">
        <v>14.1</v>
      </c>
      <c r="D1355" s="10">
        <v>12.69</v>
      </c>
      <c r="E1355" s="10">
        <v>9.1650000000000009</v>
      </c>
      <c r="F1355" s="10">
        <v>5.6400000000000006</v>
      </c>
      <c r="G1355" s="10">
        <v>2.1149999999999998</v>
      </c>
    </row>
    <row r="1356" spans="1:7" hidden="1">
      <c r="A1356" s="10" t="s">
        <v>301</v>
      </c>
      <c r="B1356" s="10" t="s">
        <v>133</v>
      </c>
      <c r="C1356" s="10">
        <v>28.5</v>
      </c>
      <c r="D1356" s="10">
        <v>25.650000000000002</v>
      </c>
      <c r="E1356" s="10">
        <v>18.525000000000002</v>
      </c>
      <c r="F1356" s="10">
        <v>11.4</v>
      </c>
      <c r="G1356" s="10">
        <v>4.2749999999999995</v>
      </c>
    </row>
    <row r="1357" spans="1:7" hidden="1">
      <c r="A1357" s="10" t="s">
        <v>303</v>
      </c>
      <c r="B1357" s="10" t="s">
        <v>133</v>
      </c>
      <c r="C1357" s="10">
        <v>33</v>
      </c>
      <c r="D1357" s="10">
        <v>29.7</v>
      </c>
      <c r="E1357" s="10">
        <v>21.45</v>
      </c>
      <c r="F1357" s="10">
        <v>13.200000000000001</v>
      </c>
      <c r="G1357" s="10">
        <v>4.95</v>
      </c>
    </row>
    <row r="1358" spans="1:7" hidden="1">
      <c r="A1358" s="10" t="s">
        <v>304</v>
      </c>
      <c r="B1358" s="10" t="s">
        <v>133</v>
      </c>
      <c r="C1358" s="10">
        <v>2.5</v>
      </c>
      <c r="D1358" s="10">
        <v>2.25</v>
      </c>
      <c r="E1358" s="10">
        <v>1.625</v>
      </c>
      <c r="F1358" s="10">
        <v>1</v>
      </c>
      <c r="G1358" s="10">
        <v>0.375</v>
      </c>
    </row>
    <row r="1359" spans="1:7" hidden="1">
      <c r="A1359" s="10" t="s">
        <v>305</v>
      </c>
      <c r="B1359" s="10" t="s">
        <v>133</v>
      </c>
      <c r="C1359" s="10">
        <v>9</v>
      </c>
      <c r="D1359" s="10">
        <v>8.1</v>
      </c>
      <c r="E1359" s="10">
        <v>5.8500000000000005</v>
      </c>
      <c r="F1359" s="10">
        <v>3.6</v>
      </c>
      <c r="G1359" s="10">
        <v>1.3499999999999999</v>
      </c>
    </row>
    <row r="1360" spans="1:7" hidden="1">
      <c r="A1360" s="10" t="s">
        <v>356</v>
      </c>
      <c r="B1360" s="10" t="s">
        <v>133</v>
      </c>
      <c r="C1360" s="10">
        <v>163.6</v>
      </c>
      <c r="D1360" s="10">
        <v>147.24</v>
      </c>
      <c r="E1360" s="10">
        <v>106.34</v>
      </c>
      <c r="F1360" s="10">
        <v>65.44</v>
      </c>
      <c r="G1360" s="10">
        <v>24.54</v>
      </c>
    </row>
    <row r="1361" spans="1:7" hidden="1">
      <c r="A1361" s="10" t="s">
        <v>307</v>
      </c>
      <c r="B1361" s="10" t="s">
        <v>133</v>
      </c>
      <c r="C1361" s="10">
        <v>68.599999999999994</v>
      </c>
      <c r="D1361" s="10">
        <v>61.739999999999995</v>
      </c>
      <c r="E1361" s="10">
        <v>44.589999999999996</v>
      </c>
      <c r="F1361" s="10">
        <v>27.439999999999998</v>
      </c>
      <c r="G1361" s="10">
        <v>10.29</v>
      </c>
    </row>
    <row r="1362" spans="1:7" hidden="1">
      <c r="A1362" s="10" t="s">
        <v>278</v>
      </c>
      <c r="B1362" s="10" t="s">
        <v>64</v>
      </c>
      <c r="C1362" s="10">
        <v>5.8</v>
      </c>
      <c r="D1362" s="10">
        <v>5.22</v>
      </c>
      <c r="E1362" s="10">
        <v>3.77</v>
      </c>
      <c r="F1362" s="10">
        <v>2.3199999999999998</v>
      </c>
      <c r="G1362" s="10">
        <v>0.87</v>
      </c>
    </row>
    <row r="1363" spans="1:7" hidden="1">
      <c r="A1363" s="10" t="s">
        <v>280</v>
      </c>
      <c r="B1363" s="10" t="s">
        <v>64</v>
      </c>
      <c r="C1363" s="10">
        <v>10.6</v>
      </c>
      <c r="D1363" s="10">
        <v>9.5399999999999991</v>
      </c>
      <c r="E1363" s="10">
        <v>6.89</v>
      </c>
      <c r="F1363" s="10">
        <v>4.24</v>
      </c>
      <c r="G1363" s="10">
        <v>1.5899999999999999</v>
      </c>
    </row>
    <row r="1364" spans="1:7" hidden="1">
      <c r="A1364" s="10" t="s">
        <v>281</v>
      </c>
      <c r="B1364" s="10" t="s">
        <v>64</v>
      </c>
      <c r="C1364" s="10">
        <v>3.7</v>
      </c>
      <c r="D1364" s="10">
        <v>3.33</v>
      </c>
      <c r="E1364" s="10">
        <v>2.4050000000000002</v>
      </c>
      <c r="F1364" s="10">
        <v>1.4800000000000002</v>
      </c>
      <c r="G1364" s="10">
        <v>0.55500000000000005</v>
      </c>
    </row>
    <row r="1365" spans="1:7" hidden="1">
      <c r="A1365" s="10" t="s">
        <v>282</v>
      </c>
      <c r="B1365" s="10" t="s">
        <v>64</v>
      </c>
      <c r="C1365" s="10">
        <v>10</v>
      </c>
      <c r="D1365" s="10">
        <v>9</v>
      </c>
      <c r="E1365" s="10">
        <v>6.5</v>
      </c>
      <c r="F1365" s="10">
        <v>4</v>
      </c>
      <c r="G1365" s="10">
        <v>1.5</v>
      </c>
    </row>
    <row r="1366" spans="1:7" hidden="1">
      <c r="A1366" s="10" t="s">
        <v>283</v>
      </c>
      <c r="B1366" s="10" t="s">
        <v>64</v>
      </c>
      <c r="C1366" s="10">
        <v>6.2</v>
      </c>
      <c r="D1366" s="10">
        <v>5.58</v>
      </c>
      <c r="E1366" s="10">
        <v>4.03</v>
      </c>
      <c r="F1366" s="10">
        <v>2.4800000000000004</v>
      </c>
      <c r="G1366" s="10">
        <v>0.92999999999999994</v>
      </c>
    </row>
    <row r="1367" spans="1:7" hidden="1">
      <c r="A1367" s="10" t="s">
        <v>284</v>
      </c>
      <c r="B1367" s="10" t="s">
        <v>64</v>
      </c>
      <c r="C1367" s="10">
        <v>58.6</v>
      </c>
      <c r="D1367" s="10">
        <v>52.74</v>
      </c>
      <c r="E1367" s="10">
        <v>38.090000000000003</v>
      </c>
      <c r="F1367" s="10">
        <v>23.44</v>
      </c>
      <c r="G1367" s="10">
        <v>8.7899999999999991</v>
      </c>
    </row>
    <row r="1368" spans="1:7" hidden="1">
      <c r="A1368" s="10" t="s">
        <v>285</v>
      </c>
      <c r="B1368" s="10" t="s">
        <v>64</v>
      </c>
      <c r="C1368" s="10">
        <v>6</v>
      </c>
      <c r="D1368" s="10">
        <v>5.4</v>
      </c>
      <c r="E1368" s="10">
        <v>3.9000000000000004</v>
      </c>
      <c r="F1368" s="10">
        <v>2.4000000000000004</v>
      </c>
      <c r="G1368" s="10">
        <v>0.89999999999999991</v>
      </c>
    </row>
    <row r="1369" spans="1:7" hidden="1">
      <c r="A1369" s="10" t="s">
        <v>308</v>
      </c>
      <c r="B1369" s="10" t="s">
        <v>64</v>
      </c>
      <c r="C1369" s="10">
        <v>1.3</v>
      </c>
      <c r="D1369" s="10">
        <v>1.1700000000000002</v>
      </c>
      <c r="E1369" s="10">
        <v>0.84500000000000008</v>
      </c>
      <c r="F1369" s="10">
        <v>0.52</v>
      </c>
      <c r="G1369" s="10">
        <v>0.19500000000000001</v>
      </c>
    </row>
    <row r="1370" spans="1:7" hidden="1">
      <c r="A1370" s="10" t="s">
        <v>286</v>
      </c>
      <c r="B1370" s="10" t="s">
        <v>64</v>
      </c>
      <c r="C1370" s="10">
        <v>32.799999999999997</v>
      </c>
      <c r="D1370" s="10">
        <v>29.52</v>
      </c>
      <c r="E1370" s="10">
        <v>21.32</v>
      </c>
      <c r="F1370" s="10">
        <v>13.12</v>
      </c>
      <c r="G1370" s="10">
        <v>4.919999999999999</v>
      </c>
    </row>
    <row r="1371" spans="1:7" hidden="1">
      <c r="A1371" s="10" t="s">
        <v>287</v>
      </c>
      <c r="B1371" s="10" t="s">
        <v>64</v>
      </c>
      <c r="C1371" s="10">
        <v>4.3</v>
      </c>
      <c r="D1371" s="10">
        <v>3.87</v>
      </c>
      <c r="E1371" s="10">
        <v>2.7949999999999999</v>
      </c>
      <c r="F1371" s="10">
        <v>1.72</v>
      </c>
      <c r="G1371" s="10">
        <v>0.64499999999999991</v>
      </c>
    </row>
    <row r="1372" spans="1:7">
      <c r="A1372" s="10" t="s">
        <v>288</v>
      </c>
      <c r="B1372" s="10" t="s">
        <v>64</v>
      </c>
      <c r="C1372" s="10">
        <v>49.3</v>
      </c>
      <c r="D1372" s="10">
        <v>44.37</v>
      </c>
      <c r="E1372" s="10">
        <v>32.045000000000002</v>
      </c>
      <c r="F1372" s="10">
        <v>19.72</v>
      </c>
      <c r="G1372" s="10">
        <v>7.3949999999999996</v>
      </c>
    </row>
    <row r="1373" spans="1:7" hidden="1">
      <c r="A1373" s="10" t="s">
        <v>289</v>
      </c>
      <c r="B1373" s="10" t="s">
        <v>64</v>
      </c>
      <c r="C1373" s="10">
        <v>10.199999999999999</v>
      </c>
      <c r="D1373" s="10">
        <v>9.18</v>
      </c>
      <c r="E1373" s="10">
        <v>6.63</v>
      </c>
      <c r="F1373" s="10">
        <v>4.08</v>
      </c>
      <c r="G1373" s="10">
        <v>1.5299999999999998</v>
      </c>
    </row>
    <row r="1374" spans="1:7" hidden="1">
      <c r="A1374" s="10" t="s">
        <v>290</v>
      </c>
      <c r="B1374" s="10" t="s">
        <v>64</v>
      </c>
      <c r="C1374" s="10">
        <v>2.5</v>
      </c>
      <c r="D1374" s="10">
        <v>2.25</v>
      </c>
      <c r="E1374" s="10">
        <v>1.625</v>
      </c>
      <c r="F1374" s="10">
        <v>1</v>
      </c>
      <c r="G1374" s="10">
        <v>0.375</v>
      </c>
    </row>
    <row r="1375" spans="1:7" hidden="1">
      <c r="A1375" s="10" t="s">
        <v>291</v>
      </c>
      <c r="B1375" s="10" t="s">
        <v>64</v>
      </c>
      <c r="C1375" s="10">
        <v>7.5</v>
      </c>
      <c r="D1375" s="10">
        <v>6.75</v>
      </c>
      <c r="E1375" s="10">
        <v>4.875</v>
      </c>
      <c r="F1375" s="10">
        <v>3</v>
      </c>
      <c r="G1375" s="10">
        <v>1.125</v>
      </c>
    </row>
    <row r="1376" spans="1:7" hidden="1">
      <c r="A1376" s="10" t="s">
        <v>292</v>
      </c>
      <c r="B1376" s="10" t="s">
        <v>64</v>
      </c>
      <c r="C1376" s="10">
        <v>3.8</v>
      </c>
      <c r="D1376" s="10">
        <v>3.42</v>
      </c>
      <c r="E1376" s="10">
        <v>2.4699999999999998</v>
      </c>
      <c r="F1376" s="10">
        <v>1.52</v>
      </c>
      <c r="G1376" s="10">
        <v>0.56999999999999995</v>
      </c>
    </row>
    <row r="1377" spans="1:7" hidden="1">
      <c r="A1377" s="10" t="s">
        <v>293</v>
      </c>
      <c r="B1377" s="10" t="s">
        <v>64</v>
      </c>
      <c r="C1377" s="10">
        <v>21</v>
      </c>
      <c r="D1377" s="10">
        <v>18.900000000000002</v>
      </c>
      <c r="E1377" s="10">
        <v>13.65</v>
      </c>
      <c r="F1377" s="10">
        <v>8.4</v>
      </c>
      <c r="G1377" s="10">
        <v>3.15</v>
      </c>
    </row>
    <row r="1378" spans="1:7" hidden="1">
      <c r="A1378" s="10" t="s">
        <v>309</v>
      </c>
      <c r="B1378" s="10" t="s">
        <v>64</v>
      </c>
      <c r="C1378" s="10">
        <v>2.7</v>
      </c>
      <c r="D1378" s="10">
        <v>2.4300000000000002</v>
      </c>
      <c r="E1378" s="10">
        <v>1.7550000000000001</v>
      </c>
      <c r="F1378" s="10">
        <v>1.08</v>
      </c>
      <c r="G1378" s="10">
        <v>0.40500000000000003</v>
      </c>
    </row>
    <row r="1379" spans="1:7" hidden="1">
      <c r="A1379" s="10" t="s">
        <v>294</v>
      </c>
      <c r="B1379" s="10" t="s">
        <v>64</v>
      </c>
      <c r="C1379" s="10">
        <v>0.5</v>
      </c>
      <c r="D1379" s="10">
        <v>0.45</v>
      </c>
      <c r="E1379" s="10">
        <v>0.32500000000000001</v>
      </c>
      <c r="F1379" s="10">
        <v>0.2</v>
      </c>
      <c r="G1379" s="10">
        <v>7.4999999999999997E-2</v>
      </c>
    </row>
    <row r="1380" spans="1:7" hidden="1">
      <c r="A1380" s="10" t="s">
        <v>310</v>
      </c>
      <c r="B1380" s="10" t="s">
        <v>64</v>
      </c>
      <c r="C1380" s="10">
        <v>1.5</v>
      </c>
      <c r="D1380" s="10">
        <v>1.35</v>
      </c>
      <c r="E1380" s="10">
        <v>0.97500000000000009</v>
      </c>
      <c r="F1380" s="10">
        <v>0.60000000000000009</v>
      </c>
      <c r="G1380" s="10">
        <v>0.22499999999999998</v>
      </c>
    </row>
    <row r="1381" spans="1:7" hidden="1">
      <c r="A1381" s="10" t="s">
        <v>297</v>
      </c>
      <c r="B1381" s="10" t="s">
        <v>64</v>
      </c>
      <c r="C1381" s="10">
        <v>9.1</v>
      </c>
      <c r="D1381" s="10">
        <v>8.19</v>
      </c>
      <c r="E1381" s="10">
        <v>5.915</v>
      </c>
      <c r="F1381" s="10">
        <v>3.64</v>
      </c>
      <c r="G1381" s="10">
        <v>1.365</v>
      </c>
    </row>
    <row r="1382" spans="1:7" hidden="1">
      <c r="A1382" s="10" t="s">
        <v>298</v>
      </c>
      <c r="B1382" s="10" t="s">
        <v>64</v>
      </c>
      <c r="C1382" s="10">
        <v>12.2</v>
      </c>
      <c r="D1382" s="10">
        <v>10.98</v>
      </c>
      <c r="E1382" s="10">
        <v>7.93</v>
      </c>
      <c r="F1382" s="10">
        <v>4.88</v>
      </c>
      <c r="G1382" s="10">
        <v>1.8299999999999998</v>
      </c>
    </row>
    <row r="1383" spans="1:7" hidden="1">
      <c r="A1383" s="10" t="s">
        <v>357</v>
      </c>
      <c r="B1383" s="10" t="s">
        <v>64</v>
      </c>
      <c r="C1383" s="10">
        <v>4.0999999999999996</v>
      </c>
      <c r="D1383" s="10">
        <v>3.69</v>
      </c>
      <c r="E1383" s="10">
        <v>2.665</v>
      </c>
      <c r="F1383" s="10">
        <v>1.64</v>
      </c>
      <c r="G1383" s="10">
        <v>0.61499999999999988</v>
      </c>
    </row>
    <row r="1384" spans="1:7" hidden="1">
      <c r="A1384" s="10" t="s">
        <v>299</v>
      </c>
      <c r="B1384" s="10" t="s">
        <v>64</v>
      </c>
      <c r="D1384" s="10">
        <v>0</v>
      </c>
      <c r="E1384" s="10">
        <v>0</v>
      </c>
      <c r="F1384" s="10">
        <v>0</v>
      </c>
      <c r="G1384" s="10">
        <v>0</v>
      </c>
    </row>
    <row r="1385" spans="1:7" hidden="1">
      <c r="A1385" s="10" t="s">
        <v>300</v>
      </c>
      <c r="B1385" s="10" t="s">
        <v>64</v>
      </c>
      <c r="C1385" s="10">
        <v>8.6999999999999993</v>
      </c>
      <c r="D1385" s="10">
        <v>7.8299999999999992</v>
      </c>
      <c r="E1385" s="10">
        <v>5.6549999999999994</v>
      </c>
      <c r="F1385" s="10">
        <v>3.48</v>
      </c>
      <c r="G1385" s="10">
        <v>1.3049999999999999</v>
      </c>
    </row>
    <row r="1386" spans="1:7" hidden="1">
      <c r="A1386" s="10" t="s">
        <v>301</v>
      </c>
      <c r="B1386" s="10" t="s">
        <v>64</v>
      </c>
      <c r="C1386" s="10">
        <v>11.1</v>
      </c>
      <c r="D1386" s="10">
        <v>9.99</v>
      </c>
      <c r="E1386" s="10">
        <v>7.2149999999999999</v>
      </c>
      <c r="F1386" s="10">
        <v>4.4400000000000004</v>
      </c>
      <c r="G1386" s="10">
        <v>1.6649999999999998</v>
      </c>
    </row>
    <row r="1387" spans="1:7" hidden="1">
      <c r="A1387" s="10" t="s">
        <v>303</v>
      </c>
      <c r="B1387" s="10" t="s">
        <v>64</v>
      </c>
      <c r="C1387" s="10">
        <v>11.4</v>
      </c>
      <c r="D1387" s="10">
        <v>10.26</v>
      </c>
      <c r="E1387" s="10">
        <v>7.41</v>
      </c>
      <c r="F1387" s="10">
        <v>4.5600000000000005</v>
      </c>
      <c r="G1387" s="10">
        <v>1.71</v>
      </c>
    </row>
    <row r="1388" spans="1:7" hidden="1">
      <c r="A1388" s="10" t="s">
        <v>304</v>
      </c>
      <c r="B1388" s="10" t="s">
        <v>64</v>
      </c>
      <c r="C1388" s="10">
        <v>2.5</v>
      </c>
      <c r="D1388" s="10">
        <v>2.25</v>
      </c>
      <c r="E1388" s="10">
        <v>1.625</v>
      </c>
      <c r="F1388" s="10">
        <v>1</v>
      </c>
      <c r="G1388" s="10">
        <v>0.375</v>
      </c>
    </row>
    <row r="1389" spans="1:7" hidden="1">
      <c r="A1389" s="10" t="s">
        <v>305</v>
      </c>
      <c r="B1389" s="10" t="s">
        <v>64</v>
      </c>
      <c r="C1389" s="10">
        <v>2.1</v>
      </c>
      <c r="D1389" s="10">
        <v>1.8900000000000001</v>
      </c>
      <c r="E1389" s="10">
        <v>1.3650000000000002</v>
      </c>
      <c r="F1389" s="10">
        <v>0.84000000000000008</v>
      </c>
      <c r="G1389" s="10">
        <v>0.315</v>
      </c>
    </row>
    <row r="1390" spans="1:7" hidden="1">
      <c r="A1390" s="10" t="s">
        <v>356</v>
      </c>
      <c r="B1390" s="10" t="s">
        <v>64</v>
      </c>
      <c r="D1390" s="10">
        <v>0</v>
      </c>
      <c r="E1390" s="10">
        <v>0</v>
      </c>
      <c r="F1390" s="10">
        <v>0</v>
      </c>
      <c r="G1390" s="10">
        <v>0</v>
      </c>
    </row>
    <row r="1391" spans="1:7" hidden="1">
      <c r="A1391" s="10" t="s">
        <v>307</v>
      </c>
      <c r="B1391" s="10" t="s">
        <v>64</v>
      </c>
      <c r="C1391" s="10">
        <v>15.8</v>
      </c>
      <c r="D1391" s="10">
        <v>14.22</v>
      </c>
      <c r="E1391" s="10">
        <v>10.270000000000001</v>
      </c>
      <c r="F1391" s="10">
        <v>6.32</v>
      </c>
      <c r="G1391" s="10">
        <v>2.37</v>
      </c>
    </row>
    <row r="1392" spans="1:7" hidden="1">
      <c r="A1392" s="10" t="s">
        <v>278</v>
      </c>
      <c r="B1392" s="10" t="s">
        <v>63</v>
      </c>
      <c r="C1392" s="10">
        <v>194.2</v>
      </c>
      <c r="D1392" s="10">
        <v>174.78</v>
      </c>
      <c r="E1392" s="10">
        <v>126.23</v>
      </c>
      <c r="F1392" s="10">
        <v>77.680000000000007</v>
      </c>
      <c r="G1392" s="10">
        <v>29.129999999999995</v>
      </c>
    </row>
    <row r="1393" spans="1:7" hidden="1">
      <c r="A1393" s="10" t="s">
        <v>280</v>
      </c>
      <c r="B1393" s="10" t="s">
        <v>63</v>
      </c>
      <c r="C1393" s="10">
        <v>267.3</v>
      </c>
      <c r="D1393" s="10">
        <v>240.57000000000002</v>
      </c>
      <c r="E1393" s="10">
        <v>173.745</v>
      </c>
      <c r="F1393" s="10">
        <v>106.92000000000002</v>
      </c>
      <c r="G1393" s="10">
        <v>40.094999999999999</v>
      </c>
    </row>
    <row r="1394" spans="1:7" hidden="1">
      <c r="A1394" s="10" t="s">
        <v>281</v>
      </c>
      <c r="B1394" s="10" t="s">
        <v>63</v>
      </c>
      <c r="C1394" s="10">
        <v>150.9</v>
      </c>
      <c r="D1394" s="10">
        <v>135.81</v>
      </c>
      <c r="E1394" s="10">
        <v>98.085000000000008</v>
      </c>
      <c r="F1394" s="10">
        <v>60.360000000000007</v>
      </c>
      <c r="G1394" s="10">
        <v>22.635000000000002</v>
      </c>
    </row>
    <row r="1395" spans="1:7" hidden="1">
      <c r="A1395" s="10" t="s">
        <v>282</v>
      </c>
      <c r="B1395" s="10" t="s">
        <v>63</v>
      </c>
      <c r="C1395" s="10">
        <v>225.4</v>
      </c>
      <c r="D1395" s="10">
        <v>202.86</v>
      </c>
      <c r="E1395" s="10">
        <v>146.51000000000002</v>
      </c>
      <c r="F1395" s="10">
        <v>90.160000000000011</v>
      </c>
      <c r="G1395" s="10">
        <v>33.81</v>
      </c>
    </row>
    <row r="1396" spans="1:7" hidden="1">
      <c r="A1396" s="10" t="s">
        <v>283</v>
      </c>
      <c r="B1396" s="10" t="s">
        <v>63</v>
      </c>
      <c r="C1396" s="10">
        <v>211.2</v>
      </c>
      <c r="D1396" s="10">
        <v>190.07999999999998</v>
      </c>
      <c r="E1396" s="10">
        <v>137.28</v>
      </c>
      <c r="F1396" s="10">
        <v>84.48</v>
      </c>
      <c r="G1396" s="10">
        <v>31.679999999999996</v>
      </c>
    </row>
    <row r="1397" spans="1:7" hidden="1">
      <c r="A1397" s="10" t="s">
        <v>284</v>
      </c>
      <c r="B1397" s="10" t="s">
        <v>63</v>
      </c>
      <c r="C1397" s="10">
        <v>2180.3000000000002</v>
      </c>
      <c r="D1397" s="10">
        <v>1962.2700000000002</v>
      </c>
      <c r="E1397" s="10">
        <v>1417.1950000000002</v>
      </c>
      <c r="F1397" s="10">
        <v>872.12000000000012</v>
      </c>
      <c r="G1397" s="10">
        <v>327.04500000000002</v>
      </c>
    </row>
    <row r="1398" spans="1:7" hidden="1">
      <c r="A1398" s="10" t="s">
        <v>285</v>
      </c>
      <c r="B1398" s="10" t="s">
        <v>63</v>
      </c>
      <c r="C1398" s="10">
        <v>151.5</v>
      </c>
      <c r="D1398" s="10">
        <v>136.35</v>
      </c>
      <c r="E1398" s="10">
        <v>98.475000000000009</v>
      </c>
      <c r="F1398" s="10">
        <v>60.6</v>
      </c>
      <c r="G1398" s="10">
        <v>22.724999999999998</v>
      </c>
    </row>
    <row r="1399" spans="1:7" hidden="1">
      <c r="A1399" s="10" t="s">
        <v>308</v>
      </c>
      <c r="B1399" s="10" t="s">
        <v>63</v>
      </c>
      <c r="C1399" s="10">
        <v>36.1</v>
      </c>
      <c r="D1399" s="10">
        <v>32.49</v>
      </c>
      <c r="E1399" s="10">
        <v>23.465000000000003</v>
      </c>
      <c r="F1399" s="10">
        <v>14.440000000000001</v>
      </c>
      <c r="G1399" s="10">
        <v>5.415</v>
      </c>
    </row>
    <row r="1400" spans="1:7" hidden="1">
      <c r="A1400" s="10" t="s">
        <v>286</v>
      </c>
      <c r="B1400" s="10" t="s">
        <v>63</v>
      </c>
      <c r="C1400" s="10">
        <v>824.2</v>
      </c>
      <c r="D1400" s="10">
        <v>741.78000000000009</v>
      </c>
      <c r="E1400" s="10">
        <v>535.73</v>
      </c>
      <c r="F1400" s="10">
        <v>329.68000000000006</v>
      </c>
      <c r="G1400" s="10">
        <v>123.63</v>
      </c>
    </row>
    <row r="1401" spans="1:7" hidden="1">
      <c r="A1401" s="10" t="s">
        <v>287</v>
      </c>
      <c r="B1401" s="10" t="s">
        <v>63</v>
      </c>
      <c r="C1401" s="10">
        <v>167</v>
      </c>
      <c r="D1401" s="10">
        <v>150.30000000000001</v>
      </c>
      <c r="E1401" s="10">
        <v>108.55</v>
      </c>
      <c r="F1401" s="10">
        <v>66.8</v>
      </c>
      <c r="G1401" s="10">
        <v>25.05</v>
      </c>
    </row>
    <row r="1402" spans="1:7">
      <c r="A1402" s="10" t="s">
        <v>288</v>
      </c>
      <c r="B1402" s="10" t="s">
        <v>63</v>
      </c>
      <c r="C1402" s="10">
        <v>1807.4</v>
      </c>
      <c r="D1402" s="10">
        <v>1626.66</v>
      </c>
      <c r="E1402" s="10">
        <v>1174.8100000000002</v>
      </c>
      <c r="F1402" s="10">
        <v>722.96</v>
      </c>
      <c r="G1402" s="10">
        <v>271.11</v>
      </c>
    </row>
    <row r="1403" spans="1:7" hidden="1">
      <c r="A1403" s="10" t="s">
        <v>289</v>
      </c>
      <c r="B1403" s="10" t="s">
        <v>63</v>
      </c>
      <c r="C1403" s="10">
        <v>277.7</v>
      </c>
      <c r="D1403" s="10">
        <v>249.93</v>
      </c>
      <c r="E1403" s="10">
        <v>180.505</v>
      </c>
      <c r="F1403" s="10">
        <v>111.08</v>
      </c>
      <c r="G1403" s="10">
        <v>41.654999999999994</v>
      </c>
    </row>
    <row r="1404" spans="1:7" hidden="1">
      <c r="A1404" s="10" t="s">
        <v>290</v>
      </c>
      <c r="B1404" s="10" t="s">
        <v>63</v>
      </c>
      <c r="C1404" s="10">
        <v>65.8</v>
      </c>
      <c r="D1404" s="10">
        <v>59.22</v>
      </c>
      <c r="E1404" s="10">
        <v>42.77</v>
      </c>
      <c r="F1404" s="10">
        <v>26.32</v>
      </c>
      <c r="G1404" s="10">
        <v>9.8699999999999992</v>
      </c>
    </row>
    <row r="1405" spans="1:7" hidden="1">
      <c r="A1405" s="10" t="s">
        <v>291</v>
      </c>
      <c r="B1405" s="10" t="s">
        <v>63</v>
      </c>
      <c r="C1405" s="10">
        <v>182.8</v>
      </c>
      <c r="D1405" s="10">
        <v>164.52</v>
      </c>
      <c r="E1405" s="10">
        <v>118.82000000000001</v>
      </c>
      <c r="F1405" s="10">
        <v>73.12</v>
      </c>
      <c r="G1405" s="10">
        <v>27.42</v>
      </c>
    </row>
    <row r="1406" spans="1:7" hidden="1">
      <c r="A1406" s="10" t="s">
        <v>292</v>
      </c>
      <c r="B1406" s="10" t="s">
        <v>63</v>
      </c>
      <c r="C1406" s="10">
        <v>152.1</v>
      </c>
      <c r="D1406" s="10">
        <v>136.88999999999999</v>
      </c>
      <c r="E1406" s="10">
        <v>98.864999999999995</v>
      </c>
      <c r="F1406" s="10">
        <v>60.84</v>
      </c>
      <c r="G1406" s="10">
        <v>22.814999999999998</v>
      </c>
    </row>
    <row r="1407" spans="1:7" hidden="1">
      <c r="A1407" s="10" t="s">
        <v>293</v>
      </c>
      <c r="B1407" s="10" t="s">
        <v>63</v>
      </c>
      <c r="C1407" s="10">
        <v>1831.8</v>
      </c>
      <c r="D1407" s="10">
        <v>1648.62</v>
      </c>
      <c r="E1407" s="10">
        <v>1190.67</v>
      </c>
      <c r="F1407" s="10">
        <v>732.72</v>
      </c>
      <c r="G1407" s="10">
        <v>274.77</v>
      </c>
    </row>
    <row r="1408" spans="1:7" hidden="1">
      <c r="A1408" s="10" t="s">
        <v>309</v>
      </c>
      <c r="B1408" s="10" t="s">
        <v>63</v>
      </c>
      <c r="C1408" s="10">
        <v>73.900000000000006</v>
      </c>
      <c r="D1408" s="10">
        <v>66.510000000000005</v>
      </c>
      <c r="E1408" s="10">
        <v>48.035000000000004</v>
      </c>
      <c r="F1408" s="10">
        <v>29.560000000000002</v>
      </c>
      <c r="G1408" s="10">
        <v>11.085000000000001</v>
      </c>
    </row>
    <row r="1409" spans="1:7" hidden="1">
      <c r="A1409" s="10" t="s">
        <v>294</v>
      </c>
      <c r="B1409" s="10" t="s">
        <v>63</v>
      </c>
      <c r="C1409" s="10">
        <v>20.100000000000001</v>
      </c>
      <c r="D1409" s="10">
        <v>18.090000000000003</v>
      </c>
      <c r="E1409" s="10">
        <v>13.065000000000001</v>
      </c>
      <c r="F1409" s="10">
        <v>8.0400000000000009</v>
      </c>
      <c r="G1409" s="10">
        <v>3.0150000000000001</v>
      </c>
    </row>
    <row r="1410" spans="1:7" hidden="1">
      <c r="A1410" s="10" t="s">
        <v>310</v>
      </c>
      <c r="B1410" s="10" t="s">
        <v>63</v>
      </c>
      <c r="C1410" s="10">
        <v>38.9</v>
      </c>
      <c r="D1410" s="10">
        <v>35.01</v>
      </c>
      <c r="E1410" s="10">
        <v>25.285</v>
      </c>
      <c r="F1410" s="10">
        <v>15.56</v>
      </c>
      <c r="G1410" s="10">
        <v>5.835</v>
      </c>
    </row>
    <row r="1411" spans="1:7" hidden="1">
      <c r="A1411" s="10" t="s">
        <v>297</v>
      </c>
      <c r="B1411" s="10" t="s">
        <v>63</v>
      </c>
      <c r="C1411" s="10">
        <v>332.9</v>
      </c>
      <c r="D1411" s="10">
        <v>299.61</v>
      </c>
      <c r="E1411" s="10">
        <v>216.38499999999999</v>
      </c>
      <c r="F1411" s="10">
        <v>133.16</v>
      </c>
      <c r="G1411" s="10">
        <v>49.934999999999995</v>
      </c>
    </row>
    <row r="1412" spans="1:7" hidden="1">
      <c r="A1412" s="10" t="s">
        <v>298</v>
      </c>
      <c r="B1412" s="10" t="s">
        <v>63</v>
      </c>
      <c r="C1412" s="10">
        <v>154.69999999999999</v>
      </c>
      <c r="D1412" s="10">
        <v>139.22999999999999</v>
      </c>
      <c r="E1412" s="10">
        <v>100.55499999999999</v>
      </c>
      <c r="F1412" s="10">
        <v>61.879999999999995</v>
      </c>
      <c r="G1412" s="10">
        <v>23.204999999999998</v>
      </c>
    </row>
    <row r="1413" spans="1:7" hidden="1">
      <c r="A1413" s="10" t="s">
        <v>357</v>
      </c>
      <c r="B1413" s="10" t="s">
        <v>63</v>
      </c>
      <c r="C1413" s="10">
        <v>110.9</v>
      </c>
      <c r="D1413" s="10">
        <v>99.81</v>
      </c>
      <c r="E1413" s="10">
        <v>72.085000000000008</v>
      </c>
      <c r="F1413" s="10">
        <v>44.360000000000007</v>
      </c>
      <c r="G1413" s="10">
        <v>16.635000000000002</v>
      </c>
    </row>
    <row r="1414" spans="1:7" hidden="1">
      <c r="A1414" s="10" t="s">
        <v>299</v>
      </c>
      <c r="B1414" s="10" t="s">
        <v>63</v>
      </c>
      <c r="C1414" s="10">
        <v>547.6</v>
      </c>
      <c r="D1414" s="10">
        <v>492.84000000000003</v>
      </c>
      <c r="E1414" s="10">
        <v>355.94000000000005</v>
      </c>
      <c r="F1414" s="10">
        <v>219.04000000000002</v>
      </c>
      <c r="G1414" s="10">
        <v>82.14</v>
      </c>
    </row>
    <row r="1415" spans="1:7" hidden="1">
      <c r="A1415" s="10" t="s">
        <v>300</v>
      </c>
      <c r="B1415" s="10" t="s">
        <v>63</v>
      </c>
      <c r="C1415" s="10">
        <v>230.7</v>
      </c>
      <c r="D1415" s="10">
        <v>207.63</v>
      </c>
      <c r="E1415" s="10">
        <v>149.95499999999998</v>
      </c>
      <c r="F1415" s="10">
        <v>92.28</v>
      </c>
      <c r="G1415" s="10">
        <v>34.604999999999997</v>
      </c>
    </row>
    <row r="1416" spans="1:7" hidden="1">
      <c r="A1416" s="10" t="s">
        <v>301</v>
      </c>
      <c r="B1416" s="10" t="s">
        <v>63</v>
      </c>
      <c r="C1416" s="10">
        <v>274</v>
      </c>
      <c r="D1416" s="10">
        <v>246.6</v>
      </c>
      <c r="E1416" s="10">
        <v>178.1</v>
      </c>
      <c r="F1416" s="10">
        <v>109.60000000000001</v>
      </c>
      <c r="G1416" s="10">
        <v>41.1</v>
      </c>
    </row>
    <row r="1417" spans="1:7" hidden="1">
      <c r="A1417" s="10" t="s">
        <v>303</v>
      </c>
      <c r="B1417" s="10" t="s">
        <v>63</v>
      </c>
      <c r="C1417" s="10">
        <v>278.7</v>
      </c>
      <c r="D1417" s="10">
        <v>250.82999999999998</v>
      </c>
      <c r="E1417" s="10">
        <v>181.155</v>
      </c>
      <c r="F1417" s="10">
        <v>111.48</v>
      </c>
      <c r="G1417" s="10">
        <v>41.805</v>
      </c>
    </row>
    <row r="1418" spans="1:7" hidden="1">
      <c r="A1418" s="10" t="s">
        <v>304</v>
      </c>
      <c r="B1418" s="10" t="s">
        <v>63</v>
      </c>
      <c r="C1418" s="10">
        <v>69.8</v>
      </c>
      <c r="D1418" s="10">
        <v>62.82</v>
      </c>
      <c r="E1418" s="10">
        <v>45.37</v>
      </c>
      <c r="F1418" s="10">
        <v>27.92</v>
      </c>
      <c r="G1418" s="10">
        <v>10.469999999999999</v>
      </c>
    </row>
    <row r="1419" spans="1:7" hidden="1">
      <c r="A1419" s="10" t="s">
        <v>305</v>
      </c>
      <c r="B1419" s="10" t="s">
        <v>63</v>
      </c>
      <c r="C1419" s="10">
        <v>77</v>
      </c>
      <c r="D1419" s="10">
        <v>69.3</v>
      </c>
      <c r="E1419" s="10">
        <v>50.050000000000004</v>
      </c>
      <c r="F1419" s="10">
        <v>30.8</v>
      </c>
      <c r="G1419" s="10">
        <v>11.549999999999999</v>
      </c>
    </row>
    <row r="1420" spans="1:7" hidden="1">
      <c r="A1420" s="10" t="s">
        <v>356</v>
      </c>
      <c r="B1420" s="10" t="s">
        <v>63</v>
      </c>
      <c r="C1420" s="10">
        <v>1574.5</v>
      </c>
      <c r="D1420" s="10">
        <v>1417.05</v>
      </c>
      <c r="E1420" s="10">
        <v>1023.4250000000001</v>
      </c>
      <c r="F1420" s="10">
        <v>629.80000000000007</v>
      </c>
      <c r="G1420" s="10">
        <v>236.17499999999998</v>
      </c>
    </row>
    <row r="1421" spans="1:7" hidden="1">
      <c r="A1421" s="10" t="s">
        <v>307</v>
      </c>
      <c r="B1421" s="10" t="s">
        <v>63</v>
      </c>
      <c r="C1421" s="10">
        <v>586.6</v>
      </c>
      <c r="D1421" s="10">
        <v>527.94000000000005</v>
      </c>
      <c r="E1421" s="10">
        <v>381.29</v>
      </c>
      <c r="F1421" s="10">
        <v>234.64000000000001</v>
      </c>
      <c r="G1421" s="10">
        <v>87.99</v>
      </c>
    </row>
  </sheetData>
  <autoFilter ref="A5:J1421" xr:uid="{00000000-0009-0000-0000-00001E000000}">
    <filterColumn colId="0">
      <filters>
        <filter val="FR"/>
      </filters>
    </filterColumn>
    <sortState xmlns:xlrd2="http://schemas.microsoft.com/office/spreadsheetml/2017/richdata2" ref="A6:J1140">
      <sortCondition ref="A5:A1140"/>
    </sortState>
  </autoFilter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16"/>
  <dimension ref="A1:P206"/>
  <sheetViews>
    <sheetView tabSelected="1" topLeftCell="A175" zoomScale="90" zoomScaleNormal="90" zoomScalePageLayoutView="90" workbookViewId="0">
      <selection activeCell="D182" sqref="D182"/>
    </sheetView>
  </sheetViews>
  <sheetFormatPr defaultColWidth="11.42578125" defaultRowHeight="15"/>
  <cols>
    <col min="1" max="1" width="11.42578125" style="58"/>
    <col min="2" max="2" width="28.5703125" style="58" customWidth="1"/>
    <col min="3" max="10" width="12.42578125" style="58" bestFit="1" customWidth="1"/>
    <col min="11" max="11" width="2.85546875" style="58" customWidth="1"/>
    <col min="12" max="15" width="11.42578125" style="58"/>
    <col min="16" max="16" width="12.140625" style="58" bestFit="1" customWidth="1"/>
    <col min="17" max="16384" width="11.42578125" style="58"/>
  </cols>
  <sheetData>
    <row r="1" spans="1:10">
      <c r="A1" s="10" t="s">
        <v>438</v>
      </c>
    </row>
    <row r="2" spans="1:10">
      <c r="A2" s="10" t="s">
        <v>437</v>
      </c>
    </row>
    <row r="3" spans="1:10">
      <c r="A3" s="10" t="s">
        <v>417</v>
      </c>
    </row>
    <row r="5" spans="1:10">
      <c r="A5" s="58" t="s">
        <v>20</v>
      </c>
      <c r="B5" s="58" t="s">
        <v>26</v>
      </c>
      <c r="C5" s="58">
        <v>2018</v>
      </c>
      <c r="D5" s="58">
        <v>2020</v>
      </c>
      <c r="E5" s="58">
        <v>2025</v>
      </c>
      <c r="F5" s="58">
        <v>2030</v>
      </c>
      <c r="G5" s="58">
        <v>2035</v>
      </c>
      <c r="H5" s="58">
        <v>2040</v>
      </c>
      <c r="I5" s="58">
        <v>2045</v>
      </c>
      <c r="J5" s="58">
        <v>2050</v>
      </c>
    </row>
    <row r="6" spans="1:10">
      <c r="A6" s="58" t="s">
        <v>284</v>
      </c>
      <c r="B6" s="10" t="s">
        <v>175</v>
      </c>
      <c r="C6" s="58">
        <v>1</v>
      </c>
      <c r="D6" s="58">
        <v>1</v>
      </c>
      <c r="E6" s="58">
        <v>1</v>
      </c>
      <c r="F6" s="58">
        <v>1</v>
      </c>
      <c r="G6" s="58">
        <v>1</v>
      </c>
      <c r="H6" s="58">
        <v>1</v>
      </c>
      <c r="I6" s="58">
        <v>1</v>
      </c>
      <c r="J6" s="58">
        <v>1</v>
      </c>
    </row>
    <row r="7" spans="1:10">
      <c r="A7" s="58" t="s">
        <v>284</v>
      </c>
      <c r="B7" s="10" t="s">
        <v>176</v>
      </c>
      <c r="C7" s="58">
        <v>1</v>
      </c>
      <c r="D7" s="58">
        <v>1</v>
      </c>
      <c r="E7" s="58">
        <v>1</v>
      </c>
      <c r="F7" s="58">
        <v>1</v>
      </c>
      <c r="G7" s="58">
        <v>1</v>
      </c>
      <c r="H7" s="58">
        <v>1</v>
      </c>
      <c r="I7" s="58">
        <v>1</v>
      </c>
      <c r="J7" s="58">
        <v>1</v>
      </c>
    </row>
    <row r="8" spans="1:10">
      <c r="A8" s="58" t="s">
        <v>284</v>
      </c>
      <c r="B8" s="58" t="s">
        <v>140</v>
      </c>
      <c r="C8" s="58">
        <v>1</v>
      </c>
      <c r="D8" s="58">
        <v>1</v>
      </c>
      <c r="E8" s="58">
        <v>1</v>
      </c>
      <c r="F8" s="58">
        <v>1</v>
      </c>
      <c r="G8" s="58">
        <v>1</v>
      </c>
      <c r="H8" s="58">
        <v>1</v>
      </c>
      <c r="I8" s="58">
        <v>1</v>
      </c>
      <c r="J8" s="58">
        <v>1</v>
      </c>
    </row>
    <row r="9" spans="1:10">
      <c r="A9" s="58" t="s">
        <v>284</v>
      </c>
      <c r="B9" s="58" t="s">
        <v>141</v>
      </c>
      <c r="C9" s="58">
        <v>1</v>
      </c>
      <c r="D9" s="58">
        <v>1</v>
      </c>
      <c r="E9" s="58">
        <v>1</v>
      </c>
      <c r="F9" s="58">
        <v>1</v>
      </c>
      <c r="G9" s="58">
        <v>1</v>
      </c>
      <c r="H9" s="58">
        <v>1</v>
      </c>
      <c r="I9" s="58">
        <v>1</v>
      </c>
      <c r="J9" s="58">
        <v>1</v>
      </c>
    </row>
    <row r="10" spans="1:10">
      <c r="A10" s="58" t="s">
        <v>284</v>
      </c>
      <c r="B10" s="58" t="s">
        <v>152</v>
      </c>
      <c r="C10" s="58">
        <v>1</v>
      </c>
      <c r="D10" s="58">
        <v>1</v>
      </c>
      <c r="E10" s="58">
        <v>1</v>
      </c>
      <c r="F10" s="58">
        <v>1</v>
      </c>
      <c r="G10" s="58">
        <v>1</v>
      </c>
      <c r="H10" s="58">
        <v>1</v>
      </c>
      <c r="I10" s="58">
        <v>1</v>
      </c>
      <c r="J10" s="58">
        <v>1</v>
      </c>
    </row>
    <row r="11" spans="1:10">
      <c r="A11" s="58" t="s">
        <v>284</v>
      </c>
      <c r="B11" s="58" t="s">
        <v>153</v>
      </c>
      <c r="C11" s="58">
        <v>1</v>
      </c>
      <c r="D11" s="58">
        <v>1</v>
      </c>
      <c r="E11" s="58">
        <v>1</v>
      </c>
      <c r="F11" s="58">
        <v>1</v>
      </c>
      <c r="G11" s="58">
        <v>1</v>
      </c>
      <c r="H11" s="58">
        <v>1</v>
      </c>
      <c r="I11" s="58">
        <v>1</v>
      </c>
      <c r="J11" s="58">
        <v>1</v>
      </c>
    </row>
    <row r="12" spans="1:10">
      <c r="A12" s="58" t="s">
        <v>284</v>
      </c>
      <c r="B12" s="58" t="s">
        <v>250</v>
      </c>
      <c r="C12" s="58">
        <v>1</v>
      </c>
      <c r="D12" s="58">
        <v>1</v>
      </c>
      <c r="E12" s="58">
        <v>1</v>
      </c>
      <c r="F12" s="58">
        <v>1</v>
      </c>
      <c r="G12" s="58">
        <v>1</v>
      </c>
      <c r="H12" s="58">
        <v>1</v>
      </c>
      <c r="I12" s="58">
        <v>1</v>
      </c>
      <c r="J12" s="58">
        <v>1</v>
      </c>
    </row>
    <row r="13" spans="1:10">
      <c r="A13" s="58" t="s">
        <v>284</v>
      </c>
      <c r="B13" s="58" t="s">
        <v>252</v>
      </c>
      <c r="C13" s="58">
        <v>1</v>
      </c>
      <c r="D13" s="58">
        <v>1</v>
      </c>
      <c r="E13" s="58">
        <v>1</v>
      </c>
      <c r="F13" s="58">
        <v>1</v>
      </c>
      <c r="G13" s="58">
        <v>1</v>
      </c>
      <c r="H13" s="58">
        <v>1</v>
      </c>
      <c r="I13" s="58">
        <v>1</v>
      </c>
      <c r="J13" s="58">
        <v>1</v>
      </c>
    </row>
    <row r="14" spans="1:10">
      <c r="A14" s="58" t="s">
        <v>284</v>
      </c>
      <c r="B14" s="58" t="s">
        <v>139</v>
      </c>
      <c r="C14" s="58">
        <v>1</v>
      </c>
      <c r="D14" s="58">
        <v>1</v>
      </c>
      <c r="E14" s="58">
        <v>1</v>
      </c>
      <c r="F14" s="58">
        <v>1</v>
      </c>
      <c r="G14" s="58">
        <v>1</v>
      </c>
      <c r="H14" s="58">
        <v>1</v>
      </c>
      <c r="I14" s="58">
        <v>1</v>
      </c>
      <c r="J14" s="58">
        <v>1</v>
      </c>
    </row>
    <row r="15" spans="1:10">
      <c r="A15" s="58" t="s">
        <v>284</v>
      </c>
      <c r="B15" s="58" t="s">
        <v>142</v>
      </c>
      <c r="C15" s="58">
        <v>1</v>
      </c>
      <c r="D15" s="58">
        <v>1</v>
      </c>
      <c r="E15" s="58">
        <v>1</v>
      </c>
      <c r="F15" s="58">
        <v>1</v>
      </c>
      <c r="G15" s="58">
        <v>1</v>
      </c>
      <c r="H15" s="58">
        <v>1</v>
      </c>
      <c r="I15" s="58">
        <v>1</v>
      </c>
      <c r="J15" s="58">
        <v>1</v>
      </c>
    </row>
    <row r="16" spans="1:10">
      <c r="A16" s="58" t="s">
        <v>284</v>
      </c>
      <c r="B16" s="58" t="s">
        <v>196</v>
      </c>
      <c r="C16" s="58">
        <v>1</v>
      </c>
      <c r="D16" s="58">
        <v>1</v>
      </c>
      <c r="E16" s="58">
        <v>1</v>
      </c>
      <c r="F16" s="58">
        <v>1</v>
      </c>
      <c r="G16" s="58">
        <v>1</v>
      </c>
      <c r="H16" s="58">
        <v>1</v>
      </c>
      <c r="I16" s="58">
        <v>1</v>
      </c>
      <c r="J16" s="58">
        <v>1</v>
      </c>
    </row>
    <row r="17" spans="1:10">
      <c r="A17" s="58" t="s">
        <v>284</v>
      </c>
      <c r="B17" s="58" t="s">
        <v>134</v>
      </c>
      <c r="C17" s="58">
        <v>0.95</v>
      </c>
      <c r="D17" s="58">
        <v>0.94999999999999984</v>
      </c>
      <c r="E17" s="58">
        <v>0.95</v>
      </c>
      <c r="F17" s="58">
        <v>0.95</v>
      </c>
      <c r="G17" s="58">
        <v>0.95</v>
      </c>
      <c r="H17" s="58">
        <v>0.95</v>
      </c>
      <c r="I17" s="58">
        <v>0.94999999999999984</v>
      </c>
      <c r="J17" s="58">
        <v>0.95</v>
      </c>
    </row>
    <row r="18" spans="1:10">
      <c r="A18" s="58" t="s">
        <v>284</v>
      </c>
      <c r="B18" s="58" t="s">
        <v>135</v>
      </c>
      <c r="C18" s="58">
        <v>0.95</v>
      </c>
      <c r="D18" s="58">
        <v>0.94999999999999984</v>
      </c>
      <c r="E18" s="58">
        <v>0.95</v>
      </c>
      <c r="F18" s="58">
        <v>0.95</v>
      </c>
      <c r="G18" s="58">
        <v>0.95</v>
      </c>
      <c r="H18" s="58">
        <v>0.95</v>
      </c>
      <c r="I18" s="58">
        <v>0.94999999999999984</v>
      </c>
      <c r="J18" s="58">
        <v>0.95</v>
      </c>
    </row>
    <row r="19" spans="1:10">
      <c r="A19" s="58" t="s">
        <v>284</v>
      </c>
      <c r="B19" s="58" t="s">
        <v>181</v>
      </c>
      <c r="C19" s="58">
        <v>0</v>
      </c>
      <c r="D19" s="58">
        <v>0</v>
      </c>
      <c r="E19" s="58">
        <v>0</v>
      </c>
      <c r="F19" s="58">
        <v>0.95</v>
      </c>
      <c r="G19" s="58">
        <v>0.95</v>
      </c>
      <c r="H19" s="58">
        <v>0.95</v>
      </c>
      <c r="I19" s="58">
        <v>0.94999999999999984</v>
      </c>
      <c r="J19" s="58">
        <v>0.95</v>
      </c>
    </row>
    <row r="20" spans="1:10">
      <c r="A20" s="58" t="s">
        <v>284</v>
      </c>
      <c r="B20" s="58" t="s">
        <v>129</v>
      </c>
      <c r="C20" s="58">
        <v>0</v>
      </c>
      <c r="D20" s="58">
        <v>0.91734003623078653</v>
      </c>
      <c r="E20" s="58">
        <v>0.9325813526564195</v>
      </c>
      <c r="F20" s="58">
        <v>0.93639168176282772</v>
      </c>
      <c r="G20" s="58">
        <v>0.93829684631603183</v>
      </c>
      <c r="H20" s="58">
        <v>0.93924942859263383</v>
      </c>
      <c r="I20" s="58">
        <v>0.93972571973093488</v>
      </c>
      <c r="J20" s="58">
        <v>0.94020201086923594</v>
      </c>
    </row>
    <row r="21" spans="1:10">
      <c r="A21" s="58" t="s">
        <v>284</v>
      </c>
      <c r="B21" s="58" t="s">
        <v>61</v>
      </c>
      <c r="C21" s="58">
        <v>0</v>
      </c>
      <c r="D21" s="58">
        <v>0</v>
      </c>
      <c r="E21" s="58">
        <v>0.95</v>
      </c>
      <c r="F21" s="58">
        <v>0.95</v>
      </c>
      <c r="G21" s="58">
        <v>0.95</v>
      </c>
      <c r="H21" s="58">
        <v>0.95</v>
      </c>
      <c r="I21" s="58">
        <v>0.94999999999999984</v>
      </c>
      <c r="J21" s="58">
        <v>0.95</v>
      </c>
    </row>
    <row r="22" spans="1:10">
      <c r="A22" s="58" t="s">
        <v>284</v>
      </c>
      <c r="B22" s="58" t="s">
        <v>130</v>
      </c>
      <c r="C22" s="58">
        <v>0.95</v>
      </c>
      <c r="D22" s="58">
        <v>0.94999999999999984</v>
      </c>
      <c r="E22" s="58">
        <v>0.95</v>
      </c>
      <c r="F22" s="58">
        <v>0.95</v>
      </c>
      <c r="G22" s="58">
        <v>0.95</v>
      </c>
      <c r="H22" s="58">
        <v>0.95</v>
      </c>
      <c r="I22" s="58">
        <v>0.94999999999999984</v>
      </c>
      <c r="J22" s="58">
        <v>0.95</v>
      </c>
    </row>
    <row r="23" spans="1:10">
      <c r="A23" s="58" t="s">
        <v>284</v>
      </c>
      <c r="B23" s="58" t="s">
        <v>131</v>
      </c>
      <c r="C23" s="58">
        <v>0</v>
      </c>
      <c r="D23" s="58">
        <v>0.94999999999999984</v>
      </c>
      <c r="E23" s="58">
        <v>0.95</v>
      </c>
      <c r="F23" s="58">
        <v>0.95</v>
      </c>
      <c r="G23" s="58">
        <v>0.95</v>
      </c>
      <c r="H23" s="58">
        <v>0.95</v>
      </c>
      <c r="I23" s="58">
        <v>0.94999999999999984</v>
      </c>
      <c r="J23" s="58">
        <v>0.95</v>
      </c>
    </row>
    <row r="24" spans="1:10">
      <c r="A24" s="58" t="s">
        <v>284</v>
      </c>
      <c r="B24" s="58" t="s">
        <v>188</v>
      </c>
      <c r="C24" s="58">
        <v>0.95</v>
      </c>
      <c r="D24" s="58">
        <v>0.94999999999999984</v>
      </c>
      <c r="E24" s="58">
        <v>0.95</v>
      </c>
      <c r="F24" s="58">
        <v>0.95</v>
      </c>
      <c r="G24" s="58">
        <v>0.95</v>
      </c>
      <c r="H24" s="58">
        <v>0.95</v>
      </c>
      <c r="I24" s="58">
        <v>0.94999999999999984</v>
      </c>
      <c r="J24" s="58">
        <v>0.95</v>
      </c>
    </row>
    <row r="25" spans="1:10">
      <c r="A25" s="58" t="s">
        <v>284</v>
      </c>
      <c r="B25" s="58" t="s">
        <v>189</v>
      </c>
      <c r="C25" s="58">
        <v>0.95</v>
      </c>
      <c r="D25" s="58">
        <v>0.94999999999999984</v>
      </c>
      <c r="E25" s="58">
        <v>0.95</v>
      </c>
      <c r="F25" s="58">
        <v>0.95</v>
      </c>
      <c r="G25" s="58">
        <v>0.95</v>
      </c>
      <c r="H25" s="58">
        <v>0.95</v>
      </c>
      <c r="I25" s="58">
        <v>0.94999999999999984</v>
      </c>
      <c r="J25" s="58">
        <v>0.95</v>
      </c>
    </row>
    <row r="26" spans="1:10">
      <c r="A26" s="58" t="s">
        <v>284</v>
      </c>
      <c r="B26" s="58" t="s">
        <v>60</v>
      </c>
      <c r="C26" s="58">
        <v>0.95</v>
      </c>
      <c r="D26" s="58">
        <v>0.94999999999999984</v>
      </c>
      <c r="E26" s="58">
        <v>0.95</v>
      </c>
      <c r="F26" s="58">
        <v>0.95</v>
      </c>
      <c r="G26" s="58">
        <v>0.95</v>
      </c>
      <c r="H26" s="58">
        <v>0.95</v>
      </c>
      <c r="I26" s="58">
        <v>0.94999999999999984</v>
      </c>
      <c r="J26" s="58">
        <v>0.95</v>
      </c>
    </row>
    <row r="27" spans="1:10">
      <c r="A27" s="58" t="s">
        <v>284</v>
      </c>
      <c r="B27" s="58" t="s">
        <v>59</v>
      </c>
      <c r="C27" s="58">
        <v>0.95</v>
      </c>
      <c r="D27" s="58">
        <v>0.94999999999999984</v>
      </c>
      <c r="E27" s="58">
        <v>0.95</v>
      </c>
      <c r="F27" s="58">
        <v>0.95</v>
      </c>
      <c r="G27" s="58">
        <v>0.95</v>
      </c>
      <c r="H27" s="58">
        <v>0.95</v>
      </c>
      <c r="I27" s="58">
        <v>0.94999999999999984</v>
      </c>
      <c r="J27" s="58">
        <v>0.95</v>
      </c>
    </row>
    <row r="28" spans="1:10">
      <c r="A28" s="58" t="s">
        <v>284</v>
      </c>
      <c r="B28" s="58" t="s">
        <v>163</v>
      </c>
      <c r="C28" s="58">
        <v>0.98</v>
      </c>
      <c r="D28" s="58">
        <v>0.98</v>
      </c>
      <c r="E28" s="58">
        <v>0.98</v>
      </c>
      <c r="F28" s="58">
        <v>0.98</v>
      </c>
      <c r="G28" s="58">
        <v>0.98</v>
      </c>
      <c r="H28" s="58">
        <v>0.98</v>
      </c>
      <c r="I28" s="58">
        <v>0.98</v>
      </c>
      <c r="J28" s="58">
        <v>0.98</v>
      </c>
    </row>
    <row r="29" spans="1:10">
      <c r="A29" s="58" t="s">
        <v>284</v>
      </c>
      <c r="B29" s="58" t="s">
        <v>107</v>
      </c>
      <c r="C29" s="58">
        <v>0.98</v>
      </c>
      <c r="D29" s="58">
        <v>0.98</v>
      </c>
      <c r="E29" s="58">
        <v>0.98</v>
      </c>
      <c r="F29" s="58">
        <v>0.98</v>
      </c>
      <c r="G29" s="58">
        <v>0.98</v>
      </c>
      <c r="H29" s="58">
        <v>0.98</v>
      </c>
      <c r="I29" s="58">
        <v>0.98</v>
      </c>
      <c r="J29" s="58">
        <v>0.98</v>
      </c>
    </row>
    <row r="30" spans="1:10">
      <c r="A30" s="58" t="s">
        <v>284</v>
      </c>
      <c r="B30" s="58" t="s">
        <v>106</v>
      </c>
      <c r="C30" s="58">
        <v>0.98</v>
      </c>
      <c r="D30" s="58">
        <v>0.98</v>
      </c>
      <c r="E30" s="58">
        <v>0.98</v>
      </c>
      <c r="F30" s="58">
        <v>0.98</v>
      </c>
      <c r="G30" s="58">
        <v>0.98</v>
      </c>
      <c r="H30" s="58">
        <v>0.98</v>
      </c>
      <c r="I30" s="58">
        <v>0.98</v>
      </c>
      <c r="J30" s="58">
        <v>0.98</v>
      </c>
    </row>
    <row r="31" spans="1:10">
      <c r="A31" s="58" t="s">
        <v>284</v>
      </c>
      <c r="B31" s="58" t="s">
        <v>22</v>
      </c>
      <c r="C31" s="58">
        <v>0.98</v>
      </c>
      <c r="D31" s="58">
        <v>0.98</v>
      </c>
      <c r="E31" s="58">
        <v>0.98</v>
      </c>
      <c r="F31" s="58">
        <v>0.98</v>
      </c>
      <c r="G31" s="58">
        <v>0.98</v>
      </c>
      <c r="H31" s="58">
        <v>0.98</v>
      </c>
      <c r="I31" s="58">
        <v>0.98</v>
      </c>
      <c r="J31" s="58">
        <v>0.98</v>
      </c>
    </row>
    <row r="32" spans="1:10">
      <c r="A32" s="58" t="s">
        <v>284</v>
      </c>
      <c r="B32" s="58" t="s">
        <v>23</v>
      </c>
      <c r="C32" s="58">
        <v>0.9</v>
      </c>
      <c r="D32" s="58">
        <v>0.9</v>
      </c>
      <c r="E32" s="58">
        <v>0.9</v>
      </c>
      <c r="F32" s="58">
        <v>0.9</v>
      </c>
      <c r="G32" s="58">
        <v>0.9</v>
      </c>
      <c r="H32" s="58">
        <v>0.9</v>
      </c>
      <c r="I32" s="58">
        <v>0.9</v>
      </c>
      <c r="J32" s="58">
        <v>0.9</v>
      </c>
    </row>
    <row r="33" spans="1:10">
      <c r="A33" s="58" t="s">
        <v>284</v>
      </c>
      <c r="B33" s="58" t="s">
        <v>58</v>
      </c>
      <c r="C33" s="58">
        <v>0.98</v>
      </c>
      <c r="D33" s="58">
        <v>0.98</v>
      </c>
      <c r="E33" s="58">
        <v>0.98</v>
      </c>
      <c r="F33" s="58">
        <v>0.98</v>
      </c>
      <c r="G33" s="58">
        <v>0.98</v>
      </c>
      <c r="H33" s="58">
        <v>0.98</v>
      </c>
      <c r="I33" s="58">
        <v>0.98</v>
      </c>
      <c r="J33" s="58">
        <v>0.98</v>
      </c>
    </row>
    <row r="34" spans="1:10">
      <c r="A34" s="58" t="s">
        <v>284</v>
      </c>
      <c r="B34" s="58" t="s">
        <v>137</v>
      </c>
      <c r="C34" s="58">
        <v>0</v>
      </c>
      <c r="D34" s="58">
        <v>0</v>
      </c>
      <c r="E34" s="58">
        <v>0</v>
      </c>
      <c r="F34" s="58">
        <v>0</v>
      </c>
      <c r="G34" s="58">
        <v>0.95</v>
      </c>
      <c r="H34" s="58">
        <v>0.95</v>
      </c>
      <c r="I34" s="58">
        <v>0.94999999999999984</v>
      </c>
      <c r="J34" s="58">
        <v>0.95</v>
      </c>
    </row>
    <row r="35" spans="1:10">
      <c r="A35" s="58" t="s">
        <v>284</v>
      </c>
      <c r="B35" s="58" t="s">
        <v>62</v>
      </c>
      <c r="C35" s="58">
        <v>0.95</v>
      </c>
      <c r="D35" s="58">
        <v>0.94999999999999984</v>
      </c>
      <c r="E35" s="58">
        <v>0.95</v>
      </c>
      <c r="F35" s="58">
        <v>0.95</v>
      </c>
      <c r="G35" s="58">
        <v>0.95</v>
      </c>
      <c r="H35" s="58">
        <v>0.95</v>
      </c>
      <c r="I35" s="58">
        <v>0.94999999999999984</v>
      </c>
      <c r="J35" s="58">
        <v>0.95</v>
      </c>
    </row>
    <row r="36" spans="1:10">
      <c r="A36" s="58" t="s">
        <v>284</v>
      </c>
      <c r="B36" s="58" t="s">
        <v>138</v>
      </c>
      <c r="C36" s="58">
        <v>0</v>
      </c>
      <c r="D36" s="58">
        <v>0</v>
      </c>
      <c r="E36" s="58">
        <v>0</v>
      </c>
      <c r="F36" s="58">
        <v>0</v>
      </c>
      <c r="G36" s="58">
        <v>0</v>
      </c>
      <c r="H36" s="58">
        <v>0.95</v>
      </c>
      <c r="I36" s="58">
        <v>0.94999999999999984</v>
      </c>
      <c r="J36" s="58">
        <v>0.95</v>
      </c>
    </row>
    <row r="37" spans="1:10">
      <c r="A37" s="58" t="s">
        <v>284</v>
      </c>
      <c r="B37" s="58" t="s">
        <v>132</v>
      </c>
      <c r="C37" s="58">
        <v>0.95</v>
      </c>
      <c r="D37" s="58">
        <v>0.94999999999999984</v>
      </c>
      <c r="E37" s="58">
        <v>0.95</v>
      </c>
      <c r="F37" s="58">
        <v>0.95</v>
      </c>
      <c r="G37" s="58">
        <v>0.95</v>
      </c>
      <c r="H37" s="58">
        <v>0.95</v>
      </c>
      <c r="I37" s="58">
        <v>0.94999999999999984</v>
      </c>
      <c r="J37" s="58">
        <v>0.95</v>
      </c>
    </row>
    <row r="38" spans="1:10">
      <c r="A38" s="58" t="s">
        <v>284</v>
      </c>
      <c r="B38" s="58" t="s">
        <v>133</v>
      </c>
      <c r="C38" s="58">
        <v>0.95</v>
      </c>
      <c r="D38" s="58">
        <v>0.94999999999999984</v>
      </c>
      <c r="E38" s="58">
        <v>0.95</v>
      </c>
      <c r="F38" s="58">
        <v>0.95</v>
      </c>
      <c r="G38" s="58">
        <v>0.95</v>
      </c>
      <c r="H38" s="58">
        <v>0.95</v>
      </c>
      <c r="I38" s="58">
        <v>0.94999999999999984</v>
      </c>
      <c r="J38" s="58">
        <v>0.95</v>
      </c>
    </row>
    <row r="39" spans="1:10">
      <c r="A39" s="58" t="s">
        <v>284</v>
      </c>
      <c r="B39" s="58" t="s">
        <v>64</v>
      </c>
      <c r="C39" s="58">
        <v>0</v>
      </c>
      <c r="D39" s="60">
        <v>0.91734003623078653</v>
      </c>
      <c r="E39" s="60">
        <v>0.91734003623078653</v>
      </c>
      <c r="F39" s="60">
        <v>0.91734003623078653</v>
      </c>
      <c r="G39" s="60">
        <v>0.91734003623078653</v>
      </c>
      <c r="H39" s="60">
        <v>0.91734003623078653</v>
      </c>
      <c r="I39" s="60">
        <v>0.91734003623078653</v>
      </c>
      <c r="J39" s="60">
        <v>0.91734003623078653</v>
      </c>
    </row>
    <row r="40" spans="1:10">
      <c r="A40" s="58" t="s">
        <v>284</v>
      </c>
      <c r="B40" s="58" t="s">
        <v>127</v>
      </c>
      <c r="C40" s="58">
        <v>0</v>
      </c>
      <c r="D40" s="58">
        <v>0</v>
      </c>
      <c r="E40" s="58">
        <v>0.95</v>
      </c>
      <c r="F40" s="58">
        <v>0.95</v>
      </c>
      <c r="G40" s="58">
        <v>0.95</v>
      </c>
      <c r="H40" s="58">
        <v>0.95</v>
      </c>
      <c r="I40" s="58">
        <v>0.94999999999999984</v>
      </c>
      <c r="J40" s="58">
        <v>0.95</v>
      </c>
    </row>
    <row r="41" spans="1:10">
      <c r="A41" s="58" t="s">
        <v>284</v>
      </c>
      <c r="B41" s="58" t="s">
        <v>63</v>
      </c>
      <c r="C41" s="58">
        <v>0.95</v>
      </c>
      <c r="D41" s="58">
        <v>0.94999999999999984</v>
      </c>
      <c r="E41" s="58">
        <v>0.95</v>
      </c>
      <c r="F41" s="58">
        <v>0.95</v>
      </c>
      <c r="G41" s="58">
        <v>0.95</v>
      </c>
      <c r="H41" s="58">
        <v>0.95</v>
      </c>
      <c r="I41" s="58">
        <v>0.94999999999999984</v>
      </c>
      <c r="J41" s="58">
        <v>0.95</v>
      </c>
    </row>
    <row r="42" spans="1:10">
      <c r="A42" s="58" t="s">
        <v>284</v>
      </c>
      <c r="B42" s="58" t="s">
        <v>128</v>
      </c>
      <c r="C42" s="58">
        <v>0</v>
      </c>
      <c r="D42" s="58">
        <v>0.94999999999999984</v>
      </c>
      <c r="E42" s="58">
        <v>0.95</v>
      </c>
      <c r="F42" s="58">
        <v>0.95</v>
      </c>
      <c r="G42" s="58">
        <v>0.95</v>
      </c>
      <c r="H42" s="58">
        <v>0.95</v>
      </c>
      <c r="I42" s="58">
        <v>0.94999999999999984</v>
      </c>
      <c r="J42" s="58">
        <v>0.95</v>
      </c>
    </row>
    <row r="43" spans="1:10">
      <c r="A43" s="58" t="s">
        <v>284</v>
      </c>
      <c r="B43" s="58" t="s">
        <v>190</v>
      </c>
      <c r="C43" s="58">
        <v>0.95</v>
      </c>
      <c r="D43" s="58">
        <v>0.94999999999999984</v>
      </c>
      <c r="E43" s="58">
        <v>0.95</v>
      </c>
      <c r="F43" s="58">
        <v>0.95</v>
      </c>
      <c r="G43" s="58">
        <v>0.95</v>
      </c>
      <c r="H43" s="58">
        <v>0.95</v>
      </c>
      <c r="I43" s="58">
        <v>0.94999999999999984</v>
      </c>
      <c r="J43" s="58">
        <v>0.95</v>
      </c>
    </row>
    <row r="44" spans="1:10">
      <c r="A44" s="58" t="s">
        <v>284</v>
      </c>
      <c r="B44" s="58" t="s">
        <v>191</v>
      </c>
      <c r="C44" s="58">
        <v>0.95</v>
      </c>
      <c r="D44" s="58">
        <v>0.94999999999999984</v>
      </c>
      <c r="E44" s="58">
        <v>0.95</v>
      </c>
      <c r="F44" s="58">
        <v>0.95</v>
      </c>
      <c r="G44" s="58">
        <v>0.95</v>
      </c>
      <c r="H44" s="58">
        <v>0.95</v>
      </c>
      <c r="I44" s="58">
        <v>0.94999999999999984</v>
      </c>
      <c r="J44" s="58">
        <v>0.95</v>
      </c>
    </row>
    <row r="45" spans="1:10">
      <c r="A45" s="58" t="s">
        <v>284</v>
      </c>
      <c r="B45" s="58" t="s">
        <v>90</v>
      </c>
      <c r="C45" s="58">
        <v>1</v>
      </c>
      <c r="D45" s="58">
        <v>1</v>
      </c>
      <c r="E45" s="58">
        <v>1</v>
      </c>
      <c r="F45" s="58">
        <v>1</v>
      </c>
      <c r="G45" s="58">
        <v>1</v>
      </c>
      <c r="H45" s="58">
        <v>1</v>
      </c>
      <c r="I45" s="58">
        <v>1</v>
      </c>
      <c r="J45" s="58">
        <v>1</v>
      </c>
    </row>
    <row r="46" spans="1:10">
      <c r="A46" s="58" t="s">
        <v>284</v>
      </c>
      <c r="B46" s="58" t="s">
        <v>89</v>
      </c>
      <c r="C46" s="58">
        <v>1</v>
      </c>
      <c r="D46" s="58">
        <v>1</v>
      </c>
      <c r="E46" s="58">
        <v>1</v>
      </c>
      <c r="F46" s="58">
        <v>1</v>
      </c>
      <c r="G46" s="58">
        <v>1</v>
      </c>
      <c r="H46" s="58">
        <v>1</v>
      </c>
      <c r="I46" s="58">
        <v>1</v>
      </c>
      <c r="J46" s="58">
        <v>1</v>
      </c>
    </row>
    <row r="47" spans="1:10">
      <c r="A47" s="58" t="s">
        <v>284</v>
      </c>
      <c r="B47" s="58" t="s">
        <v>88</v>
      </c>
      <c r="C47" s="58">
        <v>1</v>
      </c>
      <c r="D47" s="58">
        <v>1</v>
      </c>
      <c r="E47" s="58">
        <v>1</v>
      </c>
      <c r="F47" s="58">
        <v>1</v>
      </c>
      <c r="G47" s="58">
        <v>1</v>
      </c>
      <c r="H47" s="58">
        <v>1</v>
      </c>
      <c r="I47" s="58">
        <v>1</v>
      </c>
      <c r="J47" s="58">
        <v>1</v>
      </c>
    </row>
    <row r="48" spans="1:10">
      <c r="A48" s="58" t="s">
        <v>284</v>
      </c>
      <c r="B48" s="58" t="s">
        <v>91</v>
      </c>
      <c r="C48" s="58">
        <v>1</v>
      </c>
      <c r="D48" s="58">
        <v>1</v>
      </c>
      <c r="E48" s="58">
        <v>1</v>
      </c>
      <c r="F48" s="58">
        <v>1</v>
      </c>
      <c r="G48" s="58">
        <v>1</v>
      </c>
      <c r="H48" s="58">
        <v>1</v>
      </c>
      <c r="I48" s="58">
        <v>1</v>
      </c>
      <c r="J48" s="58">
        <v>1</v>
      </c>
    </row>
    <row r="49" spans="1:10">
      <c r="A49" s="58" t="s">
        <v>284</v>
      </c>
      <c r="B49" s="58" t="s">
        <v>92</v>
      </c>
      <c r="C49" s="58">
        <v>1</v>
      </c>
      <c r="D49" s="58">
        <v>1</v>
      </c>
      <c r="E49" s="58">
        <v>1</v>
      </c>
      <c r="F49" s="58">
        <v>1</v>
      </c>
      <c r="G49" s="58">
        <v>1</v>
      </c>
      <c r="H49" s="58">
        <v>1</v>
      </c>
      <c r="I49" s="58">
        <v>1</v>
      </c>
      <c r="J49" s="58">
        <v>1</v>
      </c>
    </row>
    <row r="50" spans="1:10">
      <c r="A50" s="58" t="s">
        <v>284</v>
      </c>
      <c r="B50" s="58" t="s">
        <v>158</v>
      </c>
      <c r="C50" s="58">
        <v>1</v>
      </c>
      <c r="D50" s="58">
        <v>1</v>
      </c>
      <c r="E50" s="58">
        <v>1</v>
      </c>
      <c r="F50" s="58">
        <v>1</v>
      </c>
      <c r="G50" s="58">
        <v>1</v>
      </c>
      <c r="H50" s="58">
        <v>1</v>
      </c>
      <c r="I50" s="58">
        <v>1</v>
      </c>
      <c r="J50" s="58">
        <v>1</v>
      </c>
    </row>
    <row r="51" spans="1:10">
      <c r="A51" s="58" t="s">
        <v>284</v>
      </c>
      <c r="B51" s="58" t="s">
        <v>100</v>
      </c>
      <c r="C51" s="58">
        <v>0.98</v>
      </c>
      <c r="D51" s="58">
        <v>0.98</v>
      </c>
      <c r="E51" s="58">
        <v>0.98</v>
      </c>
      <c r="F51" s="58">
        <v>0.98</v>
      </c>
      <c r="G51" s="58">
        <v>0.98</v>
      </c>
      <c r="H51" s="58">
        <v>0.98</v>
      </c>
      <c r="I51" s="58">
        <v>0.98</v>
      </c>
      <c r="J51" s="58">
        <v>0.98</v>
      </c>
    </row>
    <row r="52" spans="1:10">
      <c r="A52" s="58" t="s">
        <v>284</v>
      </c>
      <c r="B52" s="58" t="s">
        <v>101</v>
      </c>
      <c r="C52" s="58">
        <v>0.98</v>
      </c>
      <c r="D52" s="58">
        <v>0.98</v>
      </c>
      <c r="E52" s="58">
        <v>0.98</v>
      </c>
      <c r="F52" s="58">
        <v>0.98</v>
      </c>
      <c r="G52" s="58">
        <v>0.98</v>
      </c>
      <c r="H52" s="58">
        <v>0.98</v>
      </c>
      <c r="I52" s="58">
        <v>0.98</v>
      </c>
      <c r="J52" s="58">
        <v>0.98</v>
      </c>
    </row>
    <row r="53" spans="1:10">
      <c r="A53" s="58" t="s">
        <v>284</v>
      </c>
      <c r="B53" s="58" t="s">
        <v>105</v>
      </c>
      <c r="C53" s="58">
        <v>0.92</v>
      </c>
      <c r="D53" s="58">
        <v>0.92</v>
      </c>
      <c r="E53" s="58">
        <v>0.92</v>
      </c>
      <c r="F53" s="58">
        <v>0.92</v>
      </c>
      <c r="G53" s="58">
        <v>0.92</v>
      </c>
      <c r="H53" s="58">
        <v>0.92</v>
      </c>
      <c r="I53" s="58">
        <v>0.92</v>
      </c>
      <c r="J53" s="58">
        <v>0.92</v>
      </c>
    </row>
    <row r="54" spans="1:10">
      <c r="A54" s="58" t="s">
        <v>284</v>
      </c>
      <c r="B54" s="58" t="s">
        <v>103</v>
      </c>
      <c r="C54" s="58">
        <v>0.9</v>
      </c>
      <c r="D54" s="58">
        <v>0.9</v>
      </c>
      <c r="E54" s="58">
        <v>0.9</v>
      </c>
      <c r="F54" s="58">
        <v>0.9</v>
      </c>
      <c r="G54" s="58">
        <v>0.9</v>
      </c>
      <c r="H54" s="58">
        <v>0.9</v>
      </c>
      <c r="I54" s="58">
        <v>0.9</v>
      </c>
      <c r="J54" s="58">
        <v>0.9</v>
      </c>
    </row>
    <row r="55" spans="1:10">
      <c r="A55" s="58" t="s">
        <v>284</v>
      </c>
      <c r="B55" s="58" t="s">
        <v>104</v>
      </c>
      <c r="C55" s="58">
        <v>0.36</v>
      </c>
      <c r="D55" s="58">
        <v>0.45</v>
      </c>
      <c r="E55" s="58">
        <v>0.46</v>
      </c>
      <c r="F55" s="58">
        <v>0.47</v>
      </c>
      <c r="G55" s="58">
        <v>0.47</v>
      </c>
      <c r="H55" s="58">
        <v>0.47</v>
      </c>
      <c r="I55" s="58">
        <v>0.48</v>
      </c>
      <c r="J55" s="58">
        <v>0.5</v>
      </c>
    </row>
    <row r="56" spans="1:10">
      <c r="A56" s="58" t="s">
        <v>284</v>
      </c>
      <c r="B56" s="58" t="s">
        <v>177</v>
      </c>
      <c r="C56" s="58">
        <v>0.98</v>
      </c>
      <c r="D56" s="58">
        <v>0.98</v>
      </c>
      <c r="E56" s="58">
        <v>0.98</v>
      </c>
      <c r="F56" s="58">
        <v>0.98</v>
      </c>
      <c r="G56" s="58">
        <v>0.98</v>
      </c>
      <c r="H56" s="58">
        <v>0.98</v>
      </c>
      <c r="I56" s="58">
        <v>0.98</v>
      </c>
      <c r="J56" s="58">
        <v>0.98</v>
      </c>
    </row>
    <row r="57" spans="1:10">
      <c r="A57" s="58" t="s">
        <v>284</v>
      </c>
      <c r="B57" s="58" t="s">
        <v>178</v>
      </c>
      <c r="C57" s="58">
        <v>0.98</v>
      </c>
      <c r="D57" s="58">
        <v>0.98</v>
      </c>
      <c r="E57" s="58">
        <v>0.98</v>
      </c>
      <c r="F57" s="58">
        <v>0.98</v>
      </c>
      <c r="G57" s="58">
        <v>0.98</v>
      </c>
      <c r="H57" s="58">
        <v>0.98</v>
      </c>
      <c r="I57" s="58">
        <v>0.98</v>
      </c>
      <c r="J57" s="58">
        <v>0.98</v>
      </c>
    </row>
    <row r="58" spans="1:10">
      <c r="A58" s="58" t="s">
        <v>284</v>
      </c>
      <c r="B58" s="58" t="s">
        <v>94</v>
      </c>
      <c r="C58" s="58">
        <v>0.98</v>
      </c>
      <c r="D58" s="58">
        <v>0.98</v>
      </c>
      <c r="E58" s="58">
        <v>0.98</v>
      </c>
      <c r="F58" s="58">
        <v>0.98</v>
      </c>
      <c r="G58" s="58">
        <v>0.98</v>
      </c>
      <c r="H58" s="58">
        <v>0.98</v>
      </c>
      <c r="I58" s="58">
        <v>0.98</v>
      </c>
      <c r="J58" s="58">
        <v>0.98</v>
      </c>
    </row>
    <row r="59" spans="1:10">
      <c r="A59" s="58" t="s">
        <v>284</v>
      </c>
      <c r="B59" s="58" t="s">
        <v>93</v>
      </c>
      <c r="C59" s="58">
        <v>0.98</v>
      </c>
      <c r="D59" s="58">
        <v>0.98</v>
      </c>
      <c r="E59" s="58">
        <v>0.98</v>
      </c>
      <c r="F59" s="58">
        <v>0.98</v>
      </c>
      <c r="G59" s="58">
        <v>0.98</v>
      </c>
      <c r="H59" s="58">
        <v>0.98</v>
      </c>
      <c r="I59" s="58">
        <v>0.98</v>
      </c>
      <c r="J59" s="58">
        <v>0.98</v>
      </c>
    </row>
    <row r="60" spans="1:10">
      <c r="A60" s="58" t="s">
        <v>284</v>
      </c>
      <c r="B60" s="58" t="s">
        <v>95</v>
      </c>
      <c r="C60" s="58">
        <v>0.98</v>
      </c>
      <c r="D60" s="58">
        <v>0.98</v>
      </c>
      <c r="E60" s="58">
        <v>0.98</v>
      </c>
      <c r="F60" s="58">
        <v>0.98</v>
      </c>
      <c r="G60" s="58">
        <v>0.98</v>
      </c>
      <c r="H60" s="58">
        <v>0.98</v>
      </c>
      <c r="I60" s="58">
        <v>0.98</v>
      </c>
      <c r="J60" s="58">
        <v>0.98</v>
      </c>
    </row>
    <row r="61" spans="1:10">
      <c r="A61" s="58" t="s">
        <v>284</v>
      </c>
      <c r="B61" s="58" t="s">
        <v>170</v>
      </c>
      <c r="C61" s="58">
        <v>0.98</v>
      </c>
      <c r="D61" s="58">
        <v>0.98</v>
      </c>
      <c r="E61" s="58">
        <v>0.98</v>
      </c>
      <c r="F61" s="58">
        <v>0.98</v>
      </c>
      <c r="G61" s="58">
        <v>0.98</v>
      </c>
      <c r="H61" s="58">
        <v>0.98</v>
      </c>
      <c r="I61" s="58">
        <v>0.98</v>
      </c>
      <c r="J61" s="58">
        <v>0.98</v>
      </c>
    </row>
    <row r="62" spans="1:10">
      <c r="A62" s="58" t="s">
        <v>284</v>
      </c>
      <c r="B62" s="58" t="s">
        <v>171</v>
      </c>
      <c r="C62" s="58">
        <v>0.98</v>
      </c>
      <c r="D62" s="58">
        <v>0.98</v>
      </c>
      <c r="E62" s="58">
        <v>0.98</v>
      </c>
      <c r="F62" s="58">
        <v>0.98</v>
      </c>
      <c r="G62" s="58">
        <v>0.98</v>
      </c>
      <c r="H62" s="58">
        <v>0.98</v>
      </c>
      <c r="I62" s="58">
        <v>0.98</v>
      </c>
      <c r="J62" s="58">
        <v>0.98</v>
      </c>
    </row>
    <row r="63" spans="1:10">
      <c r="A63" s="58" t="s">
        <v>284</v>
      </c>
      <c r="B63" s="58" t="s">
        <v>172</v>
      </c>
      <c r="C63" s="58">
        <v>0.98</v>
      </c>
      <c r="D63" s="58">
        <v>0.98</v>
      </c>
      <c r="E63" s="58">
        <v>0.98</v>
      </c>
      <c r="F63" s="58">
        <v>0.98</v>
      </c>
      <c r="G63" s="58">
        <v>0.98</v>
      </c>
      <c r="H63" s="58">
        <v>0.98</v>
      </c>
      <c r="I63" s="58">
        <v>0.98</v>
      </c>
      <c r="J63" s="58">
        <v>0.98</v>
      </c>
    </row>
    <row r="64" spans="1:10">
      <c r="A64" s="58" t="s">
        <v>284</v>
      </c>
      <c r="B64" s="58" t="s">
        <v>97</v>
      </c>
      <c r="C64" s="58">
        <v>0.98</v>
      </c>
      <c r="D64" s="58">
        <v>0.98</v>
      </c>
      <c r="E64" s="58">
        <v>0.98</v>
      </c>
      <c r="F64" s="58">
        <v>0.98</v>
      </c>
      <c r="G64" s="58">
        <v>0.98</v>
      </c>
      <c r="H64" s="58">
        <v>0.98</v>
      </c>
      <c r="I64" s="58">
        <v>0.98</v>
      </c>
      <c r="J64" s="58">
        <v>0.98</v>
      </c>
    </row>
    <row r="65" spans="1:10">
      <c r="A65" s="58" t="s">
        <v>284</v>
      </c>
      <c r="B65" s="58" t="s">
        <v>96</v>
      </c>
      <c r="C65" s="58">
        <v>0.98</v>
      </c>
      <c r="D65" s="58">
        <v>0.98</v>
      </c>
      <c r="E65" s="58">
        <v>0.98</v>
      </c>
      <c r="F65" s="58">
        <v>0.98</v>
      </c>
      <c r="G65" s="58">
        <v>0.98</v>
      </c>
      <c r="H65" s="58">
        <v>0.98</v>
      </c>
      <c r="I65" s="58">
        <v>0.98</v>
      </c>
      <c r="J65" s="58">
        <v>0.98</v>
      </c>
    </row>
    <row r="66" spans="1:10">
      <c r="A66" s="58" t="s">
        <v>284</v>
      </c>
      <c r="B66" s="58" t="s">
        <v>98</v>
      </c>
      <c r="C66" s="58">
        <v>0.98</v>
      </c>
      <c r="D66" s="58">
        <v>0.98</v>
      </c>
      <c r="E66" s="58">
        <v>0.98</v>
      </c>
      <c r="F66" s="58">
        <v>0.98</v>
      </c>
      <c r="G66" s="58">
        <v>0.98</v>
      </c>
      <c r="H66" s="58">
        <v>0.98</v>
      </c>
      <c r="I66" s="58">
        <v>0.98</v>
      </c>
      <c r="J66" s="58">
        <v>0.98</v>
      </c>
    </row>
    <row r="67" spans="1:10">
      <c r="A67" s="58" t="s">
        <v>284</v>
      </c>
      <c r="B67" s="58" t="s">
        <v>125</v>
      </c>
      <c r="C67" s="58">
        <v>0.98199999999999998</v>
      </c>
      <c r="D67" s="58">
        <v>0.98199999999999998</v>
      </c>
      <c r="E67" s="58">
        <v>0.98199999999999998</v>
      </c>
      <c r="F67" s="58">
        <v>0.98199999999999998</v>
      </c>
      <c r="G67" s="58">
        <v>0.98199999999999998</v>
      </c>
      <c r="H67" s="58">
        <v>0.98199999999999998</v>
      </c>
      <c r="I67" s="58">
        <v>0.98199999999999998</v>
      </c>
      <c r="J67" s="58">
        <v>0.98199999999999998</v>
      </c>
    </row>
    <row r="68" spans="1:10">
      <c r="A68" s="58" t="s">
        <v>284</v>
      </c>
      <c r="B68" s="58" t="s">
        <v>126</v>
      </c>
      <c r="C68" s="58">
        <v>0.98199999999999998</v>
      </c>
      <c r="D68" s="58">
        <v>0.98199999999999998</v>
      </c>
      <c r="E68" s="58">
        <v>0.98199999999999998</v>
      </c>
      <c r="F68" s="58">
        <v>0.98199999999999998</v>
      </c>
      <c r="G68" s="58">
        <v>0.98199999999999998</v>
      </c>
      <c r="H68" s="58">
        <v>0.98199999999999998</v>
      </c>
      <c r="I68" s="58">
        <v>0.98199999999999998</v>
      </c>
      <c r="J68" s="58">
        <v>0.98199999999999998</v>
      </c>
    </row>
    <row r="69" spans="1:10">
      <c r="A69" s="58" t="s">
        <v>284</v>
      </c>
      <c r="B69" s="58" t="s">
        <v>162</v>
      </c>
      <c r="C69" s="58">
        <v>0.98199999999999998</v>
      </c>
      <c r="D69" s="58">
        <v>0.98199999999999998</v>
      </c>
      <c r="E69" s="58">
        <v>0.98199999999999998</v>
      </c>
      <c r="F69" s="58">
        <v>0.98199999999999998</v>
      </c>
      <c r="G69" s="58">
        <v>0.98199999999999998</v>
      </c>
      <c r="H69" s="58">
        <v>0.98199999999999998</v>
      </c>
      <c r="I69" s="58">
        <v>0.98199999999999998</v>
      </c>
      <c r="J69" s="58">
        <v>0.98199999999999998</v>
      </c>
    </row>
    <row r="70" spans="1:10">
      <c r="A70" s="58" t="s">
        <v>284</v>
      </c>
      <c r="B70" s="58" t="s">
        <v>200</v>
      </c>
      <c r="C70" s="58">
        <v>1</v>
      </c>
      <c r="D70" s="58">
        <v>1</v>
      </c>
      <c r="E70" s="58">
        <v>1</v>
      </c>
      <c r="F70" s="58">
        <v>1</v>
      </c>
      <c r="G70" s="58">
        <v>1</v>
      </c>
      <c r="H70" s="58">
        <v>1</v>
      </c>
      <c r="I70" s="58">
        <v>1</v>
      </c>
      <c r="J70" s="58">
        <v>1</v>
      </c>
    </row>
    <row r="71" spans="1:10">
      <c r="A71" s="58" t="s">
        <v>284</v>
      </c>
      <c r="B71" s="58" t="s">
        <v>198</v>
      </c>
      <c r="C71" s="58">
        <v>0.84</v>
      </c>
      <c r="D71" s="58">
        <v>0.84</v>
      </c>
      <c r="E71" s="58">
        <v>0.84</v>
      </c>
      <c r="F71" s="58">
        <v>0.84</v>
      </c>
      <c r="G71" s="58">
        <v>0.84</v>
      </c>
      <c r="H71" s="58">
        <v>0.84</v>
      </c>
      <c r="I71" s="58">
        <v>0.84</v>
      </c>
      <c r="J71" s="58">
        <v>0.84</v>
      </c>
    </row>
    <row r="72" spans="1:10">
      <c r="A72" s="58" t="s">
        <v>284</v>
      </c>
      <c r="B72" s="58" t="s">
        <v>199</v>
      </c>
      <c r="C72" s="58">
        <v>0.84</v>
      </c>
      <c r="D72" s="58">
        <v>0.84</v>
      </c>
      <c r="E72" s="58">
        <v>0.84</v>
      </c>
      <c r="F72" s="58">
        <v>0.84</v>
      </c>
      <c r="G72" s="58">
        <v>0.84</v>
      </c>
      <c r="H72" s="58">
        <v>0.84</v>
      </c>
      <c r="I72" s="58">
        <v>0.84</v>
      </c>
      <c r="J72" s="58">
        <v>0.84</v>
      </c>
    </row>
    <row r="73" spans="1:10">
      <c r="A73" s="58" t="s">
        <v>284</v>
      </c>
      <c r="B73" s="58" t="s">
        <v>224</v>
      </c>
      <c r="C73" s="58">
        <v>0.98</v>
      </c>
      <c r="D73" s="58">
        <v>0.98</v>
      </c>
      <c r="E73" s="58">
        <v>0.98</v>
      </c>
      <c r="F73" s="58">
        <v>0.98</v>
      </c>
      <c r="G73" s="58">
        <v>0.98</v>
      </c>
      <c r="H73" s="58">
        <v>0.98</v>
      </c>
      <c r="I73" s="58">
        <v>0.98</v>
      </c>
      <c r="J73" s="58">
        <v>0.98</v>
      </c>
    </row>
    <row r="74" spans="1:10">
      <c r="A74" s="58" t="s">
        <v>284</v>
      </c>
      <c r="B74" s="58" t="s">
        <v>211</v>
      </c>
      <c r="C74" s="58">
        <v>0.98</v>
      </c>
      <c r="D74" s="58">
        <v>0.98</v>
      </c>
      <c r="E74" s="58">
        <v>0.98</v>
      </c>
      <c r="F74" s="58">
        <v>0.98</v>
      </c>
      <c r="G74" s="58">
        <v>0.98</v>
      </c>
      <c r="H74" s="58">
        <v>0.98</v>
      </c>
      <c r="I74" s="58">
        <v>0.98</v>
      </c>
      <c r="J74" s="58">
        <v>0.98</v>
      </c>
    </row>
    <row r="75" spans="1:10">
      <c r="A75" s="58" t="s">
        <v>284</v>
      </c>
      <c r="B75" s="58" t="s">
        <v>206</v>
      </c>
      <c r="C75" s="58">
        <v>0.98</v>
      </c>
      <c r="D75" s="58">
        <v>0.98</v>
      </c>
      <c r="E75" s="58">
        <v>0.98</v>
      </c>
      <c r="F75" s="58">
        <v>0.98</v>
      </c>
      <c r="G75" s="58">
        <v>0.98</v>
      </c>
      <c r="H75" s="58">
        <v>0.98</v>
      </c>
      <c r="I75" s="58">
        <v>0.98</v>
      </c>
      <c r="J75" s="58">
        <v>0.98</v>
      </c>
    </row>
    <row r="76" spans="1:10">
      <c r="A76" s="58" t="s">
        <v>284</v>
      </c>
      <c r="B76" s="58" t="s">
        <v>210</v>
      </c>
      <c r="C76" s="58">
        <v>0.98</v>
      </c>
      <c r="D76" s="58">
        <v>0.98</v>
      </c>
      <c r="E76" s="58">
        <v>0.98</v>
      </c>
      <c r="F76" s="58">
        <v>0.98</v>
      </c>
      <c r="G76" s="58">
        <v>0.98</v>
      </c>
      <c r="H76" s="58">
        <v>0.98</v>
      </c>
      <c r="I76" s="58">
        <v>0.98</v>
      </c>
      <c r="J76" s="58">
        <v>0.98</v>
      </c>
    </row>
    <row r="77" spans="1:10">
      <c r="A77" s="58" t="s">
        <v>284</v>
      </c>
      <c r="B77" s="58" t="s">
        <v>207</v>
      </c>
      <c r="C77" s="58">
        <v>0.98</v>
      </c>
      <c r="D77" s="58">
        <v>0.98</v>
      </c>
      <c r="E77" s="58">
        <v>0.98</v>
      </c>
      <c r="F77" s="58">
        <v>0.98</v>
      </c>
      <c r="G77" s="58">
        <v>0.98</v>
      </c>
      <c r="H77" s="58">
        <v>0.98</v>
      </c>
      <c r="I77" s="58">
        <v>0.98</v>
      </c>
      <c r="J77" s="58">
        <v>0.98</v>
      </c>
    </row>
    <row r="78" spans="1:10">
      <c r="A78" s="58" t="s">
        <v>284</v>
      </c>
      <c r="B78" s="58" t="s">
        <v>208</v>
      </c>
      <c r="C78" s="58">
        <v>0.98</v>
      </c>
      <c r="D78" s="58">
        <v>0.98</v>
      </c>
      <c r="E78" s="58">
        <v>0.98</v>
      </c>
      <c r="F78" s="58">
        <v>0.98</v>
      </c>
      <c r="G78" s="58">
        <v>0.98</v>
      </c>
      <c r="H78" s="58">
        <v>0.98</v>
      </c>
      <c r="I78" s="58">
        <v>0.98</v>
      </c>
      <c r="J78" s="58">
        <v>0.98</v>
      </c>
    </row>
    <row r="79" spans="1:10">
      <c r="A79" s="58" t="s">
        <v>284</v>
      </c>
      <c r="B79" s="58" t="s">
        <v>209</v>
      </c>
      <c r="C79" s="58">
        <v>0.98</v>
      </c>
      <c r="D79" s="58">
        <v>0.98</v>
      </c>
      <c r="E79" s="58">
        <v>0.98</v>
      </c>
      <c r="F79" s="58">
        <v>0.98</v>
      </c>
      <c r="G79" s="58">
        <v>0.98</v>
      </c>
      <c r="H79" s="58">
        <v>0.98</v>
      </c>
      <c r="I79" s="58">
        <v>0.98</v>
      </c>
      <c r="J79" s="58">
        <v>0.98</v>
      </c>
    </row>
    <row r="80" spans="1:10">
      <c r="A80" s="58" t="s">
        <v>284</v>
      </c>
      <c r="B80" s="58" t="s">
        <v>232</v>
      </c>
      <c r="C80" s="58">
        <v>0.98</v>
      </c>
      <c r="D80" s="58">
        <v>0.98</v>
      </c>
      <c r="E80" s="58">
        <v>0.98</v>
      </c>
      <c r="F80" s="58">
        <v>0.98</v>
      </c>
      <c r="G80" s="58">
        <v>0.98</v>
      </c>
      <c r="H80" s="58">
        <v>0.98</v>
      </c>
      <c r="I80" s="58">
        <v>0.98</v>
      </c>
      <c r="J80" s="58">
        <v>0.98</v>
      </c>
    </row>
    <row r="81" spans="1:10">
      <c r="A81" s="58" t="s">
        <v>284</v>
      </c>
      <c r="B81" s="58" t="s">
        <v>233</v>
      </c>
      <c r="C81" s="58">
        <v>0.98</v>
      </c>
      <c r="D81" s="58">
        <v>0.98</v>
      </c>
      <c r="E81" s="58">
        <v>0.98</v>
      </c>
      <c r="F81" s="58">
        <v>0.98</v>
      </c>
      <c r="G81" s="58">
        <v>0.98</v>
      </c>
      <c r="H81" s="58">
        <v>0.98</v>
      </c>
      <c r="I81" s="58">
        <v>0.98</v>
      </c>
      <c r="J81" s="58">
        <v>0.98</v>
      </c>
    </row>
    <row r="82" spans="1:10">
      <c r="A82" s="58" t="s">
        <v>284</v>
      </c>
      <c r="B82" s="58" t="s">
        <v>234</v>
      </c>
      <c r="C82" s="58">
        <v>0.98</v>
      </c>
      <c r="D82" s="58">
        <v>0.98</v>
      </c>
      <c r="E82" s="58">
        <v>0.98</v>
      </c>
      <c r="F82" s="58">
        <v>0.98</v>
      </c>
      <c r="G82" s="58">
        <v>0.98</v>
      </c>
      <c r="H82" s="58">
        <v>0.98</v>
      </c>
      <c r="I82" s="58">
        <v>0.98</v>
      </c>
      <c r="J82" s="58">
        <v>0.98</v>
      </c>
    </row>
    <row r="83" spans="1:10">
      <c r="A83" s="58" t="s">
        <v>284</v>
      </c>
      <c r="B83" s="58" t="s">
        <v>235</v>
      </c>
      <c r="C83" s="58">
        <v>0.98</v>
      </c>
      <c r="D83" s="58">
        <v>0.98</v>
      </c>
      <c r="E83" s="58">
        <v>0.98</v>
      </c>
      <c r="F83" s="58">
        <v>0.98</v>
      </c>
      <c r="G83" s="58">
        <v>0.98</v>
      </c>
      <c r="H83" s="58">
        <v>0.98</v>
      </c>
      <c r="I83" s="58">
        <v>0.98</v>
      </c>
      <c r="J83" s="58">
        <v>0.98</v>
      </c>
    </row>
    <row r="84" spans="1:10">
      <c r="A84" s="58" t="s">
        <v>284</v>
      </c>
      <c r="B84" s="58" t="s">
        <v>236</v>
      </c>
      <c r="C84" s="58">
        <v>0.98</v>
      </c>
      <c r="D84" s="58">
        <v>0.98</v>
      </c>
      <c r="E84" s="58">
        <v>0.98</v>
      </c>
      <c r="F84" s="58">
        <v>0.98</v>
      </c>
      <c r="G84" s="58">
        <v>0.98</v>
      </c>
      <c r="H84" s="58">
        <v>0.98</v>
      </c>
      <c r="I84" s="58">
        <v>0.98</v>
      </c>
      <c r="J84" s="58">
        <v>0.98</v>
      </c>
    </row>
    <row r="85" spans="1:10">
      <c r="A85" s="58" t="s">
        <v>284</v>
      </c>
      <c r="B85" s="58" t="s">
        <v>215</v>
      </c>
      <c r="C85" s="58">
        <v>0</v>
      </c>
      <c r="D85" s="58">
        <v>0.98</v>
      </c>
      <c r="E85" s="58">
        <v>0.98</v>
      </c>
      <c r="F85" s="58">
        <v>0.98</v>
      </c>
      <c r="G85" s="58">
        <v>0.98</v>
      </c>
      <c r="H85" s="58">
        <v>0.98</v>
      </c>
      <c r="I85" s="58">
        <v>0.98</v>
      </c>
      <c r="J85" s="58">
        <v>0.98</v>
      </c>
    </row>
    <row r="86" spans="1:10">
      <c r="A86" s="58" t="s">
        <v>284</v>
      </c>
      <c r="B86" s="58" t="s">
        <v>225</v>
      </c>
      <c r="C86" s="58">
        <v>0.98</v>
      </c>
      <c r="D86" s="58">
        <v>0.98</v>
      </c>
      <c r="E86" s="58">
        <v>0.98</v>
      </c>
      <c r="F86" s="58">
        <v>0.98</v>
      </c>
      <c r="G86" s="58">
        <v>0.98</v>
      </c>
      <c r="H86" s="58">
        <v>0.98</v>
      </c>
      <c r="I86" s="58">
        <v>0.98</v>
      </c>
      <c r="J86" s="58">
        <v>0.98</v>
      </c>
    </row>
    <row r="87" spans="1:10">
      <c r="A87" s="58" t="s">
        <v>284</v>
      </c>
      <c r="B87" s="58" t="s">
        <v>226</v>
      </c>
      <c r="C87" s="58">
        <v>0.98</v>
      </c>
      <c r="D87" s="58">
        <v>0.98</v>
      </c>
      <c r="E87" s="58">
        <v>0.98</v>
      </c>
      <c r="F87" s="58">
        <v>0.98</v>
      </c>
      <c r="G87" s="58">
        <v>0.98</v>
      </c>
      <c r="H87" s="58">
        <v>0.98</v>
      </c>
      <c r="I87" s="58">
        <v>0.98</v>
      </c>
      <c r="J87" s="58">
        <v>0.98</v>
      </c>
    </row>
    <row r="88" spans="1:10">
      <c r="A88" s="58" t="s">
        <v>284</v>
      </c>
      <c r="B88" s="58" t="s">
        <v>216</v>
      </c>
      <c r="C88" s="58">
        <v>0.98</v>
      </c>
      <c r="D88" s="58">
        <v>0.98</v>
      </c>
      <c r="E88" s="58">
        <v>0.98</v>
      </c>
      <c r="F88" s="58">
        <v>0.98</v>
      </c>
      <c r="G88" s="58">
        <v>0.98</v>
      </c>
      <c r="H88" s="58">
        <v>0.98</v>
      </c>
      <c r="I88" s="58">
        <v>0.98</v>
      </c>
      <c r="J88" s="58">
        <v>0.98</v>
      </c>
    </row>
    <row r="89" spans="1:10">
      <c r="A89" s="58" t="s">
        <v>284</v>
      </c>
      <c r="B89" s="58" t="s">
        <v>217</v>
      </c>
      <c r="C89" s="58">
        <v>0.98</v>
      </c>
      <c r="D89" s="58">
        <v>0.98</v>
      </c>
      <c r="E89" s="58">
        <v>0.98</v>
      </c>
      <c r="F89" s="58">
        <v>0.98</v>
      </c>
      <c r="G89" s="58">
        <v>0.98</v>
      </c>
      <c r="H89" s="58">
        <v>0.98</v>
      </c>
      <c r="I89" s="58">
        <v>0.98</v>
      </c>
      <c r="J89" s="58">
        <v>0.98</v>
      </c>
    </row>
    <row r="90" spans="1:10">
      <c r="A90" s="58" t="s">
        <v>284</v>
      </c>
      <c r="B90" s="58" t="s">
        <v>218</v>
      </c>
      <c r="C90" s="58">
        <v>0.98</v>
      </c>
      <c r="D90" s="58">
        <v>0.98</v>
      </c>
      <c r="E90" s="58">
        <v>0.98</v>
      </c>
      <c r="F90" s="58">
        <v>0.98</v>
      </c>
      <c r="G90" s="58">
        <v>0.98</v>
      </c>
      <c r="H90" s="58">
        <v>0.98</v>
      </c>
      <c r="I90" s="58">
        <v>0.98</v>
      </c>
      <c r="J90" s="58">
        <v>0.98</v>
      </c>
    </row>
    <row r="91" spans="1:10">
      <c r="A91" s="58" t="s">
        <v>284</v>
      </c>
      <c r="B91" s="58" t="s">
        <v>219</v>
      </c>
      <c r="C91" s="58">
        <v>0.98</v>
      </c>
      <c r="D91" s="58">
        <v>0.98</v>
      </c>
      <c r="E91" s="58">
        <v>0.98</v>
      </c>
      <c r="F91" s="58">
        <v>0.98</v>
      </c>
      <c r="G91" s="58">
        <v>0.98</v>
      </c>
      <c r="H91" s="58">
        <v>0.98</v>
      </c>
      <c r="I91" s="58">
        <v>0.98</v>
      </c>
      <c r="J91" s="58">
        <v>0.98</v>
      </c>
    </row>
    <row r="92" spans="1:10">
      <c r="A92" s="58" t="s">
        <v>284</v>
      </c>
      <c r="B92" s="58" t="s">
        <v>220</v>
      </c>
      <c r="C92" s="58">
        <v>0.98</v>
      </c>
      <c r="D92" s="58">
        <v>0.98</v>
      </c>
      <c r="E92" s="58">
        <v>0.98</v>
      </c>
      <c r="F92" s="58">
        <v>0.98</v>
      </c>
      <c r="G92" s="58">
        <v>0.98</v>
      </c>
      <c r="H92" s="58">
        <v>0.98</v>
      </c>
      <c r="I92" s="58">
        <v>0.98</v>
      </c>
      <c r="J92" s="58">
        <v>0.98</v>
      </c>
    </row>
    <row r="93" spans="1:10">
      <c r="A93" s="58" t="s">
        <v>284</v>
      </c>
      <c r="B93" s="58" t="s">
        <v>221</v>
      </c>
      <c r="C93" s="58">
        <v>0.98</v>
      </c>
      <c r="D93" s="58">
        <v>0.98</v>
      </c>
      <c r="E93" s="58">
        <v>0.98</v>
      </c>
      <c r="F93" s="58">
        <v>0.98</v>
      </c>
      <c r="G93" s="58">
        <v>0.98</v>
      </c>
      <c r="H93" s="58">
        <v>0.98</v>
      </c>
      <c r="I93" s="58">
        <v>0.98</v>
      </c>
      <c r="J93" s="58">
        <v>0.98</v>
      </c>
    </row>
    <row r="94" spans="1:10">
      <c r="A94" s="58" t="s">
        <v>284</v>
      </c>
      <c r="B94" s="58" t="s">
        <v>249</v>
      </c>
      <c r="C94" s="58">
        <v>0.98</v>
      </c>
      <c r="D94" s="58">
        <v>0.98</v>
      </c>
      <c r="E94" s="58">
        <v>0.98</v>
      </c>
      <c r="F94" s="58">
        <v>0.98</v>
      </c>
      <c r="G94" s="58">
        <v>0.98</v>
      </c>
      <c r="H94" s="58">
        <v>0.98</v>
      </c>
      <c r="I94" s="58">
        <v>0.98</v>
      </c>
      <c r="J94" s="58">
        <v>0.98</v>
      </c>
    </row>
    <row r="95" spans="1:10">
      <c r="A95" s="58" t="s">
        <v>284</v>
      </c>
      <c r="B95" s="58" t="s">
        <v>238</v>
      </c>
      <c r="C95" s="58">
        <v>0.98</v>
      </c>
      <c r="D95" s="58">
        <v>0.98</v>
      </c>
      <c r="E95" s="58">
        <v>0.98</v>
      </c>
      <c r="F95" s="58">
        <v>0.98</v>
      </c>
      <c r="G95" s="58">
        <v>0.98</v>
      </c>
      <c r="H95" s="58">
        <v>0.98</v>
      </c>
      <c r="I95" s="58">
        <v>0.98</v>
      </c>
      <c r="J95" s="58">
        <v>0.98</v>
      </c>
    </row>
    <row r="96" spans="1:10">
      <c r="A96" s="58" t="s">
        <v>284</v>
      </c>
      <c r="B96" s="58" t="s">
        <v>239</v>
      </c>
      <c r="C96" s="58">
        <v>0</v>
      </c>
      <c r="D96" s="58">
        <v>0</v>
      </c>
      <c r="E96" s="58">
        <v>0</v>
      </c>
      <c r="F96" s="58">
        <v>0.98</v>
      </c>
      <c r="G96" s="58">
        <v>0.98</v>
      </c>
      <c r="H96" s="58">
        <v>0.98</v>
      </c>
      <c r="I96" s="58">
        <v>0.98</v>
      </c>
      <c r="J96" s="58">
        <v>0.98</v>
      </c>
    </row>
    <row r="97" spans="1:10">
      <c r="A97" s="58" t="s">
        <v>284</v>
      </c>
      <c r="B97" s="58" t="s">
        <v>222</v>
      </c>
      <c r="C97" s="58">
        <v>0</v>
      </c>
      <c r="D97" s="58">
        <v>0.98</v>
      </c>
      <c r="E97" s="58">
        <v>0.98</v>
      </c>
      <c r="F97" s="58">
        <v>0.98</v>
      </c>
      <c r="G97" s="58">
        <v>0.98</v>
      </c>
      <c r="H97" s="58">
        <v>0.98</v>
      </c>
      <c r="I97" s="58">
        <v>0.98</v>
      </c>
      <c r="J97" s="58">
        <v>0.98</v>
      </c>
    </row>
    <row r="98" spans="1:10">
      <c r="A98" s="58" t="s">
        <v>284</v>
      </c>
      <c r="B98" s="58" t="s">
        <v>227</v>
      </c>
      <c r="C98" s="58">
        <v>0.98</v>
      </c>
      <c r="D98" s="58">
        <v>0.98</v>
      </c>
      <c r="E98" s="58">
        <v>0.98</v>
      </c>
      <c r="F98" s="58">
        <v>0.98</v>
      </c>
      <c r="G98" s="58">
        <v>0.98</v>
      </c>
      <c r="H98" s="58">
        <v>0.98</v>
      </c>
      <c r="I98" s="58">
        <v>0.98</v>
      </c>
      <c r="J98" s="58">
        <v>0.98</v>
      </c>
    </row>
    <row r="99" spans="1:10">
      <c r="A99" s="58" t="s">
        <v>284</v>
      </c>
      <c r="B99" s="58" t="s">
        <v>237</v>
      </c>
      <c r="C99" s="58">
        <v>0.98</v>
      </c>
      <c r="D99" s="58">
        <v>0.98</v>
      </c>
      <c r="E99" s="58">
        <v>0.98</v>
      </c>
      <c r="F99" s="58">
        <v>0.98</v>
      </c>
      <c r="G99" s="58">
        <v>0.98</v>
      </c>
      <c r="H99" s="58">
        <v>0.98</v>
      </c>
      <c r="I99" s="58">
        <v>0.98</v>
      </c>
      <c r="J99" s="58">
        <v>0.98</v>
      </c>
    </row>
    <row r="100" spans="1:10">
      <c r="A100" s="58" t="s">
        <v>284</v>
      </c>
      <c r="B100" s="58" t="s">
        <v>223</v>
      </c>
      <c r="C100" s="58">
        <v>0.98</v>
      </c>
      <c r="D100" s="58">
        <v>0.98</v>
      </c>
      <c r="E100" s="58">
        <v>0.98</v>
      </c>
      <c r="F100" s="58">
        <v>0.98</v>
      </c>
      <c r="G100" s="58">
        <v>0.98</v>
      </c>
      <c r="H100" s="58">
        <v>0.98</v>
      </c>
      <c r="I100" s="58">
        <v>0.98</v>
      </c>
      <c r="J100" s="58">
        <v>0.98</v>
      </c>
    </row>
    <row r="101" spans="1:10">
      <c r="A101" s="58" t="s">
        <v>284</v>
      </c>
      <c r="B101" s="58" t="s">
        <v>230</v>
      </c>
      <c r="C101" s="58">
        <v>0.98</v>
      </c>
      <c r="D101" s="58">
        <v>0.98</v>
      </c>
      <c r="E101" s="58">
        <v>0.98</v>
      </c>
      <c r="F101" s="58">
        <v>0.98</v>
      </c>
      <c r="G101" s="58">
        <v>0.98</v>
      </c>
      <c r="H101" s="58">
        <v>0.98</v>
      </c>
      <c r="I101" s="58">
        <v>0.98</v>
      </c>
      <c r="J101" s="58">
        <v>0.98</v>
      </c>
    </row>
    <row r="102" spans="1:10">
      <c r="A102" s="58" t="s">
        <v>284</v>
      </c>
      <c r="B102" s="58" t="s">
        <v>241</v>
      </c>
      <c r="C102" s="58">
        <v>0</v>
      </c>
      <c r="D102" s="58">
        <v>0</v>
      </c>
      <c r="E102" s="58">
        <v>0.98</v>
      </c>
      <c r="F102" s="58">
        <v>0.98</v>
      </c>
      <c r="G102" s="58">
        <v>0.98</v>
      </c>
      <c r="H102" s="58">
        <v>0.98</v>
      </c>
      <c r="I102" s="58">
        <v>0.98</v>
      </c>
      <c r="J102" s="58">
        <v>0.98</v>
      </c>
    </row>
    <row r="103" spans="1:10">
      <c r="A103" s="58" t="s">
        <v>284</v>
      </c>
      <c r="B103" s="58" t="s">
        <v>228</v>
      </c>
      <c r="C103" s="58">
        <v>0.98</v>
      </c>
      <c r="D103" s="58">
        <v>0.98</v>
      </c>
      <c r="E103" s="58">
        <v>0.98</v>
      </c>
      <c r="F103" s="58">
        <v>0.98</v>
      </c>
      <c r="G103" s="58">
        <v>0.98</v>
      </c>
      <c r="H103" s="58">
        <v>0.98</v>
      </c>
      <c r="I103" s="58">
        <v>0.98</v>
      </c>
      <c r="J103" s="58">
        <v>0.98</v>
      </c>
    </row>
    <row r="104" spans="1:10">
      <c r="A104" s="58" t="s">
        <v>284</v>
      </c>
      <c r="B104" s="58" t="s">
        <v>229</v>
      </c>
      <c r="C104" s="58">
        <v>0.98</v>
      </c>
      <c r="D104" s="58">
        <v>0.98</v>
      </c>
      <c r="E104" s="58">
        <v>0.98</v>
      </c>
      <c r="F104" s="58">
        <v>0.98</v>
      </c>
      <c r="G104" s="58">
        <v>0.98</v>
      </c>
      <c r="H104" s="58">
        <v>0.98</v>
      </c>
      <c r="I104" s="58">
        <v>0.98</v>
      </c>
      <c r="J104" s="58">
        <v>0.98</v>
      </c>
    </row>
    <row r="105" spans="1:10">
      <c r="A105" s="58" t="s">
        <v>284</v>
      </c>
      <c r="B105" s="58" t="s">
        <v>240</v>
      </c>
      <c r="C105" s="58">
        <v>0.98</v>
      </c>
      <c r="D105" s="58">
        <v>0.98</v>
      </c>
      <c r="E105" s="58">
        <v>0.98</v>
      </c>
      <c r="F105" s="58">
        <v>0.98</v>
      </c>
      <c r="G105" s="58">
        <v>0.98</v>
      </c>
      <c r="H105" s="58">
        <v>0.98</v>
      </c>
      <c r="I105" s="58">
        <v>0.98</v>
      </c>
      <c r="J105" s="58">
        <v>0.98</v>
      </c>
    </row>
    <row r="106" spans="1:10">
      <c r="A106" s="58" t="s">
        <v>284</v>
      </c>
      <c r="B106" s="58" t="s">
        <v>231</v>
      </c>
      <c r="C106" s="58">
        <v>0.98</v>
      </c>
      <c r="D106" s="58">
        <v>0.98</v>
      </c>
      <c r="E106" s="58">
        <v>0.98</v>
      </c>
      <c r="F106" s="58">
        <v>0.98</v>
      </c>
      <c r="G106" s="58">
        <v>0.98</v>
      </c>
      <c r="H106" s="58">
        <v>0.98</v>
      </c>
      <c r="I106" s="58">
        <v>0.98</v>
      </c>
      <c r="J106" s="58">
        <v>0.98</v>
      </c>
    </row>
    <row r="107" spans="1:10">
      <c r="A107" s="58" t="s">
        <v>284</v>
      </c>
      <c r="B107" s="58" t="s">
        <v>243</v>
      </c>
      <c r="C107" s="58">
        <v>0.98</v>
      </c>
      <c r="D107" s="58">
        <v>0.98</v>
      </c>
      <c r="E107" s="58">
        <v>0.98</v>
      </c>
      <c r="F107" s="58">
        <v>0.98</v>
      </c>
      <c r="G107" s="58">
        <v>0.98</v>
      </c>
      <c r="H107" s="58">
        <v>0.98</v>
      </c>
      <c r="I107" s="58">
        <v>0.98</v>
      </c>
      <c r="J107" s="58">
        <v>0.98</v>
      </c>
    </row>
    <row r="108" spans="1:10">
      <c r="A108" s="58" t="s">
        <v>284</v>
      </c>
      <c r="B108" s="58" t="s">
        <v>244</v>
      </c>
      <c r="C108" s="58">
        <v>0.98</v>
      </c>
      <c r="D108" s="58">
        <v>0.98</v>
      </c>
      <c r="E108" s="58">
        <v>0.98</v>
      </c>
      <c r="F108" s="58">
        <v>0.98</v>
      </c>
      <c r="G108" s="58">
        <v>0.98</v>
      </c>
      <c r="H108" s="58">
        <v>0.98</v>
      </c>
      <c r="I108" s="58">
        <v>0.98</v>
      </c>
      <c r="J108" s="58">
        <v>0.98</v>
      </c>
    </row>
    <row r="109" spans="1:10">
      <c r="A109" s="58" t="s">
        <v>284</v>
      </c>
      <c r="B109" s="58" t="s">
        <v>245</v>
      </c>
      <c r="C109" s="58">
        <v>0.98</v>
      </c>
      <c r="D109" s="58">
        <v>0.98</v>
      </c>
      <c r="E109" s="58">
        <v>0.98</v>
      </c>
      <c r="F109" s="58">
        <v>0.98</v>
      </c>
      <c r="G109" s="58">
        <v>0.98</v>
      </c>
      <c r="H109" s="58">
        <v>0.98</v>
      </c>
      <c r="I109" s="58">
        <v>0.98</v>
      </c>
      <c r="J109" s="58">
        <v>0.98</v>
      </c>
    </row>
    <row r="110" spans="1:10">
      <c r="A110" s="58" t="s">
        <v>284</v>
      </c>
      <c r="B110" s="58" t="s">
        <v>246</v>
      </c>
      <c r="C110" s="58">
        <v>0</v>
      </c>
      <c r="D110" s="58">
        <v>0</v>
      </c>
      <c r="E110" s="58">
        <v>0</v>
      </c>
      <c r="F110" s="58">
        <v>0.98</v>
      </c>
      <c r="G110" s="58">
        <v>0.98</v>
      </c>
      <c r="H110" s="58">
        <v>0.98</v>
      </c>
      <c r="I110" s="58">
        <v>0.98</v>
      </c>
      <c r="J110" s="58">
        <v>0.98</v>
      </c>
    </row>
    <row r="111" spans="1:10">
      <c r="A111" s="58" t="s">
        <v>284</v>
      </c>
      <c r="B111" s="58" t="s">
        <v>247</v>
      </c>
      <c r="C111" s="58">
        <v>0</v>
      </c>
      <c r="D111" s="58">
        <v>0</v>
      </c>
      <c r="E111" s="58">
        <v>0</v>
      </c>
      <c r="F111" s="58">
        <v>0</v>
      </c>
      <c r="G111" s="58">
        <v>0</v>
      </c>
      <c r="H111" s="58">
        <v>0.98</v>
      </c>
      <c r="I111" s="58">
        <v>0.98</v>
      </c>
      <c r="J111" s="58">
        <v>0.98</v>
      </c>
    </row>
    <row r="112" spans="1:10">
      <c r="A112" s="58" t="s">
        <v>284</v>
      </c>
      <c r="B112" s="58" t="s">
        <v>248</v>
      </c>
      <c r="C112" s="58">
        <v>0</v>
      </c>
      <c r="D112" s="58">
        <v>0</v>
      </c>
      <c r="E112" s="58">
        <v>0.98</v>
      </c>
      <c r="F112" s="58">
        <v>0.98</v>
      </c>
      <c r="G112" s="58">
        <v>0.98</v>
      </c>
      <c r="H112" s="58">
        <v>0.98</v>
      </c>
      <c r="I112" s="58">
        <v>0.98</v>
      </c>
      <c r="J112" s="58">
        <v>0.98</v>
      </c>
    </row>
    <row r="113" spans="1:10">
      <c r="A113" s="58" t="s">
        <v>284</v>
      </c>
      <c r="B113" s="58" t="s">
        <v>23</v>
      </c>
      <c r="C113" s="58">
        <v>0.8</v>
      </c>
      <c r="D113" s="58">
        <v>0.8</v>
      </c>
      <c r="E113" s="58">
        <v>0.8</v>
      </c>
      <c r="F113" s="58">
        <v>0.8</v>
      </c>
      <c r="G113" s="58">
        <v>0.8</v>
      </c>
      <c r="H113" s="58">
        <v>0.8</v>
      </c>
      <c r="I113" s="58">
        <v>0.8</v>
      </c>
      <c r="J113" s="58">
        <v>0.8</v>
      </c>
    </row>
    <row r="114" spans="1:10">
      <c r="A114" s="58" t="s">
        <v>284</v>
      </c>
      <c r="B114" s="58" t="s">
        <v>23</v>
      </c>
      <c r="C114" s="58">
        <v>0.8</v>
      </c>
      <c r="D114" s="58">
        <v>0.8</v>
      </c>
      <c r="E114" s="58">
        <v>0.8</v>
      </c>
      <c r="F114" s="58">
        <v>0.8</v>
      </c>
      <c r="G114" s="58">
        <v>0.8</v>
      </c>
      <c r="H114" s="58">
        <v>0.8</v>
      </c>
      <c r="I114" s="58">
        <v>0.8</v>
      </c>
      <c r="J114" s="58">
        <v>0.8</v>
      </c>
    </row>
    <row r="115" spans="1:10">
      <c r="A115" s="58" t="s">
        <v>284</v>
      </c>
      <c r="B115" s="58" t="s">
        <v>111</v>
      </c>
      <c r="C115" s="58">
        <v>0.8</v>
      </c>
      <c r="D115" s="58">
        <v>0.8</v>
      </c>
      <c r="E115" s="58">
        <v>0.8</v>
      </c>
      <c r="F115" s="58">
        <v>0.8</v>
      </c>
      <c r="G115" s="58">
        <v>0.8</v>
      </c>
      <c r="H115" s="58">
        <v>0.8</v>
      </c>
      <c r="I115" s="58">
        <v>0.8</v>
      </c>
      <c r="J115" s="58">
        <v>0.8</v>
      </c>
    </row>
    <row r="116" spans="1:10">
      <c r="A116" s="58" t="s">
        <v>284</v>
      </c>
      <c r="B116" s="58" t="s">
        <v>111</v>
      </c>
      <c r="C116" s="58">
        <v>0.8</v>
      </c>
      <c r="D116" s="58">
        <v>0.8</v>
      </c>
      <c r="E116" s="58">
        <v>0.8</v>
      </c>
      <c r="F116" s="58">
        <v>0.8</v>
      </c>
      <c r="G116" s="58">
        <v>0.8</v>
      </c>
      <c r="H116" s="58">
        <v>0.8</v>
      </c>
      <c r="I116" s="58">
        <v>0.8</v>
      </c>
      <c r="J116" s="58">
        <v>0.8</v>
      </c>
    </row>
    <row r="117" spans="1:10">
      <c r="A117" s="58" t="s">
        <v>284</v>
      </c>
      <c r="B117" s="58" t="s">
        <v>254</v>
      </c>
      <c r="C117" s="58">
        <v>0.98</v>
      </c>
      <c r="D117" s="58">
        <v>0.98</v>
      </c>
      <c r="E117" s="58">
        <v>0.98</v>
      </c>
      <c r="F117" s="58">
        <v>0.98</v>
      </c>
      <c r="G117" s="58">
        <v>0.98</v>
      </c>
      <c r="H117" s="58">
        <v>0.98</v>
      </c>
      <c r="I117" s="58">
        <v>0.98</v>
      </c>
      <c r="J117" s="58">
        <v>0.98</v>
      </c>
    </row>
    <row r="118" spans="1:10">
      <c r="A118" s="58" t="s">
        <v>284</v>
      </c>
      <c r="B118" s="58" t="s">
        <v>255</v>
      </c>
      <c r="C118" s="58">
        <v>0.98</v>
      </c>
      <c r="D118" s="58">
        <v>0.98</v>
      </c>
      <c r="E118" s="58">
        <v>0.98</v>
      </c>
      <c r="F118" s="58">
        <v>0.98</v>
      </c>
      <c r="G118" s="58">
        <v>0.98</v>
      </c>
      <c r="H118" s="58">
        <v>0.98</v>
      </c>
      <c r="I118" s="58">
        <v>0.98</v>
      </c>
      <c r="J118" s="58">
        <v>0.98</v>
      </c>
    </row>
    <row r="119" spans="1:10">
      <c r="A119" s="58" t="s">
        <v>284</v>
      </c>
      <c r="B119" s="58" t="s">
        <v>267</v>
      </c>
      <c r="C119" s="58">
        <v>0.98</v>
      </c>
      <c r="D119" s="58">
        <v>0.98</v>
      </c>
      <c r="E119" s="58">
        <v>0.98</v>
      </c>
      <c r="F119" s="58">
        <v>0.98</v>
      </c>
      <c r="G119" s="58">
        <v>0.98</v>
      </c>
      <c r="H119" s="58">
        <v>0.98</v>
      </c>
      <c r="I119" s="58">
        <v>0.98</v>
      </c>
      <c r="J119" s="58">
        <v>0.98</v>
      </c>
    </row>
    <row r="120" spans="1:10">
      <c r="A120" s="58" t="s">
        <v>284</v>
      </c>
      <c r="B120" s="58" t="s">
        <v>261</v>
      </c>
      <c r="C120" s="58">
        <v>0.98</v>
      </c>
      <c r="D120" s="58">
        <v>0.98</v>
      </c>
      <c r="E120" s="58">
        <v>0.98</v>
      </c>
      <c r="F120" s="58">
        <v>0.98</v>
      </c>
      <c r="G120" s="58">
        <v>0.98</v>
      </c>
      <c r="H120" s="58">
        <v>0.98</v>
      </c>
      <c r="I120" s="58">
        <v>0.98</v>
      </c>
      <c r="J120" s="58">
        <v>0.98</v>
      </c>
    </row>
    <row r="121" spans="1:10">
      <c r="A121" s="58" t="s">
        <v>284</v>
      </c>
      <c r="B121" s="58" t="s">
        <v>262</v>
      </c>
      <c r="C121" s="58">
        <v>0.98</v>
      </c>
      <c r="D121" s="58">
        <v>0.98</v>
      </c>
      <c r="E121" s="58">
        <v>0.98</v>
      </c>
      <c r="F121" s="58">
        <v>0.98</v>
      </c>
      <c r="G121" s="58">
        <v>0.98</v>
      </c>
      <c r="H121" s="58">
        <v>0.98</v>
      </c>
      <c r="I121" s="58">
        <v>0.98</v>
      </c>
      <c r="J121" s="58">
        <v>0.98</v>
      </c>
    </row>
    <row r="122" spans="1:10">
      <c r="A122" s="58" t="s">
        <v>284</v>
      </c>
      <c r="B122" s="58" t="s">
        <v>268</v>
      </c>
      <c r="C122" s="58">
        <v>0.98</v>
      </c>
      <c r="D122" s="58">
        <v>0.98</v>
      </c>
      <c r="E122" s="58">
        <v>0.98</v>
      </c>
      <c r="F122" s="58">
        <v>0.98</v>
      </c>
      <c r="G122" s="58">
        <v>0.98</v>
      </c>
      <c r="H122" s="58">
        <v>0.98</v>
      </c>
      <c r="I122" s="58">
        <v>0.98</v>
      </c>
      <c r="J122" s="58">
        <v>0.98</v>
      </c>
    </row>
    <row r="123" spans="1:10">
      <c r="A123" s="58" t="s">
        <v>284</v>
      </c>
      <c r="B123" s="58" t="s">
        <v>259</v>
      </c>
      <c r="C123" s="58">
        <v>0.98</v>
      </c>
      <c r="D123" s="58">
        <v>0.98</v>
      </c>
      <c r="E123" s="58">
        <v>0.98</v>
      </c>
      <c r="F123" s="58">
        <v>0.98</v>
      </c>
      <c r="G123" s="58">
        <v>0.98</v>
      </c>
      <c r="H123" s="58">
        <v>0.98</v>
      </c>
      <c r="I123" s="58">
        <v>0.98</v>
      </c>
      <c r="J123" s="58">
        <v>0.98</v>
      </c>
    </row>
    <row r="124" spans="1:10">
      <c r="A124" s="58" t="s">
        <v>284</v>
      </c>
      <c r="B124" s="58" t="s">
        <v>260</v>
      </c>
      <c r="C124" s="58">
        <v>0.98</v>
      </c>
      <c r="D124" s="58">
        <v>0.98</v>
      </c>
      <c r="E124" s="58">
        <v>0.98</v>
      </c>
      <c r="F124" s="58">
        <v>0.98</v>
      </c>
      <c r="G124" s="58">
        <v>0.98</v>
      </c>
      <c r="H124" s="58">
        <v>0.98</v>
      </c>
      <c r="I124" s="58">
        <v>0.98</v>
      </c>
      <c r="J124" s="58">
        <v>0.98</v>
      </c>
    </row>
    <row r="125" spans="1:10">
      <c r="A125" s="58" t="s">
        <v>284</v>
      </c>
      <c r="B125" s="58" t="s">
        <v>263</v>
      </c>
      <c r="C125" s="58">
        <v>0.98</v>
      </c>
      <c r="D125" s="58">
        <v>0.98</v>
      </c>
      <c r="E125" s="58">
        <v>0.98</v>
      </c>
      <c r="F125" s="58">
        <v>0.98</v>
      </c>
      <c r="G125" s="58">
        <v>0.98</v>
      </c>
      <c r="H125" s="58">
        <v>0.98</v>
      </c>
      <c r="I125" s="58">
        <v>0.98</v>
      </c>
      <c r="J125" s="58">
        <v>0.98</v>
      </c>
    </row>
    <row r="126" spans="1:10">
      <c r="A126" s="58" t="s">
        <v>284</v>
      </c>
      <c r="B126" s="58" t="s">
        <v>264</v>
      </c>
      <c r="C126" s="58">
        <v>0.98</v>
      </c>
      <c r="D126" s="58">
        <v>0.98</v>
      </c>
      <c r="E126" s="58">
        <v>0.98</v>
      </c>
      <c r="F126" s="58">
        <v>0.98</v>
      </c>
      <c r="G126" s="58">
        <v>0.98</v>
      </c>
      <c r="H126" s="58">
        <v>0.98</v>
      </c>
      <c r="I126" s="58">
        <v>0.98</v>
      </c>
      <c r="J126" s="58">
        <v>0.98</v>
      </c>
    </row>
    <row r="127" spans="1:10">
      <c r="A127" s="58" t="s">
        <v>284</v>
      </c>
      <c r="B127" s="58" t="s">
        <v>256</v>
      </c>
      <c r="C127" s="58">
        <v>0.98</v>
      </c>
      <c r="D127" s="58">
        <v>0.98</v>
      </c>
      <c r="E127" s="58">
        <v>0.98</v>
      </c>
      <c r="F127" s="58">
        <v>0.98</v>
      </c>
      <c r="G127" s="58">
        <v>0.98</v>
      </c>
      <c r="H127" s="58">
        <v>0.98</v>
      </c>
      <c r="I127" s="58">
        <v>0.98</v>
      </c>
      <c r="J127" s="58">
        <v>0.98</v>
      </c>
    </row>
    <row r="128" spans="1:10">
      <c r="A128" s="58" t="s">
        <v>284</v>
      </c>
      <c r="B128" s="58" t="s">
        <v>257</v>
      </c>
      <c r="C128" s="58">
        <v>0.98</v>
      </c>
      <c r="D128" s="58">
        <v>0.98</v>
      </c>
      <c r="E128" s="58">
        <v>0.98</v>
      </c>
      <c r="F128" s="58">
        <v>0.98</v>
      </c>
      <c r="G128" s="58">
        <v>0.98</v>
      </c>
      <c r="H128" s="58">
        <v>0.98</v>
      </c>
      <c r="I128" s="58">
        <v>0.98</v>
      </c>
      <c r="J128" s="58">
        <v>0.98</v>
      </c>
    </row>
    <row r="129" spans="1:10">
      <c r="A129" s="58" t="s">
        <v>284</v>
      </c>
      <c r="B129" s="58" t="s">
        <v>258</v>
      </c>
      <c r="C129" s="58">
        <v>0.98</v>
      </c>
      <c r="D129" s="58">
        <v>0.98</v>
      </c>
      <c r="E129" s="58">
        <v>0.98</v>
      </c>
      <c r="F129" s="58">
        <v>0.98</v>
      </c>
      <c r="G129" s="58">
        <v>0.98</v>
      </c>
      <c r="H129" s="58">
        <v>0.98</v>
      </c>
      <c r="I129" s="58">
        <v>0.98</v>
      </c>
      <c r="J129" s="58">
        <v>0.98</v>
      </c>
    </row>
    <row r="130" spans="1:10">
      <c r="A130" s="58" t="s">
        <v>284</v>
      </c>
      <c r="B130" s="58" t="s">
        <v>265</v>
      </c>
      <c r="C130" s="58">
        <v>0.98</v>
      </c>
      <c r="D130" s="58">
        <v>0.98</v>
      </c>
      <c r="E130" s="58">
        <v>0.98</v>
      </c>
      <c r="F130" s="58">
        <v>0.98</v>
      </c>
      <c r="G130" s="58">
        <v>0.98</v>
      </c>
      <c r="H130" s="58">
        <v>0.98</v>
      </c>
      <c r="I130" s="58">
        <v>0.98</v>
      </c>
      <c r="J130" s="58">
        <v>0.98</v>
      </c>
    </row>
    <row r="131" spans="1:10">
      <c r="A131" s="58" t="s">
        <v>284</v>
      </c>
      <c r="B131" s="58" t="s">
        <v>266</v>
      </c>
      <c r="C131" s="58">
        <v>0.98</v>
      </c>
      <c r="D131" s="58">
        <v>0.98</v>
      </c>
      <c r="E131" s="58">
        <v>0.98</v>
      </c>
      <c r="F131" s="58">
        <v>0.98</v>
      </c>
      <c r="G131" s="58">
        <v>0.98</v>
      </c>
      <c r="H131" s="58">
        <v>0.98</v>
      </c>
      <c r="I131" s="58">
        <v>0.98</v>
      </c>
      <c r="J131" s="58">
        <v>0.98</v>
      </c>
    </row>
    <row r="132" spans="1:10">
      <c r="A132" s="58" t="s">
        <v>284</v>
      </c>
      <c r="B132" s="58" t="s">
        <v>269</v>
      </c>
      <c r="C132" s="58">
        <v>0.98</v>
      </c>
      <c r="D132" s="58">
        <v>0.98</v>
      </c>
      <c r="E132" s="58">
        <v>0.98</v>
      </c>
      <c r="F132" s="58">
        <v>0.98</v>
      </c>
      <c r="G132" s="58">
        <v>0.98</v>
      </c>
      <c r="H132" s="58">
        <v>0.98</v>
      </c>
      <c r="I132" s="58">
        <v>0.98</v>
      </c>
      <c r="J132" s="58">
        <v>0.98</v>
      </c>
    </row>
    <row r="133" spans="1:10">
      <c r="A133" s="58" t="s">
        <v>284</v>
      </c>
      <c r="B133" s="58" t="s">
        <v>270</v>
      </c>
      <c r="C133" s="58">
        <v>1</v>
      </c>
      <c r="D133" s="58">
        <v>1</v>
      </c>
      <c r="E133" s="58">
        <v>1</v>
      </c>
      <c r="F133" s="58">
        <v>1</v>
      </c>
      <c r="G133" s="58">
        <v>1</v>
      </c>
      <c r="H133" s="58">
        <v>1</v>
      </c>
      <c r="I133" s="58">
        <v>1</v>
      </c>
      <c r="J133" s="58">
        <v>1</v>
      </c>
    </row>
    <row r="134" spans="1:10">
      <c r="A134" s="58" t="s">
        <v>284</v>
      </c>
      <c r="B134" s="58" t="s">
        <v>272</v>
      </c>
      <c r="C134" s="58">
        <v>0</v>
      </c>
      <c r="D134" s="58">
        <v>0</v>
      </c>
      <c r="E134" s="58">
        <v>0.98</v>
      </c>
      <c r="F134" s="58">
        <v>0.98</v>
      </c>
      <c r="G134" s="58">
        <v>0.98</v>
      </c>
      <c r="H134" s="58">
        <v>0.98</v>
      </c>
      <c r="I134" s="58">
        <v>0.98</v>
      </c>
      <c r="J134" s="58">
        <v>0.98</v>
      </c>
    </row>
    <row r="135" spans="1:10">
      <c r="A135" s="58" t="s">
        <v>284</v>
      </c>
      <c r="B135" s="58" t="s">
        <v>273</v>
      </c>
      <c r="C135" s="58">
        <v>0</v>
      </c>
      <c r="D135" s="58">
        <v>0</v>
      </c>
      <c r="E135" s="58">
        <v>0.98</v>
      </c>
      <c r="F135" s="58">
        <v>0.98</v>
      </c>
      <c r="G135" s="58">
        <v>0.98</v>
      </c>
      <c r="H135" s="58">
        <v>0.98</v>
      </c>
      <c r="I135" s="58">
        <v>0.98</v>
      </c>
      <c r="J135" s="58">
        <v>0.98</v>
      </c>
    </row>
    <row r="136" spans="1:10">
      <c r="A136" s="58" t="s">
        <v>284</v>
      </c>
      <c r="B136" s="58" t="s">
        <v>274</v>
      </c>
      <c r="C136" s="58">
        <v>0</v>
      </c>
      <c r="D136" s="58">
        <v>1</v>
      </c>
      <c r="E136" s="58">
        <v>1</v>
      </c>
      <c r="F136" s="58">
        <v>1</v>
      </c>
      <c r="G136" s="58">
        <v>1</v>
      </c>
      <c r="H136" s="58">
        <v>1</v>
      </c>
      <c r="I136" s="58">
        <v>1</v>
      </c>
      <c r="J136" s="58">
        <v>1</v>
      </c>
    </row>
    <row r="137" spans="1:10">
      <c r="A137" s="58" t="s">
        <v>284</v>
      </c>
      <c r="B137" s="58" t="s">
        <v>329</v>
      </c>
      <c r="C137" s="58">
        <v>0</v>
      </c>
      <c r="D137" s="58">
        <v>0</v>
      </c>
      <c r="E137" s="58">
        <v>0</v>
      </c>
      <c r="F137" s="58">
        <v>1</v>
      </c>
      <c r="G137" s="58">
        <v>1</v>
      </c>
      <c r="H137" s="58">
        <v>1</v>
      </c>
      <c r="I137" s="58">
        <v>1</v>
      </c>
      <c r="J137" s="58">
        <v>1</v>
      </c>
    </row>
    <row r="138" spans="1:10">
      <c r="A138" s="58" t="s">
        <v>284</v>
      </c>
      <c r="B138" s="58" t="s">
        <v>335</v>
      </c>
      <c r="C138" s="58">
        <v>1</v>
      </c>
      <c r="D138" s="58">
        <v>1</v>
      </c>
      <c r="E138" s="58">
        <v>1</v>
      </c>
      <c r="F138" s="58">
        <v>1</v>
      </c>
      <c r="G138" s="58">
        <v>1</v>
      </c>
      <c r="H138" s="58">
        <v>1</v>
      </c>
      <c r="I138" s="58">
        <v>1</v>
      </c>
      <c r="J138" s="58">
        <v>1</v>
      </c>
    </row>
    <row r="139" spans="1:10">
      <c r="A139" s="58" t="s">
        <v>284</v>
      </c>
      <c r="B139" s="58" t="s">
        <v>330</v>
      </c>
      <c r="C139" s="58">
        <v>1</v>
      </c>
      <c r="D139" s="58">
        <v>1</v>
      </c>
      <c r="E139" s="58">
        <v>1</v>
      </c>
      <c r="F139" s="58">
        <v>1</v>
      </c>
      <c r="G139" s="58">
        <v>1</v>
      </c>
      <c r="H139" s="58">
        <v>1</v>
      </c>
      <c r="I139" s="58">
        <v>1</v>
      </c>
      <c r="J139" s="58">
        <v>1</v>
      </c>
    </row>
    <row r="140" spans="1:10">
      <c r="A140" s="58" t="s">
        <v>284</v>
      </c>
      <c r="B140" s="58" t="s">
        <v>333</v>
      </c>
      <c r="C140" s="58">
        <v>1</v>
      </c>
      <c r="D140" s="58">
        <v>1</v>
      </c>
      <c r="E140" s="58">
        <v>1</v>
      </c>
      <c r="F140" s="58">
        <v>1</v>
      </c>
      <c r="G140" s="58">
        <v>1</v>
      </c>
      <c r="H140" s="58">
        <v>1</v>
      </c>
      <c r="I140" s="58">
        <v>1</v>
      </c>
      <c r="J140" s="58">
        <v>1</v>
      </c>
    </row>
    <row r="141" spans="1:10">
      <c r="A141" s="58" t="s">
        <v>284</v>
      </c>
      <c r="B141" s="58" t="s">
        <v>332</v>
      </c>
      <c r="C141" s="58">
        <v>1</v>
      </c>
      <c r="D141" s="58">
        <v>1</v>
      </c>
      <c r="E141" s="58">
        <v>1</v>
      </c>
      <c r="F141" s="58">
        <v>1</v>
      </c>
      <c r="G141" s="58">
        <v>1</v>
      </c>
      <c r="H141" s="58">
        <v>1</v>
      </c>
      <c r="I141" s="58">
        <v>1</v>
      </c>
      <c r="J141" s="58">
        <v>1</v>
      </c>
    </row>
    <row r="142" spans="1:10">
      <c r="A142" s="58" t="s">
        <v>284</v>
      </c>
      <c r="B142" s="58" t="s">
        <v>334</v>
      </c>
      <c r="C142" s="58">
        <v>1</v>
      </c>
      <c r="D142" s="58">
        <v>1</v>
      </c>
      <c r="E142" s="58">
        <v>1</v>
      </c>
      <c r="F142" s="58">
        <v>1</v>
      </c>
      <c r="G142" s="58">
        <v>1</v>
      </c>
      <c r="H142" s="58">
        <v>1</v>
      </c>
      <c r="I142" s="58">
        <v>1</v>
      </c>
      <c r="J142" s="58">
        <v>1</v>
      </c>
    </row>
    <row r="143" spans="1:10">
      <c r="A143" s="58" t="s">
        <v>284</v>
      </c>
      <c r="B143" s="58" t="s">
        <v>331</v>
      </c>
      <c r="C143" s="58">
        <v>1</v>
      </c>
      <c r="D143" s="58">
        <v>1</v>
      </c>
      <c r="E143" s="58">
        <v>1</v>
      </c>
      <c r="F143" s="58">
        <v>1</v>
      </c>
      <c r="G143" s="58">
        <v>1</v>
      </c>
      <c r="H143" s="58">
        <v>1</v>
      </c>
      <c r="I143" s="58">
        <v>1</v>
      </c>
      <c r="J143" s="58">
        <v>1</v>
      </c>
    </row>
    <row r="144" spans="1:10">
      <c r="A144" s="58" t="s">
        <v>284</v>
      </c>
      <c r="B144" s="62" t="s">
        <v>339</v>
      </c>
      <c r="C144" s="58">
        <v>0.98</v>
      </c>
      <c r="D144" s="58">
        <v>0.98</v>
      </c>
      <c r="E144" s="58">
        <v>0.98</v>
      </c>
      <c r="F144" s="58">
        <v>0.98</v>
      </c>
      <c r="G144" s="58">
        <v>0.98</v>
      </c>
      <c r="H144" s="58">
        <v>0.98</v>
      </c>
      <c r="I144" s="58">
        <v>0.98</v>
      </c>
      <c r="J144" s="58">
        <v>0.98</v>
      </c>
    </row>
    <row r="145" spans="1:16">
      <c r="A145" s="58" t="s">
        <v>284</v>
      </c>
      <c r="B145" s="62" t="s">
        <v>340</v>
      </c>
      <c r="C145" s="58">
        <v>0.98</v>
      </c>
      <c r="D145" s="58">
        <v>0.98</v>
      </c>
      <c r="E145" s="58">
        <v>0.98</v>
      </c>
      <c r="F145" s="58">
        <v>0.98</v>
      </c>
      <c r="G145" s="58">
        <v>0.98</v>
      </c>
      <c r="H145" s="58">
        <v>0.98</v>
      </c>
      <c r="I145" s="58">
        <v>0.98</v>
      </c>
      <c r="J145" s="58">
        <v>0.98</v>
      </c>
    </row>
    <row r="146" spans="1:16">
      <c r="A146" s="58" t="s">
        <v>284</v>
      </c>
      <c r="B146" s="62" t="s">
        <v>345</v>
      </c>
      <c r="C146" s="58">
        <v>0.98</v>
      </c>
      <c r="D146" s="58">
        <v>0.98</v>
      </c>
      <c r="E146" s="58">
        <v>0.98</v>
      </c>
      <c r="F146" s="58">
        <v>0.98</v>
      </c>
      <c r="G146" s="58">
        <v>0.98</v>
      </c>
      <c r="H146" s="58">
        <v>0.98</v>
      </c>
      <c r="I146" s="58">
        <v>0.98</v>
      </c>
      <c r="J146" s="58">
        <v>0.98</v>
      </c>
    </row>
    <row r="147" spans="1:16">
      <c r="A147" s="58" t="s">
        <v>284</v>
      </c>
      <c r="B147" s="62" t="s">
        <v>346</v>
      </c>
      <c r="C147" s="58">
        <v>0.98</v>
      </c>
      <c r="D147" s="58">
        <v>0.98</v>
      </c>
      <c r="E147" s="58">
        <v>0.98</v>
      </c>
      <c r="F147" s="58">
        <v>0.98</v>
      </c>
      <c r="G147" s="58">
        <v>0.98</v>
      </c>
      <c r="H147" s="58">
        <v>0.98</v>
      </c>
      <c r="I147" s="58">
        <v>0.98</v>
      </c>
      <c r="J147" s="58">
        <v>0.98</v>
      </c>
    </row>
    <row r="148" spans="1:16">
      <c r="A148" s="58" t="s">
        <v>284</v>
      </c>
      <c r="B148" s="62" t="s">
        <v>347</v>
      </c>
      <c r="C148" s="58">
        <v>0.98</v>
      </c>
      <c r="D148" s="58">
        <v>0.98</v>
      </c>
      <c r="E148" s="58">
        <v>0.98</v>
      </c>
      <c r="F148" s="58">
        <v>0.98</v>
      </c>
      <c r="G148" s="58">
        <v>0.98</v>
      </c>
      <c r="H148" s="58">
        <v>0.98</v>
      </c>
      <c r="I148" s="58">
        <v>0.98</v>
      </c>
      <c r="J148" s="58">
        <v>0.98</v>
      </c>
    </row>
    <row r="149" spans="1:16">
      <c r="A149" s="58" t="s">
        <v>284</v>
      </c>
      <c r="B149" s="10" t="s">
        <v>361</v>
      </c>
      <c r="C149" s="58">
        <v>0.98</v>
      </c>
      <c r="D149" s="58">
        <v>0.98</v>
      </c>
      <c r="E149" s="58">
        <v>0.98</v>
      </c>
      <c r="F149" s="58">
        <v>0.98</v>
      </c>
      <c r="G149" s="58">
        <v>0.98</v>
      </c>
      <c r="H149" s="58">
        <v>0.98</v>
      </c>
      <c r="I149" s="58">
        <v>0.98</v>
      </c>
      <c r="J149" s="58">
        <v>0.98</v>
      </c>
    </row>
    <row r="150" spans="1:16">
      <c r="A150" s="58" t="s">
        <v>284</v>
      </c>
      <c r="B150" s="62" t="s">
        <v>363</v>
      </c>
      <c r="C150" s="58">
        <v>0.98</v>
      </c>
      <c r="D150" s="58">
        <v>0.98</v>
      </c>
      <c r="E150" s="58">
        <v>0.98</v>
      </c>
      <c r="F150" s="58">
        <v>0.98</v>
      </c>
      <c r="G150" s="58">
        <v>0.98</v>
      </c>
      <c r="H150" s="58">
        <v>0.98</v>
      </c>
      <c r="I150" s="58">
        <v>0.98</v>
      </c>
      <c r="J150" s="58">
        <v>0.98</v>
      </c>
    </row>
    <row r="151" spans="1:16">
      <c r="A151" s="58" t="s">
        <v>284</v>
      </c>
      <c r="B151" s="62" t="s">
        <v>364</v>
      </c>
      <c r="C151" s="58">
        <v>0.98</v>
      </c>
      <c r="D151" s="58">
        <v>0.98</v>
      </c>
      <c r="E151" s="58">
        <v>0.98</v>
      </c>
      <c r="F151" s="58">
        <v>0.98</v>
      </c>
      <c r="G151" s="58">
        <v>0.98</v>
      </c>
      <c r="H151" s="58">
        <v>0.98</v>
      </c>
      <c r="I151" s="58">
        <v>0.98</v>
      </c>
      <c r="J151" s="58">
        <v>0.98</v>
      </c>
    </row>
    <row r="152" spans="1:16">
      <c r="A152" s="10" t="s">
        <v>284</v>
      </c>
      <c r="B152" s="62" t="s">
        <v>365</v>
      </c>
      <c r="C152" s="10">
        <v>1</v>
      </c>
      <c r="D152" s="10">
        <v>1</v>
      </c>
      <c r="E152" s="10">
        <v>1</v>
      </c>
      <c r="F152" s="10">
        <v>1</v>
      </c>
      <c r="G152" s="10">
        <v>1</v>
      </c>
      <c r="H152" s="10">
        <v>1</v>
      </c>
      <c r="I152" s="10">
        <v>1</v>
      </c>
      <c r="J152" s="10">
        <v>1</v>
      </c>
    </row>
    <row r="153" spans="1:16">
      <c r="A153" s="10" t="s">
        <v>284</v>
      </c>
      <c r="B153" s="10" t="s">
        <v>366</v>
      </c>
      <c r="C153" s="10">
        <v>1</v>
      </c>
      <c r="D153" s="10">
        <v>1</v>
      </c>
      <c r="E153" s="10">
        <v>1</v>
      </c>
      <c r="F153" s="10">
        <v>1</v>
      </c>
      <c r="G153" s="10">
        <v>1</v>
      </c>
      <c r="H153" s="10">
        <v>1</v>
      </c>
      <c r="I153" s="10">
        <v>1</v>
      </c>
      <c r="J153" s="10">
        <v>1</v>
      </c>
    </row>
    <row r="154" spans="1:16">
      <c r="A154" s="10" t="s">
        <v>284</v>
      </c>
      <c r="B154" s="10" t="s">
        <v>367</v>
      </c>
      <c r="C154" s="10">
        <v>1</v>
      </c>
      <c r="D154" s="10">
        <v>1</v>
      </c>
      <c r="E154" s="10">
        <v>1</v>
      </c>
      <c r="F154" s="10">
        <v>1</v>
      </c>
      <c r="G154" s="10">
        <v>1</v>
      </c>
      <c r="H154" s="10">
        <v>1</v>
      </c>
      <c r="I154" s="10">
        <v>1</v>
      </c>
      <c r="J154" s="10">
        <v>1</v>
      </c>
    </row>
    <row r="155" spans="1:16">
      <c r="A155" s="10" t="s">
        <v>289</v>
      </c>
      <c r="B155" s="58" t="s">
        <v>102</v>
      </c>
      <c r="C155" s="58">
        <v>0.4</v>
      </c>
      <c r="D155" s="58">
        <v>0.33</v>
      </c>
      <c r="E155" s="58">
        <v>0.33</v>
      </c>
      <c r="F155" s="58">
        <v>0.33</v>
      </c>
      <c r="G155" s="58">
        <v>0.33</v>
      </c>
      <c r="H155" s="58">
        <v>0.33</v>
      </c>
      <c r="I155" s="58">
        <v>0.33</v>
      </c>
      <c r="J155" s="58">
        <v>0.33</v>
      </c>
    </row>
    <row r="156" spans="1:16">
      <c r="A156" s="10" t="s">
        <v>299</v>
      </c>
      <c r="B156" s="58" t="s">
        <v>102</v>
      </c>
      <c r="C156" s="58">
        <v>0.6</v>
      </c>
      <c r="D156" s="58">
        <v>0.33</v>
      </c>
      <c r="E156" s="58">
        <v>0.33</v>
      </c>
      <c r="F156" s="58">
        <v>0.33</v>
      </c>
      <c r="G156" s="58">
        <v>0.33</v>
      </c>
      <c r="H156" s="58">
        <v>0.33</v>
      </c>
      <c r="I156" s="58">
        <v>0.33</v>
      </c>
      <c r="J156" s="58">
        <v>0.33</v>
      </c>
    </row>
    <row r="157" spans="1:16">
      <c r="A157" s="58" t="s">
        <v>284</v>
      </c>
      <c r="B157" s="58" t="s">
        <v>488</v>
      </c>
      <c r="C157" s="58">
        <v>0.87</v>
      </c>
      <c r="D157" s="58">
        <v>0.87</v>
      </c>
      <c r="E157" s="58">
        <v>0.87</v>
      </c>
      <c r="F157" s="58">
        <v>0.87</v>
      </c>
      <c r="G157" s="58">
        <v>0.87</v>
      </c>
      <c r="H157" s="58">
        <v>0.87</v>
      </c>
      <c r="I157" s="58">
        <v>0.87</v>
      </c>
      <c r="J157" s="58">
        <v>0.87</v>
      </c>
      <c r="N157" s="58" t="s">
        <v>497</v>
      </c>
      <c r="P157" s="58" t="s">
        <v>509</v>
      </c>
    </row>
    <row r="158" spans="1:16">
      <c r="A158" s="58" t="s">
        <v>284</v>
      </c>
      <c r="B158" s="58" t="s">
        <v>490</v>
      </c>
      <c r="C158" s="58">
        <v>0.87</v>
      </c>
      <c r="D158" s="58">
        <v>0.87</v>
      </c>
      <c r="E158" s="58">
        <v>0.87</v>
      </c>
      <c r="F158" s="58">
        <v>0.87</v>
      </c>
      <c r="G158" s="58">
        <v>0.87</v>
      </c>
      <c r="H158" s="58">
        <v>0.87</v>
      </c>
      <c r="I158" s="58">
        <v>0.87</v>
      </c>
      <c r="J158" s="58">
        <v>0.87</v>
      </c>
    </row>
    <row r="159" spans="1:16">
      <c r="A159" s="58" t="s">
        <v>284</v>
      </c>
      <c r="B159" s="58" t="s">
        <v>489</v>
      </c>
      <c r="C159" s="58">
        <v>0.87</v>
      </c>
      <c r="D159" s="58">
        <v>0.87</v>
      </c>
      <c r="E159" s="58">
        <v>0.87</v>
      </c>
      <c r="F159" s="58">
        <v>0.87</v>
      </c>
      <c r="G159" s="58">
        <v>0.87</v>
      </c>
      <c r="H159" s="58">
        <v>0.87</v>
      </c>
      <c r="I159" s="58">
        <v>0.87</v>
      </c>
      <c r="J159" s="58">
        <v>0.87</v>
      </c>
    </row>
    <row r="160" spans="1:16">
      <c r="A160" s="58" t="s">
        <v>284</v>
      </c>
      <c r="B160" s="58" t="s">
        <v>475</v>
      </c>
      <c r="C160" s="58">
        <v>0.9</v>
      </c>
      <c r="D160" s="58">
        <v>0.9</v>
      </c>
      <c r="E160" s="58">
        <v>0.9</v>
      </c>
      <c r="F160" s="58">
        <v>0.9</v>
      </c>
      <c r="G160" s="58">
        <v>0.9</v>
      </c>
      <c r="H160" s="58">
        <v>0.9</v>
      </c>
      <c r="I160" s="58">
        <v>0.9</v>
      </c>
      <c r="J160" s="58">
        <v>0.9</v>
      </c>
      <c r="N160" s="58" t="s">
        <v>510</v>
      </c>
    </row>
    <row r="161" spans="1:14">
      <c r="A161" s="58" t="s">
        <v>284</v>
      </c>
      <c r="B161" s="58" t="s">
        <v>108</v>
      </c>
      <c r="C161" s="58">
        <v>0.9</v>
      </c>
      <c r="D161" s="58">
        <v>0.9</v>
      </c>
      <c r="E161" s="58">
        <v>0.9</v>
      </c>
      <c r="F161" s="58">
        <v>0.9</v>
      </c>
      <c r="G161" s="58">
        <v>0.9</v>
      </c>
      <c r="H161" s="58">
        <v>0.9</v>
      </c>
      <c r="I161" s="58">
        <v>0.9</v>
      </c>
      <c r="J161" s="58">
        <v>0.9</v>
      </c>
      <c r="N161" s="58" t="s">
        <v>510</v>
      </c>
    </row>
    <row r="162" spans="1:14">
      <c r="A162" s="58" t="s">
        <v>284</v>
      </c>
      <c r="B162" s="58" t="s">
        <v>109</v>
      </c>
      <c r="C162" s="58">
        <v>0.9</v>
      </c>
      <c r="D162" s="58">
        <v>0.9</v>
      </c>
      <c r="E162" s="58">
        <v>0.9</v>
      </c>
      <c r="F162" s="58">
        <v>0.9</v>
      </c>
      <c r="G162" s="58">
        <v>0.9</v>
      </c>
      <c r="H162" s="58">
        <v>0.9</v>
      </c>
      <c r="I162" s="58">
        <v>0.9</v>
      </c>
      <c r="J162" s="58">
        <v>0.9</v>
      </c>
      <c r="N162" s="58" t="s">
        <v>510</v>
      </c>
    </row>
    <row r="163" spans="1:14">
      <c r="A163" s="58" t="s">
        <v>284</v>
      </c>
      <c r="B163" s="58" t="s">
        <v>481</v>
      </c>
      <c r="C163" s="58">
        <v>0.9</v>
      </c>
      <c r="D163" s="58">
        <v>0.9</v>
      </c>
      <c r="E163" s="58">
        <v>0.9</v>
      </c>
      <c r="F163" s="58">
        <v>0.9</v>
      </c>
      <c r="G163" s="58">
        <v>0.9</v>
      </c>
      <c r="H163" s="58">
        <v>0.9</v>
      </c>
      <c r="I163" s="58">
        <v>0.9</v>
      </c>
      <c r="J163" s="58">
        <v>0.9</v>
      </c>
      <c r="N163" s="58" t="s">
        <v>510</v>
      </c>
    </row>
    <row r="164" spans="1:14">
      <c r="A164" s="58" t="s">
        <v>284</v>
      </c>
      <c r="B164" s="58" t="s">
        <v>479</v>
      </c>
      <c r="C164" s="58">
        <v>0.9</v>
      </c>
      <c r="D164" s="58">
        <v>0.9</v>
      </c>
      <c r="E164" s="58">
        <v>0.9</v>
      </c>
      <c r="F164" s="58">
        <v>0.9</v>
      </c>
      <c r="G164" s="58">
        <v>0.9</v>
      </c>
      <c r="H164" s="58">
        <v>0.9</v>
      </c>
      <c r="I164" s="58">
        <v>0.9</v>
      </c>
      <c r="J164" s="58">
        <v>0.9</v>
      </c>
      <c r="N164" s="58" t="s">
        <v>510</v>
      </c>
    </row>
    <row r="165" spans="1:14">
      <c r="A165" s="58" t="s">
        <v>284</v>
      </c>
      <c r="B165" s="58" t="s">
        <v>483</v>
      </c>
      <c r="C165" s="58">
        <v>0.9</v>
      </c>
      <c r="D165" s="58">
        <v>0.9</v>
      </c>
      <c r="E165" s="58">
        <v>0.9</v>
      </c>
      <c r="F165" s="58">
        <v>0.9</v>
      </c>
      <c r="G165" s="58">
        <v>0.9</v>
      </c>
      <c r="H165" s="58">
        <v>0.9</v>
      </c>
      <c r="I165" s="58">
        <v>0.9</v>
      </c>
      <c r="J165" s="58">
        <v>0.9</v>
      </c>
      <c r="N165" s="58" t="s">
        <v>510</v>
      </c>
    </row>
    <row r="166" spans="1:14">
      <c r="A166" s="58" t="s">
        <v>284</v>
      </c>
      <c r="B166" s="58" t="s">
        <v>476</v>
      </c>
      <c r="C166" s="58">
        <v>0.9</v>
      </c>
      <c r="D166" s="58">
        <v>0.9</v>
      </c>
      <c r="E166" s="58">
        <v>0.9</v>
      </c>
      <c r="F166" s="58">
        <v>0.9</v>
      </c>
      <c r="G166" s="58">
        <v>0.9</v>
      </c>
      <c r="H166" s="58">
        <v>0.9</v>
      </c>
      <c r="I166" s="58">
        <v>0.9</v>
      </c>
      <c r="J166" s="58">
        <v>0.9</v>
      </c>
      <c r="N166" s="58" t="s">
        <v>510</v>
      </c>
    </row>
    <row r="167" spans="1:14">
      <c r="A167" s="58" t="s">
        <v>284</v>
      </c>
      <c r="B167" s="58" t="s">
        <v>477</v>
      </c>
      <c r="C167" s="58">
        <v>0.9</v>
      </c>
      <c r="D167" s="58">
        <v>0.9</v>
      </c>
      <c r="E167" s="58">
        <v>0.9</v>
      </c>
      <c r="F167" s="58">
        <v>0.9</v>
      </c>
      <c r="G167" s="58">
        <v>0.9</v>
      </c>
      <c r="H167" s="58">
        <v>0.9</v>
      </c>
      <c r="I167" s="58">
        <v>0.9</v>
      </c>
      <c r="J167" s="58">
        <v>0.9</v>
      </c>
      <c r="N167" s="58" t="s">
        <v>510</v>
      </c>
    </row>
    <row r="168" spans="1:14">
      <c r="A168" s="58" t="s">
        <v>284</v>
      </c>
      <c r="B168" s="58" t="s">
        <v>478</v>
      </c>
      <c r="C168" s="58">
        <v>0.9</v>
      </c>
      <c r="D168" s="58">
        <v>0.9</v>
      </c>
      <c r="E168" s="58">
        <v>0.9</v>
      </c>
      <c r="F168" s="58">
        <v>0.9</v>
      </c>
      <c r="G168" s="58">
        <v>0.9</v>
      </c>
      <c r="H168" s="58">
        <v>0.9</v>
      </c>
      <c r="I168" s="58">
        <v>0.9</v>
      </c>
      <c r="J168" s="58">
        <v>0.9</v>
      </c>
      <c r="N168" s="58" t="s">
        <v>510</v>
      </c>
    </row>
    <row r="169" spans="1:14">
      <c r="A169" s="58" t="s">
        <v>284</v>
      </c>
      <c r="B169" s="58" t="s">
        <v>482</v>
      </c>
      <c r="C169" s="58">
        <v>0.9</v>
      </c>
      <c r="D169" s="58">
        <v>0.9</v>
      </c>
      <c r="E169" s="58">
        <v>0.9</v>
      </c>
      <c r="F169" s="58">
        <v>0.9</v>
      </c>
      <c r="G169" s="58">
        <v>0.9</v>
      </c>
      <c r="H169" s="58">
        <v>0.9</v>
      </c>
      <c r="I169" s="58">
        <v>0.9</v>
      </c>
      <c r="J169" s="58">
        <v>0.9</v>
      </c>
      <c r="N169" s="58" t="s">
        <v>510</v>
      </c>
    </row>
    <row r="170" spans="1:14">
      <c r="A170" s="58" t="s">
        <v>284</v>
      </c>
      <c r="B170" s="58" t="s">
        <v>480</v>
      </c>
      <c r="C170" s="58">
        <v>0.9</v>
      </c>
      <c r="D170" s="58">
        <v>0.9</v>
      </c>
      <c r="E170" s="58">
        <v>0.9</v>
      </c>
      <c r="F170" s="58">
        <v>0.9</v>
      </c>
      <c r="G170" s="58">
        <v>0.9</v>
      </c>
      <c r="H170" s="58">
        <v>0.9</v>
      </c>
      <c r="I170" s="58">
        <v>0.9</v>
      </c>
      <c r="J170" s="58">
        <v>0.9</v>
      </c>
      <c r="N170" s="58" t="s">
        <v>510</v>
      </c>
    </row>
    <row r="171" spans="1:14">
      <c r="A171" s="58" t="s">
        <v>284</v>
      </c>
      <c r="B171" s="58" t="s">
        <v>484</v>
      </c>
      <c r="C171" s="58">
        <v>0</v>
      </c>
      <c r="D171" s="58">
        <v>0</v>
      </c>
      <c r="E171" s="58">
        <v>0</v>
      </c>
      <c r="F171" s="58">
        <v>0.98</v>
      </c>
      <c r="G171" s="58">
        <v>0.98</v>
      </c>
      <c r="H171" s="58">
        <v>0.98</v>
      </c>
      <c r="I171" s="58">
        <v>0.98</v>
      </c>
      <c r="J171" s="58">
        <v>0.98</v>
      </c>
    </row>
    <row r="172" spans="1:14">
      <c r="A172" s="58" t="s">
        <v>284</v>
      </c>
      <c r="B172" s="58" t="s">
        <v>486</v>
      </c>
      <c r="C172" s="58">
        <v>1</v>
      </c>
      <c r="D172" s="58">
        <v>1</v>
      </c>
      <c r="E172" s="58">
        <v>1</v>
      </c>
      <c r="F172" s="58">
        <v>1</v>
      </c>
      <c r="G172" s="58">
        <v>1</v>
      </c>
      <c r="H172" s="58">
        <v>1</v>
      </c>
      <c r="I172" s="58">
        <v>1</v>
      </c>
      <c r="J172" s="58">
        <v>1</v>
      </c>
    </row>
    <row r="173" spans="1:14">
      <c r="A173" s="58" t="s">
        <v>284</v>
      </c>
      <c r="B173" s="58" t="s">
        <v>487</v>
      </c>
      <c r="C173" s="58">
        <v>1</v>
      </c>
      <c r="D173" s="58">
        <v>1</v>
      </c>
      <c r="E173" s="58">
        <v>1</v>
      </c>
      <c r="F173" s="58">
        <v>1</v>
      </c>
      <c r="G173" s="58">
        <v>1</v>
      </c>
      <c r="H173" s="58">
        <v>1</v>
      </c>
      <c r="I173" s="58">
        <v>1</v>
      </c>
      <c r="J173" s="58">
        <v>1</v>
      </c>
    </row>
    <row r="174" spans="1:14">
      <c r="A174" s="58" t="s">
        <v>284</v>
      </c>
      <c r="B174" s="58" t="s">
        <v>485</v>
      </c>
      <c r="C174" s="58">
        <v>0.9</v>
      </c>
      <c r="D174" s="58">
        <v>0.9</v>
      </c>
      <c r="E174" s="58">
        <v>0.9</v>
      </c>
      <c r="F174" s="58">
        <v>0.9</v>
      </c>
      <c r="G174" s="58">
        <v>0.9</v>
      </c>
      <c r="H174" s="58">
        <v>0.9</v>
      </c>
      <c r="I174" s="58">
        <v>0.9</v>
      </c>
      <c r="J174" s="58">
        <v>0.9</v>
      </c>
      <c r="N174" s="58" t="s">
        <v>511</v>
      </c>
    </row>
    <row r="175" spans="1:14">
      <c r="A175" s="58" t="s">
        <v>284</v>
      </c>
      <c r="B175" s="58" t="s">
        <v>499</v>
      </c>
      <c r="C175" s="58">
        <v>0.98</v>
      </c>
      <c r="D175" s="58">
        <v>0.98</v>
      </c>
      <c r="E175" s="58">
        <v>0.98</v>
      </c>
      <c r="F175" s="58">
        <v>0.98</v>
      </c>
      <c r="G175" s="58">
        <v>0.98</v>
      </c>
      <c r="H175" s="58">
        <v>0.98</v>
      </c>
      <c r="I175" s="58">
        <v>0.98</v>
      </c>
      <c r="J175" s="58">
        <v>0.98</v>
      </c>
    </row>
    <row r="176" spans="1:14">
      <c r="A176" s="58" t="s">
        <v>278</v>
      </c>
      <c r="B176" s="58" t="s">
        <v>102</v>
      </c>
      <c r="C176" s="58">
        <v>0.28400303780000002</v>
      </c>
      <c r="D176" s="58">
        <v>0.28400303780000002</v>
      </c>
      <c r="E176" s="58">
        <v>0.28400303780000002</v>
      </c>
      <c r="F176" s="58">
        <v>0.28400303780000002</v>
      </c>
      <c r="G176" s="58">
        <v>0.28400303780000002</v>
      </c>
      <c r="H176" s="58">
        <v>0.28400303780000002</v>
      </c>
      <c r="I176" s="58">
        <v>0.28400303780000002</v>
      </c>
      <c r="J176" s="58">
        <v>0.28400303780000002</v>
      </c>
    </row>
    <row r="177" spans="1:10">
      <c r="A177" s="58" t="s">
        <v>280</v>
      </c>
      <c r="B177" s="58" t="s">
        <v>102</v>
      </c>
      <c r="C177" s="58">
        <v>9.6724516869999999E-2</v>
      </c>
      <c r="D177" s="58">
        <v>9.6724516869999999E-2</v>
      </c>
      <c r="E177" s="58">
        <v>9.6724516869999999E-2</v>
      </c>
      <c r="F177" s="58">
        <v>9.6724516869999999E-2</v>
      </c>
      <c r="G177" s="58">
        <v>9.6724516869999999E-2</v>
      </c>
      <c r="H177" s="58">
        <v>9.6724516869999999E-2</v>
      </c>
      <c r="I177" s="58">
        <v>9.6724516869999999E-2</v>
      </c>
      <c r="J177" s="58">
        <v>9.6724516869999999E-2</v>
      </c>
    </row>
    <row r="178" spans="1:10">
      <c r="A178" s="58" t="s">
        <v>281</v>
      </c>
      <c r="B178" s="58" t="s">
        <v>102</v>
      </c>
      <c r="C178" s="58">
        <v>0.13402415270000001</v>
      </c>
      <c r="D178" s="58">
        <v>0.13402415270000001</v>
      </c>
      <c r="E178" s="58">
        <v>0.13402415270000001</v>
      </c>
      <c r="F178" s="58">
        <v>0.13402415270000001</v>
      </c>
      <c r="G178" s="58">
        <v>0.13402415270000001</v>
      </c>
      <c r="H178" s="58">
        <v>0.13402415270000001</v>
      </c>
      <c r="I178" s="58">
        <v>0.13402415270000001</v>
      </c>
      <c r="J178" s="58">
        <v>0.13402415270000001</v>
      </c>
    </row>
    <row r="179" spans="1:10">
      <c r="A179" s="58" t="s">
        <v>282</v>
      </c>
      <c r="B179" s="58" t="s">
        <v>102</v>
      </c>
      <c r="C179" s="58">
        <v>0.29348600540000003</v>
      </c>
      <c r="D179" s="58">
        <v>0.29348600540000003</v>
      </c>
      <c r="E179" s="58">
        <v>0.29348600540000003</v>
      </c>
      <c r="F179" s="58">
        <v>0.29348600540000003</v>
      </c>
      <c r="G179" s="58">
        <v>0.29348600540000003</v>
      </c>
      <c r="H179" s="58">
        <v>0.29348600540000003</v>
      </c>
      <c r="I179" s="58">
        <v>0.29348600540000003</v>
      </c>
      <c r="J179" s="58">
        <v>0.29348600540000003</v>
      </c>
    </row>
    <row r="180" spans="1:10">
      <c r="A180" s="58" t="s">
        <v>283</v>
      </c>
      <c r="B180" s="58" t="s">
        <v>102</v>
      </c>
      <c r="C180" s="58">
        <v>0.127494687</v>
      </c>
      <c r="D180" s="58">
        <v>0.127494687</v>
      </c>
      <c r="E180" s="58">
        <v>0.127494687</v>
      </c>
      <c r="F180" s="58">
        <v>0.127494687</v>
      </c>
      <c r="G180" s="58">
        <v>0.127494687</v>
      </c>
      <c r="H180" s="58">
        <v>0.127494687</v>
      </c>
      <c r="I180" s="58">
        <v>0.127494687</v>
      </c>
      <c r="J180" s="58">
        <v>0.127494687</v>
      </c>
    </row>
    <row r="181" spans="1:10">
      <c r="A181" s="58" t="s">
        <v>284</v>
      </c>
      <c r="B181" s="58" t="s">
        <v>102</v>
      </c>
      <c r="C181" s="58">
        <v>0.41728229760000002</v>
      </c>
      <c r="D181" s="58">
        <v>0.41728229760000002</v>
      </c>
      <c r="E181" s="58">
        <v>0.41728229760000002</v>
      </c>
      <c r="F181" s="58">
        <v>0.41728229760000002</v>
      </c>
      <c r="G181" s="58">
        <v>0.41728229760000002</v>
      </c>
      <c r="H181" s="58">
        <v>0.41728229760000002</v>
      </c>
      <c r="I181" s="58">
        <v>0.41728229760000002</v>
      </c>
      <c r="J181" s="58">
        <v>0.41728229760000002</v>
      </c>
    </row>
    <row r="182" spans="1:10">
      <c r="A182" s="58" t="s">
        <v>285</v>
      </c>
      <c r="B182" s="58" t="s">
        <v>102</v>
      </c>
      <c r="C182" s="58">
        <v>0</v>
      </c>
      <c r="D182" s="58">
        <v>0</v>
      </c>
      <c r="E182" s="58">
        <v>0</v>
      </c>
      <c r="F182" s="58">
        <v>0</v>
      </c>
      <c r="G182" s="58">
        <v>0</v>
      </c>
      <c r="H182" s="58">
        <v>0</v>
      </c>
      <c r="I182" s="58">
        <v>0</v>
      </c>
      <c r="J182" s="58">
        <v>0</v>
      </c>
    </row>
    <row r="183" spans="1:10">
      <c r="A183" s="58" t="s">
        <v>308</v>
      </c>
      <c r="B183" s="58" t="s">
        <v>102</v>
      </c>
      <c r="C183" s="58">
        <v>0</v>
      </c>
      <c r="D183" s="58">
        <v>0</v>
      </c>
      <c r="E183" s="58">
        <v>0</v>
      </c>
      <c r="F183" s="58">
        <v>0</v>
      </c>
      <c r="G183" s="58">
        <v>0</v>
      </c>
      <c r="H183" s="58">
        <v>0</v>
      </c>
      <c r="I183" s="58">
        <v>0</v>
      </c>
      <c r="J183" s="58">
        <v>0</v>
      </c>
    </row>
    <row r="184" spans="1:10">
      <c r="A184" s="58" t="s">
        <v>286</v>
      </c>
      <c r="B184" s="58" t="s">
        <v>102</v>
      </c>
      <c r="C184" s="58">
        <v>0.51265552079999999</v>
      </c>
      <c r="D184" s="58">
        <v>0.45265552079999999</v>
      </c>
      <c r="E184" s="58">
        <v>0.41265552080000001</v>
      </c>
      <c r="F184" s="58">
        <v>0.41265552080000001</v>
      </c>
      <c r="G184" s="58">
        <v>0.41265552080000001</v>
      </c>
      <c r="H184" s="58">
        <v>0.41265552080000001</v>
      </c>
      <c r="I184" s="58">
        <v>0.41265552080000001</v>
      </c>
      <c r="J184" s="58">
        <v>0.41265552080000001</v>
      </c>
    </row>
    <row r="185" spans="1:10">
      <c r="A185" s="58" t="s">
        <v>287</v>
      </c>
      <c r="B185" s="58" t="s">
        <v>102</v>
      </c>
      <c r="C185" s="58">
        <v>0</v>
      </c>
      <c r="D185" s="58">
        <v>0</v>
      </c>
      <c r="E185" s="58">
        <v>0</v>
      </c>
      <c r="F185" s="58">
        <v>0</v>
      </c>
      <c r="G185" s="58">
        <v>0</v>
      </c>
      <c r="H185" s="58">
        <v>0</v>
      </c>
      <c r="I185" s="58">
        <v>0</v>
      </c>
      <c r="J185" s="58">
        <v>0</v>
      </c>
    </row>
    <row r="186" spans="1:10">
      <c r="A186" s="58" t="s">
        <v>288</v>
      </c>
      <c r="B186" s="58" t="s">
        <v>102</v>
      </c>
      <c r="C186" s="58">
        <v>0.47514536967526005</v>
      </c>
      <c r="D186" s="58">
        <v>0.47514536967526005</v>
      </c>
      <c r="E186" s="58">
        <v>0.47514536967526005</v>
      </c>
      <c r="F186" s="58">
        <v>0.47514536967526005</v>
      </c>
      <c r="G186" s="58">
        <v>0.47514536967526005</v>
      </c>
      <c r="H186" s="58">
        <v>0.47514536967526005</v>
      </c>
      <c r="I186" s="58">
        <v>0.47514536967526005</v>
      </c>
      <c r="J186" s="58">
        <v>0.47514536967526005</v>
      </c>
    </row>
    <row r="187" spans="1:10">
      <c r="A187" s="58" t="s">
        <v>289</v>
      </c>
      <c r="B187" s="58" t="s">
        <v>102</v>
      </c>
      <c r="C187" s="58">
        <v>0.1899003879</v>
      </c>
      <c r="D187" s="58">
        <v>0.1899003879</v>
      </c>
      <c r="E187" s="58">
        <v>0.1899003879</v>
      </c>
      <c r="F187" s="58">
        <v>0.1899003879</v>
      </c>
      <c r="G187" s="58">
        <v>0.1899003879</v>
      </c>
      <c r="H187" s="58">
        <v>0.1899003879</v>
      </c>
      <c r="I187" s="58">
        <v>0.1899003879</v>
      </c>
      <c r="J187" s="58">
        <v>0.1899003879</v>
      </c>
    </row>
    <row r="188" spans="1:10">
      <c r="A188" s="58" t="s">
        <v>290</v>
      </c>
      <c r="B188" s="58" t="s">
        <v>102</v>
      </c>
      <c r="C188" s="58">
        <v>0.2849552239</v>
      </c>
      <c r="D188" s="58">
        <v>0.2849552239</v>
      </c>
      <c r="E188" s="58">
        <v>0.2849552239</v>
      </c>
      <c r="F188" s="58">
        <v>0.2849552239</v>
      </c>
      <c r="G188" s="58">
        <v>0.2849552239</v>
      </c>
      <c r="H188" s="58">
        <v>0.2849552239</v>
      </c>
      <c r="I188" s="58">
        <v>0.2849552239</v>
      </c>
      <c r="J188" s="58">
        <v>0.2849552239</v>
      </c>
    </row>
    <row r="189" spans="1:10">
      <c r="A189" s="58" t="s">
        <v>291</v>
      </c>
      <c r="B189" s="58" t="s">
        <v>102</v>
      </c>
      <c r="C189" s="58">
        <v>0</v>
      </c>
      <c r="D189" s="58">
        <v>0</v>
      </c>
      <c r="E189" s="58">
        <v>0</v>
      </c>
      <c r="F189" s="58">
        <v>0</v>
      </c>
      <c r="G189" s="58">
        <v>0</v>
      </c>
      <c r="H189" s="58">
        <v>0</v>
      </c>
      <c r="I189" s="58">
        <v>0</v>
      </c>
      <c r="J189" s="58">
        <v>0</v>
      </c>
    </row>
    <row r="190" spans="1:10">
      <c r="A190" s="58" t="s">
        <v>292</v>
      </c>
      <c r="B190" s="58" t="s">
        <v>102</v>
      </c>
      <c r="C190" s="58">
        <v>0.15249607600000001</v>
      </c>
      <c r="D190" s="58">
        <v>0.15249607600000001</v>
      </c>
      <c r="E190" s="58">
        <v>0.15249607600000001</v>
      </c>
      <c r="F190" s="58">
        <v>0.15249607600000001</v>
      </c>
      <c r="G190" s="58">
        <v>0.15249607600000001</v>
      </c>
      <c r="H190" s="58">
        <v>0.15249607600000001</v>
      </c>
      <c r="I190" s="58">
        <v>0.15249607600000001</v>
      </c>
      <c r="J190" s="58">
        <v>0.15249607600000001</v>
      </c>
    </row>
    <row r="191" spans="1:10">
      <c r="A191" s="58" t="s">
        <v>293</v>
      </c>
      <c r="B191" s="58" t="s">
        <v>102</v>
      </c>
      <c r="C191" s="58">
        <v>0.2161274359</v>
      </c>
      <c r="D191" s="58">
        <v>0.2161274359</v>
      </c>
      <c r="E191" s="58">
        <v>0.2161274359</v>
      </c>
      <c r="F191" s="58">
        <v>0.2161274359</v>
      </c>
      <c r="G191" s="58">
        <v>0.2161274359</v>
      </c>
      <c r="H191" s="58">
        <v>0.2161274359</v>
      </c>
      <c r="I191" s="58">
        <v>0.2161274359</v>
      </c>
      <c r="J191" s="58">
        <v>0.2161274359</v>
      </c>
    </row>
    <row r="192" spans="1:10">
      <c r="A192" s="58" t="s">
        <v>309</v>
      </c>
      <c r="B192" s="58" t="s">
        <v>102</v>
      </c>
      <c r="C192" s="58">
        <v>0.57560473489999997</v>
      </c>
      <c r="D192" s="58">
        <v>0.57560473489999997</v>
      </c>
      <c r="E192" s="58">
        <v>0.57560473489999997</v>
      </c>
      <c r="F192" s="58">
        <v>0.57560473489999997</v>
      </c>
      <c r="G192" s="58">
        <v>0.57560473489999997</v>
      </c>
      <c r="H192" s="58">
        <v>0.57560473489999997</v>
      </c>
      <c r="I192" s="58">
        <v>0.57560473489999997</v>
      </c>
      <c r="J192" s="58">
        <v>0.57560473489999997</v>
      </c>
    </row>
    <row r="193" spans="1:10">
      <c r="A193" s="58" t="s">
        <v>294</v>
      </c>
      <c r="B193" s="58" t="s">
        <v>102</v>
      </c>
      <c r="C193" s="58">
        <v>0.11967944129999999</v>
      </c>
      <c r="D193" s="58">
        <v>0.11967944129999999</v>
      </c>
      <c r="E193" s="58">
        <v>0.11967944129999999</v>
      </c>
      <c r="F193" s="58">
        <v>0.11967944129999999</v>
      </c>
      <c r="G193" s="58">
        <v>0.11967944129999999</v>
      </c>
      <c r="H193" s="58">
        <v>0.11967944129999999</v>
      </c>
      <c r="I193" s="58">
        <v>0.11967944129999999</v>
      </c>
      <c r="J193" s="58">
        <v>0.11967944129999999</v>
      </c>
    </row>
    <row r="194" spans="1:10">
      <c r="A194" s="58" t="s">
        <v>310</v>
      </c>
      <c r="B194" s="58" t="s">
        <v>102</v>
      </c>
      <c r="C194" s="58">
        <v>0</v>
      </c>
      <c r="D194" s="58">
        <v>0</v>
      </c>
      <c r="E194" s="58">
        <v>0</v>
      </c>
      <c r="F194" s="58">
        <v>0</v>
      </c>
      <c r="G194" s="58">
        <v>0</v>
      </c>
      <c r="H194" s="58">
        <v>0</v>
      </c>
      <c r="I194" s="58">
        <v>0</v>
      </c>
      <c r="J194" s="58">
        <v>0</v>
      </c>
    </row>
    <row r="195" spans="1:10">
      <c r="A195" s="58" t="s">
        <v>297</v>
      </c>
      <c r="B195" s="58" t="s">
        <v>102</v>
      </c>
      <c r="C195" s="58">
        <v>0</v>
      </c>
      <c r="D195" s="58">
        <v>0</v>
      </c>
      <c r="E195" s="58">
        <v>0</v>
      </c>
      <c r="F195" s="58">
        <v>0</v>
      </c>
      <c r="G195" s="58">
        <v>0</v>
      </c>
      <c r="H195" s="58">
        <v>0</v>
      </c>
      <c r="I195" s="58">
        <v>0</v>
      </c>
      <c r="J195" s="58">
        <v>0</v>
      </c>
    </row>
    <row r="196" spans="1:10">
      <c r="A196" s="58" t="s">
        <v>298</v>
      </c>
      <c r="B196" s="58" t="s">
        <v>102</v>
      </c>
      <c r="C196" s="58">
        <v>0.4381850444</v>
      </c>
      <c r="D196" s="58">
        <v>0.48</v>
      </c>
      <c r="E196" s="58">
        <v>0.5</v>
      </c>
      <c r="F196" s="58">
        <v>0.51</v>
      </c>
      <c r="G196" s="58">
        <v>0.51</v>
      </c>
      <c r="H196" s="58">
        <v>0.52</v>
      </c>
      <c r="I196" s="58">
        <v>0.53</v>
      </c>
      <c r="J196" s="58">
        <v>0.54</v>
      </c>
    </row>
    <row r="197" spans="1:10">
      <c r="A197" s="58" t="s">
        <v>357</v>
      </c>
      <c r="B197" s="58" t="s">
        <v>102</v>
      </c>
      <c r="C197" s="58">
        <v>0.46713772549999999</v>
      </c>
      <c r="D197" s="58">
        <v>0.46713772549999999</v>
      </c>
      <c r="E197" s="58">
        <v>0.46713772549999999</v>
      </c>
      <c r="F197" s="58">
        <v>0.46713772549999999</v>
      </c>
      <c r="G197" s="58">
        <v>0.46713772549999999</v>
      </c>
      <c r="H197" s="58">
        <v>0.46713772549999999</v>
      </c>
      <c r="I197" s="58">
        <v>0.46713772549999999</v>
      </c>
      <c r="J197" s="58">
        <v>0.46713772549999999</v>
      </c>
    </row>
    <row r="198" spans="1:10">
      <c r="A198" s="58" t="s">
        <v>299</v>
      </c>
      <c r="B198" s="58" t="s">
        <v>102</v>
      </c>
      <c r="C198" s="58">
        <v>2.3855771809999999E-2</v>
      </c>
      <c r="D198" s="58">
        <v>2.3855771809999999E-2</v>
      </c>
      <c r="E198" s="58">
        <v>2.3855771809999999E-2</v>
      </c>
      <c r="F198" s="58">
        <v>2.3855771809999999E-2</v>
      </c>
      <c r="G198" s="58">
        <v>2.3855771809999999E-2</v>
      </c>
      <c r="H198" s="58">
        <v>2.3855771809999999E-2</v>
      </c>
      <c r="I198" s="58">
        <v>2.3855771809999999E-2</v>
      </c>
      <c r="J198" s="58">
        <v>2.3855771809999999E-2</v>
      </c>
    </row>
    <row r="199" spans="1:10">
      <c r="A199" s="58" t="s">
        <v>300</v>
      </c>
      <c r="B199" s="58" t="s">
        <v>102</v>
      </c>
      <c r="C199" s="58">
        <v>0</v>
      </c>
      <c r="D199" s="58">
        <v>0</v>
      </c>
      <c r="E199" s="58">
        <v>0</v>
      </c>
      <c r="F199" s="58">
        <v>0</v>
      </c>
      <c r="G199" s="58">
        <v>0</v>
      </c>
      <c r="H199" s="58">
        <v>0</v>
      </c>
      <c r="I199" s="58">
        <v>0</v>
      </c>
      <c r="J199" s="58">
        <v>0</v>
      </c>
    </row>
    <row r="200" spans="1:10">
      <c r="A200" s="58" t="s">
        <v>301</v>
      </c>
      <c r="B200" s="58" t="s">
        <v>102</v>
      </c>
      <c r="C200" s="58">
        <v>0</v>
      </c>
      <c r="D200" s="58">
        <v>0</v>
      </c>
      <c r="E200" s="58">
        <v>0</v>
      </c>
      <c r="F200" s="58">
        <v>0</v>
      </c>
      <c r="G200" s="58">
        <v>0</v>
      </c>
      <c r="H200" s="58">
        <v>0</v>
      </c>
      <c r="I200" s="58">
        <v>0</v>
      </c>
      <c r="J200" s="58">
        <v>0</v>
      </c>
    </row>
    <row r="201" spans="1:10">
      <c r="A201" s="58" t="s">
        <v>303</v>
      </c>
      <c r="B201" s="58" t="s">
        <v>102</v>
      </c>
      <c r="C201" s="58">
        <v>0.51742409359999997</v>
      </c>
      <c r="D201" s="58">
        <v>0.51742409359999997</v>
      </c>
      <c r="E201" s="58">
        <v>0.51742409359999997</v>
      </c>
      <c r="F201" s="58">
        <v>0.51742409359999997</v>
      </c>
      <c r="G201" s="58">
        <v>0.51742409359999997</v>
      </c>
      <c r="H201" s="58">
        <v>0.51742409359999997</v>
      </c>
      <c r="I201" s="58">
        <v>0.51742409359999997</v>
      </c>
      <c r="J201" s="58">
        <v>0.51742409359999997</v>
      </c>
    </row>
    <row r="202" spans="1:10">
      <c r="A202" s="58" t="s">
        <v>304</v>
      </c>
      <c r="B202" s="58" t="s">
        <v>102</v>
      </c>
      <c r="C202" s="58">
        <v>0.3690768465</v>
      </c>
      <c r="D202" s="58">
        <v>0.3690768465</v>
      </c>
      <c r="E202" s="58">
        <v>0.3690768465</v>
      </c>
      <c r="F202" s="58">
        <v>0.3690768465</v>
      </c>
      <c r="G202" s="58">
        <v>0.3690768465</v>
      </c>
      <c r="H202" s="58">
        <v>0.3690768465</v>
      </c>
      <c r="I202" s="58">
        <v>0.3690768465</v>
      </c>
      <c r="J202" s="58">
        <v>0.3690768465</v>
      </c>
    </row>
    <row r="203" spans="1:10">
      <c r="A203" s="58" t="s">
        <v>305</v>
      </c>
      <c r="B203" s="58" t="s">
        <v>102</v>
      </c>
      <c r="C203" s="58">
        <v>3.4885383649999997E-2</v>
      </c>
      <c r="D203" s="58">
        <v>3.4885383649999997E-2</v>
      </c>
      <c r="E203" s="58">
        <v>3.4885383649999997E-2</v>
      </c>
      <c r="F203" s="58">
        <v>3.4885383649999997E-2</v>
      </c>
      <c r="G203" s="58">
        <v>3.4885383649999997E-2</v>
      </c>
      <c r="H203" s="58">
        <v>3.4885383649999997E-2</v>
      </c>
      <c r="I203" s="58">
        <v>3.4885383649999997E-2</v>
      </c>
      <c r="J203" s="58">
        <v>3.4885383649999997E-2</v>
      </c>
    </row>
    <row r="204" spans="1:10">
      <c r="A204" s="58" t="s">
        <v>356</v>
      </c>
      <c r="B204" s="58" t="s">
        <v>102</v>
      </c>
      <c r="C204" s="58">
        <v>0.26683388530000002</v>
      </c>
      <c r="D204" s="58">
        <v>0.26683388530000002</v>
      </c>
      <c r="E204" s="58">
        <v>0.26683388530000002</v>
      </c>
      <c r="F204" s="58">
        <v>0.26683388530000002</v>
      </c>
      <c r="G204" s="58">
        <v>0.26683388530000002</v>
      </c>
      <c r="H204" s="58">
        <v>0.26683388530000002</v>
      </c>
      <c r="I204" s="58">
        <v>0.26683388530000002</v>
      </c>
      <c r="J204" s="58">
        <v>0.26683388530000002</v>
      </c>
    </row>
    <row r="205" spans="1:10">
      <c r="A205" s="58" t="s">
        <v>307</v>
      </c>
      <c r="B205" s="58" t="s">
        <v>102</v>
      </c>
      <c r="C205" s="58">
        <v>0</v>
      </c>
      <c r="D205" s="58">
        <v>0</v>
      </c>
      <c r="E205" s="58">
        <v>0</v>
      </c>
      <c r="F205" s="58">
        <v>0</v>
      </c>
      <c r="G205" s="58">
        <v>0</v>
      </c>
      <c r="H205" s="58">
        <v>0</v>
      </c>
      <c r="I205" s="58">
        <v>0</v>
      </c>
      <c r="J205" s="58">
        <v>0</v>
      </c>
    </row>
    <row r="206" spans="1:10">
      <c r="A206" s="58" t="s">
        <v>300</v>
      </c>
      <c r="B206" s="58" t="s">
        <v>103</v>
      </c>
      <c r="C206" s="58">
        <v>0.88</v>
      </c>
      <c r="D206" s="58">
        <v>0.88</v>
      </c>
      <c r="E206" s="58">
        <v>0.88</v>
      </c>
      <c r="F206" s="58">
        <v>0.88</v>
      </c>
      <c r="G206" s="58">
        <v>0.88</v>
      </c>
      <c r="H206" s="58">
        <v>0.88</v>
      </c>
      <c r="I206" s="58">
        <v>0.88</v>
      </c>
      <c r="J206" s="58">
        <v>0.88</v>
      </c>
    </row>
  </sheetData>
  <dataValidations count="1">
    <dataValidation type="list" allowBlank="1" showInputMessage="1" showErrorMessage="1" sqref="B147" xr:uid="{00000000-0002-0000-1F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17"/>
  <dimension ref="A1:O25029"/>
  <sheetViews>
    <sheetView workbookViewId="0">
      <selection activeCell="B12" sqref="B12"/>
    </sheetView>
  </sheetViews>
  <sheetFormatPr defaultColWidth="11.42578125" defaultRowHeight="15"/>
  <cols>
    <col min="1" max="1" width="24" style="1" customWidth="1"/>
    <col min="2" max="2" width="40.5703125" style="1" customWidth="1"/>
    <col min="3" max="3" width="10.140625" style="1" bestFit="1" customWidth="1"/>
    <col min="4" max="10" width="11.42578125" style="1"/>
    <col min="11" max="11" width="11.42578125" style="1" customWidth="1"/>
    <col min="12" max="12" width="3.42578125" style="1" customWidth="1"/>
    <col min="13" max="16384" width="11.42578125" style="1"/>
  </cols>
  <sheetData>
    <row r="1" spans="1:11">
      <c r="A1" s="1" t="s">
        <v>439</v>
      </c>
    </row>
    <row r="2" spans="1:11">
      <c r="A2" s="1" t="s">
        <v>6</v>
      </c>
    </row>
    <row r="3" spans="1:11">
      <c r="A3" s="1" t="s">
        <v>417</v>
      </c>
    </row>
    <row r="5" spans="1:11">
      <c r="A5" s="1" t="s">
        <v>20</v>
      </c>
      <c r="B5" s="1" t="s">
        <v>26</v>
      </c>
      <c r="C5" s="1" t="s">
        <v>28</v>
      </c>
      <c r="D5" s="1">
        <v>2018</v>
      </c>
      <c r="E5" s="1">
        <v>2020</v>
      </c>
      <c r="F5" s="1">
        <v>2025</v>
      </c>
      <c r="G5" s="1">
        <v>2030</v>
      </c>
      <c r="H5" s="1">
        <v>2035</v>
      </c>
      <c r="I5" s="1">
        <v>2040</v>
      </c>
      <c r="J5" s="1">
        <v>2045</v>
      </c>
      <c r="K5" s="1">
        <v>2050</v>
      </c>
    </row>
    <row r="998" spans="14:14">
      <c r="N998" s="1" t="s">
        <v>164</v>
      </c>
    </row>
    <row r="999" spans="14:14">
      <c r="N999" s="1" t="s">
        <v>164</v>
      </c>
    </row>
    <row r="1000" spans="14:14">
      <c r="N1000" s="1" t="s">
        <v>164</v>
      </c>
    </row>
    <row r="1001" spans="14:14">
      <c r="N1001" s="1" t="s">
        <v>164</v>
      </c>
    </row>
    <row r="1002" spans="14:14">
      <c r="N1002" s="1" t="s">
        <v>164</v>
      </c>
    </row>
    <row r="1003" spans="14:14">
      <c r="N1003" s="1" t="s">
        <v>164</v>
      </c>
    </row>
    <row r="1004" spans="14:14">
      <c r="N1004" s="1" t="s">
        <v>164</v>
      </c>
    </row>
    <row r="1005" spans="14:14">
      <c r="N1005" s="1" t="s">
        <v>164</v>
      </c>
    </row>
    <row r="1006" spans="14:14">
      <c r="N1006" s="1" t="s">
        <v>164</v>
      </c>
    </row>
    <row r="1007" spans="14:14">
      <c r="N1007" s="1" t="s">
        <v>164</v>
      </c>
    </row>
    <row r="1008" spans="14:14">
      <c r="N1008" s="1" t="s">
        <v>164</v>
      </c>
    </row>
    <row r="1009" spans="14:14">
      <c r="N1009" s="1" t="s">
        <v>164</v>
      </c>
    </row>
    <row r="1010" spans="14:14">
      <c r="N1010" s="1" t="s">
        <v>164</v>
      </c>
    </row>
    <row r="1011" spans="14:14">
      <c r="N1011" s="1" t="s">
        <v>164</v>
      </c>
    </row>
    <row r="1012" spans="14:14">
      <c r="N1012" s="1" t="s">
        <v>164</v>
      </c>
    </row>
    <row r="1013" spans="14:14">
      <c r="N1013" s="1" t="s">
        <v>164</v>
      </c>
    </row>
    <row r="1030" spans="14:14">
      <c r="N1030" s="1" t="s">
        <v>164</v>
      </c>
    </row>
    <row r="1031" spans="14:14">
      <c r="N1031" s="1" t="s">
        <v>164</v>
      </c>
    </row>
    <row r="1032" spans="14:14">
      <c r="N1032" s="1" t="s">
        <v>164</v>
      </c>
    </row>
    <row r="1033" spans="14:14">
      <c r="N1033" s="1" t="s">
        <v>164</v>
      </c>
    </row>
    <row r="1034" spans="14:14">
      <c r="N1034" s="1" t="s">
        <v>164</v>
      </c>
    </row>
    <row r="1035" spans="14:14">
      <c r="N1035" s="1" t="s">
        <v>164</v>
      </c>
    </row>
    <row r="1036" spans="14:14">
      <c r="N1036" s="1" t="s">
        <v>164</v>
      </c>
    </row>
    <row r="1037" spans="14:14">
      <c r="N1037" s="1" t="s">
        <v>164</v>
      </c>
    </row>
    <row r="1038" spans="14:14">
      <c r="N1038" s="1" t="s">
        <v>164</v>
      </c>
    </row>
    <row r="1039" spans="14:14">
      <c r="N1039" s="1" t="s">
        <v>164</v>
      </c>
    </row>
    <row r="1040" spans="14:14">
      <c r="N1040" s="1" t="s">
        <v>164</v>
      </c>
    </row>
    <row r="1041" spans="14:14">
      <c r="N1041" s="1" t="s">
        <v>164</v>
      </c>
    </row>
    <row r="1042" spans="14:14">
      <c r="N1042" s="1" t="s">
        <v>164</v>
      </c>
    </row>
    <row r="1043" spans="14:14">
      <c r="N1043" s="1" t="s">
        <v>164</v>
      </c>
    </row>
    <row r="1044" spans="14:14">
      <c r="N1044" s="1" t="s">
        <v>164</v>
      </c>
    </row>
    <row r="1045" spans="14:14">
      <c r="N1045" s="1" t="s">
        <v>164</v>
      </c>
    </row>
    <row r="7286" spans="15:15">
      <c r="O7286" s="1" t="s">
        <v>167</v>
      </c>
    </row>
    <row r="7302" spans="15:15">
      <c r="O7302" s="1" t="s">
        <v>167</v>
      </c>
    </row>
    <row r="7318" spans="15:15">
      <c r="O7318" s="1" t="s">
        <v>167</v>
      </c>
    </row>
    <row r="7337" spans="15:15">
      <c r="O7337" s="1" t="s">
        <v>167</v>
      </c>
    </row>
    <row r="7382" spans="15:15">
      <c r="O7382" s="1" t="s">
        <v>168</v>
      </c>
    </row>
    <row r="7383" spans="15:15">
      <c r="O7383" s="1" t="s">
        <v>169</v>
      </c>
    </row>
    <row r="7398" spans="15:15">
      <c r="O7398" s="1" t="s">
        <v>165</v>
      </c>
    </row>
    <row r="7399" spans="15:15">
      <c r="O7399" s="1" t="s">
        <v>166</v>
      </c>
    </row>
    <row r="19126" spans="15:15">
      <c r="O19126" s="1" t="s">
        <v>167</v>
      </c>
    </row>
    <row r="19145" spans="15:15">
      <c r="O19145" s="1" t="s">
        <v>167</v>
      </c>
    </row>
    <row r="24486" spans="4:11">
      <c r="D24486" s="13"/>
      <c r="E24486" s="13"/>
      <c r="F24486" s="13"/>
      <c r="G24486" s="13"/>
      <c r="H24486" s="13"/>
      <c r="I24486" s="13"/>
      <c r="J24486" s="13"/>
      <c r="K24486" s="13"/>
    </row>
    <row r="24487" spans="4:11">
      <c r="D24487" s="13"/>
      <c r="E24487" s="13"/>
      <c r="F24487" s="13"/>
      <c r="G24487" s="13"/>
      <c r="H24487" s="13"/>
      <c r="I24487" s="13"/>
      <c r="J24487" s="13"/>
      <c r="K24487" s="13"/>
    </row>
    <row r="24488" spans="4:11">
      <c r="D24488" s="13"/>
      <c r="E24488" s="13"/>
      <c r="F24488" s="13"/>
      <c r="G24488" s="13"/>
      <c r="H24488" s="13"/>
      <c r="I24488" s="13"/>
      <c r="J24488" s="13"/>
      <c r="K24488" s="13"/>
    </row>
    <row r="24489" spans="4:11">
      <c r="D24489" s="13"/>
      <c r="E24489" s="13"/>
      <c r="F24489" s="13"/>
      <c r="G24489" s="13"/>
      <c r="H24489" s="13"/>
      <c r="I24489" s="13"/>
      <c r="J24489" s="13"/>
      <c r="K24489" s="13"/>
    </row>
    <row r="24490" spans="4:11">
      <c r="D24490" s="13"/>
      <c r="E24490" s="13"/>
      <c r="F24490" s="13"/>
      <c r="G24490" s="13"/>
      <c r="H24490" s="13"/>
      <c r="I24490" s="13"/>
      <c r="J24490" s="13"/>
      <c r="K24490" s="13"/>
    </row>
    <row r="24491" spans="4:11">
      <c r="D24491" s="13"/>
      <c r="E24491" s="13"/>
      <c r="F24491" s="13"/>
      <c r="G24491" s="13"/>
      <c r="H24491" s="13"/>
      <c r="I24491" s="13"/>
      <c r="J24491" s="13"/>
      <c r="K24491" s="13"/>
    </row>
    <row r="24492" spans="4:11">
      <c r="D24492" s="13"/>
      <c r="E24492" s="13"/>
      <c r="F24492" s="13"/>
      <c r="G24492" s="13"/>
      <c r="H24492" s="13"/>
      <c r="I24492" s="13"/>
      <c r="J24492" s="13"/>
      <c r="K24492" s="13"/>
    </row>
    <row r="24493" spans="4:11">
      <c r="D24493" s="13"/>
      <c r="E24493" s="13"/>
      <c r="F24493" s="13"/>
      <c r="G24493" s="13"/>
      <c r="H24493" s="13"/>
      <c r="I24493" s="13"/>
      <c r="J24493" s="13"/>
      <c r="K24493" s="13"/>
    </row>
    <row r="24494" spans="4:11">
      <c r="D24494" s="13"/>
      <c r="E24494" s="13"/>
      <c r="F24494" s="13"/>
      <c r="G24494" s="13"/>
      <c r="H24494" s="13"/>
      <c r="I24494" s="13"/>
      <c r="J24494" s="13"/>
      <c r="K24494" s="13"/>
    </row>
    <row r="24495" spans="4:11">
      <c r="D24495" s="13"/>
      <c r="E24495" s="13"/>
      <c r="F24495" s="13"/>
      <c r="G24495" s="13"/>
      <c r="H24495" s="13"/>
      <c r="I24495" s="13"/>
      <c r="J24495" s="13"/>
      <c r="K24495" s="13"/>
    </row>
    <row r="24496" spans="4:11">
      <c r="D24496" s="13"/>
      <c r="E24496" s="13"/>
      <c r="F24496" s="13"/>
      <c r="G24496" s="13"/>
      <c r="H24496" s="13"/>
      <c r="I24496" s="13"/>
      <c r="J24496" s="13"/>
      <c r="K24496" s="13"/>
    </row>
    <row r="24497" spans="4:11">
      <c r="D24497" s="13"/>
      <c r="E24497" s="13"/>
      <c r="F24497" s="13"/>
      <c r="G24497" s="13"/>
      <c r="H24497" s="13"/>
      <c r="I24497" s="13"/>
      <c r="J24497" s="13"/>
      <c r="K24497" s="13"/>
    </row>
    <row r="24498" spans="4:11">
      <c r="D24498" s="13"/>
      <c r="E24498" s="13"/>
      <c r="F24498" s="13"/>
      <c r="G24498" s="13"/>
      <c r="H24498" s="13"/>
      <c r="I24498" s="13"/>
      <c r="J24498" s="13"/>
      <c r="K24498" s="13"/>
    </row>
    <row r="24499" spans="4:11">
      <c r="D24499" s="13"/>
      <c r="E24499" s="13"/>
      <c r="F24499" s="13"/>
      <c r="G24499" s="13"/>
      <c r="H24499" s="13"/>
      <c r="I24499" s="13"/>
      <c r="J24499" s="13"/>
      <c r="K24499" s="13"/>
    </row>
    <row r="24500" spans="4:11">
      <c r="D24500" s="13"/>
      <c r="E24500" s="13"/>
      <c r="F24500" s="13"/>
      <c r="G24500" s="13"/>
      <c r="H24500" s="13"/>
      <c r="I24500" s="13"/>
      <c r="J24500" s="13"/>
      <c r="K24500" s="13"/>
    </row>
    <row r="24501" spans="4:11">
      <c r="D24501" s="13"/>
      <c r="E24501" s="13"/>
      <c r="F24501" s="13"/>
      <c r="G24501" s="13"/>
      <c r="H24501" s="13"/>
      <c r="I24501" s="13"/>
      <c r="J24501" s="13"/>
      <c r="K24501" s="13"/>
    </row>
    <row r="24502" spans="4:11">
      <c r="D24502" s="13"/>
      <c r="E24502" s="13"/>
      <c r="F24502" s="13"/>
      <c r="G24502" s="13"/>
      <c r="H24502" s="13"/>
      <c r="I24502" s="13"/>
      <c r="J24502" s="13"/>
      <c r="K24502" s="13"/>
    </row>
    <row r="24503" spans="4:11">
      <c r="D24503" s="13"/>
      <c r="E24503" s="13"/>
      <c r="F24503" s="13"/>
      <c r="G24503" s="13"/>
      <c r="H24503" s="13"/>
      <c r="I24503" s="13"/>
      <c r="J24503" s="13"/>
      <c r="K24503" s="13"/>
    </row>
    <row r="24504" spans="4:11">
      <c r="D24504" s="13"/>
      <c r="E24504" s="13"/>
      <c r="F24504" s="13"/>
      <c r="G24504" s="13"/>
      <c r="H24504" s="13"/>
      <c r="I24504" s="13"/>
      <c r="J24504" s="13"/>
      <c r="K24504" s="13"/>
    </row>
    <row r="24505" spans="4:11">
      <c r="D24505" s="13"/>
      <c r="E24505" s="13"/>
      <c r="F24505" s="13"/>
      <c r="G24505" s="13"/>
      <c r="H24505" s="13"/>
      <c r="I24505" s="13"/>
      <c r="J24505" s="13"/>
      <c r="K24505" s="13"/>
    </row>
    <row r="24506" spans="4:11">
      <c r="D24506" s="13"/>
      <c r="E24506" s="13"/>
      <c r="F24506" s="13"/>
      <c r="G24506" s="13"/>
      <c r="H24506" s="13"/>
      <c r="I24506" s="13"/>
      <c r="J24506" s="13"/>
      <c r="K24506" s="13"/>
    </row>
    <row r="24507" spans="4:11">
      <c r="D24507" s="13"/>
      <c r="E24507" s="13"/>
      <c r="F24507" s="13"/>
      <c r="G24507" s="13"/>
      <c r="H24507" s="13"/>
      <c r="I24507" s="13"/>
      <c r="J24507" s="13"/>
      <c r="K24507" s="13"/>
    </row>
    <row r="24508" spans="4:11">
      <c r="D24508" s="13"/>
      <c r="E24508" s="13"/>
      <c r="F24508" s="13"/>
      <c r="G24508" s="13"/>
      <c r="H24508" s="13"/>
      <c r="I24508" s="13"/>
      <c r="J24508" s="13"/>
      <c r="K24508" s="13"/>
    </row>
    <row r="24509" spans="4:11">
      <c r="D24509" s="13"/>
      <c r="E24509" s="13"/>
      <c r="F24509" s="13"/>
      <c r="G24509" s="13"/>
      <c r="H24509" s="13"/>
      <c r="I24509" s="13"/>
      <c r="J24509" s="13"/>
      <c r="K24509" s="13"/>
    </row>
    <row r="24510" spans="4:11">
      <c r="D24510" s="13"/>
      <c r="E24510" s="13"/>
      <c r="F24510" s="13"/>
      <c r="G24510" s="13"/>
      <c r="H24510" s="13"/>
      <c r="I24510" s="13"/>
      <c r="J24510" s="13"/>
      <c r="K24510" s="13"/>
    </row>
    <row r="24511" spans="4:11">
      <c r="D24511" s="13"/>
      <c r="E24511" s="13"/>
      <c r="F24511" s="13"/>
      <c r="G24511" s="13"/>
      <c r="H24511" s="13"/>
      <c r="I24511" s="13"/>
      <c r="J24511" s="13"/>
      <c r="K24511" s="13"/>
    </row>
    <row r="24512" spans="4:11">
      <c r="D24512" s="13"/>
      <c r="E24512" s="13"/>
      <c r="F24512" s="13"/>
      <c r="G24512" s="13"/>
      <c r="H24512" s="13"/>
      <c r="I24512" s="13"/>
      <c r="J24512" s="13"/>
      <c r="K24512" s="13"/>
    </row>
    <row r="24513" spans="4:11">
      <c r="D24513" s="13"/>
      <c r="E24513" s="13"/>
      <c r="F24513" s="13"/>
      <c r="G24513" s="13"/>
      <c r="H24513" s="13"/>
      <c r="I24513" s="13"/>
      <c r="J24513" s="13"/>
      <c r="K24513" s="13"/>
    </row>
    <row r="24514" spans="4:11">
      <c r="D24514" s="13"/>
      <c r="E24514" s="13"/>
      <c r="F24514" s="13"/>
      <c r="G24514" s="13"/>
      <c r="H24514" s="13"/>
      <c r="I24514" s="13"/>
      <c r="J24514" s="13"/>
      <c r="K24514" s="13"/>
    </row>
    <row r="24515" spans="4:11">
      <c r="D24515" s="13"/>
      <c r="E24515" s="13"/>
      <c r="F24515" s="13"/>
      <c r="G24515" s="13"/>
      <c r="H24515" s="13"/>
      <c r="I24515" s="13"/>
      <c r="J24515" s="13"/>
      <c r="K24515" s="13"/>
    </row>
    <row r="24516" spans="4:11">
      <c r="D24516" s="13"/>
      <c r="E24516" s="13"/>
      <c r="F24516" s="13"/>
      <c r="G24516" s="13"/>
      <c r="H24516" s="13"/>
      <c r="I24516" s="13"/>
      <c r="J24516" s="13"/>
      <c r="K24516" s="13"/>
    </row>
    <row r="24517" spans="4:11">
      <c r="D24517" s="13"/>
      <c r="E24517" s="13"/>
      <c r="F24517" s="13"/>
      <c r="G24517" s="13"/>
      <c r="H24517" s="13"/>
      <c r="I24517" s="13"/>
      <c r="J24517" s="13"/>
      <c r="K24517" s="13"/>
    </row>
    <row r="24518" spans="4:11">
      <c r="D24518" s="13"/>
      <c r="E24518" s="13"/>
      <c r="F24518" s="13"/>
      <c r="G24518" s="13"/>
      <c r="H24518" s="13"/>
      <c r="I24518" s="13"/>
      <c r="J24518" s="13"/>
      <c r="K24518" s="13"/>
    </row>
    <row r="24519" spans="4:11">
      <c r="D24519" s="13"/>
      <c r="E24519" s="13"/>
      <c r="F24519" s="13"/>
      <c r="G24519" s="13"/>
      <c r="H24519" s="13"/>
      <c r="I24519" s="13"/>
      <c r="J24519" s="13"/>
      <c r="K24519" s="13"/>
    </row>
    <row r="24520" spans="4:11">
      <c r="D24520" s="13"/>
      <c r="E24520" s="13"/>
      <c r="F24520" s="13"/>
      <c r="G24520" s="13"/>
      <c r="H24520" s="13"/>
      <c r="I24520" s="13"/>
      <c r="J24520" s="13"/>
      <c r="K24520" s="13"/>
    </row>
    <row r="24521" spans="4:11">
      <c r="D24521" s="13"/>
      <c r="E24521" s="13"/>
      <c r="F24521" s="13"/>
      <c r="G24521" s="13"/>
      <c r="H24521" s="13"/>
      <c r="I24521" s="13"/>
      <c r="J24521" s="13"/>
      <c r="K24521" s="13"/>
    </row>
    <row r="24522" spans="4:11">
      <c r="D24522" s="13"/>
      <c r="E24522" s="13"/>
      <c r="F24522" s="13"/>
      <c r="G24522" s="13"/>
      <c r="H24522" s="13"/>
      <c r="I24522" s="13"/>
      <c r="J24522" s="13"/>
      <c r="K24522" s="13"/>
    </row>
    <row r="24523" spans="4:11">
      <c r="D24523" s="13"/>
      <c r="E24523" s="13"/>
      <c r="F24523" s="13"/>
      <c r="G24523" s="13"/>
      <c r="H24523" s="13"/>
      <c r="I24523" s="13"/>
      <c r="J24523" s="13"/>
      <c r="K24523" s="13"/>
    </row>
    <row r="24524" spans="4:11">
      <c r="D24524" s="13"/>
      <c r="E24524" s="13"/>
      <c r="F24524" s="13"/>
      <c r="G24524" s="13"/>
      <c r="H24524" s="13"/>
      <c r="I24524" s="13"/>
      <c r="J24524" s="13"/>
      <c r="K24524" s="13"/>
    </row>
    <row r="24525" spans="4:11">
      <c r="D24525" s="13"/>
      <c r="E24525" s="13"/>
      <c r="F24525" s="13"/>
      <c r="G24525" s="13"/>
      <c r="H24525" s="13"/>
      <c r="I24525" s="13"/>
      <c r="J24525" s="13"/>
      <c r="K24525" s="13"/>
    </row>
    <row r="24526" spans="4:11">
      <c r="D24526" s="13"/>
      <c r="E24526" s="13"/>
      <c r="F24526" s="13"/>
      <c r="G24526" s="13"/>
      <c r="H24526" s="13"/>
      <c r="I24526" s="13"/>
      <c r="J24526" s="13"/>
      <c r="K24526" s="13"/>
    </row>
    <row r="24527" spans="4:11">
      <c r="D24527" s="13"/>
      <c r="E24527" s="13"/>
      <c r="F24527" s="13"/>
      <c r="G24527" s="13"/>
      <c r="H24527" s="13"/>
      <c r="I24527" s="13"/>
      <c r="J24527" s="13"/>
      <c r="K24527" s="13"/>
    </row>
    <row r="24528" spans="4:11">
      <c r="D24528" s="13"/>
      <c r="E24528" s="13"/>
      <c r="F24528" s="13"/>
      <c r="G24528" s="13"/>
      <c r="H24528" s="13"/>
      <c r="I24528" s="13"/>
      <c r="J24528" s="13"/>
      <c r="K24528" s="13"/>
    </row>
    <row r="24529" spans="4:11">
      <c r="D24529" s="13"/>
      <c r="E24529" s="13"/>
      <c r="F24529" s="13"/>
      <c r="G24529" s="13"/>
      <c r="H24529" s="13"/>
      <c r="I24529" s="13"/>
      <c r="J24529" s="13"/>
      <c r="K24529" s="13"/>
    </row>
    <row r="24530" spans="4:11">
      <c r="D24530" s="13"/>
      <c r="E24530" s="13"/>
      <c r="F24530" s="13"/>
      <c r="G24530" s="13"/>
      <c r="H24530" s="13"/>
      <c r="I24530" s="13"/>
      <c r="J24530" s="13"/>
      <c r="K24530" s="13"/>
    </row>
    <row r="24531" spans="4:11">
      <c r="D24531" s="13"/>
      <c r="E24531" s="13"/>
      <c r="F24531" s="13"/>
      <c r="G24531" s="13"/>
      <c r="H24531" s="13"/>
      <c r="I24531" s="13"/>
      <c r="J24531" s="13"/>
      <c r="K24531" s="13"/>
    </row>
    <row r="24532" spans="4:11">
      <c r="D24532" s="13"/>
      <c r="E24532" s="13"/>
      <c r="F24532" s="13"/>
      <c r="G24532" s="13"/>
      <c r="H24532" s="13"/>
      <c r="I24532" s="13"/>
      <c r="J24532" s="13"/>
      <c r="K24532" s="13"/>
    </row>
    <row r="24533" spans="4:11">
      <c r="D24533" s="13"/>
      <c r="E24533" s="13"/>
      <c r="F24533" s="13"/>
      <c r="G24533" s="13"/>
      <c r="H24533" s="13"/>
      <c r="I24533" s="13"/>
      <c r="J24533" s="13"/>
      <c r="K24533" s="13"/>
    </row>
    <row r="24534" spans="4:11">
      <c r="D24534" s="13"/>
      <c r="E24534" s="13"/>
      <c r="F24534" s="13"/>
      <c r="G24534" s="13"/>
      <c r="H24534" s="13"/>
      <c r="I24534" s="13"/>
      <c r="J24534" s="13"/>
      <c r="K24534" s="13"/>
    </row>
    <row r="24535" spans="4:11">
      <c r="D24535" s="13"/>
      <c r="E24535" s="13"/>
      <c r="F24535" s="13"/>
      <c r="G24535" s="13"/>
      <c r="H24535" s="13"/>
      <c r="I24535" s="13"/>
      <c r="J24535" s="13"/>
      <c r="K24535" s="13"/>
    </row>
    <row r="24536" spans="4:11">
      <c r="D24536" s="13"/>
      <c r="E24536" s="13"/>
      <c r="F24536" s="13"/>
      <c r="G24536" s="13"/>
      <c r="H24536" s="13"/>
      <c r="I24536" s="13"/>
      <c r="J24536" s="13"/>
      <c r="K24536" s="13"/>
    </row>
    <row r="24537" spans="4:11">
      <c r="D24537" s="13"/>
      <c r="E24537" s="13"/>
      <c r="F24537" s="13"/>
      <c r="G24537" s="13"/>
      <c r="H24537" s="13"/>
      <c r="I24537" s="13"/>
      <c r="J24537" s="13"/>
      <c r="K24537" s="13"/>
    </row>
    <row r="24538" spans="4:11">
      <c r="D24538" s="13"/>
      <c r="E24538" s="13"/>
      <c r="F24538" s="13"/>
      <c r="G24538" s="13"/>
      <c r="H24538" s="13"/>
      <c r="I24538" s="13"/>
      <c r="J24538" s="13"/>
      <c r="K24538" s="13"/>
    </row>
    <row r="24539" spans="4:11">
      <c r="D24539" s="13"/>
      <c r="E24539" s="13"/>
      <c r="F24539" s="13"/>
      <c r="G24539" s="13"/>
      <c r="H24539" s="13"/>
      <c r="I24539" s="13"/>
      <c r="J24539" s="13"/>
      <c r="K24539" s="13"/>
    </row>
    <row r="24540" spans="4:11">
      <c r="D24540" s="13"/>
      <c r="E24540" s="13"/>
      <c r="F24540" s="13"/>
      <c r="G24540" s="13"/>
      <c r="H24540" s="13"/>
      <c r="I24540" s="13"/>
      <c r="J24540" s="13"/>
      <c r="K24540" s="13"/>
    </row>
    <row r="24541" spans="4:11">
      <c r="D24541" s="13"/>
      <c r="E24541" s="13"/>
      <c r="F24541" s="13"/>
      <c r="G24541" s="13"/>
      <c r="H24541" s="13"/>
      <c r="I24541" s="13"/>
      <c r="J24541" s="13"/>
      <c r="K24541" s="13"/>
    </row>
    <row r="24542" spans="4:11">
      <c r="D24542" s="13"/>
      <c r="E24542" s="13"/>
      <c r="F24542" s="13"/>
      <c r="G24542" s="13"/>
      <c r="H24542" s="13"/>
      <c r="I24542" s="13"/>
      <c r="J24542" s="13"/>
      <c r="K24542" s="13"/>
    </row>
    <row r="24543" spans="4:11">
      <c r="D24543" s="13"/>
      <c r="E24543" s="13"/>
      <c r="F24543" s="13"/>
      <c r="G24543" s="13"/>
      <c r="H24543" s="13"/>
      <c r="I24543" s="13"/>
      <c r="J24543" s="13"/>
      <c r="K24543" s="13"/>
    </row>
    <row r="24544" spans="4:11">
      <c r="D24544" s="13"/>
      <c r="E24544" s="13"/>
      <c r="F24544" s="13"/>
      <c r="G24544" s="13"/>
      <c r="H24544" s="13"/>
      <c r="I24544" s="13"/>
      <c r="J24544" s="13"/>
      <c r="K24544" s="13"/>
    </row>
    <row r="24545" spans="4:11">
      <c r="D24545" s="13"/>
      <c r="E24545" s="13"/>
      <c r="F24545" s="13"/>
      <c r="G24545" s="13"/>
      <c r="H24545" s="13"/>
      <c r="I24545" s="13"/>
      <c r="J24545" s="13"/>
      <c r="K24545" s="13"/>
    </row>
    <row r="24546" spans="4:11">
      <c r="D24546" s="13"/>
      <c r="E24546" s="13"/>
      <c r="F24546" s="13"/>
      <c r="G24546" s="13"/>
      <c r="H24546" s="13"/>
      <c r="I24546" s="13"/>
      <c r="J24546" s="13"/>
      <c r="K24546" s="13"/>
    </row>
    <row r="24547" spans="4:11">
      <c r="D24547" s="13"/>
      <c r="E24547" s="13"/>
      <c r="F24547" s="13"/>
      <c r="G24547" s="13"/>
      <c r="H24547" s="13"/>
      <c r="I24547" s="13"/>
      <c r="J24547" s="13"/>
      <c r="K24547" s="13"/>
    </row>
    <row r="24548" spans="4:11">
      <c r="D24548" s="13"/>
      <c r="E24548" s="13"/>
      <c r="F24548" s="13"/>
      <c r="G24548" s="13"/>
      <c r="H24548" s="13"/>
      <c r="I24548" s="13"/>
      <c r="J24548" s="13"/>
      <c r="K24548" s="13"/>
    </row>
    <row r="24549" spans="4:11">
      <c r="D24549" s="13"/>
      <c r="E24549" s="13"/>
      <c r="F24549" s="13"/>
      <c r="G24549" s="13"/>
      <c r="H24549" s="13"/>
      <c r="I24549" s="13"/>
      <c r="J24549" s="13"/>
      <c r="K24549" s="13"/>
    </row>
    <row r="24550" spans="4:11">
      <c r="D24550" s="13"/>
      <c r="E24550" s="13"/>
      <c r="F24550" s="13"/>
      <c r="G24550" s="13"/>
      <c r="H24550" s="13"/>
      <c r="I24550" s="13"/>
      <c r="J24550" s="13"/>
      <c r="K24550" s="13"/>
    </row>
    <row r="24551" spans="4:11">
      <c r="D24551" s="13"/>
      <c r="E24551" s="13"/>
      <c r="F24551" s="13"/>
      <c r="G24551" s="13"/>
      <c r="H24551" s="13"/>
      <c r="I24551" s="13"/>
      <c r="J24551" s="13"/>
      <c r="K24551" s="13"/>
    </row>
    <row r="24552" spans="4:11">
      <c r="D24552" s="13"/>
      <c r="E24552" s="13"/>
      <c r="F24552" s="13"/>
      <c r="G24552" s="13"/>
      <c r="H24552" s="13"/>
      <c r="I24552" s="13"/>
      <c r="J24552" s="13"/>
      <c r="K24552" s="13"/>
    </row>
    <row r="24553" spans="4:11">
      <c r="D24553" s="13"/>
      <c r="E24553" s="13"/>
      <c r="F24553" s="13"/>
      <c r="G24553" s="13"/>
      <c r="H24553" s="13"/>
      <c r="I24553" s="13"/>
      <c r="J24553" s="13"/>
      <c r="K24553" s="13"/>
    </row>
    <row r="24554" spans="4:11">
      <c r="D24554" s="13"/>
      <c r="E24554" s="13"/>
      <c r="F24554" s="13"/>
      <c r="G24554" s="13"/>
      <c r="H24554" s="13"/>
      <c r="I24554" s="13"/>
      <c r="J24554" s="13"/>
      <c r="K24554" s="13"/>
    </row>
    <row r="24555" spans="4:11">
      <c r="D24555" s="13"/>
      <c r="E24555" s="13"/>
      <c r="F24555" s="13"/>
      <c r="G24555" s="13"/>
      <c r="H24555" s="13"/>
      <c r="I24555" s="13"/>
      <c r="J24555" s="13"/>
      <c r="K24555" s="13"/>
    </row>
    <row r="24556" spans="4:11">
      <c r="D24556" s="13"/>
      <c r="E24556" s="13"/>
      <c r="F24556" s="13"/>
      <c r="G24556" s="13"/>
      <c r="H24556" s="13"/>
      <c r="I24556" s="13"/>
      <c r="J24556" s="13"/>
      <c r="K24556" s="13"/>
    </row>
    <row r="24557" spans="4:11">
      <c r="D24557" s="13"/>
      <c r="E24557" s="13"/>
      <c r="F24557" s="13"/>
      <c r="G24557" s="13"/>
      <c r="H24557" s="13"/>
      <c r="I24557" s="13"/>
      <c r="J24557" s="13"/>
      <c r="K24557" s="13"/>
    </row>
    <row r="24558" spans="4:11">
      <c r="D24558" s="13"/>
      <c r="E24558" s="13"/>
      <c r="F24558" s="13"/>
      <c r="G24558" s="13"/>
      <c r="H24558" s="13"/>
      <c r="I24558" s="13"/>
      <c r="J24558" s="13"/>
      <c r="K24558" s="13"/>
    </row>
    <row r="24559" spans="4:11">
      <c r="D24559" s="13"/>
      <c r="E24559" s="13"/>
      <c r="F24559" s="13"/>
      <c r="G24559" s="13"/>
      <c r="H24559" s="13"/>
      <c r="I24559" s="13"/>
      <c r="J24559" s="13"/>
      <c r="K24559" s="13"/>
    </row>
    <row r="24560" spans="4:11">
      <c r="D24560" s="13"/>
      <c r="E24560" s="13"/>
      <c r="F24560" s="13"/>
      <c r="G24560" s="13"/>
      <c r="H24560" s="13"/>
      <c r="I24560" s="13"/>
      <c r="J24560" s="13"/>
      <c r="K24560" s="13"/>
    </row>
    <row r="24561" spans="4:11">
      <c r="D24561" s="13"/>
      <c r="E24561" s="13"/>
      <c r="F24561" s="13"/>
      <c r="G24561" s="13"/>
      <c r="H24561" s="13"/>
      <c r="I24561" s="13"/>
      <c r="J24561" s="13"/>
      <c r="K24561" s="13"/>
    </row>
    <row r="24562" spans="4:11">
      <c r="D24562" s="13"/>
      <c r="E24562" s="13"/>
      <c r="F24562" s="13"/>
      <c r="G24562" s="13"/>
      <c r="H24562" s="13"/>
      <c r="I24562" s="13"/>
      <c r="J24562" s="13"/>
      <c r="K24562" s="13"/>
    </row>
    <row r="24563" spans="4:11">
      <c r="D24563" s="13"/>
      <c r="E24563" s="13"/>
      <c r="F24563" s="13"/>
      <c r="G24563" s="13"/>
      <c r="H24563" s="13"/>
      <c r="I24563" s="13"/>
      <c r="J24563" s="13"/>
      <c r="K24563" s="13"/>
    </row>
    <row r="24564" spans="4:11">
      <c r="D24564" s="13"/>
      <c r="E24564" s="13"/>
      <c r="F24564" s="13"/>
      <c r="G24564" s="13"/>
      <c r="H24564" s="13"/>
      <c r="I24564" s="13"/>
      <c r="J24564" s="13"/>
      <c r="K24564" s="13"/>
    </row>
    <row r="24565" spans="4:11">
      <c r="D24565" s="13"/>
      <c r="E24565" s="13"/>
      <c r="F24565" s="13"/>
      <c r="G24565" s="13"/>
      <c r="H24565" s="13"/>
      <c r="I24565" s="13"/>
      <c r="J24565" s="13"/>
      <c r="K24565" s="13"/>
    </row>
    <row r="24566" spans="4:11">
      <c r="D24566" s="13"/>
      <c r="E24566" s="13"/>
      <c r="F24566" s="13"/>
      <c r="G24566" s="13"/>
      <c r="H24566" s="13"/>
      <c r="I24566" s="13"/>
      <c r="J24566" s="13"/>
      <c r="K24566" s="13"/>
    </row>
    <row r="24567" spans="4:11">
      <c r="D24567" s="13"/>
      <c r="E24567" s="13"/>
      <c r="F24567" s="13"/>
      <c r="G24567" s="13"/>
      <c r="H24567" s="13"/>
      <c r="I24567" s="13"/>
      <c r="J24567" s="13"/>
      <c r="K24567" s="13"/>
    </row>
    <row r="24568" spans="4:11">
      <c r="D24568" s="13"/>
      <c r="E24568" s="13"/>
      <c r="F24568" s="13"/>
      <c r="G24568" s="13"/>
      <c r="H24568" s="13"/>
      <c r="I24568" s="13"/>
      <c r="J24568" s="13"/>
      <c r="K24568" s="13"/>
    </row>
    <row r="24569" spans="4:11">
      <c r="D24569" s="13"/>
      <c r="E24569" s="13"/>
      <c r="F24569" s="13"/>
      <c r="G24569" s="13"/>
      <c r="H24569" s="13"/>
      <c r="I24569" s="13"/>
      <c r="J24569" s="13"/>
      <c r="K24569" s="13"/>
    </row>
    <row r="24570" spans="4:11">
      <c r="D24570" s="13"/>
      <c r="E24570" s="13"/>
      <c r="F24570" s="13"/>
      <c r="G24570" s="13"/>
      <c r="H24570" s="13"/>
      <c r="I24570" s="13"/>
      <c r="J24570" s="13"/>
      <c r="K24570" s="13"/>
    </row>
    <row r="24571" spans="4:11">
      <c r="D24571" s="13"/>
      <c r="E24571" s="13"/>
      <c r="F24571" s="13"/>
      <c r="G24571" s="13"/>
      <c r="H24571" s="13"/>
      <c r="I24571" s="13"/>
      <c r="J24571" s="13"/>
      <c r="K24571" s="13"/>
    </row>
    <row r="24572" spans="4:11">
      <c r="D24572" s="13"/>
      <c r="E24572" s="13"/>
      <c r="F24572" s="13"/>
      <c r="G24572" s="13"/>
      <c r="H24572" s="13"/>
      <c r="I24572" s="13"/>
      <c r="J24572" s="13"/>
      <c r="K24572" s="13"/>
    </row>
    <row r="24573" spans="4:11">
      <c r="D24573" s="13"/>
      <c r="E24573" s="13"/>
      <c r="F24573" s="13"/>
      <c r="G24573" s="13"/>
      <c r="H24573" s="13"/>
      <c r="I24573" s="13"/>
      <c r="J24573" s="13"/>
      <c r="K24573" s="13"/>
    </row>
    <row r="24574" spans="4:11">
      <c r="D24574" s="13"/>
      <c r="E24574" s="13"/>
      <c r="F24574" s="13"/>
      <c r="G24574" s="13"/>
      <c r="H24574" s="13"/>
      <c r="I24574" s="13"/>
      <c r="J24574" s="13"/>
      <c r="K24574" s="13"/>
    </row>
    <row r="24575" spans="4:11">
      <c r="D24575" s="13"/>
      <c r="E24575" s="13"/>
      <c r="F24575" s="13"/>
      <c r="G24575" s="13"/>
      <c r="H24575" s="13"/>
      <c r="I24575" s="13"/>
      <c r="J24575" s="13"/>
      <c r="K24575" s="13"/>
    </row>
    <row r="24576" spans="4:11">
      <c r="D24576" s="13"/>
      <c r="E24576" s="13"/>
      <c r="F24576" s="13"/>
      <c r="G24576" s="13"/>
      <c r="H24576" s="13"/>
      <c r="I24576" s="13"/>
      <c r="J24576" s="13"/>
      <c r="K24576" s="13"/>
    </row>
    <row r="24577" spans="4:11">
      <c r="D24577" s="13"/>
      <c r="E24577" s="13"/>
      <c r="F24577" s="13"/>
      <c r="G24577" s="13"/>
      <c r="H24577" s="13"/>
      <c r="I24577" s="13"/>
      <c r="J24577" s="13"/>
      <c r="K24577" s="13"/>
    </row>
    <row r="24578" spans="4:11">
      <c r="D24578" s="13"/>
      <c r="E24578" s="13"/>
      <c r="F24578" s="13"/>
      <c r="G24578" s="13"/>
      <c r="H24578" s="13"/>
      <c r="I24578" s="13"/>
      <c r="J24578" s="13"/>
      <c r="K24578" s="13"/>
    </row>
    <row r="24579" spans="4:11">
      <c r="D24579" s="13"/>
      <c r="E24579" s="13"/>
      <c r="F24579" s="13"/>
      <c r="G24579" s="13"/>
      <c r="H24579" s="13"/>
      <c r="I24579" s="13"/>
      <c r="J24579" s="13"/>
      <c r="K24579" s="13"/>
    </row>
    <row r="24580" spans="4:11">
      <c r="D24580" s="13"/>
      <c r="E24580" s="13"/>
      <c r="F24580" s="13"/>
      <c r="G24580" s="13"/>
      <c r="H24580" s="13"/>
      <c r="I24580" s="13"/>
      <c r="J24580" s="13"/>
      <c r="K24580" s="13"/>
    </row>
    <row r="24581" spans="4:11">
      <c r="D24581" s="13"/>
      <c r="E24581" s="13"/>
      <c r="F24581" s="13"/>
      <c r="G24581" s="13"/>
      <c r="H24581" s="13"/>
      <c r="I24581" s="13"/>
      <c r="J24581" s="13"/>
      <c r="K24581" s="13"/>
    </row>
    <row r="24582" spans="4:11">
      <c r="D24582" s="13"/>
      <c r="E24582" s="13"/>
      <c r="F24582" s="13"/>
      <c r="G24582" s="13"/>
      <c r="H24582" s="13"/>
      <c r="I24582" s="13"/>
      <c r="J24582" s="13"/>
      <c r="K24582" s="13"/>
    </row>
    <row r="24583" spans="4:11">
      <c r="D24583" s="13"/>
      <c r="E24583" s="13"/>
      <c r="F24583" s="13"/>
      <c r="G24583" s="13"/>
      <c r="H24583" s="13"/>
      <c r="I24583" s="13"/>
      <c r="J24583" s="13"/>
      <c r="K24583" s="13"/>
    </row>
    <row r="24584" spans="4:11">
      <c r="D24584" s="13"/>
      <c r="E24584" s="13"/>
      <c r="F24584" s="13"/>
      <c r="G24584" s="13"/>
      <c r="H24584" s="13"/>
      <c r="I24584" s="13"/>
      <c r="J24584" s="13"/>
      <c r="K24584" s="13"/>
    </row>
    <row r="24585" spans="4:11">
      <c r="D24585" s="13"/>
      <c r="E24585" s="13"/>
      <c r="F24585" s="13"/>
      <c r="G24585" s="13"/>
      <c r="H24585" s="13"/>
      <c r="I24585" s="13"/>
      <c r="J24585" s="13"/>
      <c r="K24585" s="13"/>
    </row>
    <row r="24586" spans="4:11">
      <c r="D24586" s="13"/>
      <c r="E24586" s="13"/>
      <c r="F24586" s="13"/>
      <c r="G24586" s="13"/>
      <c r="H24586" s="13"/>
      <c r="I24586" s="13"/>
      <c r="J24586" s="13"/>
      <c r="K24586" s="13"/>
    </row>
    <row r="24587" spans="4:11">
      <c r="D24587" s="13"/>
      <c r="E24587" s="13"/>
      <c r="F24587" s="13"/>
      <c r="G24587" s="13"/>
      <c r="H24587" s="13"/>
      <c r="I24587" s="13"/>
      <c r="J24587" s="13"/>
      <c r="K24587" s="13"/>
    </row>
    <row r="24588" spans="4:11">
      <c r="D24588" s="13"/>
      <c r="E24588" s="13"/>
      <c r="F24588" s="13"/>
      <c r="G24588" s="13"/>
      <c r="H24588" s="13"/>
      <c r="I24588" s="13"/>
      <c r="J24588" s="13"/>
      <c r="K24588" s="13"/>
    </row>
    <row r="24589" spans="4:11">
      <c r="D24589" s="13"/>
      <c r="E24589" s="13"/>
      <c r="F24589" s="13"/>
      <c r="G24589" s="13"/>
      <c r="H24589" s="13"/>
      <c r="I24589" s="13"/>
      <c r="J24589" s="13"/>
      <c r="K24589" s="13"/>
    </row>
    <row r="24590" spans="4:11">
      <c r="D24590" s="13"/>
      <c r="E24590" s="13"/>
      <c r="F24590" s="13"/>
      <c r="G24590" s="13"/>
      <c r="H24590" s="13"/>
      <c r="I24590" s="13"/>
      <c r="J24590" s="13"/>
      <c r="K24590" s="13"/>
    </row>
    <row r="24591" spans="4:11">
      <c r="D24591" s="13"/>
      <c r="E24591" s="13"/>
      <c r="F24591" s="13"/>
      <c r="G24591" s="13"/>
      <c r="H24591" s="13"/>
      <c r="I24591" s="13"/>
      <c r="J24591" s="13"/>
      <c r="K24591" s="13"/>
    </row>
    <row r="24592" spans="4:11">
      <c r="D24592" s="13"/>
      <c r="E24592" s="13"/>
      <c r="F24592" s="13"/>
      <c r="G24592" s="13"/>
      <c r="H24592" s="13"/>
      <c r="I24592" s="13"/>
      <c r="J24592" s="13"/>
      <c r="K24592" s="13"/>
    </row>
    <row r="24593" spans="4:11">
      <c r="D24593" s="13"/>
      <c r="E24593" s="13"/>
      <c r="F24593" s="13"/>
      <c r="G24593" s="13"/>
      <c r="H24593" s="13"/>
      <c r="I24593" s="13"/>
      <c r="J24593" s="13"/>
      <c r="K24593" s="13"/>
    </row>
    <row r="24594" spans="4:11">
      <c r="D24594" s="13"/>
      <c r="E24594" s="13"/>
      <c r="F24594" s="13"/>
      <c r="G24594" s="13"/>
      <c r="H24594" s="13"/>
      <c r="I24594" s="13"/>
      <c r="J24594" s="13"/>
      <c r="K24594" s="13"/>
    </row>
    <row r="24595" spans="4:11">
      <c r="D24595" s="13"/>
      <c r="E24595" s="13"/>
      <c r="F24595" s="13"/>
      <c r="G24595" s="13"/>
      <c r="H24595" s="13"/>
      <c r="I24595" s="13"/>
      <c r="J24595" s="13"/>
      <c r="K24595" s="13"/>
    </row>
    <row r="24596" spans="4:11">
      <c r="D24596" s="13"/>
      <c r="E24596" s="13"/>
      <c r="F24596" s="13"/>
      <c r="G24596" s="13"/>
      <c r="H24596" s="13"/>
      <c r="I24596" s="13"/>
      <c r="J24596" s="13"/>
      <c r="K24596" s="13"/>
    </row>
    <row r="24597" spans="4:11">
      <c r="D24597" s="13"/>
      <c r="E24597" s="13"/>
      <c r="F24597" s="13"/>
      <c r="G24597" s="13"/>
      <c r="H24597" s="13"/>
      <c r="I24597" s="13"/>
      <c r="J24597" s="13"/>
      <c r="K24597" s="13"/>
    </row>
    <row r="24598" spans="4:11">
      <c r="D24598" s="13"/>
      <c r="E24598" s="13"/>
      <c r="F24598" s="13"/>
      <c r="G24598" s="13"/>
      <c r="H24598" s="13"/>
      <c r="I24598" s="13"/>
      <c r="J24598" s="13"/>
      <c r="K24598" s="13"/>
    </row>
    <row r="24599" spans="4:11">
      <c r="D24599" s="13"/>
      <c r="E24599" s="13"/>
      <c r="F24599" s="13"/>
      <c r="G24599" s="13"/>
      <c r="H24599" s="13"/>
      <c r="I24599" s="13"/>
      <c r="J24599" s="13"/>
      <c r="K24599" s="13"/>
    </row>
    <row r="24600" spans="4:11">
      <c r="D24600" s="13"/>
      <c r="E24600" s="13"/>
      <c r="F24600" s="13"/>
      <c r="G24600" s="13"/>
      <c r="H24600" s="13"/>
      <c r="I24600" s="13"/>
      <c r="J24600" s="13"/>
      <c r="K24600" s="13"/>
    </row>
    <row r="24601" spans="4:11">
      <c r="D24601" s="13"/>
      <c r="E24601" s="13"/>
      <c r="F24601" s="13"/>
      <c r="G24601" s="13"/>
      <c r="H24601" s="13"/>
      <c r="I24601" s="13"/>
      <c r="J24601" s="13"/>
      <c r="K24601" s="13"/>
    </row>
    <row r="24602" spans="4:11">
      <c r="D24602" s="13"/>
      <c r="E24602" s="13"/>
      <c r="F24602" s="13"/>
      <c r="G24602" s="13"/>
      <c r="H24602" s="13"/>
      <c r="I24602" s="13"/>
      <c r="J24602" s="13"/>
      <c r="K24602" s="13"/>
    </row>
    <row r="24603" spans="4:11">
      <c r="D24603" s="13"/>
      <c r="E24603" s="13"/>
      <c r="F24603" s="13"/>
      <c r="G24603" s="13"/>
      <c r="H24603" s="13"/>
      <c r="I24603" s="13"/>
      <c r="J24603" s="13"/>
      <c r="K24603" s="13"/>
    </row>
    <row r="24604" spans="4:11">
      <c r="D24604" s="13"/>
      <c r="E24604" s="13"/>
      <c r="F24604" s="13"/>
      <c r="G24604" s="13"/>
      <c r="H24604" s="13"/>
      <c r="I24604" s="13"/>
      <c r="J24604" s="13"/>
      <c r="K24604" s="13"/>
    </row>
    <row r="24605" spans="4:11">
      <c r="D24605" s="13"/>
      <c r="E24605" s="13"/>
      <c r="F24605" s="13"/>
      <c r="G24605" s="13"/>
      <c r="H24605" s="13"/>
      <c r="I24605" s="13"/>
      <c r="J24605" s="13"/>
      <c r="K24605" s="13"/>
    </row>
    <row r="24606" spans="4:11">
      <c r="D24606" s="13"/>
      <c r="E24606" s="13"/>
      <c r="F24606" s="13"/>
      <c r="G24606" s="13"/>
      <c r="H24606" s="13"/>
      <c r="I24606" s="13"/>
      <c r="J24606" s="13"/>
      <c r="K24606" s="13"/>
    </row>
    <row r="24607" spans="4:11">
      <c r="D24607" s="13"/>
      <c r="E24607" s="13"/>
      <c r="F24607" s="13"/>
      <c r="G24607" s="13"/>
      <c r="H24607" s="13"/>
      <c r="I24607" s="13"/>
      <c r="J24607" s="13"/>
      <c r="K24607" s="13"/>
    </row>
    <row r="24608" spans="4:11">
      <c r="D24608" s="13"/>
      <c r="E24608" s="13"/>
      <c r="F24608" s="13"/>
      <c r="G24608" s="13"/>
      <c r="H24608" s="13"/>
      <c r="I24608" s="13"/>
      <c r="J24608" s="13"/>
      <c r="K24608" s="13"/>
    </row>
    <row r="24609" spans="4:11">
      <c r="D24609" s="13"/>
      <c r="E24609" s="13"/>
      <c r="F24609" s="13"/>
      <c r="G24609" s="13"/>
      <c r="H24609" s="13"/>
      <c r="I24609" s="13"/>
      <c r="J24609" s="13"/>
      <c r="K24609" s="13"/>
    </row>
    <row r="24610" spans="4:11">
      <c r="D24610" s="13"/>
      <c r="E24610" s="13"/>
      <c r="F24610" s="13"/>
      <c r="G24610" s="13"/>
      <c r="H24610" s="13"/>
      <c r="I24610" s="13"/>
      <c r="J24610" s="13"/>
      <c r="K24610" s="13"/>
    </row>
    <row r="24611" spans="4:11">
      <c r="D24611" s="13"/>
      <c r="E24611" s="13"/>
      <c r="F24611" s="13"/>
      <c r="G24611" s="13"/>
      <c r="H24611" s="13"/>
      <c r="I24611" s="13"/>
      <c r="J24611" s="13"/>
      <c r="K24611" s="13"/>
    </row>
    <row r="24612" spans="4:11">
      <c r="D24612" s="13"/>
      <c r="E24612" s="13"/>
      <c r="F24612" s="13"/>
      <c r="G24612" s="13"/>
      <c r="H24612" s="13"/>
      <c r="I24612" s="13"/>
      <c r="J24612" s="13"/>
      <c r="K24612" s="13"/>
    </row>
    <row r="24613" spans="4:11">
      <c r="D24613" s="13"/>
      <c r="E24613" s="13"/>
      <c r="F24613" s="13"/>
      <c r="G24613" s="13"/>
      <c r="H24613" s="13"/>
      <c r="I24613" s="13"/>
      <c r="J24613" s="13"/>
      <c r="K24613" s="13"/>
    </row>
    <row r="24614" spans="4:11">
      <c r="D24614" s="13"/>
      <c r="E24614" s="13"/>
      <c r="F24614" s="13"/>
      <c r="G24614" s="13"/>
      <c r="H24614" s="13"/>
      <c r="I24614" s="13"/>
      <c r="J24614" s="13"/>
      <c r="K24614" s="13"/>
    </row>
    <row r="24615" spans="4:11">
      <c r="D24615" s="13"/>
      <c r="E24615" s="13"/>
      <c r="F24615" s="13"/>
      <c r="G24615" s="13"/>
      <c r="H24615" s="13"/>
      <c r="I24615" s="13"/>
      <c r="J24615" s="13"/>
      <c r="K24615" s="13"/>
    </row>
    <row r="24616" spans="4:11">
      <c r="D24616" s="13"/>
      <c r="E24616" s="13"/>
      <c r="F24616" s="13"/>
      <c r="G24616" s="13"/>
      <c r="H24616" s="13"/>
      <c r="I24616" s="13"/>
      <c r="J24616" s="13"/>
      <c r="K24616" s="13"/>
    </row>
    <row r="24617" spans="4:11">
      <c r="D24617" s="13"/>
      <c r="E24617" s="13"/>
      <c r="F24617" s="13"/>
      <c r="G24617" s="13"/>
      <c r="H24617" s="13"/>
      <c r="I24617" s="13"/>
      <c r="J24617" s="13"/>
      <c r="K24617" s="13"/>
    </row>
    <row r="24618" spans="4:11">
      <c r="D24618" s="13"/>
      <c r="E24618" s="13"/>
      <c r="F24618" s="13"/>
      <c r="G24618" s="13"/>
      <c r="H24618" s="13"/>
      <c r="I24618" s="13"/>
      <c r="J24618" s="13"/>
      <c r="K24618" s="13"/>
    </row>
    <row r="24619" spans="4:11">
      <c r="D24619" s="13"/>
      <c r="E24619" s="13"/>
      <c r="F24619" s="13"/>
      <c r="G24619" s="13"/>
      <c r="H24619" s="13"/>
      <c r="I24619" s="13"/>
      <c r="J24619" s="13"/>
      <c r="K24619" s="13"/>
    </row>
    <row r="24620" spans="4:11">
      <c r="D24620" s="13"/>
      <c r="E24620" s="13"/>
      <c r="F24620" s="13"/>
      <c r="G24620" s="13"/>
      <c r="H24620" s="13"/>
      <c r="I24620" s="13"/>
      <c r="J24620" s="13"/>
      <c r="K24620" s="13"/>
    </row>
    <row r="24621" spans="4:11">
      <c r="D24621" s="13"/>
      <c r="E24621" s="13"/>
      <c r="F24621" s="13"/>
      <c r="G24621" s="13"/>
      <c r="H24621" s="13"/>
      <c r="I24621" s="13"/>
      <c r="J24621" s="13"/>
      <c r="K24621" s="13"/>
    </row>
    <row r="24622" spans="4:11">
      <c r="D24622" s="13"/>
      <c r="E24622" s="13"/>
      <c r="F24622" s="13"/>
      <c r="G24622" s="13"/>
      <c r="H24622" s="13"/>
      <c r="I24622" s="13"/>
      <c r="J24622" s="13"/>
      <c r="K24622" s="13"/>
    </row>
    <row r="24623" spans="4:11">
      <c r="D24623" s="13"/>
      <c r="E24623" s="13"/>
      <c r="F24623" s="13"/>
      <c r="G24623" s="13"/>
      <c r="H24623" s="13"/>
      <c r="I24623" s="13"/>
      <c r="J24623" s="13"/>
      <c r="K24623" s="13"/>
    </row>
    <row r="24624" spans="4:11">
      <c r="D24624" s="13"/>
      <c r="E24624" s="13"/>
      <c r="F24624" s="13"/>
      <c r="G24624" s="13"/>
      <c r="H24624" s="13"/>
      <c r="I24624" s="13"/>
      <c r="J24624" s="13"/>
      <c r="K24624" s="13"/>
    </row>
    <row r="24625" spans="4:11">
      <c r="D24625" s="13"/>
      <c r="E24625" s="13"/>
      <c r="F24625" s="13"/>
      <c r="G24625" s="13"/>
      <c r="H24625" s="13"/>
      <c r="I24625" s="13"/>
      <c r="J24625" s="13"/>
      <c r="K24625" s="13"/>
    </row>
    <row r="24626" spans="4:11">
      <c r="D24626" s="13"/>
      <c r="E24626" s="13"/>
      <c r="F24626" s="13"/>
      <c r="G24626" s="13"/>
      <c r="H24626" s="13"/>
      <c r="I24626" s="13"/>
      <c r="J24626" s="13"/>
      <c r="K24626" s="13"/>
    </row>
    <row r="24627" spans="4:11">
      <c r="D24627" s="13"/>
      <c r="E24627" s="13"/>
      <c r="F24627" s="13"/>
      <c r="G24627" s="13"/>
      <c r="H24627" s="13"/>
      <c r="I24627" s="13"/>
      <c r="J24627" s="13"/>
      <c r="K24627" s="13"/>
    </row>
    <row r="24628" spans="4:11">
      <c r="D24628" s="13"/>
      <c r="E24628" s="13"/>
      <c r="F24628" s="13"/>
      <c r="G24628" s="13"/>
      <c r="H24628" s="13"/>
      <c r="I24628" s="13"/>
      <c r="J24628" s="13"/>
      <c r="K24628" s="13"/>
    </row>
    <row r="24629" spans="4:11">
      <c r="D24629" s="13"/>
      <c r="E24629" s="13"/>
      <c r="F24629" s="13"/>
      <c r="G24629" s="13"/>
      <c r="H24629" s="13"/>
      <c r="I24629" s="13"/>
      <c r="J24629" s="13"/>
      <c r="K24629" s="13"/>
    </row>
    <row r="24630" spans="4:11">
      <c r="D24630" s="13"/>
      <c r="E24630" s="13"/>
      <c r="F24630" s="13"/>
      <c r="G24630" s="13"/>
      <c r="H24630" s="13"/>
      <c r="I24630" s="13"/>
      <c r="J24630" s="13"/>
      <c r="K24630" s="13"/>
    </row>
    <row r="24631" spans="4:11">
      <c r="D24631" s="13"/>
      <c r="E24631" s="13"/>
      <c r="F24631" s="13"/>
      <c r="G24631" s="13"/>
      <c r="H24631" s="13"/>
      <c r="I24631" s="13"/>
      <c r="J24631" s="13"/>
      <c r="K24631" s="13"/>
    </row>
    <row r="24632" spans="4:11">
      <c r="D24632" s="13"/>
      <c r="E24632" s="13"/>
      <c r="F24632" s="13"/>
      <c r="G24632" s="13"/>
      <c r="H24632" s="13"/>
      <c r="I24632" s="13"/>
      <c r="J24632" s="13"/>
      <c r="K24632" s="13"/>
    </row>
    <row r="24633" spans="4:11">
      <c r="D24633" s="13"/>
      <c r="E24633" s="13"/>
      <c r="F24633" s="13"/>
      <c r="G24633" s="13"/>
      <c r="H24633" s="13"/>
      <c r="I24633" s="13"/>
      <c r="J24633" s="13"/>
      <c r="K24633" s="13"/>
    </row>
    <row r="24634" spans="4:11">
      <c r="D24634" s="13"/>
      <c r="E24634" s="13"/>
      <c r="F24634" s="13"/>
      <c r="G24634" s="13"/>
      <c r="H24634" s="13"/>
      <c r="I24634" s="13"/>
      <c r="J24634" s="13"/>
      <c r="K24634" s="13"/>
    </row>
    <row r="24635" spans="4:11">
      <c r="D24635" s="13"/>
      <c r="E24635" s="13"/>
      <c r="F24635" s="13"/>
      <c r="G24635" s="13"/>
      <c r="H24635" s="13"/>
      <c r="I24635" s="13"/>
      <c r="J24635" s="13"/>
      <c r="K24635" s="13"/>
    </row>
    <row r="24636" spans="4:11">
      <c r="D24636" s="13"/>
      <c r="E24636" s="13"/>
      <c r="F24636" s="13"/>
      <c r="G24636" s="13"/>
      <c r="H24636" s="13"/>
      <c r="I24636" s="13"/>
      <c r="J24636" s="13"/>
      <c r="K24636" s="13"/>
    </row>
    <row r="24637" spans="4:11">
      <c r="D24637" s="13"/>
      <c r="E24637" s="13"/>
      <c r="F24637" s="13"/>
      <c r="G24637" s="13"/>
      <c r="H24637" s="13"/>
      <c r="I24637" s="13"/>
      <c r="J24637" s="13"/>
      <c r="K24637" s="13"/>
    </row>
    <row r="24638" spans="4:11">
      <c r="D24638" s="13"/>
      <c r="E24638" s="13"/>
      <c r="F24638" s="13"/>
      <c r="G24638" s="13"/>
      <c r="H24638" s="13"/>
      <c r="I24638" s="13"/>
      <c r="J24638" s="13"/>
      <c r="K24638" s="13"/>
    </row>
    <row r="24639" spans="4:11">
      <c r="D24639" s="13"/>
      <c r="E24639" s="13"/>
      <c r="F24639" s="13"/>
      <c r="G24639" s="13"/>
      <c r="H24639" s="13"/>
      <c r="I24639" s="13"/>
      <c r="J24639" s="13"/>
      <c r="K24639" s="13"/>
    </row>
    <row r="24640" spans="4:11">
      <c r="D24640" s="13"/>
      <c r="E24640" s="13"/>
      <c r="F24640" s="13"/>
      <c r="G24640" s="13"/>
      <c r="H24640" s="13"/>
      <c r="I24640" s="13"/>
      <c r="J24640" s="13"/>
      <c r="K24640" s="13"/>
    </row>
    <row r="24641" spans="4:11">
      <c r="D24641" s="13"/>
      <c r="E24641" s="13"/>
      <c r="F24641" s="13"/>
      <c r="G24641" s="13"/>
      <c r="H24641" s="13"/>
      <c r="I24641" s="13"/>
      <c r="J24641" s="13"/>
      <c r="K24641" s="13"/>
    </row>
    <row r="24642" spans="4:11">
      <c r="D24642" s="13"/>
      <c r="E24642" s="13"/>
      <c r="F24642" s="13"/>
      <c r="G24642" s="13"/>
      <c r="H24642" s="13"/>
      <c r="I24642" s="13"/>
      <c r="J24642" s="13"/>
      <c r="K24642" s="13"/>
    </row>
    <row r="24643" spans="4:11">
      <c r="D24643" s="13"/>
      <c r="E24643" s="13"/>
      <c r="F24643" s="13"/>
      <c r="G24643" s="13"/>
      <c r="H24643" s="13"/>
      <c r="I24643" s="13"/>
      <c r="J24643" s="13"/>
      <c r="K24643" s="13"/>
    </row>
    <row r="24644" spans="4:11">
      <c r="D24644" s="13"/>
      <c r="E24644" s="13"/>
      <c r="F24644" s="13"/>
      <c r="G24644" s="13"/>
      <c r="H24644" s="13"/>
      <c r="I24644" s="13"/>
      <c r="J24644" s="13"/>
      <c r="K24644" s="13"/>
    </row>
    <row r="24645" spans="4:11">
      <c r="D24645" s="13"/>
      <c r="E24645" s="13"/>
      <c r="F24645" s="13"/>
      <c r="G24645" s="13"/>
      <c r="H24645" s="13"/>
      <c r="I24645" s="13"/>
      <c r="J24645" s="13"/>
      <c r="K24645" s="13"/>
    </row>
    <row r="24646" spans="4:11">
      <c r="D24646" s="13"/>
      <c r="E24646" s="13"/>
      <c r="F24646" s="13"/>
      <c r="G24646" s="13"/>
      <c r="H24646" s="13"/>
      <c r="I24646" s="13"/>
      <c r="J24646" s="13"/>
      <c r="K24646" s="13"/>
    </row>
    <row r="24647" spans="4:11">
      <c r="D24647" s="13"/>
      <c r="E24647" s="13"/>
      <c r="F24647" s="13"/>
      <c r="G24647" s="13"/>
      <c r="H24647" s="13"/>
      <c r="I24647" s="13"/>
      <c r="J24647" s="13"/>
      <c r="K24647" s="13"/>
    </row>
    <row r="24648" spans="4:11">
      <c r="D24648" s="13"/>
      <c r="E24648" s="13"/>
      <c r="F24648" s="13"/>
      <c r="G24648" s="13"/>
      <c r="H24648" s="13"/>
      <c r="I24648" s="13"/>
      <c r="J24648" s="13"/>
      <c r="K24648" s="13"/>
    </row>
    <row r="24649" spans="4:11">
      <c r="D24649" s="13"/>
      <c r="E24649" s="13"/>
      <c r="F24649" s="13"/>
      <c r="G24649" s="13"/>
      <c r="H24649" s="13"/>
      <c r="I24649" s="13"/>
      <c r="J24649" s="13"/>
      <c r="K24649" s="13"/>
    </row>
    <row r="24650" spans="4:11">
      <c r="D24650" s="13"/>
      <c r="E24650" s="13"/>
      <c r="F24650" s="13"/>
      <c r="G24650" s="13"/>
      <c r="H24650" s="13"/>
      <c r="I24650" s="13"/>
      <c r="J24650" s="13"/>
      <c r="K24650" s="13"/>
    </row>
    <row r="24651" spans="4:11">
      <c r="D24651" s="13"/>
      <c r="E24651" s="13"/>
      <c r="F24651" s="13"/>
      <c r="G24651" s="13"/>
      <c r="H24651" s="13"/>
      <c r="I24651" s="13"/>
      <c r="J24651" s="13"/>
      <c r="K24651" s="13"/>
    </row>
    <row r="24652" spans="4:11">
      <c r="D24652" s="13"/>
      <c r="E24652" s="13"/>
      <c r="F24652" s="13"/>
      <c r="G24652" s="13"/>
      <c r="H24652" s="13"/>
      <c r="I24652" s="13"/>
      <c r="J24652" s="13"/>
      <c r="K24652" s="13"/>
    </row>
    <row r="24653" spans="4:11">
      <c r="D24653" s="13"/>
      <c r="E24653" s="13"/>
      <c r="F24653" s="13"/>
      <c r="G24653" s="13"/>
      <c r="H24653" s="13"/>
      <c r="I24653" s="13"/>
      <c r="J24653" s="13"/>
      <c r="K24653" s="13"/>
    </row>
    <row r="24654" spans="4:11">
      <c r="D24654" s="13"/>
      <c r="E24654" s="13"/>
      <c r="F24654" s="13"/>
      <c r="G24654" s="13"/>
      <c r="H24654" s="13"/>
      <c r="I24654" s="13"/>
      <c r="J24654" s="13"/>
      <c r="K24654" s="13"/>
    </row>
    <row r="24655" spans="4:11">
      <c r="D24655" s="13"/>
      <c r="E24655" s="13"/>
      <c r="F24655" s="13"/>
      <c r="G24655" s="13"/>
      <c r="H24655" s="13"/>
      <c r="I24655" s="13"/>
      <c r="J24655" s="13"/>
      <c r="K24655" s="13"/>
    </row>
    <row r="24656" spans="4:11">
      <c r="D24656" s="13"/>
      <c r="E24656" s="13"/>
      <c r="F24656" s="13"/>
      <c r="G24656" s="13"/>
      <c r="H24656" s="13"/>
      <c r="I24656" s="13"/>
      <c r="J24656" s="13"/>
      <c r="K24656" s="13"/>
    </row>
    <row r="24657" spans="4:11">
      <c r="D24657" s="13"/>
      <c r="E24657" s="13"/>
      <c r="F24657" s="13"/>
      <c r="G24657" s="13"/>
      <c r="H24657" s="13"/>
      <c r="I24657" s="13"/>
      <c r="J24657" s="13"/>
      <c r="K24657" s="13"/>
    </row>
    <row r="24658" spans="4:11">
      <c r="D24658" s="13"/>
      <c r="E24658" s="13"/>
      <c r="F24658" s="13"/>
      <c r="G24658" s="13"/>
      <c r="H24658" s="13"/>
      <c r="I24658" s="13"/>
      <c r="J24658" s="13"/>
      <c r="K24658" s="13"/>
    </row>
    <row r="24659" spans="4:11">
      <c r="D24659" s="13"/>
      <c r="E24659" s="13"/>
      <c r="F24659" s="13"/>
      <c r="G24659" s="13"/>
      <c r="H24659" s="13"/>
      <c r="I24659" s="13"/>
      <c r="J24659" s="13"/>
      <c r="K24659" s="13"/>
    </row>
    <row r="24660" spans="4:11">
      <c r="D24660" s="13"/>
      <c r="E24660" s="13"/>
      <c r="F24660" s="13"/>
      <c r="G24660" s="13"/>
      <c r="H24660" s="13"/>
      <c r="I24660" s="13"/>
      <c r="J24660" s="13"/>
      <c r="K24660" s="13"/>
    </row>
    <row r="24661" spans="4:11">
      <c r="D24661" s="13"/>
      <c r="E24661" s="13"/>
      <c r="F24661" s="13"/>
      <c r="G24661" s="13"/>
      <c r="H24661" s="13"/>
      <c r="I24661" s="13"/>
      <c r="J24661" s="13"/>
      <c r="K24661" s="13"/>
    </row>
    <row r="24662" spans="4:11">
      <c r="D24662" s="13"/>
      <c r="E24662" s="13"/>
      <c r="F24662" s="13"/>
      <c r="G24662" s="13"/>
      <c r="H24662" s="13"/>
      <c r="I24662" s="13"/>
      <c r="J24662" s="13"/>
      <c r="K24662" s="13"/>
    </row>
    <row r="24663" spans="4:11">
      <c r="D24663" s="13"/>
      <c r="E24663" s="13"/>
      <c r="F24663" s="13"/>
      <c r="G24663" s="13"/>
      <c r="H24663" s="13"/>
      <c r="I24663" s="13"/>
      <c r="J24663" s="13"/>
      <c r="K24663" s="13"/>
    </row>
    <row r="24664" spans="4:11">
      <c r="D24664" s="13"/>
      <c r="E24664" s="13"/>
      <c r="F24664" s="13"/>
      <c r="G24664" s="13"/>
      <c r="H24664" s="13"/>
      <c r="I24664" s="13"/>
      <c r="J24664" s="13"/>
      <c r="K24664" s="13"/>
    </row>
    <row r="24665" spans="4:11">
      <c r="D24665" s="13"/>
      <c r="E24665" s="13"/>
      <c r="F24665" s="13"/>
      <c r="G24665" s="13"/>
      <c r="H24665" s="13"/>
      <c r="I24665" s="13"/>
      <c r="J24665" s="13"/>
      <c r="K24665" s="13"/>
    </row>
    <row r="24666" spans="4:11">
      <c r="D24666" s="13"/>
      <c r="E24666" s="13"/>
      <c r="F24666" s="13"/>
      <c r="G24666" s="13"/>
      <c r="H24666" s="13"/>
      <c r="I24666" s="13"/>
      <c r="J24666" s="13"/>
      <c r="K24666" s="13"/>
    </row>
    <row r="24667" spans="4:11">
      <c r="D24667" s="13"/>
      <c r="E24667" s="13"/>
      <c r="F24667" s="13"/>
      <c r="G24667" s="13"/>
      <c r="H24667" s="13"/>
      <c r="I24667" s="13"/>
      <c r="J24667" s="13"/>
      <c r="K24667" s="13"/>
    </row>
    <row r="24668" spans="4:11">
      <c r="D24668" s="13"/>
      <c r="E24668" s="13"/>
      <c r="F24668" s="13"/>
      <c r="G24668" s="13"/>
      <c r="H24668" s="13"/>
      <c r="I24668" s="13"/>
      <c r="J24668" s="13"/>
      <c r="K24668" s="13"/>
    </row>
    <row r="24669" spans="4:11">
      <c r="D24669" s="13"/>
      <c r="E24669" s="13"/>
      <c r="F24669" s="13"/>
      <c r="G24669" s="13"/>
      <c r="H24669" s="13"/>
      <c r="I24669" s="13"/>
      <c r="J24669" s="13"/>
      <c r="K24669" s="13"/>
    </row>
    <row r="24670" spans="4:11">
      <c r="D24670" s="13"/>
      <c r="E24670" s="13"/>
      <c r="F24670" s="13"/>
      <c r="G24670" s="13"/>
      <c r="H24670" s="13"/>
      <c r="I24670" s="13"/>
      <c r="J24670" s="13"/>
      <c r="K24670" s="13"/>
    </row>
    <row r="24671" spans="4:11">
      <c r="D24671" s="13"/>
      <c r="E24671" s="13"/>
      <c r="F24671" s="13"/>
      <c r="G24671" s="13"/>
      <c r="H24671" s="13"/>
      <c r="I24671" s="13"/>
      <c r="J24671" s="13"/>
      <c r="K24671" s="13"/>
    </row>
    <row r="24672" spans="4:11">
      <c r="D24672" s="13"/>
      <c r="E24672" s="13"/>
      <c r="F24672" s="13"/>
      <c r="G24672" s="13"/>
      <c r="H24672" s="13"/>
      <c r="I24672" s="13"/>
      <c r="J24672" s="13"/>
      <c r="K24672" s="13"/>
    </row>
    <row r="24673" spans="4:11">
      <c r="D24673" s="13"/>
      <c r="E24673" s="13"/>
      <c r="F24673" s="13"/>
      <c r="G24673" s="13"/>
      <c r="H24673" s="13"/>
      <c r="I24673" s="13"/>
      <c r="J24673" s="13"/>
      <c r="K24673" s="13"/>
    </row>
    <row r="24674" spans="4:11">
      <c r="D24674" s="13"/>
      <c r="E24674" s="13"/>
      <c r="F24674" s="13"/>
      <c r="G24674" s="13"/>
      <c r="H24674" s="13"/>
      <c r="I24674" s="13"/>
      <c r="J24674" s="13"/>
      <c r="K24674" s="13"/>
    </row>
    <row r="24675" spans="4:11">
      <c r="D24675" s="13"/>
      <c r="E24675" s="13"/>
      <c r="F24675" s="13"/>
      <c r="G24675" s="13"/>
      <c r="H24675" s="13"/>
      <c r="I24675" s="13"/>
      <c r="J24675" s="13"/>
      <c r="K24675" s="13"/>
    </row>
    <row r="24676" spans="4:11">
      <c r="D24676" s="13"/>
      <c r="E24676" s="13"/>
      <c r="F24676" s="13"/>
      <c r="G24676" s="13"/>
      <c r="H24676" s="13"/>
      <c r="I24676" s="13"/>
      <c r="J24676" s="13"/>
      <c r="K24676" s="13"/>
    </row>
    <row r="24677" spans="4:11">
      <c r="D24677" s="13"/>
      <c r="E24677" s="13"/>
      <c r="F24677" s="13"/>
      <c r="G24677" s="13"/>
      <c r="H24677" s="13"/>
      <c r="I24677" s="13"/>
      <c r="J24677" s="13"/>
      <c r="K24677" s="13"/>
    </row>
    <row r="24678" spans="4:11">
      <c r="D24678" s="13"/>
      <c r="E24678" s="13"/>
      <c r="F24678" s="13"/>
      <c r="G24678" s="13"/>
      <c r="H24678" s="13"/>
      <c r="I24678" s="13"/>
      <c r="J24678" s="13"/>
      <c r="K24678" s="13"/>
    </row>
    <row r="24679" spans="4:11">
      <c r="D24679" s="13"/>
      <c r="E24679" s="13"/>
      <c r="F24679" s="13"/>
      <c r="G24679" s="13"/>
      <c r="H24679" s="13"/>
      <c r="I24679" s="13"/>
      <c r="J24679" s="13"/>
      <c r="K24679" s="13"/>
    </row>
    <row r="24680" spans="4:11">
      <c r="D24680" s="13"/>
      <c r="E24680" s="13"/>
      <c r="F24680" s="13"/>
      <c r="G24680" s="13"/>
      <c r="H24680" s="13"/>
      <c r="I24680" s="13"/>
      <c r="J24680" s="13"/>
      <c r="K24680" s="13"/>
    </row>
    <row r="24681" spans="4:11">
      <c r="D24681" s="13"/>
      <c r="E24681" s="13"/>
      <c r="F24681" s="13"/>
      <c r="G24681" s="13"/>
      <c r="H24681" s="13"/>
      <c r="I24681" s="13"/>
      <c r="J24681" s="13"/>
      <c r="K24681" s="13"/>
    </row>
    <row r="24682" spans="4:11">
      <c r="D24682" s="13"/>
      <c r="E24682" s="13"/>
      <c r="F24682" s="13"/>
      <c r="G24682" s="13"/>
      <c r="H24682" s="13"/>
      <c r="I24682" s="13"/>
      <c r="J24682" s="13"/>
      <c r="K24682" s="13"/>
    </row>
    <row r="24683" spans="4:11">
      <c r="D24683" s="13"/>
      <c r="E24683" s="13"/>
      <c r="F24683" s="13"/>
      <c r="G24683" s="13"/>
      <c r="H24683" s="13"/>
      <c r="I24683" s="13"/>
      <c r="J24683" s="13"/>
      <c r="K24683" s="13"/>
    </row>
    <row r="24684" spans="4:11">
      <c r="D24684" s="13"/>
      <c r="E24684" s="13"/>
      <c r="F24684" s="13"/>
      <c r="G24684" s="13"/>
      <c r="H24684" s="13"/>
      <c r="I24684" s="13"/>
      <c r="J24684" s="13"/>
      <c r="K24684" s="13"/>
    </row>
    <row r="24685" spans="4:11">
      <c r="D24685" s="13"/>
      <c r="E24685" s="13"/>
      <c r="F24685" s="13"/>
      <c r="G24685" s="13"/>
      <c r="H24685" s="13"/>
      <c r="I24685" s="13"/>
      <c r="J24685" s="13"/>
      <c r="K24685" s="13"/>
    </row>
    <row r="24686" spans="4:11">
      <c r="D24686" s="13"/>
      <c r="E24686" s="13"/>
      <c r="F24686" s="13"/>
      <c r="G24686" s="13"/>
      <c r="H24686" s="13"/>
      <c r="I24686" s="13"/>
      <c r="J24686" s="13"/>
      <c r="K24686" s="13"/>
    </row>
    <row r="24687" spans="4:11">
      <c r="D24687" s="13"/>
      <c r="E24687" s="13"/>
      <c r="F24687" s="13"/>
      <c r="G24687" s="13"/>
      <c r="H24687" s="13"/>
      <c r="I24687" s="13"/>
      <c r="J24687" s="13"/>
      <c r="K24687" s="13"/>
    </row>
    <row r="24688" spans="4:11">
      <c r="D24688" s="13"/>
      <c r="E24688" s="13"/>
      <c r="F24688" s="13"/>
      <c r="G24688" s="13"/>
      <c r="H24688" s="13"/>
      <c r="I24688" s="13"/>
      <c r="J24688" s="13"/>
      <c r="K24688" s="13"/>
    </row>
    <row r="24689" spans="4:11">
      <c r="D24689" s="13"/>
      <c r="E24689" s="13"/>
      <c r="F24689" s="13"/>
      <c r="G24689" s="13"/>
      <c r="H24689" s="13"/>
      <c r="I24689" s="13"/>
      <c r="J24689" s="13"/>
      <c r="K24689" s="13"/>
    </row>
    <row r="24690" spans="4:11">
      <c r="D24690" s="13"/>
      <c r="E24690" s="13"/>
      <c r="F24690" s="13"/>
      <c r="G24690" s="13"/>
      <c r="H24690" s="13"/>
      <c r="I24690" s="13"/>
      <c r="J24690" s="13"/>
      <c r="K24690" s="13"/>
    </row>
    <row r="24691" spans="4:11">
      <c r="D24691" s="13"/>
      <c r="E24691" s="13"/>
      <c r="F24691" s="13"/>
      <c r="G24691" s="13"/>
      <c r="H24691" s="13"/>
      <c r="I24691" s="13"/>
      <c r="J24691" s="13"/>
      <c r="K24691" s="13"/>
    </row>
    <row r="24692" spans="4:11">
      <c r="D24692" s="13"/>
      <c r="E24692" s="13"/>
      <c r="F24692" s="13"/>
      <c r="G24692" s="13"/>
      <c r="H24692" s="13"/>
      <c r="I24692" s="13"/>
      <c r="J24692" s="13"/>
      <c r="K24692" s="13"/>
    </row>
    <row r="24693" spans="4:11">
      <c r="D24693" s="13"/>
      <c r="E24693" s="13"/>
      <c r="F24693" s="13"/>
      <c r="G24693" s="13"/>
      <c r="H24693" s="13"/>
      <c r="I24693" s="13"/>
      <c r="J24693" s="13"/>
      <c r="K24693" s="13"/>
    </row>
    <row r="24694" spans="4:11">
      <c r="D24694" s="13"/>
      <c r="E24694" s="13"/>
      <c r="F24694" s="13"/>
      <c r="G24694" s="13"/>
      <c r="H24694" s="13"/>
      <c r="I24694" s="13"/>
      <c r="J24694" s="13"/>
      <c r="K24694" s="13"/>
    </row>
    <row r="24695" spans="4:11">
      <c r="D24695" s="13"/>
      <c r="E24695" s="13"/>
      <c r="F24695" s="13"/>
      <c r="G24695" s="13"/>
      <c r="H24695" s="13"/>
      <c r="I24695" s="13"/>
      <c r="J24695" s="13"/>
      <c r="K24695" s="13"/>
    </row>
    <row r="24696" spans="4:11">
      <c r="D24696" s="13"/>
      <c r="E24696" s="13"/>
      <c r="F24696" s="13"/>
      <c r="G24696" s="13"/>
      <c r="H24696" s="13"/>
      <c r="I24696" s="13"/>
      <c r="J24696" s="13"/>
      <c r="K24696" s="13"/>
    </row>
    <row r="24697" spans="4:11">
      <c r="D24697" s="13"/>
      <c r="E24697" s="13"/>
      <c r="F24697" s="13"/>
      <c r="G24697" s="13"/>
      <c r="H24697" s="13"/>
      <c r="I24697" s="13"/>
      <c r="J24697" s="13"/>
      <c r="K24697" s="13"/>
    </row>
    <row r="24698" spans="4:11">
      <c r="D24698" s="13"/>
      <c r="E24698" s="13"/>
      <c r="F24698" s="13"/>
      <c r="G24698" s="13"/>
      <c r="H24698" s="13"/>
      <c r="I24698" s="13"/>
      <c r="J24698" s="13"/>
      <c r="K24698" s="13"/>
    </row>
    <row r="24699" spans="4:11">
      <c r="D24699" s="13"/>
      <c r="E24699" s="13"/>
      <c r="F24699" s="13"/>
      <c r="G24699" s="13"/>
      <c r="H24699" s="13"/>
      <c r="I24699" s="13"/>
      <c r="J24699" s="13"/>
      <c r="K24699" s="13"/>
    </row>
    <row r="24700" spans="4:11">
      <c r="D24700" s="13"/>
      <c r="E24700" s="13"/>
      <c r="F24700" s="13"/>
      <c r="G24700" s="13"/>
      <c r="H24700" s="13"/>
      <c r="I24700" s="13"/>
      <c r="J24700" s="13"/>
      <c r="K24700" s="13"/>
    </row>
    <row r="24701" spans="4:11">
      <c r="D24701" s="13"/>
      <c r="E24701" s="13"/>
      <c r="F24701" s="13"/>
      <c r="G24701" s="13"/>
      <c r="H24701" s="13"/>
      <c r="I24701" s="13"/>
      <c r="J24701" s="13"/>
      <c r="K24701" s="13"/>
    </row>
    <row r="24702" spans="4:11">
      <c r="D24702" s="13"/>
      <c r="E24702" s="13"/>
      <c r="F24702" s="13"/>
      <c r="G24702" s="13"/>
      <c r="H24702" s="13"/>
      <c r="I24702" s="13"/>
      <c r="J24702" s="13"/>
      <c r="K24702" s="13"/>
    </row>
    <row r="24703" spans="4:11">
      <c r="D24703" s="13"/>
      <c r="E24703" s="13"/>
      <c r="F24703" s="13"/>
      <c r="G24703" s="13"/>
      <c r="H24703" s="13"/>
      <c r="I24703" s="13"/>
      <c r="J24703" s="13"/>
      <c r="K24703" s="13"/>
    </row>
    <row r="24704" spans="4:11">
      <c r="D24704" s="13"/>
      <c r="E24704" s="13"/>
      <c r="F24704" s="13"/>
      <c r="G24704" s="13"/>
      <c r="H24704" s="13"/>
      <c r="I24704" s="13"/>
      <c r="J24704" s="13"/>
      <c r="K24704" s="13"/>
    </row>
    <row r="24705" spans="4:11">
      <c r="D24705" s="13"/>
      <c r="E24705" s="13"/>
      <c r="F24705" s="13"/>
      <c r="G24705" s="13"/>
      <c r="H24705" s="13"/>
      <c r="I24705" s="13"/>
      <c r="J24705" s="13"/>
      <c r="K24705" s="13"/>
    </row>
    <row r="24706" spans="4:11">
      <c r="D24706" s="13"/>
      <c r="E24706" s="13"/>
      <c r="F24706" s="13"/>
      <c r="G24706" s="13"/>
      <c r="H24706" s="13"/>
      <c r="I24706" s="13"/>
      <c r="J24706" s="13"/>
      <c r="K24706" s="13"/>
    </row>
    <row r="24707" spans="4:11">
      <c r="D24707" s="13"/>
      <c r="E24707" s="13"/>
      <c r="F24707" s="13"/>
      <c r="G24707" s="13"/>
      <c r="H24707" s="13"/>
      <c r="I24707" s="13"/>
      <c r="J24707" s="13"/>
      <c r="K24707" s="13"/>
    </row>
    <row r="24708" spans="4:11">
      <c r="D24708" s="13"/>
      <c r="E24708" s="13"/>
      <c r="F24708" s="13"/>
      <c r="G24708" s="13"/>
      <c r="H24708" s="13"/>
      <c r="I24708" s="13"/>
      <c r="J24708" s="13"/>
      <c r="K24708" s="13"/>
    </row>
    <row r="24709" spans="4:11">
      <c r="D24709" s="13"/>
      <c r="E24709" s="13"/>
      <c r="F24709" s="13"/>
      <c r="G24709" s="13"/>
      <c r="H24709" s="13"/>
      <c r="I24709" s="13"/>
      <c r="J24709" s="13"/>
      <c r="K24709" s="13"/>
    </row>
    <row r="24710" spans="4:11">
      <c r="D24710" s="13"/>
      <c r="E24710" s="13"/>
      <c r="F24710" s="13"/>
      <c r="G24710" s="13"/>
      <c r="H24710" s="13"/>
      <c r="I24710" s="13"/>
      <c r="J24710" s="13"/>
      <c r="K24710" s="13"/>
    </row>
    <row r="24711" spans="4:11">
      <c r="D24711" s="13"/>
      <c r="E24711" s="13"/>
      <c r="F24711" s="13"/>
      <c r="G24711" s="13"/>
      <c r="H24711" s="13"/>
      <c r="I24711" s="13"/>
      <c r="J24711" s="13"/>
      <c r="K24711" s="13"/>
    </row>
    <row r="24712" spans="4:11">
      <c r="D24712" s="13"/>
      <c r="E24712" s="13"/>
      <c r="F24712" s="13"/>
      <c r="G24712" s="13"/>
      <c r="H24712" s="13"/>
      <c r="I24712" s="13"/>
      <c r="J24712" s="13"/>
      <c r="K24712" s="13"/>
    </row>
    <row r="24713" spans="4:11">
      <c r="D24713" s="13"/>
      <c r="E24713" s="13"/>
      <c r="F24713" s="13"/>
      <c r="G24713" s="13"/>
      <c r="H24713" s="13"/>
      <c r="I24713" s="13"/>
      <c r="J24713" s="13"/>
      <c r="K24713" s="13"/>
    </row>
    <row r="24714" spans="4:11">
      <c r="D24714" s="13"/>
      <c r="E24714" s="13"/>
      <c r="F24714" s="13"/>
      <c r="G24714" s="13"/>
      <c r="H24714" s="13"/>
      <c r="I24714" s="13"/>
      <c r="J24714" s="13"/>
      <c r="K24714" s="13"/>
    </row>
    <row r="24715" spans="4:11">
      <c r="D24715" s="13"/>
      <c r="E24715" s="13"/>
      <c r="F24715" s="13"/>
      <c r="G24715" s="13"/>
      <c r="H24715" s="13"/>
      <c r="I24715" s="13"/>
      <c r="J24715" s="13"/>
      <c r="K24715" s="13"/>
    </row>
    <row r="24716" spans="4:11">
      <c r="D24716" s="13"/>
      <c r="E24716" s="13"/>
      <c r="F24716" s="13"/>
      <c r="G24716" s="13"/>
      <c r="H24716" s="13"/>
      <c r="I24716" s="13"/>
      <c r="J24716" s="13"/>
      <c r="K24716" s="13"/>
    </row>
    <row r="24717" spans="4:11">
      <c r="D24717" s="13"/>
      <c r="E24717" s="13"/>
      <c r="F24717" s="13"/>
      <c r="G24717" s="13"/>
      <c r="H24717" s="13"/>
      <c r="I24717" s="13"/>
      <c r="J24717" s="13"/>
      <c r="K24717" s="13"/>
    </row>
    <row r="24718" spans="4:11">
      <c r="D24718" s="13"/>
      <c r="E24718" s="13"/>
      <c r="F24718" s="13"/>
      <c r="G24718" s="13"/>
      <c r="H24718" s="13"/>
      <c r="I24718" s="13"/>
      <c r="J24718" s="13"/>
      <c r="K24718" s="13"/>
    </row>
    <row r="24719" spans="4:11">
      <c r="D24719" s="13"/>
      <c r="E24719" s="13"/>
      <c r="F24719" s="13"/>
      <c r="G24719" s="13"/>
      <c r="H24719" s="13"/>
      <c r="I24719" s="13"/>
      <c r="J24719" s="13"/>
      <c r="K24719" s="13"/>
    </row>
    <row r="24720" spans="4:11">
      <c r="D24720" s="13"/>
      <c r="E24720" s="13"/>
      <c r="F24720" s="13"/>
      <c r="G24720" s="13"/>
      <c r="H24720" s="13"/>
      <c r="I24720" s="13"/>
      <c r="J24720" s="13"/>
      <c r="K24720" s="13"/>
    </row>
    <row r="24721" spans="4:11">
      <c r="D24721" s="13"/>
      <c r="E24721" s="13"/>
      <c r="F24721" s="13"/>
      <c r="G24721" s="13"/>
      <c r="H24721" s="13"/>
      <c r="I24721" s="13"/>
      <c r="J24721" s="13"/>
      <c r="K24721" s="13"/>
    </row>
    <row r="24722" spans="4:11">
      <c r="D24722" s="13"/>
      <c r="E24722" s="13"/>
      <c r="F24722" s="13"/>
      <c r="G24722" s="13"/>
      <c r="H24722" s="13"/>
      <c r="I24722" s="13"/>
      <c r="J24722" s="13"/>
      <c r="K24722" s="13"/>
    </row>
    <row r="24723" spans="4:11">
      <c r="D24723" s="13"/>
      <c r="E24723" s="13"/>
      <c r="F24723" s="13"/>
      <c r="G24723" s="13"/>
      <c r="H24723" s="13"/>
      <c r="I24723" s="13"/>
      <c r="J24723" s="13"/>
      <c r="K24723" s="13"/>
    </row>
    <row r="24724" spans="4:11">
      <c r="D24724" s="13"/>
      <c r="E24724" s="13"/>
      <c r="F24724" s="13"/>
      <c r="G24724" s="13"/>
      <c r="H24724" s="13"/>
      <c r="I24724" s="13"/>
      <c r="J24724" s="13"/>
      <c r="K24724" s="13"/>
    </row>
    <row r="24725" spans="4:11">
      <c r="D24725" s="13"/>
      <c r="E24725" s="13"/>
      <c r="F24725" s="13"/>
      <c r="G24725" s="13"/>
      <c r="H24725" s="13"/>
      <c r="I24725" s="13"/>
      <c r="J24725" s="13"/>
      <c r="K24725" s="13"/>
    </row>
    <row r="24726" spans="4:11">
      <c r="D24726" s="13"/>
      <c r="E24726" s="13"/>
      <c r="F24726" s="13"/>
      <c r="G24726" s="13"/>
      <c r="H24726" s="13"/>
      <c r="I24726" s="13"/>
      <c r="J24726" s="13"/>
      <c r="K24726" s="13"/>
    </row>
    <row r="24727" spans="4:11">
      <c r="D24727" s="13"/>
      <c r="E24727" s="13"/>
      <c r="F24727" s="13"/>
      <c r="G24727" s="13"/>
      <c r="H24727" s="13"/>
      <c r="I24727" s="13"/>
      <c r="J24727" s="13"/>
      <c r="K24727" s="13"/>
    </row>
    <row r="24728" spans="4:11">
      <c r="D24728" s="13"/>
      <c r="E24728" s="13"/>
      <c r="F24728" s="13"/>
      <c r="G24728" s="13"/>
      <c r="H24728" s="13"/>
      <c r="I24728" s="13"/>
      <c r="J24728" s="13"/>
      <c r="K24728" s="13"/>
    </row>
    <row r="24729" spans="4:11">
      <c r="D24729" s="13"/>
      <c r="E24729" s="13"/>
      <c r="F24729" s="13"/>
      <c r="G24729" s="13"/>
      <c r="H24729" s="13"/>
      <c r="I24729" s="13"/>
      <c r="J24729" s="13"/>
      <c r="K24729" s="13"/>
    </row>
    <row r="24730" spans="4:11">
      <c r="D24730" s="13"/>
      <c r="E24730" s="13"/>
      <c r="F24730" s="13"/>
      <c r="G24730" s="13"/>
      <c r="H24730" s="13"/>
      <c r="I24730" s="13"/>
      <c r="J24730" s="13"/>
      <c r="K24730" s="13"/>
    </row>
    <row r="24731" spans="4:11">
      <c r="D24731" s="13"/>
      <c r="E24731" s="13"/>
      <c r="F24731" s="13"/>
      <c r="G24731" s="13"/>
      <c r="H24731" s="13"/>
      <c r="I24731" s="13"/>
      <c r="J24731" s="13"/>
      <c r="K24731" s="13"/>
    </row>
    <row r="24732" spans="4:11">
      <c r="D24732" s="13"/>
      <c r="E24732" s="13"/>
      <c r="F24732" s="13"/>
      <c r="G24732" s="13"/>
      <c r="H24732" s="13"/>
      <c r="I24732" s="13"/>
      <c r="J24732" s="13"/>
      <c r="K24732" s="13"/>
    </row>
    <row r="24733" spans="4:11">
      <c r="D24733" s="13"/>
      <c r="E24733" s="13"/>
      <c r="F24733" s="13"/>
      <c r="G24733" s="13"/>
      <c r="H24733" s="13"/>
      <c r="I24733" s="13"/>
      <c r="J24733" s="13"/>
      <c r="K24733" s="13"/>
    </row>
    <row r="24734" spans="4:11">
      <c r="D24734" s="13"/>
      <c r="E24734" s="13"/>
      <c r="F24734" s="13"/>
      <c r="G24734" s="13"/>
      <c r="H24734" s="13"/>
      <c r="I24734" s="13"/>
      <c r="J24734" s="13"/>
      <c r="K24734" s="13"/>
    </row>
    <row r="24735" spans="4:11">
      <c r="D24735" s="13"/>
      <c r="E24735" s="13"/>
      <c r="F24735" s="13"/>
      <c r="G24735" s="13"/>
      <c r="H24735" s="13"/>
      <c r="I24735" s="13"/>
      <c r="J24735" s="13"/>
      <c r="K24735" s="13"/>
    </row>
    <row r="24736" spans="4:11">
      <c r="D24736" s="13"/>
      <c r="E24736" s="13"/>
      <c r="F24736" s="13"/>
      <c r="G24736" s="13"/>
      <c r="H24736" s="13"/>
      <c r="I24736" s="13"/>
      <c r="J24736" s="13"/>
      <c r="K24736" s="13"/>
    </row>
    <row r="24737" spans="4:11">
      <c r="D24737" s="13"/>
      <c r="E24737" s="13"/>
      <c r="F24737" s="13"/>
      <c r="G24737" s="13"/>
      <c r="H24737" s="13"/>
      <c r="I24737" s="13"/>
      <c r="J24737" s="13"/>
      <c r="K24737" s="13"/>
    </row>
    <row r="24738" spans="4:11">
      <c r="D24738" s="13"/>
      <c r="E24738" s="13"/>
      <c r="F24738" s="13"/>
      <c r="G24738" s="13"/>
      <c r="H24738" s="13"/>
      <c r="I24738" s="13"/>
      <c r="J24738" s="13"/>
      <c r="K24738" s="13"/>
    </row>
    <row r="24739" spans="4:11">
      <c r="D24739" s="13"/>
      <c r="E24739" s="13"/>
      <c r="F24739" s="13"/>
      <c r="G24739" s="13"/>
      <c r="H24739" s="13"/>
      <c r="I24739" s="13"/>
      <c r="J24739" s="13"/>
      <c r="K24739" s="13"/>
    </row>
    <row r="24740" spans="4:11">
      <c r="D24740" s="13"/>
      <c r="E24740" s="13"/>
      <c r="F24740" s="13"/>
      <c r="G24740" s="13"/>
      <c r="H24740" s="13"/>
      <c r="I24740" s="13"/>
      <c r="J24740" s="13"/>
      <c r="K24740" s="13"/>
    </row>
    <row r="24741" spans="4:11">
      <c r="D24741" s="13"/>
      <c r="E24741" s="13"/>
      <c r="F24741" s="13"/>
      <c r="G24741" s="13"/>
      <c r="H24741" s="13"/>
      <c r="I24741" s="13"/>
      <c r="J24741" s="13"/>
      <c r="K24741" s="13"/>
    </row>
    <row r="24742" spans="4:11">
      <c r="D24742" s="13"/>
      <c r="E24742" s="13"/>
      <c r="F24742" s="13"/>
      <c r="G24742" s="13"/>
      <c r="H24742" s="13"/>
      <c r="I24742" s="13"/>
      <c r="J24742" s="13"/>
      <c r="K24742" s="13"/>
    </row>
    <row r="24743" spans="4:11">
      <c r="D24743" s="13"/>
      <c r="E24743" s="13"/>
      <c r="F24743" s="13"/>
      <c r="G24743" s="13"/>
      <c r="H24743" s="13"/>
      <c r="I24743" s="13"/>
      <c r="J24743" s="13"/>
      <c r="K24743" s="13"/>
    </row>
    <row r="24744" spans="4:11">
      <c r="D24744" s="13"/>
      <c r="E24744" s="13"/>
      <c r="F24744" s="13"/>
      <c r="G24744" s="13"/>
      <c r="H24744" s="13"/>
      <c r="I24744" s="13"/>
      <c r="J24744" s="13"/>
      <c r="K24744" s="13"/>
    </row>
    <row r="24745" spans="4:11">
      <c r="D24745" s="13"/>
      <c r="E24745" s="13"/>
      <c r="F24745" s="13"/>
      <c r="G24745" s="13"/>
      <c r="H24745" s="13"/>
      <c r="I24745" s="13"/>
      <c r="J24745" s="13"/>
      <c r="K24745" s="13"/>
    </row>
    <row r="24746" spans="4:11">
      <c r="D24746" s="13"/>
      <c r="E24746" s="13"/>
      <c r="F24746" s="13"/>
      <c r="G24746" s="13"/>
      <c r="H24746" s="13"/>
      <c r="I24746" s="13"/>
      <c r="J24746" s="13"/>
      <c r="K24746" s="13"/>
    </row>
    <row r="24747" spans="4:11">
      <c r="D24747" s="13"/>
      <c r="E24747" s="13"/>
      <c r="F24747" s="13"/>
      <c r="G24747" s="13"/>
      <c r="H24747" s="13"/>
      <c r="I24747" s="13"/>
      <c r="J24747" s="13"/>
      <c r="K24747" s="13"/>
    </row>
    <row r="24748" spans="4:11">
      <c r="D24748" s="13"/>
      <c r="E24748" s="13"/>
      <c r="F24748" s="13"/>
      <c r="G24748" s="13"/>
      <c r="H24748" s="13"/>
      <c r="I24748" s="13"/>
      <c r="J24748" s="13"/>
      <c r="K24748" s="13"/>
    </row>
    <row r="24749" spans="4:11">
      <c r="D24749" s="13"/>
      <c r="E24749" s="13"/>
      <c r="F24749" s="13"/>
      <c r="G24749" s="13"/>
      <c r="H24749" s="13"/>
      <c r="I24749" s="13"/>
      <c r="J24749" s="13"/>
      <c r="K24749" s="13"/>
    </row>
    <row r="24750" spans="4:11">
      <c r="D24750" s="13"/>
      <c r="E24750" s="13"/>
      <c r="F24750" s="13"/>
      <c r="G24750" s="13"/>
      <c r="H24750" s="13"/>
      <c r="I24750" s="13"/>
      <c r="J24750" s="13"/>
      <c r="K24750" s="13"/>
    </row>
    <row r="24751" spans="4:11">
      <c r="D24751" s="13"/>
      <c r="E24751" s="13"/>
      <c r="F24751" s="13"/>
      <c r="G24751" s="13"/>
      <c r="H24751" s="13"/>
      <c r="I24751" s="13"/>
      <c r="J24751" s="13"/>
      <c r="K24751" s="13"/>
    </row>
    <row r="24752" spans="4:11">
      <c r="D24752" s="13"/>
      <c r="E24752" s="13"/>
      <c r="F24752" s="13"/>
      <c r="G24752" s="13"/>
      <c r="H24752" s="13"/>
      <c r="I24752" s="13"/>
      <c r="J24752" s="13"/>
      <c r="K24752" s="13"/>
    </row>
    <row r="24753" spans="4:11">
      <c r="D24753" s="13"/>
      <c r="E24753" s="13"/>
      <c r="F24753" s="13"/>
      <c r="G24753" s="13"/>
      <c r="H24753" s="13"/>
      <c r="I24753" s="13"/>
      <c r="J24753" s="13"/>
      <c r="K24753" s="13"/>
    </row>
    <row r="24754" spans="4:11">
      <c r="D24754" s="13"/>
      <c r="E24754" s="13"/>
      <c r="F24754" s="13"/>
      <c r="G24754" s="13"/>
      <c r="H24754" s="13"/>
      <c r="I24754" s="13"/>
      <c r="J24754" s="13"/>
      <c r="K24754" s="13"/>
    </row>
    <row r="24755" spans="4:11">
      <c r="D24755" s="13"/>
      <c r="E24755" s="13"/>
      <c r="F24755" s="13"/>
      <c r="G24755" s="13"/>
      <c r="H24755" s="13"/>
      <c r="I24755" s="13"/>
      <c r="J24755" s="13"/>
      <c r="K24755" s="13"/>
    </row>
    <row r="24756" spans="4:11">
      <c r="D24756" s="13"/>
      <c r="E24756" s="13"/>
      <c r="F24756" s="13"/>
      <c r="G24756" s="13"/>
      <c r="H24756" s="13"/>
      <c r="I24756" s="13"/>
      <c r="J24756" s="13"/>
      <c r="K24756" s="13"/>
    </row>
    <row r="24757" spans="4:11">
      <c r="D24757" s="13"/>
      <c r="E24757" s="13"/>
      <c r="F24757" s="13"/>
      <c r="G24757" s="13"/>
      <c r="H24757" s="13"/>
      <c r="I24757" s="13"/>
      <c r="J24757" s="13"/>
      <c r="K24757" s="13"/>
    </row>
    <row r="24758" spans="4:11">
      <c r="D24758" s="13"/>
      <c r="E24758" s="13"/>
      <c r="F24758" s="13"/>
      <c r="G24758" s="13"/>
      <c r="H24758" s="13"/>
      <c r="I24758" s="13"/>
      <c r="J24758" s="13"/>
      <c r="K24758" s="13"/>
    </row>
    <row r="24759" spans="4:11">
      <c r="D24759" s="13"/>
      <c r="E24759" s="13"/>
      <c r="F24759" s="13"/>
      <c r="G24759" s="13"/>
      <c r="H24759" s="13"/>
      <c r="I24759" s="13"/>
      <c r="J24759" s="13"/>
      <c r="K24759" s="13"/>
    </row>
    <row r="24760" spans="4:11">
      <c r="D24760" s="13"/>
      <c r="E24760" s="13"/>
      <c r="F24760" s="13"/>
      <c r="G24760" s="13"/>
      <c r="H24760" s="13"/>
      <c r="I24760" s="13"/>
      <c r="J24760" s="13"/>
      <c r="K24760" s="13"/>
    </row>
    <row r="24761" spans="4:11">
      <c r="D24761" s="13"/>
      <c r="E24761" s="13"/>
      <c r="F24761" s="13"/>
      <c r="G24761" s="13"/>
      <c r="H24761" s="13"/>
      <c r="I24761" s="13"/>
      <c r="J24761" s="13"/>
      <c r="K24761" s="13"/>
    </row>
    <row r="24762" spans="4:11">
      <c r="D24762" s="13"/>
      <c r="E24762" s="13"/>
      <c r="F24762" s="13"/>
      <c r="G24762" s="13"/>
      <c r="H24762" s="13"/>
      <c r="I24762" s="13"/>
      <c r="J24762" s="13"/>
      <c r="K24762" s="13"/>
    </row>
    <row r="24763" spans="4:11">
      <c r="D24763" s="13"/>
      <c r="E24763" s="13"/>
      <c r="F24763" s="13"/>
      <c r="G24763" s="13"/>
      <c r="H24763" s="13"/>
      <c r="I24763" s="13"/>
      <c r="J24763" s="13"/>
      <c r="K24763" s="13"/>
    </row>
    <row r="24764" spans="4:11">
      <c r="D24764" s="13"/>
      <c r="E24764" s="13"/>
      <c r="F24764" s="13"/>
      <c r="G24764" s="13"/>
      <c r="H24764" s="13"/>
      <c r="I24764" s="13"/>
      <c r="J24764" s="13"/>
      <c r="K24764" s="13"/>
    </row>
    <row r="24765" spans="4:11">
      <c r="D24765" s="13"/>
      <c r="E24765" s="13"/>
      <c r="F24765" s="13"/>
      <c r="G24765" s="13"/>
      <c r="H24765" s="13"/>
      <c r="I24765" s="13"/>
      <c r="J24765" s="13"/>
      <c r="K24765" s="13"/>
    </row>
    <row r="24766" spans="4:11">
      <c r="D24766" s="13"/>
      <c r="E24766" s="13"/>
      <c r="F24766" s="13"/>
      <c r="G24766" s="13"/>
      <c r="H24766" s="13"/>
      <c r="I24766" s="13"/>
      <c r="J24766" s="13"/>
      <c r="K24766" s="13"/>
    </row>
    <row r="24767" spans="4:11">
      <c r="D24767" s="13"/>
      <c r="E24767" s="13"/>
      <c r="F24767" s="13"/>
      <c r="G24767" s="13"/>
      <c r="H24767" s="13"/>
      <c r="I24767" s="13"/>
      <c r="J24767" s="13"/>
      <c r="K24767" s="13"/>
    </row>
    <row r="24768" spans="4:11">
      <c r="D24768" s="13"/>
      <c r="E24768" s="13"/>
      <c r="F24768" s="13"/>
      <c r="G24768" s="13"/>
      <c r="H24768" s="13"/>
      <c r="I24768" s="13"/>
      <c r="J24768" s="13"/>
      <c r="K24768" s="13"/>
    </row>
    <row r="24769" spans="4:11">
      <c r="D24769" s="13"/>
      <c r="E24769" s="13"/>
      <c r="F24769" s="13"/>
      <c r="G24769" s="13"/>
      <c r="H24769" s="13"/>
      <c r="I24769" s="13"/>
      <c r="J24769" s="13"/>
      <c r="K24769" s="13"/>
    </row>
    <row r="24770" spans="4:11">
      <c r="D24770" s="13"/>
      <c r="E24770" s="13"/>
      <c r="F24770" s="13"/>
      <c r="G24770" s="13"/>
      <c r="H24770" s="13"/>
      <c r="I24770" s="13"/>
      <c r="J24770" s="13"/>
      <c r="K24770" s="13"/>
    </row>
    <row r="24771" spans="4:11">
      <c r="D24771" s="13"/>
      <c r="E24771" s="13"/>
      <c r="F24771" s="13"/>
      <c r="G24771" s="13"/>
      <c r="H24771" s="13"/>
      <c r="I24771" s="13"/>
      <c r="J24771" s="13"/>
      <c r="K24771" s="13"/>
    </row>
    <row r="24772" spans="4:11">
      <c r="D24772" s="13"/>
      <c r="E24772" s="13"/>
      <c r="F24772" s="13"/>
      <c r="G24772" s="13"/>
      <c r="H24772" s="13"/>
      <c r="I24772" s="13"/>
      <c r="J24772" s="13"/>
      <c r="K24772" s="13"/>
    </row>
    <row r="24773" spans="4:11">
      <c r="D24773" s="13"/>
      <c r="E24773" s="13"/>
      <c r="F24773" s="13"/>
      <c r="G24773" s="13"/>
      <c r="H24773" s="13"/>
      <c r="I24773" s="13"/>
      <c r="J24773" s="13"/>
      <c r="K24773" s="13"/>
    </row>
    <row r="24774" spans="4:11">
      <c r="D24774" s="13"/>
      <c r="E24774" s="13"/>
      <c r="F24774" s="13"/>
      <c r="G24774" s="13"/>
      <c r="H24774" s="13"/>
      <c r="I24774" s="13"/>
      <c r="J24774" s="13"/>
      <c r="K24774" s="13"/>
    </row>
    <row r="24775" spans="4:11">
      <c r="D24775" s="13"/>
      <c r="E24775" s="13"/>
      <c r="F24775" s="13"/>
      <c r="G24775" s="13"/>
      <c r="H24775" s="13"/>
      <c r="I24775" s="13"/>
      <c r="J24775" s="13"/>
      <c r="K24775" s="13"/>
    </row>
    <row r="24776" spans="4:11">
      <c r="D24776" s="13"/>
      <c r="E24776" s="13"/>
      <c r="F24776" s="13"/>
      <c r="G24776" s="13"/>
      <c r="H24776" s="13"/>
      <c r="I24776" s="13"/>
      <c r="J24776" s="13"/>
      <c r="K24776" s="13"/>
    </row>
    <row r="24777" spans="4:11">
      <c r="D24777" s="13"/>
      <c r="E24777" s="13"/>
      <c r="F24777" s="13"/>
      <c r="G24777" s="13"/>
      <c r="H24777" s="13"/>
      <c r="I24777" s="13"/>
      <c r="J24777" s="13"/>
      <c r="K24777" s="13"/>
    </row>
    <row r="24778" spans="4:11">
      <c r="D24778" s="13"/>
      <c r="E24778" s="13"/>
      <c r="F24778" s="13"/>
      <c r="G24778" s="13"/>
      <c r="H24778" s="13"/>
      <c r="I24778" s="13"/>
      <c r="J24778" s="13"/>
      <c r="K24778" s="13"/>
    </row>
    <row r="24779" spans="4:11">
      <c r="D24779" s="13"/>
      <c r="E24779" s="13"/>
      <c r="F24779" s="13"/>
      <c r="G24779" s="13"/>
      <c r="H24779" s="13"/>
      <c r="I24779" s="13"/>
      <c r="J24779" s="13"/>
      <c r="K24779" s="13"/>
    </row>
    <row r="24780" spans="4:11">
      <c r="D24780" s="13"/>
      <c r="E24780" s="13"/>
      <c r="F24780" s="13"/>
      <c r="G24780" s="13"/>
      <c r="H24780" s="13"/>
      <c r="I24780" s="13"/>
      <c r="J24780" s="13"/>
      <c r="K24780" s="13"/>
    </row>
    <row r="24781" spans="4:11">
      <c r="D24781" s="13"/>
      <c r="E24781" s="13"/>
      <c r="F24781" s="13"/>
      <c r="G24781" s="13"/>
      <c r="H24781" s="13"/>
      <c r="I24781" s="13"/>
      <c r="J24781" s="13"/>
      <c r="K24781" s="13"/>
    </row>
    <row r="24782" spans="4:11">
      <c r="D24782" s="13"/>
      <c r="E24782" s="13"/>
      <c r="F24782" s="13"/>
      <c r="G24782" s="13"/>
      <c r="H24782" s="13"/>
      <c r="I24782" s="13"/>
      <c r="J24782" s="13"/>
      <c r="K24782" s="13"/>
    </row>
    <row r="24783" spans="4:11">
      <c r="D24783" s="13"/>
      <c r="E24783" s="13"/>
      <c r="F24783" s="13"/>
      <c r="G24783" s="13"/>
      <c r="H24783" s="13"/>
      <c r="I24783" s="13"/>
      <c r="J24783" s="13"/>
      <c r="K24783" s="13"/>
    </row>
    <row r="24784" spans="4:11">
      <c r="D24784" s="13"/>
      <c r="E24784" s="13"/>
      <c r="F24784" s="13"/>
      <c r="G24784" s="13"/>
      <c r="H24784" s="13"/>
      <c r="I24784" s="13"/>
      <c r="J24784" s="13"/>
      <c r="K24784" s="13"/>
    </row>
    <row r="24785" spans="4:11">
      <c r="D24785" s="13"/>
      <c r="E24785" s="13"/>
      <c r="F24785" s="13"/>
      <c r="G24785" s="13"/>
      <c r="H24785" s="13"/>
      <c r="I24785" s="13"/>
      <c r="J24785" s="13"/>
      <c r="K24785" s="13"/>
    </row>
    <row r="24786" spans="4:11">
      <c r="D24786" s="13"/>
      <c r="E24786" s="13"/>
      <c r="F24786" s="13"/>
      <c r="G24786" s="13"/>
      <c r="H24786" s="13"/>
      <c r="I24786" s="13"/>
      <c r="J24786" s="13"/>
      <c r="K24786" s="13"/>
    </row>
    <row r="24787" spans="4:11">
      <c r="D24787" s="13"/>
      <c r="E24787" s="13"/>
      <c r="F24787" s="13"/>
      <c r="G24787" s="13"/>
      <c r="H24787" s="13"/>
      <c r="I24787" s="13"/>
      <c r="J24787" s="13"/>
      <c r="K24787" s="13"/>
    </row>
    <row r="24788" spans="4:11">
      <c r="D24788" s="13"/>
      <c r="E24788" s="13"/>
      <c r="F24788" s="13"/>
      <c r="G24788" s="13"/>
      <c r="H24788" s="13"/>
      <c r="I24788" s="13"/>
      <c r="J24788" s="13"/>
      <c r="K24788" s="13"/>
    </row>
    <row r="24789" spans="4:11">
      <c r="D24789" s="13"/>
      <c r="E24789" s="13"/>
      <c r="F24789" s="13"/>
      <c r="G24789" s="13"/>
      <c r="H24789" s="13"/>
      <c r="I24789" s="13"/>
      <c r="J24789" s="13"/>
      <c r="K24789" s="13"/>
    </row>
    <row r="24790" spans="4:11">
      <c r="D24790" s="13"/>
      <c r="E24790" s="13"/>
      <c r="F24790" s="13"/>
      <c r="G24790" s="13"/>
      <c r="H24790" s="13"/>
      <c r="I24790" s="13"/>
      <c r="J24790" s="13"/>
      <c r="K24790" s="13"/>
    </row>
    <row r="24791" spans="4:11">
      <c r="D24791" s="13"/>
      <c r="E24791" s="13"/>
      <c r="F24791" s="13"/>
      <c r="G24791" s="13"/>
      <c r="H24791" s="13"/>
      <c r="I24791" s="13"/>
      <c r="J24791" s="13"/>
      <c r="K24791" s="13"/>
    </row>
    <row r="24792" spans="4:11">
      <c r="D24792" s="13"/>
      <c r="E24792" s="13"/>
      <c r="F24792" s="13"/>
      <c r="G24792" s="13"/>
      <c r="H24792" s="13"/>
      <c r="I24792" s="13"/>
      <c r="J24792" s="13"/>
      <c r="K24792" s="13"/>
    </row>
    <row r="24793" spans="4:11">
      <c r="D24793" s="13"/>
      <c r="E24793" s="13"/>
      <c r="F24793" s="13"/>
      <c r="G24793" s="13"/>
      <c r="H24793" s="13"/>
      <c r="I24793" s="13"/>
      <c r="J24793" s="13"/>
      <c r="K24793" s="13"/>
    </row>
    <row r="24794" spans="4:11">
      <c r="D24794" s="13"/>
      <c r="E24794" s="13"/>
      <c r="F24794" s="13"/>
      <c r="G24794" s="13"/>
      <c r="H24794" s="13"/>
      <c r="I24794" s="13"/>
      <c r="J24794" s="13"/>
      <c r="K24794" s="13"/>
    </row>
    <row r="24795" spans="4:11">
      <c r="D24795" s="13"/>
      <c r="E24795" s="13"/>
      <c r="F24795" s="13"/>
      <c r="G24795" s="13"/>
      <c r="H24795" s="13"/>
      <c r="I24795" s="13"/>
      <c r="J24795" s="13"/>
      <c r="K24795" s="13"/>
    </row>
    <row r="24796" spans="4:11">
      <c r="D24796" s="13"/>
      <c r="E24796" s="13"/>
      <c r="F24796" s="13"/>
      <c r="G24796" s="13"/>
      <c r="H24796" s="13"/>
      <c r="I24796" s="13"/>
      <c r="J24796" s="13"/>
      <c r="K24796" s="13"/>
    </row>
    <row r="24797" spans="4:11">
      <c r="D24797" s="13"/>
      <c r="E24797" s="13"/>
      <c r="F24797" s="13"/>
      <c r="G24797" s="13"/>
      <c r="H24797" s="13"/>
      <c r="I24797" s="13"/>
      <c r="J24797" s="13"/>
      <c r="K24797" s="13"/>
    </row>
    <row r="24798" spans="4:11">
      <c r="D24798" s="13"/>
      <c r="E24798" s="13"/>
      <c r="F24798" s="13"/>
      <c r="G24798" s="13"/>
      <c r="H24798" s="13"/>
      <c r="I24798" s="13"/>
      <c r="J24798" s="13"/>
      <c r="K24798" s="13"/>
    </row>
    <row r="24799" spans="4:11">
      <c r="D24799" s="13"/>
      <c r="E24799" s="13"/>
      <c r="F24799" s="13"/>
      <c r="G24799" s="13"/>
      <c r="H24799" s="13"/>
      <c r="I24799" s="13"/>
      <c r="J24799" s="13"/>
      <c r="K24799" s="13"/>
    </row>
    <row r="24800" spans="4:11">
      <c r="D24800" s="13"/>
      <c r="E24800" s="13"/>
      <c r="F24800" s="13"/>
      <c r="G24800" s="13"/>
      <c r="H24800" s="13"/>
      <c r="I24800" s="13"/>
      <c r="J24800" s="13"/>
      <c r="K24800" s="13"/>
    </row>
    <row r="24801" spans="4:11">
      <c r="D24801" s="13"/>
      <c r="E24801" s="13"/>
      <c r="F24801" s="13"/>
      <c r="G24801" s="13"/>
      <c r="H24801" s="13"/>
      <c r="I24801" s="13"/>
      <c r="J24801" s="13"/>
      <c r="K24801" s="13"/>
    </row>
    <row r="24802" spans="4:11">
      <c r="D24802" s="13"/>
      <c r="E24802" s="13"/>
      <c r="F24802" s="13"/>
      <c r="G24802" s="13"/>
      <c r="H24802" s="13"/>
      <c r="I24802" s="13"/>
      <c r="J24802" s="13"/>
      <c r="K24802" s="13"/>
    </row>
    <row r="24803" spans="4:11">
      <c r="D24803" s="13"/>
      <c r="E24803" s="13"/>
      <c r="F24803" s="13"/>
      <c r="G24803" s="13"/>
      <c r="H24803" s="13"/>
      <c r="I24803" s="13"/>
      <c r="J24803" s="13"/>
      <c r="K24803" s="13"/>
    </row>
    <row r="24804" spans="4:11">
      <c r="D24804" s="13"/>
      <c r="E24804" s="13"/>
      <c r="F24804" s="13"/>
      <c r="G24804" s="13"/>
      <c r="H24804" s="13"/>
      <c r="I24804" s="13"/>
      <c r="J24804" s="13"/>
      <c r="K24804" s="13"/>
    </row>
    <row r="24805" spans="4:11">
      <c r="D24805" s="13"/>
      <c r="E24805" s="13"/>
      <c r="F24805" s="13"/>
      <c r="G24805" s="13"/>
      <c r="H24805" s="13"/>
      <c r="I24805" s="13"/>
      <c r="J24805" s="13"/>
      <c r="K24805" s="13"/>
    </row>
    <row r="24806" spans="4:11">
      <c r="D24806" s="13"/>
      <c r="E24806" s="13"/>
      <c r="F24806" s="13"/>
      <c r="G24806" s="13"/>
      <c r="H24806" s="13"/>
      <c r="I24806" s="13"/>
      <c r="J24806" s="13"/>
      <c r="K24806" s="13"/>
    </row>
    <row r="24807" spans="4:11">
      <c r="D24807" s="13"/>
      <c r="E24807" s="13"/>
      <c r="F24807" s="13"/>
      <c r="G24807" s="13"/>
      <c r="H24807" s="13"/>
      <c r="I24807" s="13"/>
      <c r="J24807" s="13"/>
      <c r="K24807" s="13"/>
    </row>
    <row r="24808" spans="4:11">
      <c r="D24808" s="13"/>
      <c r="E24808" s="13"/>
      <c r="F24808" s="13"/>
      <c r="G24808" s="13"/>
      <c r="H24808" s="13"/>
      <c r="I24808" s="13"/>
      <c r="J24808" s="13"/>
      <c r="K24808" s="13"/>
    </row>
    <row r="24809" spans="4:11">
      <c r="D24809" s="13"/>
      <c r="E24809" s="13"/>
      <c r="F24809" s="13"/>
      <c r="G24809" s="13"/>
      <c r="H24809" s="13"/>
      <c r="I24809" s="13"/>
      <c r="J24809" s="13"/>
      <c r="K24809" s="13"/>
    </row>
    <row r="24810" spans="4:11">
      <c r="D24810" s="13"/>
      <c r="E24810" s="13"/>
      <c r="F24810" s="13"/>
      <c r="G24810" s="13"/>
      <c r="H24810" s="13"/>
      <c r="I24810" s="13"/>
      <c r="J24810" s="13"/>
      <c r="K24810" s="13"/>
    </row>
    <row r="24811" spans="4:11">
      <c r="D24811" s="13"/>
      <c r="E24811" s="13"/>
      <c r="F24811" s="13"/>
      <c r="G24811" s="13"/>
      <c r="H24811" s="13"/>
      <c r="I24811" s="13"/>
      <c r="J24811" s="13"/>
      <c r="K24811" s="13"/>
    </row>
    <row r="24812" spans="4:11">
      <c r="D24812" s="13"/>
      <c r="E24812" s="13"/>
      <c r="F24812" s="13"/>
      <c r="G24812" s="13"/>
      <c r="H24812" s="13"/>
      <c r="I24812" s="13"/>
      <c r="J24812" s="13"/>
      <c r="K24812" s="13"/>
    </row>
    <row r="24813" spans="4:11">
      <c r="D24813" s="13"/>
      <c r="E24813" s="13"/>
      <c r="F24813" s="13"/>
      <c r="G24813" s="13"/>
      <c r="H24813" s="13"/>
      <c r="I24813" s="13"/>
      <c r="J24813" s="13"/>
      <c r="K24813" s="13"/>
    </row>
    <row r="24814" spans="4:11">
      <c r="D24814" s="13"/>
      <c r="E24814" s="13"/>
      <c r="F24814" s="13"/>
      <c r="G24814" s="13"/>
      <c r="H24814" s="13"/>
      <c r="I24814" s="13"/>
      <c r="J24814" s="13"/>
      <c r="K24814" s="13"/>
    </row>
    <row r="24815" spans="4:11">
      <c r="D24815" s="13"/>
      <c r="E24815" s="13"/>
      <c r="F24815" s="13"/>
      <c r="G24815" s="13"/>
      <c r="H24815" s="13"/>
      <c r="I24815" s="13"/>
      <c r="J24815" s="13"/>
      <c r="K24815" s="13"/>
    </row>
    <row r="24816" spans="4:11">
      <c r="D24816" s="13"/>
      <c r="E24816" s="13"/>
      <c r="F24816" s="13"/>
      <c r="G24816" s="13"/>
      <c r="H24816" s="13"/>
      <c r="I24816" s="13"/>
      <c r="J24816" s="13"/>
      <c r="K24816" s="13"/>
    </row>
    <row r="24817" spans="4:11">
      <c r="D24817" s="13"/>
      <c r="E24817" s="13"/>
      <c r="F24817" s="13"/>
      <c r="G24817" s="13"/>
      <c r="H24817" s="13"/>
      <c r="I24817" s="13"/>
      <c r="J24817" s="13"/>
      <c r="K24817" s="13"/>
    </row>
    <row r="24818" spans="4:11">
      <c r="D24818" s="13"/>
      <c r="E24818" s="13"/>
      <c r="F24818" s="13"/>
      <c r="G24818" s="13"/>
      <c r="H24818" s="13"/>
      <c r="I24818" s="13"/>
      <c r="J24818" s="13"/>
      <c r="K24818" s="13"/>
    </row>
    <row r="24819" spans="4:11">
      <c r="D24819" s="13"/>
      <c r="E24819" s="13"/>
      <c r="F24819" s="13"/>
      <c r="G24819" s="13"/>
      <c r="H24819" s="13"/>
      <c r="I24819" s="13"/>
      <c r="J24819" s="13"/>
      <c r="K24819" s="13"/>
    </row>
    <row r="24820" spans="4:11">
      <c r="D24820" s="13"/>
      <c r="E24820" s="13"/>
      <c r="F24820" s="13"/>
      <c r="G24820" s="13"/>
      <c r="H24820" s="13"/>
      <c r="I24820" s="13"/>
      <c r="J24820" s="13"/>
      <c r="K24820" s="13"/>
    </row>
    <row r="24821" spans="4:11">
      <c r="D24821" s="13"/>
      <c r="E24821" s="13"/>
      <c r="F24821" s="13"/>
      <c r="G24821" s="13"/>
      <c r="H24821" s="13"/>
      <c r="I24821" s="13"/>
      <c r="J24821" s="13"/>
      <c r="K24821" s="13"/>
    </row>
    <row r="24822" spans="4:11">
      <c r="D24822" s="13"/>
      <c r="E24822" s="13"/>
      <c r="F24822" s="13"/>
      <c r="G24822" s="13"/>
      <c r="H24822" s="13"/>
      <c r="I24822" s="13"/>
      <c r="J24822" s="13"/>
      <c r="K24822" s="13"/>
    </row>
    <row r="24823" spans="4:11">
      <c r="D24823" s="13"/>
      <c r="E24823" s="13"/>
      <c r="F24823" s="13"/>
      <c r="G24823" s="13"/>
      <c r="H24823" s="13"/>
      <c r="I24823" s="13"/>
      <c r="J24823" s="13"/>
      <c r="K24823" s="13"/>
    </row>
    <row r="24824" spans="4:11">
      <c r="D24824" s="13"/>
      <c r="E24824" s="13"/>
      <c r="F24824" s="13"/>
      <c r="G24824" s="13"/>
      <c r="H24824" s="13"/>
      <c r="I24824" s="13"/>
      <c r="J24824" s="13"/>
      <c r="K24824" s="13"/>
    </row>
    <row r="24825" spans="4:11">
      <c r="D24825" s="13"/>
      <c r="E24825" s="13"/>
      <c r="F24825" s="13"/>
      <c r="G24825" s="13"/>
      <c r="H24825" s="13"/>
      <c r="I24825" s="13"/>
      <c r="J24825" s="13"/>
      <c r="K24825" s="13"/>
    </row>
    <row r="24826" spans="4:11">
      <c r="D24826" s="13"/>
      <c r="E24826" s="13"/>
      <c r="F24826" s="13"/>
      <c r="G24826" s="13"/>
      <c r="H24826" s="13"/>
      <c r="I24826" s="13"/>
      <c r="J24826" s="13"/>
      <c r="K24826" s="13"/>
    </row>
    <row r="24827" spans="4:11">
      <c r="D24827" s="13"/>
      <c r="E24827" s="13"/>
      <c r="F24827" s="13"/>
      <c r="G24827" s="13"/>
      <c r="H24827" s="13"/>
      <c r="I24827" s="13"/>
      <c r="J24827" s="13"/>
      <c r="K24827" s="13"/>
    </row>
    <row r="24828" spans="4:11">
      <c r="D24828" s="13"/>
      <c r="E24828" s="13"/>
      <c r="F24828" s="13"/>
      <c r="G24828" s="13"/>
      <c r="H24828" s="13"/>
      <c r="I24828" s="13"/>
      <c r="J24828" s="13"/>
      <c r="K24828" s="13"/>
    </row>
    <row r="24829" spans="4:11">
      <c r="D24829" s="13"/>
      <c r="E24829" s="13"/>
      <c r="F24829" s="13"/>
      <c r="G24829" s="13"/>
      <c r="H24829" s="13"/>
      <c r="I24829" s="13"/>
      <c r="J24829" s="13"/>
      <c r="K24829" s="13"/>
    </row>
    <row r="24830" spans="4:11">
      <c r="D24830" s="13"/>
      <c r="E24830" s="13"/>
      <c r="F24830" s="13"/>
      <c r="G24830" s="13"/>
      <c r="H24830" s="13"/>
      <c r="I24830" s="13"/>
      <c r="J24830" s="13"/>
      <c r="K24830" s="13"/>
    </row>
    <row r="24831" spans="4:11">
      <c r="D24831" s="13"/>
      <c r="E24831" s="13"/>
      <c r="F24831" s="13"/>
      <c r="G24831" s="13"/>
      <c r="H24831" s="13"/>
      <c r="I24831" s="13"/>
      <c r="J24831" s="13"/>
      <c r="K24831" s="13"/>
    </row>
    <row r="24832" spans="4:11">
      <c r="D24832" s="13"/>
      <c r="E24832" s="13"/>
      <c r="F24832" s="13"/>
      <c r="G24832" s="13"/>
      <c r="H24832" s="13"/>
      <c r="I24832" s="13"/>
      <c r="J24832" s="13"/>
      <c r="K24832" s="13"/>
    </row>
    <row r="24833" spans="4:11">
      <c r="D24833" s="13"/>
      <c r="E24833" s="13"/>
      <c r="F24833" s="13"/>
      <c r="G24833" s="13"/>
      <c r="H24833" s="13"/>
      <c r="I24833" s="13"/>
      <c r="J24833" s="13"/>
      <c r="K24833" s="13"/>
    </row>
    <row r="24834" spans="4:11">
      <c r="D24834" s="13"/>
      <c r="E24834" s="13"/>
      <c r="F24834" s="13"/>
      <c r="G24834" s="13"/>
      <c r="H24834" s="13"/>
      <c r="I24834" s="13"/>
      <c r="J24834" s="13"/>
      <c r="K24834" s="13"/>
    </row>
    <row r="24835" spans="4:11">
      <c r="D24835" s="13"/>
      <c r="E24835" s="13"/>
      <c r="F24835" s="13"/>
      <c r="G24835" s="13"/>
      <c r="H24835" s="13"/>
      <c r="I24835" s="13"/>
      <c r="J24835" s="13"/>
      <c r="K24835" s="13"/>
    </row>
    <row r="24836" spans="4:11">
      <c r="D24836" s="13"/>
      <c r="E24836" s="13"/>
      <c r="F24836" s="13"/>
      <c r="G24836" s="13"/>
      <c r="H24836" s="13"/>
      <c r="I24836" s="13"/>
      <c r="J24836" s="13"/>
      <c r="K24836" s="13"/>
    </row>
    <row r="24837" spans="4:11">
      <c r="D24837" s="13"/>
      <c r="E24837" s="13"/>
      <c r="F24837" s="13"/>
      <c r="G24837" s="13"/>
      <c r="H24837" s="13"/>
      <c r="I24837" s="13"/>
      <c r="J24837" s="13"/>
      <c r="K24837" s="13"/>
    </row>
    <row r="24838" spans="4:11">
      <c r="D24838" s="13"/>
      <c r="E24838" s="13"/>
      <c r="F24838" s="13"/>
      <c r="G24838" s="13"/>
      <c r="H24838" s="13"/>
      <c r="I24838" s="13"/>
      <c r="J24838" s="13"/>
      <c r="K24838" s="13"/>
    </row>
    <row r="24839" spans="4:11">
      <c r="D24839" s="13"/>
      <c r="E24839" s="13"/>
      <c r="F24839" s="13"/>
      <c r="G24839" s="13"/>
      <c r="H24839" s="13"/>
      <c r="I24839" s="13"/>
      <c r="J24839" s="13"/>
      <c r="K24839" s="13"/>
    </row>
    <row r="24840" spans="4:11">
      <c r="D24840" s="13"/>
      <c r="E24840" s="13"/>
      <c r="F24840" s="13"/>
      <c r="G24840" s="13"/>
      <c r="H24840" s="13"/>
      <c r="I24840" s="13"/>
      <c r="J24840" s="13"/>
      <c r="K24840" s="13"/>
    </row>
    <row r="24841" spans="4:11">
      <c r="D24841" s="13"/>
      <c r="E24841" s="13"/>
      <c r="F24841" s="13"/>
      <c r="G24841" s="13"/>
      <c r="H24841" s="13"/>
      <c r="I24841" s="13"/>
      <c r="J24841" s="13"/>
      <c r="K24841" s="13"/>
    </row>
    <row r="24842" spans="4:11">
      <c r="D24842" s="13"/>
      <c r="E24842" s="13"/>
      <c r="F24842" s="13"/>
      <c r="G24842" s="13"/>
      <c r="H24842" s="13"/>
      <c r="I24842" s="13"/>
      <c r="J24842" s="13"/>
      <c r="K24842" s="13"/>
    </row>
    <row r="24843" spans="4:11">
      <c r="D24843" s="13"/>
      <c r="E24843" s="13"/>
      <c r="F24843" s="13"/>
      <c r="G24843" s="13"/>
      <c r="H24843" s="13"/>
      <c r="I24843" s="13"/>
      <c r="J24843" s="13"/>
      <c r="K24843" s="13"/>
    </row>
    <row r="24844" spans="4:11">
      <c r="D24844" s="13"/>
      <c r="E24844" s="13"/>
      <c r="F24844" s="13"/>
      <c r="G24844" s="13"/>
      <c r="H24844" s="13"/>
      <c r="I24844" s="13"/>
      <c r="J24844" s="13"/>
      <c r="K24844" s="13"/>
    </row>
    <row r="24845" spans="4:11">
      <c r="D24845" s="13"/>
      <c r="E24845" s="13"/>
      <c r="F24845" s="13"/>
      <c r="G24845" s="13"/>
      <c r="H24845" s="13"/>
      <c r="I24845" s="13"/>
      <c r="J24845" s="13"/>
      <c r="K24845" s="13"/>
    </row>
    <row r="24846" spans="4:11">
      <c r="D24846" s="13"/>
      <c r="E24846" s="13"/>
      <c r="F24846" s="13"/>
      <c r="G24846" s="13"/>
      <c r="H24846" s="13"/>
      <c r="I24846" s="13"/>
      <c r="J24846" s="13"/>
      <c r="K24846" s="13"/>
    </row>
    <row r="24847" spans="4:11">
      <c r="D24847" s="13"/>
      <c r="E24847" s="13"/>
      <c r="F24847" s="13"/>
      <c r="G24847" s="13"/>
      <c r="H24847" s="13"/>
      <c r="I24847" s="13"/>
      <c r="J24847" s="13"/>
      <c r="K24847" s="13"/>
    </row>
    <row r="24848" spans="4:11">
      <c r="D24848" s="13"/>
      <c r="E24848" s="13"/>
      <c r="F24848" s="13"/>
      <c r="G24848" s="13"/>
      <c r="H24848" s="13"/>
      <c r="I24848" s="13"/>
      <c r="J24848" s="13"/>
      <c r="K24848" s="13"/>
    </row>
    <row r="24849" spans="4:11">
      <c r="D24849" s="13"/>
      <c r="E24849" s="13"/>
      <c r="F24849" s="13"/>
      <c r="G24849" s="13"/>
      <c r="H24849" s="13"/>
      <c r="I24849" s="13"/>
      <c r="J24849" s="13"/>
      <c r="K24849" s="13"/>
    </row>
    <row r="24850" spans="4:11">
      <c r="D24850" s="13"/>
      <c r="E24850" s="13"/>
      <c r="F24850" s="13"/>
      <c r="G24850" s="13"/>
      <c r="H24850" s="13"/>
      <c r="I24850" s="13"/>
      <c r="J24850" s="13"/>
      <c r="K24850" s="13"/>
    </row>
    <row r="24851" spans="4:11">
      <c r="D24851" s="13"/>
      <c r="E24851" s="13"/>
      <c r="F24851" s="13"/>
      <c r="G24851" s="13"/>
      <c r="H24851" s="13"/>
      <c r="I24851" s="13"/>
      <c r="J24851" s="13"/>
      <c r="K24851" s="13"/>
    </row>
    <row r="24852" spans="4:11">
      <c r="D24852" s="13"/>
      <c r="E24852" s="13"/>
      <c r="F24852" s="13"/>
      <c r="G24852" s="13"/>
      <c r="H24852" s="13"/>
      <c r="I24852" s="13"/>
      <c r="J24852" s="13"/>
      <c r="K24852" s="13"/>
    </row>
    <row r="24853" spans="4:11">
      <c r="D24853" s="13"/>
      <c r="E24853" s="13"/>
      <c r="F24853" s="13"/>
      <c r="G24853" s="13"/>
      <c r="H24853" s="13"/>
      <c r="I24853" s="13"/>
      <c r="J24853" s="13"/>
      <c r="K24853" s="13"/>
    </row>
    <row r="24854" spans="4:11">
      <c r="D24854" s="13"/>
      <c r="E24854" s="13"/>
      <c r="F24854" s="13"/>
      <c r="G24854" s="13"/>
      <c r="H24854" s="13"/>
      <c r="I24854" s="13"/>
      <c r="J24854" s="13"/>
      <c r="K24854" s="13"/>
    </row>
    <row r="24855" spans="4:11">
      <c r="D24855" s="13"/>
      <c r="E24855" s="13"/>
      <c r="F24855" s="13"/>
      <c r="G24855" s="13"/>
      <c r="H24855" s="13"/>
      <c r="I24855" s="13"/>
      <c r="J24855" s="13"/>
      <c r="K24855" s="13"/>
    </row>
    <row r="24856" spans="4:11">
      <c r="D24856" s="13"/>
      <c r="E24856" s="13"/>
      <c r="F24856" s="13"/>
      <c r="G24856" s="13"/>
      <c r="H24856" s="13"/>
      <c r="I24856" s="13"/>
      <c r="J24856" s="13"/>
      <c r="K24856" s="13"/>
    </row>
    <row r="24857" spans="4:11">
      <c r="D24857" s="13"/>
      <c r="E24857" s="13"/>
      <c r="F24857" s="13"/>
      <c r="G24857" s="13"/>
      <c r="H24857" s="13"/>
      <c r="I24857" s="13"/>
      <c r="J24857" s="13"/>
      <c r="K24857" s="13"/>
    </row>
    <row r="24858" spans="4:11">
      <c r="D24858" s="13"/>
      <c r="E24858" s="13"/>
      <c r="F24858" s="13"/>
      <c r="G24858" s="13"/>
      <c r="H24858" s="13"/>
      <c r="I24858" s="13"/>
      <c r="J24858" s="13"/>
      <c r="K24858" s="13"/>
    </row>
    <row r="24859" spans="4:11">
      <c r="D24859" s="13"/>
      <c r="E24859" s="13"/>
      <c r="F24859" s="13"/>
      <c r="G24859" s="13"/>
      <c r="H24859" s="13"/>
      <c r="I24859" s="13"/>
      <c r="J24859" s="13"/>
      <c r="K24859" s="13"/>
    </row>
    <row r="24860" spans="4:11">
      <c r="D24860" s="13"/>
      <c r="E24860" s="13"/>
      <c r="F24860" s="13"/>
      <c r="G24860" s="13"/>
      <c r="H24860" s="13"/>
      <c r="I24860" s="13"/>
      <c r="J24860" s="13"/>
      <c r="K24860" s="13"/>
    </row>
    <row r="24861" spans="4:11">
      <c r="D24861" s="13"/>
      <c r="E24861" s="13"/>
      <c r="F24861" s="13"/>
      <c r="G24861" s="13"/>
      <c r="H24861" s="13"/>
      <c r="I24861" s="13"/>
      <c r="J24861" s="13"/>
      <c r="K24861" s="13"/>
    </row>
    <row r="24862" spans="4:11">
      <c r="D24862" s="13"/>
      <c r="E24862" s="13"/>
      <c r="F24862" s="13"/>
      <c r="G24862" s="13"/>
      <c r="H24862" s="13"/>
      <c r="I24862" s="13"/>
      <c r="J24862" s="13"/>
      <c r="K24862" s="13"/>
    </row>
    <row r="24863" spans="4:11">
      <c r="D24863" s="13"/>
      <c r="E24863" s="13"/>
      <c r="F24863" s="13"/>
      <c r="G24863" s="13"/>
      <c r="H24863" s="13"/>
      <c r="I24863" s="13"/>
      <c r="J24863" s="13"/>
      <c r="K24863" s="13"/>
    </row>
    <row r="24864" spans="4:11">
      <c r="D24864" s="13"/>
      <c r="E24864" s="13"/>
      <c r="F24864" s="13"/>
      <c r="G24864" s="13"/>
      <c r="H24864" s="13"/>
      <c r="I24864" s="13"/>
      <c r="J24864" s="13"/>
      <c r="K24864" s="13"/>
    </row>
    <row r="24865" spans="4:11">
      <c r="D24865" s="13"/>
      <c r="E24865" s="13"/>
      <c r="F24865" s="13"/>
      <c r="G24865" s="13"/>
      <c r="H24865" s="13"/>
      <c r="I24865" s="13"/>
      <c r="J24865" s="13"/>
      <c r="K24865" s="13"/>
    </row>
    <row r="24866" spans="4:11">
      <c r="D24866" s="13"/>
      <c r="E24866" s="13"/>
      <c r="F24866" s="13"/>
      <c r="G24866" s="13"/>
      <c r="H24866" s="13"/>
      <c r="I24866" s="13"/>
      <c r="J24866" s="13"/>
      <c r="K24866" s="13"/>
    </row>
    <row r="24867" spans="4:11">
      <c r="D24867" s="13"/>
      <c r="E24867" s="13"/>
      <c r="F24867" s="13"/>
      <c r="G24867" s="13"/>
      <c r="H24867" s="13"/>
      <c r="I24867" s="13"/>
      <c r="J24867" s="13"/>
      <c r="K24867" s="13"/>
    </row>
    <row r="24868" spans="4:11">
      <c r="D24868" s="13"/>
      <c r="E24868" s="13"/>
      <c r="F24868" s="13"/>
      <c r="G24868" s="13"/>
      <c r="H24868" s="13"/>
      <c r="I24868" s="13"/>
      <c r="J24868" s="13"/>
      <c r="K24868" s="13"/>
    </row>
    <row r="24869" spans="4:11">
      <c r="D24869" s="13"/>
      <c r="E24869" s="13"/>
      <c r="F24869" s="13"/>
      <c r="G24869" s="13"/>
      <c r="H24869" s="13"/>
      <c r="I24869" s="13"/>
      <c r="J24869" s="13"/>
      <c r="K24869" s="13"/>
    </row>
    <row r="24870" spans="4:11">
      <c r="D24870" s="13"/>
      <c r="E24870" s="13"/>
      <c r="F24870" s="13"/>
      <c r="G24870" s="13"/>
      <c r="H24870" s="13"/>
      <c r="I24870" s="13"/>
      <c r="J24870" s="13"/>
      <c r="K24870" s="13"/>
    </row>
    <row r="24871" spans="4:11">
      <c r="D24871" s="13"/>
      <c r="E24871" s="13"/>
      <c r="F24871" s="13"/>
      <c r="G24871" s="13"/>
      <c r="H24871" s="13"/>
      <c r="I24871" s="13"/>
      <c r="J24871" s="13"/>
      <c r="K24871" s="13"/>
    </row>
    <row r="24872" spans="4:11">
      <c r="D24872" s="13"/>
      <c r="E24872" s="13"/>
      <c r="F24872" s="13"/>
      <c r="G24872" s="13"/>
      <c r="H24872" s="13"/>
      <c r="I24872" s="13"/>
      <c r="J24872" s="13"/>
      <c r="K24872" s="13"/>
    </row>
    <row r="24873" spans="4:11">
      <c r="D24873" s="13"/>
      <c r="E24873" s="13"/>
      <c r="F24873" s="13"/>
      <c r="G24873" s="13"/>
      <c r="H24873" s="13"/>
      <c r="I24873" s="13"/>
      <c r="J24873" s="13"/>
      <c r="K24873" s="13"/>
    </row>
    <row r="24874" spans="4:11">
      <c r="D24874" s="13"/>
      <c r="E24874" s="13"/>
      <c r="F24874" s="13"/>
      <c r="G24874" s="13"/>
      <c r="H24874" s="13"/>
      <c r="I24874" s="13"/>
      <c r="J24874" s="13"/>
      <c r="K24874" s="13"/>
    </row>
    <row r="24875" spans="4:11">
      <c r="D24875" s="13"/>
      <c r="E24875" s="13"/>
      <c r="F24875" s="13"/>
      <c r="G24875" s="13"/>
      <c r="H24875" s="13"/>
      <c r="I24875" s="13"/>
      <c r="J24875" s="13"/>
      <c r="K24875" s="13"/>
    </row>
    <row r="24876" spans="4:11">
      <c r="D24876" s="13"/>
      <c r="E24876" s="13"/>
      <c r="F24876" s="13"/>
      <c r="G24876" s="13"/>
      <c r="H24876" s="13"/>
      <c r="I24876" s="13"/>
      <c r="J24876" s="13"/>
      <c r="K24876" s="13"/>
    </row>
    <row r="24877" spans="4:11">
      <c r="D24877" s="13"/>
      <c r="E24877" s="13"/>
      <c r="F24877" s="13"/>
      <c r="G24877" s="13"/>
      <c r="H24877" s="13"/>
      <c r="I24877" s="13"/>
      <c r="J24877" s="13"/>
      <c r="K24877" s="13"/>
    </row>
    <row r="24878" spans="4:11">
      <c r="D24878" s="13"/>
      <c r="E24878" s="13"/>
      <c r="F24878" s="13"/>
      <c r="G24878" s="13"/>
      <c r="H24878" s="13"/>
      <c r="I24878" s="13"/>
      <c r="J24878" s="13"/>
      <c r="K24878" s="13"/>
    </row>
    <row r="24879" spans="4:11">
      <c r="D24879" s="13"/>
      <c r="E24879" s="13"/>
      <c r="F24879" s="13"/>
      <c r="G24879" s="13"/>
      <c r="H24879" s="13"/>
      <c r="I24879" s="13"/>
      <c r="J24879" s="13"/>
      <c r="K24879" s="13"/>
    </row>
    <row r="24880" spans="4:11">
      <c r="D24880" s="13"/>
      <c r="E24880" s="13"/>
      <c r="F24880" s="13"/>
      <c r="G24880" s="13"/>
      <c r="H24880" s="13"/>
      <c r="I24880" s="13"/>
      <c r="J24880" s="13"/>
      <c r="K24880" s="13"/>
    </row>
    <row r="24881" spans="4:11">
      <c r="D24881" s="13"/>
      <c r="E24881" s="13"/>
      <c r="F24881" s="13"/>
      <c r="G24881" s="13"/>
      <c r="H24881" s="13"/>
      <c r="I24881" s="13"/>
      <c r="J24881" s="13"/>
      <c r="K24881" s="13"/>
    </row>
    <row r="24882" spans="4:11">
      <c r="D24882" s="13"/>
      <c r="E24882" s="13"/>
      <c r="F24882" s="13"/>
      <c r="G24882" s="13"/>
      <c r="H24882" s="13"/>
      <c r="I24882" s="13"/>
      <c r="J24882" s="13"/>
      <c r="K24882" s="13"/>
    </row>
    <row r="24883" spans="4:11">
      <c r="D24883" s="13"/>
      <c r="E24883" s="13"/>
      <c r="F24883" s="13"/>
      <c r="G24883" s="13"/>
      <c r="H24883" s="13"/>
      <c r="I24883" s="13"/>
      <c r="J24883" s="13"/>
      <c r="K24883" s="13"/>
    </row>
    <row r="24884" spans="4:11">
      <c r="D24884" s="13"/>
      <c r="E24884" s="13"/>
      <c r="F24884" s="13"/>
      <c r="G24884" s="13"/>
      <c r="H24884" s="13"/>
      <c r="I24884" s="13"/>
      <c r="J24884" s="13"/>
      <c r="K24884" s="13"/>
    </row>
    <row r="24885" spans="4:11">
      <c r="D24885" s="13"/>
      <c r="E24885" s="13"/>
      <c r="F24885" s="13"/>
      <c r="G24885" s="13"/>
      <c r="H24885" s="13"/>
      <c r="I24885" s="13"/>
      <c r="J24885" s="13"/>
      <c r="K24885" s="13"/>
    </row>
    <row r="24886" spans="4:11">
      <c r="D24886" s="13"/>
      <c r="E24886" s="13"/>
      <c r="F24886" s="13"/>
      <c r="G24886" s="13"/>
      <c r="H24886" s="13"/>
      <c r="I24886" s="13"/>
      <c r="J24886" s="13"/>
      <c r="K24886" s="13"/>
    </row>
    <row r="24887" spans="4:11">
      <c r="D24887" s="13"/>
      <c r="E24887" s="13"/>
      <c r="F24887" s="13"/>
      <c r="G24887" s="13"/>
      <c r="H24887" s="13"/>
      <c r="I24887" s="13"/>
      <c r="J24887" s="13"/>
      <c r="K24887" s="13"/>
    </row>
    <row r="24888" spans="4:11">
      <c r="D24888" s="13"/>
      <c r="E24888" s="13"/>
      <c r="F24888" s="13"/>
      <c r="G24888" s="13"/>
      <c r="H24888" s="13"/>
      <c r="I24888" s="13"/>
      <c r="J24888" s="13"/>
      <c r="K24888" s="13"/>
    </row>
    <row r="24889" spans="4:11">
      <c r="D24889" s="13"/>
      <c r="E24889" s="13"/>
      <c r="F24889" s="13"/>
      <c r="G24889" s="13"/>
      <c r="H24889" s="13"/>
      <c r="I24889" s="13"/>
      <c r="J24889" s="13"/>
      <c r="K24889" s="13"/>
    </row>
    <row r="24890" spans="4:11">
      <c r="D24890" s="13"/>
      <c r="E24890" s="13"/>
      <c r="F24890" s="13"/>
      <c r="G24890" s="13"/>
      <c r="H24890" s="13"/>
      <c r="I24890" s="13"/>
      <c r="J24890" s="13"/>
      <c r="K24890" s="13"/>
    </row>
    <row r="24891" spans="4:11">
      <c r="D24891" s="13"/>
      <c r="E24891" s="13"/>
      <c r="F24891" s="13"/>
      <c r="G24891" s="13"/>
      <c r="H24891" s="13"/>
      <c r="I24891" s="13"/>
      <c r="J24891" s="13"/>
      <c r="K24891" s="13"/>
    </row>
    <row r="24892" spans="4:11">
      <c r="D24892" s="13"/>
      <c r="E24892" s="13"/>
      <c r="F24892" s="13"/>
      <c r="G24892" s="13"/>
      <c r="H24892" s="13"/>
      <c r="I24892" s="13"/>
      <c r="J24892" s="13"/>
      <c r="K24892" s="13"/>
    </row>
    <row r="24893" spans="4:11">
      <c r="D24893" s="13"/>
      <c r="E24893" s="13"/>
      <c r="F24893" s="13"/>
      <c r="G24893" s="13"/>
      <c r="H24893" s="13"/>
      <c r="I24893" s="13"/>
      <c r="J24893" s="13"/>
      <c r="K24893" s="13"/>
    </row>
    <row r="24894" spans="4:11">
      <c r="D24894" s="13"/>
      <c r="E24894" s="13"/>
      <c r="F24894" s="13"/>
      <c r="G24894" s="13"/>
      <c r="H24894" s="13"/>
      <c r="I24894" s="13"/>
      <c r="J24894" s="13"/>
      <c r="K24894" s="13"/>
    </row>
    <row r="24895" spans="4:11">
      <c r="D24895" s="13"/>
      <c r="E24895" s="13"/>
      <c r="F24895" s="13"/>
      <c r="G24895" s="13"/>
      <c r="H24895" s="13"/>
      <c r="I24895" s="13"/>
      <c r="J24895" s="13"/>
      <c r="K24895" s="13"/>
    </row>
    <row r="24896" spans="4:11">
      <c r="D24896" s="13"/>
      <c r="E24896" s="13"/>
      <c r="F24896" s="13"/>
      <c r="G24896" s="13"/>
      <c r="H24896" s="13"/>
      <c r="I24896" s="13"/>
      <c r="J24896" s="13"/>
      <c r="K24896" s="13"/>
    </row>
    <row r="24897" spans="4:11">
      <c r="D24897" s="13"/>
      <c r="E24897" s="13"/>
      <c r="F24897" s="13"/>
      <c r="G24897" s="13"/>
      <c r="H24897" s="13"/>
      <c r="I24897" s="13"/>
      <c r="J24897" s="13"/>
      <c r="K24897" s="13"/>
    </row>
    <row r="24898" spans="4:11">
      <c r="D24898" s="13"/>
      <c r="E24898" s="13"/>
      <c r="F24898" s="13"/>
      <c r="G24898" s="13"/>
      <c r="H24898" s="13"/>
      <c r="I24898" s="13"/>
      <c r="J24898" s="13"/>
      <c r="K24898" s="13"/>
    </row>
    <row r="24899" spans="4:11">
      <c r="D24899" s="13"/>
      <c r="E24899" s="13"/>
      <c r="F24899" s="13"/>
      <c r="G24899" s="13"/>
      <c r="H24899" s="13"/>
      <c r="I24899" s="13"/>
      <c r="J24899" s="13"/>
      <c r="K24899" s="13"/>
    </row>
    <row r="24900" spans="4:11">
      <c r="D24900" s="13"/>
      <c r="E24900" s="13"/>
      <c r="F24900" s="13"/>
      <c r="G24900" s="13"/>
      <c r="H24900" s="13"/>
      <c r="I24900" s="13"/>
      <c r="J24900" s="13"/>
      <c r="K24900" s="13"/>
    </row>
    <row r="24901" spans="4:11">
      <c r="D24901" s="13"/>
      <c r="E24901" s="13"/>
      <c r="F24901" s="13"/>
      <c r="G24901" s="13"/>
      <c r="H24901" s="13"/>
      <c r="I24901" s="13"/>
      <c r="J24901" s="13"/>
      <c r="K24901" s="13"/>
    </row>
    <row r="24902" spans="4:11">
      <c r="D24902" s="13"/>
      <c r="E24902" s="13"/>
      <c r="F24902" s="13"/>
      <c r="G24902" s="13"/>
      <c r="H24902" s="13"/>
      <c r="I24902" s="13"/>
      <c r="J24902" s="13"/>
      <c r="K24902" s="13"/>
    </row>
    <row r="24903" spans="4:11">
      <c r="D24903" s="13"/>
      <c r="E24903" s="13"/>
      <c r="F24903" s="13"/>
      <c r="G24903" s="13"/>
      <c r="H24903" s="13"/>
      <c r="I24903" s="13"/>
      <c r="J24903" s="13"/>
      <c r="K24903" s="13"/>
    </row>
    <row r="24904" spans="4:11">
      <c r="D24904" s="13"/>
      <c r="E24904" s="13"/>
      <c r="F24904" s="13"/>
      <c r="G24904" s="13"/>
      <c r="H24904" s="13"/>
      <c r="I24904" s="13"/>
      <c r="J24904" s="13"/>
      <c r="K24904" s="13"/>
    </row>
    <row r="24905" spans="4:11">
      <c r="D24905" s="13"/>
      <c r="E24905" s="13"/>
      <c r="F24905" s="13"/>
      <c r="G24905" s="13"/>
      <c r="H24905" s="13"/>
      <c r="I24905" s="13"/>
      <c r="J24905" s="13"/>
      <c r="K24905" s="13"/>
    </row>
    <row r="24906" spans="4:11">
      <c r="D24906" s="13"/>
      <c r="E24906" s="13"/>
      <c r="F24906" s="13"/>
      <c r="G24906" s="13"/>
      <c r="H24906" s="13"/>
      <c r="I24906" s="13"/>
      <c r="J24906" s="13"/>
      <c r="K24906" s="13"/>
    </row>
    <row r="24907" spans="4:11">
      <c r="D24907" s="13"/>
      <c r="E24907" s="13"/>
      <c r="F24907" s="13"/>
      <c r="G24907" s="13"/>
      <c r="H24907" s="13"/>
      <c r="I24907" s="13"/>
      <c r="J24907" s="13"/>
      <c r="K24907" s="13"/>
    </row>
    <row r="24908" spans="4:11">
      <c r="D24908" s="13"/>
      <c r="E24908" s="13"/>
      <c r="F24908" s="13"/>
      <c r="G24908" s="13"/>
      <c r="H24908" s="13"/>
      <c r="I24908" s="13"/>
      <c r="J24908" s="13"/>
      <c r="K24908" s="13"/>
    </row>
    <row r="24909" spans="4:11">
      <c r="D24909" s="13"/>
      <c r="E24909" s="13"/>
      <c r="F24909" s="13"/>
      <c r="G24909" s="13"/>
      <c r="H24909" s="13"/>
      <c r="I24909" s="13"/>
      <c r="J24909" s="13"/>
      <c r="K24909" s="13"/>
    </row>
    <row r="24910" spans="4:11">
      <c r="D24910" s="13"/>
      <c r="E24910" s="13"/>
      <c r="F24910" s="13"/>
      <c r="G24910" s="13"/>
      <c r="H24910" s="13"/>
      <c r="I24910" s="13"/>
      <c r="J24910" s="13"/>
      <c r="K24910" s="13"/>
    </row>
    <row r="24911" spans="4:11">
      <c r="D24911" s="13"/>
      <c r="E24911" s="13"/>
      <c r="F24911" s="13"/>
      <c r="G24911" s="13"/>
      <c r="H24911" s="13"/>
      <c r="I24911" s="13"/>
      <c r="J24911" s="13"/>
      <c r="K24911" s="13"/>
    </row>
    <row r="24912" spans="4:11">
      <c r="D24912" s="13"/>
      <c r="E24912" s="13"/>
      <c r="F24912" s="13"/>
      <c r="G24912" s="13"/>
      <c r="H24912" s="13"/>
      <c r="I24912" s="13"/>
      <c r="J24912" s="13"/>
      <c r="K24912" s="13"/>
    </row>
    <row r="24913" spans="4:11">
      <c r="D24913" s="13"/>
      <c r="E24913" s="13"/>
      <c r="F24913" s="13"/>
      <c r="G24913" s="13"/>
      <c r="H24913" s="13"/>
      <c r="I24913" s="13"/>
      <c r="J24913" s="13"/>
      <c r="K24913" s="13"/>
    </row>
    <row r="24914" spans="4:11">
      <c r="D24914" s="13"/>
      <c r="E24914" s="13"/>
      <c r="F24914" s="13"/>
      <c r="G24914" s="13"/>
      <c r="H24914" s="13"/>
      <c r="I24914" s="13"/>
      <c r="J24914" s="13"/>
      <c r="K24914" s="13"/>
    </row>
    <row r="24915" spans="4:11">
      <c r="D24915" s="13"/>
      <c r="E24915" s="13"/>
      <c r="F24915" s="13"/>
      <c r="G24915" s="13"/>
      <c r="H24915" s="13"/>
      <c r="I24915" s="13"/>
      <c r="J24915" s="13"/>
      <c r="K24915" s="13"/>
    </row>
    <row r="24916" spans="4:11">
      <c r="D24916" s="13"/>
      <c r="E24916" s="13"/>
      <c r="F24916" s="13"/>
      <c r="G24916" s="13"/>
      <c r="H24916" s="13"/>
      <c r="I24916" s="13"/>
      <c r="J24916" s="13"/>
      <c r="K24916" s="13"/>
    </row>
    <row r="24917" spans="4:11">
      <c r="D24917" s="13"/>
      <c r="E24917" s="13"/>
      <c r="F24917" s="13"/>
      <c r="G24917" s="13"/>
      <c r="H24917" s="13"/>
      <c r="I24917" s="13"/>
      <c r="J24917" s="13"/>
      <c r="K24917" s="13"/>
    </row>
    <row r="24918" spans="4:11">
      <c r="D24918" s="13"/>
      <c r="E24918" s="13"/>
      <c r="F24918" s="13"/>
      <c r="G24918" s="13"/>
      <c r="H24918" s="13"/>
      <c r="I24918" s="13"/>
      <c r="J24918" s="13"/>
      <c r="K24918" s="13"/>
    </row>
    <row r="24919" spans="4:11">
      <c r="D24919" s="13"/>
      <c r="E24919" s="13"/>
      <c r="F24919" s="13"/>
      <c r="G24919" s="13"/>
      <c r="H24919" s="13"/>
      <c r="I24919" s="13"/>
      <c r="J24919" s="13"/>
      <c r="K24919" s="13"/>
    </row>
    <row r="24920" spans="4:11">
      <c r="D24920" s="13"/>
      <c r="E24920" s="13"/>
      <c r="F24920" s="13"/>
      <c r="G24920" s="13"/>
      <c r="H24920" s="13"/>
      <c r="I24920" s="13"/>
      <c r="J24920" s="13"/>
      <c r="K24920" s="13"/>
    </row>
    <row r="24921" spans="4:11">
      <c r="D24921" s="13"/>
      <c r="E24921" s="13"/>
      <c r="F24921" s="13"/>
      <c r="G24921" s="13"/>
      <c r="H24921" s="13"/>
      <c r="I24921" s="13"/>
      <c r="J24921" s="13"/>
      <c r="K24921" s="13"/>
    </row>
    <row r="24922" spans="4:11">
      <c r="D24922" s="13"/>
      <c r="E24922" s="13"/>
      <c r="F24922" s="13"/>
      <c r="G24922" s="13"/>
      <c r="H24922" s="13"/>
      <c r="I24922" s="13"/>
      <c r="J24922" s="13"/>
      <c r="K24922" s="13"/>
    </row>
    <row r="24923" spans="4:11">
      <c r="D24923" s="13"/>
      <c r="E24923" s="13"/>
      <c r="F24923" s="13"/>
      <c r="G24923" s="13"/>
      <c r="H24923" s="13"/>
      <c r="I24923" s="13"/>
      <c r="J24923" s="13"/>
      <c r="K24923" s="13"/>
    </row>
    <row r="24924" spans="4:11">
      <c r="D24924" s="13"/>
      <c r="E24924" s="13"/>
      <c r="F24924" s="13"/>
      <c r="G24924" s="13"/>
      <c r="H24924" s="13"/>
      <c r="I24924" s="13"/>
      <c r="J24924" s="13"/>
      <c r="K24924" s="13"/>
    </row>
    <row r="24925" spans="4:11">
      <c r="D24925" s="13"/>
      <c r="E24925" s="13"/>
      <c r="F24925" s="13"/>
      <c r="G24925" s="13"/>
      <c r="H24925" s="13"/>
      <c r="I24925" s="13"/>
      <c r="J24925" s="13"/>
      <c r="K24925" s="13"/>
    </row>
    <row r="24926" spans="4:11">
      <c r="D24926" s="13"/>
      <c r="E24926" s="13"/>
      <c r="F24926" s="13"/>
      <c r="G24926" s="13"/>
      <c r="H24926" s="13"/>
      <c r="I24926" s="13"/>
      <c r="J24926" s="13"/>
      <c r="K24926" s="13"/>
    </row>
    <row r="24927" spans="4:11">
      <c r="D24927" s="13"/>
      <c r="E24927" s="13"/>
      <c r="F24927" s="13"/>
      <c r="G24927" s="13"/>
      <c r="H24927" s="13"/>
      <c r="I24927" s="13"/>
      <c r="J24927" s="13"/>
      <c r="K24927" s="13"/>
    </row>
    <row r="24928" spans="4:11">
      <c r="D24928" s="13"/>
      <c r="E24928" s="13"/>
      <c r="F24928" s="13"/>
      <c r="G24928" s="13"/>
      <c r="H24928" s="13"/>
      <c r="I24928" s="13"/>
      <c r="J24928" s="13"/>
      <c r="K24928" s="13"/>
    </row>
    <row r="24929" spans="4:11">
      <c r="D24929" s="13"/>
      <c r="E24929" s="13"/>
      <c r="F24929" s="13"/>
      <c r="G24929" s="13"/>
      <c r="H24929" s="13"/>
      <c r="I24929" s="13"/>
      <c r="J24929" s="13"/>
      <c r="K24929" s="13"/>
    </row>
    <row r="24930" spans="4:11">
      <c r="D24930" s="13"/>
      <c r="E24930" s="13"/>
      <c r="F24930" s="13"/>
      <c r="G24930" s="13"/>
      <c r="H24930" s="13"/>
      <c r="I24930" s="13"/>
      <c r="J24930" s="13"/>
      <c r="K24930" s="13"/>
    </row>
    <row r="24931" spans="4:11">
      <c r="D24931" s="13"/>
      <c r="E24931" s="13"/>
      <c r="F24931" s="13"/>
      <c r="G24931" s="13"/>
      <c r="H24931" s="13"/>
      <c r="I24931" s="13"/>
      <c r="J24931" s="13"/>
      <c r="K24931" s="13"/>
    </row>
    <row r="24932" spans="4:11">
      <c r="D24932" s="13"/>
      <c r="E24932" s="13"/>
      <c r="F24932" s="13"/>
      <c r="G24932" s="13"/>
      <c r="H24932" s="13"/>
      <c r="I24932" s="13"/>
      <c r="J24932" s="13"/>
      <c r="K24932" s="13"/>
    </row>
    <row r="24933" spans="4:11">
      <c r="D24933" s="13"/>
      <c r="E24933" s="13"/>
      <c r="F24933" s="13"/>
      <c r="G24933" s="13"/>
      <c r="H24933" s="13"/>
      <c r="I24933" s="13"/>
      <c r="J24933" s="13"/>
      <c r="K24933" s="13"/>
    </row>
    <row r="24934" spans="4:11">
      <c r="D24934" s="13"/>
      <c r="E24934" s="13"/>
      <c r="F24934" s="13"/>
      <c r="G24934" s="13"/>
      <c r="H24934" s="13"/>
      <c r="I24934" s="13"/>
      <c r="J24934" s="13"/>
      <c r="K24934" s="13"/>
    </row>
    <row r="24935" spans="4:11">
      <c r="D24935" s="13"/>
      <c r="E24935" s="13"/>
      <c r="F24935" s="13"/>
      <c r="G24935" s="13"/>
      <c r="H24935" s="13"/>
      <c r="I24935" s="13"/>
      <c r="J24935" s="13"/>
      <c r="K24935" s="13"/>
    </row>
    <row r="24936" spans="4:11">
      <c r="D24936" s="13"/>
      <c r="E24936" s="13"/>
      <c r="F24936" s="13"/>
      <c r="G24936" s="13"/>
      <c r="H24936" s="13"/>
      <c r="I24936" s="13"/>
      <c r="J24936" s="13"/>
      <c r="K24936" s="13"/>
    </row>
    <row r="24937" spans="4:11">
      <c r="D24937" s="13"/>
      <c r="E24937" s="13"/>
      <c r="F24937" s="13"/>
      <c r="G24937" s="13"/>
      <c r="H24937" s="13"/>
      <c r="I24937" s="13"/>
      <c r="J24937" s="13"/>
      <c r="K24937" s="13"/>
    </row>
    <row r="24938" spans="4:11">
      <c r="D24938" s="13"/>
      <c r="E24938" s="13"/>
      <c r="F24938" s="13"/>
      <c r="G24938" s="13"/>
      <c r="H24938" s="13"/>
      <c r="I24938" s="13"/>
      <c r="J24938" s="13"/>
      <c r="K24938" s="13"/>
    </row>
    <row r="24939" spans="4:11">
      <c r="D24939" s="13"/>
      <c r="E24939" s="13"/>
      <c r="F24939" s="13"/>
      <c r="G24939" s="13"/>
      <c r="H24939" s="13"/>
      <c r="I24939" s="13"/>
      <c r="J24939" s="13"/>
      <c r="K24939" s="13"/>
    </row>
    <row r="24940" spans="4:11">
      <c r="D24940" s="13"/>
      <c r="E24940" s="13"/>
      <c r="F24940" s="13"/>
      <c r="G24940" s="13"/>
      <c r="H24940" s="13"/>
      <c r="I24940" s="13"/>
      <c r="J24940" s="13"/>
      <c r="K24940" s="13"/>
    </row>
    <row r="24941" spans="4:11">
      <c r="D24941" s="13"/>
      <c r="E24941" s="13"/>
      <c r="F24941" s="13"/>
      <c r="G24941" s="13"/>
      <c r="H24941" s="13"/>
      <c r="I24941" s="13"/>
      <c r="J24941" s="13"/>
      <c r="K24941" s="13"/>
    </row>
    <row r="24942" spans="4:11">
      <c r="D24942" s="13"/>
      <c r="E24942" s="13"/>
      <c r="F24942" s="13"/>
      <c r="G24942" s="13"/>
      <c r="H24942" s="13"/>
      <c r="I24942" s="13"/>
      <c r="J24942" s="13"/>
      <c r="K24942" s="13"/>
    </row>
    <row r="24943" spans="4:11">
      <c r="D24943" s="13"/>
      <c r="E24943" s="13"/>
      <c r="F24943" s="13"/>
      <c r="G24943" s="13"/>
      <c r="H24943" s="13"/>
      <c r="I24943" s="13"/>
      <c r="J24943" s="13"/>
      <c r="K24943" s="13"/>
    </row>
    <row r="24944" spans="4:11">
      <c r="D24944" s="13"/>
      <c r="E24944" s="13"/>
      <c r="F24944" s="13"/>
      <c r="G24944" s="13"/>
      <c r="H24944" s="13"/>
      <c r="I24944" s="13"/>
      <c r="J24944" s="13"/>
      <c r="K24944" s="13"/>
    </row>
    <row r="24945" spans="4:11">
      <c r="D24945" s="13"/>
      <c r="E24945" s="13"/>
      <c r="F24945" s="13"/>
      <c r="G24945" s="13"/>
      <c r="H24945" s="13"/>
      <c r="I24945" s="13"/>
      <c r="J24945" s="13"/>
      <c r="K24945" s="13"/>
    </row>
    <row r="24946" spans="4:11">
      <c r="D24946" s="13"/>
      <c r="E24946" s="13"/>
      <c r="F24946" s="13"/>
      <c r="G24946" s="13"/>
      <c r="H24946" s="13"/>
      <c r="I24946" s="13"/>
      <c r="J24946" s="13"/>
      <c r="K24946" s="13"/>
    </row>
    <row r="24947" spans="4:11">
      <c r="D24947" s="13"/>
      <c r="E24947" s="13"/>
      <c r="F24947" s="13"/>
      <c r="G24947" s="13"/>
      <c r="H24947" s="13"/>
      <c r="I24947" s="13"/>
      <c r="J24947" s="13"/>
      <c r="K24947" s="13"/>
    </row>
    <row r="24948" spans="4:11">
      <c r="D24948" s="13"/>
      <c r="E24948" s="13"/>
      <c r="F24948" s="13"/>
      <c r="G24948" s="13"/>
      <c r="H24948" s="13"/>
      <c r="I24948" s="13"/>
      <c r="J24948" s="13"/>
      <c r="K24948" s="13"/>
    </row>
    <row r="24949" spans="4:11">
      <c r="D24949" s="13"/>
      <c r="E24949" s="13"/>
      <c r="F24949" s="13"/>
      <c r="G24949" s="13"/>
      <c r="H24949" s="13"/>
      <c r="I24949" s="13"/>
      <c r="J24949" s="13"/>
      <c r="K24949" s="13"/>
    </row>
    <row r="24950" spans="4:11">
      <c r="D24950" s="13"/>
      <c r="E24950" s="13"/>
      <c r="F24950" s="13"/>
      <c r="G24950" s="13"/>
      <c r="H24950" s="13"/>
      <c r="I24950" s="13"/>
      <c r="J24950" s="13"/>
      <c r="K24950" s="13"/>
    </row>
    <row r="24951" spans="4:11">
      <c r="D24951" s="13"/>
      <c r="E24951" s="13"/>
      <c r="F24951" s="13"/>
      <c r="G24951" s="13"/>
      <c r="H24951" s="13"/>
      <c r="I24951" s="13"/>
      <c r="J24951" s="13"/>
      <c r="K24951" s="13"/>
    </row>
    <row r="24952" spans="4:11">
      <c r="D24952" s="13"/>
      <c r="E24952" s="13"/>
      <c r="F24952" s="13"/>
      <c r="G24952" s="13"/>
      <c r="H24952" s="13"/>
      <c r="I24952" s="13"/>
      <c r="J24952" s="13"/>
      <c r="K24952" s="13"/>
    </row>
    <row r="24953" spans="4:11">
      <c r="D24953" s="13"/>
      <c r="E24953" s="13"/>
      <c r="F24953" s="13"/>
      <c r="G24953" s="13"/>
      <c r="H24953" s="13"/>
      <c r="I24953" s="13"/>
      <c r="J24953" s="13"/>
      <c r="K24953" s="13"/>
    </row>
    <row r="24954" spans="4:11">
      <c r="D24954" s="13"/>
      <c r="E24954" s="13"/>
      <c r="F24954" s="13"/>
      <c r="G24954" s="13"/>
      <c r="H24954" s="13"/>
      <c r="I24954" s="13"/>
      <c r="J24954" s="13"/>
      <c r="K24954" s="13"/>
    </row>
    <row r="24955" spans="4:11">
      <c r="D24955" s="13"/>
      <c r="E24955" s="13"/>
      <c r="F24955" s="13"/>
      <c r="G24955" s="13"/>
      <c r="H24955" s="13"/>
      <c r="I24955" s="13"/>
      <c r="J24955" s="13"/>
      <c r="K24955" s="13"/>
    </row>
    <row r="24956" spans="4:11">
      <c r="D24956" s="13"/>
      <c r="E24956" s="13"/>
      <c r="F24956" s="13"/>
      <c r="G24956" s="13"/>
      <c r="H24956" s="13"/>
      <c r="I24956" s="13"/>
      <c r="J24956" s="13"/>
      <c r="K24956" s="13"/>
    </row>
    <row r="24957" spans="4:11">
      <c r="D24957" s="13"/>
      <c r="E24957" s="13"/>
      <c r="F24957" s="13"/>
      <c r="G24957" s="13"/>
      <c r="H24957" s="13"/>
      <c r="I24957" s="13"/>
      <c r="J24957" s="13"/>
      <c r="K24957" s="13"/>
    </row>
    <row r="24958" spans="4:11">
      <c r="D24958" s="13"/>
      <c r="E24958" s="13"/>
      <c r="F24958" s="13"/>
      <c r="G24958" s="13"/>
      <c r="H24958" s="13"/>
      <c r="I24958" s="13"/>
      <c r="J24958" s="13"/>
      <c r="K24958" s="13"/>
    </row>
    <row r="24959" spans="4:11">
      <c r="D24959" s="13"/>
      <c r="E24959" s="13"/>
      <c r="F24959" s="13"/>
      <c r="G24959" s="13"/>
      <c r="H24959" s="13"/>
      <c r="I24959" s="13"/>
      <c r="J24959" s="13"/>
      <c r="K24959" s="13"/>
    </row>
    <row r="24960" spans="4:11">
      <c r="D24960" s="13"/>
      <c r="E24960" s="13"/>
      <c r="F24960" s="13"/>
      <c r="G24960" s="13"/>
      <c r="H24960" s="13"/>
      <c r="I24960" s="13"/>
      <c r="J24960" s="13"/>
      <c r="K24960" s="13"/>
    </row>
    <row r="24961" spans="4:11">
      <c r="D24961" s="13"/>
      <c r="E24961" s="13"/>
      <c r="F24961" s="13"/>
      <c r="G24961" s="13"/>
      <c r="H24961" s="13"/>
      <c r="I24961" s="13"/>
      <c r="J24961" s="13"/>
      <c r="K24961" s="13"/>
    </row>
    <row r="24962" spans="4:11">
      <c r="D24962" s="13"/>
      <c r="E24962" s="13"/>
      <c r="F24962" s="13"/>
      <c r="G24962" s="13"/>
      <c r="H24962" s="13"/>
      <c r="I24962" s="13"/>
      <c r="J24962" s="13"/>
      <c r="K24962" s="13"/>
    </row>
    <row r="24963" spans="4:11">
      <c r="D24963" s="13"/>
      <c r="E24963" s="13"/>
      <c r="F24963" s="13"/>
      <c r="G24963" s="13"/>
      <c r="H24963" s="13"/>
      <c r="I24963" s="13"/>
      <c r="J24963" s="13"/>
      <c r="K24963" s="13"/>
    </row>
    <row r="24964" spans="4:11">
      <c r="D24964" s="13"/>
      <c r="E24964" s="13"/>
      <c r="F24964" s="13"/>
      <c r="G24964" s="13"/>
      <c r="H24964" s="13"/>
      <c r="I24964" s="13"/>
      <c r="J24964" s="13"/>
      <c r="K24964" s="13"/>
    </row>
    <row r="24965" spans="4:11">
      <c r="D24965" s="13"/>
      <c r="E24965" s="13"/>
      <c r="F24965" s="13"/>
      <c r="G24965" s="13"/>
      <c r="H24965" s="13"/>
      <c r="I24965" s="13"/>
      <c r="J24965" s="13"/>
      <c r="K24965" s="13"/>
    </row>
    <row r="24966" spans="4:11">
      <c r="D24966" s="13"/>
      <c r="E24966" s="13"/>
      <c r="F24966" s="13"/>
      <c r="G24966" s="13"/>
      <c r="H24966" s="13"/>
      <c r="I24966" s="13"/>
      <c r="J24966" s="13"/>
      <c r="K24966" s="13"/>
    </row>
    <row r="24967" spans="4:11">
      <c r="D24967" s="13"/>
      <c r="E24967" s="13"/>
      <c r="F24967" s="13"/>
      <c r="G24967" s="13"/>
      <c r="H24967" s="13"/>
      <c r="I24967" s="13"/>
      <c r="J24967" s="13"/>
      <c r="K24967" s="13"/>
    </row>
    <row r="24968" spans="4:11">
      <c r="D24968" s="13"/>
      <c r="E24968" s="13"/>
      <c r="F24968" s="13"/>
      <c r="G24968" s="13"/>
      <c r="H24968" s="13"/>
      <c r="I24968" s="13"/>
      <c r="J24968" s="13"/>
      <c r="K24968" s="13"/>
    </row>
    <row r="24969" spans="4:11">
      <c r="D24969" s="13"/>
      <c r="E24969" s="13"/>
      <c r="F24969" s="13"/>
      <c r="G24969" s="13"/>
      <c r="H24969" s="13"/>
      <c r="I24969" s="13"/>
      <c r="J24969" s="13"/>
      <c r="K24969" s="13"/>
    </row>
    <row r="24970" spans="4:11">
      <c r="D24970" s="13"/>
      <c r="E24970" s="13"/>
      <c r="F24970" s="13"/>
      <c r="G24970" s="13"/>
      <c r="H24970" s="13"/>
      <c r="I24970" s="13"/>
      <c r="J24970" s="13"/>
      <c r="K24970" s="13"/>
    </row>
    <row r="24971" spans="4:11">
      <c r="D24971" s="13"/>
      <c r="E24971" s="13"/>
      <c r="F24971" s="13"/>
      <c r="G24971" s="13"/>
      <c r="H24971" s="13"/>
      <c r="I24971" s="13"/>
      <c r="J24971" s="13"/>
      <c r="K24971" s="13"/>
    </row>
    <row r="24972" spans="4:11">
      <c r="D24972" s="13"/>
      <c r="E24972" s="13"/>
      <c r="F24972" s="13"/>
      <c r="G24972" s="13"/>
      <c r="H24972" s="13"/>
      <c r="I24972" s="13"/>
      <c r="J24972" s="13"/>
      <c r="K24972" s="13"/>
    </row>
    <row r="24973" spans="4:11">
      <c r="D24973" s="13"/>
      <c r="E24973" s="13"/>
      <c r="F24973" s="13"/>
      <c r="G24973" s="13"/>
      <c r="H24973" s="13"/>
      <c r="I24973" s="13"/>
      <c r="J24973" s="13"/>
      <c r="K24973" s="13"/>
    </row>
    <row r="24974" spans="4:11">
      <c r="D24974" s="13"/>
      <c r="E24974" s="13"/>
      <c r="F24974" s="13"/>
      <c r="G24974" s="13"/>
      <c r="H24974" s="13"/>
      <c r="I24974" s="13"/>
      <c r="J24974" s="13"/>
      <c r="K24974" s="13"/>
    </row>
    <row r="24975" spans="4:11">
      <c r="D24975" s="13"/>
      <c r="E24975" s="13"/>
      <c r="F24975" s="13"/>
      <c r="G24975" s="13"/>
      <c r="H24975" s="13"/>
      <c r="I24975" s="13"/>
      <c r="J24975" s="13"/>
      <c r="K24975" s="13"/>
    </row>
    <row r="24976" spans="4:11">
      <c r="D24976" s="13"/>
      <c r="E24976" s="13"/>
      <c r="F24976" s="13"/>
      <c r="G24976" s="13"/>
      <c r="H24976" s="13"/>
      <c r="I24976" s="13"/>
      <c r="J24976" s="13"/>
      <c r="K24976" s="13"/>
    </row>
    <row r="24977" spans="4:11">
      <c r="D24977" s="13"/>
      <c r="E24977" s="13"/>
      <c r="F24977" s="13"/>
      <c r="G24977" s="13"/>
      <c r="H24977" s="13"/>
      <c r="I24977" s="13"/>
      <c r="J24977" s="13"/>
      <c r="K24977" s="13"/>
    </row>
    <row r="24978" spans="4:11">
      <c r="D24978" s="13"/>
      <c r="E24978" s="13"/>
      <c r="F24978" s="13"/>
      <c r="G24978" s="13"/>
      <c r="H24978" s="13"/>
      <c r="I24978" s="13"/>
      <c r="J24978" s="13"/>
      <c r="K24978" s="13"/>
    </row>
    <row r="24979" spans="4:11">
      <c r="D24979" s="13"/>
      <c r="E24979" s="13"/>
      <c r="F24979" s="13"/>
      <c r="G24979" s="13"/>
      <c r="H24979" s="13"/>
      <c r="I24979" s="13"/>
      <c r="J24979" s="13"/>
      <c r="K24979" s="13"/>
    </row>
    <row r="24980" spans="4:11">
      <c r="D24980" s="13"/>
      <c r="E24980" s="13"/>
      <c r="F24980" s="13"/>
      <c r="G24980" s="13"/>
      <c r="H24980" s="13"/>
      <c r="I24980" s="13"/>
      <c r="J24980" s="13"/>
      <c r="K24980" s="13"/>
    </row>
    <row r="24981" spans="4:11">
      <c r="D24981" s="13"/>
      <c r="E24981" s="13"/>
      <c r="F24981" s="13"/>
      <c r="G24981" s="13"/>
      <c r="H24981" s="13"/>
      <c r="I24981" s="13"/>
      <c r="J24981" s="13"/>
      <c r="K24981" s="13"/>
    </row>
    <row r="24982" spans="4:11">
      <c r="D24982" s="13"/>
      <c r="E24982" s="13"/>
      <c r="F24982" s="13"/>
      <c r="G24982" s="13"/>
      <c r="H24982" s="13"/>
      <c r="I24982" s="13"/>
      <c r="J24982" s="13"/>
      <c r="K24982" s="13"/>
    </row>
    <row r="24983" spans="4:11">
      <c r="D24983" s="13"/>
      <c r="E24983" s="13"/>
      <c r="F24983" s="13"/>
      <c r="G24983" s="13"/>
      <c r="H24983" s="13"/>
      <c r="I24983" s="13"/>
      <c r="J24983" s="13"/>
      <c r="K24983" s="13"/>
    </row>
    <row r="24984" spans="4:11">
      <c r="D24984" s="13"/>
      <c r="E24984" s="13"/>
      <c r="F24984" s="13"/>
      <c r="G24984" s="13"/>
      <c r="H24984" s="13"/>
      <c r="I24984" s="13"/>
      <c r="J24984" s="13"/>
      <c r="K24984" s="13"/>
    </row>
    <row r="24985" spans="4:11">
      <c r="D24985" s="13"/>
      <c r="E24985" s="13"/>
      <c r="F24985" s="13"/>
      <c r="G24985" s="13"/>
      <c r="H24985" s="13"/>
      <c r="I24985" s="13"/>
      <c r="J24985" s="13"/>
      <c r="K24985" s="13"/>
    </row>
    <row r="24986" spans="4:11">
      <c r="D24986" s="13"/>
      <c r="E24986" s="13"/>
      <c r="F24986" s="13"/>
      <c r="G24986" s="13"/>
      <c r="H24986" s="13"/>
      <c r="I24986" s="13"/>
      <c r="J24986" s="13"/>
      <c r="K24986" s="13"/>
    </row>
    <row r="24987" spans="4:11">
      <c r="D24987" s="13"/>
      <c r="E24987" s="13"/>
      <c r="F24987" s="13"/>
      <c r="G24987" s="13"/>
      <c r="H24987" s="13"/>
      <c r="I24987" s="13"/>
      <c r="J24987" s="13"/>
      <c r="K24987" s="13"/>
    </row>
    <row r="24988" spans="4:11">
      <c r="D24988" s="13"/>
      <c r="E24988" s="13"/>
      <c r="F24988" s="13"/>
      <c r="G24988" s="13"/>
      <c r="H24988" s="13"/>
      <c r="I24988" s="13"/>
      <c r="J24988" s="13"/>
      <c r="K24988" s="13"/>
    </row>
    <row r="24989" spans="4:11">
      <c r="D24989" s="13"/>
      <c r="E24989" s="13"/>
      <c r="F24989" s="13"/>
      <c r="G24989" s="13"/>
      <c r="H24989" s="13"/>
      <c r="I24989" s="13"/>
      <c r="J24989" s="13"/>
      <c r="K24989" s="13"/>
    </row>
    <row r="24990" spans="4:11">
      <c r="D24990" s="13"/>
      <c r="E24990" s="13"/>
      <c r="F24990" s="13"/>
      <c r="G24990" s="13"/>
      <c r="H24990" s="13"/>
      <c r="I24990" s="13"/>
      <c r="J24990" s="13"/>
      <c r="K24990" s="13"/>
    </row>
    <row r="24991" spans="4:11">
      <c r="D24991" s="13"/>
      <c r="E24991" s="13"/>
      <c r="F24991" s="13"/>
      <c r="G24991" s="13"/>
      <c r="H24991" s="13"/>
      <c r="I24991" s="13"/>
      <c r="J24991" s="13"/>
      <c r="K24991" s="13"/>
    </row>
    <row r="24992" spans="4:11">
      <c r="D24992" s="13"/>
      <c r="E24992" s="13"/>
      <c r="F24992" s="13"/>
      <c r="G24992" s="13"/>
      <c r="H24992" s="13"/>
      <c r="I24992" s="13"/>
      <c r="J24992" s="13"/>
      <c r="K24992" s="13"/>
    </row>
    <row r="24993" spans="4:11">
      <c r="D24993" s="13"/>
      <c r="E24993" s="13"/>
      <c r="F24993" s="13"/>
      <c r="G24993" s="13"/>
      <c r="H24993" s="13"/>
      <c r="I24993" s="13"/>
      <c r="J24993" s="13"/>
      <c r="K24993" s="13"/>
    </row>
    <row r="24994" spans="4:11">
      <c r="D24994" s="13"/>
      <c r="E24994" s="13"/>
      <c r="F24994" s="13"/>
      <c r="G24994" s="13"/>
      <c r="H24994" s="13"/>
      <c r="I24994" s="13"/>
      <c r="J24994" s="13"/>
      <c r="K24994" s="13"/>
    </row>
    <row r="24995" spans="4:11">
      <c r="D24995" s="13"/>
      <c r="E24995" s="13"/>
      <c r="F24995" s="13"/>
      <c r="G24995" s="13"/>
      <c r="H24995" s="13"/>
      <c r="I24995" s="13"/>
      <c r="J24995" s="13"/>
      <c r="K24995" s="13"/>
    </row>
    <row r="24996" spans="4:11">
      <c r="D24996" s="13"/>
      <c r="E24996" s="13"/>
      <c r="F24996" s="13"/>
      <c r="G24996" s="13"/>
      <c r="H24996" s="13"/>
      <c r="I24996" s="13"/>
      <c r="J24996" s="13"/>
      <c r="K24996" s="13"/>
    </row>
    <row r="24997" spans="4:11">
      <c r="D24997" s="13"/>
      <c r="E24997" s="13"/>
      <c r="F24997" s="13"/>
      <c r="G24997" s="13"/>
      <c r="H24997" s="13"/>
      <c r="I24997" s="13"/>
      <c r="J24997" s="13"/>
      <c r="K24997" s="13"/>
    </row>
    <row r="24998" spans="4:11">
      <c r="D24998" s="13"/>
      <c r="E24998" s="13"/>
      <c r="F24998" s="13"/>
      <c r="G24998" s="13"/>
      <c r="H24998" s="13"/>
      <c r="I24998" s="13"/>
      <c r="J24998" s="13"/>
      <c r="K24998" s="13"/>
    </row>
    <row r="24999" spans="4:11">
      <c r="D24999" s="13"/>
      <c r="E24999" s="13"/>
      <c r="F24999" s="13"/>
      <c r="G24999" s="13"/>
      <c r="H24999" s="13"/>
      <c r="I24999" s="13"/>
      <c r="J24999" s="13"/>
      <c r="K24999" s="13"/>
    </row>
    <row r="25000" spans="4:11">
      <c r="D25000" s="13"/>
      <c r="E25000" s="13"/>
      <c r="F25000" s="13"/>
      <c r="G25000" s="13"/>
      <c r="H25000" s="13"/>
      <c r="I25000" s="13"/>
      <c r="J25000" s="13"/>
      <c r="K25000" s="13"/>
    </row>
    <row r="25001" spans="4:11">
      <c r="D25001" s="13"/>
      <c r="E25001" s="13"/>
      <c r="F25001" s="13"/>
      <c r="G25001" s="13"/>
      <c r="H25001" s="13"/>
      <c r="I25001" s="13"/>
      <c r="J25001" s="13"/>
      <c r="K25001" s="13"/>
    </row>
    <row r="25002" spans="4:11">
      <c r="D25002" s="13"/>
      <c r="E25002" s="13"/>
      <c r="F25002" s="13"/>
      <c r="G25002" s="13"/>
      <c r="H25002" s="13"/>
      <c r="I25002" s="13"/>
      <c r="J25002" s="13"/>
      <c r="K25002" s="13"/>
    </row>
    <row r="25003" spans="4:11">
      <c r="D25003" s="13"/>
      <c r="E25003" s="13"/>
      <c r="F25003" s="13"/>
      <c r="G25003" s="13"/>
      <c r="H25003" s="13"/>
      <c r="I25003" s="13"/>
      <c r="J25003" s="13"/>
      <c r="K25003" s="13"/>
    </row>
    <row r="25004" spans="4:11">
      <c r="D25004" s="13"/>
      <c r="E25004" s="13"/>
      <c r="F25004" s="13"/>
      <c r="G25004" s="13"/>
      <c r="H25004" s="13"/>
      <c r="I25004" s="13"/>
      <c r="J25004" s="13"/>
      <c r="K25004" s="13"/>
    </row>
    <row r="25005" spans="4:11">
      <c r="D25005" s="13"/>
      <c r="E25005" s="13"/>
      <c r="F25005" s="13"/>
      <c r="G25005" s="13"/>
      <c r="H25005" s="13"/>
      <c r="I25005" s="13"/>
      <c r="J25005" s="13"/>
      <c r="K25005" s="13"/>
    </row>
    <row r="25006" spans="4:11">
      <c r="D25006" s="13"/>
      <c r="E25006" s="13"/>
      <c r="F25006" s="13"/>
      <c r="G25006" s="13"/>
      <c r="H25006" s="13"/>
      <c r="I25006" s="13"/>
      <c r="J25006" s="13"/>
      <c r="K25006" s="13"/>
    </row>
    <row r="25007" spans="4:11">
      <c r="D25007" s="13"/>
      <c r="E25007" s="13"/>
      <c r="F25007" s="13"/>
      <c r="G25007" s="13"/>
      <c r="H25007" s="13"/>
      <c r="I25007" s="13"/>
      <c r="J25007" s="13"/>
      <c r="K25007" s="13"/>
    </row>
    <row r="25008" spans="4:11">
      <c r="D25008" s="13"/>
      <c r="E25008" s="13"/>
      <c r="F25008" s="13"/>
      <c r="G25008" s="13"/>
      <c r="H25008" s="13"/>
      <c r="I25008" s="13"/>
      <c r="J25008" s="13"/>
      <c r="K25008" s="13"/>
    </row>
    <row r="25009" spans="4:11">
      <c r="D25009" s="13"/>
      <c r="E25009" s="13"/>
      <c r="F25009" s="13"/>
      <c r="G25009" s="13"/>
      <c r="H25009" s="13"/>
      <c r="I25009" s="13"/>
      <c r="J25009" s="13"/>
      <c r="K25009" s="13"/>
    </row>
    <row r="25010" spans="4:11">
      <c r="D25010" s="13"/>
      <c r="E25010" s="13"/>
      <c r="F25010" s="13"/>
      <c r="G25010" s="13"/>
      <c r="H25010" s="13"/>
      <c r="I25010" s="13"/>
      <c r="J25010" s="13"/>
      <c r="K25010" s="13"/>
    </row>
    <row r="25011" spans="4:11">
      <c r="D25011" s="13"/>
      <c r="E25011" s="13"/>
      <c r="F25011" s="13"/>
      <c r="G25011" s="13"/>
      <c r="H25011" s="13"/>
      <c r="I25011" s="13"/>
      <c r="J25011" s="13"/>
      <c r="K25011" s="13"/>
    </row>
    <row r="25012" spans="4:11">
      <c r="D25012" s="13"/>
      <c r="E25012" s="13"/>
      <c r="F25012" s="13"/>
      <c r="G25012" s="13"/>
      <c r="H25012" s="13"/>
      <c r="I25012" s="13"/>
      <c r="J25012" s="13"/>
      <c r="K25012" s="13"/>
    </row>
    <row r="25013" spans="4:11">
      <c r="D25013" s="13"/>
      <c r="E25013" s="13"/>
      <c r="F25013" s="13"/>
      <c r="G25013" s="13"/>
      <c r="H25013" s="13"/>
      <c r="I25013" s="13"/>
      <c r="J25013" s="13"/>
      <c r="K25013" s="13"/>
    </row>
    <row r="25014" spans="4:11">
      <c r="D25014" s="13"/>
      <c r="E25014" s="13"/>
      <c r="F25014" s="13"/>
      <c r="G25014" s="13"/>
      <c r="H25014" s="13"/>
      <c r="I25014" s="13"/>
      <c r="J25014" s="13"/>
      <c r="K25014" s="13"/>
    </row>
    <row r="25015" spans="4:11">
      <c r="D25015" s="13"/>
      <c r="E25015" s="13"/>
      <c r="F25015" s="13"/>
      <c r="G25015" s="13"/>
      <c r="H25015" s="13"/>
      <c r="I25015" s="13"/>
      <c r="J25015" s="13"/>
      <c r="K25015" s="13"/>
    </row>
    <row r="25016" spans="4:11">
      <c r="D25016" s="13"/>
      <c r="E25016" s="13"/>
      <c r="F25016" s="13"/>
      <c r="G25016" s="13"/>
      <c r="H25016" s="13"/>
      <c r="I25016" s="13"/>
      <c r="J25016" s="13"/>
      <c r="K25016" s="13"/>
    </row>
    <row r="25017" spans="4:11">
      <c r="D25017" s="13"/>
      <c r="E25017" s="13"/>
      <c r="F25017" s="13"/>
      <c r="G25017" s="13"/>
      <c r="H25017" s="13"/>
      <c r="I25017" s="13"/>
      <c r="J25017" s="13"/>
      <c r="K25017" s="13"/>
    </row>
    <row r="25018" spans="4:11">
      <c r="D25018" s="13"/>
      <c r="E25018" s="13"/>
      <c r="F25018" s="13"/>
      <c r="G25018" s="13"/>
      <c r="H25018" s="13"/>
      <c r="I25018" s="13"/>
      <c r="J25018" s="13"/>
      <c r="K25018" s="13"/>
    </row>
    <row r="25019" spans="4:11">
      <c r="D25019" s="13"/>
      <c r="E25019" s="13"/>
      <c r="F25019" s="13"/>
      <c r="G25019" s="13"/>
      <c r="H25019" s="13"/>
      <c r="I25019" s="13"/>
      <c r="J25019" s="13"/>
      <c r="K25019" s="13"/>
    </row>
    <row r="25020" spans="4:11">
      <c r="D25020" s="13"/>
      <c r="E25020" s="13"/>
      <c r="F25020" s="13"/>
      <c r="G25020" s="13"/>
      <c r="H25020" s="13"/>
      <c r="I25020" s="13"/>
      <c r="J25020" s="13"/>
      <c r="K25020" s="13"/>
    </row>
    <row r="25021" spans="4:11">
      <c r="D25021" s="13"/>
      <c r="E25021" s="13"/>
      <c r="F25021" s="13"/>
      <c r="G25021" s="13"/>
      <c r="H25021" s="13"/>
      <c r="I25021" s="13"/>
      <c r="J25021" s="13"/>
      <c r="K25021" s="13"/>
    </row>
    <row r="25022" spans="4:11">
      <c r="D25022" s="13"/>
      <c r="E25022" s="13"/>
      <c r="F25022" s="13"/>
      <c r="G25022" s="13"/>
      <c r="H25022" s="13"/>
      <c r="I25022" s="13"/>
      <c r="J25022" s="13"/>
      <c r="K25022" s="13"/>
    </row>
    <row r="25023" spans="4:11">
      <c r="D25023" s="13"/>
      <c r="E25023" s="13"/>
      <c r="F25023" s="13"/>
      <c r="G25023" s="13"/>
      <c r="H25023" s="13"/>
      <c r="I25023" s="13"/>
      <c r="J25023" s="13"/>
      <c r="K25023" s="13"/>
    </row>
    <row r="25024" spans="4:11">
      <c r="D25024" s="13"/>
      <c r="E25024" s="13"/>
      <c r="F25024" s="13"/>
      <c r="G25024" s="13"/>
      <c r="H25024" s="13"/>
      <c r="I25024" s="13"/>
      <c r="J25024" s="13"/>
      <c r="K25024" s="13"/>
    </row>
    <row r="25025" spans="4:11">
      <c r="D25025" s="13"/>
      <c r="E25025" s="13"/>
      <c r="F25025" s="13"/>
      <c r="G25025" s="13"/>
      <c r="H25025" s="13"/>
      <c r="I25025" s="13"/>
      <c r="J25025" s="13"/>
      <c r="K25025" s="13"/>
    </row>
    <row r="25026" spans="4:11">
      <c r="D25026" s="13"/>
      <c r="E25026" s="13"/>
      <c r="F25026" s="13"/>
      <c r="G25026" s="13"/>
      <c r="H25026" s="13"/>
      <c r="I25026" s="13"/>
      <c r="J25026" s="13"/>
      <c r="K25026" s="13"/>
    </row>
    <row r="25027" spans="4:11">
      <c r="D25027" s="13"/>
      <c r="E25027" s="13"/>
      <c r="F25027" s="13"/>
      <c r="G25027" s="13"/>
      <c r="H25027" s="13"/>
      <c r="I25027" s="13"/>
      <c r="J25027" s="13"/>
      <c r="K25027" s="13"/>
    </row>
    <row r="25028" spans="4:11">
      <c r="D25028" s="13"/>
      <c r="E25028" s="13"/>
      <c r="F25028" s="13"/>
      <c r="G25028" s="13"/>
      <c r="H25028" s="13"/>
      <c r="I25028" s="13"/>
      <c r="J25028" s="13"/>
      <c r="K25028" s="13"/>
    </row>
    <row r="25029" spans="4:11">
      <c r="D25029" s="13"/>
      <c r="E25029" s="13"/>
      <c r="F25029" s="13"/>
      <c r="G25029" s="13"/>
      <c r="H25029" s="13"/>
      <c r="I25029" s="13"/>
      <c r="J25029" s="13"/>
      <c r="K25029" s="13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3"/>
  <dimension ref="A1:F168"/>
  <sheetViews>
    <sheetView topLeftCell="A136" workbookViewId="0">
      <selection activeCell="F147" sqref="F147"/>
    </sheetView>
  </sheetViews>
  <sheetFormatPr defaultColWidth="11.42578125" defaultRowHeight="15"/>
  <cols>
    <col min="1" max="1" width="11.42578125" style="1"/>
    <col min="2" max="2" width="25.42578125" style="1" customWidth="1"/>
    <col min="3" max="16384" width="11.42578125" style="1"/>
  </cols>
  <sheetData>
    <row r="1" spans="1:3">
      <c r="A1" s="1" t="s">
        <v>441</v>
      </c>
    </row>
    <row r="2" spans="1:3">
      <c r="A2" s="1" t="s">
        <v>11</v>
      </c>
    </row>
    <row r="3" spans="1:3">
      <c r="A3" s="1" t="s">
        <v>440</v>
      </c>
    </row>
    <row r="5" spans="1:3">
      <c r="A5" s="1" t="s">
        <v>284</v>
      </c>
      <c r="B5" s="1" t="s">
        <v>175</v>
      </c>
      <c r="C5" s="1">
        <v>101</v>
      </c>
    </row>
    <row r="6" spans="1:3">
      <c r="A6" s="1" t="s">
        <v>284</v>
      </c>
      <c r="B6" s="1" t="s">
        <v>176</v>
      </c>
      <c r="C6" s="1">
        <v>101</v>
      </c>
    </row>
    <row r="7" spans="1:3">
      <c r="A7" s="1" t="s">
        <v>284</v>
      </c>
      <c r="B7" s="1" t="s">
        <v>140</v>
      </c>
      <c r="C7" s="1">
        <v>11</v>
      </c>
    </row>
    <row r="8" spans="1:3">
      <c r="A8" s="1" t="s">
        <v>284</v>
      </c>
      <c r="B8" s="1" t="s">
        <v>141</v>
      </c>
      <c r="C8" s="1">
        <v>20</v>
      </c>
    </row>
    <row r="9" spans="1:3">
      <c r="A9" s="1" t="s">
        <v>284</v>
      </c>
      <c r="B9" s="1" t="s">
        <v>152</v>
      </c>
      <c r="C9" s="1">
        <v>40</v>
      </c>
    </row>
    <row r="10" spans="1:3">
      <c r="A10" s="1" t="s">
        <v>284</v>
      </c>
      <c r="B10" s="1" t="s">
        <v>153</v>
      </c>
      <c r="C10" s="1">
        <v>40</v>
      </c>
    </row>
    <row r="11" spans="1:3">
      <c r="A11" s="1" t="s">
        <v>284</v>
      </c>
      <c r="B11" s="1" t="s">
        <v>250</v>
      </c>
      <c r="C11" s="1">
        <v>30</v>
      </c>
    </row>
    <row r="12" spans="1:3">
      <c r="A12" s="1" t="s">
        <v>284</v>
      </c>
      <c r="B12" s="1" t="s">
        <v>252</v>
      </c>
      <c r="C12" s="1">
        <v>30</v>
      </c>
    </row>
    <row r="13" spans="1:3">
      <c r="A13" s="1" t="s">
        <v>284</v>
      </c>
      <c r="B13" s="1" t="s">
        <v>139</v>
      </c>
      <c r="C13" s="1">
        <v>40</v>
      </c>
    </row>
    <row r="14" spans="1:3">
      <c r="A14" s="1" t="s">
        <v>284</v>
      </c>
      <c r="B14" s="1" t="s">
        <v>142</v>
      </c>
      <c r="C14" s="1">
        <v>40</v>
      </c>
    </row>
    <row r="15" spans="1:3">
      <c r="A15" s="1" t="s">
        <v>284</v>
      </c>
      <c r="B15" s="1" t="s">
        <v>196</v>
      </c>
      <c r="C15" s="1">
        <v>30</v>
      </c>
    </row>
    <row r="16" spans="1:3">
      <c r="A16" s="1" t="s">
        <v>284</v>
      </c>
      <c r="B16" s="24" t="s">
        <v>134</v>
      </c>
      <c r="C16" s="1">
        <v>26</v>
      </c>
    </row>
    <row r="17" spans="1:3">
      <c r="A17" s="1" t="s">
        <v>284</v>
      </c>
      <c r="B17" s="24" t="s">
        <v>135</v>
      </c>
      <c r="C17" s="1">
        <v>31</v>
      </c>
    </row>
    <row r="18" spans="1:3">
      <c r="A18" s="1" t="s">
        <v>284</v>
      </c>
      <c r="B18" s="24" t="s">
        <v>129</v>
      </c>
      <c r="C18" s="1">
        <v>21</v>
      </c>
    </row>
    <row r="19" spans="1:3">
      <c r="A19" s="1" t="s">
        <v>284</v>
      </c>
      <c r="B19" s="24" t="s">
        <v>61</v>
      </c>
      <c r="C19" s="1">
        <v>21</v>
      </c>
    </row>
    <row r="20" spans="1:3">
      <c r="A20" s="1" t="s">
        <v>284</v>
      </c>
      <c r="B20" s="24" t="s">
        <v>130</v>
      </c>
      <c r="C20" s="1">
        <v>21</v>
      </c>
    </row>
    <row r="21" spans="1:3">
      <c r="A21" s="1" t="s">
        <v>284</v>
      </c>
      <c r="B21" s="24" t="s">
        <v>131</v>
      </c>
      <c r="C21" s="1">
        <v>26</v>
      </c>
    </row>
    <row r="22" spans="1:3">
      <c r="A22" s="1" t="s">
        <v>284</v>
      </c>
      <c r="B22" s="24" t="s">
        <v>188</v>
      </c>
      <c r="C22" s="1">
        <v>21</v>
      </c>
    </row>
    <row r="23" spans="1:3">
      <c r="A23" s="1" t="s">
        <v>284</v>
      </c>
      <c r="B23" s="24" t="s">
        <v>193</v>
      </c>
      <c r="C23" s="1">
        <v>26</v>
      </c>
    </row>
    <row r="24" spans="1:3">
      <c r="A24" s="1" t="s">
        <v>284</v>
      </c>
      <c r="B24" s="24" t="s">
        <v>181</v>
      </c>
      <c r="C24" s="1">
        <v>26</v>
      </c>
    </row>
    <row r="25" spans="1:3">
      <c r="A25" s="1" t="s">
        <v>284</v>
      </c>
      <c r="B25" s="24" t="s">
        <v>60</v>
      </c>
      <c r="C25" s="1">
        <v>31</v>
      </c>
    </row>
    <row r="26" spans="1:3">
      <c r="A26" s="1" t="s">
        <v>284</v>
      </c>
      <c r="B26" s="24" t="s">
        <v>59</v>
      </c>
      <c r="C26" s="1">
        <v>31</v>
      </c>
    </row>
    <row r="27" spans="1:3">
      <c r="A27" s="1" t="s">
        <v>284</v>
      </c>
      <c r="B27" s="1" t="s">
        <v>163</v>
      </c>
      <c r="C27" s="1">
        <v>31</v>
      </c>
    </row>
    <row r="28" spans="1:3">
      <c r="A28" s="1" t="s">
        <v>284</v>
      </c>
      <c r="B28" s="1" t="s">
        <v>107</v>
      </c>
      <c r="C28" s="1">
        <v>51</v>
      </c>
    </row>
    <row r="29" spans="1:3">
      <c r="A29" s="1" t="s">
        <v>284</v>
      </c>
      <c r="B29" s="1" t="s">
        <v>106</v>
      </c>
      <c r="C29" s="1">
        <v>31</v>
      </c>
    </row>
    <row r="30" spans="1:3">
      <c r="A30" s="1" t="s">
        <v>284</v>
      </c>
      <c r="B30" s="1" t="s">
        <v>22</v>
      </c>
      <c r="C30" s="1">
        <v>31</v>
      </c>
    </row>
    <row r="31" spans="1:3">
      <c r="A31" s="1" t="s">
        <v>284</v>
      </c>
      <c r="B31" s="1" t="s">
        <v>23</v>
      </c>
      <c r="C31" s="1">
        <v>41</v>
      </c>
    </row>
    <row r="32" spans="1:3">
      <c r="A32" s="1" t="s">
        <v>284</v>
      </c>
      <c r="B32" s="1" t="s">
        <v>58</v>
      </c>
      <c r="C32" s="1">
        <v>31</v>
      </c>
    </row>
    <row r="33" spans="1:3">
      <c r="A33" s="1" t="s">
        <v>284</v>
      </c>
      <c r="B33" s="24" t="s">
        <v>137</v>
      </c>
      <c r="C33" s="1">
        <v>16</v>
      </c>
    </row>
    <row r="34" spans="1:3">
      <c r="A34" s="1" t="s">
        <v>284</v>
      </c>
      <c r="B34" s="24" t="s">
        <v>62</v>
      </c>
      <c r="C34" s="1">
        <v>16</v>
      </c>
    </row>
    <row r="35" spans="1:3">
      <c r="A35" s="1" t="s">
        <v>284</v>
      </c>
      <c r="B35" s="24" t="s">
        <v>138</v>
      </c>
      <c r="C35" s="1">
        <v>16</v>
      </c>
    </row>
    <row r="36" spans="1:3">
      <c r="A36" s="1" t="s">
        <v>284</v>
      </c>
      <c r="B36" s="24" t="s">
        <v>132</v>
      </c>
      <c r="C36" s="1">
        <v>26</v>
      </c>
    </row>
    <row r="37" spans="1:3">
      <c r="A37" s="1" t="s">
        <v>284</v>
      </c>
      <c r="B37" s="24" t="s">
        <v>133</v>
      </c>
      <c r="C37" s="1">
        <v>31</v>
      </c>
    </row>
    <row r="38" spans="1:3">
      <c r="A38" s="1" t="s">
        <v>284</v>
      </c>
      <c r="B38" s="24" t="s">
        <v>64</v>
      </c>
      <c r="C38" s="1">
        <v>16</v>
      </c>
    </row>
    <row r="39" spans="1:3">
      <c r="A39" s="1" t="s">
        <v>284</v>
      </c>
      <c r="B39" s="24" t="s">
        <v>127</v>
      </c>
      <c r="C39" s="1">
        <v>21</v>
      </c>
    </row>
    <row r="40" spans="1:3">
      <c r="A40" s="1" t="s">
        <v>284</v>
      </c>
      <c r="B40" s="24" t="s">
        <v>63</v>
      </c>
      <c r="C40" s="1">
        <v>21</v>
      </c>
    </row>
    <row r="41" spans="1:3">
      <c r="A41" s="1" t="s">
        <v>284</v>
      </c>
      <c r="B41" s="24" t="s">
        <v>128</v>
      </c>
      <c r="C41" s="1">
        <v>21</v>
      </c>
    </row>
    <row r="42" spans="1:3">
      <c r="A42" s="1" t="s">
        <v>284</v>
      </c>
      <c r="B42" s="24" t="s">
        <v>194</v>
      </c>
      <c r="C42" s="1">
        <v>21</v>
      </c>
    </row>
    <row r="43" spans="1:3">
      <c r="A43" s="1" t="s">
        <v>284</v>
      </c>
      <c r="B43" s="24" t="s">
        <v>192</v>
      </c>
      <c r="C43" s="1">
        <v>21</v>
      </c>
    </row>
    <row r="44" spans="1:3">
      <c r="A44" s="1" t="s">
        <v>284</v>
      </c>
      <c r="B44" s="1" t="s">
        <v>90</v>
      </c>
      <c r="C44" s="1">
        <v>31</v>
      </c>
    </row>
    <row r="45" spans="1:3">
      <c r="A45" s="1" t="s">
        <v>284</v>
      </c>
      <c r="B45" s="1" t="s">
        <v>89</v>
      </c>
      <c r="C45" s="1">
        <v>31</v>
      </c>
    </row>
    <row r="46" spans="1:3">
      <c r="A46" s="1" t="s">
        <v>284</v>
      </c>
      <c r="B46" s="1" t="s">
        <v>88</v>
      </c>
      <c r="C46" s="1">
        <v>31</v>
      </c>
    </row>
    <row r="47" spans="1:3">
      <c r="A47" s="1" t="s">
        <v>284</v>
      </c>
      <c r="B47" s="1" t="s">
        <v>91</v>
      </c>
      <c r="C47" s="1">
        <v>31</v>
      </c>
    </row>
    <row r="48" spans="1:3">
      <c r="A48" s="1" t="s">
        <v>284</v>
      </c>
      <c r="B48" s="1" t="s">
        <v>92</v>
      </c>
      <c r="C48" s="1">
        <v>31</v>
      </c>
    </row>
    <row r="49" spans="1:3">
      <c r="A49" s="1" t="s">
        <v>284</v>
      </c>
      <c r="B49" s="1" t="s">
        <v>158</v>
      </c>
      <c r="C49" s="1">
        <v>101</v>
      </c>
    </row>
    <row r="50" spans="1:3">
      <c r="A50" s="1" t="s">
        <v>284</v>
      </c>
      <c r="B50" s="1" t="s">
        <v>100</v>
      </c>
      <c r="C50" s="1">
        <v>31</v>
      </c>
    </row>
    <row r="51" spans="1:3">
      <c r="A51" s="1" t="s">
        <v>284</v>
      </c>
      <c r="B51" s="1" t="s">
        <v>105</v>
      </c>
      <c r="C51" s="1">
        <v>41</v>
      </c>
    </row>
    <row r="52" spans="1:3">
      <c r="A52" s="1" t="s">
        <v>284</v>
      </c>
      <c r="B52" s="1" t="s">
        <v>102</v>
      </c>
      <c r="C52" s="1">
        <v>81</v>
      </c>
    </row>
    <row r="53" spans="1:3">
      <c r="A53" s="1" t="s">
        <v>284</v>
      </c>
      <c r="B53" s="1" t="s">
        <v>103</v>
      </c>
      <c r="C53" s="1">
        <v>81</v>
      </c>
    </row>
    <row r="54" spans="1:3">
      <c r="A54" s="1" t="s">
        <v>284</v>
      </c>
      <c r="B54" s="1" t="s">
        <v>104</v>
      </c>
      <c r="C54" s="1">
        <v>21</v>
      </c>
    </row>
    <row r="55" spans="1:3">
      <c r="A55" s="1" t="s">
        <v>284</v>
      </c>
      <c r="B55" s="1" t="s">
        <v>177</v>
      </c>
      <c r="C55" s="1">
        <v>21</v>
      </c>
    </row>
    <row r="56" spans="1:3">
      <c r="A56" s="1" t="s">
        <v>284</v>
      </c>
      <c r="B56" s="1" t="s">
        <v>178</v>
      </c>
      <c r="C56" s="1">
        <v>21</v>
      </c>
    </row>
    <row r="57" spans="1:3">
      <c r="A57" s="1" t="s">
        <v>284</v>
      </c>
      <c r="B57" s="1" t="s">
        <v>94</v>
      </c>
      <c r="C57" s="1">
        <v>21</v>
      </c>
    </row>
    <row r="58" spans="1:3">
      <c r="A58" s="1" t="s">
        <v>284</v>
      </c>
      <c r="B58" s="1" t="s">
        <v>93</v>
      </c>
      <c r="C58" s="1">
        <v>21</v>
      </c>
    </row>
    <row r="59" spans="1:3">
      <c r="A59" s="1" t="s">
        <v>284</v>
      </c>
      <c r="B59" s="1" t="s">
        <v>95</v>
      </c>
      <c r="C59" s="1">
        <v>21</v>
      </c>
    </row>
    <row r="60" spans="1:3">
      <c r="A60" s="1" t="s">
        <v>284</v>
      </c>
      <c r="B60" s="1" t="s">
        <v>170</v>
      </c>
      <c r="C60" s="1">
        <v>21</v>
      </c>
    </row>
    <row r="61" spans="1:3">
      <c r="A61" s="1" t="s">
        <v>284</v>
      </c>
      <c r="B61" s="1" t="s">
        <v>171</v>
      </c>
      <c r="C61" s="1">
        <v>21</v>
      </c>
    </row>
    <row r="62" spans="1:3">
      <c r="A62" s="1" t="s">
        <v>284</v>
      </c>
      <c r="B62" s="1" t="s">
        <v>172</v>
      </c>
      <c r="C62" s="1">
        <v>21</v>
      </c>
    </row>
    <row r="63" spans="1:3">
      <c r="A63" s="1" t="s">
        <v>284</v>
      </c>
      <c r="B63" s="1" t="s">
        <v>97</v>
      </c>
      <c r="C63" s="1">
        <v>21</v>
      </c>
    </row>
    <row r="64" spans="1:3">
      <c r="A64" s="1" t="s">
        <v>284</v>
      </c>
      <c r="B64" s="1" t="s">
        <v>96</v>
      </c>
      <c r="C64" s="1">
        <v>21</v>
      </c>
    </row>
    <row r="65" spans="1:3">
      <c r="A65" s="1" t="s">
        <v>284</v>
      </c>
      <c r="B65" s="1" t="s">
        <v>98</v>
      </c>
      <c r="C65" s="1">
        <v>21</v>
      </c>
    </row>
    <row r="66" spans="1:3">
      <c r="A66" s="1" t="s">
        <v>284</v>
      </c>
      <c r="B66" s="1" t="s">
        <v>125</v>
      </c>
      <c r="C66" s="1">
        <v>31</v>
      </c>
    </row>
    <row r="67" spans="1:3">
      <c r="A67" s="1" t="s">
        <v>284</v>
      </c>
      <c r="B67" s="1" t="s">
        <v>126</v>
      </c>
      <c r="C67" s="1">
        <v>31</v>
      </c>
    </row>
    <row r="68" spans="1:3">
      <c r="A68" s="1" t="s">
        <v>284</v>
      </c>
      <c r="B68" s="1" t="s">
        <v>162</v>
      </c>
      <c r="C68" s="1">
        <v>31</v>
      </c>
    </row>
    <row r="69" spans="1:3">
      <c r="A69" s="1" t="s">
        <v>284</v>
      </c>
      <c r="B69" s="1" t="s">
        <v>200</v>
      </c>
      <c r="C69" s="1">
        <v>101</v>
      </c>
    </row>
    <row r="70" spans="1:3">
      <c r="A70" s="1" t="s">
        <v>284</v>
      </c>
      <c r="B70" s="1" t="s">
        <v>198</v>
      </c>
      <c r="C70" s="1">
        <v>31</v>
      </c>
    </row>
    <row r="71" spans="1:3">
      <c r="A71" s="1" t="s">
        <v>284</v>
      </c>
      <c r="B71" s="1" t="s">
        <v>199</v>
      </c>
      <c r="C71" s="1">
        <v>31</v>
      </c>
    </row>
    <row r="72" spans="1:3">
      <c r="A72" s="1" t="s">
        <v>284</v>
      </c>
      <c r="B72" s="1" t="s">
        <v>224</v>
      </c>
      <c r="C72" s="1">
        <v>26</v>
      </c>
    </row>
    <row r="73" spans="1:3">
      <c r="A73" s="1" t="s">
        <v>284</v>
      </c>
      <c r="B73" s="1" t="s">
        <v>211</v>
      </c>
      <c r="C73" s="1">
        <v>26</v>
      </c>
    </row>
    <row r="74" spans="1:3">
      <c r="A74" s="1" t="s">
        <v>284</v>
      </c>
      <c r="B74" s="1" t="s">
        <v>206</v>
      </c>
      <c r="C74" s="1">
        <v>26</v>
      </c>
    </row>
    <row r="75" spans="1:3">
      <c r="A75" s="1" t="s">
        <v>284</v>
      </c>
      <c r="B75" s="1" t="s">
        <v>210</v>
      </c>
      <c r="C75" s="1">
        <v>26</v>
      </c>
    </row>
    <row r="76" spans="1:3">
      <c r="A76" s="1" t="s">
        <v>284</v>
      </c>
      <c r="B76" s="1" t="s">
        <v>207</v>
      </c>
      <c r="C76" s="1">
        <v>26</v>
      </c>
    </row>
    <row r="77" spans="1:3">
      <c r="A77" s="1" t="s">
        <v>284</v>
      </c>
      <c r="B77" s="1" t="s">
        <v>208</v>
      </c>
      <c r="C77" s="1">
        <v>26</v>
      </c>
    </row>
    <row r="78" spans="1:3">
      <c r="A78" s="1" t="s">
        <v>284</v>
      </c>
      <c r="B78" s="1" t="s">
        <v>209</v>
      </c>
      <c r="C78" s="1">
        <v>26</v>
      </c>
    </row>
    <row r="79" spans="1:3">
      <c r="A79" s="1" t="s">
        <v>284</v>
      </c>
      <c r="B79" s="1" t="s">
        <v>232</v>
      </c>
      <c r="C79" s="1">
        <v>26</v>
      </c>
    </row>
    <row r="80" spans="1:3">
      <c r="A80" s="1" t="s">
        <v>284</v>
      </c>
      <c r="B80" s="1" t="s">
        <v>233</v>
      </c>
      <c r="C80" s="1">
        <v>26</v>
      </c>
    </row>
    <row r="81" spans="1:3">
      <c r="A81" s="1" t="s">
        <v>284</v>
      </c>
      <c r="B81" s="1" t="s">
        <v>234</v>
      </c>
      <c r="C81" s="1">
        <v>26</v>
      </c>
    </row>
    <row r="82" spans="1:3">
      <c r="A82" s="1" t="s">
        <v>284</v>
      </c>
      <c r="B82" s="1" t="s">
        <v>235</v>
      </c>
      <c r="C82" s="1">
        <v>21</v>
      </c>
    </row>
    <row r="83" spans="1:3">
      <c r="A83" s="1" t="s">
        <v>284</v>
      </c>
      <c r="B83" s="1" t="s">
        <v>236</v>
      </c>
      <c r="C83" s="1">
        <v>21</v>
      </c>
    </row>
    <row r="84" spans="1:3">
      <c r="A84" s="1" t="s">
        <v>284</v>
      </c>
      <c r="B84" s="1" t="s">
        <v>215</v>
      </c>
      <c r="C84" s="1">
        <v>41</v>
      </c>
    </row>
    <row r="85" spans="1:3">
      <c r="A85" s="1" t="s">
        <v>284</v>
      </c>
      <c r="B85" s="1" t="s">
        <v>225</v>
      </c>
      <c r="C85" s="1">
        <v>26</v>
      </c>
    </row>
    <row r="86" spans="1:3">
      <c r="A86" s="1" t="s">
        <v>284</v>
      </c>
      <c r="B86" s="1" t="s">
        <v>226</v>
      </c>
      <c r="C86" s="1">
        <v>26</v>
      </c>
    </row>
    <row r="87" spans="1:3">
      <c r="A87" s="1" t="s">
        <v>284</v>
      </c>
      <c r="B87" s="1" t="s">
        <v>216</v>
      </c>
      <c r="C87" s="1">
        <v>26</v>
      </c>
    </row>
    <row r="88" spans="1:3">
      <c r="A88" s="1" t="s">
        <v>284</v>
      </c>
      <c r="B88" s="1" t="s">
        <v>217</v>
      </c>
      <c r="C88" s="1">
        <v>26</v>
      </c>
    </row>
    <row r="89" spans="1:3">
      <c r="A89" s="1" t="s">
        <v>284</v>
      </c>
      <c r="B89" s="1" t="s">
        <v>218</v>
      </c>
      <c r="C89" s="1">
        <v>26</v>
      </c>
    </row>
    <row r="90" spans="1:3">
      <c r="A90" s="1" t="s">
        <v>284</v>
      </c>
      <c r="B90" s="1" t="s">
        <v>219</v>
      </c>
      <c r="C90" s="1">
        <v>26</v>
      </c>
    </row>
    <row r="91" spans="1:3">
      <c r="A91" s="1" t="s">
        <v>284</v>
      </c>
      <c r="B91" s="1" t="s">
        <v>220</v>
      </c>
      <c r="C91" s="1">
        <v>26</v>
      </c>
    </row>
    <row r="92" spans="1:3">
      <c r="A92" s="1" t="s">
        <v>284</v>
      </c>
      <c r="B92" s="1" t="s">
        <v>221</v>
      </c>
      <c r="C92" s="1">
        <v>26</v>
      </c>
    </row>
    <row r="93" spans="1:3">
      <c r="A93" s="1" t="s">
        <v>284</v>
      </c>
      <c r="B93" s="1" t="s">
        <v>249</v>
      </c>
      <c r="C93" s="1">
        <v>26</v>
      </c>
    </row>
    <row r="94" spans="1:3">
      <c r="A94" s="1" t="s">
        <v>284</v>
      </c>
      <c r="B94" s="1" t="s">
        <v>238</v>
      </c>
      <c r="C94" s="1">
        <v>21</v>
      </c>
    </row>
    <row r="95" spans="1:3">
      <c r="A95" s="1" t="s">
        <v>284</v>
      </c>
      <c r="B95" s="1" t="s">
        <v>239</v>
      </c>
      <c r="C95" s="1">
        <v>31</v>
      </c>
    </row>
    <row r="96" spans="1:3">
      <c r="A96" s="1" t="s">
        <v>284</v>
      </c>
      <c r="B96" s="1" t="s">
        <v>222</v>
      </c>
      <c r="C96" s="1">
        <v>41</v>
      </c>
    </row>
    <row r="97" spans="1:3">
      <c r="A97" s="1" t="s">
        <v>284</v>
      </c>
      <c r="B97" s="1" t="s">
        <v>227</v>
      </c>
      <c r="C97" s="1">
        <v>21</v>
      </c>
    </row>
    <row r="98" spans="1:3">
      <c r="A98" s="1" t="s">
        <v>284</v>
      </c>
      <c r="B98" s="1" t="s">
        <v>223</v>
      </c>
      <c r="C98" s="1">
        <v>31</v>
      </c>
    </row>
    <row r="99" spans="1:3">
      <c r="A99" s="1" t="s">
        <v>284</v>
      </c>
      <c r="B99" s="1" t="s">
        <v>237</v>
      </c>
      <c r="C99" s="1">
        <v>26</v>
      </c>
    </row>
    <row r="100" spans="1:3">
      <c r="A100" s="1" t="s">
        <v>284</v>
      </c>
      <c r="B100" s="32" t="s">
        <v>230</v>
      </c>
      <c r="C100" s="1">
        <v>31</v>
      </c>
    </row>
    <row r="101" spans="1:3">
      <c r="A101" s="1" t="s">
        <v>284</v>
      </c>
      <c r="B101" s="32" t="s">
        <v>241</v>
      </c>
      <c r="C101" s="1">
        <v>31</v>
      </c>
    </row>
    <row r="102" spans="1:3">
      <c r="A102" s="1" t="s">
        <v>284</v>
      </c>
      <c r="B102" s="32" t="s">
        <v>228</v>
      </c>
      <c r="C102" s="1">
        <v>31</v>
      </c>
    </row>
    <row r="103" spans="1:3">
      <c r="A103" s="1" t="s">
        <v>284</v>
      </c>
      <c r="B103" s="32" t="s">
        <v>229</v>
      </c>
      <c r="C103" s="1">
        <v>31</v>
      </c>
    </row>
    <row r="104" spans="1:3">
      <c r="A104" s="1" t="s">
        <v>284</v>
      </c>
      <c r="B104" s="32" t="s">
        <v>240</v>
      </c>
      <c r="C104" s="1">
        <v>31</v>
      </c>
    </row>
    <row r="105" spans="1:3">
      <c r="A105" s="1" t="s">
        <v>284</v>
      </c>
      <c r="B105" s="32" t="s">
        <v>231</v>
      </c>
      <c r="C105" s="1">
        <v>31</v>
      </c>
    </row>
    <row r="106" spans="1:3">
      <c r="A106" s="1" t="s">
        <v>284</v>
      </c>
      <c r="B106" s="1" t="s">
        <v>243</v>
      </c>
      <c r="C106" s="1">
        <v>26</v>
      </c>
    </row>
    <row r="107" spans="1:3">
      <c r="A107" s="1" t="s">
        <v>284</v>
      </c>
      <c r="B107" s="1" t="s">
        <v>244</v>
      </c>
      <c r="C107" s="1">
        <v>21</v>
      </c>
    </row>
    <row r="108" spans="1:3">
      <c r="A108" s="1" t="s">
        <v>284</v>
      </c>
      <c r="B108" s="1" t="s">
        <v>245</v>
      </c>
      <c r="C108" s="1">
        <v>21</v>
      </c>
    </row>
    <row r="109" spans="1:3">
      <c r="A109" s="1" t="s">
        <v>284</v>
      </c>
      <c r="B109" s="1" t="s">
        <v>246</v>
      </c>
      <c r="C109" s="1">
        <v>21</v>
      </c>
    </row>
    <row r="110" spans="1:3">
      <c r="A110" s="1" t="s">
        <v>284</v>
      </c>
      <c r="B110" s="1" t="s">
        <v>247</v>
      </c>
      <c r="C110" s="1">
        <v>21</v>
      </c>
    </row>
    <row r="111" spans="1:3">
      <c r="A111" s="1" t="s">
        <v>284</v>
      </c>
      <c r="B111" s="1" t="s">
        <v>248</v>
      </c>
      <c r="C111" s="1">
        <v>26</v>
      </c>
    </row>
    <row r="112" spans="1:3">
      <c r="A112" s="1" t="s">
        <v>284</v>
      </c>
      <c r="B112" s="1" t="s">
        <v>254</v>
      </c>
      <c r="C112" s="1">
        <v>21</v>
      </c>
    </row>
    <row r="113" spans="1:3">
      <c r="A113" s="1" t="s">
        <v>284</v>
      </c>
      <c r="B113" s="1" t="s">
        <v>255</v>
      </c>
      <c r="C113" s="1">
        <v>21</v>
      </c>
    </row>
    <row r="114" spans="1:3">
      <c r="A114" s="1" t="s">
        <v>284</v>
      </c>
      <c r="B114" s="1" t="s">
        <v>267</v>
      </c>
      <c r="C114" s="1">
        <v>26</v>
      </c>
    </row>
    <row r="115" spans="1:3">
      <c r="A115" s="1" t="s">
        <v>284</v>
      </c>
      <c r="B115" s="1" t="s">
        <v>261</v>
      </c>
      <c r="C115" s="1">
        <v>31</v>
      </c>
    </row>
    <row r="116" spans="1:3">
      <c r="A116" s="1" t="s">
        <v>284</v>
      </c>
      <c r="B116" s="1" t="s">
        <v>262</v>
      </c>
      <c r="C116" s="1">
        <v>26</v>
      </c>
    </row>
    <row r="117" spans="1:3">
      <c r="A117" s="1" t="s">
        <v>284</v>
      </c>
      <c r="B117" s="1" t="s">
        <v>268</v>
      </c>
      <c r="C117" s="1">
        <v>26</v>
      </c>
    </row>
    <row r="118" spans="1:3">
      <c r="A118" s="1" t="s">
        <v>284</v>
      </c>
      <c r="B118" s="1" t="s">
        <v>259</v>
      </c>
      <c r="C118" s="1">
        <v>26</v>
      </c>
    </row>
    <row r="119" spans="1:3">
      <c r="A119" s="1" t="s">
        <v>284</v>
      </c>
      <c r="B119" s="1" t="s">
        <v>260</v>
      </c>
      <c r="C119" s="1">
        <v>26</v>
      </c>
    </row>
    <row r="120" spans="1:3">
      <c r="A120" s="1" t="s">
        <v>284</v>
      </c>
      <c r="B120" s="1" t="s">
        <v>263</v>
      </c>
      <c r="C120" s="1">
        <v>26</v>
      </c>
    </row>
    <row r="121" spans="1:3">
      <c r="A121" s="1" t="s">
        <v>284</v>
      </c>
      <c r="B121" s="1" t="s">
        <v>264</v>
      </c>
      <c r="C121" s="1">
        <v>31</v>
      </c>
    </row>
    <row r="122" spans="1:3">
      <c r="A122" s="1" t="s">
        <v>284</v>
      </c>
      <c r="B122" s="1" t="s">
        <v>256</v>
      </c>
      <c r="C122" s="1">
        <v>51</v>
      </c>
    </row>
    <row r="123" spans="1:3">
      <c r="A123" s="1" t="s">
        <v>284</v>
      </c>
      <c r="B123" s="1" t="s">
        <v>257</v>
      </c>
      <c r="C123" s="1">
        <v>51</v>
      </c>
    </row>
    <row r="124" spans="1:3">
      <c r="A124" s="1" t="s">
        <v>284</v>
      </c>
      <c r="B124" s="1" t="s">
        <v>258</v>
      </c>
      <c r="C124" s="1">
        <v>41</v>
      </c>
    </row>
    <row r="125" spans="1:3">
      <c r="A125" s="1" t="s">
        <v>284</v>
      </c>
      <c r="B125" s="1" t="s">
        <v>265</v>
      </c>
      <c r="C125" s="1">
        <v>21</v>
      </c>
    </row>
    <row r="126" spans="1:3">
      <c r="A126" s="1" t="s">
        <v>284</v>
      </c>
      <c r="B126" s="1" t="s">
        <v>266</v>
      </c>
      <c r="C126" s="1">
        <v>21</v>
      </c>
    </row>
    <row r="127" spans="1:3">
      <c r="A127" s="1" t="s">
        <v>284</v>
      </c>
      <c r="B127" s="1" t="s">
        <v>269</v>
      </c>
      <c r="C127" s="1">
        <v>21</v>
      </c>
    </row>
    <row r="128" spans="1:3">
      <c r="A128" s="1" t="s">
        <v>284</v>
      </c>
      <c r="B128" s="1" t="s">
        <v>270</v>
      </c>
      <c r="C128" s="1">
        <v>100</v>
      </c>
    </row>
    <row r="129" spans="1:3">
      <c r="A129" s="26" t="s">
        <v>284</v>
      </c>
      <c r="B129" s="1" t="s">
        <v>272</v>
      </c>
      <c r="C129" s="1">
        <v>36</v>
      </c>
    </row>
    <row r="130" spans="1:3">
      <c r="A130" s="26" t="s">
        <v>284</v>
      </c>
      <c r="B130" s="1" t="s">
        <v>273</v>
      </c>
      <c r="C130" s="1">
        <v>36</v>
      </c>
    </row>
    <row r="131" spans="1:3">
      <c r="A131" s="26" t="s">
        <v>284</v>
      </c>
      <c r="B131" s="1" t="s">
        <v>274</v>
      </c>
      <c r="C131" s="1">
        <v>31</v>
      </c>
    </row>
    <row r="132" spans="1:3">
      <c r="A132" s="1" t="s">
        <v>284</v>
      </c>
      <c r="B132" s="1" t="s">
        <v>329</v>
      </c>
      <c r="C132" s="1">
        <v>21</v>
      </c>
    </row>
    <row r="133" spans="1:3">
      <c r="A133" s="1" t="s">
        <v>284</v>
      </c>
      <c r="B133" s="1" t="s">
        <v>335</v>
      </c>
      <c r="C133" s="1">
        <v>101</v>
      </c>
    </row>
    <row r="134" spans="1:3">
      <c r="A134" s="1" t="s">
        <v>284</v>
      </c>
      <c r="B134" s="1" t="s">
        <v>330</v>
      </c>
      <c r="C134" s="1">
        <v>101</v>
      </c>
    </row>
    <row r="135" spans="1:3">
      <c r="A135" s="1" t="s">
        <v>284</v>
      </c>
      <c r="B135" s="1" t="s">
        <v>333</v>
      </c>
      <c r="C135" s="1">
        <v>101</v>
      </c>
    </row>
    <row r="136" spans="1:3">
      <c r="A136" s="1" t="s">
        <v>284</v>
      </c>
      <c r="B136" s="1" t="s">
        <v>332</v>
      </c>
      <c r="C136" s="1">
        <v>101</v>
      </c>
    </row>
    <row r="137" spans="1:3">
      <c r="A137" s="1" t="s">
        <v>284</v>
      </c>
      <c r="B137" s="1" t="s">
        <v>334</v>
      </c>
      <c r="C137" s="1">
        <v>101</v>
      </c>
    </row>
    <row r="138" spans="1:3">
      <c r="A138" s="1" t="s">
        <v>284</v>
      </c>
      <c r="B138" s="1" t="s">
        <v>331</v>
      </c>
      <c r="C138" s="1">
        <v>101</v>
      </c>
    </row>
    <row r="139" spans="1:3">
      <c r="A139" s="37" t="s">
        <v>284</v>
      </c>
      <c r="B139" s="24" t="s">
        <v>339</v>
      </c>
      <c r="C139" s="1">
        <v>41</v>
      </c>
    </row>
    <row r="140" spans="1:3">
      <c r="A140" s="37" t="s">
        <v>284</v>
      </c>
      <c r="B140" s="24" t="s">
        <v>340</v>
      </c>
      <c r="C140" s="1">
        <v>41</v>
      </c>
    </row>
    <row r="141" spans="1:3">
      <c r="A141" s="37" t="s">
        <v>284</v>
      </c>
      <c r="B141" s="24" t="s">
        <v>345</v>
      </c>
      <c r="C141" s="1">
        <v>21</v>
      </c>
    </row>
    <row r="142" spans="1:3">
      <c r="A142" s="37" t="s">
        <v>284</v>
      </c>
      <c r="B142" s="24" t="s">
        <v>346</v>
      </c>
      <c r="C142" s="1">
        <v>31</v>
      </c>
    </row>
    <row r="143" spans="1:3">
      <c r="A143" s="37" t="s">
        <v>284</v>
      </c>
      <c r="B143" s="24" t="s">
        <v>347</v>
      </c>
      <c r="C143" s="1">
        <v>21</v>
      </c>
    </row>
    <row r="144" spans="1:3">
      <c r="A144" s="37" t="s">
        <v>284</v>
      </c>
      <c r="B144" s="1" t="s">
        <v>361</v>
      </c>
      <c r="C144" s="1">
        <v>31</v>
      </c>
    </row>
    <row r="145" spans="1:6">
      <c r="A145" s="9" t="s">
        <v>284</v>
      </c>
      <c r="B145" s="24" t="s">
        <v>363</v>
      </c>
      <c r="C145" s="1">
        <v>21</v>
      </c>
    </row>
    <row r="146" spans="1:6">
      <c r="A146" s="9" t="s">
        <v>284</v>
      </c>
      <c r="B146" s="24" t="s">
        <v>364</v>
      </c>
      <c r="C146" s="1">
        <v>21</v>
      </c>
    </row>
    <row r="147" spans="1:6">
      <c r="A147" s="11" t="s">
        <v>284</v>
      </c>
      <c r="B147" s="24" t="s">
        <v>365</v>
      </c>
      <c r="C147" s="1">
        <v>101</v>
      </c>
    </row>
    <row r="148" spans="1:6">
      <c r="A148" s="11" t="s">
        <v>284</v>
      </c>
      <c r="B148" s="1" t="s">
        <v>366</v>
      </c>
      <c r="C148" s="1">
        <v>101</v>
      </c>
    </row>
    <row r="149" spans="1:6">
      <c r="A149" s="11" t="s">
        <v>284</v>
      </c>
      <c r="B149" s="1" t="s">
        <v>367</v>
      </c>
      <c r="C149" s="1">
        <v>101</v>
      </c>
    </row>
    <row r="150" spans="1:6">
      <c r="A150" s="11" t="s">
        <v>284</v>
      </c>
      <c r="B150" s="1" t="s">
        <v>488</v>
      </c>
      <c r="C150" s="1">
        <v>31</v>
      </c>
    </row>
    <row r="151" spans="1:6">
      <c r="A151" s="11" t="s">
        <v>284</v>
      </c>
      <c r="B151" s="1" t="s">
        <v>490</v>
      </c>
      <c r="C151" s="1">
        <v>31</v>
      </c>
    </row>
    <row r="152" spans="1:6">
      <c r="A152" s="11" t="s">
        <v>284</v>
      </c>
      <c r="B152" s="1" t="s">
        <v>489</v>
      </c>
      <c r="C152" s="1">
        <v>31</v>
      </c>
    </row>
    <row r="153" spans="1:6">
      <c r="A153" s="11" t="s">
        <v>284</v>
      </c>
      <c r="B153" s="1" t="s">
        <v>475</v>
      </c>
      <c r="C153" s="1">
        <v>31</v>
      </c>
      <c r="E153" s="1" t="s">
        <v>510</v>
      </c>
      <c r="F153" s="1" t="s">
        <v>512</v>
      </c>
    </row>
    <row r="154" spans="1:6">
      <c r="A154" s="11" t="s">
        <v>284</v>
      </c>
      <c r="B154" s="1" t="s">
        <v>108</v>
      </c>
      <c r="C154" s="1">
        <v>31</v>
      </c>
      <c r="E154" s="1" t="s">
        <v>510</v>
      </c>
      <c r="F154" s="1" t="s">
        <v>512</v>
      </c>
    </row>
    <row r="155" spans="1:6">
      <c r="A155" s="11" t="s">
        <v>284</v>
      </c>
      <c r="B155" s="1" t="s">
        <v>109</v>
      </c>
      <c r="C155" s="1">
        <v>31</v>
      </c>
      <c r="E155" s="1" t="s">
        <v>510</v>
      </c>
      <c r="F155" s="1" t="s">
        <v>512</v>
      </c>
    </row>
    <row r="156" spans="1:6">
      <c r="A156" s="11" t="s">
        <v>284</v>
      </c>
      <c r="B156" s="1" t="s">
        <v>481</v>
      </c>
      <c r="C156" s="1">
        <v>26</v>
      </c>
      <c r="E156" s="1" t="s">
        <v>510</v>
      </c>
      <c r="F156" s="1" t="s">
        <v>512</v>
      </c>
    </row>
    <row r="157" spans="1:6">
      <c r="A157" s="11" t="s">
        <v>284</v>
      </c>
      <c r="B157" s="1" t="s">
        <v>479</v>
      </c>
      <c r="C157" s="1">
        <v>26</v>
      </c>
      <c r="E157" s="1" t="s">
        <v>510</v>
      </c>
      <c r="F157" s="1" t="s">
        <v>512</v>
      </c>
    </row>
    <row r="158" spans="1:6">
      <c r="A158" s="11" t="s">
        <v>284</v>
      </c>
      <c r="B158" s="1" t="s">
        <v>483</v>
      </c>
      <c r="C158" s="1">
        <v>26</v>
      </c>
      <c r="E158" s="1" t="s">
        <v>510</v>
      </c>
      <c r="F158" s="1" t="s">
        <v>512</v>
      </c>
    </row>
    <row r="159" spans="1:6">
      <c r="A159" s="11" t="s">
        <v>284</v>
      </c>
      <c r="B159" s="1" t="s">
        <v>476</v>
      </c>
      <c r="C159" s="1">
        <v>31</v>
      </c>
      <c r="E159" s="1" t="s">
        <v>510</v>
      </c>
      <c r="F159" s="1" t="s">
        <v>512</v>
      </c>
    </row>
    <row r="160" spans="1:6">
      <c r="A160" s="11" t="s">
        <v>284</v>
      </c>
      <c r="B160" s="1" t="s">
        <v>477</v>
      </c>
      <c r="C160" s="1">
        <v>31</v>
      </c>
      <c r="E160" s="1" t="s">
        <v>510</v>
      </c>
      <c r="F160" s="1" t="s">
        <v>512</v>
      </c>
    </row>
    <row r="161" spans="1:6">
      <c r="A161" s="11" t="s">
        <v>284</v>
      </c>
      <c r="B161" s="1" t="s">
        <v>478</v>
      </c>
      <c r="C161" s="1">
        <v>31</v>
      </c>
      <c r="E161" s="1" t="s">
        <v>510</v>
      </c>
      <c r="F161" s="1" t="s">
        <v>512</v>
      </c>
    </row>
    <row r="162" spans="1:6">
      <c r="A162" s="11" t="s">
        <v>284</v>
      </c>
      <c r="B162" s="1" t="s">
        <v>482</v>
      </c>
      <c r="C162" s="1">
        <v>26</v>
      </c>
      <c r="E162" s="1" t="s">
        <v>510</v>
      </c>
      <c r="F162" s="1" t="s">
        <v>512</v>
      </c>
    </row>
    <row r="163" spans="1:6">
      <c r="A163" s="11" t="s">
        <v>284</v>
      </c>
      <c r="B163" s="1" t="s">
        <v>480</v>
      </c>
      <c r="C163" s="1">
        <v>26</v>
      </c>
      <c r="E163" s="1" t="s">
        <v>510</v>
      </c>
      <c r="F163" s="1" t="s">
        <v>512</v>
      </c>
    </row>
    <row r="164" spans="1:6">
      <c r="A164" s="11" t="s">
        <v>284</v>
      </c>
      <c r="B164" s="1" t="s">
        <v>484</v>
      </c>
      <c r="C164" s="1">
        <v>31</v>
      </c>
      <c r="E164" s="1" t="s">
        <v>513</v>
      </c>
    </row>
    <row r="165" spans="1:6">
      <c r="A165" s="11" t="s">
        <v>284</v>
      </c>
      <c r="B165" s="1" t="s">
        <v>486</v>
      </c>
      <c r="C165" s="1">
        <v>100</v>
      </c>
    </row>
    <row r="166" spans="1:6">
      <c r="A166" s="11" t="s">
        <v>284</v>
      </c>
      <c r="B166" s="1" t="s">
        <v>487</v>
      </c>
      <c r="C166" s="1">
        <v>100</v>
      </c>
    </row>
    <row r="167" spans="1:6">
      <c r="A167" s="11" t="s">
        <v>284</v>
      </c>
      <c r="B167" s="1" t="s">
        <v>485</v>
      </c>
      <c r="C167" s="1">
        <v>31</v>
      </c>
      <c r="E167" s="1" t="s">
        <v>514</v>
      </c>
    </row>
    <row r="168" spans="1:6">
      <c r="A168" s="11" t="s">
        <v>284</v>
      </c>
      <c r="B168" s="1" t="s">
        <v>499</v>
      </c>
      <c r="C168" s="1">
        <v>25</v>
      </c>
    </row>
  </sheetData>
  <dataValidations count="2">
    <dataValidation type="list" allowBlank="1" showInputMessage="1" showErrorMessage="1" sqref="B67 B21 B23:B26 B142" xr:uid="{00000000-0002-0000-2100-000000000000}">
      <formula1>Technologies</formula1>
    </dataValidation>
    <dataValidation type="list" allowBlank="1" showInputMessage="1" showErrorMessage="1" sqref="A129:A131" xr:uid="{00000000-0002-0000-2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26"/>
  <dimension ref="A1:M5"/>
  <sheetViews>
    <sheetView zoomScaleNormal="100" workbookViewId="0">
      <pane xSplit="1" topLeftCell="B1" activePane="topRight" state="frozen"/>
      <selection pane="topRight" activeCell="D17" sqref="D17"/>
    </sheetView>
  </sheetViews>
  <sheetFormatPr defaultColWidth="11.42578125" defaultRowHeight="15"/>
  <cols>
    <col min="1" max="1" width="11.42578125" style="6"/>
    <col min="2" max="2" width="29.42578125" style="6" customWidth="1"/>
    <col min="3" max="16384" width="11.42578125" style="6"/>
  </cols>
  <sheetData>
    <row r="1" spans="1:13">
      <c r="A1" s="7" t="s">
        <v>442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>
      <c r="A2" s="7" t="s">
        <v>56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3">
      <c r="A3" s="6" t="s">
        <v>424</v>
      </c>
    </row>
    <row r="5" spans="1:13">
      <c r="A5" s="7" t="s">
        <v>20</v>
      </c>
      <c r="B5" s="7" t="s">
        <v>26</v>
      </c>
      <c r="C5" s="7">
        <v>2018</v>
      </c>
      <c r="D5" s="7">
        <v>2020</v>
      </c>
      <c r="E5" s="7">
        <v>2025</v>
      </c>
      <c r="F5" s="7">
        <v>2030</v>
      </c>
      <c r="G5" s="7">
        <v>2035</v>
      </c>
      <c r="H5" s="7">
        <v>2040</v>
      </c>
      <c r="I5" s="7">
        <v>2045</v>
      </c>
      <c r="J5" s="7">
        <v>2050</v>
      </c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9"/>
  <dimension ref="A1:J271"/>
  <sheetViews>
    <sheetView zoomScaleNormal="100" workbookViewId="0">
      <pane xSplit="1" topLeftCell="B1" activePane="topRight" state="frozen"/>
      <selection pane="topRight" activeCell="L32" sqref="L32"/>
    </sheetView>
  </sheetViews>
  <sheetFormatPr defaultColWidth="11.42578125" defaultRowHeight="15"/>
  <cols>
    <col min="1" max="2" width="27.42578125" style="6" customWidth="1"/>
    <col min="3" max="16384" width="11.42578125" style="6"/>
  </cols>
  <sheetData>
    <row r="1" spans="1:10">
      <c r="A1" s="7" t="s">
        <v>443</v>
      </c>
      <c r="B1" s="7"/>
      <c r="C1" s="7"/>
      <c r="D1" s="7"/>
      <c r="E1" s="7"/>
      <c r="F1" s="7"/>
      <c r="G1" s="7"/>
      <c r="H1" s="7"/>
      <c r="I1" s="7"/>
      <c r="J1" s="7"/>
    </row>
    <row r="2" spans="1:10">
      <c r="A2" s="7" t="s">
        <v>379</v>
      </c>
      <c r="B2" s="7"/>
      <c r="C2" s="7"/>
      <c r="D2" s="7"/>
      <c r="E2" s="7"/>
      <c r="F2" s="7"/>
      <c r="G2" s="7"/>
      <c r="H2" s="7"/>
      <c r="I2" s="7"/>
      <c r="J2" s="7"/>
    </row>
    <row r="3" spans="1:10">
      <c r="A3" s="6" t="s">
        <v>424</v>
      </c>
    </row>
    <row r="5" spans="1:10">
      <c r="A5" s="7" t="s">
        <v>20</v>
      </c>
      <c r="B5" s="7" t="s">
        <v>26</v>
      </c>
      <c r="C5" s="7">
        <v>2018</v>
      </c>
      <c r="D5" s="7">
        <v>2020</v>
      </c>
      <c r="E5" s="7">
        <v>2025</v>
      </c>
      <c r="F5" s="7">
        <v>2030</v>
      </c>
      <c r="G5" s="7">
        <v>2035</v>
      </c>
      <c r="H5" s="7">
        <v>2040</v>
      </c>
      <c r="I5" s="7">
        <v>2045</v>
      </c>
      <c r="J5" s="7">
        <v>2050</v>
      </c>
    </row>
    <row r="6" spans="1:10">
      <c r="A6" s="46" t="s">
        <v>277</v>
      </c>
      <c r="B6" s="6" t="s">
        <v>158</v>
      </c>
      <c r="C6" s="50"/>
      <c r="D6" s="50"/>
      <c r="E6" s="50"/>
      <c r="F6" s="50"/>
      <c r="G6" s="50"/>
      <c r="H6" s="50"/>
      <c r="I6" s="50"/>
      <c r="J6" s="50"/>
    </row>
    <row r="7" spans="1:10">
      <c r="A7" s="46" t="s">
        <v>278</v>
      </c>
      <c r="B7" s="6" t="s">
        <v>158</v>
      </c>
      <c r="C7" s="50">
        <v>152.79726600000001</v>
      </c>
      <c r="D7" s="50">
        <v>169.39792800000001</v>
      </c>
      <c r="E7" s="50">
        <v>161.17086599999999</v>
      </c>
      <c r="F7" s="50">
        <v>152.943804</v>
      </c>
      <c r="G7" s="50">
        <v>147.18486060000001</v>
      </c>
      <c r="H7" s="50">
        <v>141.42591720000001</v>
      </c>
      <c r="I7" s="50">
        <v>137.39465682000002</v>
      </c>
      <c r="J7" s="50">
        <v>133.36339644</v>
      </c>
    </row>
    <row r="8" spans="1:10">
      <c r="A8" s="46" t="s">
        <v>279</v>
      </c>
      <c r="B8" s="6" t="s">
        <v>158</v>
      </c>
      <c r="C8" s="50"/>
      <c r="D8" s="50"/>
      <c r="E8" s="50"/>
      <c r="F8" s="50"/>
      <c r="G8" s="50"/>
      <c r="H8" s="50"/>
      <c r="I8" s="50"/>
      <c r="J8" s="50"/>
    </row>
    <row r="9" spans="1:10">
      <c r="A9" s="46" t="s">
        <v>280</v>
      </c>
      <c r="B9" s="6" t="s">
        <v>158</v>
      </c>
      <c r="C9" s="50">
        <v>93.19816800000001</v>
      </c>
      <c r="D9" s="50">
        <v>96.71508</v>
      </c>
      <c r="E9" s="50">
        <v>96.484806000000006</v>
      </c>
      <c r="F9" s="50">
        <v>96.254532000000012</v>
      </c>
      <c r="G9" s="50">
        <v>96.093340200000014</v>
      </c>
      <c r="H9" s="50">
        <v>95.932148400000017</v>
      </c>
      <c r="I9" s="50">
        <v>95.819314140000017</v>
      </c>
      <c r="J9" s="50">
        <v>95.706479880000018</v>
      </c>
    </row>
    <row r="10" spans="1:10">
      <c r="A10" s="46" t="s">
        <v>281</v>
      </c>
      <c r="B10" s="6" t="s">
        <v>158</v>
      </c>
      <c r="C10" s="50">
        <v>102.32539200000001</v>
      </c>
      <c r="D10" s="50">
        <v>109.945368</v>
      </c>
      <c r="E10" s="50">
        <v>112.68772200000001</v>
      </c>
      <c r="F10" s="50">
        <v>115.430076</v>
      </c>
      <c r="G10" s="50">
        <v>117.34972379999999</v>
      </c>
      <c r="H10" s="50">
        <v>119.2693716</v>
      </c>
      <c r="I10" s="50">
        <v>120.61312506</v>
      </c>
      <c r="J10" s="50">
        <v>121.95687852</v>
      </c>
    </row>
    <row r="11" spans="1:10">
      <c r="A11" s="46" t="s">
        <v>282</v>
      </c>
      <c r="B11" s="6" t="s">
        <v>158</v>
      </c>
      <c r="C11" s="50">
        <v>152.79726600000001</v>
      </c>
      <c r="D11" s="50">
        <v>169.39792800000001</v>
      </c>
      <c r="E11" s="50">
        <v>161.17086599999999</v>
      </c>
      <c r="F11" s="50">
        <v>152.943804</v>
      </c>
      <c r="G11" s="50">
        <v>147.18486060000001</v>
      </c>
      <c r="H11" s="50">
        <v>141.42591720000001</v>
      </c>
      <c r="I11" s="50">
        <v>137.39465682000002</v>
      </c>
      <c r="J11" s="50">
        <v>133.36339644</v>
      </c>
    </row>
    <row r="12" spans="1:10">
      <c r="A12" s="46" t="s">
        <v>283</v>
      </c>
      <c r="B12" s="6" t="s">
        <v>158</v>
      </c>
      <c r="C12" s="50">
        <v>144.381798</v>
      </c>
      <c r="D12" s="50">
        <v>151.56216000000001</v>
      </c>
      <c r="E12" s="50">
        <v>154.91160000000002</v>
      </c>
      <c r="F12" s="50">
        <v>158.26104000000001</v>
      </c>
      <c r="G12" s="50">
        <v>160.605648</v>
      </c>
      <c r="H12" s="50">
        <v>162.950256</v>
      </c>
      <c r="I12" s="50">
        <v>164.59148160000001</v>
      </c>
      <c r="J12" s="50">
        <v>166.23270720000002</v>
      </c>
    </row>
    <row r="13" spans="1:10">
      <c r="A13" s="46" t="s">
        <v>284</v>
      </c>
      <c r="B13" s="6" t="s">
        <v>158</v>
      </c>
      <c r="C13" s="50">
        <v>716.88483000000008</v>
      </c>
      <c r="D13" s="50">
        <v>810.98316</v>
      </c>
      <c r="E13" s="50">
        <v>769.59664199999997</v>
      </c>
      <c r="F13" s="50">
        <v>728.21012400000006</v>
      </c>
      <c r="G13" s="50">
        <v>699.23956140000007</v>
      </c>
      <c r="H13" s="50">
        <v>670.26899880000008</v>
      </c>
      <c r="I13" s="50">
        <v>649.98960498000008</v>
      </c>
      <c r="J13" s="50">
        <v>629.71021116000009</v>
      </c>
    </row>
    <row r="14" spans="1:10">
      <c r="A14" s="46" t="s">
        <v>285</v>
      </c>
      <c r="B14" s="6" t="s">
        <v>158</v>
      </c>
      <c r="C14" s="50">
        <v>71.845488000000003</v>
      </c>
      <c r="D14" s="50">
        <v>87.922800000000009</v>
      </c>
      <c r="E14" s="50">
        <v>85.515389999999996</v>
      </c>
      <c r="F14" s="50">
        <v>83.107979999999998</v>
      </c>
      <c r="G14" s="50">
        <v>81.422792999999999</v>
      </c>
      <c r="H14" s="50">
        <v>79.737606</v>
      </c>
      <c r="I14" s="50">
        <v>78.557975100000007</v>
      </c>
      <c r="J14" s="50">
        <v>77.378344200000015</v>
      </c>
    </row>
    <row r="15" spans="1:10">
      <c r="A15" s="46" t="s">
        <v>286</v>
      </c>
      <c r="B15" s="6" t="s">
        <v>158</v>
      </c>
      <c r="C15" s="50">
        <v>468.23077800000004</v>
      </c>
      <c r="D15" s="50">
        <v>508.27752000000004</v>
      </c>
      <c r="E15" s="50">
        <v>496.03113000000008</v>
      </c>
      <c r="F15" s="50">
        <v>483.78474000000006</v>
      </c>
      <c r="G15" s="50">
        <v>475.21226700000005</v>
      </c>
      <c r="H15" s="50">
        <v>466.63979400000005</v>
      </c>
      <c r="I15" s="50">
        <v>460.63906290000006</v>
      </c>
      <c r="J15" s="50">
        <v>454.63833180000006</v>
      </c>
    </row>
    <row r="16" spans="1:10">
      <c r="A16" s="46" t="s">
        <v>287</v>
      </c>
      <c r="B16" s="6" t="s">
        <v>158</v>
      </c>
      <c r="C16" s="50">
        <v>295.44154200000003</v>
      </c>
      <c r="D16" s="50">
        <v>364.41907200000003</v>
      </c>
      <c r="E16" s="50">
        <v>322.27893000000006</v>
      </c>
      <c r="F16" s="50">
        <v>280.13878800000003</v>
      </c>
      <c r="G16" s="50">
        <v>250.64068860000003</v>
      </c>
      <c r="H16" s="50">
        <v>221.1425892</v>
      </c>
      <c r="I16" s="50">
        <v>200.49391961999999</v>
      </c>
      <c r="J16" s="50">
        <v>179.84525004</v>
      </c>
    </row>
    <row r="17" spans="1:10">
      <c r="A17" s="46" t="s">
        <v>288</v>
      </c>
      <c r="B17" s="6" t="s">
        <v>158</v>
      </c>
      <c r="C17" s="50">
        <v>663.44032800000002</v>
      </c>
      <c r="D17" s="50">
        <v>828.48398400000008</v>
      </c>
      <c r="E17" s="50">
        <v>801.77220000000011</v>
      </c>
      <c r="F17" s="50">
        <v>775.06041600000003</v>
      </c>
      <c r="G17" s="50">
        <v>756.36216720000004</v>
      </c>
      <c r="H17" s="50">
        <v>737.66391840000006</v>
      </c>
      <c r="I17" s="50">
        <v>724.57514423999999</v>
      </c>
      <c r="J17" s="50">
        <v>711.48637007999992</v>
      </c>
    </row>
    <row r="18" spans="1:10">
      <c r="A18" s="46" t="s">
        <v>289</v>
      </c>
      <c r="B18" s="6" t="s">
        <v>158</v>
      </c>
      <c r="C18" s="50">
        <v>96.149861999999999</v>
      </c>
      <c r="D18" s="50">
        <v>93.909924000000004</v>
      </c>
      <c r="E18" s="50">
        <v>103.895442</v>
      </c>
      <c r="F18" s="50">
        <v>113.88096</v>
      </c>
      <c r="G18" s="50">
        <v>120.8708226</v>
      </c>
      <c r="H18" s="50">
        <v>127.86068520000001</v>
      </c>
      <c r="I18" s="50">
        <v>132.75358901999999</v>
      </c>
      <c r="J18" s="50">
        <v>137.64649284000001</v>
      </c>
    </row>
    <row r="19" spans="1:10">
      <c r="A19" s="46" t="s">
        <v>290</v>
      </c>
      <c r="B19" s="6" t="s">
        <v>158</v>
      </c>
      <c r="C19" s="50">
        <v>54.6</v>
      </c>
      <c r="D19" s="50">
        <v>66.818181818181813</v>
      </c>
      <c r="E19" s="50">
        <v>64.988636363636346</v>
      </c>
      <c r="F19" s="50">
        <v>63.159090909090892</v>
      </c>
      <c r="G19" s="50">
        <v>61.878409090909074</v>
      </c>
      <c r="H19" s="50">
        <v>60.597727272727255</v>
      </c>
      <c r="I19" s="50">
        <v>59.701249999999987</v>
      </c>
      <c r="J19" s="50">
        <v>58.80477272727272</v>
      </c>
    </row>
    <row r="20" spans="1:10">
      <c r="A20" s="46" t="s">
        <v>291</v>
      </c>
      <c r="B20" s="6" t="s">
        <v>158</v>
      </c>
      <c r="C20" s="50">
        <v>150.850404</v>
      </c>
      <c r="D20" s="50">
        <v>186.145128</v>
      </c>
      <c r="E20" s="50">
        <v>183.38184000000001</v>
      </c>
      <c r="F20" s="50">
        <v>180.61855200000002</v>
      </c>
      <c r="G20" s="50">
        <v>178.68425040000002</v>
      </c>
      <c r="H20" s="50">
        <v>176.74994880000003</v>
      </c>
      <c r="I20" s="50">
        <v>175.39593768000003</v>
      </c>
      <c r="J20" s="50">
        <v>174.04192656000006</v>
      </c>
    </row>
    <row r="21" spans="1:10">
      <c r="A21" s="46" t="s">
        <v>292</v>
      </c>
      <c r="B21" s="6" t="s">
        <v>158</v>
      </c>
      <c r="C21" s="50">
        <v>31.715010000000003</v>
      </c>
      <c r="D21" s="50">
        <v>35.378460000000004</v>
      </c>
      <c r="E21" s="50">
        <v>35.043516000000004</v>
      </c>
      <c r="F21" s="50">
        <v>34.708572000000004</v>
      </c>
      <c r="G21" s="50">
        <v>34.474111200000003</v>
      </c>
      <c r="H21" s="50">
        <v>34.239650400000002</v>
      </c>
      <c r="I21" s="50">
        <v>34.075527839999999</v>
      </c>
      <c r="J21" s="50">
        <v>33.911405279999997</v>
      </c>
    </row>
    <row r="22" spans="1:10">
      <c r="A22" s="46" t="s">
        <v>293</v>
      </c>
      <c r="B22" s="6" t="s">
        <v>158</v>
      </c>
      <c r="C22" s="50">
        <v>359.43678</v>
      </c>
      <c r="D22" s="50">
        <v>388.61877600000003</v>
      </c>
      <c r="E22" s="50">
        <v>369.42229800000001</v>
      </c>
      <c r="F22" s="50">
        <v>350.22582</v>
      </c>
      <c r="G22" s="50">
        <v>336.78828540000001</v>
      </c>
      <c r="H22" s="50">
        <v>323.35075080000001</v>
      </c>
      <c r="I22" s="50">
        <v>313.94447658000001</v>
      </c>
      <c r="J22" s="50">
        <v>304.53820236000001</v>
      </c>
    </row>
    <row r="23" spans="1:10">
      <c r="A23" s="46" t="s">
        <v>294</v>
      </c>
      <c r="B23" s="6" t="s">
        <v>158</v>
      </c>
      <c r="C23" s="50">
        <v>2.1143339999999999</v>
      </c>
      <c r="D23" s="50">
        <v>2.30274</v>
      </c>
      <c r="E23" s="50">
        <v>2.1143339999999999</v>
      </c>
      <c r="F23" s="50">
        <v>1.9259280000000001</v>
      </c>
      <c r="G23" s="50">
        <v>1.7940438000000003</v>
      </c>
      <c r="H23" s="50">
        <v>1.6621596000000003</v>
      </c>
      <c r="I23" s="50">
        <v>1.5698406600000003</v>
      </c>
      <c r="J23" s="50">
        <v>1.4775217200000004</v>
      </c>
    </row>
    <row r="24" spans="1:10">
      <c r="A24" s="46" t="s">
        <v>295</v>
      </c>
      <c r="B24" s="6" t="s">
        <v>158</v>
      </c>
      <c r="C24" s="50"/>
      <c r="D24" s="50"/>
      <c r="E24" s="50"/>
      <c r="F24" s="50"/>
      <c r="G24" s="50"/>
      <c r="H24" s="50"/>
      <c r="I24" s="50"/>
      <c r="J24" s="50"/>
    </row>
    <row r="25" spans="1:10">
      <c r="A25" s="46" t="s">
        <v>296</v>
      </c>
      <c r="B25" s="6" t="s">
        <v>158</v>
      </c>
      <c r="C25" s="50"/>
      <c r="D25" s="50"/>
      <c r="E25" s="50"/>
      <c r="F25" s="50"/>
      <c r="G25" s="50"/>
      <c r="H25" s="50"/>
      <c r="I25" s="50"/>
      <c r="J25" s="50"/>
    </row>
    <row r="26" spans="1:10">
      <c r="A26" s="46" t="s">
        <v>297</v>
      </c>
      <c r="B26" s="6" t="s">
        <v>158</v>
      </c>
      <c r="C26" s="50">
        <v>63.032274000000001</v>
      </c>
      <c r="D26" s="50">
        <v>68.035499999999999</v>
      </c>
      <c r="E26" s="50">
        <v>64.183644000000001</v>
      </c>
      <c r="F26" s="50">
        <v>60.331788000000003</v>
      </c>
      <c r="G26" s="50">
        <v>57.635488800000005</v>
      </c>
      <c r="H26" s="50">
        <v>54.939189600000006</v>
      </c>
      <c r="I26" s="50">
        <v>53.051780160000007</v>
      </c>
      <c r="J26" s="50">
        <v>51.164370720000001</v>
      </c>
    </row>
    <row r="27" spans="1:10">
      <c r="A27" s="46" t="s">
        <v>298</v>
      </c>
      <c r="B27" s="6" t="s">
        <v>158</v>
      </c>
      <c r="C27" s="50">
        <v>377.54</v>
      </c>
      <c r="D27" s="50">
        <v>407.50747260046495</v>
      </c>
      <c r="E27" s="50">
        <v>384.43628030554629</v>
      </c>
      <c r="F27" s="50">
        <v>361.36508801062769</v>
      </c>
      <c r="G27" s="50">
        <v>345.21525340418469</v>
      </c>
      <c r="H27" s="50">
        <v>329.0654187977417</v>
      </c>
      <c r="I27" s="50">
        <v>317.76053457323155</v>
      </c>
      <c r="J27" s="50">
        <v>306.45565034872141</v>
      </c>
    </row>
    <row r="28" spans="1:10">
      <c r="A28" s="46" t="s">
        <v>299</v>
      </c>
      <c r="B28" s="6" t="s">
        <v>158</v>
      </c>
      <c r="C28" s="50">
        <v>376.05837600000001</v>
      </c>
      <c r="D28" s="50">
        <v>461.76217200000002</v>
      </c>
      <c r="E28" s="50">
        <v>428.79112200000003</v>
      </c>
      <c r="F28" s="50">
        <v>395.82007200000004</v>
      </c>
      <c r="G28" s="50">
        <v>372.74033700000007</v>
      </c>
      <c r="H28" s="50">
        <v>349.66060200000004</v>
      </c>
      <c r="I28" s="50">
        <v>333.50478750000002</v>
      </c>
      <c r="J28" s="50">
        <v>317.348973</v>
      </c>
    </row>
    <row r="29" spans="1:10">
      <c r="A29" s="46" t="s">
        <v>300</v>
      </c>
      <c r="B29" s="6" t="s">
        <v>158</v>
      </c>
      <c r="C29" s="50">
        <v>127.027512</v>
      </c>
      <c r="D29" s="50">
        <v>136.28034</v>
      </c>
      <c r="E29" s="50">
        <v>127.446192</v>
      </c>
      <c r="F29" s="50">
        <v>118.61204400000001</v>
      </c>
      <c r="G29" s="50">
        <v>112.4281404</v>
      </c>
      <c r="H29" s="50">
        <v>106.2442368</v>
      </c>
      <c r="I29" s="50">
        <v>101.91550427999999</v>
      </c>
      <c r="J29" s="50">
        <v>97.586771759999991</v>
      </c>
    </row>
    <row r="30" spans="1:10">
      <c r="A30" s="46" t="s">
        <v>301</v>
      </c>
      <c r="B30" s="6" t="s">
        <v>158</v>
      </c>
      <c r="C30" s="50">
        <v>220.60249200000001</v>
      </c>
      <c r="D30" s="50">
        <v>252.129096</v>
      </c>
      <c r="E30" s="50">
        <v>258.49303199999997</v>
      </c>
      <c r="F30" s="50">
        <v>264.85696799999999</v>
      </c>
      <c r="G30" s="50">
        <v>269.31172320000002</v>
      </c>
      <c r="H30" s="50">
        <v>273.76647840000004</v>
      </c>
      <c r="I30" s="50">
        <v>276.88480704000006</v>
      </c>
      <c r="J30" s="50">
        <v>280.00313568000001</v>
      </c>
    </row>
    <row r="31" spans="1:10">
      <c r="A31" s="46" t="s">
        <v>302</v>
      </c>
      <c r="B31" s="6" t="s">
        <v>158</v>
      </c>
      <c r="C31" s="50"/>
      <c r="D31" s="50"/>
      <c r="E31" s="50"/>
      <c r="F31" s="50"/>
      <c r="G31" s="50"/>
      <c r="H31" s="50"/>
      <c r="I31" s="50"/>
      <c r="J31" s="50"/>
    </row>
    <row r="32" spans="1:10">
      <c r="A32" s="46" t="s">
        <v>303</v>
      </c>
      <c r="B32" s="6" t="s">
        <v>158</v>
      </c>
      <c r="C32" s="50">
        <v>334.31598000000002</v>
      </c>
      <c r="D32" s="50">
        <v>404.77982400000002</v>
      </c>
      <c r="E32" s="50">
        <v>357.40618200000006</v>
      </c>
      <c r="F32" s="50">
        <v>310.03254000000004</v>
      </c>
      <c r="G32" s="50">
        <v>276.87099060000003</v>
      </c>
      <c r="H32" s="50">
        <v>243.70944119999999</v>
      </c>
      <c r="I32" s="50">
        <v>220.49635662</v>
      </c>
      <c r="J32" s="50">
        <v>197.28327204000001</v>
      </c>
    </row>
    <row r="33" spans="1:10">
      <c r="A33" s="46" t="s">
        <v>304</v>
      </c>
      <c r="B33" s="6" t="s">
        <v>158</v>
      </c>
      <c r="C33" s="50">
        <v>20.954934000000002</v>
      </c>
      <c r="D33" s="50">
        <v>23.153004000000003</v>
      </c>
      <c r="E33" s="50">
        <v>24.325308</v>
      </c>
      <c r="F33" s="50">
        <v>25.497612</v>
      </c>
      <c r="G33" s="50">
        <v>26.318224800000003</v>
      </c>
      <c r="H33" s="50">
        <v>27.138837600000002</v>
      </c>
      <c r="I33" s="50">
        <v>27.713266560000005</v>
      </c>
      <c r="J33" s="50">
        <v>28.287695520000007</v>
      </c>
    </row>
    <row r="34" spans="1:10">
      <c r="A34" s="46" t="s">
        <v>305</v>
      </c>
      <c r="B34" s="6" t="s">
        <v>158</v>
      </c>
      <c r="C34" s="50">
        <v>68.119236000000001</v>
      </c>
      <c r="D34" s="50">
        <v>81.810072000000005</v>
      </c>
      <c r="E34" s="50">
        <v>82.626497999999998</v>
      </c>
      <c r="F34" s="50">
        <v>83.442924000000005</v>
      </c>
      <c r="G34" s="50">
        <v>84.014422200000013</v>
      </c>
      <c r="H34" s="50">
        <v>84.585920400000006</v>
      </c>
      <c r="I34" s="50">
        <v>84.985969140000009</v>
      </c>
      <c r="J34" s="50">
        <v>85.386017879999997</v>
      </c>
    </row>
    <row r="35" spans="1:10">
      <c r="A35" s="46" t="s">
        <v>306</v>
      </c>
      <c r="B35" s="6" t="s">
        <v>158</v>
      </c>
      <c r="C35" s="50"/>
      <c r="D35" s="50"/>
      <c r="E35" s="50"/>
      <c r="F35" s="50"/>
      <c r="G35" s="50"/>
      <c r="H35" s="50"/>
      <c r="I35" s="50"/>
      <c r="J35" s="50"/>
    </row>
    <row r="36" spans="1:10">
      <c r="A36" s="46" t="s">
        <v>307</v>
      </c>
      <c r="B36" s="6" t="s">
        <v>158</v>
      </c>
      <c r="C36" s="50">
        <v>424.39498200000003</v>
      </c>
      <c r="D36" s="50">
        <v>446.89903200000003</v>
      </c>
      <c r="E36" s="50">
        <v>442.27261800000002</v>
      </c>
      <c r="F36" s="50">
        <v>437.64620400000001</v>
      </c>
      <c r="G36" s="50">
        <v>434.40771419999999</v>
      </c>
      <c r="H36" s="50">
        <v>431.16922440000002</v>
      </c>
      <c r="I36" s="50">
        <v>428.90228153999999</v>
      </c>
      <c r="J36" s="50">
        <v>426.63533867999996</v>
      </c>
    </row>
    <row r="37" spans="1:10">
      <c r="A37" s="17" t="s">
        <v>308</v>
      </c>
      <c r="B37" s="6" t="s">
        <v>158</v>
      </c>
      <c r="C37" s="50">
        <v>35.127251999999999</v>
      </c>
      <c r="D37" s="50">
        <v>43.207776000000003</v>
      </c>
      <c r="E37" s="50">
        <v>38.392955999999998</v>
      </c>
      <c r="F37" s="50">
        <v>33.578136000000001</v>
      </c>
      <c r="G37" s="50">
        <v>30.207762000000002</v>
      </c>
      <c r="H37" s="50">
        <v>26.837388000000001</v>
      </c>
      <c r="I37" s="50">
        <v>24.478126199999998</v>
      </c>
      <c r="J37" s="50">
        <v>22.1188644</v>
      </c>
    </row>
    <row r="38" spans="1:10">
      <c r="A38" s="17" t="s">
        <v>309</v>
      </c>
      <c r="B38" s="6" t="s">
        <v>158</v>
      </c>
      <c r="C38" s="50">
        <v>43.019370000000002</v>
      </c>
      <c r="D38" s="50">
        <v>48.525012000000004</v>
      </c>
      <c r="E38" s="50">
        <v>51.372036000000008</v>
      </c>
      <c r="F38" s="50">
        <v>54.219060000000006</v>
      </c>
      <c r="G38" s="50">
        <v>56.211976800000002</v>
      </c>
      <c r="H38" s="50">
        <v>58.204893600000005</v>
      </c>
      <c r="I38" s="50">
        <v>59.599935360000003</v>
      </c>
      <c r="J38" s="50">
        <v>60.994977120000009</v>
      </c>
    </row>
    <row r="39" spans="1:10">
      <c r="A39" s="17" t="s">
        <v>310</v>
      </c>
      <c r="B39" s="6" t="s">
        <v>158</v>
      </c>
      <c r="C39" s="50">
        <v>45.196505999999999</v>
      </c>
      <c r="D39" s="50">
        <v>48.734352000000001</v>
      </c>
      <c r="E39" s="50">
        <v>54.470268000000004</v>
      </c>
      <c r="F39" s="50">
        <v>60.206184</v>
      </c>
      <c r="G39" s="50">
        <v>64.221325199999995</v>
      </c>
      <c r="H39" s="50">
        <v>68.236466399999998</v>
      </c>
      <c r="I39" s="50">
        <v>71.047065239999995</v>
      </c>
      <c r="J39" s="50">
        <v>73.857664080000006</v>
      </c>
    </row>
    <row r="40" spans="1:10">
      <c r="A40" s="17" t="s">
        <v>311</v>
      </c>
      <c r="B40" s="6" t="s">
        <v>158</v>
      </c>
      <c r="C40" s="50"/>
      <c r="D40" s="50"/>
      <c r="E40" s="50"/>
      <c r="F40" s="50"/>
      <c r="G40" s="50"/>
      <c r="H40" s="50"/>
      <c r="I40" s="50"/>
      <c r="J40" s="50"/>
    </row>
    <row r="41" spans="1:10">
      <c r="A41" s="17" t="s">
        <v>312</v>
      </c>
      <c r="B41" s="6" t="s">
        <v>158</v>
      </c>
      <c r="C41" s="50"/>
      <c r="D41" s="50"/>
      <c r="E41" s="50"/>
      <c r="F41" s="50"/>
      <c r="G41" s="50"/>
      <c r="H41" s="50"/>
      <c r="I41" s="50"/>
      <c r="J41" s="50"/>
    </row>
    <row r="42" spans="1:10">
      <c r="A42" s="17" t="s">
        <v>356</v>
      </c>
      <c r="B42" s="6" t="s">
        <v>158</v>
      </c>
      <c r="C42" s="50">
        <v>360.06479999999999</v>
      </c>
      <c r="D42" s="50">
        <v>379.15766538746118</v>
      </c>
      <c r="E42" s="50">
        <v>375.23252747989943</v>
      </c>
      <c r="F42" s="50">
        <v>371.30738957233763</v>
      </c>
      <c r="G42" s="50">
        <v>368.55979303704441</v>
      </c>
      <c r="H42" s="50">
        <v>365.81219650175115</v>
      </c>
      <c r="I42" s="50">
        <v>363.88887892704582</v>
      </c>
      <c r="J42" s="50">
        <v>361.96556135234056</v>
      </c>
    </row>
    <row r="43" spans="1:10">
      <c r="A43" s="12" t="s">
        <v>357</v>
      </c>
      <c r="B43" s="6" t="s">
        <v>158</v>
      </c>
      <c r="C43" s="50">
        <v>47.725391999999978</v>
      </c>
      <c r="D43" s="50">
        <v>50.256087822029279</v>
      </c>
      <c r="E43" s="50">
        <v>49.73582384373303</v>
      </c>
      <c r="F43" s="50">
        <v>49.215559865436767</v>
      </c>
      <c r="G43" s="50">
        <v>48.851375080629396</v>
      </c>
      <c r="H43" s="50">
        <v>48.48719029582201</v>
      </c>
      <c r="I43" s="50">
        <v>48.23226094645684</v>
      </c>
      <c r="J43" s="50">
        <v>47.977331597091677</v>
      </c>
    </row>
    <row r="44" spans="1:10">
      <c r="A44" s="46" t="s">
        <v>277</v>
      </c>
      <c r="B44" s="6" t="s">
        <v>331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</row>
    <row r="45" spans="1:10">
      <c r="A45" s="46" t="s">
        <v>278</v>
      </c>
      <c r="B45" s="6" t="s">
        <v>331</v>
      </c>
      <c r="C45" s="50">
        <v>4.5839179799999998</v>
      </c>
      <c r="D45" s="50">
        <v>5.0819378400000002</v>
      </c>
      <c r="E45" s="50">
        <v>4.8351259799999999</v>
      </c>
      <c r="F45" s="50">
        <v>4.5883141199999997</v>
      </c>
      <c r="G45" s="50">
        <v>4.415545818</v>
      </c>
      <c r="H45" s="50">
        <v>4.2427775160000003</v>
      </c>
      <c r="I45" s="50">
        <v>4.1218397046000002</v>
      </c>
      <c r="J45" s="50">
        <v>4.0009018932</v>
      </c>
    </row>
    <row r="46" spans="1:10">
      <c r="A46" s="46" t="s">
        <v>279</v>
      </c>
      <c r="B46" s="6" t="s">
        <v>331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</row>
    <row r="47" spans="1:10">
      <c r="A47" s="46" t="s">
        <v>280</v>
      </c>
      <c r="B47" s="6" t="s">
        <v>331</v>
      </c>
      <c r="C47" s="50">
        <v>2.7959450400000003</v>
      </c>
      <c r="D47" s="50">
        <v>2.9014523999999997</v>
      </c>
      <c r="E47" s="50">
        <v>2.89454418</v>
      </c>
      <c r="F47" s="50">
        <v>2.8876359600000003</v>
      </c>
      <c r="G47" s="50">
        <v>2.8828002060000002</v>
      </c>
      <c r="H47" s="50">
        <v>2.8779644520000005</v>
      </c>
      <c r="I47" s="50">
        <v>2.8745794242000002</v>
      </c>
      <c r="J47" s="50">
        <v>2.8711943964000004</v>
      </c>
    </row>
    <row r="48" spans="1:10">
      <c r="A48" s="46" t="s">
        <v>281</v>
      </c>
      <c r="B48" s="6" t="s">
        <v>331</v>
      </c>
      <c r="C48" s="50">
        <v>3.06976176</v>
      </c>
      <c r="D48" s="50">
        <v>3.2983610400000001</v>
      </c>
      <c r="E48" s="50">
        <v>3.3806316600000001</v>
      </c>
      <c r="F48" s="50">
        <v>3.4629022799999998</v>
      </c>
      <c r="G48" s="50">
        <v>3.5204917139999998</v>
      </c>
      <c r="H48" s="50">
        <v>3.5780811479999999</v>
      </c>
      <c r="I48" s="50">
        <v>3.6183937517999998</v>
      </c>
      <c r="J48" s="50">
        <v>3.6587063556000001</v>
      </c>
    </row>
    <row r="49" spans="1:10">
      <c r="A49" s="46" t="s">
        <v>282</v>
      </c>
      <c r="B49" s="6" t="s">
        <v>331</v>
      </c>
      <c r="C49" s="50">
        <v>4.5839179799999998</v>
      </c>
      <c r="D49" s="50">
        <v>5.0819378400000002</v>
      </c>
      <c r="E49" s="50">
        <v>4.8351259799999999</v>
      </c>
      <c r="F49" s="50">
        <v>4.5883141199999997</v>
      </c>
      <c r="G49" s="50">
        <v>4.415545818</v>
      </c>
      <c r="H49" s="50">
        <v>4.2427775160000003</v>
      </c>
      <c r="I49" s="50">
        <v>4.1218397046000002</v>
      </c>
      <c r="J49" s="50">
        <v>4.0009018932</v>
      </c>
    </row>
    <row r="50" spans="1:10">
      <c r="A50" s="46" t="s">
        <v>283</v>
      </c>
      <c r="B50" s="6" t="s">
        <v>331</v>
      </c>
      <c r="C50" s="50">
        <v>4.3314539400000003</v>
      </c>
      <c r="D50" s="50">
        <v>4.5468647999999998</v>
      </c>
      <c r="E50" s="50">
        <v>4.647348</v>
      </c>
      <c r="F50" s="50">
        <v>4.7478312000000003</v>
      </c>
      <c r="G50" s="50">
        <v>4.8181694400000001</v>
      </c>
      <c r="H50" s="50">
        <v>4.88850768</v>
      </c>
      <c r="I50" s="50">
        <v>4.9377444480000001</v>
      </c>
      <c r="J50" s="50">
        <v>4.9869812160000002</v>
      </c>
    </row>
    <row r="51" spans="1:10">
      <c r="A51" s="46" t="s">
        <v>284</v>
      </c>
      <c r="B51" s="6" t="s">
        <v>331</v>
      </c>
      <c r="C51" s="50">
        <v>21.506544900000002</v>
      </c>
      <c r="D51" s="50">
        <v>24.329494799999999</v>
      </c>
      <c r="E51" s="50">
        <v>23.087899259999997</v>
      </c>
      <c r="F51" s="50">
        <v>21.846303720000002</v>
      </c>
      <c r="G51" s="50">
        <v>20.977186842000002</v>
      </c>
      <c r="H51" s="50">
        <v>20.108069964000002</v>
      </c>
      <c r="I51" s="50">
        <v>19.499688149400001</v>
      </c>
      <c r="J51" s="50">
        <v>18.891306334800003</v>
      </c>
    </row>
    <row r="52" spans="1:10">
      <c r="A52" s="46" t="s">
        <v>285</v>
      </c>
      <c r="B52" s="6" t="s">
        <v>331</v>
      </c>
      <c r="C52" s="50">
        <v>2.1553646400000002</v>
      </c>
      <c r="D52" s="50">
        <v>2.6376840000000001</v>
      </c>
      <c r="E52" s="50">
        <v>2.5654616999999997</v>
      </c>
      <c r="F52" s="50">
        <v>2.4932393999999998</v>
      </c>
      <c r="G52" s="50">
        <v>2.4426837899999998</v>
      </c>
      <c r="H52" s="50">
        <v>2.3921281799999998</v>
      </c>
      <c r="I52" s="50">
        <v>2.3567392530000002</v>
      </c>
      <c r="J52" s="50">
        <v>2.3213503260000006</v>
      </c>
    </row>
    <row r="53" spans="1:10">
      <c r="A53" s="46" t="s">
        <v>286</v>
      </c>
      <c r="B53" s="6" t="s">
        <v>331</v>
      </c>
      <c r="C53" s="50">
        <v>14.046923340000001</v>
      </c>
      <c r="D53" s="50">
        <v>15.248325600000001</v>
      </c>
      <c r="E53" s="50">
        <v>14.880933900000002</v>
      </c>
      <c r="F53" s="50">
        <v>14.513542200000002</v>
      </c>
      <c r="G53" s="50">
        <v>14.256368010000001</v>
      </c>
      <c r="H53" s="50">
        <v>13.99919382</v>
      </c>
      <c r="I53" s="50">
        <v>13.819171887000001</v>
      </c>
      <c r="J53" s="50">
        <v>13.639149954000001</v>
      </c>
    </row>
    <row r="54" spans="1:10">
      <c r="A54" s="46" t="s">
        <v>287</v>
      </c>
      <c r="B54" s="6" t="s">
        <v>331</v>
      </c>
      <c r="C54" s="50">
        <v>8.8632462600000004</v>
      </c>
      <c r="D54" s="50">
        <v>10.932572160000001</v>
      </c>
      <c r="E54" s="50">
        <v>9.6683679000000016</v>
      </c>
      <c r="F54" s="50">
        <v>8.4041636400000002</v>
      </c>
      <c r="G54" s="50">
        <v>7.5192206580000009</v>
      </c>
      <c r="H54" s="50">
        <v>6.634277676</v>
      </c>
      <c r="I54" s="50">
        <v>6.0148175885999997</v>
      </c>
      <c r="J54" s="50">
        <v>5.3953575011999995</v>
      </c>
    </row>
    <row r="55" spans="1:10">
      <c r="A55" s="46" t="s">
        <v>288</v>
      </c>
      <c r="B55" s="6" t="s">
        <v>331</v>
      </c>
      <c r="C55" s="50">
        <v>19.903209839999999</v>
      </c>
      <c r="D55" s="50">
        <v>24.85451952</v>
      </c>
      <c r="E55" s="50">
        <v>24.053166000000001</v>
      </c>
      <c r="F55" s="50">
        <v>23.251812480000002</v>
      </c>
      <c r="G55" s="50">
        <v>22.690865016</v>
      </c>
      <c r="H55" s="50">
        <v>22.129917552000002</v>
      </c>
      <c r="I55" s="50">
        <v>21.737254327199999</v>
      </c>
      <c r="J55" s="50">
        <v>21.344591102399995</v>
      </c>
    </row>
    <row r="56" spans="1:10">
      <c r="A56" s="46" t="s">
        <v>289</v>
      </c>
      <c r="B56" s="6" t="s">
        <v>331</v>
      </c>
      <c r="C56" s="50">
        <v>2.8844958599999999</v>
      </c>
      <c r="D56" s="50">
        <v>2.81729772</v>
      </c>
      <c r="E56" s="50">
        <v>3.1168632600000001</v>
      </c>
      <c r="F56" s="50">
        <v>3.4164287999999998</v>
      </c>
      <c r="G56" s="50">
        <v>3.6261246779999996</v>
      </c>
      <c r="H56" s="50">
        <v>3.8358205559999998</v>
      </c>
      <c r="I56" s="50">
        <v>3.9826076705999998</v>
      </c>
      <c r="J56" s="50">
        <v>4.1293947851999997</v>
      </c>
    </row>
    <row r="57" spans="1:10">
      <c r="A57" s="46" t="s">
        <v>290</v>
      </c>
      <c r="B57" s="6" t="s">
        <v>331</v>
      </c>
      <c r="C57" s="50">
        <v>1.6379999999999999</v>
      </c>
      <c r="D57" s="50">
        <v>2.0045454545454544</v>
      </c>
      <c r="E57" s="50">
        <v>1.9496590909090903</v>
      </c>
      <c r="F57" s="50">
        <v>1.8947727272727266</v>
      </c>
      <c r="G57" s="50">
        <v>1.8563522727272721</v>
      </c>
      <c r="H57" s="50">
        <v>1.8179318181818176</v>
      </c>
      <c r="I57" s="50">
        <v>1.7910374999999996</v>
      </c>
      <c r="J57" s="50">
        <v>1.7641431818181816</v>
      </c>
    </row>
    <row r="58" spans="1:10">
      <c r="A58" s="46" t="s">
        <v>291</v>
      </c>
      <c r="B58" s="6" t="s">
        <v>331</v>
      </c>
      <c r="C58" s="50">
        <v>4.5255121200000001</v>
      </c>
      <c r="D58" s="50">
        <v>5.5843538399999995</v>
      </c>
      <c r="E58" s="50">
        <v>5.5014552000000005</v>
      </c>
      <c r="F58" s="50">
        <v>5.4185565600000007</v>
      </c>
      <c r="G58" s="50">
        <v>5.3605275120000009</v>
      </c>
      <c r="H58" s="50">
        <v>5.302498464000001</v>
      </c>
      <c r="I58" s="50">
        <v>5.2618781304000004</v>
      </c>
      <c r="J58" s="50">
        <v>5.2212577968000016</v>
      </c>
    </row>
    <row r="59" spans="1:10">
      <c r="A59" s="46" t="s">
        <v>292</v>
      </c>
      <c r="B59" s="6" t="s">
        <v>331</v>
      </c>
      <c r="C59" s="50">
        <v>0.95145030000000008</v>
      </c>
      <c r="D59" s="50">
        <v>1.0613538</v>
      </c>
      <c r="E59" s="50">
        <v>1.0513054800000001</v>
      </c>
      <c r="F59" s="50">
        <v>1.04125716</v>
      </c>
      <c r="G59" s="50">
        <v>1.0342233360000002</v>
      </c>
      <c r="H59" s="50">
        <v>1.0271895120000001</v>
      </c>
      <c r="I59" s="50">
        <v>1.0222658352</v>
      </c>
      <c r="J59" s="50">
        <v>1.0173421584</v>
      </c>
    </row>
    <row r="60" spans="1:10">
      <c r="A60" s="46" t="s">
        <v>293</v>
      </c>
      <c r="B60" s="6" t="s">
        <v>331</v>
      </c>
      <c r="C60" s="50">
        <v>10.7831034</v>
      </c>
      <c r="D60" s="50">
        <v>11.658563280000001</v>
      </c>
      <c r="E60" s="50">
        <v>11.08266894</v>
      </c>
      <c r="F60" s="50">
        <v>10.5067746</v>
      </c>
      <c r="G60" s="50">
        <v>10.103648562</v>
      </c>
      <c r="H60" s="50">
        <v>9.7005225240000001</v>
      </c>
      <c r="I60" s="50">
        <v>9.4183342973999995</v>
      </c>
      <c r="J60" s="50">
        <v>9.1361460708000006</v>
      </c>
    </row>
    <row r="61" spans="1:10">
      <c r="A61" s="46" t="s">
        <v>294</v>
      </c>
      <c r="B61" s="6" t="s">
        <v>331</v>
      </c>
      <c r="C61" s="50">
        <v>6.343001999999999E-2</v>
      </c>
      <c r="D61" s="50">
        <v>6.9082199999999996E-2</v>
      </c>
      <c r="E61" s="50">
        <v>6.343001999999999E-2</v>
      </c>
      <c r="F61" s="50">
        <v>5.7777839999999997E-2</v>
      </c>
      <c r="G61" s="50">
        <v>5.3821314000000009E-2</v>
      </c>
      <c r="H61" s="50">
        <v>4.9864788000000007E-2</v>
      </c>
      <c r="I61" s="50">
        <v>4.7095219800000011E-2</v>
      </c>
      <c r="J61" s="50">
        <v>4.4325651600000009E-2</v>
      </c>
    </row>
    <row r="62" spans="1:10">
      <c r="A62" s="46" t="s">
        <v>295</v>
      </c>
      <c r="B62" s="6" t="s">
        <v>331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</row>
    <row r="63" spans="1:10">
      <c r="A63" s="46" t="s">
        <v>296</v>
      </c>
      <c r="B63" s="6" t="s">
        <v>331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</row>
    <row r="64" spans="1:10">
      <c r="A64" s="46" t="s">
        <v>297</v>
      </c>
      <c r="B64" s="6" t="s">
        <v>331</v>
      </c>
      <c r="C64" s="50">
        <v>1.89096822</v>
      </c>
      <c r="D64" s="50">
        <v>2.0410649999999997</v>
      </c>
      <c r="E64" s="50">
        <v>1.92550932</v>
      </c>
      <c r="F64" s="50">
        <v>1.80995364</v>
      </c>
      <c r="G64" s="50">
        <v>1.729064664</v>
      </c>
      <c r="H64" s="50">
        <v>1.648175688</v>
      </c>
      <c r="I64" s="50">
        <v>1.5915534048000002</v>
      </c>
      <c r="J64" s="50">
        <v>1.5349311215999999</v>
      </c>
    </row>
    <row r="65" spans="1:10">
      <c r="A65" s="46" t="s">
        <v>298</v>
      </c>
      <c r="B65" s="6" t="s">
        <v>331</v>
      </c>
      <c r="C65" s="50">
        <v>11.3262</v>
      </c>
      <c r="D65" s="50">
        <v>12.225224178013947</v>
      </c>
      <c r="E65" s="50">
        <v>11.533088409166389</v>
      </c>
      <c r="F65" s="50">
        <v>10.840952640318831</v>
      </c>
      <c r="G65" s="50">
        <v>10.356457602125541</v>
      </c>
      <c r="H65" s="50">
        <v>9.8719625639322501</v>
      </c>
      <c r="I65" s="50">
        <v>9.5328160371969464</v>
      </c>
      <c r="J65" s="50">
        <v>9.1936695104616426</v>
      </c>
    </row>
    <row r="66" spans="1:10">
      <c r="A66" s="46" t="s">
        <v>299</v>
      </c>
      <c r="B66" s="6" t="s">
        <v>331</v>
      </c>
      <c r="C66" s="50">
        <v>11.28175128</v>
      </c>
      <c r="D66" s="50">
        <v>13.85286516</v>
      </c>
      <c r="E66" s="50">
        <v>12.863733660000001</v>
      </c>
      <c r="F66" s="50">
        <v>11.87460216</v>
      </c>
      <c r="G66" s="50">
        <v>11.182210110000002</v>
      </c>
      <c r="H66" s="50">
        <v>10.489818060000001</v>
      </c>
      <c r="I66" s="50">
        <v>10.005143625000001</v>
      </c>
      <c r="J66" s="50">
        <v>9.52046919</v>
      </c>
    </row>
    <row r="67" spans="1:10">
      <c r="A67" s="46" t="s">
        <v>300</v>
      </c>
      <c r="B67" s="6" t="s">
        <v>331</v>
      </c>
      <c r="C67" s="50">
        <v>3.8108253599999999</v>
      </c>
      <c r="D67" s="50">
        <v>4.0884101999999993</v>
      </c>
      <c r="E67" s="50">
        <v>3.8233857599999999</v>
      </c>
      <c r="F67" s="50">
        <v>3.5583613200000004</v>
      </c>
      <c r="G67" s="50">
        <v>3.372844212</v>
      </c>
      <c r="H67" s="50">
        <v>3.187327104</v>
      </c>
      <c r="I67" s="50">
        <v>3.0574651283999996</v>
      </c>
      <c r="J67" s="50">
        <v>2.9276031527999997</v>
      </c>
    </row>
    <row r="68" spans="1:10">
      <c r="A68" s="46" t="s">
        <v>301</v>
      </c>
      <c r="B68" s="6" t="s">
        <v>331</v>
      </c>
      <c r="C68" s="50">
        <v>6.6180747599999998</v>
      </c>
      <c r="D68" s="50">
        <v>7.5638728799999999</v>
      </c>
      <c r="E68" s="50">
        <v>7.7547909599999985</v>
      </c>
      <c r="F68" s="50">
        <v>7.9457090399999997</v>
      </c>
      <c r="G68" s="50">
        <v>8.0793516959999998</v>
      </c>
      <c r="H68" s="50">
        <v>8.2129943520000008</v>
      </c>
      <c r="I68" s="50">
        <v>8.3065442112000021</v>
      </c>
      <c r="J68" s="50">
        <v>8.4000940703999998</v>
      </c>
    </row>
    <row r="69" spans="1:10">
      <c r="A69" s="46" t="s">
        <v>302</v>
      </c>
      <c r="B69" s="6" t="s">
        <v>331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</row>
    <row r="70" spans="1:10">
      <c r="A70" s="46" t="s">
        <v>303</v>
      </c>
      <c r="B70" s="6" t="s">
        <v>331</v>
      </c>
      <c r="C70" s="50">
        <v>10.0294794</v>
      </c>
      <c r="D70" s="50">
        <v>12.14339472</v>
      </c>
      <c r="E70" s="50">
        <v>10.722185460000002</v>
      </c>
      <c r="F70" s="50">
        <v>9.3009762000000009</v>
      </c>
      <c r="G70" s="50">
        <v>8.3061297180000011</v>
      </c>
      <c r="H70" s="50">
        <v>7.3112832359999995</v>
      </c>
      <c r="I70" s="50">
        <v>6.6148906986</v>
      </c>
      <c r="J70" s="50">
        <v>5.9184981612000005</v>
      </c>
    </row>
    <row r="71" spans="1:10">
      <c r="A71" s="46" t="s">
        <v>304</v>
      </c>
      <c r="B71" s="6" t="s">
        <v>331</v>
      </c>
      <c r="C71" s="50">
        <v>0.62864801999999997</v>
      </c>
      <c r="D71" s="50">
        <v>0.69459012000000009</v>
      </c>
      <c r="E71" s="50">
        <v>0.72975923999999992</v>
      </c>
      <c r="F71" s="50">
        <v>0.76492835999999997</v>
      </c>
      <c r="G71" s="50">
        <v>0.78954674400000002</v>
      </c>
      <c r="H71" s="50">
        <v>0.81416512800000007</v>
      </c>
      <c r="I71" s="50">
        <v>0.83139799680000015</v>
      </c>
      <c r="J71" s="50">
        <v>0.84863086560000023</v>
      </c>
    </row>
    <row r="72" spans="1:10">
      <c r="A72" s="46" t="s">
        <v>305</v>
      </c>
      <c r="B72" s="6" t="s">
        <v>331</v>
      </c>
      <c r="C72" s="50">
        <v>2.0435770799999999</v>
      </c>
      <c r="D72" s="50">
        <v>2.4543021600000001</v>
      </c>
      <c r="E72" s="50">
        <v>2.4787949399999998</v>
      </c>
      <c r="F72" s="50">
        <v>2.5032877199999999</v>
      </c>
      <c r="G72" s="50">
        <v>2.5204326660000005</v>
      </c>
      <c r="H72" s="50">
        <v>2.5375776120000002</v>
      </c>
      <c r="I72" s="50">
        <v>2.5495790742</v>
      </c>
      <c r="J72" s="50">
        <v>2.5615805363999997</v>
      </c>
    </row>
    <row r="73" spans="1:10">
      <c r="A73" s="46" t="s">
        <v>306</v>
      </c>
      <c r="B73" s="6" t="s">
        <v>331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</row>
    <row r="74" spans="1:10">
      <c r="A74" s="46" t="s">
        <v>307</v>
      </c>
      <c r="B74" s="6" t="s">
        <v>331</v>
      </c>
      <c r="C74" s="50">
        <v>12.731849460000001</v>
      </c>
      <c r="D74" s="50">
        <v>13.406970960000001</v>
      </c>
      <c r="E74" s="50">
        <v>13.268178540000001</v>
      </c>
      <c r="F74" s="50">
        <v>13.129386119999999</v>
      </c>
      <c r="G74" s="50">
        <v>13.032231425999999</v>
      </c>
      <c r="H74" s="50">
        <v>12.935076732000001</v>
      </c>
      <c r="I74" s="50">
        <v>12.867068446199999</v>
      </c>
      <c r="J74" s="50">
        <v>12.799060160399998</v>
      </c>
    </row>
    <row r="75" spans="1:10">
      <c r="A75" s="17" t="s">
        <v>308</v>
      </c>
      <c r="B75" s="6" t="s">
        <v>331</v>
      </c>
      <c r="C75" s="50">
        <v>1.0538175599999999</v>
      </c>
      <c r="D75" s="50">
        <v>1.29623328</v>
      </c>
      <c r="E75" s="50">
        <v>1.1517886799999999</v>
      </c>
      <c r="F75" s="50">
        <v>1.00734408</v>
      </c>
      <c r="G75" s="50">
        <v>0.90623286000000003</v>
      </c>
      <c r="H75" s="50">
        <v>0.80512163999999997</v>
      </c>
      <c r="I75" s="50">
        <v>0.73434378599999994</v>
      </c>
      <c r="J75" s="50">
        <v>0.66356593199999991</v>
      </c>
    </row>
    <row r="76" spans="1:10">
      <c r="A76" s="17" t="s">
        <v>309</v>
      </c>
      <c r="B76" s="6" t="s">
        <v>331</v>
      </c>
      <c r="C76" s="50">
        <v>1.2905811</v>
      </c>
      <c r="D76" s="50">
        <v>1.4557503600000001</v>
      </c>
      <c r="E76" s="50">
        <v>1.5411610800000002</v>
      </c>
      <c r="F76" s="50">
        <v>1.6265718</v>
      </c>
      <c r="G76" s="50">
        <v>1.686359304</v>
      </c>
      <c r="H76" s="50">
        <v>1.746146808</v>
      </c>
      <c r="I76" s="50">
        <v>1.7879980608000001</v>
      </c>
      <c r="J76" s="50">
        <v>1.8298493136000002</v>
      </c>
    </row>
    <row r="77" spans="1:10">
      <c r="A77" s="17" t="s">
        <v>310</v>
      </c>
      <c r="B77" s="6" t="s">
        <v>331</v>
      </c>
      <c r="C77" s="50">
        <v>1.3558951799999999</v>
      </c>
      <c r="D77" s="50">
        <v>1.4620305600000001</v>
      </c>
      <c r="E77" s="50">
        <v>1.6341080400000001</v>
      </c>
      <c r="F77" s="50">
        <v>1.8061855199999999</v>
      </c>
      <c r="G77" s="50">
        <v>1.9266397559999997</v>
      </c>
      <c r="H77" s="50">
        <v>2.0470939919999998</v>
      </c>
      <c r="I77" s="50">
        <v>2.1314119571999997</v>
      </c>
      <c r="J77" s="50">
        <v>2.2157299224</v>
      </c>
    </row>
    <row r="78" spans="1:10">
      <c r="A78" s="17" t="s">
        <v>311</v>
      </c>
      <c r="B78" s="6" t="s">
        <v>331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</row>
    <row r="79" spans="1:10">
      <c r="A79" s="17" t="s">
        <v>312</v>
      </c>
      <c r="B79" s="6" t="s">
        <v>331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</row>
    <row r="80" spans="1:10">
      <c r="A80" s="17" t="s">
        <v>356</v>
      </c>
      <c r="B80" s="6" t="s">
        <v>331</v>
      </c>
      <c r="C80" s="50">
        <v>10.801943999999999</v>
      </c>
      <c r="D80" s="50">
        <v>11.374729961623835</v>
      </c>
      <c r="E80" s="50">
        <v>11.256975824396983</v>
      </c>
      <c r="F80" s="50">
        <v>11.139221687170128</v>
      </c>
      <c r="G80" s="50">
        <v>11.056793791111332</v>
      </c>
      <c r="H80" s="50">
        <v>10.974365895052534</v>
      </c>
      <c r="I80" s="50">
        <v>10.916666367811374</v>
      </c>
      <c r="J80" s="50">
        <v>10.858966840570217</v>
      </c>
    </row>
    <row r="81" spans="1:10">
      <c r="A81" s="17" t="s">
        <v>357</v>
      </c>
      <c r="B81" s="6" t="s">
        <v>331</v>
      </c>
      <c r="C81" s="50">
        <v>1.4317617599999992</v>
      </c>
      <c r="D81" s="50">
        <v>1.5076826346608783</v>
      </c>
      <c r="E81" s="50">
        <v>1.4920747153119909</v>
      </c>
      <c r="F81" s="50">
        <v>1.476466795963103</v>
      </c>
      <c r="G81" s="50">
        <v>1.4655412524188818</v>
      </c>
      <c r="H81" s="50">
        <v>1.4546157088746603</v>
      </c>
      <c r="I81" s="50">
        <v>1.4469678283937051</v>
      </c>
      <c r="J81" s="50">
        <v>1.4393199479127503</v>
      </c>
    </row>
    <row r="82" spans="1:10">
      <c r="A82" s="46" t="s">
        <v>277</v>
      </c>
      <c r="B82" s="6" t="s">
        <v>334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</row>
    <row r="83" spans="1:10">
      <c r="A83" s="46" t="s">
        <v>278</v>
      </c>
      <c r="B83" s="6" t="s">
        <v>334</v>
      </c>
      <c r="C83" s="50">
        <v>42.783234480000004</v>
      </c>
      <c r="D83" s="50">
        <v>47.431419840000004</v>
      </c>
      <c r="E83" s="50">
        <v>45.127842479999998</v>
      </c>
      <c r="F83" s="50">
        <v>42.824265120000007</v>
      </c>
      <c r="G83" s="50">
        <v>41.211760968000007</v>
      </c>
      <c r="H83" s="50">
        <v>39.599256816000008</v>
      </c>
      <c r="I83" s="50">
        <v>38.470503909600012</v>
      </c>
      <c r="J83" s="50">
        <v>37.341751003200002</v>
      </c>
    </row>
    <row r="84" spans="1:10">
      <c r="A84" s="46" t="s">
        <v>279</v>
      </c>
      <c r="B84" s="6" t="s">
        <v>334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</row>
    <row r="85" spans="1:10">
      <c r="A85" s="46" t="s">
        <v>280</v>
      </c>
      <c r="B85" s="6" t="s">
        <v>334</v>
      </c>
      <c r="C85" s="50">
        <v>26.095487040000005</v>
      </c>
      <c r="D85" s="50">
        <v>27.080222400000004</v>
      </c>
      <c r="E85" s="50">
        <v>27.015745680000006</v>
      </c>
      <c r="F85" s="50">
        <v>26.951268960000007</v>
      </c>
      <c r="G85" s="50">
        <v>26.906135256000006</v>
      </c>
      <c r="H85" s="50">
        <v>26.861001552000008</v>
      </c>
      <c r="I85" s="50">
        <v>26.829407959200008</v>
      </c>
      <c r="J85" s="50">
        <v>26.797814366400008</v>
      </c>
    </row>
    <row r="86" spans="1:10">
      <c r="A86" s="46" t="s">
        <v>281</v>
      </c>
      <c r="B86" s="6" t="s">
        <v>334</v>
      </c>
      <c r="C86" s="50">
        <v>28.651109760000004</v>
      </c>
      <c r="D86" s="50">
        <v>30.784703040000004</v>
      </c>
      <c r="E86" s="50">
        <v>31.552562160000004</v>
      </c>
      <c r="F86" s="50">
        <v>32.320421280000005</v>
      </c>
      <c r="G86" s="50">
        <v>32.857922664</v>
      </c>
      <c r="H86" s="50">
        <v>33.395424048000002</v>
      </c>
      <c r="I86" s="50">
        <v>33.771675016800003</v>
      </c>
      <c r="J86" s="50">
        <v>34.147925985600004</v>
      </c>
    </row>
    <row r="87" spans="1:10">
      <c r="A87" s="46" t="s">
        <v>282</v>
      </c>
      <c r="B87" s="6" t="s">
        <v>334</v>
      </c>
      <c r="C87" s="50">
        <v>42.783234480000004</v>
      </c>
      <c r="D87" s="50">
        <v>47.431419840000004</v>
      </c>
      <c r="E87" s="50">
        <v>45.127842479999998</v>
      </c>
      <c r="F87" s="50">
        <v>42.824265120000007</v>
      </c>
      <c r="G87" s="50">
        <v>41.211760968000007</v>
      </c>
      <c r="H87" s="50">
        <v>39.599256816000008</v>
      </c>
      <c r="I87" s="50">
        <v>38.470503909600012</v>
      </c>
      <c r="J87" s="50">
        <v>37.341751003200002</v>
      </c>
    </row>
    <row r="88" spans="1:10">
      <c r="A88" s="46" t="s">
        <v>283</v>
      </c>
      <c r="B88" s="6" t="s">
        <v>334</v>
      </c>
      <c r="C88" s="50">
        <v>40.426903440000004</v>
      </c>
      <c r="D88" s="50">
        <v>42.437404800000003</v>
      </c>
      <c r="E88" s="50">
        <v>43.375248000000013</v>
      </c>
      <c r="F88" s="50">
        <v>44.313091200000009</v>
      </c>
      <c r="G88" s="50">
        <v>44.969581440000006</v>
      </c>
      <c r="H88" s="50">
        <v>45.626071680000003</v>
      </c>
      <c r="I88" s="50">
        <v>46.085614848000006</v>
      </c>
      <c r="J88" s="50">
        <v>46.545158016000009</v>
      </c>
    </row>
    <row r="89" spans="1:10">
      <c r="A89" s="46" t="s">
        <v>284</v>
      </c>
      <c r="B89" s="6" t="s">
        <v>334</v>
      </c>
      <c r="C89" s="50">
        <v>200.72775240000004</v>
      </c>
      <c r="D89" s="50">
        <v>227.07528480000002</v>
      </c>
      <c r="E89" s="50">
        <v>215.48705976000002</v>
      </c>
      <c r="F89" s="50">
        <v>203.89883472000002</v>
      </c>
      <c r="G89" s="50">
        <v>195.78707719200003</v>
      </c>
      <c r="H89" s="50">
        <v>187.67531966400003</v>
      </c>
      <c r="I89" s="50">
        <v>181.99708939440004</v>
      </c>
      <c r="J89" s="50">
        <v>176.31885912480004</v>
      </c>
    </row>
    <row r="90" spans="1:10">
      <c r="A90" s="46" t="s">
        <v>285</v>
      </c>
      <c r="B90" s="6" t="s">
        <v>334</v>
      </c>
      <c r="C90" s="50">
        <v>20.116736640000003</v>
      </c>
      <c r="D90" s="50">
        <v>24.618384000000006</v>
      </c>
      <c r="E90" s="50">
        <v>23.944309200000003</v>
      </c>
      <c r="F90" s="50">
        <v>23.270234400000003</v>
      </c>
      <c r="G90" s="50">
        <v>22.798382040000003</v>
      </c>
      <c r="H90" s="50">
        <v>22.326529680000004</v>
      </c>
      <c r="I90" s="50">
        <v>21.996233028000002</v>
      </c>
      <c r="J90" s="50">
        <v>21.665936376000005</v>
      </c>
    </row>
    <row r="91" spans="1:10">
      <c r="A91" s="46" t="s">
        <v>286</v>
      </c>
      <c r="B91" s="6" t="s">
        <v>334</v>
      </c>
      <c r="C91" s="50">
        <v>131.10461784000003</v>
      </c>
      <c r="D91" s="50">
        <v>142.31770560000001</v>
      </c>
      <c r="E91" s="50">
        <v>138.88871640000002</v>
      </c>
      <c r="F91" s="50">
        <v>135.45972720000003</v>
      </c>
      <c r="G91" s="50">
        <v>133.05943476000002</v>
      </c>
      <c r="H91" s="50">
        <v>130.65914232000003</v>
      </c>
      <c r="I91" s="50">
        <v>128.97893761200004</v>
      </c>
      <c r="J91" s="50">
        <v>127.29873290400003</v>
      </c>
    </row>
    <row r="92" spans="1:10">
      <c r="A92" s="46" t="s">
        <v>287</v>
      </c>
      <c r="B92" s="6" t="s">
        <v>334</v>
      </c>
      <c r="C92" s="50">
        <v>82.723631760000018</v>
      </c>
      <c r="D92" s="50">
        <v>102.03734016000001</v>
      </c>
      <c r="E92" s="50">
        <v>90.238100400000022</v>
      </c>
      <c r="F92" s="50">
        <v>78.438860640000016</v>
      </c>
      <c r="G92" s="50">
        <v>70.179392808000017</v>
      </c>
      <c r="H92" s="50">
        <v>61.919924976000004</v>
      </c>
      <c r="I92" s="50">
        <v>56.1382974936</v>
      </c>
      <c r="J92" s="50">
        <v>50.356670011200002</v>
      </c>
    </row>
    <row r="93" spans="1:10">
      <c r="A93" s="46" t="s">
        <v>288</v>
      </c>
      <c r="B93" s="6" t="s">
        <v>334</v>
      </c>
      <c r="C93" s="50">
        <v>185.76329184000002</v>
      </c>
      <c r="D93" s="50">
        <v>231.97551552000004</v>
      </c>
      <c r="E93" s="50">
        <v>224.49621600000006</v>
      </c>
      <c r="F93" s="50">
        <v>217.01691648000002</v>
      </c>
      <c r="G93" s="50">
        <v>211.78140681600004</v>
      </c>
      <c r="H93" s="50">
        <v>206.54589715200004</v>
      </c>
      <c r="I93" s="50">
        <v>202.88104038720002</v>
      </c>
      <c r="J93" s="50">
        <v>199.2161836224</v>
      </c>
    </row>
    <row r="94" spans="1:10">
      <c r="A94" s="46" t="s">
        <v>289</v>
      </c>
      <c r="B94" s="6" t="s">
        <v>334</v>
      </c>
      <c r="C94" s="50">
        <v>26.921961360000001</v>
      </c>
      <c r="D94" s="50">
        <v>26.294778720000004</v>
      </c>
      <c r="E94" s="50">
        <v>29.090723760000003</v>
      </c>
      <c r="F94" s="50">
        <v>31.886668800000002</v>
      </c>
      <c r="G94" s="50">
        <v>33.843830328000003</v>
      </c>
      <c r="H94" s="50">
        <v>35.800991856000003</v>
      </c>
      <c r="I94" s="50">
        <v>37.171004925600002</v>
      </c>
      <c r="J94" s="50">
        <v>38.541017995200008</v>
      </c>
    </row>
    <row r="95" spans="1:10">
      <c r="A95" s="46" t="s">
        <v>290</v>
      </c>
      <c r="B95" s="6" t="s">
        <v>334</v>
      </c>
      <c r="C95" s="50">
        <v>15.288000000000002</v>
      </c>
      <c r="D95" s="50">
        <v>18.709090909090911</v>
      </c>
      <c r="E95" s="50">
        <v>18.196818181818177</v>
      </c>
      <c r="F95" s="50">
        <v>17.68454545454545</v>
      </c>
      <c r="G95" s="50">
        <v>17.325954545454543</v>
      </c>
      <c r="H95" s="50">
        <v>16.967363636363633</v>
      </c>
      <c r="I95" s="50">
        <v>16.716349999999998</v>
      </c>
      <c r="J95" s="50">
        <v>16.465336363636364</v>
      </c>
    </row>
    <row r="96" spans="1:10">
      <c r="A96" s="46" t="s">
        <v>291</v>
      </c>
      <c r="B96" s="6" t="s">
        <v>334</v>
      </c>
      <c r="C96" s="50">
        <v>42.238113120000001</v>
      </c>
      <c r="D96" s="50">
        <v>52.120635840000006</v>
      </c>
      <c r="E96" s="50">
        <v>51.346915200000005</v>
      </c>
      <c r="F96" s="50">
        <v>50.573194560000012</v>
      </c>
      <c r="G96" s="50">
        <v>50.031590112000011</v>
      </c>
      <c r="H96" s="50">
        <v>49.48998566400001</v>
      </c>
      <c r="I96" s="50">
        <v>49.110862550400014</v>
      </c>
      <c r="J96" s="50">
        <v>48.731739436800019</v>
      </c>
    </row>
    <row r="97" spans="1:10">
      <c r="A97" s="46" t="s">
        <v>292</v>
      </c>
      <c r="B97" s="6" t="s">
        <v>334</v>
      </c>
      <c r="C97" s="50">
        <v>8.8802028000000011</v>
      </c>
      <c r="D97" s="50">
        <v>9.9059688000000019</v>
      </c>
      <c r="E97" s="50">
        <v>9.8121844800000027</v>
      </c>
      <c r="F97" s="50">
        <v>9.7184001600000016</v>
      </c>
      <c r="G97" s="50">
        <v>9.6527511360000009</v>
      </c>
      <c r="H97" s="50">
        <v>9.587102112000002</v>
      </c>
      <c r="I97" s="50">
        <v>9.5411477952000006</v>
      </c>
      <c r="J97" s="50">
        <v>9.4951934783999992</v>
      </c>
    </row>
    <row r="98" spans="1:10">
      <c r="A98" s="46" t="s">
        <v>293</v>
      </c>
      <c r="B98" s="6" t="s">
        <v>334</v>
      </c>
      <c r="C98" s="50">
        <v>100.64229840000002</v>
      </c>
      <c r="D98" s="50">
        <v>108.81325728000002</v>
      </c>
      <c r="E98" s="50">
        <v>103.43824344000001</v>
      </c>
      <c r="F98" s="50">
        <v>98.063229600000014</v>
      </c>
      <c r="G98" s="50">
        <v>94.300719912000005</v>
      </c>
      <c r="H98" s="50">
        <v>90.538210224000011</v>
      </c>
      <c r="I98" s="50">
        <v>87.904453442400012</v>
      </c>
      <c r="J98" s="50">
        <v>85.270696660800013</v>
      </c>
    </row>
    <row r="99" spans="1:10">
      <c r="A99" s="46" t="s">
        <v>294</v>
      </c>
      <c r="B99" s="6" t="s">
        <v>334</v>
      </c>
      <c r="C99" s="50">
        <v>0.59201352000000007</v>
      </c>
      <c r="D99" s="50">
        <v>0.6447672000000001</v>
      </c>
      <c r="E99" s="50">
        <v>0.59201352000000007</v>
      </c>
      <c r="F99" s="50">
        <v>0.53925984000000005</v>
      </c>
      <c r="G99" s="50">
        <v>0.50233226400000008</v>
      </c>
      <c r="H99" s="50">
        <v>0.46540468800000012</v>
      </c>
      <c r="I99" s="50">
        <v>0.43955538480000012</v>
      </c>
      <c r="J99" s="50">
        <v>0.41370608160000016</v>
      </c>
    </row>
    <row r="100" spans="1:10">
      <c r="A100" s="46" t="s">
        <v>295</v>
      </c>
      <c r="B100" s="6" t="s">
        <v>334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</row>
    <row r="101" spans="1:10">
      <c r="A101" s="46" t="s">
        <v>296</v>
      </c>
      <c r="B101" s="6" t="s">
        <v>334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</row>
    <row r="102" spans="1:10">
      <c r="A102" s="46" t="s">
        <v>297</v>
      </c>
      <c r="B102" s="6" t="s">
        <v>334</v>
      </c>
      <c r="C102" s="50">
        <v>17.649036720000002</v>
      </c>
      <c r="D102" s="50">
        <v>19.049940000000003</v>
      </c>
      <c r="E102" s="50">
        <v>17.971420320000004</v>
      </c>
      <c r="F102" s="50">
        <v>16.892900640000004</v>
      </c>
      <c r="G102" s="50">
        <v>16.137936864000004</v>
      </c>
      <c r="H102" s="50">
        <v>15.382973088000004</v>
      </c>
      <c r="I102" s="50">
        <v>14.854498444800003</v>
      </c>
      <c r="J102" s="50">
        <v>14.326023801600002</v>
      </c>
    </row>
    <row r="103" spans="1:10">
      <c r="A103" s="46" t="s">
        <v>298</v>
      </c>
      <c r="B103" s="6" t="s">
        <v>334</v>
      </c>
      <c r="C103" s="50">
        <v>105.71120000000002</v>
      </c>
      <c r="D103" s="50">
        <v>114.1020923281302</v>
      </c>
      <c r="E103" s="50">
        <v>107.64215848555297</v>
      </c>
      <c r="F103" s="50">
        <v>101.18222464297577</v>
      </c>
      <c r="G103" s="50">
        <v>96.660270953171718</v>
      </c>
      <c r="H103" s="50">
        <v>92.138317263367682</v>
      </c>
      <c r="I103" s="50">
        <v>88.97294968050484</v>
      </c>
      <c r="J103" s="50">
        <v>85.807582097641998</v>
      </c>
    </row>
    <row r="104" spans="1:10">
      <c r="A104" s="46" t="s">
        <v>299</v>
      </c>
      <c r="B104" s="6" t="s">
        <v>334</v>
      </c>
      <c r="C104" s="50">
        <v>105.29634528000001</v>
      </c>
      <c r="D104" s="50">
        <v>129.29340816000001</v>
      </c>
      <c r="E104" s="50">
        <v>120.06151416000002</v>
      </c>
      <c r="F104" s="50">
        <v>110.82962016000002</v>
      </c>
      <c r="G104" s="50">
        <v>104.36729436000003</v>
      </c>
      <c r="H104" s="50">
        <v>97.904968560000015</v>
      </c>
      <c r="I104" s="50">
        <v>93.381340500000022</v>
      </c>
      <c r="J104" s="50">
        <v>88.857712440000014</v>
      </c>
    </row>
    <row r="105" spans="1:10">
      <c r="A105" s="46" t="s">
        <v>300</v>
      </c>
      <c r="B105" s="6" t="s">
        <v>334</v>
      </c>
      <c r="C105" s="50">
        <v>35.567703360000003</v>
      </c>
      <c r="D105" s="50">
        <v>38.158495200000004</v>
      </c>
      <c r="E105" s="50">
        <v>35.68493376</v>
      </c>
      <c r="F105" s="50">
        <v>33.211372320000009</v>
      </c>
      <c r="G105" s="50">
        <v>31.479879312000005</v>
      </c>
      <c r="H105" s="50">
        <v>29.748386304</v>
      </c>
      <c r="I105" s="50">
        <v>28.536341198400002</v>
      </c>
      <c r="J105" s="50">
        <v>27.324296092800001</v>
      </c>
    </row>
    <row r="106" spans="1:10">
      <c r="A106" s="46" t="s">
        <v>301</v>
      </c>
      <c r="B106" s="6" t="s">
        <v>334</v>
      </c>
      <c r="C106" s="50">
        <v>61.768697760000009</v>
      </c>
      <c r="D106" s="50">
        <v>70.596146880000006</v>
      </c>
      <c r="E106" s="50">
        <v>72.378048960000001</v>
      </c>
      <c r="F106" s="50">
        <v>74.15995104000001</v>
      </c>
      <c r="G106" s="50">
        <v>75.407282496000008</v>
      </c>
      <c r="H106" s="50">
        <v>76.65461395200002</v>
      </c>
      <c r="I106" s="50">
        <v>77.527745971200019</v>
      </c>
      <c r="J106" s="50">
        <v>78.400877990400005</v>
      </c>
    </row>
    <row r="107" spans="1:10">
      <c r="A107" s="46" t="s">
        <v>302</v>
      </c>
      <c r="B107" s="6" t="s">
        <v>334</v>
      </c>
      <c r="C107" s="50">
        <v>0</v>
      </c>
      <c r="D107" s="50">
        <v>0</v>
      </c>
      <c r="E107" s="50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</row>
    <row r="108" spans="1:10">
      <c r="A108" s="46" t="s">
        <v>303</v>
      </c>
      <c r="B108" s="6" t="s">
        <v>334</v>
      </c>
      <c r="C108" s="50">
        <v>93.60847440000002</v>
      </c>
      <c r="D108" s="50">
        <v>113.33835072000002</v>
      </c>
      <c r="E108" s="50">
        <v>100.07373096000002</v>
      </c>
      <c r="F108" s="50">
        <v>86.809111200000018</v>
      </c>
      <c r="G108" s="50">
        <v>77.523877368000015</v>
      </c>
      <c r="H108" s="50">
        <v>68.238643535999998</v>
      </c>
      <c r="I108" s="50">
        <v>61.738979853600007</v>
      </c>
      <c r="J108" s="50">
        <v>55.239316171200009</v>
      </c>
    </row>
    <row r="109" spans="1:10">
      <c r="A109" s="46" t="s">
        <v>304</v>
      </c>
      <c r="B109" s="6" t="s">
        <v>334</v>
      </c>
      <c r="C109" s="50">
        <v>5.8673815200000012</v>
      </c>
      <c r="D109" s="50">
        <v>6.4828411200000016</v>
      </c>
      <c r="E109" s="50">
        <v>6.8110862400000007</v>
      </c>
      <c r="F109" s="50">
        <v>7.1393313600000008</v>
      </c>
      <c r="G109" s="50">
        <v>7.3691029440000015</v>
      </c>
      <c r="H109" s="50">
        <v>7.5988745280000014</v>
      </c>
      <c r="I109" s="50">
        <v>7.7597146368000018</v>
      </c>
      <c r="J109" s="50">
        <v>7.9205547456000023</v>
      </c>
    </row>
    <row r="110" spans="1:10">
      <c r="A110" s="46" t="s">
        <v>305</v>
      </c>
      <c r="B110" s="6" t="s">
        <v>334</v>
      </c>
      <c r="C110" s="50">
        <v>19.073386080000002</v>
      </c>
      <c r="D110" s="50">
        <v>22.906820160000002</v>
      </c>
      <c r="E110" s="50">
        <v>23.135419440000003</v>
      </c>
      <c r="F110" s="50">
        <v>23.364018720000004</v>
      </c>
      <c r="G110" s="50">
        <v>23.524038216000005</v>
      </c>
      <c r="H110" s="50">
        <v>23.684057712000005</v>
      </c>
      <c r="I110" s="50">
        <v>23.796071359200006</v>
      </c>
      <c r="J110" s="50">
        <v>23.9080850064</v>
      </c>
    </row>
    <row r="111" spans="1:10">
      <c r="A111" s="46" t="s">
        <v>306</v>
      </c>
      <c r="B111" s="6" t="s">
        <v>334</v>
      </c>
      <c r="C111" s="50">
        <v>0</v>
      </c>
      <c r="D111" s="50">
        <v>0</v>
      </c>
      <c r="E111" s="50">
        <v>0</v>
      </c>
      <c r="F111" s="50">
        <v>0</v>
      </c>
      <c r="G111" s="50">
        <v>0</v>
      </c>
      <c r="H111" s="50">
        <v>0</v>
      </c>
      <c r="I111" s="50">
        <v>0</v>
      </c>
      <c r="J111" s="50">
        <v>0</v>
      </c>
    </row>
    <row r="112" spans="1:10">
      <c r="A112" s="46" t="s">
        <v>307</v>
      </c>
      <c r="B112" s="6" t="s">
        <v>334</v>
      </c>
      <c r="C112" s="50">
        <v>118.83059496000001</v>
      </c>
      <c r="D112" s="50">
        <v>125.13172896000002</v>
      </c>
      <c r="E112" s="50">
        <v>123.83633304000001</v>
      </c>
      <c r="F112" s="50">
        <v>122.54093712000001</v>
      </c>
      <c r="G112" s="50">
        <v>121.63415997600001</v>
      </c>
      <c r="H112" s="50">
        <v>120.72738283200002</v>
      </c>
      <c r="I112" s="50">
        <v>120.09263883120001</v>
      </c>
      <c r="J112" s="50">
        <v>119.45789483039999</v>
      </c>
    </row>
    <row r="113" spans="1:10">
      <c r="A113" s="17" t="s">
        <v>308</v>
      </c>
      <c r="B113" s="6" t="s">
        <v>334</v>
      </c>
      <c r="C113" s="50">
        <v>9.8356305600000002</v>
      </c>
      <c r="D113" s="50">
        <v>12.098177280000002</v>
      </c>
      <c r="E113" s="50">
        <v>10.750027680000001</v>
      </c>
      <c r="F113" s="50">
        <v>9.4018780800000012</v>
      </c>
      <c r="G113" s="50">
        <v>8.4581733600000018</v>
      </c>
      <c r="H113" s="50">
        <v>7.5144686400000005</v>
      </c>
      <c r="I113" s="50">
        <v>6.8538753359999998</v>
      </c>
      <c r="J113" s="50">
        <v>6.1932820320000008</v>
      </c>
    </row>
    <row r="114" spans="1:10">
      <c r="A114" s="17" t="s">
        <v>309</v>
      </c>
      <c r="B114" s="6" t="s">
        <v>334</v>
      </c>
      <c r="C114" s="50">
        <v>12.045423600000001</v>
      </c>
      <c r="D114" s="50">
        <v>13.587003360000002</v>
      </c>
      <c r="E114" s="50">
        <v>14.384170080000004</v>
      </c>
      <c r="F114" s="50">
        <v>15.181336800000004</v>
      </c>
      <c r="G114" s="50">
        <v>15.739353504000002</v>
      </c>
      <c r="H114" s="50">
        <v>16.297370208000004</v>
      </c>
      <c r="I114" s="50">
        <v>16.687981900800004</v>
      </c>
      <c r="J114" s="50">
        <v>17.078593593600004</v>
      </c>
    </row>
    <row r="115" spans="1:10">
      <c r="A115" s="17" t="s">
        <v>310</v>
      </c>
      <c r="B115" s="6" t="s">
        <v>334</v>
      </c>
      <c r="C115" s="50">
        <v>12.655021680000001</v>
      </c>
      <c r="D115" s="50">
        <v>13.645618560000001</v>
      </c>
      <c r="E115" s="50">
        <v>15.251675040000002</v>
      </c>
      <c r="F115" s="50">
        <v>16.857731520000002</v>
      </c>
      <c r="G115" s="50">
        <v>17.981971055999999</v>
      </c>
      <c r="H115" s="50">
        <v>19.106210592</v>
      </c>
      <c r="I115" s="50">
        <v>19.8931782672</v>
      </c>
      <c r="J115" s="50">
        <v>20.680145942400003</v>
      </c>
    </row>
    <row r="116" spans="1:10">
      <c r="A116" s="17" t="s">
        <v>311</v>
      </c>
      <c r="B116" s="6" t="s">
        <v>334</v>
      </c>
      <c r="C116" s="50">
        <v>0</v>
      </c>
      <c r="D116" s="50">
        <v>0</v>
      </c>
      <c r="E116" s="50">
        <v>0</v>
      </c>
      <c r="F116" s="50">
        <v>0</v>
      </c>
      <c r="G116" s="50">
        <v>0</v>
      </c>
      <c r="H116" s="50">
        <v>0</v>
      </c>
      <c r="I116" s="50">
        <v>0</v>
      </c>
      <c r="J116" s="50">
        <v>0</v>
      </c>
    </row>
    <row r="117" spans="1:10">
      <c r="A117" s="17" t="s">
        <v>312</v>
      </c>
      <c r="B117" s="6" t="s">
        <v>334</v>
      </c>
      <c r="C117" s="50">
        <v>0</v>
      </c>
      <c r="D117" s="50">
        <v>0</v>
      </c>
      <c r="E117" s="50">
        <v>0</v>
      </c>
      <c r="F117" s="50">
        <v>0</v>
      </c>
      <c r="G117" s="50">
        <v>0</v>
      </c>
      <c r="H117" s="50">
        <v>0</v>
      </c>
      <c r="I117" s="50">
        <v>0</v>
      </c>
      <c r="J117" s="50">
        <v>0</v>
      </c>
    </row>
    <row r="118" spans="1:10">
      <c r="A118" s="17" t="s">
        <v>356</v>
      </c>
      <c r="B118" s="6" t="s">
        <v>334</v>
      </c>
      <c r="C118" s="50">
        <v>100.818144</v>
      </c>
      <c r="D118" s="50">
        <v>106.16414630848914</v>
      </c>
      <c r="E118" s="50">
        <v>105.06510769437185</v>
      </c>
      <c r="F118" s="50">
        <v>103.96606908025454</v>
      </c>
      <c r="G118" s="50">
        <v>103.19674205037245</v>
      </c>
      <c r="H118" s="50">
        <v>102.42741502049033</v>
      </c>
      <c r="I118" s="50">
        <v>101.88888609957284</v>
      </c>
      <c r="J118" s="50">
        <v>101.35035717865537</v>
      </c>
    </row>
    <row r="119" spans="1:10">
      <c r="A119" s="17" t="s">
        <v>357</v>
      </c>
      <c r="B119" s="6" t="s">
        <v>334</v>
      </c>
      <c r="C119" s="50">
        <v>13.363109759999995</v>
      </c>
      <c r="D119" s="50">
        <v>14.071704590168199</v>
      </c>
      <c r="E119" s="50">
        <v>13.926030676245249</v>
      </c>
      <c r="F119" s="50">
        <v>13.780356762322295</v>
      </c>
      <c r="G119" s="50">
        <v>13.678385022576233</v>
      </c>
      <c r="H119" s="50">
        <v>13.576413282830163</v>
      </c>
      <c r="I119" s="50">
        <v>13.505033065007916</v>
      </c>
      <c r="J119" s="50">
        <v>13.433652847185671</v>
      </c>
    </row>
    <row r="120" spans="1:10">
      <c r="A120" s="46" t="s">
        <v>277</v>
      </c>
      <c r="B120" s="6" t="s">
        <v>332</v>
      </c>
      <c r="C120" s="50">
        <v>0</v>
      </c>
      <c r="D120" s="50">
        <v>0</v>
      </c>
      <c r="E120" s="50">
        <v>0</v>
      </c>
      <c r="F120" s="50">
        <v>0</v>
      </c>
      <c r="G120" s="50">
        <v>0</v>
      </c>
      <c r="H120" s="50">
        <v>0</v>
      </c>
      <c r="I120" s="50">
        <v>0</v>
      </c>
      <c r="J120" s="50">
        <v>0</v>
      </c>
    </row>
    <row r="121" spans="1:10">
      <c r="A121" s="46" t="s">
        <v>278</v>
      </c>
      <c r="B121" s="6" t="s">
        <v>332</v>
      </c>
      <c r="C121" s="50">
        <v>85.566468960000009</v>
      </c>
      <c r="D121" s="50">
        <v>94.862839680000008</v>
      </c>
      <c r="E121" s="50">
        <v>90.255684959999996</v>
      </c>
      <c r="F121" s="50">
        <v>85.648530240000014</v>
      </c>
      <c r="G121" s="50">
        <v>82.423521936000014</v>
      </c>
      <c r="H121" s="50">
        <v>79.198513632000015</v>
      </c>
      <c r="I121" s="50">
        <v>76.941007819200024</v>
      </c>
      <c r="J121" s="50">
        <v>74.683502006400005</v>
      </c>
    </row>
    <row r="122" spans="1:10">
      <c r="A122" s="46" t="s">
        <v>279</v>
      </c>
      <c r="B122" s="6" t="s">
        <v>332</v>
      </c>
      <c r="C122" s="50">
        <v>0</v>
      </c>
      <c r="D122" s="50">
        <v>0</v>
      </c>
      <c r="E122" s="50">
        <v>0</v>
      </c>
      <c r="F122" s="50">
        <v>0</v>
      </c>
      <c r="G122" s="50">
        <v>0</v>
      </c>
      <c r="H122" s="50">
        <v>0</v>
      </c>
      <c r="I122" s="50">
        <v>0</v>
      </c>
      <c r="J122" s="50">
        <v>0</v>
      </c>
    </row>
    <row r="123" spans="1:10">
      <c r="A123" s="46" t="s">
        <v>280</v>
      </c>
      <c r="B123" s="6" t="s">
        <v>332</v>
      </c>
      <c r="C123" s="50">
        <v>52.190974080000011</v>
      </c>
      <c r="D123" s="50">
        <v>54.160444800000008</v>
      </c>
      <c r="E123" s="50">
        <v>54.031491360000011</v>
      </c>
      <c r="F123" s="50">
        <v>53.902537920000015</v>
      </c>
      <c r="G123" s="50">
        <v>53.812270512000012</v>
      </c>
      <c r="H123" s="50">
        <v>53.722003104000017</v>
      </c>
      <c r="I123" s="50">
        <v>53.658815918400016</v>
      </c>
      <c r="J123" s="50">
        <v>53.595628732800016</v>
      </c>
    </row>
    <row r="124" spans="1:10">
      <c r="A124" s="46" t="s">
        <v>281</v>
      </c>
      <c r="B124" s="6" t="s">
        <v>332</v>
      </c>
      <c r="C124" s="50">
        <v>57.302219520000008</v>
      </c>
      <c r="D124" s="50">
        <v>61.569406080000007</v>
      </c>
      <c r="E124" s="50">
        <v>63.105124320000009</v>
      </c>
      <c r="F124" s="50">
        <v>64.64084256000001</v>
      </c>
      <c r="G124" s="50">
        <v>65.715845328</v>
      </c>
      <c r="H124" s="50">
        <v>66.790848096000005</v>
      </c>
      <c r="I124" s="50">
        <v>67.543350033600007</v>
      </c>
      <c r="J124" s="50">
        <v>68.295851971200008</v>
      </c>
    </row>
    <row r="125" spans="1:10">
      <c r="A125" s="46" t="s">
        <v>282</v>
      </c>
      <c r="B125" s="6" t="s">
        <v>332</v>
      </c>
      <c r="C125" s="50">
        <v>85.566468960000009</v>
      </c>
      <c r="D125" s="50">
        <v>94.862839680000008</v>
      </c>
      <c r="E125" s="50">
        <v>90.255684959999996</v>
      </c>
      <c r="F125" s="50">
        <v>85.648530240000014</v>
      </c>
      <c r="G125" s="50">
        <v>82.423521936000014</v>
      </c>
      <c r="H125" s="50">
        <v>79.198513632000015</v>
      </c>
      <c r="I125" s="50">
        <v>76.941007819200024</v>
      </c>
      <c r="J125" s="50">
        <v>74.683502006400005</v>
      </c>
    </row>
    <row r="126" spans="1:10">
      <c r="A126" s="46" t="s">
        <v>283</v>
      </c>
      <c r="B126" s="6" t="s">
        <v>332</v>
      </c>
      <c r="C126" s="50">
        <v>80.853806880000008</v>
      </c>
      <c r="D126" s="50">
        <v>84.874809600000006</v>
      </c>
      <c r="E126" s="50">
        <v>86.750496000000027</v>
      </c>
      <c r="F126" s="50">
        <v>88.626182400000019</v>
      </c>
      <c r="G126" s="50">
        <v>89.939162880000012</v>
      </c>
      <c r="H126" s="50">
        <v>91.252143360000005</v>
      </c>
      <c r="I126" s="50">
        <v>92.171229696000012</v>
      </c>
      <c r="J126" s="50">
        <v>93.090316032000018</v>
      </c>
    </row>
    <row r="127" spans="1:10">
      <c r="A127" s="46" t="s">
        <v>284</v>
      </c>
      <c r="B127" s="6" t="s">
        <v>332</v>
      </c>
      <c r="C127" s="50">
        <v>401.45550480000009</v>
      </c>
      <c r="D127" s="50">
        <v>454.15056960000004</v>
      </c>
      <c r="E127" s="50">
        <v>430.97411952000004</v>
      </c>
      <c r="F127" s="50">
        <v>407.79766944000005</v>
      </c>
      <c r="G127" s="50">
        <v>391.57415438400005</v>
      </c>
      <c r="H127" s="50">
        <v>375.35063932800006</v>
      </c>
      <c r="I127" s="50">
        <v>363.99417878880007</v>
      </c>
      <c r="J127" s="50">
        <v>352.63771824960008</v>
      </c>
    </row>
    <row r="128" spans="1:10">
      <c r="A128" s="46" t="s">
        <v>285</v>
      </c>
      <c r="B128" s="6" t="s">
        <v>332</v>
      </c>
      <c r="C128" s="50">
        <v>40.233473280000005</v>
      </c>
      <c r="D128" s="50">
        <v>49.236768000000012</v>
      </c>
      <c r="E128" s="50">
        <v>47.888618400000006</v>
      </c>
      <c r="F128" s="50">
        <v>46.540468800000006</v>
      </c>
      <c r="G128" s="50">
        <v>45.596764080000007</v>
      </c>
      <c r="H128" s="50">
        <v>44.653059360000007</v>
      </c>
      <c r="I128" s="50">
        <v>43.992466056000005</v>
      </c>
      <c r="J128" s="50">
        <v>43.33187275200001</v>
      </c>
    </row>
    <row r="129" spans="1:10">
      <c r="A129" s="46" t="s">
        <v>286</v>
      </c>
      <c r="B129" s="6" t="s">
        <v>332</v>
      </c>
      <c r="C129" s="50">
        <v>262.20923568000006</v>
      </c>
      <c r="D129" s="50">
        <v>284.63541120000002</v>
      </c>
      <c r="E129" s="50">
        <v>277.77743280000004</v>
      </c>
      <c r="F129" s="50">
        <v>270.91945440000006</v>
      </c>
      <c r="G129" s="50">
        <v>266.11886952000003</v>
      </c>
      <c r="H129" s="50">
        <v>261.31828464000006</v>
      </c>
      <c r="I129" s="50">
        <v>257.95787522400008</v>
      </c>
      <c r="J129" s="50">
        <v>254.59746580800007</v>
      </c>
    </row>
    <row r="130" spans="1:10">
      <c r="A130" s="46" t="s">
        <v>287</v>
      </c>
      <c r="B130" s="6" t="s">
        <v>332</v>
      </c>
      <c r="C130" s="50">
        <v>165.44726352000004</v>
      </c>
      <c r="D130" s="50">
        <v>204.07468032000003</v>
      </c>
      <c r="E130" s="50">
        <v>180.47620080000004</v>
      </c>
      <c r="F130" s="50">
        <v>156.87772128000003</v>
      </c>
      <c r="G130" s="50">
        <v>140.35878561600003</v>
      </c>
      <c r="H130" s="50">
        <v>123.83984995200001</v>
      </c>
      <c r="I130" s="50">
        <v>112.2765949872</v>
      </c>
      <c r="J130" s="50">
        <v>100.7133400224</v>
      </c>
    </row>
    <row r="131" spans="1:10">
      <c r="A131" s="46" t="s">
        <v>288</v>
      </c>
      <c r="B131" s="6" t="s">
        <v>332</v>
      </c>
      <c r="C131" s="50">
        <v>371.52658368000004</v>
      </c>
      <c r="D131" s="50">
        <v>463.95103104000009</v>
      </c>
      <c r="E131" s="50">
        <v>448.99243200000012</v>
      </c>
      <c r="F131" s="50">
        <v>434.03383296000004</v>
      </c>
      <c r="G131" s="50">
        <v>423.56281363200009</v>
      </c>
      <c r="H131" s="50">
        <v>413.09179430400008</v>
      </c>
      <c r="I131" s="50">
        <v>405.76208077440003</v>
      </c>
      <c r="J131" s="50">
        <v>398.43236724479999</v>
      </c>
    </row>
    <row r="132" spans="1:10">
      <c r="A132" s="46" t="s">
        <v>289</v>
      </c>
      <c r="B132" s="6" t="s">
        <v>332</v>
      </c>
      <c r="C132" s="50">
        <v>53.843922720000002</v>
      </c>
      <c r="D132" s="50">
        <v>52.589557440000007</v>
      </c>
      <c r="E132" s="50">
        <v>58.181447520000006</v>
      </c>
      <c r="F132" s="50">
        <v>63.773337600000005</v>
      </c>
      <c r="G132" s="50">
        <v>67.687660656000006</v>
      </c>
      <c r="H132" s="50">
        <v>71.601983712000006</v>
      </c>
      <c r="I132" s="50">
        <v>74.342009851200004</v>
      </c>
      <c r="J132" s="50">
        <v>77.082035990400016</v>
      </c>
    </row>
    <row r="133" spans="1:10">
      <c r="A133" s="46" t="s">
        <v>290</v>
      </c>
      <c r="B133" s="6" t="s">
        <v>332</v>
      </c>
      <c r="C133" s="50">
        <v>30.576000000000004</v>
      </c>
      <c r="D133" s="50">
        <v>37.418181818181822</v>
      </c>
      <c r="E133" s="50">
        <v>36.393636363636354</v>
      </c>
      <c r="F133" s="50">
        <v>35.3690909090909</v>
      </c>
      <c r="G133" s="50">
        <v>34.651909090909086</v>
      </c>
      <c r="H133" s="50">
        <v>33.934727272727265</v>
      </c>
      <c r="I133" s="50">
        <v>33.432699999999997</v>
      </c>
      <c r="J133" s="50">
        <v>32.930672727272729</v>
      </c>
    </row>
    <row r="134" spans="1:10">
      <c r="A134" s="46" t="s">
        <v>291</v>
      </c>
      <c r="B134" s="6" t="s">
        <v>332</v>
      </c>
      <c r="C134" s="50">
        <v>84.476226240000003</v>
      </c>
      <c r="D134" s="50">
        <v>104.24127168000001</v>
      </c>
      <c r="E134" s="50">
        <v>102.69383040000001</v>
      </c>
      <c r="F134" s="50">
        <v>101.14638912000002</v>
      </c>
      <c r="G134" s="50">
        <v>100.06318022400002</v>
      </c>
      <c r="H134" s="50">
        <v>98.979971328000019</v>
      </c>
      <c r="I134" s="50">
        <v>98.221725100800029</v>
      </c>
      <c r="J134" s="50">
        <v>97.463478873600039</v>
      </c>
    </row>
    <row r="135" spans="1:10">
      <c r="A135" s="46" t="s">
        <v>292</v>
      </c>
      <c r="B135" s="6" t="s">
        <v>332</v>
      </c>
      <c r="C135" s="50">
        <v>17.760405600000002</v>
      </c>
      <c r="D135" s="50">
        <v>19.811937600000004</v>
      </c>
      <c r="E135" s="50">
        <v>19.624368960000005</v>
      </c>
      <c r="F135" s="50">
        <v>19.436800320000003</v>
      </c>
      <c r="G135" s="50">
        <v>19.305502272000002</v>
      </c>
      <c r="H135" s="50">
        <v>19.174204224000004</v>
      </c>
      <c r="I135" s="50">
        <v>19.082295590400001</v>
      </c>
      <c r="J135" s="50">
        <v>18.990386956799998</v>
      </c>
    </row>
    <row r="136" spans="1:10">
      <c r="A136" s="46" t="s">
        <v>293</v>
      </c>
      <c r="B136" s="6" t="s">
        <v>332</v>
      </c>
      <c r="C136" s="50">
        <v>201.28459680000003</v>
      </c>
      <c r="D136" s="50">
        <v>217.62651456000003</v>
      </c>
      <c r="E136" s="50">
        <v>206.87648688000002</v>
      </c>
      <c r="F136" s="50">
        <v>196.12645920000003</v>
      </c>
      <c r="G136" s="50">
        <v>188.60143982400001</v>
      </c>
      <c r="H136" s="50">
        <v>181.07642044800002</v>
      </c>
      <c r="I136" s="50">
        <v>175.80890688480002</v>
      </c>
      <c r="J136" s="50">
        <v>170.54139332160003</v>
      </c>
    </row>
    <row r="137" spans="1:10">
      <c r="A137" s="46" t="s">
        <v>294</v>
      </c>
      <c r="B137" s="6" t="s">
        <v>332</v>
      </c>
      <c r="C137" s="50">
        <v>1.1840270400000001</v>
      </c>
      <c r="D137" s="50">
        <v>1.2895344000000002</v>
      </c>
      <c r="E137" s="50">
        <v>1.1840270400000001</v>
      </c>
      <c r="F137" s="50">
        <v>1.0785196800000001</v>
      </c>
      <c r="G137" s="50">
        <v>1.0046645280000002</v>
      </c>
      <c r="H137" s="50">
        <v>0.93080937600000024</v>
      </c>
      <c r="I137" s="50">
        <v>0.87911076960000023</v>
      </c>
      <c r="J137" s="50">
        <v>0.82741216320000033</v>
      </c>
    </row>
    <row r="138" spans="1:10">
      <c r="A138" s="46" t="s">
        <v>295</v>
      </c>
      <c r="B138" s="6" t="s">
        <v>332</v>
      </c>
      <c r="C138" s="50">
        <v>0</v>
      </c>
      <c r="D138" s="50">
        <v>0</v>
      </c>
      <c r="E138" s="50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</row>
    <row r="139" spans="1:10">
      <c r="A139" s="46" t="s">
        <v>296</v>
      </c>
      <c r="B139" s="6" t="s">
        <v>332</v>
      </c>
      <c r="C139" s="50">
        <v>0</v>
      </c>
      <c r="D139" s="50">
        <v>0</v>
      </c>
      <c r="E139" s="50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</row>
    <row r="140" spans="1:10">
      <c r="A140" s="46" t="s">
        <v>297</v>
      </c>
      <c r="B140" s="6" t="s">
        <v>332</v>
      </c>
      <c r="C140" s="50">
        <v>35.298073440000003</v>
      </c>
      <c r="D140" s="50">
        <v>38.099880000000006</v>
      </c>
      <c r="E140" s="50">
        <v>35.942840640000007</v>
      </c>
      <c r="F140" s="50">
        <v>33.785801280000008</v>
      </c>
      <c r="G140" s="50">
        <v>32.275873728000008</v>
      </c>
      <c r="H140" s="50">
        <v>30.765946176000007</v>
      </c>
      <c r="I140" s="50">
        <v>29.708996889600005</v>
      </c>
      <c r="J140" s="50">
        <v>28.652047603200003</v>
      </c>
    </row>
    <row r="141" spans="1:10">
      <c r="A141" s="46" t="s">
        <v>298</v>
      </c>
      <c r="B141" s="6" t="s">
        <v>332</v>
      </c>
      <c r="C141" s="50">
        <v>211.42240000000004</v>
      </c>
      <c r="D141" s="50">
        <v>228.2041846562604</v>
      </c>
      <c r="E141" s="50">
        <v>215.28431697110594</v>
      </c>
      <c r="F141" s="50">
        <v>202.36444928595154</v>
      </c>
      <c r="G141" s="50">
        <v>193.32054190634344</v>
      </c>
      <c r="H141" s="50">
        <v>184.27663452673536</v>
      </c>
      <c r="I141" s="50">
        <v>177.94589936100968</v>
      </c>
      <c r="J141" s="50">
        <v>171.615164195284</v>
      </c>
    </row>
    <row r="142" spans="1:10">
      <c r="A142" s="46" t="s">
        <v>299</v>
      </c>
      <c r="B142" s="6" t="s">
        <v>332</v>
      </c>
      <c r="C142" s="50">
        <v>210.59269056000002</v>
      </c>
      <c r="D142" s="50">
        <v>258.58681632000003</v>
      </c>
      <c r="E142" s="50">
        <v>240.12302832000003</v>
      </c>
      <c r="F142" s="50">
        <v>221.65924032000004</v>
      </c>
      <c r="G142" s="50">
        <v>208.73458872000006</v>
      </c>
      <c r="H142" s="50">
        <v>195.80993712000003</v>
      </c>
      <c r="I142" s="50">
        <v>186.76268100000004</v>
      </c>
      <c r="J142" s="50">
        <v>177.71542488000003</v>
      </c>
    </row>
    <row r="143" spans="1:10">
      <c r="A143" s="46" t="s">
        <v>300</v>
      </c>
      <c r="B143" s="6" t="s">
        <v>332</v>
      </c>
      <c r="C143" s="50">
        <v>71.135406720000006</v>
      </c>
      <c r="D143" s="50">
        <v>76.316990400000009</v>
      </c>
      <c r="E143" s="50">
        <v>71.36986752</v>
      </c>
      <c r="F143" s="50">
        <v>66.422744640000019</v>
      </c>
      <c r="G143" s="50">
        <v>62.95975862400001</v>
      </c>
      <c r="H143" s="50">
        <v>59.496772608000001</v>
      </c>
      <c r="I143" s="50">
        <v>57.072682396800005</v>
      </c>
      <c r="J143" s="50">
        <v>54.648592185600002</v>
      </c>
    </row>
    <row r="144" spans="1:10">
      <c r="A144" s="46" t="s">
        <v>301</v>
      </c>
      <c r="B144" s="6" t="s">
        <v>332</v>
      </c>
      <c r="C144" s="50">
        <v>123.53739552000002</v>
      </c>
      <c r="D144" s="50">
        <v>141.19229376000001</v>
      </c>
      <c r="E144" s="50">
        <v>144.75609792</v>
      </c>
      <c r="F144" s="50">
        <v>148.31990208000002</v>
      </c>
      <c r="G144" s="50">
        <v>150.81456499200002</v>
      </c>
      <c r="H144" s="50">
        <v>153.30922790400004</v>
      </c>
      <c r="I144" s="50">
        <v>155.05549194240004</v>
      </c>
      <c r="J144" s="50">
        <v>156.80175598080001</v>
      </c>
    </row>
    <row r="145" spans="1:10">
      <c r="A145" s="46" t="s">
        <v>302</v>
      </c>
      <c r="B145" s="6" t="s">
        <v>332</v>
      </c>
      <c r="C145" s="50">
        <v>0</v>
      </c>
      <c r="D145" s="50">
        <v>0</v>
      </c>
      <c r="E145" s="50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</row>
    <row r="146" spans="1:10">
      <c r="A146" s="46" t="s">
        <v>303</v>
      </c>
      <c r="B146" s="6" t="s">
        <v>332</v>
      </c>
      <c r="C146" s="50">
        <v>187.21694880000004</v>
      </c>
      <c r="D146" s="50">
        <v>226.67670144000004</v>
      </c>
      <c r="E146" s="50">
        <v>200.14746192000004</v>
      </c>
      <c r="F146" s="50">
        <v>173.61822240000004</v>
      </c>
      <c r="G146" s="50">
        <v>155.04775473600003</v>
      </c>
      <c r="H146" s="50">
        <v>136.477287072</v>
      </c>
      <c r="I146" s="50">
        <v>123.47795970720001</v>
      </c>
      <c r="J146" s="50">
        <v>110.47863234240002</v>
      </c>
    </row>
    <row r="147" spans="1:10">
      <c r="A147" s="46" t="s">
        <v>304</v>
      </c>
      <c r="B147" s="6" t="s">
        <v>332</v>
      </c>
      <c r="C147" s="50">
        <v>11.734763040000002</v>
      </c>
      <c r="D147" s="50">
        <v>12.965682240000003</v>
      </c>
      <c r="E147" s="50">
        <v>13.622172480000001</v>
      </c>
      <c r="F147" s="50">
        <v>14.278662720000002</v>
      </c>
      <c r="G147" s="50">
        <v>14.738205888000003</v>
      </c>
      <c r="H147" s="50">
        <v>15.197749056000003</v>
      </c>
      <c r="I147" s="50">
        <v>15.519429273600004</v>
      </c>
      <c r="J147" s="50">
        <v>15.841109491200005</v>
      </c>
    </row>
    <row r="148" spans="1:10">
      <c r="A148" s="46" t="s">
        <v>305</v>
      </c>
      <c r="B148" s="6" t="s">
        <v>332</v>
      </c>
      <c r="C148" s="50">
        <v>38.146772160000005</v>
      </c>
      <c r="D148" s="50">
        <v>45.813640320000005</v>
      </c>
      <c r="E148" s="50">
        <v>46.270838880000007</v>
      </c>
      <c r="F148" s="50">
        <v>46.728037440000008</v>
      </c>
      <c r="G148" s="50">
        <v>47.048076432000009</v>
      </c>
      <c r="H148" s="50">
        <v>47.36811542400001</v>
      </c>
      <c r="I148" s="50">
        <v>47.592142718400012</v>
      </c>
      <c r="J148" s="50">
        <v>47.816170012800001</v>
      </c>
    </row>
    <row r="149" spans="1:10">
      <c r="A149" s="46" t="s">
        <v>306</v>
      </c>
      <c r="B149" s="6" t="s">
        <v>332</v>
      </c>
      <c r="C149" s="50">
        <v>0</v>
      </c>
      <c r="D149" s="50">
        <v>0</v>
      </c>
      <c r="E149" s="50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</row>
    <row r="150" spans="1:10">
      <c r="A150" s="46" t="s">
        <v>307</v>
      </c>
      <c r="B150" s="6" t="s">
        <v>332</v>
      </c>
      <c r="C150" s="50">
        <v>237.66118992000003</v>
      </c>
      <c r="D150" s="50">
        <v>250.26345792000004</v>
      </c>
      <c r="E150" s="50">
        <v>247.67266608000003</v>
      </c>
      <c r="F150" s="50">
        <v>245.08187424000002</v>
      </c>
      <c r="G150" s="50">
        <v>243.26831995200001</v>
      </c>
      <c r="H150" s="50">
        <v>241.45476566400004</v>
      </c>
      <c r="I150" s="50">
        <v>240.18527766240001</v>
      </c>
      <c r="J150" s="50">
        <v>238.91578966079999</v>
      </c>
    </row>
    <row r="151" spans="1:10">
      <c r="A151" s="17" t="s">
        <v>308</v>
      </c>
      <c r="B151" s="6" t="s">
        <v>332</v>
      </c>
      <c r="C151" s="50">
        <v>19.67126112</v>
      </c>
      <c r="D151" s="50">
        <v>24.196354560000003</v>
      </c>
      <c r="E151" s="50">
        <v>21.500055360000001</v>
      </c>
      <c r="F151" s="50">
        <v>18.803756160000002</v>
      </c>
      <c r="G151" s="50">
        <v>16.916346720000004</v>
      </c>
      <c r="H151" s="50">
        <v>15.028937280000001</v>
      </c>
      <c r="I151" s="50">
        <v>13.707750672</v>
      </c>
      <c r="J151" s="50">
        <v>12.386564064000002</v>
      </c>
    </row>
    <row r="152" spans="1:10">
      <c r="A152" s="17" t="s">
        <v>309</v>
      </c>
      <c r="B152" s="6" t="s">
        <v>332</v>
      </c>
      <c r="C152" s="50">
        <v>24.090847200000002</v>
      </c>
      <c r="D152" s="50">
        <v>27.174006720000005</v>
      </c>
      <c r="E152" s="50">
        <v>28.768340160000008</v>
      </c>
      <c r="F152" s="50">
        <v>30.362673600000008</v>
      </c>
      <c r="G152" s="50">
        <v>31.478707008000004</v>
      </c>
      <c r="H152" s="50">
        <v>32.594740416000008</v>
      </c>
      <c r="I152" s="50">
        <v>33.375963801600008</v>
      </c>
      <c r="J152" s="50">
        <v>34.157187187200009</v>
      </c>
    </row>
    <row r="153" spans="1:10">
      <c r="A153" s="17" t="s">
        <v>310</v>
      </c>
      <c r="B153" s="6" t="s">
        <v>332</v>
      </c>
      <c r="C153" s="50">
        <v>25.310043360000002</v>
      </c>
      <c r="D153" s="50">
        <v>27.291237120000002</v>
      </c>
      <c r="E153" s="50">
        <v>30.503350080000004</v>
      </c>
      <c r="F153" s="50">
        <v>33.715463040000003</v>
      </c>
      <c r="G153" s="50">
        <v>35.963942111999998</v>
      </c>
      <c r="H153" s="50">
        <v>38.212421184</v>
      </c>
      <c r="I153" s="50">
        <v>39.786356534399999</v>
      </c>
      <c r="J153" s="50">
        <v>41.360291884800006</v>
      </c>
    </row>
    <row r="154" spans="1:10">
      <c r="A154" s="17" t="s">
        <v>311</v>
      </c>
      <c r="B154" s="6" t="s">
        <v>332</v>
      </c>
      <c r="C154" s="50">
        <v>0</v>
      </c>
      <c r="D154" s="50">
        <v>0</v>
      </c>
      <c r="E154" s="50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</row>
    <row r="155" spans="1:10">
      <c r="A155" s="17" t="s">
        <v>312</v>
      </c>
      <c r="B155" s="6" t="s">
        <v>332</v>
      </c>
      <c r="C155" s="50">
        <v>0</v>
      </c>
      <c r="D155" s="50">
        <v>0</v>
      </c>
      <c r="E155" s="50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</row>
    <row r="156" spans="1:10">
      <c r="A156" s="17" t="s">
        <v>356</v>
      </c>
      <c r="B156" s="6" t="s">
        <v>332</v>
      </c>
      <c r="C156" s="50">
        <v>201.63628800000001</v>
      </c>
      <c r="D156" s="50">
        <v>212.32829261697827</v>
      </c>
      <c r="E156" s="50">
        <v>210.13021538874369</v>
      </c>
      <c r="F156" s="50">
        <v>207.93213816050908</v>
      </c>
      <c r="G156" s="50">
        <v>206.3934841007449</v>
      </c>
      <c r="H156" s="50">
        <v>204.85483004098066</v>
      </c>
      <c r="I156" s="50">
        <v>203.77777219914569</v>
      </c>
      <c r="J156" s="50">
        <v>202.70071435731074</v>
      </c>
    </row>
    <row r="157" spans="1:10">
      <c r="A157" s="17" t="s">
        <v>357</v>
      </c>
      <c r="B157" s="6" t="s">
        <v>332</v>
      </c>
      <c r="C157" s="50">
        <v>26.72621951999999</v>
      </c>
      <c r="D157" s="50">
        <v>28.143409180336398</v>
      </c>
      <c r="E157" s="50">
        <v>27.852061352490498</v>
      </c>
      <c r="F157" s="50">
        <v>27.560713524644591</v>
      </c>
      <c r="G157" s="50">
        <v>27.356770045152466</v>
      </c>
      <c r="H157" s="50">
        <v>27.152826565660327</v>
      </c>
      <c r="I157" s="50">
        <v>27.010066130015833</v>
      </c>
      <c r="J157" s="50">
        <v>26.867305694371343</v>
      </c>
    </row>
    <row r="158" spans="1:10">
      <c r="A158" s="46" t="s">
        <v>277</v>
      </c>
      <c r="B158" s="6" t="s">
        <v>333</v>
      </c>
      <c r="C158" s="50">
        <v>0</v>
      </c>
      <c r="D158" s="50">
        <v>0</v>
      </c>
      <c r="E158" s="50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</row>
    <row r="159" spans="1:10">
      <c r="A159" s="46" t="s">
        <v>278</v>
      </c>
      <c r="B159" s="6" t="s">
        <v>333</v>
      </c>
      <c r="C159" s="50">
        <v>6.1118906400000004</v>
      </c>
      <c r="D159" s="50">
        <v>6.7759171200000008</v>
      </c>
      <c r="E159" s="50">
        <v>6.4468346399999996</v>
      </c>
      <c r="F159" s="50">
        <v>6.1177521600000002</v>
      </c>
      <c r="G159" s="50">
        <v>5.887394424</v>
      </c>
      <c r="H159" s="50">
        <v>5.6570366880000007</v>
      </c>
      <c r="I159" s="50">
        <v>5.4957862728000011</v>
      </c>
      <c r="J159" s="50">
        <v>5.3345358576000006</v>
      </c>
    </row>
    <row r="160" spans="1:10">
      <c r="A160" s="46" t="s">
        <v>279</v>
      </c>
      <c r="B160" s="6" t="s">
        <v>333</v>
      </c>
      <c r="C160" s="50">
        <v>0</v>
      </c>
      <c r="D160" s="50">
        <v>0</v>
      </c>
      <c r="E160" s="50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</row>
    <row r="161" spans="1:10">
      <c r="A161" s="46" t="s">
        <v>280</v>
      </c>
      <c r="B161" s="6" t="s">
        <v>333</v>
      </c>
      <c r="C161" s="50">
        <v>3.7279267200000006</v>
      </c>
      <c r="D161" s="50">
        <v>3.8686031999999999</v>
      </c>
      <c r="E161" s="50">
        <v>3.8593922400000005</v>
      </c>
      <c r="F161" s="50">
        <v>3.8501812800000006</v>
      </c>
      <c r="G161" s="50">
        <v>3.8437336080000009</v>
      </c>
      <c r="H161" s="50">
        <v>3.8372859360000007</v>
      </c>
      <c r="I161" s="50">
        <v>3.8327725656000009</v>
      </c>
      <c r="J161" s="50">
        <v>3.8282591952000007</v>
      </c>
    </row>
    <row r="162" spans="1:10">
      <c r="A162" s="46" t="s">
        <v>281</v>
      </c>
      <c r="B162" s="6" t="s">
        <v>333</v>
      </c>
      <c r="C162" s="50">
        <v>4.0930156800000006</v>
      </c>
      <c r="D162" s="50">
        <v>4.3978147200000004</v>
      </c>
      <c r="E162" s="50">
        <v>4.5075088800000005</v>
      </c>
      <c r="F162" s="50">
        <v>4.6172030399999997</v>
      </c>
      <c r="G162" s="50">
        <v>4.6939889519999998</v>
      </c>
      <c r="H162" s="50">
        <v>4.7707748639999998</v>
      </c>
      <c r="I162" s="50">
        <v>4.8245250024000006</v>
      </c>
      <c r="J162" s="50">
        <v>4.8782751408000005</v>
      </c>
    </row>
    <row r="163" spans="1:10">
      <c r="A163" s="46" t="s">
        <v>282</v>
      </c>
      <c r="B163" s="6" t="s">
        <v>333</v>
      </c>
      <c r="C163" s="50">
        <v>6.1118906400000004</v>
      </c>
      <c r="D163" s="50">
        <v>6.7759171200000008</v>
      </c>
      <c r="E163" s="50">
        <v>6.4468346399999996</v>
      </c>
      <c r="F163" s="50">
        <v>6.1177521600000002</v>
      </c>
      <c r="G163" s="50">
        <v>5.887394424</v>
      </c>
      <c r="H163" s="50">
        <v>5.6570366880000007</v>
      </c>
      <c r="I163" s="50">
        <v>5.4957862728000011</v>
      </c>
      <c r="J163" s="50">
        <v>5.3345358576000006</v>
      </c>
    </row>
    <row r="164" spans="1:10">
      <c r="A164" s="46" t="s">
        <v>283</v>
      </c>
      <c r="B164" s="6" t="s">
        <v>333</v>
      </c>
      <c r="C164" s="50">
        <v>5.7752719200000007</v>
      </c>
      <c r="D164" s="50">
        <v>6.0624864000000001</v>
      </c>
      <c r="E164" s="50">
        <v>6.1964640000000006</v>
      </c>
      <c r="F164" s="50">
        <v>6.3304416000000003</v>
      </c>
      <c r="G164" s="50">
        <v>6.4242259200000005</v>
      </c>
      <c r="H164" s="50">
        <v>6.5180102399999997</v>
      </c>
      <c r="I164" s="50">
        <v>6.5836592640000005</v>
      </c>
      <c r="J164" s="50">
        <v>6.6493082880000012</v>
      </c>
    </row>
    <row r="165" spans="1:10">
      <c r="A165" s="46" t="s">
        <v>284</v>
      </c>
      <c r="B165" s="6" t="s">
        <v>333</v>
      </c>
      <c r="C165" s="50">
        <v>28.675393200000002</v>
      </c>
      <c r="D165" s="50">
        <v>32.439326399999999</v>
      </c>
      <c r="E165" s="50">
        <v>30.783865679999998</v>
      </c>
      <c r="F165" s="50">
        <v>29.128404960000005</v>
      </c>
      <c r="G165" s="50">
        <v>27.969582456000005</v>
      </c>
      <c r="H165" s="50">
        <v>26.810759952000005</v>
      </c>
      <c r="I165" s="50">
        <v>25.999584199200005</v>
      </c>
      <c r="J165" s="50">
        <v>25.188408446400004</v>
      </c>
    </row>
    <row r="166" spans="1:10">
      <c r="A166" s="46" t="s">
        <v>285</v>
      </c>
      <c r="B166" s="6" t="s">
        <v>333</v>
      </c>
      <c r="C166" s="50">
        <v>2.8738195200000001</v>
      </c>
      <c r="D166" s="50">
        <v>3.5169120000000005</v>
      </c>
      <c r="E166" s="50">
        <v>3.4206156000000001</v>
      </c>
      <c r="F166" s="50">
        <v>3.3243192000000001</v>
      </c>
      <c r="G166" s="50">
        <v>3.2569117200000002</v>
      </c>
      <c r="H166" s="50">
        <v>3.1895042400000002</v>
      </c>
      <c r="I166" s="50">
        <v>3.1423190040000004</v>
      </c>
      <c r="J166" s="50">
        <v>3.0951337680000006</v>
      </c>
    </row>
    <row r="167" spans="1:10">
      <c r="A167" s="46" t="s">
        <v>286</v>
      </c>
      <c r="B167" s="6" t="s">
        <v>333</v>
      </c>
      <c r="C167" s="50">
        <v>18.729231120000001</v>
      </c>
      <c r="D167" s="50">
        <v>20.331100800000002</v>
      </c>
      <c r="E167" s="50">
        <v>19.841245200000003</v>
      </c>
      <c r="F167" s="50">
        <v>19.351389600000001</v>
      </c>
      <c r="G167" s="50">
        <v>19.008490680000001</v>
      </c>
      <c r="H167" s="50">
        <v>18.665591760000002</v>
      </c>
      <c r="I167" s="50">
        <v>18.425562516000003</v>
      </c>
      <c r="J167" s="50">
        <v>18.185533272000004</v>
      </c>
    </row>
    <row r="168" spans="1:10">
      <c r="A168" s="46" t="s">
        <v>287</v>
      </c>
      <c r="B168" s="6" t="s">
        <v>333</v>
      </c>
      <c r="C168" s="50">
        <v>11.817661680000001</v>
      </c>
      <c r="D168" s="50">
        <v>14.576762880000002</v>
      </c>
      <c r="E168" s="50">
        <v>12.891157200000002</v>
      </c>
      <c r="F168" s="50">
        <v>11.205551520000002</v>
      </c>
      <c r="G168" s="50">
        <v>10.025627544000001</v>
      </c>
      <c r="H168" s="50">
        <v>8.8457035680000011</v>
      </c>
      <c r="I168" s="50">
        <v>8.0197567848000002</v>
      </c>
      <c r="J168" s="50">
        <v>7.1938100016000002</v>
      </c>
    </row>
    <row r="169" spans="1:10">
      <c r="A169" s="46" t="s">
        <v>288</v>
      </c>
      <c r="B169" s="6" t="s">
        <v>333</v>
      </c>
      <c r="C169" s="50">
        <v>26.537613120000003</v>
      </c>
      <c r="D169" s="50">
        <v>33.13935936</v>
      </c>
      <c r="E169" s="50">
        <v>32.070888000000004</v>
      </c>
      <c r="F169" s="50">
        <v>31.002416640000003</v>
      </c>
      <c r="G169" s="50">
        <v>30.254486688000004</v>
      </c>
      <c r="H169" s="50">
        <v>29.506556736000004</v>
      </c>
      <c r="I169" s="50">
        <v>28.983005769599998</v>
      </c>
      <c r="J169" s="50">
        <v>28.459454803199996</v>
      </c>
    </row>
    <row r="170" spans="1:10">
      <c r="A170" s="46" t="s">
        <v>289</v>
      </c>
      <c r="B170" s="6" t="s">
        <v>333</v>
      </c>
      <c r="C170" s="50">
        <v>3.8459944799999999</v>
      </c>
      <c r="D170" s="50">
        <v>3.75639696</v>
      </c>
      <c r="E170" s="50">
        <v>4.1558176800000002</v>
      </c>
      <c r="F170" s="50">
        <v>4.5552384000000004</v>
      </c>
      <c r="G170" s="50">
        <v>4.8348329039999998</v>
      </c>
      <c r="H170" s="50">
        <v>5.1144274080000001</v>
      </c>
      <c r="I170" s="50">
        <v>5.3101435607999994</v>
      </c>
      <c r="J170" s="50">
        <v>5.5058597136000005</v>
      </c>
    </row>
    <row r="171" spans="1:10">
      <c r="A171" s="46" t="s">
        <v>290</v>
      </c>
      <c r="B171" s="6" t="s">
        <v>333</v>
      </c>
      <c r="C171" s="50">
        <v>2.1840000000000002</v>
      </c>
      <c r="D171" s="50">
        <v>2.6727272727272724</v>
      </c>
      <c r="E171" s="50">
        <v>2.5995454545454537</v>
      </c>
      <c r="F171" s="50">
        <v>2.5263636363636359</v>
      </c>
      <c r="G171" s="50">
        <v>2.4751363636363628</v>
      </c>
      <c r="H171" s="50">
        <v>2.4239090909090901</v>
      </c>
      <c r="I171" s="50">
        <v>2.3880499999999993</v>
      </c>
      <c r="J171" s="50">
        <v>2.352190909090909</v>
      </c>
    </row>
    <row r="172" spans="1:10">
      <c r="A172" s="46" t="s">
        <v>291</v>
      </c>
      <c r="B172" s="6" t="s">
        <v>333</v>
      </c>
      <c r="C172" s="50">
        <v>6.0340161600000002</v>
      </c>
      <c r="D172" s="50">
        <v>7.4458051200000002</v>
      </c>
      <c r="E172" s="50">
        <v>7.3352736000000007</v>
      </c>
      <c r="F172" s="50">
        <v>7.2247420800000013</v>
      </c>
      <c r="G172" s="50">
        <v>7.1473700160000009</v>
      </c>
      <c r="H172" s="50">
        <v>7.0699979520000014</v>
      </c>
      <c r="I172" s="50">
        <v>7.0158375072000014</v>
      </c>
      <c r="J172" s="50">
        <v>6.9616770624000024</v>
      </c>
    </row>
    <row r="173" spans="1:10">
      <c r="A173" s="46" t="s">
        <v>292</v>
      </c>
      <c r="B173" s="6" t="s">
        <v>333</v>
      </c>
      <c r="C173" s="50">
        <v>1.2686004000000002</v>
      </c>
      <c r="D173" s="50">
        <v>1.4151384000000002</v>
      </c>
      <c r="E173" s="50">
        <v>1.4017406400000001</v>
      </c>
      <c r="F173" s="50">
        <v>1.3883428800000002</v>
      </c>
      <c r="G173" s="50">
        <v>1.3789644480000001</v>
      </c>
      <c r="H173" s="50">
        <v>1.3695860160000002</v>
      </c>
      <c r="I173" s="50">
        <v>1.3630211136000001</v>
      </c>
      <c r="J173" s="50">
        <v>1.3564562111999998</v>
      </c>
    </row>
    <row r="174" spans="1:10">
      <c r="A174" s="46" t="s">
        <v>293</v>
      </c>
      <c r="B174" s="6" t="s">
        <v>333</v>
      </c>
      <c r="C174" s="50">
        <v>14.3774712</v>
      </c>
      <c r="D174" s="50">
        <v>15.544751040000001</v>
      </c>
      <c r="E174" s="50">
        <v>14.776891920000001</v>
      </c>
      <c r="F174" s="50">
        <v>14.0090328</v>
      </c>
      <c r="G174" s="50">
        <v>13.471531416000001</v>
      </c>
      <c r="H174" s="50">
        <v>12.934030032000001</v>
      </c>
      <c r="I174" s="50">
        <v>12.557779063200002</v>
      </c>
      <c r="J174" s="50">
        <v>12.181528094400001</v>
      </c>
    </row>
    <row r="175" spans="1:10">
      <c r="A175" s="46" t="s">
        <v>294</v>
      </c>
      <c r="B175" s="6" t="s">
        <v>333</v>
      </c>
      <c r="C175" s="50">
        <v>8.457336E-2</v>
      </c>
      <c r="D175" s="50">
        <v>9.21096E-2</v>
      </c>
      <c r="E175" s="50">
        <v>8.457336E-2</v>
      </c>
      <c r="F175" s="50">
        <v>7.7037120000000001E-2</v>
      </c>
      <c r="G175" s="50">
        <v>7.1761752000000012E-2</v>
      </c>
      <c r="H175" s="50">
        <v>6.6486384000000009E-2</v>
      </c>
      <c r="I175" s="50">
        <v>6.2793626400000011E-2</v>
      </c>
      <c r="J175" s="50">
        <v>5.9100868800000018E-2</v>
      </c>
    </row>
    <row r="176" spans="1:10">
      <c r="A176" s="46" t="s">
        <v>295</v>
      </c>
      <c r="B176" s="6" t="s">
        <v>333</v>
      </c>
      <c r="C176" s="50">
        <v>0</v>
      </c>
      <c r="D176" s="50">
        <v>0</v>
      </c>
      <c r="E176" s="50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</row>
    <row r="177" spans="1:10">
      <c r="A177" s="46" t="s">
        <v>296</v>
      </c>
      <c r="B177" s="6" t="s">
        <v>333</v>
      </c>
      <c r="C177" s="50">
        <v>0</v>
      </c>
      <c r="D177" s="50">
        <v>0</v>
      </c>
      <c r="E177" s="50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</row>
    <row r="178" spans="1:10">
      <c r="A178" s="46" t="s">
        <v>297</v>
      </c>
      <c r="B178" s="6" t="s">
        <v>333</v>
      </c>
      <c r="C178" s="50">
        <v>2.52129096</v>
      </c>
      <c r="D178" s="50">
        <v>2.7214200000000002</v>
      </c>
      <c r="E178" s="50">
        <v>2.5673457600000003</v>
      </c>
      <c r="F178" s="50">
        <v>2.4132715200000003</v>
      </c>
      <c r="G178" s="50">
        <v>2.305419552</v>
      </c>
      <c r="H178" s="50">
        <v>2.1975675840000002</v>
      </c>
      <c r="I178" s="50">
        <v>2.1220712064000002</v>
      </c>
      <c r="J178" s="50">
        <v>2.0465748287999999</v>
      </c>
    </row>
    <row r="179" spans="1:10">
      <c r="A179" s="46" t="s">
        <v>298</v>
      </c>
      <c r="B179" s="6" t="s">
        <v>333</v>
      </c>
      <c r="C179" s="50">
        <v>15.101600000000001</v>
      </c>
      <c r="D179" s="50">
        <v>16.300298904018597</v>
      </c>
      <c r="E179" s="50">
        <v>15.377451212221851</v>
      </c>
      <c r="F179" s="50">
        <v>14.454603520425108</v>
      </c>
      <c r="G179" s="50">
        <v>13.808610136167388</v>
      </c>
      <c r="H179" s="50">
        <v>13.162616751909669</v>
      </c>
      <c r="I179" s="50">
        <v>12.710421382929262</v>
      </c>
      <c r="J179" s="50">
        <v>12.258226013948857</v>
      </c>
    </row>
    <row r="180" spans="1:10">
      <c r="A180" s="46" t="s">
        <v>299</v>
      </c>
      <c r="B180" s="6" t="s">
        <v>333</v>
      </c>
      <c r="C180" s="50">
        <v>15.042335040000001</v>
      </c>
      <c r="D180" s="50">
        <v>18.470486880000003</v>
      </c>
      <c r="E180" s="50">
        <v>17.151644880000003</v>
      </c>
      <c r="F180" s="50">
        <v>15.832802880000003</v>
      </c>
      <c r="G180" s="50">
        <v>14.909613480000003</v>
      </c>
      <c r="H180" s="50">
        <v>13.986424080000003</v>
      </c>
      <c r="I180" s="50">
        <v>13.340191500000001</v>
      </c>
      <c r="J180" s="50">
        <v>12.69395892</v>
      </c>
    </row>
    <row r="181" spans="1:10">
      <c r="A181" s="46" t="s">
        <v>300</v>
      </c>
      <c r="B181" s="6" t="s">
        <v>333</v>
      </c>
      <c r="C181" s="50">
        <v>5.0811004799999999</v>
      </c>
      <c r="D181" s="50">
        <v>5.4512136</v>
      </c>
      <c r="E181" s="50">
        <v>5.0978476800000001</v>
      </c>
      <c r="F181" s="50">
        <v>4.7444817600000002</v>
      </c>
      <c r="G181" s="50">
        <v>4.4971256159999999</v>
      </c>
      <c r="H181" s="50">
        <v>4.2497694719999997</v>
      </c>
      <c r="I181" s="50">
        <v>4.0766201712000001</v>
      </c>
      <c r="J181" s="50">
        <v>3.9034708703999996</v>
      </c>
    </row>
    <row r="182" spans="1:10">
      <c r="A182" s="46" t="s">
        <v>301</v>
      </c>
      <c r="B182" s="6" t="s">
        <v>333</v>
      </c>
      <c r="C182" s="50">
        <v>8.8240996800000016</v>
      </c>
      <c r="D182" s="50">
        <v>10.08516384</v>
      </c>
      <c r="E182" s="50">
        <v>10.339721279999999</v>
      </c>
      <c r="F182" s="50">
        <v>10.59427872</v>
      </c>
      <c r="G182" s="50">
        <v>10.772468928</v>
      </c>
      <c r="H182" s="50">
        <v>10.950659136000002</v>
      </c>
      <c r="I182" s="50">
        <v>11.075392281600003</v>
      </c>
      <c r="J182" s="50">
        <v>11.200125427200001</v>
      </c>
    </row>
    <row r="183" spans="1:10">
      <c r="A183" s="46" t="s">
        <v>302</v>
      </c>
      <c r="B183" s="6" t="s">
        <v>333</v>
      </c>
      <c r="C183" s="50">
        <v>0</v>
      </c>
      <c r="D183" s="50">
        <v>0</v>
      </c>
      <c r="E183" s="50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</row>
    <row r="184" spans="1:10">
      <c r="A184" s="46" t="s">
        <v>303</v>
      </c>
      <c r="B184" s="6" t="s">
        <v>333</v>
      </c>
      <c r="C184" s="50">
        <v>13.372639200000002</v>
      </c>
      <c r="D184" s="50">
        <v>16.191192960000002</v>
      </c>
      <c r="E184" s="50">
        <v>14.296247280000003</v>
      </c>
      <c r="F184" s="50">
        <v>12.401301600000002</v>
      </c>
      <c r="G184" s="50">
        <v>11.074839624000001</v>
      </c>
      <c r="H184" s="50">
        <v>9.748377648</v>
      </c>
      <c r="I184" s="50">
        <v>8.8198542648</v>
      </c>
      <c r="J184" s="50">
        <v>7.891330881600001</v>
      </c>
    </row>
    <row r="185" spans="1:10">
      <c r="A185" s="46" t="s">
        <v>304</v>
      </c>
      <c r="B185" s="6" t="s">
        <v>333</v>
      </c>
      <c r="C185" s="50">
        <v>0.83819736000000011</v>
      </c>
      <c r="D185" s="50">
        <v>0.92612016000000008</v>
      </c>
      <c r="E185" s="50">
        <v>0.97301232000000004</v>
      </c>
      <c r="F185" s="50">
        <v>1.0199044800000001</v>
      </c>
      <c r="G185" s="50">
        <v>1.052728992</v>
      </c>
      <c r="H185" s="50">
        <v>1.0855535040000002</v>
      </c>
      <c r="I185" s="50">
        <v>1.1085306624000002</v>
      </c>
      <c r="J185" s="50">
        <v>1.1315078208000002</v>
      </c>
    </row>
    <row r="186" spans="1:10">
      <c r="A186" s="46" t="s">
        <v>305</v>
      </c>
      <c r="B186" s="6" t="s">
        <v>333</v>
      </c>
      <c r="C186" s="50">
        <v>2.7247694400000002</v>
      </c>
      <c r="D186" s="50">
        <v>3.2724028800000005</v>
      </c>
      <c r="E186" s="50">
        <v>3.3050599200000002</v>
      </c>
      <c r="F186" s="50">
        <v>3.3377169600000003</v>
      </c>
      <c r="G186" s="50">
        <v>3.3605768880000007</v>
      </c>
      <c r="H186" s="50">
        <v>3.3834368160000001</v>
      </c>
      <c r="I186" s="50">
        <v>3.3994387656000002</v>
      </c>
      <c r="J186" s="50">
        <v>3.4154407151999999</v>
      </c>
    </row>
    <row r="187" spans="1:10">
      <c r="A187" s="46" t="s">
        <v>306</v>
      </c>
      <c r="B187" s="6" t="s">
        <v>333</v>
      </c>
      <c r="C187" s="50">
        <v>0</v>
      </c>
      <c r="D187" s="50">
        <v>0</v>
      </c>
      <c r="E187" s="50">
        <v>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</row>
    <row r="188" spans="1:10">
      <c r="A188" s="46" t="s">
        <v>307</v>
      </c>
      <c r="B188" s="6" t="s">
        <v>333</v>
      </c>
      <c r="C188" s="50">
        <v>16.97579928</v>
      </c>
      <c r="D188" s="50">
        <v>17.875961280000002</v>
      </c>
      <c r="E188" s="50">
        <v>17.690904720000002</v>
      </c>
      <c r="F188" s="50">
        <v>17.505848159999999</v>
      </c>
      <c r="G188" s="50">
        <v>17.376308567999999</v>
      </c>
      <c r="H188" s="50">
        <v>17.246768976000002</v>
      </c>
      <c r="I188" s="50">
        <v>17.1560912616</v>
      </c>
      <c r="J188" s="50">
        <v>17.065413547199999</v>
      </c>
    </row>
    <row r="189" spans="1:10">
      <c r="A189" s="17" t="s">
        <v>308</v>
      </c>
      <c r="B189" s="6" t="s">
        <v>333</v>
      </c>
      <c r="C189" s="50">
        <v>1.4050900799999999</v>
      </c>
      <c r="D189" s="50">
        <v>1.7283110400000001</v>
      </c>
      <c r="E189" s="50">
        <v>1.53571824</v>
      </c>
      <c r="F189" s="50">
        <v>1.3431254400000001</v>
      </c>
      <c r="G189" s="50">
        <v>1.2083104800000002</v>
      </c>
      <c r="H189" s="50">
        <v>1.07349552</v>
      </c>
      <c r="I189" s="50">
        <v>0.979125048</v>
      </c>
      <c r="J189" s="50">
        <v>0.88475457599999996</v>
      </c>
    </row>
    <row r="190" spans="1:10">
      <c r="A190" s="17" t="s">
        <v>309</v>
      </c>
      <c r="B190" s="6" t="s">
        <v>333</v>
      </c>
      <c r="C190" s="50">
        <v>1.7207748</v>
      </c>
      <c r="D190" s="50">
        <v>1.9410004800000003</v>
      </c>
      <c r="E190" s="50">
        <v>2.0548814400000004</v>
      </c>
      <c r="F190" s="50">
        <v>2.1687624000000003</v>
      </c>
      <c r="G190" s="50">
        <v>2.2484790720000003</v>
      </c>
      <c r="H190" s="50">
        <v>2.3281957440000003</v>
      </c>
      <c r="I190" s="50">
        <v>2.3839974144</v>
      </c>
      <c r="J190" s="50">
        <v>2.4397990848000002</v>
      </c>
    </row>
    <row r="191" spans="1:10">
      <c r="A191" s="17" t="s">
        <v>310</v>
      </c>
      <c r="B191" s="6" t="s">
        <v>333</v>
      </c>
      <c r="C191" s="50">
        <v>1.8078602400000001</v>
      </c>
      <c r="D191" s="50">
        <v>1.9493740800000001</v>
      </c>
      <c r="E191" s="50">
        <v>2.1788107200000004</v>
      </c>
      <c r="F191" s="50">
        <v>2.4082473600000003</v>
      </c>
      <c r="G191" s="50">
        <v>2.568853008</v>
      </c>
      <c r="H191" s="50">
        <v>2.7294586559999998</v>
      </c>
      <c r="I191" s="50">
        <v>2.8418826095999998</v>
      </c>
      <c r="J191" s="50">
        <v>2.9543065632000003</v>
      </c>
    </row>
    <row r="192" spans="1:10">
      <c r="A192" s="17" t="s">
        <v>311</v>
      </c>
      <c r="B192" s="6" t="s">
        <v>333</v>
      </c>
      <c r="C192" s="50">
        <v>0</v>
      </c>
      <c r="D192" s="50">
        <v>0</v>
      </c>
      <c r="E192" s="50">
        <v>0</v>
      </c>
      <c r="F192" s="50">
        <v>0</v>
      </c>
      <c r="G192" s="50">
        <v>0</v>
      </c>
      <c r="H192" s="50">
        <v>0</v>
      </c>
      <c r="I192" s="50">
        <v>0</v>
      </c>
      <c r="J192" s="50">
        <v>0</v>
      </c>
    </row>
    <row r="193" spans="1:10">
      <c r="A193" s="17" t="s">
        <v>312</v>
      </c>
      <c r="B193" s="6" t="s">
        <v>333</v>
      </c>
      <c r="C193" s="50">
        <v>0</v>
      </c>
      <c r="D193" s="50">
        <v>0</v>
      </c>
      <c r="E193" s="50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</row>
    <row r="194" spans="1:10">
      <c r="A194" s="17" t="s">
        <v>356</v>
      </c>
      <c r="B194" s="6" t="s">
        <v>333</v>
      </c>
      <c r="C194" s="50">
        <v>14.402592</v>
      </c>
      <c r="D194" s="50">
        <v>15.166306615498447</v>
      </c>
      <c r="E194" s="50">
        <v>15.009301099195978</v>
      </c>
      <c r="F194" s="50">
        <v>14.852295582893506</v>
      </c>
      <c r="G194" s="50">
        <v>14.742391721481777</v>
      </c>
      <c r="H194" s="50">
        <v>14.632487860070047</v>
      </c>
      <c r="I194" s="50">
        <v>14.555555157081834</v>
      </c>
      <c r="J194" s="50">
        <v>14.478622454093623</v>
      </c>
    </row>
    <row r="195" spans="1:10">
      <c r="A195" s="17" t="s">
        <v>357</v>
      </c>
      <c r="B195" s="6" t="s">
        <v>333</v>
      </c>
      <c r="C195" s="50">
        <v>1.9090156799999991</v>
      </c>
      <c r="D195" s="50">
        <v>2.0102435128811713</v>
      </c>
      <c r="E195" s="50">
        <v>1.9894329537493212</v>
      </c>
      <c r="F195" s="50">
        <v>1.9686223946174708</v>
      </c>
      <c r="G195" s="50">
        <v>1.9540550032251758</v>
      </c>
      <c r="H195" s="50">
        <v>1.9394876118328805</v>
      </c>
      <c r="I195" s="50">
        <v>1.9292904378582736</v>
      </c>
      <c r="J195" s="50">
        <v>1.9190932638836671</v>
      </c>
    </row>
    <row r="196" spans="1:10">
      <c r="A196" s="46" t="s">
        <v>277</v>
      </c>
      <c r="B196" s="6" t="s">
        <v>330</v>
      </c>
      <c r="C196" s="50">
        <v>0</v>
      </c>
      <c r="D196" s="50">
        <v>0</v>
      </c>
      <c r="E196" s="50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</row>
    <row r="197" spans="1:10">
      <c r="A197" s="46" t="s">
        <v>278</v>
      </c>
      <c r="B197" s="6" t="s">
        <v>330</v>
      </c>
      <c r="C197" s="50">
        <v>12.223781280000001</v>
      </c>
      <c r="D197" s="50">
        <v>13.551834240000002</v>
      </c>
      <c r="E197" s="50">
        <v>12.893669279999999</v>
      </c>
      <c r="F197" s="50">
        <v>12.23550432</v>
      </c>
      <c r="G197" s="50">
        <v>11.774788848</v>
      </c>
      <c r="H197" s="50">
        <v>11.314073376000001</v>
      </c>
      <c r="I197" s="50">
        <v>10.991572545600002</v>
      </c>
      <c r="J197" s="50">
        <v>10.669071715200001</v>
      </c>
    </row>
    <row r="198" spans="1:10">
      <c r="A198" s="46" t="s">
        <v>279</v>
      </c>
      <c r="B198" s="6" t="s">
        <v>330</v>
      </c>
      <c r="C198" s="50">
        <v>0</v>
      </c>
      <c r="D198" s="50">
        <v>0</v>
      </c>
      <c r="E198" s="50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</row>
    <row r="199" spans="1:10">
      <c r="A199" s="46" t="s">
        <v>280</v>
      </c>
      <c r="B199" s="6" t="s">
        <v>330</v>
      </c>
      <c r="C199" s="50">
        <v>7.4558534400000012</v>
      </c>
      <c r="D199" s="50">
        <v>7.7372063999999998</v>
      </c>
      <c r="E199" s="50">
        <v>7.7187844800000009</v>
      </c>
      <c r="F199" s="50">
        <v>7.7003625600000012</v>
      </c>
      <c r="G199" s="50">
        <v>7.6874672160000017</v>
      </c>
      <c r="H199" s="50">
        <v>7.6745718720000013</v>
      </c>
      <c r="I199" s="50">
        <v>7.6655451312000018</v>
      </c>
      <c r="J199" s="50">
        <v>7.6565183904000014</v>
      </c>
    </row>
    <row r="200" spans="1:10">
      <c r="A200" s="46" t="s">
        <v>281</v>
      </c>
      <c r="B200" s="6" t="s">
        <v>330</v>
      </c>
      <c r="C200" s="50">
        <v>8.1860313600000012</v>
      </c>
      <c r="D200" s="50">
        <v>8.7956294400000008</v>
      </c>
      <c r="E200" s="50">
        <v>9.015017760000001</v>
      </c>
      <c r="F200" s="50">
        <v>9.2344060799999994</v>
      </c>
      <c r="G200" s="50">
        <v>9.3879779039999995</v>
      </c>
      <c r="H200" s="50">
        <v>9.5415497279999997</v>
      </c>
      <c r="I200" s="50">
        <v>9.6490500048000012</v>
      </c>
      <c r="J200" s="50">
        <v>9.7565502816000009</v>
      </c>
    </row>
    <row r="201" spans="1:10">
      <c r="A201" s="46" t="s">
        <v>282</v>
      </c>
      <c r="B201" s="6" t="s">
        <v>330</v>
      </c>
      <c r="C201" s="50">
        <v>12.223781280000001</v>
      </c>
      <c r="D201" s="50">
        <v>13.551834240000002</v>
      </c>
      <c r="E201" s="50">
        <v>12.893669279999999</v>
      </c>
      <c r="F201" s="50">
        <v>12.23550432</v>
      </c>
      <c r="G201" s="50">
        <v>11.774788848</v>
      </c>
      <c r="H201" s="50">
        <v>11.314073376000001</v>
      </c>
      <c r="I201" s="50">
        <v>10.991572545600002</v>
      </c>
      <c r="J201" s="50">
        <v>10.669071715200001</v>
      </c>
    </row>
    <row r="202" spans="1:10">
      <c r="A202" s="46" t="s">
        <v>283</v>
      </c>
      <c r="B202" s="6" t="s">
        <v>330</v>
      </c>
      <c r="C202" s="50">
        <v>11.550543840000001</v>
      </c>
      <c r="D202" s="50">
        <v>12.1249728</v>
      </c>
      <c r="E202" s="50">
        <v>12.392928000000001</v>
      </c>
      <c r="F202" s="50">
        <v>12.660883200000001</v>
      </c>
      <c r="G202" s="50">
        <v>12.848451840000001</v>
      </c>
      <c r="H202" s="50">
        <v>13.036020479999999</v>
      </c>
      <c r="I202" s="50">
        <v>13.167318528000001</v>
      </c>
      <c r="J202" s="50">
        <v>13.298616576000002</v>
      </c>
    </row>
    <row r="203" spans="1:10">
      <c r="A203" s="46" t="s">
        <v>284</v>
      </c>
      <c r="B203" s="6" t="s">
        <v>330</v>
      </c>
      <c r="C203" s="50">
        <v>57.350786400000004</v>
      </c>
      <c r="D203" s="50">
        <v>64.878652799999998</v>
      </c>
      <c r="E203" s="50">
        <v>61.567731359999996</v>
      </c>
      <c r="F203" s="50">
        <v>58.256809920000009</v>
      </c>
      <c r="G203" s="50">
        <v>55.93916491200001</v>
      </c>
      <c r="H203" s="50">
        <v>53.62151990400001</v>
      </c>
      <c r="I203" s="50">
        <v>51.999168398400009</v>
      </c>
      <c r="J203" s="50">
        <v>50.376816892800008</v>
      </c>
    </row>
    <row r="204" spans="1:10">
      <c r="A204" s="46" t="s">
        <v>285</v>
      </c>
      <c r="B204" s="6" t="s">
        <v>330</v>
      </c>
      <c r="C204" s="50">
        <v>5.7476390400000001</v>
      </c>
      <c r="D204" s="50">
        <v>7.033824000000001</v>
      </c>
      <c r="E204" s="50">
        <v>6.8412312000000002</v>
      </c>
      <c r="F204" s="50">
        <v>6.6486384000000003</v>
      </c>
      <c r="G204" s="50">
        <v>6.5138234400000004</v>
      </c>
      <c r="H204" s="50">
        <v>6.3790084800000004</v>
      </c>
      <c r="I204" s="50">
        <v>6.2846380080000008</v>
      </c>
      <c r="J204" s="50">
        <v>6.1902675360000012</v>
      </c>
    </row>
    <row r="205" spans="1:10">
      <c r="A205" s="46" t="s">
        <v>286</v>
      </c>
      <c r="B205" s="6" t="s">
        <v>330</v>
      </c>
      <c r="C205" s="50">
        <v>37.458462240000003</v>
      </c>
      <c r="D205" s="50">
        <v>40.662201600000003</v>
      </c>
      <c r="E205" s="50">
        <v>39.682490400000006</v>
      </c>
      <c r="F205" s="50">
        <v>38.702779200000002</v>
      </c>
      <c r="G205" s="50">
        <v>38.016981360000003</v>
      </c>
      <c r="H205" s="50">
        <v>37.331183520000003</v>
      </c>
      <c r="I205" s="50">
        <v>36.851125032000006</v>
      </c>
      <c r="J205" s="50">
        <v>36.371066544000008</v>
      </c>
    </row>
    <row r="206" spans="1:10">
      <c r="A206" s="46" t="s">
        <v>287</v>
      </c>
      <c r="B206" s="6" t="s">
        <v>330</v>
      </c>
      <c r="C206" s="50">
        <v>23.635323360000001</v>
      </c>
      <c r="D206" s="50">
        <v>29.153525760000004</v>
      </c>
      <c r="E206" s="50">
        <v>25.782314400000004</v>
      </c>
      <c r="F206" s="50">
        <v>22.411103040000004</v>
      </c>
      <c r="G206" s="50">
        <v>20.051255088000001</v>
      </c>
      <c r="H206" s="50">
        <v>17.691407136000002</v>
      </c>
      <c r="I206" s="50">
        <v>16.0395135696</v>
      </c>
      <c r="J206" s="50">
        <v>14.3876200032</v>
      </c>
    </row>
    <row r="207" spans="1:10">
      <c r="A207" s="46" t="s">
        <v>288</v>
      </c>
      <c r="B207" s="6" t="s">
        <v>330</v>
      </c>
      <c r="C207" s="50">
        <v>53.075226240000006</v>
      </c>
      <c r="D207" s="50">
        <v>66.278718720000001</v>
      </c>
      <c r="E207" s="50">
        <v>64.141776000000007</v>
      </c>
      <c r="F207" s="50">
        <v>62.004833280000007</v>
      </c>
      <c r="G207" s="50">
        <v>60.508973376000007</v>
      </c>
      <c r="H207" s="50">
        <v>59.013113472000008</v>
      </c>
      <c r="I207" s="50">
        <v>57.966011539199997</v>
      </c>
      <c r="J207" s="50">
        <v>56.918909606399993</v>
      </c>
    </row>
    <row r="208" spans="1:10">
      <c r="A208" s="46" t="s">
        <v>289</v>
      </c>
      <c r="B208" s="6" t="s">
        <v>330</v>
      </c>
      <c r="C208" s="50">
        <v>7.6919889599999998</v>
      </c>
      <c r="D208" s="50">
        <v>7.51279392</v>
      </c>
      <c r="E208" s="50">
        <v>8.3116353600000004</v>
      </c>
      <c r="F208" s="50">
        <v>9.1104768000000007</v>
      </c>
      <c r="G208" s="50">
        <v>9.6696658079999995</v>
      </c>
      <c r="H208" s="50">
        <v>10.228854816</v>
      </c>
      <c r="I208" s="50">
        <v>10.620287121599999</v>
      </c>
      <c r="J208" s="50">
        <v>11.011719427200001</v>
      </c>
    </row>
    <row r="209" spans="1:10">
      <c r="A209" s="46" t="s">
        <v>290</v>
      </c>
      <c r="B209" s="6" t="s">
        <v>330</v>
      </c>
      <c r="C209" s="50">
        <v>4.3680000000000003</v>
      </c>
      <c r="D209" s="50">
        <v>5.3454545454545448</v>
      </c>
      <c r="E209" s="50">
        <v>5.1990909090909074</v>
      </c>
      <c r="F209" s="50">
        <v>5.0527272727272718</v>
      </c>
      <c r="G209" s="50">
        <v>4.9502727272727256</v>
      </c>
      <c r="H209" s="50">
        <v>4.8478181818181802</v>
      </c>
      <c r="I209" s="50">
        <v>4.7760999999999987</v>
      </c>
      <c r="J209" s="50">
        <v>4.704381818181818</v>
      </c>
    </row>
    <row r="210" spans="1:10">
      <c r="A210" s="46" t="s">
        <v>291</v>
      </c>
      <c r="B210" s="6" t="s">
        <v>330</v>
      </c>
      <c r="C210" s="50">
        <v>12.06803232</v>
      </c>
      <c r="D210" s="50">
        <v>14.89161024</v>
      </c>
      <c r="E210" s="50">
        <v>14.670547200000001</v>
      </c>
      <c r="F210" s="50">
        <v>14.449484160000003</v>
      </c>
      <c r="G210" s="50">
        <v>14.294740032000002</v>
      </c>
      <c r="H210" s="50">
        <v>14.139995904000003</v>
      </c>
      <c r="I210" s="50">
        <v>14.031675014400003</v>
      </c>
      <c r="J210" s="50">
        <v>13.923354124800005</v>
      </c>
    </row>
    <row r="211" spans="1:10">
      <c r="A211" s="46" t="s">
        <v>292</v>
      </c>
      <c r="B211" s="6" t="s">
        <v>330</v>
      </c>
      <c r="C211" s="50">
        <v>2.5372008000000004</v>
      </c>
      <c r="D211" s="50">
        <v>2.8302768000000005</v>
      </c>
      <c r="E211" s="50">
        <v>2.8034812800000002</v>
      </c>
      <c r="F211" s="50">
        <v>2.7766857600000003</v>
      </c>
      <c r="G211" s="50">
        <v>2.7579288960000001</v>
      </c>
      <c r="H211" s="50">
        <v>2.7391720320000004</v>
      </c>
      <c r="I211" s="50">
        <v>2.7260422272000002</v>
      </c>
      <c r="J211" s="50">
        <v>2.7129124223999996</v>
      </c>
    </row>
    <row r="212" spans="1:10">
      <c r="A212" s="46" t="s">
        <v>293</v>
      </c>
      <c r="B212" s="6" t="s">
        <v>330</v>
      </c>
      <c r="C212" s="50">
        <v>28.754942400000001</v>
      </c>
      <c r="D212" s="50">
        <v>31.089502080000003</v>
      </c>
      <c r="E212" s="50">
        <v>29.553783840000001</v>
      </c>
      <c r="F212" s="50">
        <v>28.0180656</v>
      </c>
      <c r="G212" s="50">
        <v>26.943062832000003</v>
      </c>
      <c r="H212" s="50">
        <v>25.868060064000002</v>
      </c>
      <c r="I212" s="50">
        <v>25.115558126400003</v>
      </c>
      <c r="J212" s="50">
        <v>24.363056188800002</v>
      </c>
    </row>
    <row r="213" spans="1:10">
      <c r="A213" s="46" t="s">
        <v>294</v>
      </c>
      <c r="B213" s="6" t="s">
        <v>330</v>
      </c>
      <c r="C213" s="50">
        <v>0.16914672</v>
      </c>
      <c r="D213" s="50">
        <v>0.1842192</v>
      </c>
      <c r="E213" s="50">
        <v>0.16914672</v>
      </c>
      <c r="F213" s="50">
        <v>0.15407424</v>
      </c>
      <c r="G213" s="50">
        <v>0.14352350400000002</v>
      </c>
      <c r="H213" s="50">
        <v>0.13297276800000002</v>
      </c>
      <c r="I213" s="50">
        <v>0.12558725280000002</v>
      </c>
      <c r="J213" s="50">
        <v>0.11820173760000004</v>
      </c>
    </row>
    <row r="214" spans="1:10">
      <c r="A214" s="46" t="s">
        <v>295</v>
      </c>
      <c r="B214" s="6" t="s">
        <v>330</v>
      </c>
      <c r="C214" s="50">
        <v>0</v>
      </c>
      <c r="D214" s="50">
        <v>0</v>
      </c>
      <c r="E214" s="50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</row>
    <row r="215" spans="1:10">
      <c r="A215" s="46" t="s">
        <v>296</v>
      </c>
      <c r="B215" s="6" t="s">
        <v>330</v>
      </c>
      <c r="C215" s="50">
        <v>0</v>
      </c>
      <c r="D215" s="50">
        <v>0</v>
      </c>
      <c r="E215" s="50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</row>
    <row r="216" spans="1:10">
      <c r="A216" s="46" t="s">
        <v>297</v>
      </c>
      <c r="B216" s="6" t="s">
        <v>330</v>
      </c>
      <c r="C216" s="50">
        <v>5.0425819199999999</v>
      </c>
      <c r="D216" s="50">
        <v>5.4428400000000003</v>
      </c>
      <c r="E216" s="50">
        <v>5.1346915200000005</v>
      </c>
      <c r="F216" s="50">
        <v>4.8265430400000007</v>
      </c>
      <c r="G216" s="50">
        <v>4.6108391040000001</v>
      </c>
      <c r="H216" s="50">
        <v>4.3951351680000004</v>
      </c>
      <c r="I216" s="50">
        <v>4.2441424128000005</v>
      </c>
      <c r="J216" s="50">
        <v>4.0931496575999997</v>
      </c>
    </row>
    <row r="217" spans="1:10">
      <c r="A217" s="46" t="s">
        <v>298</v>
      </c>
      <c r="B217" s="6" t="s">
        <v>330</v>
      </c>
      <c r="C217" s="50">
        <v>30.203200000000002</v>
      </c>
      <c r="D217" s="50">
        <v>32.600597808037193</v>
      </c>
      <c r="E217" s="50">
        <v>30.754902424443703</v>
      </c>
      <c r="F217" s="50">
        <v>28.909207040850216</v>
      </c>
      <c r="G217" s="50">
        <v>27.617220272334777</v>
      </c>
      <c r="H217" s="50">
        <v>26.325233503819337</v>
      </c>
      <c r="I217" s="50">
        <v>25.420842765858524</v>
      </c>
      <c r="J217" s="50">
        <v>24.516452027897714</v>
      </c>
    </row>
    <row r="218" spans="1:10">
      <c r="A218" s="46" t="s">
        <v>299</v>
      </c>
      <c r="B218" s="6" t="s">
        <v>330</v>
      </c>
      <c r="C218" s="50">
        <v>30.084670080000002</v>
      </c>
      <c r="D218" s="50">
        <v>36.940973760000006</v>
      </c>
      <c r="E218" s="50">
        <v>34.303289760000006</v>
      </c>
      <c r="F218" s="50">
        <v>31.665605760000005</v>
      </c>
      <c r="G218" s="50">
        <v>29.819226960000005</v>
      </c>
      <c r="H218" s="50">
        <v>27.972848160000005</v>
      </c>
      <c r="I218" s="50">
        <v>26.680383000000003</v>
      </c>
      <c r="J218" s="50">
        <v>25.38791784</v>
      </c>
    </row>
    <row r="219" spans="1:10">
      <c r="A219" s="46" t="s">
        <v>300</v>
      </c>
      <c r="B219" s="6" t="s">
        <v>330</v>
      </c>
      <c r="C219" s="50">
        <v>10.16220096</v>
      </c>
      <c r="D219" s="50">
        <v>10.9024272</v>
      </c>
      <c r="E219" s="50">
        <v>10.19569536</v>
      </c>
      <c r="F219" s="50">
        <v>9.4889635200000004</v>
      </c>
      <c r="G219" s="50">
        <v>8.9942512319999999</v>
      </c>
      <c r="H219" s="50">
        <v>8.4995389439999993</v>
      </c>
      <c r="I219" s="50">
        <v>8.1532403424000002</v>
      </c>
      <c r="J219" s="50">
        <v>7.8069417407999993</v>
      </c>
    </row>
    <row r="220" spans="1:10">
      <c r="A220" s="46" t="s">
        <v>301</v>
      </c>
      <c r="B220" s="6" t="s">
        <v>330</v>
      </c>
      <c r="C220" s="50">
        <v>17.648199360000003</v>
      </c>
      <c r="D220" s="50">
        <v>20.17032768</v>
      </c>
      <c r="E220" s="50">
        <v>20.679442559999998</v>
      </c>
      <c r="F220" s="50">
        <v>21.18855744</v>
      </c>
      <c r="G220" s="50">
        <v>21.544937856000001</v>
      </c>
      <c r="H220" s="50">
        <v>21.901318272000005</v>
      </c>
      <c r="I220" s="50">
        <v>22.150784563200006</v>
      </c>
      <c r="J220" s="50">
        <v>22.400250854400003</v>
      </c>
    </row>
    <row r="221" spans="1:10">
      <c r="A221" s="46" t="s">
        <v>302</v>
      </c>
      <c r="B221" s="6" t="s">
        <v>330</v>
      </c>
      <c r="C221" s="50">
        <v>0</v>
      </c>
      <c r="D221" s="50">
        <v>0</v>
      </c>
      <c r="E221" s="50">
        <v>0</v>
      </c>
      <c r="F221" s="50">
        <v>0</v>
      </c>
      <c r="G221" s="50">
        <v>0</v>
      </c>
      <c r="H221" s="50">
        <v>0</v>
      </c>
      <c r="I221" s="50">
        <v>0</v>
      </c>
      <c r="J221" s="50">
        <v>0</v>
      </c>
    </row>
    <row r="222" spans="1:10">
      <c r="A222" s="46" t="s">
        <v>303</v>
      </c>
      <c r="B222" s="6" t="s">
        <v>330</v>
      </c>
      <c r="C222" s="50">
        <v>26.745278400000004</v>
      </c>
      <c r="D222" s="50">
        <v>32.382385920000004</v>
      </c>
      <c r="E222" s="50">
        <v>28.592494560000006</v>
      </c>
      <c r="F222" s="50">
        <v>24.802603200000004</v>
      </c>
      <c r="G222" s="50">
        <v>22.149679248000002</v>
      </c>
      <c r="H222" s="50">
        <v>19.496755296</v>
      </c>
      <c r="I222" s="50">
        <v>17.6397085296</v>
      </c>
      <c r="J222" s="50">
        <v>15.782661763200002</v>
      </c>
    </row>
    <row r="223" spans="1:10">
      <c r="A223" s="46" t="s">
        <v>304</v>
      </c>
      <c r="B223" s="6" t="s">
        <v>330</v>
      </c>
      <c r="C223" s="50">
        <v>1.6763947200000002</v>
      </c>
      <c r="D223" s="50">
        <v>1.8522403200000002</v>
      </c>
      <c r="E223" s="50">
        <v>1.9460246400000001</v>
      </c>
      <c r="F223" s="50">
        <v>2.0398089600000002</v>
      </c>
      <c r="G223" s="50">
        <v>2.1054579840000001</v>
      </c>
      <c r="H223" s="50">
        <v>2.1711070080000003</v>
      </c>
      <c r="I223" s="50">
        <v>2.2170613248000004</v>
      </c>
      <c r="J223" s="50">
        <v>2.2630156416000005</v>
      </c>
    </row>
    <row r="224" spans="1:10">
      <c r="A224" s="46" t="s">
        <v>305</v>
      </c>
      <c r="B224" s="6" t="s">
        <v>330</v>
      </c>
      <c r="C224" s="50">
        <v>5.4495388800000004</v>
      </c>
      <c r="D224" s="50">
        <v>6.5448057600000009</v>
      </c>
      <c r="E224" s="50">
        <v>6.6101198400000003</v>
      </c>
      <c r="F224" s="50">
        <v>6.6754339200000006</v>
      </c>
      <c r="G224" s="50">
        <v>6.7211537760000013</v>
      </c>
      <c r="H224" s="50">
        <v>6.7668736320000002</v>
      </c>
      <c r="I224" s="50">
        <v>6.7988775312000005</v>
      </c>
      <c r="J224" s="50">
        <v>6.8308814303999998</v>
      </c>
    </row>
    <row r="225" spans="1:10">
      <c r="A225" s="46" t="s">
        <v>306</v>
      </c>
      <c r="B225" s="6" t="s">
        <v>330</v>
      </c>
      <c r="C225" s="50">
        <v>0</v>
      </c>
      <c r="D225" s="50">
        <v>0</v>
      </c>
      <c r="E225" s="50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</row>
    <row r="226" spans="1:10">
      <c r="A226" s="46" t="s">
        <v>307</v>
      </c>
      <c r="B226" s="6" t="s">
        <v>330</v>
      </c>
      <c r="C226" s="50">
        <v>33.951598560000001</v>
      </c>
      <c r="D226" s="50">
        <v>35.751922560000004</v>
      </c>
      <c r="E226" s="50">
        <v>35.381809440000005</v>
      </c>
      <c r="F226" s="50">
        <v>35.011696319999999</v>
      </c>
      <c r="G226" s="50">
        <v>34.752617135999998</v>
      </c>
      <c r="H226" s="50">
        <v>34.493537952000004</v>
      </c>
      <c r="I226" s="50">
        <v>34.312182523200001</v>
      </c>
      <c r="J226" s="50">
        <v>34.130827094399997</v>
      </c>
    </row>
    <row r="227" spans="1:10">
      <c r="A227" s="17" t="s">
        <v>308</v>
      </c>
      <c r="B227" s="6" t="s">
        <v>330</v>
      </c>
      <c r="C227" s="50">
        <v>2.8101801599999998</v>
      </c>
      <c r="D227" s="50">
        <v>3.4566220800000003</v>
      </c>
      <c r="E227" s="50">
        <v>3.07143648</v>
      </c>
      <c r="F227" s="50">
        <v>2.6862508800000002</v>
      </c>
      <c r="G227" s="50">
        <v>2.4166209600000004</v>
      </c>
      <c r="H227" s="50">
        <v>2.1469910400000001</v>
      </c>
      <c r="I227" s="50">
        <v>1.958250096</v>
      </c>
      <c r="J227" s="50">
        <v>1.7695091519999999</v>
      </c>
    </row>
    <row r="228" spans="1:10">
      <c r="A228" s="17" t="s">
        <v>309</v>
      </c>
      <c r="B228" s="6" t="s">
        <v>330</v>
      </c>
      <c r="C228" s="50">
        <v>3.4415496000000001</v>
      </c>
      <c r="D228" s="50">
        <v>3.8820009600000005</v>
      </c>
      <c r="E228" s="50">
        <v>4.1097628800000008</v>
      </c>
      <c r="F228" s="50">
        <v>4.3375248000000006</v>
      </c>
      <c r="G228" s="50">
        <v>4.4969581440000006</v>
      </c>
      <c r="H228" s="50">
        <v>4.6563914880000006</v>
      </c>
      <c r="I228" s="50">
        <v>4.7679948288</v>
      </c>
      <c r="J228" s="50">
        <v>4.8795981696000004</v>
      </c>
    </row>
    <row r="229" spans="1:10">
      <c r="A229" s="17" t="s">
        <v>310</v>
      </c>
      <c r="B229" s="6" t="s">
        <v>330</v>
      </c>
      <c r="C229" s="50">
        <v>3.6157204800000002</v>
      </c>
      <c r="D229" s="50">
        <v>3.8987481600000002</v>
      </c>
      <c r="E229" s="50">
        <v>4.3576214400000008</v>
      </c>
      <c r="F229" s="50">
        <v>4.8164947200000006</v>
      </c>
      <c r="G229" s="50">
        <v>5.1377060160000001</v>
      </c>
      <c r="H229" s="50">
        <v>5.4589173119999996</v>
      </c>
      <c r="I229" s="50">
        <v>5.6837652191999997</v>
      </c>
      <c r="J229" s="50">
        <v>5.9086131264000006</v>
      </c>
    </row>
    <row r="230" spans="1:10">
      <c r="A230" s="17" t="s">
        <v>311</v>
      </c>
      <c r="B230" s="6" t="s">
        <v>330</v>
      </c>
      <c r="C230" s="50">
        <v>0</v>
      </c>
      <c r="D230" s="50">
        <v>0</v>
      </c>
      <c r="E230" s="50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</row>
    <row r="231" spans="1:10">
      <c r="A231" s="17" t="s">
        <v>312</v>
      </c>
      <c r="B231" s="6" t="s">
        <v>330</v>
      </c>
      <c r="C231" s="50">
        <v>0</v>
      </c>
      <c r="D231" s="50">
        <v>0</v>
      </c>
      <c r="E231" s="50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</row>
    <row r="232" spans="1:10">
      <c r="A232" s="17" t="s">
        <v>356</v>
      </c>
      <c r="B232" s="6" t="s">
        <v>330</v>
      </c>
      <c r="C232" s="50">
        <v>28.805184000000001</v>
      </c>
      <c r="D232" s="50">
        <v>30.332613230996895</v>
      </c>
      <c r="E232" s="50">
        <v>30.018602198391957</v>
      </c>
      <c r="F232" s="50">
        <v>29.704591165787011</v>
      </c>
      <c r="G232" s="50">
        <v>29.484783442963554</v>
      </c>
      <c r="H232" s="50">
        <v>29.264975720140093</v>
      </c>
      <c r="I232" s="50">
        <v>29.111110314163668</v>
      </c>
      <c r="J232" s="50">
        <v>28.957244908187246</v>
      </c>
    </row>
    <row r="233" spans="1:10">
      <c r="A233" s="17" t="s">
        <v>357</v>
      </c>
      <c r="B233" s="6" t="s">
        <v>330</v>
      </c>
      <c r="C233" s="50">
        <v>3.8180313599999982</v>
      </c>
      <c r="D233" s="50">
        <v>4.0204870257623426</v>
      </c>
      <c r="E233" s="50">
        <v>3.9788659074986423</v>
      </c>
      <c r="F233" s="50">
        <v>3.9372447892349416</v>
      </c>
      <c r="G233" s="50">
        <v>3.9081100064503516</v>
      </c>
      <c r="H233" s="50">
        <v>3.8789752236657611</v>
      </c>
      <c r="I233" s="50">
        <v>3.8585808757165472</v>
      </c>
      <c r="J233" s="50">
        <v>3.8381865277673342</v>
      </c>
    </row>
    <row r="234" spans="1:10">
      <c r="A234" s="46" t="s">
        <v>277</v>
      </c>
      <c r="B234" s="6" t="s">
        <v>335</v>
      </c>
      <c r="C234" s="50">
        <v>0</v>
      </c>
      <c r="D234" s="50">
        <v>0</v>
      </c>
      <c r="E234" s="50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</row>
    <row r="235" spans="1:10">
      <c r="A235" s="46" t="s">
        <v>278</v>
      </c>
      <c r="B235" s="6" t="s">
        <v>335</v>
      </c>
      <c r="C235" s="50">
        <v>1.5279726600000001</v>
      </c>
      <c r="D235" s="50">
        <v>1.6939792800000002</v>
      </c>
      <c r="E235" s="50">
        <v>1.6117086599999999</v>
      </c>
      <c r="F235" s="50">
        <v>1.5294380400000001</v>
      </c>
      <c r="G235" s="50">
        <v>1.471848606</v>
      </c>
      <c r="H235" s="50">
        <v>1.4142591720000002</v>
      </c>
      <c r="I235" s="50">
        <v>1.3739465682000003</v>
      </c>
      <c r="J235" s="50">
        <v>1.3336339644000001</v>
      </c>
    </row>
    <row r="236" spans="1:10">
      <c r="A236" s="46" t="s">
        <v>279</v>
      </c>
      <c r="B236" s="6" t="s">
        <v>335</v>
      </c>
      <c r="C236" s="50">
        <v>0</v>
      </c>
      <c r="D236" s="50">
        <v>0</v>
      </c>
      <c r="E236" s="50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</row>
    <row r="237" spans="1:10">
      <c r="A237" s="46" t="s">
        <v>280</v>
      </c>
      <c r="B237" s="6" t="s">
        <v>335</v>
      </c>
      <c r="C237" s="50">
        <v>0.93198168000000015</v>
      </c>
      <c r="D237" s="50">
        <v>0.96715079999999998</v>
      </c>
      <c r="E237" s="50">
        <v>0.96484806000000012</v>
      </c>
      <c r="F237" s="50">
        <v>0.96254532000000015</v>
      </c>
      <c r="G237" s="50">
        <v>0.96093340200000021</v>
      </c>
      <c r="H237" s="50">
        <v>0.95932148400000017</v>
      </c>
      <c r="I237" s="50">
        <v>0.95819314140000023</v>
      </c>
      <c r="J237" s="50">
        <v>0.95706479880000017</v>
      </c>
    </row>
    <row r="238" spans="1:10">
      <c r="A238" s="46" t="s">
        <v>281</v>
      </c>
      <c r="B238" s="6" t="s">
        <v>335</v>
      </c>
      <c r="C238" s="50">
        <v>1.0232539200000002</v>
      </c>
      <c r="D238" s="50">
        <v>1.0994536800000001</v>
      </c>
      <c r="E238" s="50">
        <v>1.1268772200000001</v>
      </c>
      <c r="F238" s="50">
        <v>1.1543007599999999</v>
      </c>
      <c r="G238" s="50">
        <v>1.1734972379999999</v>
      </c>
      <c r="H238" s="50">
        <v>1.192693716</v>
      </c>
      <c r="I238" s="50">
        <v>1.2061312506000001</v>
      </c>
      <c r="J238" s="50">
        <v>1.2195687852000001</v>
      </c>
    </row>
    <row r="239" spans="1:10">
      <c r="A239" s="46" t="s">
        <v>282</v>
      </c>
      <c r="B239" s="6" t="s">
        <v>335</v>
      </c>
      <c r="C239" s="50">
        <v>1.5279726600000001</v>
      </c>
      <c r="D239" s="50">
        <v>1.6939792800000002</v>
      </c>
      <c r="E239" s="50">
        <v>1.6117086599999999</v>
      </c>
      <c r="F239" s="50">
        <v>1.5294380400000001</v>
      </c>
      <c r="G239" s="50">
        <v>1.471848606</v>
      </c>
      <c r="H239" s="50">
        <v>1.4142591720000002</v>
      </c>
      <c r="I239" s="50">
        <v>1.3739465682000003</v>
      </c>
      <c r="J239" s="50">
        <v>1.3336339644000001</v>
      </c>
    </row>
    <row r="240" spans="1:10">
      <c r="A240" s="46" t="s">
        <v>283</v>
      </c>
      <c r="B240" s="6" t="s">
        <v>335</v>
      </c>
      <c r="C240" s="50">
        <v>1.4438179800000002</v>
      </c>
      <c r="D240" s="50">
        <v>1.5156216</v>
      </c>
      <c r="E240" s="50">
        <v>1.5491160000000002</v>
      </c>
      <c r="F240" s="50">
        <v>1.5826104000000001</v>
      </c>
      <c r="G240" s="50">
        <v>1.6060564800000001</v>
      </c>
      <c r="H240" s="50">
        <v>1.6295025599999999</v>
      </c>
      <c r="I240" s="50">
        <v>1.6459148160000001</v>
      </c>
      <c r="J240" s="50">
        <v>1.6623270720000003</v>
      </c>
    </row>
    <row r="241" spans="1:10">
      <c r="A241" s="46" t="s">
        <v>284</v>
      </c>
      <c r="B241" s="6" t="s">
        <v>335</v>
      </c>
      <c r="C241" s="50">
        <v>7.1688483000000005</v>
      </c>
      <c r="D241" s="50">
        <v>8.1098315999999997</v>
      </c>
      <c r="E241" s="50">
        <v>7.6959664199999995</v>
      </c>
      <c r="F241" s="50">
        <v>7.2821012400000011</v>
      </c>
      <c r="G241" s="50">
        <v>6.9923956140000012</v>
      </c>
      <c r="H241" s="50">
        <v>6.7026899880000013</v>
      </c>
      <c r="I241" s="50">
        <v>6.4998960498000011</v>
      </c>
      <c r="J241" s="50">
        <v>6.297102111600001</v>
      </c>
    </row>
    <row r="242" spans="1:10">
      <c r="A242" s="46" t="s">
        <v>285</v>
      </c>
      <c r="B242" s="6" t="s">
        <v>335</v>
      </c>
      <c r="C242" s="50">
        <v>0.71845488000000002</v>
      </c>
      <c r="D242" s="50">
        <v>0.87922800000000012</v>
      </c>
      <c r="E242" s="50">
        <v>0.85515390000000002</v>
      </c>
      <c r="F242" s="50">
        <v>0.83107980000000004</v>
      </c>
      <c r="G242" s="50">
        <v>0.81422793000000004</v>
      </c>
      <c r="H242" s="50">
        <v>0.79737606000000005</v>
      </c>
      <c r="I242" s="50">
        <v>0.7855797510000001</v>
      </c>
      <c r="J242" s="50">
        <v>0.77378344200000015</v>
      </c>
    </row>
    <row r="243" spans="1:10">
      <c r="A243" s="46" t="s">
        <v>286</v>
      </c>
      <c r="B243" s="6" t="s">
        <v>335</v>
      </c>
      <c r="C243" s="50">
        <v>4.6823077800000004</v>
      </c>
      <c r="D243" s="50">
        <v>5.0827752000000004</v>
      </c>
      <c r="E243" s="50">
        <v>4.9603113000000008</v>
      </c>
      <c r="F243" s="50">
        <v>4.8378474000000002</v>
      </c>
      <c r="G243" s="50">
        <v>4.7521226700000003</v>
      </c>
      <c r="H243" s="50">
        <v>4.6663979400000004</v>
      </c>
      <c r="I243" s="50">
        <v>4.6063906290000007</v>
      </c>
      <c r="J243" s="50">
        <v>4.5463833180000011</v>
      </c>
    </row>
    <row r="244" spans="1:10">
      <c r="A244" s="46" t="s">
        <v>287</v>
      </c>
      <c r="B244" s="6" t="s">
        <v>335</v>
      </c>
      <c r="C244" s="50">
        <v>2.9544154200000001</v>
      </c>
      <c r="D244" s="50">
        <v>3.6441907200000005</v>
      </c>
      <c r="E244" s="50">
        <v>3.2227893000000005</v>
      </c>
      <c r="F244" s="50">
        <v>2.8013878800000005</v>
      </c>
      <c r="G244" s="50">
        <v>2.5064068860000002</v>
      </c>
      <c r="H244" s="50">
        <v>2.2114258920000003</v>
      </c>
      <c r="I244" s="50">
        <v>2.0049391962000001</v>
      </c>
      <c r="J244" s="50">
        <v>1.7984525004</v>
      </c>
    </row>
    <row r="245" spans="1:10">
      <c r="A245" s="46" t="s">
        <v>288</v>
      </c>
      <c r="B245" s="6" t="s">
        <v>335</v>
      </c>
      <c r="C245" s="50">
        <v>6.6344032800000008</v>
      </c>
      <c r="D245" s="50">
        <v>8.2848398400000001</v>
      </c>
      <c r="E245" s="50">
        <v>8.0177220000000009</v>
      </c>
      <c r="F245" s="50">
        <v>7.7506041600000009</v>
      </c>
      <c r="G245" s="50">
        <v>7.5636216720000009</v>
      </c>
      <c r="H245" s="50">
        <v>7.376639184000001</v>
      </c>
      <c r="I245" s="50">
        <v>7.2457514423999996</v>
      </c>
      <c r="J245" s="50">
        <v>7.1148637007999991</v>
      </c>
    </row>
    <row r="246" spans="1:10">
      <c r="A246" s="46" t="s">
        <v>289</v>
      </c>
      <c r="B246" s="6" t="s">
        <v>335</v>
      </c>
      <c r="C246" s="50">
        <v>0.96149861999999997</v>
      </c>
      <c r="D246" s="50">
        <v>0.93909924</v>
      </c>
      <c r="E246" s="50">
        <v>1.03895442</v>
      </c>
      <c r="F246" s="50">
        <v>1.1388096000000001</v>
      </c>
      <c r="G246" s="50">
        <v>1.2087082259999999</v>
      </c>
      <c r="H246" s="50">
        <v>1.278606852</v>
      </c>
      <c r="I246" s="50">
        <v>1.3275358901999998</v>
      </c>
      <c r="J246" s="50">
        <v>1.3764649284000001</v>
      </c>
    </row>
    <row r="247" spans="1:10">
      <c r="A247" s="46" t="s">
        <v>290</v>
      </c>
      <c r="B247" s="6" t="s">
        <v>335</v>
      </c>
      <c r="C247" s="50">
        <v>0.54600000000000004</v>
      </c>
      <c r="D247" s="50">
        <v>0.6681818181818181</v>
      </c>
      <c r="E247" s="50">
        <v>0.64988636363636343</v>
      </c>
      <c r="F247" s="50">
        <v>0.63159090909090898</v>
      </c>
      <c r="G247" s="50">
        <v>0.6187840909090907</v>
      </c>
      <c r="H247" s="50">
        <v>0.60597727272727253</v>
      </c>
      <c r="I247" s="50">
        <v>0.59701249999999983</v>
      </c>
      <c r="J247" s="50">
        <v>0.58804772727272725</v>
      </c>
    </row>
    <row r="248" spans="1:10">
      <c r="A248" s="46" t="s">
        <v>291</v>
      </c>
      <c r="B248" s="6" t="s">
        <v>335</v>
      </c>
      <c r="C248" s="50">
        <v>1.50850404</v>
      </c>
      <c r="D248" s="50">
        <v>1.86145128</v>
      </c>
      <c r="E248" s="50">
        <v>1.8338184000000002</v>
      </c>
      <c r="F248" s="50">
        <v>1.8061855200000003</v>
      </c>
      <c r="G248" s="50">
        <v>1.7868425040000002</v>
      </c>
      <c r="H248" s="50">
        <v>1.7674994880000003</v>
      </c>
      <c r="I248" s="50">
        <v>1.7539593768000004</v>
      </c>
      <c r="J248" s="50">
        <v>1.7404192656000006</v>
      </c>
    </row>
    <row r="249" spans="1:10">
      <c r="A249" s="46" t="s">
        <v>292</v>
      </c>
      <c r="B249" s="6" t="s">
        <v>335</v>
      </c>
      <c r="C249" s="50">
        <v>0.31715010000000005</v>
      </c>
      <c r="D249" s="50">
        <v>0.35378460000000006</v>
      </c>
      <c r="E249" s="50">
        <v>0.35043516000000002</v>
      </c>
      <c r="F249" s="50">
        <v>0.34708572000000004</v>
      </c>
      <c r="G249" s="50">
        <v>0.34474111200000002</v>
      </c>
      <c r="H249" s="50">
        <v>0.34239650400000005</v>
      </c>
      <c r="I249" s="50">
        <v>0.34075527840000003</v>
      </c>
      <c r="J249" s="50">
        <v>0.33911405279999995</v>
      </c>
    </row>
    <row r="250" spans="1:10">
      <c r="A250" s="46" t="s">
        <v>293</v>
      </c>
      <c r="B250" s="6" t="s">
        <v>335</v>
      </c>
      <c r="C250" s="50">
        <v>3.5943678000000001</v>
      </c>
      <c r="D250" s="50">
        <v>3.8861877600000003</v>
      </c>
      <c r="E250" s="50">
        <v>3.6942229800000002</v>
      </c>
      <c r="F250" s="50">
        <v>3.5022582</v>
      </c>
      <c r="G250" s="50">
        <v>3.3678828540000003</v>
      </c>
      <c r="H250" s="50">
        <v>3.2335075080000002</v>
      </c>
      <c r="I250" s="50">
        <v>3.1394447658000004</v>
      </c>
      <c r="J250" s="50">
        <v>3.0453820236000002</v>
      </c>
    </row>
    <row r="251" spans="1:10">
      <c r="A251" s="46" t="s">
        <v>294</v>
      </c>
      <c r="B251" s="6" t="s">
        <v>335</v>
      </c>
      <c r="C251" s="50">
        <v>2.114334E-2</v>
      </c>
      <c r="D251" s="50">
        <v>2.30274E-2</v>
      </c>
      <c r="E251" s="50">
        <v>2.114334E-2</v>
      </c>
      <c r="F251" s="50">
        <v>1.925928E-2</v>
      </c>
      <c r="G251" s="50">
        <v>1.7940438000000003E-2</v>
      </c>
      <c r="H251" s="50">
        <v>1.6621596000000002E-2</v>
      </c>
      <c r="I251" s="50">
        <v>1.5698406600000003E-2</v>
      </c>
      <c r="J251" s="50">
        <v>1.4775217200000005E-2</v>
      </c>
    </row>
    <row r="252" spans="1:10">
      <c r="A252" s="46" t="s">
        <v>295</v>
      </c>
      <c r="B252" s="6" t="s">
        <v>335</v>
      </c>
      <c r="C252" s="50">
        <v>0</v>
      </c>
      <c r="D252" s="50">
        <v>0</v>
      </c>
      <c r="E252" s="50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</row>
    <row r="253" spans="1:10">
      <c r="A253" s="46" t="s">
        <v>296</v>
      </c>
      <c r="B253" s="6" t="s">
        <v>335</v>
      </c>
      <c r="C253" s="50">
        <v>0</v>
      </c>
      <c r="D253" s="50">
        <v>0</v>
      </c>
      <c r="E253" s="50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</row>
    <row r="254" spans="1:10">
      <c r="A254" s="46" t="s">
        <v>297</v>
      </c>
      <c r="B254" s="6" t="s">
        <v>335</v>
      </c>
      <c r="C254" s="50">
        <v>0.63032273999999999</v>
      </c>
      <c r="D254" s="50">
        <v>0.68035500000000004</v>
      </c>
      <c r="E254" s="50">
        <v>0.64183644000000006</v>
      </c>
      <c r="F254" s="50">
        <v>0.60331788000000008</v>
      </c>
      <c r="G254" s="50">
        <v>0.57635488800000001</v>
      </c>
      <c r="H254" s="50">
        <v>0.54939189600000005</v>
      </c>
      <c r="I254" s="50">
        <v>0.53051780160000006</v>
      </c>
      <c r="J254" s="50">
        <v>0.51164370719999996</v>
      </c>
    </row>
    <row r="255" spans="1:10">
      <c r="A255" s="46" t="s">
        <v>298</v>
      </c>
      <c r="B255" s="6" t="s">
        <v>335</v>
      </c>
      <c r="C255" s="50">
        <v>3.7754000000000003</v>
      </c>
      <c r="D255" s="50">
        <v>4.0750747260046492</v>
      </c>
      <c r="E255" s="50">
        <v>3.8443628030554629</v>
      </c>
      <c r="F255" s="50">
        <v>3.613650880106277</v>
      </c>
      <c r="G255" s="50">
        <v>3.4521525340418471</v>
      </c>
      <c r="H255" s="50">
        <v>3.2906541879774172</v>
      </c>
      <c r="I255" s="50">
        <v>3.1776053457323155</v>
      </c>
      <c r="J255" s="50">
        <v>3.0645565034872142</v>
      </c>
    </row>
    <row r="256" spans="1:10">
      <c r="A256" s="46" t="s">
        <v>299</v>
      </c>
      <c r="B256" s="6" t="s">
        <v>335</v>
      </c>
      <c r="C256" s="50">
        <v>3.7605837600000003</v>
      </c>
      <c r="D256" s="50">
        <v>4.6176217200000007</v>
      </c>
      <c r="E256" s="50">
        <v>4.2879112200000007</v>
      </c>
      <c r="F256" s="50">
        <v>3.9582007200000007</v>
      </c>
      <c r="G256" s="50">
        <v>3.7274033700000007</v>
      </c>
      <c r="H256" s="50">
        <v>3.4966060200000006</v>
      </c>
      <c r="I256" s="50">
        <v>3.3350478750000003</v>
      </c>
      <c r="J256" s="50">
        <v>3.17348973</v>
      </c>
    </row>
    <row r="257" spans="1:10">
      <c r="A257" s="46" t="s">
        <v>300</v>
      </c>
      <c r="B257" s="6" t="s">
        <v>335</v>
      </c>
      <c r="C257" s="50">
        <v>1.27027512</v>
      </c>
      <c r="D257" s="50">
        <v>1.3628034</v>
      </c>
      <c r="E257" s="50">
        <v>1.27446192</v>
      </c>
      <c r="F257" s="50">
        <v>1.1861204400000001</v>
      </c>
      <c r="G257" s="50">
        <v>1.124281404</v>
      </c>
      <c r="H257" s="50">
        <v>1.0624423679999999</v>
      </c>
      <c r="I257" s="50">
        <v>1.0191550428</v>
      </c>
      <c r="J257" s="50">
        <v>0.97586771759999991</v>
      </c>
    </row>
    <row r="258" spans="1:10">
      <c r="A258" s="46" t="s">
        <v>301</v>
      </c>
      <c r="B258" s="6" t="s">
        <v>335</v>
      </c>
      <c r="C258" s="50">
        <v>2.2060249200000004</v>
      </c>
      <c r="D258" s="50">
        <v>2.52129096</v>
      </c>
      <c r="E258" s="50">
        <v>2.5849303199999998</v>
      </c>
      <c r="F258" s="50">
        <v>2.64856968</v>
      </c>
      <c r="G258" s="50">
        <v>2.6931172320000001</v>
      </c>
      <c r="H258" s="50">
        <v>2.7376647840000006</v>
      </c>
      <c r="I258" s="50">
        <v>2.7688480704000007</v>
      </c>
      <c r="J258" s="50">
        <v>2.8000313568000004</v>
      </c>
    </row>
    <row r="259" spans="1:10">
      <c r="A259" s="46" t="s">
        <v>302</v>
      </c>
      <c r="B259" s="6" t="s">
        <v>335</v>
      </c>
      <c r="C259" s="50">
        <v>0</v>
      </c>
      <c r="D259" s="50">
        <v>0</v>
      </c>
      <c r="E259" s="50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</row>
    <row r="260" spans="1:10">
      <c r="A260" s="46" t="s">
        <v>303</v>
      </c>
      <c r="B260" s="6" t="s">
        <v>335</v>
      </c>
      <c r="C260" s="50">
        <v>3.3431598000000005</v>
      </c>
      <c r="D260" s="50">
        <v>4.0477982400000005</v>
      </c>
      <c r="E260" s="50">
        <v>3.5740618200000007</v>
      </c>
      <c r="F260" s="50">
        <v>3.1003254000000005</v>
      </c>
      <c r="G260" s="50">
        <v>2.7687099060000002</v>
      </c>
      <c r="H260" s="50">
        <v>2.437094412</v>
      </c>
      <c r="I260" s="50">
        <v>2.2049635662</v>
      </c>
      <c r="J260" s="50">
        <v>1.9728327204000002</v>
      </c>
    </row>
    <row r="261" spans="1:10">
      <c r="A261" s="46" t="s">
        <v>304</v>
      </c>
      <c r="B261" s="6" t="s">
        <v>335</v>
      </c>
      <c r="C261" s="50">
        <v>0.20954934000000003</v>
      </c>
      <c r="D261" s="50">
        <v>0.23153004000000002</v>
      </c>
      <c r="E261" s="50">
        <v>0.24325308000000001</v>
      </c>
      <c r="F261" s="50">
        <v>0.25497612000000003</v>
      </c>
      <c r="G261" s="50">
        <v>0.26318224800000001</v>
      </c>
      <c r="H261" s="50">
        <v>0.27138837600000004</v>
      </c>
      <c r="I261" s="50">
        <v>0.27713266560000005</v>
      </c>
      <c r="J261" s="50">
        <v>0.28287695520000006</v>
      </c>
    </row>
    <row r="262" spans="1:10">
      <c r="A262" s="46" t="s">
        <v>305</v>
      </c>
      <c r="B262" s="6" t="s">
        <v>335</v>
      </c>
      <c r="C262" s="50">
        <v>0.68119236000000005</v>
      </c>
      <c r="D262" s="50">
        <v>0.81810072000000011</v>
      </c>
      <c r="E262" s="50">
        <v>0.82626498000000004</v>
      </c>
      <c r="F262" s="50">
        <v>0.83442924000000007</v>
      </c>
      <c r="G262" s="50">
        <v>0.84014422200000016</v>
      </c>
      <c r="H262" s="50">
        <v>0.84585920400000003</v>
      </c>
      <c r="I262" s="50">
        <v>0.84985969140000006</v>
      </c>
      <c r="J262" s="50">
        <v>0.85386017879999998</v>
      </c>
    </row>
    <row r="263" spans="1:10">
      <c r="A263" s="46" t="s">
        <v>306</v>
      </c>
      <c r="B263" s="6" t="s">
        <v>335</v>
      </c>
      <c r="C263" s="50">
        <v>0</v>
      </c>
      <c r="D263" s="50">
        <v>0</v>
      </c>
      <c r="E263" s="50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</row>
    <row r="264" spans="1:10">
      <c r="A264" s="46" t="s">
        <v>307</v>
      </c>
      <c r="B264" s="6" t="s">
        <v>335</v>
      </c>
      <c r="C264" s="50">
        <v>4.2439498200000001</v>
      </c>
      <c r="D264" s="50">
        <v>4.4689903200000005</v>
      </c>
      <c r="E264" s="50">
        <v>4.4227261800000006</v>
      </c>
      <c r="F264" s="50">
        <v>4.3764620399999998</v>
      </c>
      <c r="G264" s="50">
        <v>4.3440771419999997</v>
      </c>
      <c r="H264" s="50">
        <v>4.3116922440000005</v>
      </c>
      <c r="I264" s="50">
        <v>4.2890228154000001</v>
      </c>
      <c r="J264" s="50">
        <v>4.2663533867999996</v>
      </c>
    </row>
    <row r="265" spans="1:10">
      <c r="A265" s="17" t="s">
        <v>308</v>
      </c>
      <c r="B265" s="6" t="s">
        <v>335</v>
      </c>
      <c r="C265" s="50">
        <v>0.35127251999999998</v>
      </c>
      <c r="D265" s="50">
        <v>0.43207776000000003</v>
      </c>
      <c r="E265" s="50">
        <v>0.38392956</v>
      </c>
      <c r="F265" s="50">
        <v>0.33578136000000003</v>
      </c>
      <c r="G265" s="50">
        <v>0.30207762000000005</v>
      </c>
      <c r="H265" s="50">
        <v>0.26837388000000001</v>
      </c>
      <c r="I265" s="50">
        <v>0.244781262</v>
      </c>
      <c r="J265" s="50">
        <v>0.22118864399999999</v>
      </c>
    </row>
    <row r="266" spans="1:10">
      <c r="A266" s="17" t="s">
        <v>309</v>
      </c>
      <c r="B266" s="6" t="s">
        <v>335</v>
      </c>
      <c r="C266" s="50">
        <v>0.43019370000000001</v>
      </c>
      <c r="D266" s="50">
        <v>0.48525012000000006</v>
      </c>
      <c r="E266" s="50">
        <v>0.5137203600000001</v>
      </c>
      <c r="F266" s="50">
        <v>0.54219060000000008</v>
      </c>
      <c r="G266" s="50">
        <v>0.56211976800000008</v>
      </c>
      <c r="H266" s="50">
        <v>0.58204893600000007</v>
      </c>
      <c r="I266" s="50">
        <v>0.5959993536</v>
      </c>
      <c r="J266" s="50">
        <v>0.60994977120000005</v>
      </c>
    </row>
    <row r="267" spans="1:10">
      <c r="A267" s="17" t="s">
        <v>310</v>
      </c>
      <c r="B267" s="6" t="s">
        <v>335</v>
      </c>
      <c r="C267" s="50">
        <v>0.45196506000000003</v>
      </c>
      <c r="D267" s="50">
        <v>0.48734352000000003</v>
      </c>
      <c r="E267" s="50">
        <v>0.54470268000000011</v>
      </c>
      <c r="F267" s="50">
        <v>0.60206184000000007</v>
      </c>
      <c r="G267" s="50">
        <v>0.64221325200000001</v>
      </c>
      <c r="H267" s="50">
        <v>0.68236466399999995</v>
      </c>
      <c r="I267" s="50">
        <v>0.71047065239999996</v>
      </c>
      <c r="J267" s="50">
        <v>0.73857664080000007</v>
      </c>
    </row>
    <row r="268" spans="1:10">
      <c r="A268" s="17" t="s">
        <v>311</v>
      </c>
      <c r="B268" s="6" t="s">
        <v>335</v>
      </c>
      <c r="C268" s="50">
        <v>0</v>
      </c>
      <c r="D268" s="50">
        <v>0</v>
      </c>
      <c r="E268" s="50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</row>
    <row r="269" spans="1:10">
      <c r="A269" s="17" t="s">
        <v>312</v>
      </c>
      <c r="B269" s="6" t="s">
        <v>335</v>
      </c>
      <c r="C269" s="50">
        <v>0</v>
      </c>
      <c r="D269" s="50">
        <v>0</v>
      </c>
      <c r="E269" s="50">
        <v>0</v>
      </c>
      <c r="F269" s="50">
        <v>0</v>
      </c>
      <c r="G269" s="50">
        <v>0</v>
      </c>
      <c r="H269" s="50">
        <v>0</v>
      </c>
      <c r="I269" s="50">
        <v>0</v>
      </c>
      <c r="J269" s="50">
        <v>0</v>
      </c>
    </row>
    <row r="270" spans="1:10">
      <c r="A270" s="6" t="s">
        <v>356</v>
      </c>
      <c r="B270" s="6" t="s">
        <v>335</v>
      </c>
      <c r="C270" s="50">
        <v>3.6006480000000001</v>
      </c>
      <c r="D270" s="50">
        <v>3.7915766538746118</v>
      </c>
      <c r="E270" s="50">
        <v>3.7523252747989946</v>
      </c>
      <c r="F270" s="50">
        <v>3.7130738957233764</v>
      </c>
      <c r="G270" s="50">
        <v>3.6855979303704443</v>
      </c>
      <c r="H270" s="50">
        <v>3.6581219650175116</v>
      </c>
      <c r="I270" s="50">
        <v>3.6388887892704584</v>
      </c>
      <c r="J270" s="50">
        <v>3.6196556135234057</v>
      </c>
    </row>
    <row r="271" spans="1:10">
      <c r="A271" s="6" t="s">
        <v>357</v>
      </c>
      <c r="B271" s="6" t="s">
        <v>335</v>
      </c>
      <c r="C271" s="50">
        <v>0.47725391999999978</v>
      </c>
      <c r="D271" s="50">
        <v>0.50256087822029283</v>
      </c>
      <c r="E271" s="50">
        <v>0.49735823843733029</v>
      </c>
      <c r="F271" s="50">
        <v>0.4921555986543677</v>
      </c>
      <c r="G271" s="50">
        <v>0.48851375080629394</v>
      </c>
      <c r="H271" s="50">
        <v>0.48487190295822014</v>
      </c>
      <c r="I271" s="50">
        <v>0.4823226094645684</v>
      </c>
      <c r="J271" s="50">
        <v>0.47977331597091677</v>
      </c>
    </row>
  </sheetData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24"/>
  <dimension ref="A1:V775"/>
  <sheetViews>
    <sheetView topLeftCell="A741" workbookViewId="0">
      <selection activeCell="A775" sqref="A775:J775"/>
    </sheetView>
  </sheetViews>
  <sheetFormatPr defaultColWidth="11.42578125" defaultRowHeight="15"/>
  <cols>
    <col min="1" max="1" width="21.42578125" style="1" customWidth="1"/>
    <col min="2" max="2" width="24.42578125" style="1" customWidth="1"/>
    <col min="3" max="3" width="18.5703125" style="38" bestFit="1" customWidth="1"/>
    <col min="4" max="4" width="16.42578125" style="38" customWidth="1"/>
    <col min="5" max="10" width="18.5703125" style="38" bestFit="1" customWidth="1"/>
    <col min="11" max="12" width="11.42578125" style="1"/>
    <col min="13" max="15" width="12.140625" style="1" bestFit="1" customWidth="1"/>
    <col min="16" max="16384" width="11.42578125" style="1"/>
  </cols>
  <sheetData>
    <row r="1" spans="1:12">
      <c r="A1" s="1" t="s">
        <v>444</v>
      </c>
    </row>
    <row r="2" spans="1:12">
      <c r="A2" s="1" t="s">
        <v>12</v>
      </c>
    </row>
    <row r="3" spans="1:12">
      <c r="A3" s="1" t="s">
        <v>399</v>
      </c>
    </row>
    <row r="5" spans="1:12">
      <c r="A5" s="1" t="s">
        <v>20</v>
      </c>
      <c r="B5" s="1" t="s">
        <v>26</v>
      </c>
      <c r="C5" s="38">
        <v>2018</v>
      </c>
      <c r="D5" s="38">
        <v>2020</v>
      </c>
      <c r="E5" s="38">
        <v>2025</v>
      </c>
      <c r="F5" s="38">
        <v>2030</v>
      </c>
      <c r="G5" s="38">
        <v>2035</v>
      </c>
      <c r="H5" s="38">
        <v>2040</v>
      </c>
      <c r="I5" s="38">
        <v>2045</v>
      </c>
      <c r="J5" s="38">
        <v>2050</v>
      </c>
      <c r="L5" s="39"/>
    </row>
    <row r="6" spans="1:12">
      <c r="A6" s="40" t="s">
        <v>284</v>
      </c>
      <c r="B6" s="1" t="s">
        <v>270</v>
      </c>
      <c r="C6" s="6">
        <v>999999</v>
      </c>
      <c r="D6" s="6">
        <v>999999</v>
      </c>
      <c r="E6" s="6">
        <v>999999</v>
      </c>
      <c r="F6" s="6">
        <v>999999</v>
      </c>
      <c r="G6" s="6">
        <v>999999</v>
      </c>
      <c r="H6" s="6">
        <v>999999</v>
      </c>
      <c r="I6" s="6">
        <v>999999</v>
      </c>
      <c r="J6" s="6">
        <v>999999</v>
      </c>
    </row>
    <row r="7" spans="1:12">
      <c r="A7" s="40" t="s">
        <v>284</v>
      </c>
      <c r="B7" s="1" t="s">
        <v>200</v>
      </c>
      <c r="C7" s="6">
        <v>999999</v>
      </c>
      <c r="D7" s="6">
        <v>999999</v>
      </c>
      <c r="E7" s="6">
        <v>999999</v>
      </c>
      <c r="F7" s="6">
        <v>999999</v>
      </c>
      <c r="G7" s="6">
        <v>999999</v>
      </c>
      <c r="H7" s="6">
        <v>999999</v>
      </c>
      <c r="I7" s="6">
        <v>999999</v>
      </c>
      <c r="J7" s="6">
        <v>999999</v>
      </c>
    </row>
    <row r="8" spans="1:12">
      <c r="A8" s="1" t="s">
        <v>277</v>
      </c>
      <c r="B8" s="41" t="s">
        <v>139</v>
      </c>
      <c r="C8" s="41">
        <v>1.375</v>
      </c>
      <c r="D8" s="41">
        <v>1.375</v>
      </c>
      <c r="E8" s="41">
        <v>1.375</v>
      </c>
      <c r="F8" s="41">
        <v>1.375</v>
      </c>
      <c r="G8" s="41">
        <v>1.375</v>
      </c>
      <c r="H8" s="41">
        <v>1.375</v>
      </c>
      <c r="I8" s="41">
        <v>1.375</v>
      </c>
      <c r="J8" s="41">
        <v>1.375</v>
      </c>
    </row>
    <row r="9" spans="1:12">
      <c r="A9" s="1" t="s">
        <v>278</v>
      </c>
      <c r="B9" s="41" t="s">
        <v>139</v>
      </c>
      <c r="C9" s="41">
        <v>13.25</v>
      </c>
      <c r="D9" s="41">
        <v>13.25</v>
      </c>
      <c r="E9" s="41">
        <v>13.25</v>
      </c>
      <c r="F9" s="41">
        <v>13.25</v>
      </c>
      <c r="G9" s="41">
        <v>13.25</v>
      </c>
      <c r="H9" s="41">
        <v>13.25</v>
      </c>
      <c r="I9" s="41">
        <v>13.25</v>
      </c>
      <c r="J9" s="41">
        <v>13.25</v>
      </c>
    </row>
    <row r="10" spans="1:12">
      <c r="A10" s="1" t="s">
        <v>279</v>
      </c>
      <c r="B10" s="41" t="s">
        <v>139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</row>
    <row r="11" spans="1:12">
      <c r="A11" s="1" t="s">
        <v>280</v>
      </c>
      <c r="B11" s="41" t="s">
        <v>139</v>
      </c>
      <c r="C11" s="41">
        <v>0.625</v>
      </c>
      <c r="D11" s="41">
        <v>0.625</v>
      </c>
      <c r="E11" s="41">
        <v>0.625</v>
      </c>
      <c r="F11" s="41">
        <v>0.625</v>
      </c>
      <c r="G11" s="41">
        <v>0.625</v>
      </c>
      <c r="H11" s="41">
        <v>0.625</v>
      </c>
      <c r="I11" s="41">
        <v>0.625</v>
      </c>
      <c r="J11" s="41">
        <v>0.625</v>
      </c>
    </row>
    <row r="12" spans="1:12">
      <c r="A12" s="1" t="s">
        <v>281</v>
      </c>
      <c r="B12" s="41" t="s">
        <v>139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</row>
    <row r="13" spans="1:12">
      <c r="A13" s="1" t="s">
        <v>282</v>
      </c>
      <c r="B13" s="41" t="s">
        <v>139</v>
      </c>
      <c r="C13" s="41">
        <v>5.25</v>
      </c>
      <c r="D13" s="41">
        <v>5.25</v>
      </c>
      <c r="E13" s="41">
        <v>5.25</v>
      </c>
      <c r="F13" s="41">
        <v>5.25</v>
      </c>
      <c r="G13" s="41">
        <v>5.25</v>
      </c>
      <c r="H13" s="41">
        <v>5.25</v>
      </c>
      <c r="I13" s="41">
        <v>5.25</v>
      </c>
      <c r="J13" s="41">
        <v>5.25</v>
      </c>
    </row>
    <row r="14" spans="1:12">
      <c r="A14" s="1" t="s">
        <v>283</v>
      </c>
      <c r="B14" s="41" t="s">
        <v>139</v>
      </c>
      <c r="C14" s="41">
        <v>0.625</v>
      </c>
      <c r="D14" s="41">
        <v>0.625</v>
      </c>
      <c r="E14" s="41">
        <v>0.625</v>
      </c>
      <c r="F14" s="41">
        <v>0.625</v>
      </c>
      <c r="G14" s="41">
        <v>0.625</v>
      </c>
      <c r="H14" s="41">
        <v>0.625</v>
      </c>
      <c r="I14" s="41">
        <v>0.625</v>
      </c>
      <c r="J14" s="41">
        <v>0.625</v>
      </c>
    </row>
    <row r="15" spans="1:12">
      <c r="A15" s="1" t="s">
        <v>284</v>
      </c>
      <c r="B15" s="41" t="s">
        <v>139</v>
      </c>
      <c r="C15" s="41">
        <v>0.125</v>
      </c>
      <c r="D15" s="41">
        <v>0.125</v>
      </c>
      <c r="E15" s="41">
        <v>0.125</v>
      </c>
      <c r="F15" s="41">
        <v>0.125</v>
      </c>
      <c r="G15" s="41">
        <v>0.125</v>
      </c>
      <c r="H15" s="41">
        <v>0.125</v>
      </c>
      <c r="I15" s="41">
        <v>0.125</v>
      </c>
      <c r="J15" s="41">
        <v>0.125</v>
      </c>
    </row>
    <row r="16" spans="1:12">
      <c r="A16" s="1" t="s">
        <v>285</v>
      </c>
      <c r="B16" s="41" t="s">
        <v>139</v>
      </c>
      <c r="C16" s="41">
        <v>0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41">
        <v>0</v>
      </c>
    </row>
    <row r="17" spans="1:10">
      <c r="A17" s="1" t="s">
        <v>286</v>
      </c>
      <c r="B17" s="41" t="s">
        <v>139</v>
      </c>
      <c r="C17" s="41">
        <v>37.75</v>
      </c>
      <c r="D17" s="41">
        <v>37.75</v>
      </c>
      <c r="E17" s="41">
        <v>37.75</v>
      </c>
      <c r="F17" s="41">
        <v>37.75</v>
      </c>
      <c r="G17" s="41">
        <v>37.75</v>
      </c>
      <c r="H17" s="41">
        <v>37.75</v>
      </c>
      <c r="I17" s="41">
        <v>37.75</v>
      </c>
      <c r="J17" s="41">
        <v>37.75</v>
      </c>
    </row>
    <row r="18" spans="1:10">
      <c r="A18" s="1" t="s">
        <v>287</v>
      </c>
      <c r="B18" s="41" t="s">
        <v>139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</row>
    <row r="19" spans="1:10">
      <c r="A19" s="1" t="s">
        <v>288</v>
      </c>
      <c r="B19" s="41" t="s">
        <v>139</v>
      </c>
      <c r="C19" s="41">
        <v>7.25</v>
      </c>
      <c r="D19" s="41">
        <v>7.25</v>
      </c>
      <c r="E19" s="41">
        <v>7.25</v>
      </c>
      <c r="F19" s="41">
        <v>7.25</v>
      </c>
      <c r="G19" s="41">
        <v>7.25</v>
      </c>
      <c r="H19" s="41">
        <v>7.25</v>
      </c>
      <c r="I19" s="41">
        <v>7.25</v>
      </c>
      <c r="J19" s="41">
        <v>7.25</v>
      </c>
    </row>
    <row r="20" spans="1:10">
      <c r="A20" s="1" t="s">
        <v>289</v>
      </c>
      <c r="B20" s="41" t="s">
        <v>139</v>
      </c>
      <c r="C20" s="41">
        <v>0.125</v>
      </c>
      <c r="D20" s="41">
        <v>0.125</v>
      </c>
      <c r="E20" s="41">
        <v>0.125</v>
      </c>
      <c r="F20" s="41">
        <v>0.125</v>
      </c>
      <c r="G20" s="41">
        <v>0.125</v>
      </c>
      <c r="H20" s="41">
        <v>0.125</v>
      </c>
      <c r="I20" s="41">
        <v>0.125</v>
      </c>
      <c r="J20" s="41">
        <v>0.125</v>
      </c>
    </row>
    <row r="21" spans="1:10">
      <c r="A21" s="1" t="s">
        <v>290</v>
      </c>
      <c r="B21" s="41" t="s">
        <v>139</v>
      </c>
      <c r="C21" s="41">
        <v>0.75</v>
      </c>
      <c r="D21" s="41">
        <v>0.75</v>
      </c>
      <c r="E21" s="41">
        <v>0.75</v>
      </c>
      <c r="F21" s="41">
        <v>0.75</v>
      </c>
      <c r="G21" s="41">
        <v>0.75</v>
      </c>
      <c r="H21" s="41">
        <v>0.75</v>
      </c>
      <c r="I21" s="41">
        <v>0.75</v>
      </c>
      <c r="J21" s="41">
        <v>0.75</v>
      </c>
    </row>
    <row r="22" spans="1:10">
      <c r="A22" s="1" t="s">
        <v>291</v>
      </c>
      <c r="B22" s="41" t="s">
        <v>139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</row>
    <row r="23" spans="1:10">
      <c r="A23" s="1" t="s">
        <v>292</v>
      </c>
      <c r="B23" s="41" t="s">
        <v>139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</row>
    <row r="24" spans="1:10">
      <c r="A24" s="1" t="s">
        <v>293</v>
      </c>
      <c r="B24" s="41" t="s">
        <v>139</v>
      </c>
      <c r="C24" s="41">
        <v>28</v>
      </c>
      <c r="D24" s="41">
        <v>28</v>
      </c>
      <c r="E24" s="41">
        <v>28</v>
      </c>
      <c r="F24" s="41">
        <v>28</v>
      </c>
      <c r="G24" s="41">
        <v>28</v>
      </c>
      <c r="H24" s="41">
        <v>28</v>
      </c>
      <c r="I24" s="41">
        <v>28</v>
      </c>
      <c r="J24" s="41">
        <v>28</v>
      </c>
    </row>
    <row r="25" spans="1:10">
      <c r="A25" s="1" t="s">
        <v>294</v>
      </c>
      <c r="B25" s="41" t="s">
        <v>139</v>
      </c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</row>
    <row r="26" spans="1:10">
      <c r="A26" s="1" t="s">
        <v>295</v>
      </c>
      <c r="B26" s="41" t="s">
        <v>139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</row>
    <row r="27" spans="1:10">
      <c r="A27" s="1" t="s">
        <v>296</v>
      </c>
      <c r="B27" s="41" t="s">
        <v>139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</row>
    <row r="28" spans="1:10">
      <c r="A28" s="1" t="s">
        <v>297</v>
      </c>
      <c r="B28" s="41" t="s">
        <v>139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</row>
    <row r="29" spans="1:10">
      <c r="A29" s="1" t="s">
        <v>298</v>
      </c>
      <c r="B29" s="41" t="s">
        <v>139</v>
      </c>
      <c r="C29" s="41">
        <v>5.75</v>
      </c>
      <c r="D29" s="41">
        <v>5.75</v>
      </c>
      <c r="E29" s="41">
        <v>5.75</v>
      </c>
      <c r="F29" s="41">
        <v>5.75</v>
      </c>
      <c r="G29" s="41">
        <v>5.75</v>
      </c>
      <c r="H29" s="41">
        <v>5.75</v>
      </c>
      <c r="I29" s="41">
        <v>5.75</v>
      </c>
      <c r="J29" s="41">
        <v>5.75</v>
      </c>
    </row>
    <row r="30" spans="1:10">
      <c r="A30" s="1" t="s">
        <v>299</v>
      </c>
      <c r="B30" s="41" t="s">
        <v>139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</row>
    <row r="31" spans="1:10">
      <c r="A31" s="1" t="s">
        <v>300</v>
      </c>
      <c r="B31" s="41" t="s">
        <v>139</v>
      </c>
      <c r="C31" s="41">
        <v>0.875</v>
      </c>
      <c r="D31" s="41">
        <v>0.875</v>
      </c>
      <c r="E31" s="41">
        <v>0.875</v>
      </c>
      <c r="F31" s="41">
        <v>0.875</v>
      </c>
      <c r="G31" s="41">
        <v>0.875</v>
      </c>
      <c r="H31" s="41">
        <v>0.875</v>
      </c>
      <c r="I31" s="41">
        <v>0.875</v>
      </c>
      <c r="J31" s="41">
        <v>0.875</v>
      </c>
    </row>
    <row r="32" spans="1:10">
      <c r="A32" s="1" t="s">
        <v>301</v>
      </c>
      <c r="B32" s="41" t="s">
        <v>139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</row>
    <row r="33" spans="1:10">
      <c r="A33" s="1" t="s">
        <v>302</v>
      </c>
      <c r="B33" s="41" t="s">
        <v>139</v>
      </c>
      <c r="C33" s="41">
        <v>0.125</v>
      </c>
      <c r="D33" s="41">
        <v>0.125</v>
      </c>
      <c r="E33" s="41">
        <v>0.125</v>
      </c>
      <c r="F33" s="41">
        <v>0.125</v>
      </c>
      <c r="G33" s="41">
        <v>0.125</v>
      </c>
      <c r="H33" s="41">
        <v>0.125</v>
      </c>
      <c r="I33" s="41">
        <v>0.125</v>
      </c>
      <c r="J33" s="41">
        <v>0.125</v>
      </c>
    </row>
    <row r="34" spans="1:10">
      <c r="A34" s="1" t="s">
        <v>303</v>
      </c>
      <c r="B34" s="41" t="s">
        <v>139</v>
      </c>
      <c r="C34" s="41">
        <v>16</v>
      </c>
      <c r="D34" s="41">
        <v>16</v>
      </c>
      <c r="E34" s="41">
        <v>16</v>
      </c>
      <c r="F34" s="41">
        <v>16</v>
      </c>
      <c r="G34" s="41">
        <v>16</v>
      </c>
      <c r="H34" s="41">
        <v>16</v>
      </c>
      <c r="I34" s="41">
        <v>16</v>
      </c>
      <c r="J34" s="41">
        <v>16</v>
      </c>
    </row>
    <row r="35" spans="1:10">
      <c r="A35" s="1" t="s">
        <v>304</v>
      </c>
      <c r="B35" s="41" t="s">
        <v>139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</row>
    <row r="36" spans="1:10">
      <c r="A36" s="1" t="s">
        <v>305</v>
      </c>
      <c r="B36" s="41" t="s">
        <v>139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</row>
    <row r="37" spans="1:10">
      <c r="A37" s="1" t="s">
        <v>306</v>
      </c>
      <c r="B37" s="41" t="s">
        <v>139</v>
      </c>
      <c r="C37" s="41">
        <v>0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41">
        <v>0</v>
      </c>
      <c r="J37" s="41">
        <v>0</v>
      </c>
    </row>
    <row r="38" spans="1:10">
      <c r="A38" s="1" t="s">
        <v>307</v>
      </c>
      <c r="B38" s="41" t="s">
        <v>139</v>
      </c>
      <c r="C38" s="41">
        <v>3.25</v>
      </c>
      <c r="D38" s="41">
        <v>3.25</v>
      </c>
      <c r="E38" s="41">
        <v>3.25</v>
      </c>
      <c r="F38" s="41">
        <v>3.25</v>
      </c>
      <c r="G38" s="41">
        <v>3.25</v>
      </c>
      <c r="H38" s="41">
        <v>3.25</v>
      </c>
      <c r="I38" s="41">
        <v>3.25</v>
      </c>
      <c r="J38" s="41">
        <v>3.25</v>
      </c>
    </row>
    <row r="39" spans="1:10">
      <c r="A39" s="1" t="s">
        <v>308</v>
      </c>
      <c r="B39" s="41" t="s">
        <v>139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</row>
    <row r="40" spans="1:10">
      <c r="A40" s="1" t="s">
        <v>309</v>
      </c>
      <c r="B40" s="41" t="s">
        <v>139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</row>
    <row r="41" spans="1:10">
      <c r="A41" s="1" t="s">
        <v>310</v>
      </c>
      <c r="B41" s="41" t="s">
        <v>139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</row>
    <row r="42" spans="1:10">
      <c r="A42" s="1" t="s">
        <v>311</v>
      </c>
      <c r="B42" s="41" t="s">
        <v>139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</row>
    <row r="43" spans="1:10">
      <c r="A43" s="1" t="s">
        <v>312</v>
      </c>
      <c r="B43" s="41" t="s">
        <v>139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</row>
    <row r="44" spans="1:10">
      <c r="A44" s="1" t="s">
        <v>277</v>
      </c>
      <c r="B44" s="1" t="s">
        <v>97</v>
      </c>
      <c r="C44" s="41">
        <v>5.4214585993004292</v>
      </c>
      <c r="D44" s="41">
        <v>5.4214585993004292</v>
      </c>
      <c r="E44" s="41">
        <v>5.4214585993004292</v>
      </c>
      <c r="F44" s="41">
        <v>5.4214585993004292</v>
      </c>
      <c r="G44" s="41">
        <v>5.4214585993004292</v>
      </c>
      <c r="H44" s="41">
        <v>5.4214585993004292</v>
      </c>
      <c r="I44" s="41">
        <v>5.4214585993004292</v>
      </c>
      <c r="J44" s="41">
        <v>5.4214585993004292</v>
      </c>
    </row>
    <row r="45" spans="1:10">
      <c r="A45" s="1" t="s">
        <v>278</v>
      </c>
      <c r="B45" s="1" t="s">
        <v>97</v>
      </c>
      <c r="C45" s="41">
        <v>19.846666666666668</v>
      </c>
      <c r="D45" s="41">
        <v>19.846666666666668</v>
      </c>
      <c r="E45" s="41">
        <v>19.846666666666668</v>
      </c>
      <c r="F45" s="41">
        <v>19.846666666666668</v>
      </c>
      <c r="G45" s="41">
        <v>19.846666666666668</v>
      </c>
      <c r="H45" s="41">
        <v>19.846666666666668</v>
      </c>
      <c r="I45" s="41">
        <v>19.846666666666668</v>
      </c>
      <c r="J45" s="41">
        <v>19.846666666666668</v>
      </c>
    </row>
    <row r="46" spans="1:10">
      <c r="A46" s="1" t="s">
        <v>279</v>
      </c>
      <c r="B46" s="1" t="s">
        <v>97</v>
      </c>
      <c r="C46" s="41">
        <v>8.7321538486080339</v>
      </c>
      <c r="D46" s="41">
        <v>8.7321538486080339</v>
      </c>
      <c r="E46" s="41">
        <v>8.7321538486080339</v>
      </c>
      <c r="F46" s="41">
        <v>8.7321538486080339</v>
      </c>
      <c r="G46" s="41">
        <v>8.7321538486080339</v>
      </c>
      <c r="H46" s="41">
        <v>8.7321538486080339</v>
      </c>
      <c r="I46" s="41">
        <v>8.7321538486080339</v>
      </c>
      <c r="J46" s="41">
        <v>8.7321538486080339</v>
      </c>
    </row>
    <row r="47" spans="1:10">
      <c r="A47" s="1" t="s">
        <v>280</v>
      </c>
      <c r="B47" s="1" t="s">
        <v>97</v>
      </c>
      <c r="C47" s="41">
        <v>7.67</v>
      </c>
      <c r="D47" s="41">
        <v>7.67</v>
      </c>
      <c r="E47" s="41">
        <v>7.67</v>
      </c>
      <c r="F47" s="41">
        <v>7.67</v>
      </c>
      <c r="G47" s="41">
        <v>7.67</v>
      </c>
      <c r="H47" s="41">
        <v>7.67</v>
      </c>
      <c r="I47" s="41">
        <v>7.67</v>
      </c>
      <c r="J47" s="41">
        <v>7.67</v>
      </c>
    </row>
    <row r="48" spans="1:10">
      <c r="A48" s="1" t="s">
        <v>281</v>
      </c>
      <c r="B48" s="1" t="s">
        <v>97</v>
      </c>
      <c r="C48" s="41">
        <v>29.683333333333334</v>
      </c>
      <c r="D48" s="41">
        <v>29.683333333333334</v>
      </c>
      <c r="E48" s="41">
        <v>29.683333333333334</v>
      </c>
      <c r="F48" s="41">
        <v>29.683333333333334</v>
      </c>
      <c r="G48" s="41">
        <v>29.683333333333334</v>
      </c>
      <c r="H48" s="41">
        <v>29.683333333333334</v>
      </c>
      <c r="I48" s="41">
        <v>29.683333333333334</v>
      </c>
      <c r="J48" s="41">
        <v>29.683333333333334</v>
      </c>
    </row>
    <row r="49" spans="1:10">
      <c r="A49" s="1" t="s">
        <v>282</v>
      </c>
      <c r="B49" s="1" t="s">
        <v>97</v>
      </c>
      <c r="C49" s="41">
        <v>9.0133333333333336</v>
      </c>
      <c r="D49" s="41">
        <v>9.0133333333333336</v>
      </c>
      <c r="E49" s="41">
        <v>9.0133333333333336</v>
      </c>
      <c r="F49" s="41">
        <v>9.0133333333333336</v>
      </c>
      <c r="G49" s="41">
        <v>9.0133333333333336</v>
      </c>
      <c r="H49" s="41">
        <v>9.0133333333333336</v>
      </c>
      <c r="I49" s="41">
        <v>9.0133333333333336</v>
      </c>
      <c r="J49" s="41">
        <v>9.0133333333333336</v>
      </c>
    </row>
    <row r="50" spans="1:10">
      <c r="A50" s="1" t="s">
        <v>283</v>
      </c>
      <c r="B50" s="1" t="s">
        <v>97</v>
      </c>
      <c r="C50" s="41">
        <v>24.31</v>
      </c>
      <c r="D50" s="41">
        <v>24.31</v>
      </c>
      <c r="E50" s="41">
        <v>24.31</v>
      </c>
      <c r="F50" s="41">
        <v>24.31</v>
      </c>
      <c r="G50" s="41">
        <v>24.31</v>
      </c>
      <c r="H50" s="41">
        <v>24.31</v>
      </c>
      <c r="I50" s="41">
        <v>24.31</v>
      </c>
      <c r="J50" s="41">
        <v>24.31</v>
      </c>
    </row>
    <row r="51" spans="1:10">
      <c r="A51" s="1" t="s">
        <v>284</v>
      </c>
      <c r="B51" s="1" t="s">
        <v>97</v>
      </c>
      <c r="C51" s="41">
        <v>96.46</v>
      </c>
      <c r="D51" s="41">
        <v>96.46</v>
      </c>
      <c r="E51" s="41">
        <v>96.46</v>
      </c>
      <c r="F51" s="41">
        <v>96.46</v>
      </c>
      <c r="G51" s="41">
        <v>96.46</v>
      </c>
      <c r="H51" s="41">
        <v>96.46</v>
      </c>
      <c r="I51" s="41">
        <v>96.46</v>
      </c>
      <c r="J51" s="41">
        <v>96.46</v>
      </c>
    </row>
    <row r="52" spans="1:10">
      <c r="A52" s="1" t="s">
        <v>285</v>
      </c>
      <c r="B52" s="1" t="s">
        <v>97</v>
      </c>
      <c r="C52" s="41">
        <v>14.126666666666667</v>
      </c>
      <c r="D52" s="41">
        <v>14.126666666666667</v>
      </c>
      <c r="E52" s="41">
        <v>14.126666666666667</v>
      </c>
      <c r="F52" s="41">
        <v>14.126666666666667</v>
      </c>
      <c r="G52" s="41">
        <v>14.126666666666667</v>
      </c>
      <c r="H52" s="41">
        <v>14.126666666666667</v>
      </c>
      <c r="I52" s="41">
        <v>14.126666666666667</v>
      </c>
      <c r="J52" s="41">
        <v>14.126666666666667</v>
      </c>
    </row>
    <row r="53" spans="1:10">
      <c r="A53" s="1" t="s">
        <v>286</v>
      </c>
      <c r="B53" s="1" t="s">
        <v>97</v>
      </c>
      <c r="C53" s="41">
        <v>158.98999999999998</v>
      </c>
      <c r="D53" s="41">
        <v>158.98999999999998</v>
      </c>
      <c r="E53" s="41">
        <v>158.98999999999998</v>
      </c>
      <c r="F53" s="41">
        <v>158.98999999999998</v>
      </c>
      <c r="G53" s="41">
        <v>158.98999999999998</v>
      </c>
      <c r="H53" s="41">
        <v>158.98999999999998</v>
      </c>
      <c r="I53" s="41">
        <v>158.98999999999998</v>
      </c>
      <c r="J53" s="41">
        <v>158.98999999999998</v>
      </c>
    </row>
    <row r="54" spans="1:10">
      <c r="A54" s="1" t="s">
        <v>287</v>
      </c>
      <c r="B54" s="1" t="s">
        <v>97</v>
      </c>
      <c r="C54" s="41">
        <v>31.11333333333333</v>
      </c>
      <c r="D54" s="41">
        <v>31.11333333333333</v>
      </c>
      <c r="E54" s="41">
        <v>31.11333333333333</v>
      </c>
      <c r="F54" s="41">
        <v>31.11333333333333</v>
      </c>
      <c r="G54" s="41">
        <v>31.11333333333333</v>
      </c>
      <c r="H54" s="41">
        <v>31.11333333333333</v>
      </c>
      <c r="I54" s="41">
        <v>31.11333333333333</v>
      </c>
      <c r="J54" s="41">
        <v>31.11333333333333</v>
      </c>
    </row>
    <row r="55" spans="1:10">
      <c r="A55" s="1" t="s">
        <v>288</v>
      </c>
      <c r="B55" s="1" t="s">
        <v>97</v>
      </c>
      <c r="C55" s="41">
        <v>165.40333333333331</v>
      </c>
      <c r="D55" s="41">
        <v>165.40333333333331</v>
      </c>
      <c r="E55" s="41">
        <v>165.40333333333331</v>
      </c>
      <c r="F55" s="41">
        <v>165.40333333333331</v>
      </c>
      <c r="G55" s="41">
        <v>165.40333333333331</v>
      </c>
      <c r="H55" s="41">
        <v>165.40333333333331</v>
      </c>
      <c r="I55" s="41">
        <v>165.40333333333331</v>
      </c>
      <c r="J55" s="41">
        <v>165.40333333333331</v>
      </c>
    </row>
    <row r="56" spans="1:10">
      <c r="A56" s="1" t="s">
        <v>289</v>
      </c>
      <c r="B56" s="1" t="s">
        <v>97</v>
      </c>
      <c r="C56" s="41">
        <v>45.76</v>
      </c>
      <c r="D56" s="41">
        <v>45.76</v>
      </c>
      <c r="E56" s="41">
        <v>45.76</v>
      </c>
      <c r="F56" s="41">
        <v>45.76</v>
      </c>
      <c r="G56" s="41">
        <v>45.76</v>
      </c>
      <c r="H56" s="41">
        <v>45.76</v>
      </c>
      <c r="I56" s="41">
        <v>45.76</v>
      </c>
      <c r="J56" s="41">
        <v>45.76</v>
      </c>
    </row>
    <row r="57" spans="1:10">
      <c r="A57" s="1" t="s">
        <v>290</v>
      </c>
      <c r="B57" s="1" t="s">
        <v>97</v>
      </c>
      <c r="C57" s="41">
        <v>8.58</v>
      </c>
      <c r="D57" s="41">
        <v>8.58</v>
      </c>
      <c r="E57" s="41">
        <v>8.58</v>
      </c>
      <c r="F57" s="41">
        <v>8.58</v>
      </c>
      <c r="G57" s="41">
        <v>8.58</v>
      </c>
      <c r="H57" s="41">
        <v>8.58</v>
      </c>
      <c r="I57" s="41">
        <v>8.58</v>
      </c>
      <c r="J57" s="41">
        <v>8.58</v>
      </c>
    </row>
    <row r="58" spans="1:10">
      <c r="A58" s="1" t="s">
        <v>291</v>
      </c>
      <c r="B58" s="1" t="s">
        <v>97</v>
      </c>
      <c r="C58" s="41">
        <v>29.553333333333335</v>
      </c>
      <c r="D58" s="41">
        <v>29.553333333333335</v>
      </c>
      <c r="E58" s="41">
        <v>29.553333333333335</v>
      </c>
      <c r="F58" s="41">
        <v>29.553333333333335</v>
      </c>
      <c r="G58" s="41">
        <v>29.553333333333335</v>
      </c>
      <c r="H58" s="41">
        <v>29.553333333333335</v>
      </c>
      <c r="I58" s="41">
        <v>29.553333333333335</v>
      </c>
      <c r="J58" s="41">
        <v>29.553333333333335</v>
      </c>
    </row>
    <row r="59" spans="1:10">
      <c r="A59" s="1" t="s">
        <v>292</v>
      </c>
      <c r="B59" s="1" t="s">
        <v>97</v>
      </c>
      <c r="C59" s="41">
        <v>24.396666666666665</v>
      </c>
      <c r="D59" s="41">
        <v>24.396666666666665</v>
      </c>
      <c r="E59" s="41">
        <v>24.396666666666665</v>
      </c>
      <c r="F59" s="41">
        <v>24.396666666666665</v>
      </c>
      <c r="G59" s="41">
        <v>24.396666666666665</v>
      </c>
      <c r="H59" s="41">
        <v>24.396666666666665</v>
      </c>
      <c r="I59" s="41">
        <v>24.396666666666665</v>
      </c>
      <c r="J59" s="41">
        <v>24.396666666666665</v>
      </c>
    </row>
    <row r="60" spans="1:10">
      <c r="A60" s="1" t="s">
        <v>293</v>
      </c>
      <c r="B60" s="1" t="s">
        <v>97</v>
      </c>
      <c r="C60" s="41">
        <v>82.419999999999987</v>
      </c>
      <c r="D60" s="41">
        <v>82.419999999999987</v>
      </c>
      <c r="E60" s="41">
        <v>82.419999999999987</v>
      </c>
      <c r="F60" s="41">
        <v>82.419999999999987</v>
      </c>
      <c r="G60" s="41">
        <v>82.419999999999987</v>
      </c>
      <c r="H60" s="41">
        <v>82.419999999999987</v>
      </c>
      <c r="I60" s="41">
        <v>82.419999999999987</v>
      </c>
      <c r="J60" s="41">
        <v>82.419999999999987</v>
      </c>
    </row>
    <row r="61" spans="1:10">
      <c r="A61" s="1" t="s">
        <v>294</v>
      </c>
      <c r="B61" s="1" t="s">
        <v>97</v>
      </c>
      <c r="C61" s="41">
        <v>0.73666666666666669</v>
      </c>
      <c r="D61" s="41">
        <v>0.73666666666666669</v>
      </c>
      <c r="E61" s="41">
        <v>0.73666666666666669</v>
      </c>
      <c r="F61" s="41">
        <v>0.73666666666666669</v>
      </c>
      <c r="G61" s="41">
        <v>0.73666666666666669</v>
      </c>
      <c r="H61" s="41">
        <v>0.73666666666666669</v>
      </c>
      <c r="I61" s="41">
        <v>0.73666666666666669</v>
      </c>
      <c r="J61" s="41">
        <v>0.73666666666666669</v>
      </c>
    </row>
    <row r="62" spans="1:10">
      <c r="A62" s="1" t="s">
        <v>295</v>
      </c>
      <c r="B62" s="1" t="s">
        <v>97</v>
      </c>
      <c r="C62" s="41">
        <v>3.7798525219574546</v>
      </c>
      <c r="D62" s="41">
        <v>3.7798525219574546</v>
      </c>
      <c r="E62" s="41">
        <v>3.7798525219574546</v>
      </c>
      <c r="F62" s="41">
        <v>3.7798525219574546</v>
      </c>
      <c r="G62" s="41">
        <v>3.7798525219574546</v>
      </c>
      <c r="H62" s="41">
        <v>3.7798525219574546</v>
      </c>
      <c r="I62" s="41">
        <v>3.7798525219574546</v>
      </c>
      <c r="J62" s="41">
        <v>3.7798525219574546</v>
      </c>
    </row>
    <row r="63" spans="1:10">
      <c r="A63" s="1" t="s">
        <v>296</v>
      </c>
      <c r="B63" s="1" t="s">
        <v>97</v>
      </c>
      <c r="C63" s="41">
        <v>7.9834817203100137</v>
      </c>
      <c r="D63" s="41">
        <v>7.9834817203100137</v>
      </c>
      <c r="E63" s="41">
        <v>7.9834817203100137</v>
      </c>
      <c r="F63" s="41">
        <v>7.9834817203100137</v>
      </c>
      <c r="G63" s="41">
        <v>7.9834817203100137</v>
      </c>
      <c r="H63" s="41">
        <v>7.9834817203100137</v>
      </c>
      <c r="I63" s="41">
        <v>7.9834817203100137</v>
      </c>
      <c r="J63" s="41">
        <v>7.9834817203100137</v>
      </c>
    </row>
    <row r="64" spans="1:10">
      <c r="A64" s="1" t="s">
        <v>297</v>
      </c>
      <c r="B64" s="1" t="s">
        <v>97</v>
      </c>
      <c r="C64" s="41">
        <v>10.226666666666668</v>
      </c>
      <c r="D64" s="41">
        <v>10.226666666666668</v>
      </c>
      <c r="E64" s="41">
        <v>10.226666666666668</v>
      </c>
      <c r="F64" s="41">
        <v>10.226666666666668</v>
      </c>
      <c r="G64" s="41">
        <v>10.226666666666668</v>
      </c>
      <c r="H64" s="41">
        <v>10.226666666666668</v>
      </c>
      <c r="I64" s="41">
        <v>10.226666666666668</v>
      </c>
      <c r="J64" s="41">
        <v>10.226666666666668</v>
      </c>
    </row>
    <row r="65" spans="1:10">
      <c r="A65" s="1" t="s">
        <v>298</v>
      </c>
      <c r="B65" s="1" t="s">
        <v>97</v>
      </c>
      <c r="C65" s="41">
        <v>13.953333333333335</v>
      </c>
      <c r="D65" s="41">
        <v>13.953333333333335</v>
      </c>
      <c r="E65" s="41">
        <v>13.953333333333335</v>
      </c>
      <c r="F65" s="41">
        <v>13.953333333333335</v>
      </c>
      <c r="G65" s="41">
        <v>13.953333333333335</v>
      </c>
      <c r="H65" s="41">
        <v>13.953333333333335</v>
      </c>
      <c r="I65" s="41">
        <v>13.953333333333335</v>
      </c>
      <c r="J65" s="41">
        <v>13.953333333333335</v>
      </c>
    </row>
    <row r="66" spans="1:10">
      <c r="A66" s="1" t="s">
        <v>299</v>
      </c>
      <c r="B66" s="1" t="s">
        <v>97</v>
      </c>
      <c r="C66" s="41">
        <v>84.023333333333326</v>
      </c>
      <c r="D66" s="41">
        <v>84.023333333333326</v>
      </c>
      <c r="E66" s="41">
        <v>84.023333333333326</v>
      </c>
      <c r="F66" s="41">
        <v>84.023333333333326</v>
      </c>
      <c r="G66" s="41">
        <v>84.023333333333326</v>
      </c>
      <c r="H66" s="41">
        <v>84.023333333333326</v>
      </c>
      <c r="I66" s="41">
        <v>84.023333333333326</v>
      </c>
      <c r="J66" s="41">
        <v>84.023333333333326</v>
      </c>
    </row>
    <row r="67" spans="1:10">
      <c r="A67" s="1" t="s">
        <v>300</v>
      </c>
      <c r="B67" s="1" t="s">
        <v>97</v>
      </c>
      <c r="C67" s="41">
        <v>22.1</v>
      </c>
      <c r="D67" s="41">
        <v>22.1</v>
      </c>
      <c r="E67" s="41">
        <v>22.1</v>
      </c>
      <c r="F67" s="41">
        <v>22.1</v>
      </c>
      <c r="G67" s="41">
        <v>22.1</v>
      </c>
      <c r="H67" s="41">
        <v>22.1</v>
      </c>
      <c r="I67" s="41">
        <v>22.1</v>
      </c>
      <c r="J67" s="41">
        <v>22.1</v>
      </c>
    </row>
    <row r="68" spans="1:10">
      <c r="A68" s="1" t="s">
        <v>301</v>
      </c>
      <c r="B68" s="1" t="s">
        <v>97</v>
      </c>
      <c r="C68" s="41">
        <v>79.3</v>
      </c>
      <c r="D68" s="41">
        <v>79.3</v>
      </c>
      <c r="E68" s="41">
        <v>79.3</v>
      </c>
      <c r="F68" s="41">
        <v>79.3</v>
      </c>
      <c r="G68" s="41">
        <v>79.3</v>
      </c>
      <c r="H68" s="41">
        <v>79.3</v>
      </c>
      <c r="I68" s="41">
        <v>79.3</v>
      </c>
      <c r="J68" s="41">
        <v>79.3</v>
      </c>
    </row>
    <row r="69" spans="1:10">
      <c r="A69" s="1" t="s">
        <v>302</v>
      </c>
      <c r="B69" s="1" t="s">
        <v>97</v>
      </c>
      <c r="C69" s="41">
        <v>32.453053309824057</v>
      </c>
      <c r="D69" s="41">
        <v>32.453053309824057</v>
      </c>
      <c r="E69" s="41">
        <v>32.453053309824057</v>
      </c>
      <c r="F69" s="41">
        <v>32.453053309824057</v>
      </c>
      <c r="G69" s="41">
        <v>32.453053309824057</v>
      </c>
      <c r="H69" s="41">
        <v>32.453053309824057</v>
      </c>
      <c r="I69" s="41">
        <v>32.453053309824057</v>
      </c>
      <c r="J69" s="41">
        <v>32.453053309824057</v>
      </c>
    </row>
    <row r="70" spans="1:10">
      <c r="A70" s="1" t="s">
        <v>303</v>
      </c>
      <c r="B70" s="1" t="s">
        <v>97</v>
      </c>
      <c r="C70" s="41">
        <v>40.473333333333336</v>
      </c>
      <c r="D70" s="41">
        <v>40.473333333333336</v>
      </c>
      <c r="E70" s="41">
        <v>40.473333333333336</v>
      </c>
      <c r="F70" s="41">
        <v>40.473333333333336</v>
      </c>
      <c r="G70" s="41">
        <v>40.473333333333336</v>
      </c>
      <c r="H70" s="41">
        <v>40.473333333333336</v>
      </c>
      <c r="I70" s="41">
        <v>40.473333333333336</v>
      </c>
      <c r="J70" s="41">
        <v>40.473333333333336</v>
      </c>
    </row>
    <row r="71" spans="1:10">
      <c r="A71" s="1" t="s">
        <v>304</v>
      </c>
      <c r="B71" s="1" t="s">
        <v>97</v>
      </c>
      <c r="C71" s="41">
        <v>3.5966666666666667</v>
      </c>
      <c r="D71" s="41">
        <v>3.5966666666666667</v>
      </c>
      <c r="E71" s="41">
        <v>3.5966666666666667</v>
      </c>
      <c r="F71" s="41">
        <v>3.5966666666666667</v>
      </c>
      <c r="G71" s="41">
        <v>3.5966666666666667</v>
      </c>
      <c r="H71" s="41">
        <v>3.5966666666666667</v>
      </c>
      <c r="I71" s="41">
        <v>3.5966666666666667</v>
      </c>
      <c r="J71" s="41">
        <v>3.5966666666666667</v>
      </c>
    </row>
    <row r="72" spans="1:10">
      <c r="A72" s="1" t="s">
        <v>305</v>
      </c>
      <c r="B72" s="1" t="s">
        <v>97</v>
      </c>
      <c r="C72" s="41">
        <v>11.786666666666667</v>
      </c>
      <c r="D72" s="41">
        <v>11.786666666666667</v>
      </c>
      <c r="E72" s="41">
        <v>11.786666666666667</v>
      </c>
      <c r="F72" s="41">
        <v>11.786666666666667</v>
      </c>
      <c r="G72" s="41">
        <v>11.786666666666667</v>
      </c>
      <c r="H72" s="41">
        <v>11.786666666666667</v>
      </c>
      <c r="I72" s="41">
        <v>11.786666666666667</v>
      </c>
      <c r="J72" s="41">
        <v>11.786666666666667</v>
      </c>
    </row>
    <row r="73" spans="1:10">
      <c r="A73" s="1" t="s">
        <v>306</v>
      </c>
      <c r="B73" s="1" t="s">
        <v>97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</row>
    <row r="74" spans="1:10">
      <c r="A74" s="1" t="s">
        <v>307</v>
      </c>
      <c r="B74" s="1" t="s">
        <v>97</v>
      </c>
      <c r="C74" s="41">
        <v>92.083333333333329</v>
      </c>
      <c r="D74" s="41">
        <v>92.083333333333329</v>
      </c>
      <c r="E74" s="41">
        <v>92.083333333333329</v>
      </c>
      <c r="F74" s="41">
        <v>92.083333333333329</v>
      </c>
      <c r="G74" s="41">
        <v>92.083333333333329</v>
      </c>
      <c r="H74" s="41">
        <v>92.083333333333329</v>
      </c>
      <c r="I74" s="41">
        <v>92.083333333333329</v>
      </c>
      <c r="J74" s="41">
        <v>92.083333333333329</v>
      </c>
    </row>
    <row r="75" spans="1:10">
      <c r="A75" s="1" t="s">
        <v>308</v>
      </c>
      <c r="B75" s="1" t="s">
        <v>97</v>
      </c>
      <c r="C75" s="41">
        <v>6.8466666666666667</v>
      </c>
      <c r="D75" s="41">
        <v>6.8466666666666667</v>
      </c>
      <c r="E75" s="41">
        <v>6.8466666666666667</v>
      </c>
      <c r="F75" s="41">
        <v>6.8466666666666667</v>
      </c>
      <c r="G75" s="41">
        <v>6.8466666666666667</v>
      </c>
      <c r="H75" s="41">
        <v>6.8466666666666667</v>
      </c>
      <c r="I75" s="41">
        <v>6.8466666666666667</v>
      </c>
      <c r="J75" s="41">
        <v>6.8466666666666667</v>
      </c>
    </row>
    <row r="76" spans="1:10">
      <c r="A76" s="1" t="s">
        <v>309</v>
      </c>
      <c r="B76" s="1" t="s">
        <v>97</v>
      </c>
      <c r="C76" s="41">
        <v>16.293333333333333</v>
      </c>
      <c r="D76" s="41">
        <v>16.293333333333333</v>
      </c>
      <c r="E76" s="41">
        <v>16.293333333333333</v>
      </c>
      <c r="F76" s="41">
        <v>16.293333333333333</v>
      </c>
      <c r="G76" s="41">
        <v>16.293333333333333</v>
      </c>
      <c r="H76" s="41">
        <v>16.293333333333333</v>
      </c>
      <c r="I76" s="41">
        <v>16.293333333333333</v>
      </c>
      <c r="J76" s="41">
        <v>16.293333333333333</v>
      </c>
    </row>
    <row r="77" spans="1:10">
      <c r="A77" s="1" t="s">
        <v>310</v>
      </c>
      <c r="B77" s="1" t="s">
        <v>97</v>
      </c>
      <c r="C77" s="41">
        <v>12.306666666666665</v>
      </c>
      <c r="D77" s="41">
        <v>12.306666666666665</v>
      </c>
      <c r="E77" s="41">
        <v>12.306666666666665</v>
      </c>
      <c r="F77" s="41">
        <v>12.306666666666665</v>
      </c>
      <c r="G77" s="41">
        <v>12.306666666666665</v>
      </c>
      <c r="H77" s="41">
        <v>12.306666666666665</v>
      </c>
      <c r="I77" s="41">
        <v>12.306666666666665</v>
      </c>
      <c r="J77" s="41">
        <v>12.306666666666665</v>
      </c>
    </row>
    <row r="78" spans="1:10">
      <c r="A78" s="1" t="s">
        <v>311</v>
      </c>
      <c r="B78" s="1" t="s">
        <v>97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</row>
    <row r="79" spans="1:10">
      <c r="A79" s="1" t="s">
        <v>312</v>
      </c>
      <c r="B79" s="1" t="s">
        <v>97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</row>
    <row r="80" spans="1:10">
      <c r="A80" s="1" t="s">
        <v>277</v>
      </c>
      <c r="B80" s="1" t="s">
        <v>97</v>
      </c>
      <c r="C80" s="41">
        <v>5.4214585993004292</v>
      </c>
      <c r="D80" s="41">
        <v>5.4214585993004292</v>
      </c>
      <c r="E80" s="41">
        <v>5.4214585993004292</v>
      </c>
      <c r="F80" s="41">
        <v>5.4214585993004292</v>
      </c>
      <c r="G80" s="41">
        <v>5.4214585993004292</v>
      </c>
      <c r="H80" s="41">
        <v>5.4214585993004292</v>
      </c>
      <c r="I80" s="41">
        <v>5.4214585993004292</v>
      </c>
      <c r="J80" s="41">
        <v>5.4214585993004292</v>
      </c>
    </row>
    <row r="81" spans="1:10">
      <c r="A81" s="1" t="s">
        <v>278</v>
      </c>
      <c r="B81" s="1" t="s">
        <v>97</v>
      </c>
      <c r="C81" s="41">
        <v>19.846666666666668</v>
      </c>
      <c r="D81" s="41">
        <v>19.846666666666668</v>
      </c>
      <c r="E81" s="41">
        <v>19.846666666666668</v>
      </c>
      <c r="F81" s="41">
        <v>19.846666666666668</v>
      </c>
      <c r="G81" s="41">
        <v>19.846666666666668</v>
      </c>
      <c r="H81" s="41">
        <v>19.846666666666668</v>
      </c>
      <c r="I81" s="41">
        <v>19.846666666666668</v>
      </c>
      <c r="J81" s="41">
        <v>19.846666666666668</v>
      </c>
    </row>
    <row r="82" spans="1:10">
      <c r="A82" s="1" t="s">
        <v>279</v>
      </c>
      <c r="B82" s="1" t="s">
        <v>97</v>
      </c>
      <c r="C82" s="41">
        <v>8.7321538486080339</v>
      </c>
      <c r="D82" s="41">
        <v>8.7321538486080339</v>
      </c>
      <c r="E82" s="41">
        <v>8.7321538486080339</v>
      </c>
      <c r="F82" s="41">
        <v>8.7321538486080339</v>
      </c>
      <c r="G82" s="41">
        <v>8.7321538486080339</v>
      </c>
      <c r="H82" s="41">
        <v>8.7321538486080339</v>
      </c>
      <c r="I82" s="41">
        <v>8.7321538486080339</v>
      </c>
      <c r="J82" s="41">
        <v>8.7321538486080339</v>
      </c>
    </row>
    <row r="83" spans="1:10">
      <c r="A83" s="1" t="s">
        <v>280</v>
      </c>
      <c r="B83" s="1" t="s">
        <v>97</v>
      </c>
      <c r="C83" s="41">
        <v>7.67</v>
      </c>
      <c r="D83" s="41">
        <v>7.67</v>
      </c>
      <c r="E83" s="41">
        <v>7.67</v>
      </c>
      <c r="F83" s="41">
        <v>7.67</v>
      </c>
      <c r="G83" s="41">
        <v>7.67</v>
      </c>
      <c r="H83" s="41">
        <v>7.67</v>
      </c>
      <c r="I83" s="41">
        <v>7.67</v>
      </c>
      <c r="J83" s="41">
        <v>7.67</v>
      </c>
    </row>
    <row r="84" spans="1:10">
      <c r="A84" s="1" t="s">
        <v>281</v>
      </c>
      <c r="B84" s="1" t="s">
        <v>97</v>
      </c>
      <c r="C84" s="41">
        <v>29.683333333333334</v>
      </c>
      <c r="D84" s="41">
        <v>29.683333333333334</v>
      </c>
      <c r="E84" s="41">
        <v>29.683333333333334</v>
      </c>
      <c r="F84" s="41">
        <v>29.683333333333334</v>
      </c>
      <c r="G84" s="41">
        <v>29.683333333333334</v>
      </c>
      <c r="H84" s="41">
        <v>29.683333333333334</v>
      </c>
      <c r="I84" s="41">
        <v>29.683333333333334</v>
      </c>
      <c r="J84" s="41">
        <v>29.683333333333334</v>
      </c>
    </row>
    <row r="85" spans="1:10">
      <c r="A85" s="1" t="s">
        <v>282</v>
      </c>
      <c r="B85" s="1" t="s">
        <v>97</v>
      </c>
      <c r="C85" s="41">
        <v>9.0133333333333336</v>
      </c>
      <c r="D85" s="41">
        <v>9.0133333333333336</v>
      </c>
      <c r="E85" s="41">
        <v>9.0133333333333336</v>
      </c>
      <c r="F85" s="41">
        <v>9.0133333333333336</v>
      </c>
      <c r="G85" s="41">
        <v>9.0133333333333336</v>
      </c>
      <c r="H85" s="41">
        <v>9.0133333333333336</v>
      </c>
      <c r="I85" s="41">
        <v>9.0133333333333336</v>
      </c>
      <c r="J85" s="41">
        <v>9.0133333333333336</v>
      </c>
    </row>
    <row r="86" spans="1:10">
      <c r="A86" s="1" t="s">
        <v>283</v>
      </c>
      <c r="B86" s="1" t="s">
        <v>97</v>
      </c>
      <c r="C86" s="41">
        <v>24.31</v>
      </c>
      <c r="D86" s="41">
        <v>24.31</v>
      </c>
      <c r="E86" s="41">
        <v>24.31</v>
      </c>
      <c r="F86" s="41">
        <v>24.31</v>
      </c>
      <c r="G86" s="41">
        <v>24.31</v>
      </c>
      <c r="H86" s="41">
        <v>24.31</v>
      </c>
      <c r="I86" s="41">
        <v>24.31</v>
      </c>
      <c r="J86" s="41">
        <v>24.31</v>
      </c>
    </row>
    <row r="87" spans="1:10">
      <c r="A87" s="1" t="s">
        <v>284</v>
      </c>
      <c r="B87" s="1" t="s">
        <v>97</v>
      </c>
      <c r="C87" s="41">
        <v>96.46</v>
      </c>
      <c r="D87" s="41">
        <v>96.46</v>
      </c>
      <c r="E87" s="41">
        <v>96.46</v>
      </c>
      <c r="F87" s="41">
        <v>96.46</v>
      </c>
      <c r="G87" s="41">
        <v>96.46</v>
      </c>
      <c r="H87" s="41">
        <v>96.46</v>
      </c>
      <c r="I87" s="41">
        <v>96.46</v>
      </c>
      <c r="J87" s="41">
        <v>96.46</v>
      </c>
    </row>
    <row r="88" spans="1:10">
      <c r="A88" s="1" t="s">
        <v>285</v>
      </c>
      <c r="B88" s="1" t="s">
        <v>97</v>
      </c>
      <c r="C88" s="41">
        <v>14.126666666666667</v>
      </c>
      <c r="D88" s="41">
        <v>14.126666666666667</v>
      </c>
      <c r="E88" s="41">
        <v>14.126666666666667</v>
      </c>
      <c r="F88" s="41">
        <v>14.126666666666667</v>
      </c>
      <c r="G88" s="41">
        <v>14.126666666666667</v>
      </c>
      <c r="H88" s="41">
        <v>14.126666666666667</v>
      </c>
      <c r="I88" s="41">
        <v>14.126666666666667</v>
      </c>
      <c r="J88" s="41">
        <v>14.126666666666667</v>
      </c>
    </row>
    <row r="89" spans="1:10">
      <c r="A89" s="1" t="s">
        <v>286</v>
      </c>
      <c r="B89" s="1" t="s">
        <v>97</v>
      </c>
      <c r="C89" s="41">
        <v>158.98999999999998</v>
      </c>
      <c r="D89" s="41">
        <v>158.98999999999998</v>
      </c>
      <c r="E89" s="41">
        <v>158.98999999999998</v>
      </c>
      <c r="F89" s="41">
        <v>158.98999999999998</v>
      </c>
      <c r="G89" s="41">
        <v>158.98999999999998</v>
      </c>
      <c r="H89" s="41">
        <v>158.98999999999998</v>
      </c>
      <c r="I89" s="41">
        <v>158.98999999999998</v>
      </c>
      <c r="J89" s="41">
        <v>158.98999999999998</v>
      </c>
    </row>
    <row r="90" spans="1:10">
      <c r="A90" s="1" t="s">
        <v>287</v>
      </c>
      <c r="B90" s="1" t="s">
        <v>97</v>
      </c>
      <c r="C90" s="41">
        <v>31.11333333333333</v>
      </c>
      <c r="D90" s="41">
        <v>31.11333333333333</v>
      </c>
      <c r="E90" s="41">
        <v>31.11333333333333</v>
      </c>
      <c r="F90" s="41">
        <v>31.11333333333333</v>
      </c>
      <c r="G90" s="41">
        <v>31.11333333333333</v>
      </c>
      <c r="H90" s="41">
        <v>31.11333333333333</v>
      </c>
      <c r="I90" s="41">
        <v>31.11333333333333</v>
      </c>
      <c r="J90" s="41">
        <v>31.11333333333333</v>
      </c>
    </row>
    <row r="91" spans="1:10">
      <c r="A91" s="1" t="s">
        <v>288</v>
      </c>
      <c r="B91" s="1" t="s">
        <v>97</v>
      </c>
      <c r="C91" s="41">
        <v>165.40333333333331</v>
      </c>
      <c r="D91" s="41">
        <v>165.40333333333331</v>
      </c>
      <c r="E91" s="41">
        <v>165.40333333333331</v>
      </c>
      <c r="F91" s="41">
        <v>165.40333333333331</v>
      </c>
      <c r="G91" s="41">
        <v>165.40333333333331</v>
      </c>
      <c r="H91" s="41">
        <v>165.40333333333331</v>
      </c>
      <c r="I91" s="41">
        <v>165.40333333333331</v>
      </c>
      <c r="J91" s="41">
        <v>165.40333333333331</v>
      </c>
    </row>
    <row r="92" spans="1:10">
      <c r="A92" s="1" t="s">
        <v>289</v>
      </c>
      <c r="B92" s="1" t="s">
        <v>97</v>
      </c>
      <c r="C92" s="41">
        <v>45.76</v>
      </c>
      <c r="D92" s="41">
        <v>45.76</v>
      </c>
      <c r="E92" s="41">
        <v>45.76</v>
      </c>
      <c r="F92" s="41">
        <v>45.76</v>
      </c>
      <c r="G92" s="41">
        <v>45.76</v>
      </c>
      <c r="H92" s="41">
        <v>45.76</v>
      </c>
      <c r="I92" s="41">
        <v>45.76</v>
      </c>
      <c r="J92" s="41">
        <v>45.76</v>
      </c>
    </row>
    <row r="93" spans="1:10">
      <c r="A93" s="1" t="s">
        <v>290</v>
      </c>
      <c r="B93" s="1" t="s">
        <v>97</v>
      </c>
      <c r="C93" s="41">
        <v>8.58</v>
      </c>
      <c r="D93" s="41">
        <v>8.58</v>
      </c>
      <c r="E93" s="41">
        <v>8.58</v>
      </c>
      <c r="F93" s="41">
        <v>8.58</v>
      </c>
      <c r="G93" s="41">
        <v>8.58</v>
      </c>
      <c r="H93" s="41">
        <v>8.58</v>
      </c>
      <c r="I93" s="41">
        <v>8.58</v>
      </c>
      <c r="J93" s="41">
        <v>8.58</v>
      </c>
    </row>
    <row r="94" spans="1:10">
      <c r="A94" s="1" t="s">
        <v>291</v>
      </c>
      <c r="B94" s="1" t="s">
        <v>97</v>
      </c>
      <c r="C94" s="41">
        <v>29.553333333333335</v>
      </c>
      <c r="D94" s="41">
        <v>29.553333333333335</v>
      </c>
      <c r="E94" s="41">
        <v>29.553333333333335</v>
      </c>
      <c r="F94" s="41">
        <v>29.553333333333335</v>
      </c>
      <c r="G94" s="41">
        <v>29.553333333333335</v>
      </c>
      <c r="H94" s="41">
        <v>29.553333333333335</v>
      </c>
      <c r="I94" s="41">
        <v>29.553333333333335</v>
      </c>
      <c r="J94" s="41">
        <v>29.553333333333335</v>
      </c>
    </row>
    <row r="95" spans="1:10">
      <c r="A95" s="1" t="s">
        <v>292</v>
      </c>
      <c r="B95" s="1" t="s">
        <v>97</v>
      </c>
      <c r="C95" s="41">
        <v>24.396666666666665</v>
      </c>
      <c r="D95" s="41">
        <v>24.396666666666665</v>
      </c>
      <c r="E95" s="41">
        <v>24.396666666666665</v>
      </c>
      <c r="F95" s="41">
        <v>24.396666666666665</v>
      </c>
      <c r="G95" s="41">
        <v>24.396666666666665</v>
      </c>
      <c r="H95" s="41">
        <v>24.396666666666665</v>
      </c>
      <c r="I95" s="41">
        <v>24.396666666666665</v>
      </c>
      <c r="J95" s="41">
        <v>24.396666666666665</v>
      </c>
    </row>
    <row r="96" spans="1:10">
      <c r="A96" s="1" t="s">
        <v>293</v>
      </c>
      <c r="B96" s="1" t="s">
        <v>97</v>
      </c>
      <c r="C96" s="41">
        <v>82.419999999999987</v>
      </c>
      <c r="D96" s="41">
        <v>82.419999999999987</v>
      </c>
      <c r="E96" s="41">
        <v>82.419999999999987</v>
      </c>
      <c r="F96" s="41">
        <v>82.419999999999987</v>
      </c>
      <c r="G96" s="41">
        <v>82.419999999999987</v>
      </c>
      <c r="H96" s="41">
        <v>82.419999999999987</v>
      </c>
      <c r="I96" s="41">
        <v>82.419999999999987</v>
      </c>
      <c r="J96" s="41">
        <v>82.419999999999987</v>
      </c>
    </row>
    <row r="97" spans="1:10">
      <c r="A97" s="1" t="s">
        <v>294</v>
      </c>
      <c r="B97" s="1" t="s">
        <v>97</v>
      </c>
      <c r="C97" s="41">
        <v>0.73666666666666669</v>
      </c>
      <c r="D97" s="41">
        <v>0.73666666666666669</v>
      </c>
      <c r="E97" s="41">
        <v>0.73666666666666669</v>
      </c>
      <c r="F97" s="41">
        <v>0.73666666666666669</v>
      </c>
      <c r="G97" s="41">
        <v>0.73666666666666669</v>
      </c>
      <c r="H97" s="41">
        <v>0.73666666666666669</v>
      </c>
      <c r="I97" s="41">
        <v>0.73666666666666669</v>
      </c>
      <c r="J97" s="41">
        <v>0.73666666666666669</v>
      </c>
    </row>
    <row r="98" spans="1:10">
      <c r="A98" s="1" t="s">
        <v>295</v>
      </c>
      <c r="B98" s="1" t="s">
        <v>97</v>
      </c>
      <c r="C98" s="41">
        <v>3.7798525219574546</v>
      </c>
      <c r="D98" s="41">
        <v>3.7798525219574546</v>
      </c>
      <c r="E98" s="41">
        <v>3.7798525219574546</v>
      </c>
      <c r="F98" s="41">
        <v>3.7798525219574546</v>
      </c>
      <c r="G98" s="41">
        <v>3.7798525219574546</v>
      </c>
      <c r="H98" s="41">
        <v>3.7798525219574546</v>
      </c>
      <c r="I98" s="41">
        <v>3.7798525219574546</v>
      </c>
      <c r="J98" s="41">
        <v>3.7798525219574546</v>
      </c>
    </row>
    <row r="99" spans="1:10">
      <c r="A99" s="1" t="s">
        <v>296</v>
      </c>
      <c r="B99" s="1" t="s">
        <v>97</v>
      </c>
      <c r="C99" s="41">
        <v>7.9834817203100137</v>
      </c>
      <c r="D99" s="41">
        <v>7.9834817203100137</v>
      </c>
      <c r="E99" s="41">
        <v>7.9834817203100137</v>
      </c>
      <c r="F99" s="41">
        <v>7.9834817203100137</v>
      </c>
      <c r="G99" s="41">
        <v>7.9834817203100137</v>
      </c>
      <c r="H99" s="41">
        <v>7.9834817203100137</v>
      </c>
      <c r="I99" s="41">
        <v>7.9834817203100137</v>
      </c>
      <c r="J99" s="41">
        <v>7.9834817203100137</v>
      </c>
    </row>
    <row r="100" spans="1:10">
      <c r="A100" s="1" t="s">
        <v>297</v>
      </c>
      <c r="B100" s="1" t="s">
        <v>97</v>
      </c>
      <c r="C100" s="41">
        <v>10.226666666666668</v>
      </c>
      <c r="D100" s="41">
        <v>10.226666666666668</v>
      </c>
      <c r="E100" s="41">
        <v>10.226666666666668</v>
      </c>
      <c r="F100" s="41">
        <v>10.226666666666668</v>
      </c>
      <c r="G100" s="41">
        <v>10.226666666666668</v>
      </c>
      <c r="H100" s="41">
        <v>10.226666666666668</v>
      </c>
      <c r="I100" s="41">
        <v>10.226666666666668</v>
      </c>
      <c r="J100" s="41">
        <v>10.226666666666668</v>
      </c>
    </row>
    <row r="101" spans="1:10">
      <c r="A101" s="1" t="s">
        <v>298</v>
      </c>
      <c r="B101" s="1" t="s">
        <v>97</v>
      </c>
      <c r="C101" s="41">
        <v>13.953333333333335</v>
      </c>
      <c r="D101" s="41">
        <v>13.953333333333335</v>
      </c>
      <c r="E101" s="41">
        <v>13.953333333333335</v>
      </c>
      <c r="F101" s="41">
        <v>13.953333333333335</v>
      </c>
      <c r="G101" s="41">
        <v>13.953333333333335</v>
      </c>
      <c r="H101" s="41">
        <v>13.953333333333335</v>
      </c>
      <c r="I101" s="41">
        <v>13.953333333333335</v>
      </c>
      <c r="J101" s="41">
        <v>13.953333333333335</v>
      </c>
    </row>
    <row r="102" spans="1:10">
      <c r="A102" s="1" t="s">
        <v>299</v>
      </c>
      <c r="B102" s="1" t="s">
        <v>97</v>
      </c>
      <c r="C102" s="41">
        <v>84.023333333333326</v>
      </c>
      <c r="D102" s="41">
        <v>84.023333333333326</v>
      </c>
      <c r="E102" s="41">
        <v>84.023333333333326</v>
      </c>
      <c r="F102" s="41">
        <v>84.023333333333326</v>
      </c>
      <c r="G102" s="41">
        <v>84.023333333333326</v>
      </c>
      <c r="H102" s="41">
        <v>84.023333333333326</v>
      </c>
      <c r="I102" s="41">
        <v>84.023333333333326</v>
      </c>
      <c r="J102" s="41">
        <v>84.023333333333326</v>
      </c>
    </row>
    <row r="103" spans="1:10">
      <c r="A103" s="1" t="s">
        <v>300</v>
      </c>
      <c r="B103" s="1" t="s">
        <v>97</v>
      </c>
      <c r="C103" s="41">
        <v>22.1</v>
      </c>
      <c r="D103" s="41">
        <v>22.1</v>
      </c>
      <c r="E103" s="41">
        <v>22.1</v>
      </c>
      <c r="F103" s="41">
        <v>22.1</v>
      </c>
      <c r="G103" s="41">
        <v>22.1</v>
      </c>
      <c r="H103" s="41">
        <v>22.1</v>
      </c>
      <c r="I103" s="41">
        <v>22.1</v>
      </c>
      <c r="J103" s="41">
        <v>22.1</v>
      </c>
    </row>
    <row r="104" spans="1:10">
      <c r="A104" s="1" t="s">
        <v>301</v>
      </c>
      <c r="B104" s="1" t="s">
        <v>97</v>
      </c>
      <c r="C104" s="41">
        <v>79.3</v>
      </c>
      <c r="D104" s="41">
        <v>79.3</v>
      </c>
      <c r="E104" s="41">
        <v>79.3</v>
      </c>
      <c r="F104" s="41">
        <v>79.3</v>
      </c>
      <c r="G104" s="41">
        <v>79.3</v>
      </c>
      <c r="H104" s="41">
        <v>79.3</v>
      </c>
      <c r="I104" s="41">
        <v>79.3</v>
      </c>
      <c r="J104" s="41">
        <v>79.3</v>
      </c>
    </row>
    <row r="105" spans="1:10">
      <c r="A105" s="1" t="s">
        <v>302</v>
      </c>
      <c r="B105" s="1" t="s">
        <v>97</v>
      </c>
      <c r="C105" s="41">
        <v>32.453053309824057</v>
      </c>
      <c r="D105" s="41">
        <v>32.453053309824057</v>
      </c>
      <c r="E105" s="41">
        <v>32.453053309824057</v>
      </c>
      <c r="F105" s="41">
        <v>32.453053309824057</v>
      </c>
      <c r="G105" s="41">
        <v>32.453053309824057</v>
      </c>
      <c r="H105" s="41">
        <v>32.453053309824057</v>
      </c>
      <c r="I105" s="41">
        <v>32.453053309824057</v>
      </c>
      <c r="J105" s="41">
        <v>32.453053309824057</v>
      </c>
    </row>
    <row r="106" spans="1:10">
      <c r="A106" s="1" t="s">
        <v>303</v>
      </c>
      <c r="B106" s="1" t="s">
        <v>97</v>
      </c>
      <c r="C106" s="41">
        <v>40.473333333333336</v>
      </c>
      <c r="D106" s="41">
        <v>40.473333333333336</v>
      </c>
      <c r="E106" s="41">
        <v>40.473333333333336</v>
      </c>
      <c r="F106" s="41">
        <v>40.473333333333336</v>
      </c>
      <c r="G106" s="41">
        <v>40.473333333333336</v>
      </c>
      <c r="H106" s="41">
        <v>40.473333333333336</v>
      </c>
      <c r="I106" s="41">
        <v>40.473333333333336</v>
      </c>
      <c r="J106" s="41">
        <v>40.473333333333336</v>
      </c>
    </row>
    <row r="107" spans="1:10">
      <c r="A107" s="1" t="s">
        <v>304</v>
      </c>
      <c r="B107" s="1" t="s">
        <v>97</v>
      </c>
      <c r="C107" s="41">
        <v>3.5966666666666667</v>
      </c>
      <c r="D107" s="41">
        <v>3.5966666666666667</v>
      </c>
      <c r="E107" s="41">
        <v>3.5966666666666667</v>
      </c>
      <c r="F107" s="41">
        <v>3.5966666666666667</v>
      </c>
      <c r="G107" s="41">
        <v>3.5966666666666667</v>
      </c>
      <c r="H107" s="41">
        <v>3.5966666666666667</v>
      </c>
      <c r="I107" s="41">
        <v>3.5966666666666667</v>
      </c>
      <c r="J107" s="41">
        <v>3.5966666666666667</v>
      </c>
    </row>
    <row r="108" spans="1:10">
      <c r="A108" s="1" t="s">
        <v>305</v>
      </c>
      <c r="B108" s="1" t="s">
        <v>97</v>
      </c>
      <c r="C108" s="41">
        <v>11.786666666666667</v>
      </c>
      <c r="D108" s="41">
        <v>11.786666666666667</v>
      </c>
      <c r="E108" s="41">
        <v>11.786666666666667</v>
      </c>
      <c r="F108" s="41">
        <v>11.786666666666667</v>
      </c>
      <c r="G108" s="41">
        <v>11.786666666666667</v>
      </c>
      <c r="H108" s="41">
        <v>11.786666666666667</v>
      </c>
      <c r="I108" s="41">
        <v>11.786666666666667</v>
      </c>
      <c r="J108" s="41">
        <v>11.786666666666667</v>
      </c>
    </row>
    <row r="109" spans="1:10">
      <c r="A109" s="1" t="s">
        <v>306</v>
      </c>
      <c r="B109" s="1" t="s">
        <v>97</v>
      </c>
      <c r="C109" s="41">
        <v>0</v>
      </c>
      <c r="D109" s="41">
        <v>0</v>
      </c>
      <c r="E109" s="41">
        <v>0</v>
      </c>
      <c r="F109" s="41">
        <v>0</v>
      </c>
      <c r="G109" s="41">
        <v>0</v>
      </c>
      <c r="H109" s="41">
        <v>0</v>
      </c>
      <c r="I109" s="41">
        <v>0</v>
      </c>
      <c r="J109" s="41">
        <v>0</v>
      </c>
    </row>
    <row r="110" spans="1:10">
      <c r="A110" s="1" t="s">
        <v>307</v>
      </c>
      <c r="B110" s="1" t="s">
        <v>97</v>
      </c>
      <c r="C110" s="41">
        <v>92.083333333333329</v>
      </c>
      <c r="D110" s="41">
        <v>92.083333333333329</v>
      </c>
      <c r="E110" s="41">
        <v>92.083333333333329</v>
      </c>
      <c r="F110" s="41">
        <v>92.083333333333329</v>
      </c>
      <c r="G110" s="41">
        <v>92.083333333333329</v>
      </c>
      <c r="H110" s="41">
        <v>92.083333333333329</v>
      </c>
      <c r="I110" s="41">
        <v>92.083333333333329</v>
      </c>
      <c r="J110" s="41">
        <v>92.083333333333329</v>
      </c>
    </row>
    <row r="111" spans="1:10">
      <c r="A111" s="1" t="s">
        <v>308</v>
      </c>
      <c r="B111" s="1" t="s">
        <v>97</v>
      </c>
      <c r="C111" s="41">
        <v>6.8466666666666667</v>
      </c>
      <c r="D111" s="41">
        <v>6.8466666666666667</v>
      </c>
      <c r="E111" s="41">
        <v>6.8466666666666667</v>
      </c>
      <c r="F111" s="41">
        <v>6.8466666666666667</v>
      </c>
      <c r="G111" s="41">
        <v>6.8466666666666667</v>
      </c>
      <c r="H111" s="41">
        <v>6.8466666666666667</v>
      </c>
      <c r="I111" s="41">
        <v>6.8466666666666667</v>
      </c>
      <c r="J111" s="41">
        <v>6.8466666666666667</v>
      </c>
    </row>
    <row r="112" spans="1:10">
      <c r="A112" s="1" t="s">
        <v>309</v>
      </c>
      <c r="B112" s="1" t="s">
        <v>97</v>
      </c>
      <c r="C112" s="41">
        <v>16.293333333333333</v>
      </c>
      <c r="D112" s="41">
        <v>16.293333333333333</v>
      </c>
      <c r="E112" s="41">
        <v>16.293333333333333</v>
      </c>
      <c r="F112" s="41">
        <v>16.293333333333333</v>
      </c>
      <c r="G112" s="41">
        <v>16.293333333333333</v>
      </c>
      <c r="H112" s="41">
        <v>16.293333333333333</v>
      </c>
      <c r="I112" s="41">
        <v>16.293333333333333</v>
      </c>
      <c r="J112" s="41">
        <v>16.293333333333333</v>
      </c>
    </row>
    <row r="113" spans="1:10">
      <c r="A113" s="1" t="s">
        <v>310</v>
      </c>
      <c r="B113" s="1" t="s">
        <v>97</v>
      </c>
      <c r="C113" s="41">
        <v>12.306666666666665</v>
      </c>
      <c r="D113" s="41">
        <v>12.306666666666665</v>
      </c>
      <c r="E113" s="41">
        <v>12.306666666666665</v>
      </c>
      <c r="F113" s="41">
        <v>12.306666666666665</v>
      </c>
      <c r="G113" s="41">
        <v>12.306666666666665</v>
      </c>
      <c r="H113" s="41">
        <v>12.306666666666665</v>
      </c>
      <c r="I113" s="41">
        <v>12.306666666666665</v>
      </c>
      <c r="J113" s="41">
        <v>12.306666666666665</v>
      </c>
    </row>
    <row r="114" spans="1:10">
      <c r="A114" s="1" t="s">
        <v>311</v>
      </c>
      <c r="B114" s="1" t="s">
        <v>97</v>
      </c>
      <c r="C114" s="41">
        <v>0</v>
      </c>
      <c r="D114" s="41">
        <v>0</v>
      </c>
      <c r="E114" s="41">
        <v>0</v>
      </c>
      <c r="F114" s="41">
        <v>0</v>
      </c>
      <c r="G114" s="41">
        <v>0</v>
      </c>
      <c r="H114" s="41">
        <v>0</v>
      </c>
      <c r="I114" s="41">
        <v>0</v>
      </c>
      <c r="J114" s="41">
        <v>0</v>
      </c>
    </row>
    <row r="115" spans="1:10">
      <c r="A115" s="1" t="s">
        <v>312</v>
      </c>
      <c r="B115" s="1" t="s">
        <v>97</v>
      </c>
      <c r="C115" s="41">
        <v>0</v>
      </c>
      <c r="D115" s="41">
        <v>0</v>
      </c>
      <c r="E115" s="41">
        <v>0</v>
      </c>
      <c r="F115" s="41">
        <v>0</v>
      </c>
      <c r="G115" s="41">
        <v>0</v>
      </c>
      <c r="H115" s="41">
        <v>0</v>
      </c>
      <c r="I115" s="41">
        <v>0</v>
      </c>
      <c r="J115" s="41">
        <v>0</v>
      </c>
    </row>
    <row r="116" spans="1:10">
      <c r="A116" s="1" t="s">
        <v>277</v>
      </c>
      <c r="B116" s="1" t="s">
        <v>96</v>
      </c>
      <c r="C116" s="41">
        <v>5.4214585993004292</v>
      </c>
      <c r="D116" s="41">
        <v>5.4214585993004292</v>
      </c>
      <c r="E116" s="41">
        <v>5.4214585993004292</v>
      </c>
      <c r="F116" s="41">
        <v>5.4214585993004292</v>
      </c>
      <c r="G116" s="41">
        <v>5.4214585993004292</v>
      </c>
      <c r="H116" s="41">
        <v>5.4214585993004292</v>
      </c>
      <c r="I116" s="41">
        <v>5.4214585993004292</v>
      </c>
      <c r="J116" s="41">
        <v>5.4214585993004292</v>
      </c>
    </row>
    <row r="117" spans="1:10">
      <c r="A117" s="1" t="s">
        <v>278</v>
      </c>
      <c r="B117" s="1" t="s">
        <v>96</v>
      </c>
      <c r="C117" s="41">
        <v>19.846666666666668</v>
      </c>
      <c r="D117" s="41">
        <v>19.846666666666668</v>
      </c>
      <c r="E117" s="41">
        <v>19.846666666666668</v>
      </c>
      <c r="F117" s="41">
        <v>19.846666666666668</v>
      </c>
      <c r="G117" s="41">
        <v>19.846666666666668</v>
      </c>
      <c r="H117" s="41">
        <v>19.846666666666668</v>
      </c>
      <c r="I117" s="41">
        <v>19.846666666666668</v>
      </c>
      <c r="J117" s="41">
        <v>19.846666666666668</v>
      </c>
    </row>
    <row r="118" spans="1:10">
      <c r="A118" s="1" t="s">
        <v>279</v>
      </c>
      <c r="B118" s="1" t="s">
        <v>96</v>
      </c>
      <c r="C118" s="41">
        <v>8.7321538486080339</v>
      </c>
      <c r="D118" s="41">
        <v>8.7321538486080339</v>
      </c>
      <c r="E118" s="41">
        <v>8.7321538486080339</v>
      </c>
      <c r="F118" s="41">
        <v>8.7321538486080339</v>
      </c>
      <c r="G118" s="41">
        <v>8.7321538486080339</v>
      </c>
      <c r="H118" s="41">
        <v>8.7321538486080339</v>
      </c>
      <c r="I118" s="41">
        <v>8.7321538486080339</v>
      </c>
      <c r="J118" s="41">
        <v>8.7321538486080339</v>
      </c>
    </row>
    <row r="119" spans="1:10">
      <c r="A119" s="1" t="s">
        <v>280</v>
      </c>
      <c r="B119" s="1" t="s">
        <v>96</v>
      </c>
      <c r="C119" s="41">
        <v>7.67</v>
      </c>
      <c r="D119" s="41">
        <v>7.67</v>
      </c>
      <c r="E119" s="41">
        <v>7.67</v>
      </c>
      <c r="F119" s="41">
        <v>7.67</v>
      </c>
      <c r="G119" s="41">
        <v>7.67</v>
      </c>
      <c r="H119" s="41">
        <v>7.67</v>
      </c>
      <c r="I119" s="41">
        <v>7.67</v>
      </c>
      <c r="J119" s="41">
        <v>7.67</v>
      </c>
    </row>
    <row r="120" spans="1:10">
      <c r="A120" s="1" t="s">
        <v>281</v>
      </c>
      <c r="B120" s="1" t="s">
        <v>96</v>
      </c>
      <c r="C120" s="41">
        <v>29.683333333333334</v>
      </c>
      <c r="D120" s="41">
        <v>29.683333333333334</v>
      </c>
      <c r="E120" s="41">
        <v>29.683333333333334</v>
      </c>
      <c r="F120" s="41">
        <v>29.683333333333334</v>
      </c>
      <c r="G120" s="41">
        <v>29.683333333333334</v>
      </c>
      <c r="H120" s="41">
        <v>29.683333333333334</v>
      </c>
      <c r="I120" s="41">
        <v>29.683333333333334</v>
      </c>
      <c r="J120" s="41">
        <v>29.683333333333334</v>
      </c>
    </row>
    <row r="121" spans="1:10">
      <c r="A121" s="1" t="s">
        <v>282</v>
      </c>
      <c r="B121" s="1" t="s">
        <v>96</v>
      </c>
      <c r="C121" s="41">
        <v>9.0133333333333336</v>
      </c>
      <c r="D121" s="41">
        <v>9.0133333333333336</v>
      </c>
      <c r="E121" s="41">
        <v>9.0133333333333336</v>
      </c>
      <c r="F121" s="41">
        <v>9.0133333333333336</v>
      </c>
      <c r="G121" s="41">
        <v>9.0133333333333336</v>
      </c>
      <c r="H121" s="41">
        <v>9.0133333333333336</v>
      </c>
      <c r="I121" s="41">
        <v>9.0133333333333336</v>
      </c>
      <c r="J121" s="41">
        <v>9.0133333333333336</v>
      </c>
    </row>
    <row r="122" spans="1:10">
      <c r="A122" s="1" t="s">
        <v>283</v>
      </c>
      <c r="B122" s="1" t="s">
        <v>96</v>
      </c>
      <c r="C122" s="41">
        <v>24.31</v>
      </c>
      <c r="D122" s="41">
        <v>24.31</v>
      </c>
      <c r="E122" s="41">
        <v>24.31</v>
      </c>
      <c r="F122" s="41">
        <v>24.31</v>
      </c>
      <c r="G122" s="41">
        <v>24.31</v>
      </c>
      <c r="H122" s="41">
        <v>24.31</v>
      </c>
      <c r="I122" s="41">
        <v>24.31</v>
      </c>
      <c r="J122" s="41">
        <v>24.31</v>
      </c>
    </row>
    <row r="123" spans="1:10">
      <c r="A123" s="1" t="s">
        <v>284</v>
      </c>
      <c r="B123" s="1" t="s">
        <v>96</v>
      </c>
      <c r="C123" s="41">
        <v>96.46</v>
      </c>
      <c r="D123" s="41">
        <v>96.46</v>
      </c>
      <c r="E123" s="41">
        <v>96.46</v>
      </c>
      <c r="F123" s="41">
        <v>96.46</v>
      </c>
      <c r="G123" s="41">
        <v>96.46</v>
      </c>
      <c r="H123" s="41">
        <v>96.46</v>
      </c>
      <c r="I123" s="41">
        <v>96.46</v>
      </c>
      <c r="J123" s="41">
        <v>96.46</v>
      </c>
    </row>
    <row r="124" spans="1:10">
      <c r="A124" s="1" t="s">
        <v>285</v>
      </c>
      <c r="B124" s="1" t="s">
        <v>96</v>
      </c>
      <c r="C124" s="41">
        <v>14.126666666666667</v>
      </c>
      <c r="D124" s="41">
        <v>14.126666666666667</v>
      </c>
      <c r="E124" s="41">
        <v>14.126666666666667</v>
      </c>
      <c r="F124" s="41">
        <v>14.126666666666667</v>
      </c>
      <c r="G124" s="41">
        <v>14.126666666666667</v>
      </c>
      <c r="H124" s="41">
        <v>14.126666666666667</v>
      </c>
      <c r="I124" s="41">
        <v>14.126666666666667</v>
      </c>
      <c r="J124" s="41">
        <v>14.126666666666667</v>
      </c>
    </row>
    <row r="125" spans="1:10">
      <c r="A125" s="1" t="s">
        <v>286</v>
      </c>
      <c r="B125" s="1" t="s">
        <v>96</v>
      </c>
      <c r="C125" s="41">
        <v>158.98999999999998</v>
      </c>
      <c r="D125" s="41">
        <v>158.98999999999998</v>
      </c>
      <c r="E125" s="41">
        <v>158.98999999999998</v>
      </c>
      <c r="F125" s="41">
        <v>158.98999999999998</v>
      </c>
      <c r="G125" s="41">
        <v>158.98999999999998</v>
      </c>
      <c r="H125" s="41">
        <v>158.98999999999998</v>
      </c>
      <c r="I125" s="41">
        <v>158.98999999999998</v>
      </c>
      <c r="J125" s="41">
        <v>158.98999999999998</v>
      </c>
    </row>
    <row r="126" spans="1:10">
      <c r="A126" s="1" t="s">
        <v>287</v>
      </c>
      <c r="B126" s="1" t="s">
        <v>96</v>
      </c>
      <c r="C126" s="41">
        <v>31.11333333333333</v>
      </c>
      <c r="D126" s="41">
        <v>31.11333333333333</v>
      </c>
      <c r="E126" s="41">
        <v>31.11333333333333</v>
      </c>
      <c r="F126" s="41">
        <v>31.11333333333333</v>
      </c>
      <c r="G126" s="41">
        <v>31.11333333333333</v>
      </c>
      <c r="H126" s="41">
        <v>31.11333333333333</v>
      </c>
      <c r="I126" s="41">
        <v>31.11333333333333</v>
      </c>
      <c r="J126" s="41">
        <v>31.11333333333333</v>
      </c>
    </row>
    <row r="127" spans="1:10">
      <c r="A127" s="1" t="s">
        <v>288</v>
      </c>
      <c r="B127" s="1" t="s">
        <v>96</v>
      </c>
      <c r="C127" s="41">
        <v>165.40333333333331</v>
      </c>
      <c r="D127" s="41">
        <v>165.40333333333331</v>
      </c>
      <c r="E127" s="41">
        <v>165.40333333333331</v>
      </c>
      <c r="F127" s="41">
        <v>165.40333333333331</v>
      </c>
      <c r="G127" s="41">
        <v>165.40333333333331</v>
      </c>
      <c r="H127" s="41">
        <v>165.40333333333331</v>
      </c>
      <c r="I127" s="41">
        <v>165.40333333333331</v>
      </c>
      <c r="J127" s="41">
        <v>165.40333333333331</v>
      </c>
    </row>
    <row r="128" spans="1:10">
      <c r="A128" s="1" t="s">
        <v>289</v>
      </c>
      <c r="B128" s="1" t="s">
        <v>96</v>
      </c>
      <c r="C128" s="41">
        <v>45.76</v>
      </c>
      <c r="D128" s="41">
        <v>45.76</v>
      </c>
      <c r="E128" s="41">
        <v>45.76</v>
      </c>
      <c r="F128" s="41">
        <v>45.76</v>
      </c>
      <c r="G128" s="41">
        <v>45.76</v>
      </c>
      <c r="H128" s="41">
        <v>45.76</v>
      </c>
      <c r="I128" s="41">
        <v>45.76</v>
      </c>
      <c r="J128" s="41">
        <v>45.76</v>
      </c>
    </row>
    <row r="129" spans="1:10">
      <c r="A129" s="1" t="s">
        <v>290</v>
      </c>
      <c r="B129" s="1" t="s">
        <v>96</v>
      </c>
      <c r="C129" s="41">
        <v>8.58</v>
      </c>
      <c r="D129" s="41">
        <v>8.58</v>
      </c>
      <c r="E129" s="41">
        <v>8.58</v>
      </c>
      <c r="F129" s="41">
        <v>8.58</v>
      </c>
      <c r="G129" s="41">
        <v>8.58</v>
      </c>
      <c r="H129" s="41">
        <v>8.58</v>
      </c>
      <c r="I129" s="41">
        <v>8.58</v>
      </c>
      <c r="J129" s="41">
        <v>8.58</v>
      </c>
    </row>
    <row r="130" spans="1:10">
      <c r="A130" s="1" t="s">
        <v>291</v>
      </c>
      <c r="B130" s="1" t="s">
        <v>96</v>
      </c>
      <c r="C130" s="41">
        <v>29.553333333333335</v>
      </c>
      <c r="D130" s="41">
        <v>29.553333333333335</v>
      </c>
      <c r="E130" s="41">
        <v>29.553333333333335</v>
      </c>
      <c r="F130" s="41">
        <v>29.553333333333335</v>
      </c>
      <c r="G130" s="41">
        <v>29.553333333333335</v>
      </c>
      <c r="H130" s="41">
        <v>29.553333333333335</v>
      </c>
      <c r="I130" s="41">
        <v>29.553333333333335</v>
      </c>
      <c r="J130" s="41">
        <v>29.553333333333335</v>
      </c>
    </row>
    <row r="131" spans="1:10">
      <c r="A131" s="1" t="s">
        <v>292</v>
      </c>
      <c r="B131" s="1" t="s">
        <v>96</v>
      </c>
      <c r="C131" s="41">
        <v>24.396666666666665</v>
      </c>
      <c r="D131" s="41">
        <v>24.396666666666665</v>
      </c>
      <c r="E131" s="41">
        <v>24.396666666666665</v>
      </c>
      <c r="F131" s="41">
        <v>24.396666666666665</v>
      </c>
      <c r="G131" s="41">
        <v>24.396666666666665</v>
      </c>
      <c r="H131" s="41">
        <v>24.396666666666665</v>
      </c>
      <c r="I131" s="41">
        <v>24.396666666666665</v>
      </c>
      <c r="J131" s="41">
        <v>24.396666666666665</v>
      </c>
    </row>
    <row r="132" spans="1:10">
      <c r="A132" s="1" t="s">
        <v>293</v>
      </c>
      <c r="B132" s="1" t="s">
        <v>96</v>
      </c>
      <c r="C132" s="41">
        <v>82.419999999999987</v>
      </c>
      <c r="D132" s="41">
        <v>82.419999999999987</v>
      </c>
      <c r="E132" s="41">
        <v>82.419999999999987</v>
      </c>
      <c r="F132" s="41">
        <v>82.419999999999987</v>
      </c>
      <c r="G132" s="41">
        <v>82.419999999999987</v>
      </c>
      <c r="H132" s="41">
        <v>82.419999999999987</v>
      </c>
      <c r="I132" s="41">
        <v>82.419999999999987</v>
      </c>
      <c r="J132" s="41">
        <v>82.419999999999987</v>
      </c>
    </row>
    <row r="133" spans="1:10">
      <c r="A133" s="1" t="s">
        <v>294</v>
      </c>
      <c r="B133" s="1" t="s">
        <v>96</v>
      </c>
      <c r="C133" s="41">
        <v>0.73666666666666669</v>
      </c>
      <c r="D133" s="41">
        <v>0.73666666666666669</v>
      </c>
      <c r="E133" s="41">
        <v>0.73666666666666669</v>
      </c>
      <c r="F133" s="41">
        <v>0.73666666666666669</v>
      </c>
      <c r="G133" s="41">
        <v>0.73666666666666669</v>
      </c>
      <c r="H133" s="41">
        <v>0.73666666666666669</v>
      </c>
      <c r="I133" s="41">
        <v>0.73666666666666669</v>
      </c>
      <c r="J133" s="41">
        <v>0.73666666666666669</v>
      </c>
    </row>
    <row r="134" spans="1:10">
      <c r="A134" s="1" t="s">
        <v>295</v>
      </c>
      <c r="B134" s="1" t="s">
        <v>96</v>
      </c>
      <c r="C134" s="41">
        <v>3.7798525219574546</v>
      </c>
      <c r="D134" s="41">
        <v>3.7798525219574546</v>
      </c>
      <c r="E134" s="41">
        <v>3.7798525219574546</v>
      </c>
      <c r="F134" s="41">
        <v>3.7798525219574546</v>
      </c>
      <c r="G134" s="41">
        <v>3.7798525219574546</v>
      </c>
      <c r="H134" s="41">
        <v>3.7798525219574546</v>
      </c>
      <c r="I134" s="41">
        <v>3.7798525219574546</v>
      </c>
      <c r="J134" s="41">
        <v>3.7798525219574546</v>
      </c>
    </row>
    <row r="135" spans="1:10">
      <c r="A135" s="1" t="s">
        <v>296</v>
      </c>
      <c r="B135" s="1" t="s">
        <v>96</v>
      </c>
      <c r="C135" s="41">
        <v>7.9834817203100137</v>
      </c>
      <c r="D135" s="41">
        <v>7.9834817203100137</v>
      </c>
      <c r="E135" s="41">
        <v>7.9834817203100137</v>
      </c>
      <c r="F135" s="41">
        <v>7.9834817203100137</v>
      </c>
      <c r="G135" s="41">
        <v>7.9834817203100137</v>
      </c>
      <c r="H135" s="41">
        <v>7.9834817203100137</v>
      </c>
      <c r="I135" s="41">
        <v>7.9834817203100137</v>
      </c>
      <c r="J135" s="41">
        <v>7.9834817203100137</v>
      </c>
    </row>
    <row r="136" spans="1:10">
      <c r="A136" s="1" t="s">
        <v>297</v>
      </c>
      <c r="B136" s="1" t="s">
        <v>96</v>
      </c>
      <c r="C136" s="41">
        <v>10.226666666666668</v>
      </c>
      <c r="D136" s="41">
        <v>10.226666666666668</v>
      </c>
      <c r="E136" s="41">
        <v>10.226666666666668</v>
      </c>
      <c r="F136" s="41">
        <v>10.226666666666668</v>
      </c>
      <c r="G136" s="41">
        <v>10.226666666666668</v>
      </c>
      <c r="H136" s="41">
        <v>10.226666666666668</v>
      </c>
      <c r="I136" s="41">
        <v>10.226666666666668</v>
      </c>
      <c r="J136" s="41">
        <v>10.226666666666668</v>
      </c>
    </row>
    <row r="137" spans="1:10">
      <c r="A137" s="1" t="s">
        <v>298</v>
      </c>
      <c r="B137" s="1" t="s">
        <v>96</v>
      </c>
      <c r="C137" s="41">
        <v>13.953333333333335</v>
      </c>
      <c r="D137" s="41">
        <v>13.953333333333335</v>
      </c>
      <c r="E137" s="41">
        <v>13.953333333333335</v>
      </c>
      <c r="F137" s="41">
        <v>13.953333333333335</v>
      </c>
      <c r="G137" s="41">
        <v>13.953333333333335</v>
      </c>
      <c r="H137" s="41">
        <v>13.953333333333335</v>
      </c>
      <c r="I137" s="41">
        <v>13.953333333333335</v>
      </c>
      <c r="J137" s="41">
        <v>13.953333333333335</v>
      </c>
    </row>
    <row r="138" spans="1:10">
      <c r="A138" s="1" t="s">
        <v>299</v>
      </c>
      <c r="B138" s="1" t="s">
        <v>96</v>
      </c>
      <c r="C138" s="41">
        <v>84.023333333333326</v>
      </c>
      <c r="D138" s="41">
        <v>84.023333333333326</v>
      </c>
      <c r="E138" s="41">
        <v>84.023333333333326</v>
      </c>
      <c r="F138" s="41">
        <v>84.023333333333326</v>
      </c>
      <c r="G138" s="41">
        <v>84.023333333333326</v>
      </c>
      <c r="H138" s="41">
        <v>84.023333333333326</v>
      </c>
      <c r="I138" s="41">
        <v>84.023333333333326</v>
      </c>
      <c r="J138" s="41">
        <v>84.023333333333326</v>
      </c>
    </row>
    <row r="139" spans="1:10">
      <c r="A139" s="1" t="s">
        <v>300</v>
      </c>
      <c r="B139" s="1" t="s">
        <v>96</v>
      </c>
      <c r="C139" s="41">
        <v>22.1</v>
      </c>
      <c r="D139" s="41">
        <v>22.1</v>
      </c>
      <c r="E139" s="41">
        <v>22.1</v>
      </c>
      <c r="F139" s="41">
        <v>22.1</v>
      </c>
      <c r="G139" s="41">
        <v>22.1</v>
      </c>
      <c r="H139" s="41">
        <v>22.1</v>
      </c>
      <c r="I139" s="41">
        <v>22.1</v>
      </c>
      <c r="J139" s="41">
        <v>22.1</v>
      </c>
    </row>
    <row r="140" spans="1:10">
      <c r="A140" s="1" t="s">
        <v>301</v>
      </c>
      <c r="B140" s="1" t="s">
        <v>96</v>
      </c>
      <c r="C140" s="41">
        <v>79.3</v>
      </c>
      <c r="D140" s="41">
        <v>79.3</v>
      </c>
      <c r="E140" s="41">
        <v>79.3</v>
      </c>
      <c r="F140" s="41">
        <v>79.3</v>
      </c>
      <c r="G140" s="41">
        <v>79.3</v>
      </c>
      <c r="H140" s="41">
        <v>79.3</v>
      </c>
      <c r="I140" s="41">
        <v>79.3</v>
      </c>
      <c r="J140" s="41">
        <v>79.3</v>
      </c>
    </row>
    <row r="141" spans="1:10">
      <c r="A141" s="1" t="s">
        <v>302</v>
      </c>
      <c r="B141" s="1" t="s">
        <v>96</v>
      </c>
      <c r="C141" s="41">
        <v>32.453053309824057</v>
      </c>
      <c r="D141" s="41">
        <v>32.453053309824057</v>
      </c>
      <c r="E141" s="41">
        <v>32.453053309824057</v>
      </c>
      <c r="F141" s="41">
        <v>32.453053309824057</v>
      </c>
      <c r="G141" s="41">
        <v>32.453053309824057</v>
      </c>
      <c r="H141" s="41">
        <v>32.453053309824057</v>
      </c>
      <c r="I141" s="41">
        <v>32.453053309824057</v>
      </c>
      <c r="J141" s="41">
        <v>32.453053309824057</v>
      </c>
    </row>
    <row r="142" spans="1:10">
      <c r="A142" s="1" t="s">
        <v>303</v>
      </c>
      <c r="B142" s="1" t="s">
        <v>96</v>
      </c>
      <c r="C142" s="41">
        <v>40.473333333333336</v>
      </c>
      <c r="D142" s="41">
        <v>40.473333333333336</v>
      </c>
      <c r="E142" s="41">
        <v>40.473333333333336</v>
      </c>
      <c r="F142" s="41">
        <v>40.473333333333336</v>
      </c>
      <c r="G142" s="41">
        <v>40.473333333333336</v>
      </c>
      <c r="H142" s="41">
        <v>40.473333333333336</v>
      </c>
      <c r="I142" s="41">
        <v>40.473333333333336</v>
      </c>
      <c r="J142" s="41">
        <v>40.473333333333336</v>
      </c>
    </row>
    <row r="143" spans="1:10">
      <c r="A143" s="1" t="s">
        <v>304</v>
      </c>
      <c r="B143" s="1" t="s">
        <v>96</v>
      </c>
      <c r="C143" s="41">
        <v>3.5966666666666667</v>
      </c>
      <c r="D143" s="41">
        <v>3.5966666666666667</v>
      </c>
      <c r="E143" s="41">
        <v>3.5966666666666667</v>
      </c>
      <c r="F143" s="41">
        <v>3.5966666666666667</v>
      </c>
      <c r="G143" s="41">
        <v>3.5966666666666667</v>
      </c>
      <c r="H143" s="41">
        <v>3.5966666666666667</v>
      </c>
      <c r="I143" s="41">
        <v>3.5966666666666667</v>
      </c>
      <c r="J143" s="41">
        <v>3.5966666666666667</v>
      </c>
    </row>
    <row r="144" spans="1:10">
      <c r="A144" s="1" t="s">
        <v>305</v>
      </c>
      <c r="B144" s="1" t="s">
        <v>96</v>
      </c>
      <c r="C144" s="41">
        <v>11.786666666666667</v>
      </c>
      <c r="D144" s="41">
        <v>11.786666666666667</v>
      </c>
      <c r="E144" s="41">
        <v>11.786666666666667</v>
      </c>
      <c r="F144" s="41">
        <v>11.786666666666667</v>
      </c>
      <c r="G144" s="41">
        <v>11.786666666666667</v>
      </c>
      <c r="H144" s="41">
        <v>11.786666666666667</v>
      </c>
      <c r="I144" s="41">
        <v>11.786666666666667</v>
      </c>
      <c r="J144" s="41">
        <v>11.786666666666667</v>
      </c>
    </row>
    <row r="145" spans="1:10">
      <c r="A145" s="1" t="s">
        <v>306</v>
      </c>
      <c r="B145" s="1" t="s">
        <v>96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</row>
    <row r="146" spans="1:10">
      <c r="A146" s="1" t="s">
        <v>307</v>
      </c>
      <c r="B146" s="1" t="s">
        <v>96</v>
      </c>
      <c r="C146" s="41">
        <v>92.083333333333329</v>
      </c>
      <c r="D146" s="41">
        <v>92.083333333333329</v>
      </c>
      <c r="E146" s="41">
        <v>92.083333333333329</v>
      </c>
      <c r="F146" s="41">
        <v>92.083333333333329</v>
      </c>
      <c r="G146" s="41">
        <v>92.083333333333329</v>
      </c>
      <c r="H146" s="41">
        <v>92.083333333333329</v>
      </c>
      <c r="I146" s="41">
        <v>92.083333333333329</v>
      </c>
      <c r="J146" s="41">
        <v>92.083333333333329</v>
      </c>
    </row>
    <row r="147" spans="1:10">
      <c r="A147" s="1" t="s">
        <v>308</v>
      </c>
      <c r="B147" s="1" t="s">
        <v>96</v>
      </c>
      <c r="C147" s="41">
        <v>6.8466666666666667</v>
      </c>
      <c r="D147" s="41">
        <v>6.8466666666666667</v>
      </c>
      <c r="E147" s="41">
        <v>6.8466666666666667</v>
      </c>
      <c r="F147" s="41">
        <v>6.8466666666666667</v>
      </c>
      <c r="G147" s="41">
        <v>6.8466666666666667</v>
      </c>
      <c r="H147" s="41">
        <v>6.8466666666666667</v>
      </c>
      <c r="I147" s="41">
        <v>6.8466666666666667</v>
      </c>
      <c r="J147" s="41">
        <v>6.8466666666666667</v>
      </c>
    </row>
    <row r="148" spans="1:10">
      <c r="A148" s="1" t="s">
        <v>309</v>
      </c>
      <c r="B148" s="1" t="s">
        <v>96</v>
      </c>
      <c r="C148" s="41">
        <v>16.293333333333333</v>
      </c>
      <c r="D148" s="41">
        <v>16.293333333333333</v>
      </c>
      <c r="E148" s="41">
        <v>16.293333333333333</v>
      </c>
      <c r="F148" s="41">
        <v>16.293333333333333</v>
      </c>
      <c r="G148" s="41">
        <v>16.293333333333333</v>
      </c>
      <c r="H148" s="41">
        <v>16.293333333333333</v>
      </c>
      <c r="I148" s="41">
        <v>16.293333333333333</v>
      </c>
      <c r="J148" s="41">
        <v>16.293333333333333</v>
      </c>
    </row>
    <row r="149" spans="1:10">
      <c r="A149" s="1" t="s">
        <v>310</v>
      </c>
      <c r="B149" s="1" t="s">
        <v>96</v>
      </c>
      <c r="C149" s="41">
        <v>12.306666666666665</v>
      </c>
      <c r="D149" s="41">
        <v>12.306666666666665</v>
      </c>
      <c r="E149" s="41">
        <v>12.306666666666665</v>
      </c>
      <c r="F149" s="41">
        <v>12.306666666666665</v>
      </c>
      <c r="G149" s="41">
        <v>12.306666666666665</v>
      </c>
      <c r="H149" s="41">
        <v>12.306666666666665</v>
      </c>
      <c r="I149" s="41">
        <v>12.306666666666665</v>
      </c>
      <c r="J149" s="41">
        <v>12.306666666666665</v>
      </c>
    </row>
    <row r="150" spans="1:10">
      <c r="A150" s="1" t="s">
        <v>311</v>
      </c>
      <c r="B150" s="1" t="s">
        <v>96</v>
      </c>
      <c r="C150" s="41">
        <v>0</v>
      </c>
      <c r="D150" s="41">
        <v>0</v>
      </c>
      <c r="E150" s="41">
        <v>0</v>
      </c>
      <c r="F150" s="41">
        <v>0</v>
      </c>
      <c r="G150" s="41">
        <v>0</v>
      </c>
      <c r="H150" s="41">
        <v>0</v>
      </c>
      <c r="I150" s="41">
        <v>0</v>
      </c>
      <c r="J150" s="41">
        <v>0</v>
      </c>
    </row>
    <row r="151" spans="1:10">
      <c r="A151" s="1" t="s">
        <v>312</v>
      </c>
      <c r="B151" s="1" t="s">
        <v>96</v>
      </c>
      <c r="C151" s="41">
        <v>0</v>
      </c>
      <c r="D151" s="41">
        <v>0</v>
      </c>
      <c r="E151" s="41">
        <v>0</v>
      </c>
      <c r="F151" s="41">
        <v>0</v>
      </c>
      <c r="G151" s="41">
        <v>0</v>
      </c>
      <c r="H151" s="41">
        <v>0</v>
      </c>
      <c r="I151" s="41">
        <v>0</v>
      </c>
      <c r="J151" s="41">
        <v>0</v>
      </c>
    </row>
    <row r="152" spans="1:10">
      <c r="A152" s="1" t="s">
        <v>277</v>
      </c>
      <c r="B152" s="1" t="s">
        <v>98</v>
      </c>
      <c r="C152" s="41">
        <v>5.4214585993004292</v>
      </c>
      <c r="D152" s="41">
        <v>5.4214585993004292</v>
      </c>
      <c r="E152" s="41">
        <v>5.4214585993004292</v>
      </c>
      <c r="F152" s="41">
        <v>5.4214585993004292</v>
      </c>
      <c r="G152" s="41">
        <v>5.4214585993004292</v>
      </c>
      <c r="H152" s="41">
        <v>5.4214585993004292</v>
      </c>
      <c r="I152" s="41">
        <v>5.4214585993004292</v>
      </c>
      <c r="J152" s="41">
        <v>5.4214585993004292</v>
      </c>
    </row>
    <row r="153" spans="1:10">
      <c r="A153" s="1" t="s">
        <v>278</v>
      </c>
      <c r="B153" s="1" t="s">
        <v>98</v>
      </c>
      <c r="C153" s="41">
        <v>19.846666666666668</v>
      </c>
      <c r="D153" s="41">
        <v>19.846666666666668</v>
      </c>
      <c r="E153" s="41">
        <v>19.846666666666668</v>
      </c>
      <c r="F153" s="41">
        <v>19.846666666666668</v>
      </c>
      <c r="G153" s="41">
        <v>19.846666666666668</v>
      </c>
      <c r="H153" s="41">
        <v>19.846666666666668</v>
      </c>
      <c r="I153" s="41">
        <v>19.846666666666668</v>
      </c>
      <c r="J153" s="41">
        <v>19.846666666666668</v>
      </c>
    </row>
    <row r="154" spans="1:10">
      <c r="A154" s="1" t="s">
        <v>279</v>
      </c>
      <c r="B154" s="1" t="s">
        <v>98</v>
      </c>
      <c r="C154" s="41">
        <v>8.7321538486080339</v>
      </c>
      <c r="D154" s="41">
        <v>8.7321538486080339</v>
      </c>
      <c r="E154" s="41">
        <v>8.7321538486080339</v>
      </c>
      <c r="F154" s="41">
        <v>8.7321538486080339</v>
      </c>
      <c r="G154" s="41">
        <v>8.7321538486080339</v>
      </c>
      <c r="H154" s="41">
        <v>8.7321538486080339</v>
      </c>
      <c r="I154" s="41">
        <v>8.7321538486080339</v>
      </c>
      <c r="J154" s="41">
        <v>8.7321538486080339</v>
      </c>
    </row>
    <row r="155" spans="1:10">
      <c r="A155" s="1" t="s">
        <v>280</v>
      </c>
      <c r="B155" s="1" t="s">
        <v>98</v>
      </c>
      <c r="C155" s="41">
        <v>7.67</v>
      </c>
      <c r="D155" s="41">
        <v>7.67</v>
      </c>
      <c r="E155" s="41">
        <v>7.67</v>
      </c>
      <c r="F155" s="41">
        <v>7.67</v>
      </c>
      <c r="G155" s="41">
        <v>7.67</v>
      </c>
      <c r="H155" s="41">
        <v>7.67</v>
      </c>
      <c r="I155" s="41">
        <v>7.67</v>
      </c>
      <c r="J155" s="41">
        <v>7.67</v>
      </c>
    </row>
    <row r="156" spans="1:10">
      <c r="A156" s="1" t="s">
        <v>281</v>
      </c>
      <c r="B156" s="1" t="s">
        <v>98</v>
      </c>
      <c r="C156" s="41">
        <v>29.683333333333334</v>
      </c>
      <c r="D156" s="41">
        <v>29.683333333333334</v>
      </c>
      <c r="E156" s="41">
        <v>29.683333333333334</v>
      </c>
      <c r="F156" s="41">
        <v>29.683333333333334</v>
      </c>
      <c r="G156" s="41">
        <v>29.683333333333334</v>
      </c>
      <c r="H156" s="41">
        <v>29.683333333333334</v>
      </c>
      <c r="I156" s="41">
        <v>29.683333333333334</v>
      </c>
      <c r="J156" s="41">
        <v>29.683333333333334</v>
      </c>
    </row>
    <row r="157" spans="1:10">
      <c r="A157" s="1" t="s">
        <v>282</v>
      </c>
      <c r="B157" s="1" t="s">
        <v>98</v>
      </c>
      <c r="C157" s="41">
        <v>9.0133333333333336</v>
      </c>
      <c r="D157" s="41">
        <v>9.0133333333333336</v>
      </c>
      <c r="E157" s="41">
        <v>9.0133333333333336</v>
      </c>
      <c r="F157" s="41">
        <v>9.0133333333333336</v>
      </c>
      <c r="G157" s="41">
        <v>9.0133333333333336</v>
      </c>
      <c r="H157" s="41">
        <v>9.0133333333333336</v>
      </c>
      <c r="I157" s="41">
        <v>9.0133333333333336</v>
      </c>
      <c r="J157" s="41">
        <v>9.0133333333333336</v>
      </c>
    </row>
    <row r="158" spans="1:10">
      <c r="A158" s="1" t="s">
        <v>283</v>
      </c>
      <c r="B158" s="1" t="s">
        <v>98</v>
      </c>
      <c r="C158" s="41">
        <v>24.31</v>
      </c>
      <c r="D158" s="41">
        <v>24.31</v>
      </c>
      <c r="E158" s="41">
        <v>24.31</v>
      </c>
      <c r="F158" s="41">
        <v>24.31</v>
      </c>
      <c r="G158" s="41">
        <v>24.31</v>
      </c>
      <c r="H158" s="41">
        <v>24.31</v>
      </c>
      <c r="I158" s="41">
        <v>24.31</v>
      </c>
      <c r="J158" s="41">
        <v>24.31</v>
      </c>
    </row>
    <row r="159" spans="1:10">
      <c r="A159" s="1" t="s">
        <v>284</v>
      </c>
      <c r="B159" s="1" t="s">
        <v>98</v>
      </c>
      <c r="C159" s="41">
        <v>96.46</v>
      </c>
      <c r="D159" s="41">
        <v>96.46</v>
      </c>
      <c r="E159" s="41">
        <v>96.46</v>
      </c>
      <c r="F159" s="41">
        <v>96.46</v>
      </c>
      <c r="G159" s="41">
        <v>96.46</v>
      </c>
      <c r="H159" s="41">
        <v>96.46</v>
      </c>
      <c r="I159" s="41">
        <v>96.46</v>
      </c>
      <c r="J159" s="41">
        <v>96.46</v>
      </c>
    </row>
    <row r="160" spans="1:10">
      <c r="A160" s="1" t="s">
        <v>285</v>
      </c>
      <c r="B160" s="1" t="s">
        <v>98</v>
      </c>
      <c r="C160" s="41">
        <v>14.126666666666667</v>
      </c>
      <c r="D160" s="41">
        <v>14.126666666666667</v>
      </c>
      <c r="E160" s="41">
        <v>14.126666666666667</v>
      </c>
      <c r="F160" s="41">
        <v>14.126666666666667</v>
      </c>
      <c r="G160" s="41">
        <v>14.126666666666667</v>
      </c>
      <c r="H160" s="41">
        <v>14.126666666666667</v>
      </c>
      <c r="I160" s="41">
        <v>14.126666666666667</v>
      </c>
      <c r="J160" s="41">
        <v>14.126666666666667</v>
      </c>
    </row>
    <row r="161" spans="1:10">
      <c r="A161" s="1" t="s">
        <v>286</v>
      </c>
      <c r="B161" s="1" t="s">
        <v>98</v>
      </c>
      <c r="C161" s="41">
        <v>158.98999999999998</v>
      </c>
      <c r="D161" s="41">
        <v>158.98999999999998</v>
      </c>
      <c r="E161" s="41">
        <v>158.98999999999998</v>
      </c>
      <c r="F161" s="41">
        <v>158.98999999999998</v>
      </c>
      <c r="G161" s="41">
        <v>158.98999999999998</v>
      </c>
      <c r="H161" s="41">
        <v>158.98999999999998</v>
      </c>
      <c r="I161" s="41">
        <v>158.98999999999998</v>
      </c>
      <c r="J161" s="41">
        <v>158.98999999999998</v>
      </c>
    </row>
    <row r="162" spans="1:10">
      <c r="A162" s="1" t="s">
        <v>287</v>
      </c>
      <c r="B162" s="1" t="s">
        <v>98</v>
      </c>
      <c r="C162" s="41">
        <v>31.11333333333333</v>
      </c>
      <c r="D162" s="41">
        <v>31.11333333333333</v>
      </c>
      <c r="E162" s="41">
        <v>31.11333333333333</v>
      </c>
      <c r="F162" s="41">
        <v>31.11333333333333</v>
      </c>
      <c r="G162" s="41">
        <v>31.11333333333333</v>
      </c>
      <c r="H162" s="41">
        <v>31.11333333333333</v>
      </c>
      <c r="I162" s="41">
        <v>31.11333333333333</v>
      </c>
      <c r="J162" s="41">
        <v>31.11333333333333</v>
      </c>
    </row>
    <row r="163" spans="1:10">
      <c r="A163" s="1" t="s">
        <v>288</v>
      </c>
      <c r="B163" s="1" t="s">
        <v>98</v>
      </c>
      <c r="C163" s="41">
        <v>165.40333333333331</v>
      </c>
      <c r="D163" s="41">
        <v>165.40333333333331</v>
      </c>
      <c r="E163" s="41">
        <v>165.40333333333331</v>
      </c>
      <c r="F163" s="41">
        <v>165.40333333333331</v>
      </c>
      <c r="G163" s="41">
        <v>165.40333333333331</v>
      </c>
      <c r="H163" s="41">
        <v>165.40333333333331</v>
      </c>
      <c r="I163" s="41">
        <v>165.40333333333331</v>
      </c>
      <c r="J163" s="41">
        <v>165.40333333333331</v>
      </c>
    </row>
    <row r="164" spans="1:10">
      <c r="A164" s="1" t="s">
        <v>289</v>
      </c>
      <c r="B164" s="1" t="s">
        <v>98</v>
      </c>
      <c r="C164" s="41">
        <v>45.76</v>
      </c>
      <c r="D164" s="41">
        <v>45.76</v>
      </c>
      <c r="E164" s="41">
        <v>45.76</v>
      </c>
      <c r="F164" s="41">
        <v>45.76</v>
      </c>
      <c r="G164" s="41">
        <v>45.76</v>
      </c>
      <c r="H164" s="41">
        <v>45.76</v>
      </c>
      <c r="I164" s="41">
        <v>45.76</v>
      </c>
      <c r="J164" s="41">
        <v>45.76</v>
      </c>
    </row>
    <row r="165" spans="1:10">
      <c r="A165" s="1" t="s">
        <v>290</v>
      </c>
      <c r="B165" s="1" t="s">
        <v>98</v>
      </c>
      <c r="C165" s="41">
        <v>8.58</v>
      </c>
      <c r="D165" s="41">
        <v>8.58</v>
      </c>
      <c r="E165" s="41">
        <v>8.58</v>
      </c>
      <c r="F165" s="41">
        <v>8.58</v>
      </c>
      <c r="G165" s="41">
        <v>8.58</v>
      </c>
      <c r="H165" s="41">
        <v>8.58</v>
      </c>
      <c r="I165" s="41">
        <v>8.58</v>
      </c>
      <c r="J165" s="41">
        <v>8.58</v>
      </c>
    </row>
    <row r="166" spans="1:10">
      <c r="A166" s="1" t="s">
        <v>291</v>
      </c>
      <c r="B166" s="1" t="s">
        <v>98</v>
      </c>
      <c r="C166" s="41">
        <v>29.553333333333335</v>
      </c>
      <c r="D166" s="41">
        <v>29.553333333333335</v>
      </c>
      <c r="E166" s="41">
        <v>29.553333333333335</v>
      </c>
      <c r="F166" s="41">
        <v>29.553333333333335</v>
      </c>
      <c r="G166" s="41">
        <v>29.553333333333335</v>
      </c>
      <c r="H166" s="41">
        <v>29.553333333333335</v>
      </c>
      <c r="I166" s="41">
        <v>29.553333333333335</v>
      </c>
      <c r="J166" s="41">
        <v>29.553333333333335</v>
      </c>
    </row>
    <row r="167" spans="1:10">
      <c r="A167" s="1" t="s">
        <v>292</v>
      </c>
      <c r="B167" s="1" t="s">
        <v>98</v>
      </c>
      <c r="C167" s="41">
        <v>24.396666666666665</v>
      </c>
      <c r="D167" s="41">
        <v>24.396666666666665</v>
      </c>
      <c r="E167" s="41">
        <v>24.396666666666665</v>
      </c>
      <c r="F167" s="41">
        <v>24.396666666666665</v>
      </c>
      <c r="G167" s="41">
        <v>24.396666666666665</v>
      </c>
      <c r="H167" s="41">
        <v>24.396666666666665</v>
      </c>
      <c r="I167" s="41">
        <v>24.396666666666665</v>
      </c>
      <c r="J167" s="41">
        <v>24.396666666666665</v>
      </c>
    </row>
    <row r="168" spans="1:10">
      <c r="A168" s="1" t="s">
        <v>293</v>
      </c>
      <c r="B168" s="1" t="s">
        <v>98</v>
      </c>
      <c r="C168" s="41">
        <v>82.419999999999987</v>
      </c>
      <c r="D168" s="41">
        <v>82.419999999999987</v>
      </c>
      <c r="E168" s="41">
        <v>82.419999999999987</v>
      </c>
      <c r="F168" s="41">
        <v>82.419999999999987</v>
      </c>
      <c r="G168" s="41">
        <v>82.419999999999987</v>
      </c>
      <c r="H168" s="41">
        <v>82.419999999999987</v>
      </c>
      <c r="I168" s="41">
        <v>82.419999999999987</v>
      </c>
      <c r="J168" s="41">
        <v>82.419999999999987</v>
      </c>
    </row>
    <row r="169" spans="1:10">
      <c r="A169" s="1" t="s">
        <v>294</v>
      </c>
      <c r="B169" s="1" t="s">
        <v>98</v>
      </c>
      <c r="C169" s="41">
        <v>0.73666666666666669</v>
      </c>
      <c r="D169" s="41">
        <v>0.73666666666666669</v>
      </c>
      <c r="E169" s="41">
        <v>0.73666666666666669</v>
      </c>
      <c r="F169" s="41">
        <v>0.73666666666666669</v>
      </c>
      <c r="G169" s="41">
        <v>0.73666666666666669</v>
      </c>
      <c r="H169" s="41">
        <v>0.73666666666666669</v>
      </c>
      <c r="I169" s="41">
        <v>0.73666666666666669</v>
      </c>
      <c r="J169" s="41">
        <v>0.73666666666666669</v>
      </c>
    </row>
    <row r="170" spans="1:10">
      <c r="A170" s="1" t="s">
        <v>295</v>
      </c>
      <c r="B170" s="1" t="s">
        <v>98</v>
      </c>
      <c r="C170" s="41">
        <v>3.7798525219574546</v>
      </c>
      <c r="D170" s="41">
        <v>3.7798525219574546</v>
      </c>
      <c r="E170" s="41">
        <v>3.7798525219574546</v>
      </c>
      <c r="F170" s="41">
        <v>3.7798525219574546</v>
      </c>
      <c r="G170" s="41">
        <v>3.7798525219574546</v>
      </c>
      <c r="H170" s="41">
        <v>3.7798525219574546</v>
      </c>
      <c r="I170" s="41">
        <v>3.7798525219574546</v>
      </c>
      <c r="J170" s="41">
        <v>3.7798525219574546</v>
      </c>
    </row>
    <row r="171" spans="1:10">
      <c r="A171" s="1" t="s">
        <v>296</v>
      </c>
      <c r="B171" s="1" t="s">
        <v>98</v>
      </c>
      <c r="C171" s="41">
        <v>7.9834817203100137</v>
      </c>
      <c r="D171" s="41">
        <v>7.9834817203100137</v>
      </c>
      <c r="E171" s="41">
        <v>7.9834817203100137</v>
      </c>
      <c r="F171" s="41">
        <v>7.9834817203100137</v>
      </c>
      <c r="G171" s="41">
        <v>7.9834817203100137</v>
      </c>
      <c r="H171" s="41">
        <v>7.9834817203100137</v>
      </c>
      <c r="I171" s="41">
        <v>7.9834817203100137</v>
      </c>
      <c r="J171" s="41">
        <v>7.9834817203100137</v>
      </c>
    </row>
    <row r="172" spans="1:10">
      <c r="A172" s="1" t="s">
        <v>297</v>
      </c>
      <c r="B172" s="1" t="s">
        <v>98</v>
      </c>
      <c r="C172" s="41">
        <v>10.226666666666668</v>
      </c>
      <c r="D172" s="41">
        <v>10.226666666666668</v>
      </c>
      <c r="E172" s="41">
        <v>10.226666666666668</v>
      </c>
      <c r="F172" s="41">
        <v>10.226666666666668</v>
      </c>
      <c r="G172" s="41">
        <v>10.226666666666668</v>
      </c>
      <c r="H172" s="41">
        <v>10.226666666666668</v>
      </c>
      <c r="I172" s="41">
        <v>10.226666666666668</v>
      </c>
      <c r="J172" s="41">
        <v>10.226666666666668</v>
      </c>
    </row>
    <row r="173" spans="1:10">
      <c r="A173" s="1" t="s">
        <v>298</v>
      </c>
      <c r="B173" s="1" t="s">
        <v>98</v>
      </c>
      <c r="C173" s="41">
        <v>13.953333333333335</v>
      </c>
      <c r="D173" s="41">
        <v>13.953333333333335</v>
      </c>
      <c r="E173" s="41">
        <v>13.953333333333335</v>
      </c>
      <c r="F173" s="41">
        <v>13.953333333333335</v>
      </c>
      <c r="G173" s="41">
        <v>13.953333333333335</v>
      </c>
      <c r="H173" s="41">
        <v>13.953333333333335</v>
      </c>
      <c r="I173" s="41">
        <v>13.953333333333335</v>
      </c>
      <c r="J173" s="41">
        <v>13.953333333333335</v>
      </c>
    </row>
    <row r="174" spans="1:10">
      <c r="A174" s="1" t="s">
        <v>299</v>
      </c>
      <c r="B174" s="1" t="s">
        <v>98</v>
      </c>
      <c r="C174" s="41">
        <v>84.023333333333326</v>
      </c>
      <c r="D174" s="41">
        <v>84.023333333333326</v>
      </c>
      <c r="E174" s="41">
        <v>84.023333333333326</v>
      </c>
      <c r="F174" s="41">
        <v>84.023333333333326</v>
      </c>
      <c r="G174" s="41">
        <v>84.023333333333326</v>
      </c>
      <c r="H174" s="41">
        <v>84.023333333333326</v>
      </c>
      <c r="I174" s="41">
        <v>84.023333333333326</v>
      </c>
      <c r="J174" s="41">
        <v>84.023333333333326</v>
      </c>
    </row>
    <row r="175" spans="1:10">
      <c r="A175" s="1" t="s">
        <v>300</v>
      </c>
      <c r="B175" s="1" t="s">
        <v>98</v>
      </c>
      <c r="C175" s="41">
        <v>22.1</v>
      </c>
      <c r="D175" s="41">
        <v>22.1</v>
      </c>
      <c r="E175" s="41">
        <v>22.1</v>
      </c>
      <c r="F175" s="41">
        <v>22.1</v>
      </c>
      <c r="G175" s="41">
        <v>22.1</v>
      </c>
      <c r="H175" s="41">
        <v>22.1</v>
      </c>
      <c r="I175" s="41">
        <v>22.1</v>
      </c>
      <c r="J175" s="41">
        <v>22.1</v>
      </c>
    </row>
    <row r="176" spans="1:10">
      <c r="A176" s="1" t="s">
        <v>301</v>
      </c>
      <c r="B176" s="1" t="s">
        <v>98</v>
      </c>
      <c r="C176" s="41">
        <v>79.3</v>
      </c>
      <c r="D176" s="41">
        <v>79.3</v>
      </c>
      <c r="E176" s="41">
        <v>79.3</v>
      </c>
      <c r="F176" s="41">
        <v>79.3</v>
      </c>
      <c r="G176" s="41">
        <v>79.3</v>
      </c>
      <c r="H176" s="41">
        <v>79.3</v>
      </c>
      <c r="I176" s="41">
        <v>79.3</v>
      </c>
      <c r="J176" s="41">
        <v>79.3</v>
      </c>
    </row>
    <row r="177" spans="1:11">
      <c r="A177" s="1" t="s">
        <v>302</v>
      </c>
      <c r="B177" s="1" t="s">
        <v>98</v>
      </c>
      <c r="C177" s="41">
        <v>32.453053309824057</v>
      </c>
      <c r="D177" s="41">
        <v>32.453053309824057</v>
      </c>
      <c r="E177" s="41">
        <v>32.453053309824057</v>
      </c>
      <c r="F177" s="41">
        <v>32.453053309824057</v>
      </c>
      <c r="G177" s="41">
        <v>32.453053309824057</v>
      </c>
      <c r="H177" s="41">
        <v>32.453053309824057</v>
      </c>
      <c r="I177" s="41">
        <v>32.453053309824057</v>
      </c>
      <c r="J177" s="41">
        <v>32.453053309824057</v>
      </c>
    </row>
    <row r="178" spans="1:11">
      <c r="A178" s="1" t="s">
        <v>303</v>
      </c>
      <c r="B178" s="1" t="s">
        <v>98</v>
      </c>
      <c r="C178" s="41">
        <v>40.473333333333336</v>
      </c>
      <c r="D178" s="41">
        <v>40.473333333333336</v>
      </c>
      <c r="E178" s="41">
        <v>40.473333333333336</v>
      </c>
      <c r="F178" s="41">
        <v>40.473333333333336</v>
      </c>
      <c r="G178" s="41">
        <v>40.473333333333336</v>
      </c>
      <c r="H178" s="41">
        <v>40.473333333333336</v>
      </c>
      <c r="I178" s="41">
        <v>40.473333333333336</v>
      </c>
      <c r="J178" s="41">
        <v>40.473333333333336</v>
      </c>
    </row>
    <row r="179" spans="1:11">
      <c r="A179" s="1" t="s">
        <v>304</v>
      </c>
      <c r="B179" s="1" t="s">
        <v>98</v>
      </c>
      <c r="C179" s="41">
        <v>3.5966666666666667</v>
      </c>
      <c r="D179" s="41">
        <v>3.5966666666666667</v>
      </c>
      <c r="E179" s="41">
        <v>3.5966666666666667</v>
      </c>
      <c r="F179" s="41">
        <v>3.5966666666666667</v>
      </c>
      <c r="G179" s="41">
        <v>3.5966666666666667</v>
      </c>
      <c r="H179" s="41">
        <v>3.5966666666666667</v>
      </c>
      <c r="I179" s="41">
        <v>3.5966666666666667</v>
      </c>
      <c r="J179" s="41">
        <v>3.5966666666666667</v>
      </c>
    </row>
    <row r="180" spans="1:11">
      <c r="A180" s="1" t="s">
        <v>305</v>
      </c>
      <c r="B180" s="1" t="s">
        <v>98</v>
      </c>
      <c r="C180" s="41">
        <v>11.786666666666667</v>
      </c>
      <c r="D180" s="41">
        <v>11.786666666666667</v>
      </c>
      <c r="E180" s="41">
        <v>11.786666666666667</v>
      </c>
      <c r="F180" s="41">
        <v>11.786666666666667</v>
      </c>
      <c r="G180" s="41">
        <v>11.786666666666667</v>
      </c>
      <c r="H180" s="41">
        <v>11.786666666666667</v>
      </c>
      <c r="I180" s="41">
        <v>11.786666666666667</v>
      </c>
      <c r="J180" s="41">
        <v>11.786666666666667</v>
      </c>
    </row>
    <row r="181" spans="1:11">
      <c r="A181" s="1" t="s">
        <v>306</v>
      </c>
      <c r="B181" s="1" t="s">
        <v>98</v>
      </c>
      <c r="C181" s="41">
        <v>0</v>
      </c>
      <c r="D181" s="41">
        <v>0</v>
      </c>
      <c r="E181" s="41">
        <v>0</v>
      </c>
      <c r="F181" s="41">
        <v>0</v>
      </c>
      <c r="G181" s="41">
        <v>0</v>
      </c>
      <c r="H181" s="41">
        <v>0</v>
      </c>
      <c r="I181" s="41">
        <v>0</v>
      </c>
      <c r="J181" s="41">
        <v>0</v>
      </c>
    </row>
    <row r="182" spans="1:11">
      <c r="A182" s="1" t="s">
        <v>307</v>
      </c>
      <c r="B182" s="1" t="s">
        <v>98</v>
      </c>
      <c r="C182" s="41">
        <v>92.083333333333329</v>
      </c>
      <c r="D182" s="41">
        <v>92.083333333333329</v>
      </c>
      <c r="E182" s="41">
        <v>92.083333333333329</v>
      </c>
      <c r="F182" s="41">
        <v>92.083333333333329</v>
      </c>
      <c r="G182" s="41">
        <v>92.083333333333329</v>
      </c>
      <c r="H182" s="41">
        <v>92.083333333333329</v>
      </c>
      <c r="I182" s="41">
        <v>92.083333333333329</v>
      </c>
      <c r="J182" s="41">
        <v>92.083333333333329</v>
      </c>
    </row>
    <row r="183" spans="1:11">
      <c r="A183" s="1" t="s">
        <v>308</v>
      </c>
      <c r="B183" s="1" t="s">
        <v>98</v>
      </c>
      <c r="C183" s="41">
        <v>6.8466666666666667</v>
      </c>
      <c r="D183" s="41">
        <v>6.8466666666666667</v>
      </c>
      <c r="E183" s="41">
        <v>6.8466666666666667</v>
      </c>
      <c r="F183" s="41">
        <v>6.8466666666666667</v>
      </c>
      <c r="G183" s="41">
        <v>6.8466666666666667</v>
      </c>
      <c r="H183" s="41">
        <v>6.8466666666666667</v>
      </c>
      <c r="I183" s="41">
        <v>6.8466666666666667</v>
      </c>
      <c r="J183" s="41">
        <v>6.8466666666666667</v>
      </c>
    </row>
    <row r="184" spans="1:11">
      <c r="A184" s="1" t="s">
        <v>309</v>
      </c>
      <c r="B184" s="1" t="s">
        <v>98</v>
      </c>
      <c r="C184" s="41">
        <v>16.293333333333333</v>
      </c>
      <c r="D184" s="41">
        <v>16.293333333333333</v>
      </c>
      <c r="E184" s="41">
        <v>16.293333333333333</v>
      </c>
      <c r="F184" s="41">
        <v>16.293333333333333</v>
      </c>
      <c r="G184" s="41">
        <v>16.293333333333333</v>
      </c>
      <c r="H184" s="41">
        <v>16.293333333333333</v>
      </c>
      <c r="I184" s="41">
        <v>16.293333333333333</v>
      </c>
      <c r="J184" s="41">
        <v>16.293333333333333</v>
      </c>
    </row>
    <row r="185" spans="1:11">
      <c r="A185" s="1" t="s">
        <v>310</v>
      </c>
      <c r="B185" s="1" t="s">
        <v>98</v>
      </c>
      <c r="C185" s="41">
        <v>12.306666666666665</v>
      </c>
      <c r="D185" s="41">
        <v>12.306666666666665</v>
      </c>
      <c r="E185" s="41">
        <v>12.306666666666665</v>
      </c>
      <c r="F185" s="41">
        <v>12.306666666666665</v>
      </c>
      <c r="G185" s="41">
        <v>12.306666666666665</v>
      </c>
      <c r="H185" s="41">
        <v>12.306666666666665</v>
      </c>
      <c r="I185" s="41">
        <v>12.306666666666665</v>
      </c>
      <c r="J185" s="41">
        <v>12.306666666666665</v>
      </c>
    </row>
    <row r="186" spans="1:11">
      <c r="A186" s="1" t="s">
        <v>311</v>
      </c>
      <c r="B186" s="1" t="s">
        <v>98</v>
      </c>
      <c r="C186" s="41">
        <v>0</v>
      </c>
      <c r="D186" s="41">
        <v>0</v>
      </c>
      <c r="E186" s="41">
        <v>0</v>
      </c>
      <c r="F186" s="41">
        <v>0</v>
      </c>
      <c r="G186" s="41">
        <v>0</v>
      </c>
      <c r="H186" s="41">
        <v>0</v>
      </c>
      <c r="I186" s="41">
        <v>0</v>
      </c>
      <c r="J186" s="41">
        <v>0</v>
      </c>
    </row>
    <row r="187" spans="1:11">
      <c r="A187" s="1" t="s">
        <v>312</v>
      </c>
      <c r="B187" s="1" t="s">
        <v>98</v>
      </c>
      <c r="C187" s="41">
        <v>0</v>
      </c>
      <c r="D187" s="41">
        <v>0</v>
      </c>
      <c r="E187" s="41">
        <v>0</v>
      </c>
      <c r="F187" s="41">
        <v>0</v>
      </c>
      <c r="G187" s="41">
        <v>0</v>
      </c>
      <c r="H187" s="41">
        <v>0</v>
      </c>
      <c r="I187" s="41">
        <v>0</v>
      </c>
      <c r="J187" s="41">
        <v>0</v>
      </c>
    </row>
    <row r="188" spans="1:11">
      <c r="A188" s="1" t="s">
        <v>277</v>
      </c>
      <c r="B188" s="1" t="s">
        <v>170</v>
      </c>
      <c r="C188" s="41">
        <v>0.2133164853473814</v>
      </c>
      <c r="D188" s="41">
        <v>0.2133164853473814</v>
      </c>
      <c r="E188" s="41">
        <v>0.2133164853473814</v>
      </c>
      <c r="F188" s="41">
        <v>0.2133164853473814</v>
      </c>
      <c r="G188" s="41">
        <v>0.2133164853473814</v>
      </c>
      <c r="H188" s="41">
        <v>0.2133164853473814</v>
      </c>
      <c r="I188" s="41">
        <v>0.2133164853473814</v>
      </c>
      <c r="J188" s="41">
        <v>0.2133164853473814</v>
      </c>
      <c r="K188" s="41"/>
    </row>
    <row r="189" spans="1:11">
      <c r="A189" s="1" t="s">
        <v>278</v>
      </c>
      <c r="B189" s="1" t="s">
        <v>170</v>
      </c>
      <c r="C189" s="41">
        <v>0</v>
      </c>
      <c r="D189" s="41">
        <v>0</v>
      </c>
      <c r="E189" s="41">
        <v>0</v>
      </c>
      <c r="F189" s="41">
        <v>0</v>
      </c>
      <c r="G189" s="41">
        <v>0</v>
      </c>
      <c r="H189" s="41">
        <v>0</v>
      </c>
      <c r="I189" s="41">
        <v>0</v>
      </c>
      <c r="J189" s="41">
        <v>0</v>
      </c>
      <c r="K189" s="41"/>
    </row>
    <row r="190" spans="1:11">
      <c r="A190" s="1" t="s">
        <v>279</v>
      </c>
      <c r="B190" s="1" t="s">
        <v>170</v>
      </c>
      <c r="C190" s="41">
        <v>0.34358140606995236</v>
      </c>
      <c r="D190" s="41">
        <v>0.34358140606995236</v>
      </c>
      <c r="E190" s="41">
        <v>0.34358140606995236</v>
      </c>
      <c r="F190" s="41">
        <v>0.34358140606995236</v>
      </c>
      <c r="G190" s="41">
        <v>0.34358140606995236</v>
      </c>
      <c r="H190" s="41">
        <v>0.34358140606995236</v>
      </c>
      <c r="I190" s="41">
        <v>0.34358140606995236</v>
      </c>
      <c r="J190" s="41">
        <v>0.34358140606995236</v>
      </c>
      <c r="K190" s="41"/>
    </row>
    <row r="191" spans="1:11">
      <c r="A191" s="1" t="s">
        <v>280</v>
      </c>
      <c r="B191" s="1" t="s">
        <v>170</v>
      </c>
      <c r="C191" s="41">
        <v>3.9433333333333334</v>
      </c>
      <c r="D191" s="41">
        <v>3.9433333333333334</v>
      </c>
      <c r="E191" s="41">
        <v>3.9433333333333334</v>
      </c>
      <c r="F191" s="41">
        <v>3.9433333333333334</v>
      </c>
      <c r="G191" s="41">
        <v>3.9433333333333334</v>
      </c>
      <c r="H191" s="41">
        <v>3.9433333333333334</v>
      </c>
      <c r="I191" s="41">
        <v>3.9433333333333334</v>
      </c>
      <c r="J191" s="41">
        <v>3.9433333333333334</v>
      </c>
      <c r="K191" s="41"/>
    </row>
    <row r="192" spans="1:11">
      <c r="A192" s="1" t="s">
        <v>281</v>
      </c>
      <c r="B192" s="1" t="s">
        <v>170</v>
      </c>
      <c r="C192" s="41">
        <v>5.0266666666666664</v>
      </c>
      <c r="D192" s="41">
        <v>5.0266666666666664</v>
      </c>
      <c r="E192" s="41">
        <v>5.0266666666666664</v>
      </c>
      <c r="F192" s="41">
        <v>5.0266666666666664</v>
      </c>
      <c r="G192" s="41">
        <v>5.0266666666666664</v>
      </c>
      <c r="H192" s="41">
        <v>5.0266666666666664</v>
      </c>
      <c r="I192" s="41">
        <v>5.0266666666666664</v>
      </c>
      <c r="J192" s="41">
        <v>5.0266666666666664</v>
      </c>
      <c r="K192" s="41"/>
    </row>
    <row r="193" spans="1:11">
      <c r="A193" s="1" t="s">
        <v>282</v>
      </c>
      <c r="B193" s="1" t="s">
        <v>170</v>
      </c>
      <c r="C193" s="41">
        <v>0</v>
      </c>
      <c r="D193" s="41">
        <v>0</v>
      </c>
      <c r="E193" s="41">
        <v>0</v>
      </c>
      <c r="F193" s="41">
        <v>0</v>
      </c>
      <c r="G193" s="41">
        <v>0</v>
      </c>
      <c r="H193" s="41">
        <v>0</v>
      </c>
      <c r="I193" s="41">
        <v>0</v>
      </c>
      <c r="J193" s="41">
        <v>0</v>
      </c>
      <c r="K193" s="41"/>
    </row>
    <row r="194" spans="1:11">
      <c r="A194" s="1" t="s">
        <v>283</v>
      </c>
      <c r="B194" s="1" t="s">
        <v>170</v>
      </c>
      <c r="C194" s="41">
        <v>0</v>
      </c>
      <c r="D194" s="41">
        <v>0</v>
      </c>
      <c r="E194" s="41">
        <v>0</v>
      </c>
      <c r="F194" s="41">
        <v>0</v>
      </c>
      <c r="G194" s="41">
        <v>0</v>
      </c>
      <c r="H194" s="41">
        <v>0</v>
      </c>
      <c r="I194" s="41">
        <v>0</v>
      </c>
      <c r="J194" s="41">
        <v>0</v>
      </c>
      <c r="K194" s="41"/>
    </row>
    <row r="195" spans="1:11">
      <c r="A195" s="1" t="s">
        <v>284</v>
      </c>
      <c r="B195" s="1" t="s">
        <v>170</v>
      </c>
      <c r="C195" s="41">
        <v>36.226666666666667</v>
      </c>
      <c r="D195" s="41">
        <v>36.226666666666667</v>
      </c>
      <c r="E195" s="41">
        <v>36.226666666666667</v>
      </c>
      <c r="F195" s="41">
        <v>36.226666666666667</v>
      </c>
      <c r="G195" s="41">
        <v>36.226666666666667</v>
      </c>
      <c r="H195" s="41">
        <v>36.226666666666667</v>
      </c>
      <c r="I195" s="41">
        <v>36.226666666666667</v>
      </c>
      <c r="J195" s="41">
        <v>36.226666666666667</v>
      </c>
      <c r="K195" s="41"/>
    </row>
    <row r="196" spans="1:11">
      <c r="A196" s="1" t="s">
        <v>285</v>
      </c>
      <c r="B196" s="1" t="s">
        <v>170</v>
      </c>
      <c r="C196" s="41">
        <v>64.566666666666663</v>
      </c>
      <c r="D196" s="41">
        <v>64.566666666666663</v>
      </c>
      <c r="E196" s="41">
        <v>64.566666666666663</v>
      </c>
      <c r="F196" s="41">
        <v>64.566666666666663</v>
      </c>
      <c r="G196" s="41">
        <v>64.566666666666663</v>
      </c>
      <c r="H196" s="41">
        <v>64.566666666666663</v>
      </c>
      <c r="I196" s="41">
        <v>64.566666666666663</v>
      </c>
      <c r="J196" s="41">
        <v>64.566666666666663</v>
      </c>
      <c r="K196" s="41"/>
    </row>
    <row r="197" spans="1:11">
      <c r="A197" s="1" t="s">
        <v>286</v>
      </c>
      <c r="B197" s="1" t="s">
        <v>170</v>
      </c>
      <c r="C197" s="41">
        <v>23.833333333333332</v>
      </c>
      <c r="D197" s="41">
        <v>23.833333333333332</v>
      </c>
      <c r="E197" s="41">
        <v>23.833333333333332</v>
      </c>
      <c r="F197" s="41">
        <v>23.833333333333332</v>
      </c>
      <c r="G197" s="41">
        <v>23.833333333333332</v>
      </c>
      <c r="H197" s="41">
        <v>23.833333333333332</v>
      </c>
      <c r="I197" s="41">
        <v>23.833333333333332</v>
      </c>
      <c r="J197" s="41">
        <v>23.833333333333332</v>
      </c>
      <c r="K197" s="41"/>
    </row>
    <row r="198" spans="1:11">
      <c r="A198" s="1" t="s">
        <v>287</v>
      </c>
      <c r="B198" s="1" t="s">
        <v>170</v>
      </c>
      <c r="C198" s="41">
        <v>56.550000000000004</v>
      </c>
      <c r="D198" s="41">
        <v>56.550000000000004</v>
      </c>
      <c r="E198" s="41">
        <v>56.550000000000004</v>
      </c>
      <c r="F198" s="41">
        <v>56.550000000000004</v>
      </c>
      <c r="G198" s="41">
        <v>56.550000000000004</v>
      </c>
      <c r="H198" s="41">
        <v>56.550000000000004</v>
      </c>
      <c r="I198" s="41">
        <v>56.550000000000004</v>
      </c>
      <c r="J198" s="41">
        <v>56.550000000000004</v>
      </c>
      <c r="K198" s="41"/>
    </row>
    <row r="199" spans="1:11">
      <c r="A199" s="1" t="s">
        <v>288</v>
      </c>
      <c r="B199" s="1" t="s">
        <v>170</v>
      </c>
      <c r="C199" s="41">
        <v>57.93666666666666</v>
      </c>
      <c r="D199" s="41">
        <v>57.93666666666666</v>
      </c>
      <c r="E199" s="41">
        <v>57.93666666666666</v>
      </c>
      <c r="F199" s="41">
        <v>57.93666666666666</v>
      </c>
      <c r="G199" s="41">
        <v>57.93666666666666</v>
      </c>
      <c r="H199" s="41">
        <v>57.93666666666666</v>
      </c>
      <c r="I199" s="41">
        <v>57.93666666666666</v>
      </c>
      <c r="J199" s="41">
        <v>57.93666666666666</v>
      </c>
      <c r="K199" s="41"/>
    </row>
    <row r="200" spans="1:11">
      <c r="A200" s="1" t="s">
        <v>289</v>
      </c>
      <c r="B200" s="1" t="s">
        <v>170</v>
      </c>
      <c r="C200" s="41">
        <v>11.959999999999999</v>
      </c>
      <c r="D200" s="41">
        <v>11.959999999999999</v>
      </c>
      <c r="E200" s="41">
        <v>11.959999999999999</v>
      </c>
      <c r="F200" s="41">
        <v>11.959999999999999</v>
      </c>
      <c r="G200" s="41">
        <v>11.959999999999999</v>
      </c>
      <c r="H200" s="41">
        <v>11.959999999999999</v>
      </c>
      <c r="I200" s="41">
        <v>11.959999999999999</v>
      </c>
      <c r="J200" s="41">
        <v>11.959999999999999</v>
      </c>
      <c r="K200" s="41"/>
    </row>
    <row r="201" spans="1:11">
      <c r="A201" s="1" t="s">
        <v>290</v>
      </c>
      <c r="B201" s="1" t="s">
        <v>170</v>
      </c>
      <c r="C201" s="41">
        <v>20.41</v>
      </c>
      <c r="D201" s="41">
        <v>20.41</v>
      </c>
      <c r="E201" s="41">
        <v>20.41</v>
      </c>
      <c r="F201" s="41">
        <v>20.41</v>
      </c>
      <c r="G201" s="41">
        <v>20.41</v>
      </c>
      <c r="H201" s="41">
        <v>20.41</v>
      </c>
      <c r="I201" s="41">
        <v>20.41</v>
      </c>
      <c r="J201" s="41">
        <v>20.41</v>
      </c>
      <c r="K201" s="41"/>
    </row>
    <row r="202" spans="1:11">
      <c r="A202" s="1" t="s">
        <v>291</v>
      </c>
      <c r="B202" s="1" t="s">
        <v>170</v>
      </c>
      <c r="C202" s="41">
        <v>0</v>
      </c>
      <c r="D202" s="41">
        <v>0</v>
      </c>
      <c r="E202" s="41">
        <v>0</v>
      </c>
      <c r="F202" s="41">
        <v>0</v>
      </c>
      <c r="G202" s="41">
        <v>0</v>
      </c>
      <c r="H202" s="41">
        <v>0</v>
      </c>
      <c r="I202" s="41">
        <v>0</v>
      </c>
      <c r="J202" s="41">
        <v>0</v>
      </c>
      <c r="K202" s="41"/>
    </row>
    <row r="203" spans="1:11">
      <c r="A203" s="1" t="s">
        <v>292</v>
      </c>
      <c r="B203" s="1" t="s">
        <v>170</v>
      </c>
      <c r="C203" s="41">
        <v>22.619999999999997</v>
      </c>
      <c r="D203" s="41">
        <v>22.619999999999997</v>
      </c>
      <c r="E203" s="41">
        <v>22.619999999999997</v>
      </c>
      <c r="F203" s="41">
        <v>22.619999999999997</v>
      </c>
      <c r="G203" s="41">
        <v>22.619999999999997</v>
      </c>
      <c r="H203" s="41">
        <v>22.619999999999997</v>
      </c>
      <c r="I203" s="41">
        <v>22.619999999999997</v>
      </c>
      <c r="J203" s="41">
        <v>22.619999999999997</v>
      </c>
      <c r="K203" s="41"/>
    </row>
    <row r="204" spans="1:11">
      <c r="A204" s="1" t="s">
        <v>293</v>
      </c>
      <c r="B204" s="1" t="s">
        <v>170</v>
      </c>
      <c r="C204" s="41">
        <v>33.67</v>
      </c>
      <c r="D204" s="41">
        <v>33.67</v>
      </c>
      <c r="E204" s="41">
        <v>33.67</v>
      </c>
      <c r="F204" s="41">
        <v>33.67</v>
      </c>
      <c r="G204" s="41">
        <v>33.67</v>
      </c>
      <c r="H204" s="41">
        <v>33.67</v>
      </c>
      <c r="I204" s="41">
        <v>33.67</v>
      </c>
      <c r="J204" s="41">
        <v>33.67</v>
      </c>
      <c r="K204" s="41"/>
    </row>
    <row r="205" spans="1:11">
      <c r="A205" s="1" t="s">
        <v>294</v>
      </c>
      <c r="B205" s="1" t="s">
        <v>170</v>
      </c>
      <c r="C205" s="41">
        <v>0</v>
      </c>
      <c r="D205" s="41">
        <v>0</v>
      </c>
      <c r="E205" s="41">
        <v>0</v>
      </c>
      <c r="F205" s="41">
        <v>0</v>
      </c>
      <c r="G205" s="41">
        <v>0</v>
      </c>
      <c r="H205" s="41">
        <v>0</v>
      </c>
      <c r="I205" s="41">
        <v>0</v>
      </c>
      <c r="J205" s="41">
        <v>0</v>
      </c>
      <c r="K205" s="41"/>
    </row>
    <row r="206" spans="1:11">
      <c r="A206" s="1" t="s">
        <v>295</v>
      </c>
      <c r="B206" s="1" t="s">
        <v>170</v>
      </c>
      <c r="C206" s="41">
        <v>0.14872470947568306</v>
      </c>
      <c r="D206" s="41">
        <v>0.14872470947568306</v>
      </c>
      <c r="E206" s="41">
        <v>0.14872470947568306</v>
      </c>
      <c r="F206" s="41">
        <v>0.14872470947568306</v>
      </c>
      <c r="G206" s="41">
        <v>0.14872470947568306</v>
      </c>
      <c r="H206" s="41">
        <v>0.14872470947568306</v>
      </c>
      <c r="I206" s="41">
        <v>0.14872470947568306</v>
      </c>
      <c r="J206" s="41">
        <v>0.14872470947568306</v>
      </c>
      <c r="K206" s="41"/>
    </row>
    <row r="207" spans="1:11">
      <c r="A207" s="1" t="s">
        <v>296</v>
      </c>
      <c r="B207" s="1" t="s">
        <v>170</v>
      </c>
      <c r="C207" s="41">
        <v>0.31412363116290332</v>
      </c>
      <c r="D207" s="41">
        <v>0.31412363116290332</v>
      </c>
      <c r="E207" s="41">
        <v>0.31412363116290332</v>
      </c>
      <c r="F207" s="41">
        <v>0.31412363116290332</v>
      </c>
      <c r="G207" s="41">
        <v>0.31412363116290332</v>
      </c>
      <c r="H207" s="41">
        <v>0.31412363116290332</v>
      </c>
      <c r="I207" s="41">
        <v>0.31412363116290332</v>
      </c>
      <c r="J207" s="41">
        <v>0.31412363116290332</v>
      </c>
      <c r="K207" s="41"/>
    </row>
    <row r="208" spans="1:11">
      <c r="A208" s="1" t="s">
        <v>297</v>
      </c>
      <c r="B208" s="1" t="s">
        <v>170</v>
      </c>
      <c r="C208" s="41">
        <v>24.743333333333332</v>
      </c>
      <c r="D208" s="41">
        <v>24.743333333333332</v>
      </c>
      <c r="E208" s="41">
        <v>24.743333333333332</v>
      </c>
      <c r="F208" s="41">
        <v>24.743333333333332</v>
      </c>
      <c r="G208" s="41">
        <v>24.743333333333332</v>
      </c>
      <c r="H208" s="41">
        <v>24.743333333333332</v>
      </c>
      <c r="I208" s="41">
        <v>24.743333333333332</v>
      </c>
      <c r="J208" s="41">
        <v>24.743333333333332</v>
      </c>
      <c r="K208" s="41"/>
    </row>
    <row r="209" spans="1:11">
      <c r="A209" s="1" t="s">
        <v>298</v>
      </c>
      <c r="B209" s="1" t="s">
        <v>170</v>
      </c>
      <c r="C209" s="41">
        <v>52.953333333333333</v>
      </c>
      <c r="D209" s="41">
        <v>52.953333333333333</v>
      </c>
      <c r="E209" s="41">
        <v>52.953333333333333</v>
      </c>
      <c r="F209" s="41">
        <v>52.953333333333333</v>
      </c>
      <c r="G209" s="41">
        <v>52.953333333333333</v>
      </c>
      <c r="H209" s="41">
        <v>52.953333333333333</v>
      </c>
      <c r="I209" s="41">
        <v>52.953333333333333</v>
      </c>
      <c r="J209" s="41">
        <v>52.953333333333333</v>
      </c>
      <c r="K209" s="41"/>
    </row>
    <row r="210" spans="1:11">
      <c r="A210" s="1" t="s">
        <v>299</v>
      </c>
      <c r="B210" s="1" t="s">
        <v>170</v>
      </c>
      <c r="C210" s="41">
        <v>17.636666666666667</v>
      </c>
      <c r="D210" s="41">
        <v>17.636666666666667</v>
      </c>
      <c r="E210" s="41">
        <v>17.636666666666667</v>
      </c>
      <c r="F210" s="41">
        <v>17.636666666666667</v>
      </c>
      <c r="G210" s="41">
        <v>17.636666666666667</v>
      </c>
      <c r="H210" s="41">
        <v>17.636666666666667</v>
      </c>
      <c r="I210" s="41">
        <v>17.636666666666667</v>
      </c>
      <c r="J210" s="41">
        <v>17.636666666666667</v>
      </c>
      <c r="K210" s="41"/>
    </row>
    <row r="211" spans="1:11">
      <c r="A211" s="1" t="s">
        <v>300</v>
      </c>
      <c r="B211" s="1" t="s">
        <v>170</v>
      </c>
      <c r="C211" s="41">
        <v>7.2366666666666664</v>
      </c>
      <c r="D211" s="41">
        <v>7.2366666666666664</v>
      </c>
      <c r="E211" s="41">
        <v>7.2366666666666664</v>
      </c>
      <c r="F211" s="41">
        <v>7.2366666666666664</v>
      </c>
      <c r="G211" s="41">
        <v>7.2366666666666664</v>
      </c>
      <c r="H211" s="41">
        <v>7.2366666666666664</v>
      </c>
      <c r="I211" s="41">
        <v>7.2366666666666664</v>
      </c>
      <c r="J211" s="41">
        <v>7.2366666666666664</v>
      </c>
      <c r="K211" s="41"/>
    </row>
    <row r="212" spans="1:11">
      <c r="A212" s="1" t="s">
        <v>301</v>
      </c>
      <c r="B212" s="1" t="s">
        <v>170</v>
      </c>
      <c r="C212" s="41">
        <v>10.53</v>
      </c>
      <c r="D212" s="41">
        <v>10.53</v>
      </c>
      <c r="E212" s="41">
        <v>10.53</v>
      </c>
      <c r="F212" s="41">
        <v>10.53</v>
      </c>
      <c r="G212" s="41">
        <v>10.53</v>
      </c>
      <c r="H212" s="41">
        <v>10.53</v>
      </c>
      <c r="I212" s="41">
        <v>10.53</v>
      </c>
      <c r="J212" s="41">
        <v>10.53</v>
      </c>
      <c r="K212" s="41"/>
    </row>
    <row r="213" spans="1:11">
      <c r="A213" s="1" t="s">
        <v>302</v>
      </c>
      <c r="B213" s="1" t="s">
        <v>170</v>
      </c>
      <c r="C213" s="41">
        <v>1.2769204346107463</v>
      </c>
      <c r="D213" s="41">
        <v>1.2769204346107463</v>
      </c>
      <c r="E213" s="41">
        <v>1.2769204346107463</v>
      </c>
      <c r="F213" s="41">
        <v>1.2769204346107463</v>
      </c>
      <c r="G213" s="41">
        <v>1.2769204346107463</v>
      </c>
      <c r="H213" s="41">
        <v>1.2769204346107463</v>
      </c>
      <c r="I213" s="41">
        <v>1.2769204346107463</v>
      </c>
      <c r="J213" s="41">
        <v>1.2769204346107463</v>
      </c>
      <c r="K213" s="41"/>
    </row>
    <row r="214" spans="1:11">
      <c r="A214" s="1" t="s">
        <v>303</v>
      </c>
      <c r="B214" s="1" t="s">
        <v>170</v>
      </c>
      <c r="C214" s="41">
        <v>72.669999999999987</v>
      </c>
      <c r="D214" s="41">
        <v>72.669999999999987</v>
      </c>
      <c r="E214" s="41">
        <v>72.669999999999987</v>
      </c>
      <c r="F214" s="41">
        <v>72.669999999999987</v>
      </c>
      <c r="G214" s="41">
        <v>72.669999999999987</v>
      </c>
      <c r="H214" s="41">
        <v>72.669999999999987</v>
      </c>
      <c r="I214" s="41">
        <v>72.669999999999987</v>
      </c>
      <c r="J214" s="41">
        <v>72.669999999999987</v>
      </c>
      <c r="K214" s="41"/>
    </row>
    <row r="215" spans="1:11">
      <c r="A215" s="1" t="s">
        <v>304</v>
      </c>
      <c r="B215" s="1" t="s">
        <v>170</v>
      </c>
      <c r="C215" s="41">
        <v>0.13</v>
      </c>
      <c r="D215" s="41">
        <v>0.13</v>
      </c>
      <c r="E215" s="41">
        <v>0.13</v>
      </c>
      <c r="F215" s="41">
        <v>0.13</v>
      </c>
      <c r="G215" s="41">
        <v>0.13</v>
      </c>
      <c r="H215" s="41">
        <v>0.13</v>
      </c>
      <c r="I215" s="41">
        <v>0.13</v>
      </c>
      <c r="J215" s="41">
        <v>0.13</v>
      </c>
      <c r="K215" s="41"/>
    </row>
    <row r="216" spans="1:11">
      <c r="A216" s="1" t="s">
        <v>305</v>
      </c>
      <c r="B216" s="1" t="s">
        <v>170</v>
      </c>
      <c r="C216" s="41">
        <v>0</v>
      </c>
      <c r="D216" s="41">
        <v>0</v>
      </c>
      <c r="E216" s="41">
        <v>0</v>
      </c>
      <c r="F216" s="41">
        <v>0</v>
      </c>
      <c r="G216" s="41">
        <v>0</v>
      </c>
      <c r="H216" s="41">
        <v>0</v>
      </c>
      <c r="I216" s="41">
        <v>0</v>
      </c>
      <c r="J216" s="41">
        <v>0</v>
      </c>
      <c r="K216" s="41"/>
    </row>
    <row r="217" spans="1:11">
      <c r="A217" s="1" t="s">
        <v>306</v>
      </c>
      <c r="B217" s="1" t="s">
        <v>170</v>
      </c>
      <c r="C217" s="41">
        <v>0</v>
      </c>
      <c r="D217" s="41">
        <v>0</v>
      </c>
      <c r="E217" s="41">
        <v>0</v>
      </c>
      <c r="F217" s="41">
        <v>0</v>
      </c>
      <c r="G217" s="41">
        <v>0</v>
      </c>
      <c r="H217" s="41">
        <v>0</v>
      </c>
      <c r="I217" s="41">
        <v>0</v>
      </c>
      <c r="J217" s="41">
        <v>0</v>
      </c>
      <c r="K217" s="41"/>
    </row>
    <row r="218" spans="1:11">
      <c r="A218" s="1" t="s">
        <v>307</v>
      </c>
      <c r="B218" s="1" t="s">
        <v>170</v>
      </c>
      <c r="C218" s="41">
        <v>42.9</v>
      </c>
      <c r="D218" s="41">
        <v>42.9</v>
      </c>
      <c r="E218" s="41">
        <v>42.9</v>
      </c>
      <c r="F218" s="41">
        <v>42.9</v>
      </c>
      <c r="G218" s="41">
        <v>42.9</v>
      </c>
      <c r="H218" s="41">
        <v>42.9</v>
      </c>
      <c r="I218" s="41">
        <v>42.9</v>
      </c>
      <c r="J218" s="41">
        <v>42.9</v>
      </c>
      <c r="K218" s="41"/>
    </row>
    <row r="219" spans="1:11">
      <c r="A219" s="1" t="s">
        <v>308</v>
      </c>
      <c r="B219" s="1" t="s">
        <v>170</v>
      </c>
      <c r="C219" s="41">
        <v>24.223333333333333</v>
      </c>
      <c r="D219" s="41">
        <v>24.223333333333333</v>
      </c>
      <c r="E219" s="41">
        <v>24.223333333333333</v>
      </c>
      <c r="F219" s="41">
        <v>24.223333333333333</v>
      </c>
      <c r="G219" s="41">
        <v>24.223333333333333</v>
      </c>
      <c r="H219" s="41">
        <v>24.223333333333333</v>
      </c>
      <c r="I219" s="41">
        <v>24.223333333333333</v>
      </c>
      <c r="J219" s="41">
        <v>24.223333333333333</v>
      </c>
      <c r="K219" s="41"/>
    </row>
    <row r="220" spans="1:11">
      <c r="A220" s="1" t="s">
        <v>309</v>
      </c>
      <c r="B220" s="1" t="s">
        <v>170</v>
      </c>
      <c r="C220" s="41">
        <v>3.9866666666666664</v>
      </c>
      <c r="D220" s="41">
        <v>3.9866666666666664</v>
      </c>
      <c r="E220" s="41">
        <v>3.9866666666666664</v>
      </c>
      <c r="F220" s="41">
        <v>3.9866666666666664</v>
      </c>
      <c r="G220" s="41">
        <v>3.9866666666666664</v>
      </c>
      <c r="H220" s="41">
        <v>3.9866666666666664</v>
      </c>
      <c r="I220" s="41">
        <v>3.9866666666666664</v>
      </c>
      <c r="J220" s="41">
        <v>3.9866666666666664</v>
      </c>
      <c r="K220" s="41"/>
    </row>
    <row r="221" spans="1:11">
      <c r="A221" s="1" t="s">
        <v>310</v>
      </c>
      <c r="B221" s="1" t="s">
        <v>170</v>
      </c>
      <c r="C221" s="41">
        <v>18.676666666666669</v>
      </c>
      <c r="D221" s="41">
        <v>18.676666666666669</v>
      </c>
      <c r="E221" s="41">
        <v>18.676666666666669</v>
      </c>
      <c r="F221" s="41">
        <v>18.676666666666669</v>
      </c>
      <c r="G221" s="41">
        <v>18.676666666666669</v>
      </c>
      <c r="H221" s="41">
        <v>18.676666666666669</v>
      </c>
      <c r="I221" s="41">
        <v>18.676666666666669</v>
      </c>
      <c r="J221" s="41">
        <v>18.676666666666669</v>
      </c>
      <c r="K221" s="41"/>
    </row>
    <row r="222" spans="1:11">
      <c r="A222" s="1" t="s">
        <v>311</v>
      </c>
      <c r="B222" s="1" t="s">
        <v>170</v>
      </c>
      <c r="C222" s="41">
        <v>0</v>
      </c>
      <c r="D222" s="41">
        <v>0</v>
      </c>
      <c r="E222" s="41">
        <v>0</v>
      </c>
      <c r="F222" s="41">
        <v>0</v>
      </c>
      <c r="G222" s="41">
        <v>0</v>
      </c>
      <c r="H222" s="41">
        <v>0</v>
      </c>
      <c r="I222" s="41">
        <v>0</v>
      </c>
      <c r="J222" s="41">
        <v>0</v>
      </c>
      <c r="K222" s="41"/>
    </row>
    <row r="223" spans="1:11">
      <c r="A223" s="1" t="s">
        <v>312</v>
      </c>
      <c r="B223" s="1" t="s">
        <v>170</v>
      </c>
      <c r="C223" s="41">
        <v>0</v>
      </c>
      <c r="D223" s="41">
        <v>0</v>
      </c>
      <c r="E223" s="41">
        <v>0</v>
      </c>
      <c r="F223" s="41">
        <v>0</v>
      </c>
      <c r="G223" s="41">
        <v>0</v>
      </c>
      <c r="H223" s="41">
        <v>0</v>
      </c>
      <c r="I223" s="41">
        <v>0</v>
      </c>
      <c r="J223" s="41">
        <v>0</v>
      </c>
      <c r="K223" s="41"/>
    </row>
    <row r="224" spans="1:11">
      <c r="A224" s="1" t="s">
        <v>277</v>
      </c>
      <c r="B224" s="1" t="s">
        <v>171</v>
      </c>
      <c r="C224" s="41">
        <v>0.2133164853473814</v>
      </c>
      <c r="D224" s="41">
        <v>0.2133164853473814</v>
      </c>
      <c r="E224" s="41">
        <v>0.2133164853473814</v>
      </c>
      <c r="F224" s="41">
        <v>0.2133164853473814</v>
      </c>
      <c r="G224" s="41">
        <v>0.2133164853473814</v>
      </c>
      <c r="H224" s="41">
        <v>0.2133164853473814</v>
      </c>
      <c r="I224" s="41">
        <v>0.2133164853473814</v>
      </c>
      <c r="J224" s="41">
        <v>0.2133164853473814</v>
      </c>
      <c r="K224" s="41"/>
    </row>
    <row r="225" spans="1:11">
      <c r="A225" s="1" t="s">
        <v>278</v>
      </c>
      <c r="B225" s="1" t="s">
        <v>171</v>
      </c>
      <c r="C225" s="41">
        <v>0</v>
      </c>
      <c r="D225" s="41">
        <v>0</v>
      </c>
      <c r="E225" s="41">
        <v>0</v>
      </c>
      <c r="F225" s="41">
        <v>0</v>
      </c>
      <c r="G225" s="41">
        <v>0</v>
      </c>
      <c r="H225" s="41">
        <v>0</v>
      </c>
      <c r="I225" s="41">
        <v>0</v>
      </c>
      <c r="J225" s="41">
        <v>0</v>
      </c>
      <c r="K225" s="41"/>
    </row>
    <row r="226" spans="1:11">
      <c r="A226" s="1" t="s">
        <v>279</v>
      </c>
      <c r="B226" s="1" t="s">
        <v>171</v>
      </c>
      <c r="C226" s="41">
        <v>0.34358140606995236</v>
      </c>
      <c r="D226" s="41">
        <v>0.34358140606995236</v>
      </c>
      <c r="E226" s="41">
        <v>0.34358140606995236</v>
      </c>
      <c r="F226" s="41">
        <v>0.34358140606995236</v>
      </c>
      <c r="G226" s="41">
        <v>0.34358140606995236</v>
      </c>
      <c r="H226" s="41">
        <v>0.34358140606995236</v>
      </c>
      <c r="I226" s="41">
        <v>0.34358140606995236</v>
      </c>
      <c r="J226" s="41">
        <v>0.34358140606995236</v>
      </c>
      <c r="K226" s="41"/>
    </row>
    <row r="227" spans="1:11">
      <c r="A227" s="1" t="s">
        <v>280</v>
      </c>
      <c r="B227" s="1" t="s">
        <v>171</v>
      </c>
      <c r="C227" s="41">
        <v>3.9433333333333334</v>
      </c>
      <c r="D227" s="41">
        <v>3.9433333333333334</v>
      </c>
      <c r="E227" s="41">
        <v>3.9433333333333334</v>
      </c>
      <c r="F227" s="41">
        <v>3.9433333333333334</v>
      </c>
      <c r="G227" s="41">
        <v>3.9433333333333334</v>
      </c>
      <c r="H227" s="41">
        <v>3.9433333333333334</v>
      </c>
      <c r="I227" s="41">
        <v>3.9433333333333334</v>
      </c>
      <c r="J227" s="41">
        <v>3.9433333333333334</v>
      </c>
      <c r="K227" s="41"/>
    </row>
    <row r="228" spans="1:11">
      <c r="A228" s="1" t="s">
        <v>281</v>
      </c>
      <c r="B228" s="1" t="s">
        <v>171</v>
      </c>
      <c r="C228" s="41">
        <v>5.0266666666666664</v>
      </c>
      <c r="D228" s="41">
        <v>5.0266666666666664</v>
      </c>
      <c r="E228" s="41">
        <v>5.0266666666666664</v>
      </c>
      <c r="F228" s="41">
        <v>5.0266666666666664</v>
      </c>
      <c r="G228" s="41">
        <v>5.0266666666666664</v>
      </c>
      <c r="H228" s="41">
        <v>5.0266666666666664</v>
      </c>
      <c r="I228" s="41">
        <v>5.0266666666666664</v>
      </c>
      <c r="J228" s="41">
        <v>5.0266666666666664</v>
      </c>
      <c r="K228" s="41"/>
    </row>
    <row r="229" spans="1:11">
      <c r="A229" s="1" t="s">
        <v>282</v>
      </c>
      <c r="B229" s="1" t="s">
        <v>171</v>
      </c>
      <c r="C229" s="41">
        <v>0</v>
      </c>
      <c r="D229" s="41">
        <v>0</v>
      </c>
      <c r="E229" s="41">
        <v>0</v>
      </c>
      <c r="F229" s="41">
        <v>0</v>
      </c>
      <c r="G229" s="41">
        <v>0</v>
      </c>
      <c r="H229" s="41">
        <v>0</v>
      </c>
      <c r="I229" s="41">
        <v>0</v>
      </c>
      <c r="J229" s="41">
        <v>0</v>
      </c>
      <c r="K229" s="41"/>
    </row>
    <row r="230" spans="1:11">
      <c r="A230" s="1" t="s">
        <v>283</v>
      </c>
      <c r="B230" s="1" t="s">
        <v>171</v>
      </c>
      <c r="C230" s="41">
        <v>0</v>
      </c>
      <c r="D230" s="41">
        <v>0</v>
      </c>
      <c r="E230" s="41">
        <v>0</v>
      </c>
      <c r="F230" s="41">
        <v>0</v>
      </c>
      <c r="G230" s="41">
        <v>0</v>
      </c>
      <c r="H230" s="41">
        <v>0</v>
      </c>
      <c r="I230" s="41">
        <v>0</v>
      </c>
      <c r="J230" s="41">
        <v>0</v>
      </c>
      <c r="K230" s="41"/>
    </row>
    <row r="231" spans="1:11">
      <c r="A231" s="1" t="s">
        <v>284</v>
      </c>
      <c r="B231" s="1" t="s">
        <v>171</v>
      </c>
      <c r="C231" s="41">
        <v>36.226666666666667</v>
      </c>
      <c r="D231" s="41">
        <v>36.226666666666667</v>
      </c>
      <c r="E231" s="41">
        <v>36.226666666666667</v>
      </c>
      <c r="F231" s="41">
        <v>36.226666666666667</v>
      </c>
      <c r="G231" s="41">
        <v>36.226666666666667</v>
      </c>
      <c r="H231" s="41">
        <v>36.226666666666667</v>
      </c>
      <c r="I231" s="41">
        <v>36.226666666666667</v>
      </c>
      <c r="J231" s="41">
        <v>36.226666666666667</v>
      </c>
      <c r="K231" s="41"/>
    </row>
    <row r="232" spans="1:11">
      <c r="A232" s="1" t="s">
        <v>285</v>
      </c>
      <c r="B232" s="1" t="s">
        <v>171</v>
      </c>
      <c r="C232" s="41">
        <v>64.566666666666663</v>
      </c>
      <c r="D232" s="41">
        <v>64.566666666666663</v>
      </c>
      <c r="E232" s="41">
        <v>64.566666666666663</v>
      </c>
      <c r="F232" s="41">
        <v>64.566666666666663</v>
      </c>
      <c r="G232" s="41">
        <v>64.566666666666663</v>
      </c>
      <c r="H232" s="41">
        <v>64.566666666666663</v>
      </c>
      <c r="I232" s="41">
        <v>64.566666666666663</v>
      </c>
      <c r="J232" s="41">
        <v>64.566666666666663</v>
      </c>
      <c r="K232" s="41"/>
    </row>
    <row r="233" spans="1:11">
      <c r="A233" s="1" t="s">
        <v>286</v>
      </c>
      <c r="B233" s="1" t="s">
        <v>171</v>
      </c>
      <c r="C233" s="41">
        <v>23.833333333333332</v>
      </c>
      <c r="D233" s="41">
        <v>23.833333333333332</v>
      </c>
      <c r="E233" s="41">
        <v>23.833333333333332</v>
      </c>
      <c r="F233" s="41">
        <v>23.833333333333332</v>
      </c>
      <c r="G233" s="41">
        <v>23.833333333333332</v>
      </c>
      <c r="H233" s="41">
        <v>23.833333333333332</v>
      </c>
      <c r="I233" s="41">
        <v>23.833333333333332</v>
      </c>
      <c r="J233" s="41">
        <v>23.833333333333332</v>
      </c>
      <c r="K233" s="41"/>
    </row>
    <row r="234" spans="1:11">
      <c r="A234" s="1" t="s">
        <v>287</v>
      </c>
      <c r="B234" s="1" t="s">
        <v>171</v>
      </c>
      <c r="C234" s="41">
        <v>56.550000000000004</v>
      </c>
      <c r="D234" s="41">
        <v>56.550000000000004</v>
      </c>
      <c r="E234" s="41">
        <v>56.550000000000004</v>
      </c>
      <c r="F234" s="41">
        <v>56.550000000000004</v>
      </c>
      <c r="G234" s="41">
        <v>56.550000000000004</v>
      </c>
      <c r="H234" s="41">
        <v>56.550000000000004</v>
      </c>
      <c r="I234" s="41">
        <v>56.550000000000004</v>
      </c>
      <c r="J234" s="41">
        <v>56.550000000000004</v>
      </c>
      <c r="K234" s="41"/>
    </row>
    <row r="235" spans="1:11">
      <c r="A235" s="1" t="s">
        <v>288</v>
      </c>
      <c r="B235" s="1" t="s">
        <v>171</v>
      </c>
      <c r="C235" s="41">
        <v>57.93666666666666</v>
      </c>
      <c r="D235" s="41">
        <v>57.93666666666666</v>
      </c>
      <c r="E235" s="41">
        <v>57.93666666666666</v>
      </c>
      <c r="F235" s="41">
        <v>57.93666666666666</v>
      </c>
      <c r="G235" s="41">
        <v>57.93666666666666</v>
      </c>
      <c r="H235" s="41">
        <v>57.93666666666666</v>
      </c>
      <c r="I235" s="41">
        <v>57.93666666666666</v>
      </c>
      <c r="J235" s="41">
        <v>57.93666666666666</v>
      </c>
      <c r="K235" s="41"/>
    </row>
    <row r="236" spans="1:11">
      <c r="A236" s="1" t="s">
        <v>289</v>
      </c>
      <c r="B236" s="1" t="s">
        <v>171</v>
      </c>
      <c r="C236" s="41">
        <v>11.959999999999999</v>
      </c>
      <c r="D236" s="41">
        <v>11.959999999999999</v>
      </c>
      <c r="E236" s="41">
        <v>11.959999999999999</v>
      </c>
      <c r="F236" s="41">
        <v>11.959999999999999</v>
      </c>
      <c r="G236" s="41">
        <v>11.959999999999999</v>
      </c>
      <c r="H236" s="41">
        <v>11.959999999999999</v>
      </c>
      <c r="I236" s="41">
        <v>11.959999999999999</v>
      </c>
      <c r="J236" s="41">
        <v>11.959999999999999</v>
      </c>
      <c r="K236" s="41"/>
    </row>
    <row r="237" spans="1:11">
      <c r="A237" s="1" t="s">
        <v>290</v>
      </c>
      <c r="B237" s="1" t="s">
        <v>171</v>
      </c>
      <c r="C237" s="41">
        <v>20.41</v>
      </c>
      <c r="D237" s="41">
        <v>20.41</v>
      </c>
      <c r="E237" s="41">
        <v>20.41</v>
      </c>
      <c r="F237" s="41">
        <v>20.41</v>
      </c>
      <c r="G237" s="41">
        <v>20.41</v>
      </c>
      <c r="H237" s="41">
        <v>20.41</v>
      </c>
      <c r="I237" s="41">
        <v>20.41</v>
      </c>
      <c r="J237" s="41">
        <v>20.41</v>
      </c>
      <c r="K237" s="41"/>
    </row>
    <row r="238" spans="1:11">
      <c r="A238" s="1" t="s">
        <v>291</v>
      </c>
      <c r="B238" s="1" t="s">
        <v>171</v>
      </c>
      <c r="C238" s="41">
        <v>0</v>
      </c>
      <c r="D238" s="41">
        <v>0</v>
      </c>
      <c r="E238" s="41">
        <v>0</v>
      </c>
      <c r="F238" s="41">
        <v>0</v>
      </c>
      <c r="G238" s="41">
        <v>0</v>
      </c>
      <c r="H238" s="41">
        <v>0</v>
      </c>
      <c r="I238" s="41">
        <v>0</v>
      </c>
      <c r="J238" s="41">
        <v>0</v>
      </c>
      <c r="K238" s="41"/>
    </row>
    <row r="239" spans="1:11">
      <c r="A239" s="1" t="s">
        <v>292</v>
      </c>
      <c r="B239" s="1" t="s">
        <v>171</v>
      </c>
      <c r="C239" s="41">
        <v>22.619999999999997</v>
      </c>
      <c r="D239" s="41">
        <v>22.619999999999997</v>
      </c>
      <c r="E239" s="41">
        <v>22.619999999999997</v>
      </c>
      <c r="F239" s="41">
        <v>22.619999999999997</v>
      </c>
      <c r="G239" s="41">
        <v>22.619999999999997</v>
      </c>
      <c r="H239" s="41">
        <v>22.619999999999997</v>
      </c>
      <c r="I239" s="41">
        <v>22.619999999999997</v>
      </c>
      <c r="J239" s="41">
        <v>22.619999999999997</v>
      </c>
      <c r="K239" s="41"/>
    </row>
    <row r="240" spans="1:11">
      <c r="A240" s="1" t="s">
        <v>293</v>
      </c>
      <c r="B240" s="1" t="s">
        <v>171</v>
      </c>
      <c r="C240" s="41">
        <v>33.67</v>
      </c>
      <c r="D240" s="41">
        <v>33.67</v>
      </c>
      <c r="E240" s="41">
        <v>33.67</v>
      </c>
      <c r="F240" s="41">
        <v>33.67</v>
      </c>
      <c r="G240" s="41">
        <v>33.67</v>
      </c>
      <c r="H240" s="41">
        <v>33.67</v>
      </c>
      <c r="I240" s="41">
        <v>33.67</v>
      </c>
      <c r="J240" s="41">
        <v>33.67</v>
      </c>
      <c r="K240" s="41"/>
    </row>
    <row r="241" spans="1:11">
      <c r="A241" s="1" t="s">
        <v>294</v>
      </c>
      <c r="B241" s="1" t="s">
        <v>171</v>
      </c>
      <c r="C241" s="41">
        <v>0</v>
      </c>
      <c r="D241" s="41">
        <v>0</v>
      </c>
      <c r="E241" s="41">
        <v>0</v>
      </c>
      <c r="F241" s="41">
        <v>0</v>
      </c>
      <c r="G241" s="41">
        <v>0</v>
      </c>
      <c r="H241" s="41">
        <v>0</v>
      </c>
      <c r="I241" s="41">
        <v>0</v>
      </c>
      <c r="J241" s="41">
        <v>0</v>
      </c>
      <c r="K241" s="41"/>
    </row>
    <row r="242" spans="1:11">
      <c r="A242" s="1" t="s">
        <v>295</v>
      </c>
      <c r="B242" s="1" t="s">
        <v>171</v>
      </c>
      <c r="C242" s="41">
        <v>0.14872470947568306</v>
      </c>
      <c r="D242" s="41">
        <v>0.14872470947568306</v>
      </c>
      <c r="E242" s="41">
        <v>0.14872470947568306</v>
      </c>
      <c r="F242" s="41">
        <v>0.14872470947568306</v>
      </c>
      <c r="G242" s="41">
        <v>0.14872470947568306</v>
      </c>
      <c r="H242" s="41">
        <v>0.14872470947568306</v>
      </c>
      <c r="I242" s="41">
        <v>0.14872470947568306</v>
      </c>
      <c r="J242" s="41">
        <v>0.14872470947568306</v>
      </c>
      <c r="K242" s="41"/>
    </row>
    <row r="243" spans="1:11">
      <c r="A243" s="1" t="s">
        <v>296</v>
      </c>
      <c r="B243" s="1" t="s">
        <v>171</v>
      </c>
      <c r="C243" s="41">
        <v>0.31412363116290332</v>
      </c>
      <c r="D243" s="41">
        <v>0.31412363116290332</v>
      </c>
      <c r="E243" s="41">
        <v>0.31412363116290332</v>
      </c>
      <c r="F243" s="41">
        <v>0.31412363116290332</v>
      </c>
      <c r="G243" s="41">
        <v>0.31412363116290332</v>
      </c>
      <c r="H243" s="41">
        <v>0.31412363116290332</v>
      </c>
      <c r="I243" s="41">
        <v>0.31412363116290332</v>
      </c>
      <c r="J243" s="41">
        <v>0.31412363116290332</v>
      </c>
      <c r="K243" s="41"/>
    </row>
    <row r="244" spans="1:11">
      <c r="A244" s="1" t="s">
        <v>297</v>
      </c>
      <c r="B244" s="1" t="s">
        <v>171</v>
      </c>
      <c r="C244" s="41">
        <v>24.743333333333332</v>
      </c>
      <c r="D244" s="41">
        <v>24.743333333333332</v>
      </c>
      <c r="E244" s="41">
        <v>24.743333333333332</v>
      </c>
      <c r="F244" s="41">
        <v>24.743333333333332</v>
      </c>
      <c r="G244" s="41">
        <v>24.743333333333332</v>
      </c>
      <c r="H244" s="41">
        <v>24.743333333333332</v>
      </c>
      <c r="I244" s="41">
        <v>24.743333333333332</v>
      </c>
      <c r="J244" s="41">
        <v>24.743333333333332</v>
      </c>
      <c r="K244" s="41"/>
    </row>
    <row r="245" spans="1:11">
      <c r="A245" s="1" t="s">
        <v>298</v>
      </c>
      <c r="B245" s="1" t="s">
        <v>171</v>
      </c>
      <c r="C245" s="41">
        <v>52.953333333333333</v>
      </c>
      <c r="D245" s="41">
        <v>52.953333333333333</v>
      </c>
      <c r="E245" s="41">
        <v>52.953333333333333</v>
      </c>
      <c r="F245" s="41">
        <v>52.953333333333333</v>
      </c>
      <c r="G245" s="41">
        <v>52.953333333333333</v>
      </c>
      <c r="H245" s="41">
        <v>52.953333333333333</v>
      </c>
      <c r="I245" s="41">
        <v>52.953333333333333</v>
      </c>
      <c r="J245" s="41">
        <v>52.953333333333333</v>
      </c>
      <c r="K245" s="41"/>
    </row>
    <row r="246" spans="1:11">
      <c r="A246" s="1" t="s">
        <v>299</v>
      </c>
      <c r="B246" s="1" t="s">
        <v>171</v>
      </c>
      <c r="C246" s="41">
        <v>17.636666666666667</v>
      </c>
      <c r="D246" s="41">
        <v>17.636666666666667</v>
      </c>
      <c r="E246" s="41">
        <v>17.636666666666667</v>
      </c>
      <c r="F246" s="41">
        <v>17.636666666666667</v>
      </c>
      <c r="G246" s="41">
        <v>17.636666666666667</v>
      </c>
      <c r="H246" s="41">
        <v>17.636666666666667</v>
      </c>
      <c r="I246" s="41">
        <v>17.636666666666667</v>
      </c>
      <c r="J246" s="41">
        <v>17.636666666666667</v>
      </c>
      <c r="K246" s="41"/>
    </row>
    <row r="247" spans="1:11">
      <c r="A247" s="1" t="s">
        <v>300</v>
      </c>
      <c r="B247" s="1" t="s">
        <v>171</v>
      </c>
      <c r="C247" s="41">
        <v>7.2366666666666664</v>
      </c>
      <c r="D247" s="41">
        <v>7.2366666666666664</v>
      </c>
      <c r="E247" s="41">
        <v>7.2366666666666664</v>
      </c>
      <c r="F247" s="41">
        <v>7.2366666666666664</v>
      </c>
      <c r="G247" s="41">
        <v>7.2366666666666664</v>
      </c>
      <c r="H247" s="41">
        <v>7.2366666666666664</v>
      </c>
      <c r="I247" s="41">
        <v>7.2366666666666664</v>
      </c>
      <c r="J247" s="41">
        <v>7.2366666666666664</v>
      </c>
      <c r="K247" s="41"/>
    </row>
    <row r="248" spans="1:11">
      <c r="A248" s="1" t="s">
        <v>301</v>
      </c>
      <c r="B248" s="1" t="s">
        <v>171</v>
      </c>
      <c r="C248" s="41">
        <v>10.53</v>
      </c>
      <c r="D248" s="41">
        <v>10.53</v>
      </c>
      <c r="E248" s="41">
        <v>10.53</v>
      </c>
      <c r="F248" s="41">
        <v>10.53</v>
      </c>
      <c r="G248" s="41">
        <v>10.53</v>
      </c>
      <c r="H248" s="41">
        <v>10.53</v>
      </c>
      <c r="I248" s="41">
        <v>10.53</v>
      </c>
      <c r="J248" s="41">
        <v>10.53</v>
      </c>
      <c r="K248" s="41"/>
    </row>
    <row r="249" spans="1:11">
      <c r="A249" s="1" t="s">
        <v>302</v>
      </c>
      <c r="B249" s="1" t="s">
        <v>171</v>
      </c>
      <c r="C249" s="41">
        <v>1.2769204346107463</v>
      </c>
      <c r="D249" s="41">
        <v>1.2769204346107463</v>
      </c>
      <c r="E249" s="41">
        <v>1.2769204346107463</v>
      </c>
      <c r="F249" s="41">
        <v>1.2769204346107463</v>
      </c>
      <c r="G249" s="41">
        <v>1.2769204346107463</v>
      </c>
      <c r="H249" s="41">
        <v>1.2769204346107463</v>
      </c>
      <c r="I249" s="41">
        <v>1.2769204346107463</v>
      </c>
      <c r="J249" s="41">
        <v>1.2769204346107463</v>
      </c>
      <c r="K249" s="41"/>
    </row>
    <row r="250" spans="1:11">
      <c r="A250" s="1" t="s">
        <v>303</v>
      </c>
      <c r="B250" s="1" t="s">
        <v>171</v>
      </c>
      <c r="C250" s="41">
        <v>72.669999999999987</v>
      </c>
      <c r="D250" s="41">
        <v>72.669999999999987</v>
      </c>
      <c r="E250" s="41">
        <v>72.669999999999987</v>
      </c>
      <c r="F250" s="41">
        <v>72.669999999999987</v>
      </c>
      <c r="G250" s="41">
        <v>72.669999999999987</v>
      </c>
      <c r="H250" s="41">
        <v>72.669999999999987</v>
      </c>
      <c r="I250" s="41">
        <v>72.669999999999987</v>
      </c>
      <c r="J250" s="41">
        <v>72.669999999999987</v>
      </c>
      <c r="K250" s="41"/>
    </row>
    <row r="251" spans="1:11">
      <c r="A251" s="1" t="s">
        <v>304</v>
      </c>
      <c r="B251" s="1" t="s">
        <v>171</v>
      </c>
      <c r="C251" s="41">
        <v>0.13</v>
      </c>
      <c r="D251" s="41">
        <v>0.13</v>
      </c>
      <c r="E251" s="41">
        <v>0.13</v>
      </c>
      <c r="F251" s="41">
        <v>0.13</v>
      </c>
      <c r="G251" s="41">
        <v>0.13</v>
      </c>
      <c r="H251" s="41">
        <v>0.13</v>
      </c>
      <c r="I251" s="41">
        <v>0.13</v>
      </c>
      <c r="J251" s="41">
        <v>0.13</v>
      </c>
      <c r="K251" s="41"/>
    </row>
    <row r="252" spans="1:11">
      <c r="A252" s="1" t="s">
        <v>305</v>
      </c>
      <c r="B252" s="1" t="s">
        <v>171</v>
      </c>
      <c r="C252" s="41">
        <v>0</v>
      </c>
      <c r="D252" s="41">
        <v>0</v>
      </c>
      <c r="E252" s="41">
        <v>0</v>
      </c>
      <c r="F252" s="41">
        <v>0</v>
      </c>
      <c r="G252" s="41">
        <v>0</v>
      </c>
      <c r="H252" s="41">
        <v>0</v>
      </c>
      <c r="I252" s="41">
        <v>0</v>
      </c>
      <c r="J252" s="41">
        <v>0</v>
      </c>
      <c r="K252" s="41"/>
    </row>
    <row r="253" spans="1:11">
      <c r="A253" s="1" t="s">
        <v>306</v>
      </c>
      <c r="B253" s="1" t="s">
        <v>171</v>
      </c>
      <c r="C253" s="41">
        <v>0</v>
      </c>
      <c r="D253" s="41">
        <v>0</v>
      </c>
      <c r="E253" s="41">
        <v>0</v>
      </c>
      <c r="F253" s="41">
        <v>0</v>
      </c>
      <c r="G253" s="41">
        <v>0</v>
      </c>
      <c r="H253" s="41">
        <v>0</v>
      </c>
      <c r="I253" s="41">
        <v>0</v>
      </c>
      <c r="J253" s="41">
        <v>0</v>
      </c>
      <c r="K253" s="41"/>
    </row>
    <row r="254" spans="1:11">
      <c r="A254" s="1" t="s">
        <v>307</v>
      </c>
      <c r="B254" s="1" t="s">
        <v>171</v>
      </c>
      <c r="C254" s="41">
        <v>42.9</v>
      </c>
      <c r="D254" s="41">
        <v>42.9</v>
      </c>
      <c r="E254" s="41">
        <v>42.9</v>
      </c>
      <c r="F254" s="41">
        <v>42.9</v>
      </c>
      <c r="G254" s="41">
        <v>42.9</v>
      </c>
      <c r="H254" s="41">
        <v>42.9</v>
      </c>
      <c r="I254" s="41">
        <v>42.9</v>
      </c>
      <c r="J254" s="41">
        <v>42.9</v>
      </c>
      <c r="K254" s="41"/>
    </row>
    <row r="255" spans="1:11">
      <c r="A255" s="1" t="s">
        <v>308</v>
      </c>
      <c r="B255" s="1" t="s">
        <v>171</v>
      </c>
      <c r="C255" s="41">
        <v>24.223333333333333</v>
      </c>
      <c r="D255" s="41">
        <v>24.223333333333333</v>
      </c>
      <c r="E255" s="41">
        <v>24.223333333333333</v>
      </c>
      <c r="F255" s="41">
        <v>24.223333333333333</v>
      </c>
      <c r="G255" s="41">
        <v>24.223333333333333</v>
      </c>
      <c r="H255" s="41">
        <v>24.223333333333333</v>
      </c>
      <c r="I255" s="41">
        <v>24.223333333333333</v>
      </c>
      <c r="J255" s="41">
        <v>24.223333333333333</v>
      </c>
      <c r="K255" s="41"/>
    </row>
    <row r="256" spans="1:11">
      <c r="A256" s="1" t="s">
        <v>309</v>
      </c>
      <c r="B256" s="1" t="s">
        <v>171</v>
      </c>
      <c r="C256" s="41">
        <v>3.9866666666666664</v>
      </c>
      <c r="D256" s="41">
        <v>3.9866666666666664</v>
      </c>
      <c r="E256" s="41">
        <v>3.9866666666666664</v>
      </c>
      <c r="F256" s="41">
        <v>3.9866666666666664</v>
      </c>
      <c r="G256" s="41">
        <v>3.9866666666666664</v>
      </c>
      <c r="H256" s="41">
        <v>3.9866666666666664</v>
      </c>
      <c r="I256" s="41">
        <v>3.9866666666666664</v>
      </c>
      <c r="J256" s="41">
        <v>3.9866666666666664</v>
      </c>
      <c r="K256" s="41"/>
    </row>
    <row r="257" spans="1:11">
      <c r="A257" s="1" t="s">
        <v>310</v>
      </c>
      <c r="B257" s="1" t="s">
        <v>171</v>
      </c>
      <c r="C257" s="41">
        <v>18.676666666666669</v>
      </c>
      <c r="D257" s="41">
        <v>18.676666666666669</v>
      </c>
      <c r="E257" s="41">
        <v>18.676666666666669</v>
      </c>
      <c r="F257" s="41">
        <v>18.676666666666669</v>
      </c>
      <c r="G257" s="41">
        <v>18.676666666666669</v>
      </c>
      <c r="H257" s="41">
        <v>18.676666666666669</v>
      </c>
      <c r="I257" s="41">
        <v>18.676666666666669</v>
      </c>
      <c r="J257" s="41">
        <v>18.676666666666669</v>
      </c>
      <c r="K257" s="41"/>
    </row>
    <row r="258" spans="1:11">
      <c r="A258" s="1" t="s">
        <v>311</v>
      </c>
      <c r="B258" s="1" t="s">
        <v>171</v>
      </c>
      <c r="C258" s="41">
        <v>0</v>
      </c>
      <c r="D258" s="41">
        <v>0</v>
      </c>
      <c r="E258" s="41">
        <v>0</v>
      </c>
      <c r="F258" s="41">
        <v>0</v>
      </c>
      <c r="G258" s="41">
        <v>0</v>
      </c>
      <c r="H258" s="41">
        <v>0</v>
      </c>
      <c r="I258" s="41">
        <v>0</v>
      </c>
      <c r="J258" s="41">
        <v>0</v>
      </c>
      <c r="K258" s="41"/>
    </row>
    <row r="259" spans="1:11">
      <c r="A259" s="1" t="s">
        <v>312</v>
      </c>
      <c r="B259" s="1" t="s">
        <v>171</v>
      </c>
      <c r="C259" s="41">
        <v>0</v>
      </c>
      <c r="D259" s="41">
        <v>0</v>
      </c>
      <c r="E259" s="41">
        <v>0</v>
      </c>
      <c r="F259" s="41">
        <v>0</v>
      </c>
      <c r="G259" s="41">
        <v>0</v>
      </c>
      <c r="H259" s="41">
        <v>0</v>
      </c>
      <c r="I259" s="41">
        <v>0</v>
      </c>
      <c r="J259" s="41">
        <v>0</v>
      </c>
      <c r="K259" s="41"/>
    </row>
    <row r="260" spans="1:11">
      <c r="A260" s="1" t="s">
        <v>277</v>
      </c>
      <c r="B260" s="1" t="s">
        <v>172</v>
      </c>
      <c r="C260" s="41">
        <v>0.2133164853473814</v>
      </c>
      <c r="D260" s="41">
        <v>0.2133164853473814</v>
      </c>
      <c r="E260" s="41">
        <v>0.2133164853473814</v>
      </c>
      <c r="F260" s="41">
        <v>0.2133164853473814</v>
      </c>
      <c r="G260" s="41">
        <v>0.2133164853473814</v>
      </c>
      <c r="H260" s="41">
        <v>0.2133164853473814</v>
      </c>
      <c r="I260" s="41">
        <v>0.2133164853473814</v>
      </c>
      <c r="J260" s="41">
        <v>0.2133164853473814</v>
      </c>
      <c r="K260" s="41"/>
    </row>
    <row r="261" spans="1:11">
      <c r="A261" s="1" t="s">
        <v>278</v>
      </c>
      <c r="B261" s="1" t="s">
        <v>172</v>
      </c>
      <c r="C261" s="41">
        <v>0</v>
      </c>
      <c r="D261" s="41">
        <v>0</v>
      </c>
      <c r="E261" s="41">
        <v>0</v>
      </c>
      <c r="F261" s="41">
        <v>0</v>
      </c>
      <c r="G261" s="41">
        <v>0</v>
      </c>
      <c r="H261" s="41">
        <v>0</v>
      </c>
      <c r="I261" s="41">
        <v>0</v>
      </c>
      <c r="J261" s="41">
        <v>0</v>
      </c>
      <c r="K261" s="41"/>
    </row>
    <row r="262" spans="1:11">
      <c r="A262" s="1" t="s">
        <v>279</v>
      </c>
      <c r="B262" s="1" t="s">
        <v>172</v>
      </c>
      <c r="C262" s="41">
        <v>0.34358140606995236</v>
      </c>
      <c r="D262" s="41">
        <v>0.34358140606995236</v>
      </c>
      <c r="E262" s="41">
        <v>0.34358140606995236</v>
      </c>
      <c r="F262" s="41">
        <v>0.34358140606995236</v>
      </c>
      <c r="G262" s="41">
        <v>0.34358140606995236</v>
      </c>
      <c r="H262" s="41">
        <v>0.34358140606995236</v>
      </c>
      <c r="I262" s="41">
        <v>0.34358140606995236</v>
      </c>
      <c r="J262" s="41">
        <v>0.34358140606995236</v>
      </c>
      <c r="K262" s="41"/>
    </row>
    <row r="263" spans="1:11">
      <c r="A263" s="1" t="s">
        <v>280</v>
      </c>
      <c r="B263" s="1" t="s">
        <v>172</v>
      </c>
      <c r="C263" s="41">
        <v>3.9433333333333334</v>
      </c>
      <c r="D263" s="41">
        <v>3.9433333333333334</v>
      </c>
      <c r="E263" s="41">
        <v>3.9433333333333334</v>
      </c>
      <c r="F263" s="41">
        <v>3.9433333333333334</v>
      </c>
      <c r="G263" s="41">
        <v>3.9433333333333334</v>
      </c>
      <c r="H263" s="41">
        <v>3.9433333333333334</v>
      </c>
      <c r="I263" s="41">
        <v>3.9433333333333334</v>
      </c>
      <c r="J263" s="41">
        <v>3.9433333333333334</v>
      </c>
      <c r="K263" s="41"/>
    </row>
    <row r="264" spans="1:11">
      <c r="A264" s="1" t="s">
        <v>281</v>
      </c>
      <c r="B264" s="1" t="s">
        <v>172</v>
      </c>
      <c r="C264" s="41">
        <v>5.0266666666666664</v>
      </c>
      <c r="D264" s="41">
        <v>5.0266666666666664</v>
      </c>
      <c r="E264" s="41">
        <v>5.0266666666666664</v>
      </c>
      <c r="F264" s="41">
        <v>5.0266666666666664</v>
      </c>
      <c r="G264" s="41">
        <v>5.0266666666666664</v>
      </c>
      <c r="H264" s="41">
        <v>5.0266666666666664</v>
      </c>
      <c r="I264" s="41">
        <v>5.0266666666666664</v>
      </c>
      <c r="J264" s="41">
        <v>5.0266666666666664</v>
      </c>
      <c r="K264" s="41"/>
    </row>
    <row r="265" spans="1:11">
      <c r="A265" s="1" t="s">
        <v>282</v>
      </c>
      <c r="B265" s="1" t="s">
        <v>172</v>
      </c>
      <c r="C265" s="41">
        <v>0</v>
      </c>
      <c r="D265" s="41">
        <v>0</v>
      </c>
      <c r="E265" s="41">
        <v>0</v>
      </c>
      <c r="F265" s="41">
        <v>0</v>
      </c>
      <c r="G265" s="41">
        <v>0</v>
      </c>
      <c r="H265" s="41">
        <v>0</v>
      </c>
      <c r="I265" s="41">
        <v>0</v>
      </c>
      <c r="J265" s="41">
        <v>0</v>
      </c>
      <c r="K265" s="41"/>
    </row>
    <row r="266" spans="1:11">
      <c r="A266" s="1" t="s">
        <v>283</v>
      </c>
      <c r="B266" s="1" t="s">
        <v>172</v>
      </c>
      <c r="C266" s="41">
        <v>0</v>
      </c>
      <c r="D266" s="41">
        <v>0</v>
      </c>
      <c r="E266" s="41">
        <v>0</v>
      </c>
      <c r="F266" s="41">
        <v>0</v>
      </c>
      <c r="G266" s="41">
        <v>0</v>
      </c>
      <c r="H266" s="41">
        <v>0</v>
      </c>
      <c r="I266" s="41">
        <v>0</v>
      </c>
      <c r="J266" s="41">
        <v>0</v>
      </c>
      <c r="K266" s="41"/>
    </row>
    <row r="267" spans="1:11">
      <c r="A267" s="1" t="s">
        <v>284</v>
      </c>
      <c r="B267" s="1" t="s">
        <v>172</v>
      </c>
      <c r="C267" s="41">
        <v>36.226666666666667</v>
      </c>
      <c r="D267" s="41">
        <v>36.226666666666667</v>
      </c>
      <c r="E267" s="41">
        <v>36.226666666666667</v>
      </c>
      <c r="F267" s="41">
        <v>36.226666666666667</v>
      </c>
      <c r="G267" s="41">
        <v>36.226666666666667</v>
      </c>
      <c r="H267" s="41">
        <v>36.226666666666667</v>
      </c>
      <c r="I267" s="41">
        <v>36.226666666666667</v>
      </c>
      <c r="J267" s="41">
        <v>36.226666666666667</v>
      </c>
      <c r="K267" s="41"/>
    </row>
    <row r="268" spans="1:11">
      <c r="A268" s="1" t="s">
        <v>285</v>
      </c>
      <c r="B268" s="1" t="s">
        <v>172</v>
      </c>
      <c r="C268" s="41">
        <v>64.566666666666663</v>
      </c>
      <c r="D268" s="41">
        <v>64.566666666666663</v>
      </c>
      <c r="E268" s="41">
        <v>64.566666666666663</v>
      </c>
      <c r="F268" s="41">
        <v>64.566666666666663</v>
      </c>
      <c r="G268" s="41">
        <v>64.566666666666663</v>
      </c>
      <c r="H268" s="41">
        <v>64.566666666666663</v>
      </c>
      <c r="I268" s="41">
        <v>64.566666666666663</v>
      </c>
      <c r="J268" s="41">
        <v>64.566666666666663</v>
      </c>
      <c r="K268" s="41"/>
    </row>
    <row r="269" spans="1:11">
      <c r="A269" s="1" t="s">
        <v>286</v>
      </c>
      <c r="B269" s="1" t="s">
        <v>172</v>
      </c>
      <c r="C269" s="41">
        <v>23.833333333333332</v>
      </c>
      <c r="D269" s="41">
        <v>23.833333333333332</v>
      </c>
      <c r="E269" s="41">
        <v>23.833333333333332</v>
      </c>
      <c r="F269" s="41">
        <v>23.833333333333332</v>
      </c>
      <c r="G269" s="41">
        <v>23.833333333333332</v>
      </c>
      <c r="H269" s="41">
        <v>23.833333333333332</v>
      </c>
      <c r="I269" s="41">
        <v>23.833333333333332</v>
      </c>
      <c r="J269" s="41">
        <v>23.833333333333332</v>
      </c>
      <c r="K269" s="41"/>
    </row>
    <row r="270" spans="1:11">
      <c r="A270" s="1" t="s">
        <v>287</v>
      </c>
      <c r="B270" s="1" t="s">
        <v>172</v>
      </c>
      <c r="C270" s="41">
        <v>56.550000000000004</v>
      </c>
      <c r="D270" s="41">
        <v>56.550000000000004</v>
      </c>
      <c r="E270" s="41">
        <v>56.550000000000004</v>
      </c>
      <c r="F270" s="41">
        <v>56.550000000000004</v>
      </c>
      <c r="G270" s="41">
        <v>56.550000000000004</v>
      </c>
      <c r="H270" s="41">
        <v>56.550000000000004</v>
      </c>
      <c r="I270" s="41">
        <v>56.550000000000004</v>
      </c>
      <c r="J270" s="41">
        <v>56.550000000000004</v>
      </c>
      <c r="K270" s="41"/>
    </row>
    <row r="271" spans="1:11">
      <c r="A271" s="1" t="s">
        <v>288</v>
      </c>
      <c r="B271" s="1" t="s">
        <v>172</v>
      </c>
      <c r="C271" s="41">
        <v>57.93666666666666</v>
      </c>
      <c r="D271" s="41">
        <v>57.93666666666666</v>
      </c>
      <c r="E271" s="41">
        <v>57.93666666666666</v>
      </c>
      <c r="F271" s="41">
        <v>57.93666666666666</v>
      </c>
      <c r="G271" s="41">
        <v>57.93666666666666</v>
      </c>
      <c r="H271" s="41">
        <v>57.93666666666666</v>
      </c>
      <c r="I271" s="41">
        <v>57.93666666666666</v>
      </c>
      <c r="J271" s="41">
        <v>57.93666666666666</v>
      </c>
      <c r="K271" s="41"/>
    </row>
    <row r="272" spans="1:11">
      <c r="A272" s="1" t="s">
        <v>289</v>
      </c>
      <c r="B272" s="1" t="s">
        <v>172</v>
      </c>
      <c r="C272" s="41">
        <v>11.959999999999999</v>
      </c>
      <c r="D272" s="41">
        <v>11.959999999999999</v>
      </c>
      <c r="E272" s="41">
        <v>11.959999999999999</v>
      </c>
      <c r="F272" s="41">
        <v>11.959999999999999</v>
      </c>
      <c r="G272" s="41">
        <v>11.959999999999999</v>
      </c>
      <c r="H272" s="41">
        <v>11.959999999999999</v>
      </c>
      <c r="I272" s="41">
        <v>11.959999999999999</v>
      </c>
      <c r="J272" s="41">
        <v>11.959999999999999</v>
      </c>
      <c r="K272" s="41"/>
    </row>
    <row r="273" spans="1:11">
      <c r="A273" s="1" t="s">
        <v>290</v>
      </c>
      <c r="B273" s="1" t="s">
        <v>172</v>
      </c>
      <c r="C273" s="41">
        <v>20.41</v>
      </c>
      <c r="D273" s="41">
        <v>20.41</v>
      </c>
      <c r="E273" s="41">
        <v>20.41</v>
      </c>
      <c r="F273" s="41">
        <v>20.41</v>
      </c>
      <c r="G273" s="41">
        <v>20.41</v>
      </c>
      <c r="H273" s="41">
        <v>20.41</v>
      </c>
      <c r="I273" s="41">
        <v>20.41</v>
      </c>
      <c r="J273" s="41">
        <v>20.41</v>
      </c>
      <c r="K273" s="41"/>
    </row>
    <row r="274" spans="1:11">
      <c r="A274" s="1" t="s">
        <v>291</v>
      </c>
      <c r="B274" s="1" t="s">
        <v>172</v>
      </c>
      <c r="C274" s="41">
        <v>0</v>
      </c>
      <c r="D274" s="41">
        <v>0</v>
      </c>
      <c r="E274" s="41">
        <v>0</v>
      </c>
      <c r="F274" s="41">
        <v>0</v>
      </c>
      <c r="G274" s="41">
        <v>0</v>
      </c>
      <c r="H274" s="41">
        <v>0</v>
      </c>
      <c r="I274" s="41">
        <v>0</v>
      </c>
      <c r="J274" s="41">
        <v>0</v>
      </c>
      <c r="K274" s="41"/>
    </row>
    <row r="275" spans="1:11">
      <c r="A275" s="1" t="s">
        <v>292</v>
      </c>
      <c r="B275" s="1" t="s">
        <v>172</v>
      </c>
      <c r="C275" s="41">
        <v>22.619999999999997</v>
      </c>
      <c r="D275" s="41">
        <v>22.619999999999997</v>
      </c>
      <c r="E275" s="41">
        <v>22.619999999999997</v>
      </c>
      <c r="F275" s="41">
        <v>22.619999999999997</v>
      </c>
      <c r="G275" s="41">
        <v>22.619999999999997</v>
      </c>
      <c r="H275" s="41">
        <v>22.619999999999997</v>
      </c>
      <c r="I275" s="41">
        <v>22.619999999999997</v>
      </c>
      <c r="J275" s="41">
        <v>22.619999999999997</v>
      </c>
      <c r="K275" s="41"/>
    </row>
    <row r="276" spans="1:11">
      <c r="A276" s="1" t="s">
        <v>293</v>
      </c>
      <c r="B276" s="1" t="s">
        <v>172</v>
      </c>
      <c r="C276" s="41">
        <v>33.67</v>
      </c>
      <c r="D276" s="41">
        <v>33.67</v>
      </c>
      <c r="E276" s="41">
        <v>33.67</v>
      </c>
      <c r="F276" s="41">
        <v>33.67</v>
      </c>
      <c r="G276" s="41">
        <v>33.67</v>
      </c>
      <c r="H276" s="41">
        <v>33.67</v>
      </c>
      <c r="I276" s="41">
        <v>33.67</v>
      </c>
      <c r="J276" s="41">
        <v>33.67</v>
      </c>
      <c r="K276" s="41"/>
    </row>
    <row r="277" spans="1:11">
      <c r="A277" s="1" t="s">
        <v>294</v>
      </c>
      <c r="B277" s="1" t="s">
        <v>172</v>
      </c>
      <c r="C277" s="41">
        <v>0</v>
      </c>
      <c r="D277" s="41">
        <v>0</v>
      </c>
      <c r="E277" s="41">
        <v>0</v>
      </c>
      <c r="F277" s="41">
        <v>0</v>
      </c>
      <c r="G277" s="41">
        <v>0</v>
      </c>
      <c r="H277" s="41">
        <v>0</v>
      </c>
      <c r="I277" s="41">
        <v>0</v>
      </c>
      <c r="J277" s="41">
        <v>0</v>
      </c>
      <c r="K277" s="41"/>
    </row>
    <row r="278" spans="1:11">
      <c r="A278" s="1" t="s">
        <v>295</v>
      </c>
      <c r="B278" s="1" t="s">
        <v>172</v>
      </c>
      <c r="C278" s="41">
        <v>0.14872470947568306</v>
      </c>
      <c r="D278" s="41">
        <v>0.14872470947568306</v>
      </c>
      <c r="E278" s="41">
        <v>0.14872470947568306</v>
      </c>
      <c r="F278" s="41">
        <v>0.14872470947568306</v>
      </c>
      <c r="G278" s="41">
        <v>0.14872470947568306</v>
      </c>
      <c r="H278" s="41">
        <v>0.14872470947568306</v>
      </c>
      <c r="I278" s="41">
        <v>0.14872470947568306</v>
      </c>
      <c r="J278" s="41">
        <v>0.14872470947568306</v>
      </c>
      <c r="K278" s="41"/>
    </row>
    <row r="279" spans="1:11">
      <c r="A279" s="1" t="s">
        <v>296</v>
      </c>
      <c r="B279" s="1" t="s">
        <v>172</v>
      </c>
      <c r="C279" s="41">
        <v>0.31412363116290332</v>
      </c>
      <c r="D279" s="41">
        <v>0.31412363116290332</v>
      </c>
      <c r="E279" s="41">
        <v>0.31412363116290332</v>
      </c>
      <c r="F279" s="41">
        <v>0.31412363116290332</v>
      </c>
      <c r="G279" s="41">
        <v>0.31412363116290332</v>
      </c>
      <c r="H279" s="41">
        <v>0.31412363116290332</v>
      </c>
      <c r="I279" s="41">
        <v>0.31412363116290332</v>
      </c>
      <c r="J279" s="41">
        <v>0.31412363116290332</v>
      </c>
      <c r="K279" s="41"/>
    </row>
    <row r="280" spans="1:11">
      <c r="A280" s="1" t="s">
        <v>297</v>
      </c>
      <c r="B280" s="1" t="s">
        <v>172</v>
      </c>
      <c r="C280" s="41">
        <v>24.743333333333332</v>
      </c>
      <c r="D280" s="41">
        <v>24.743333333333332</v>
      </c>
      <c r="E280" s="41">
        <v>24.743333333333332</v>
      </c>
      <c r="F280" s="41">
        <v>24.743333333333332</v>
      </c>
      <c r="G280" s="41">
        <v>24.743333333333332</v>
      </c>
      <c r="H280" s="41">
        <v>24.743333333333332</v>
      </c>
      <c r="I280" s="41">
        <v>24.743333333333332</v>
      </c>
      <c r="J280" s="41">
        <v>24.743333333333332</v>
      </c>
      <c r="K280" s="41"/>
    </row>
    <row r="281" spans="1:11">
      <c r="A281" s="1" t="s">
        <v>298</v>
      </c>
      <c r="B281" s="1" t="s">
        <v>172</v>
      </c>
      <c r="C281" s="41">
        <v>52.953333333333333</v>
      </c>
      <c r="D281" s="41">
        <v>52.953333333333333</v>
      </c>
      <c r="E281" s="41">
        <v>52.953333333333333</v>
      </c>
      <c r="F281" s="41">
        <v>52.953333333333333</v>
      </c>
      <c r="G281" s="41">
        <v>52.953333333333333</v>
      </c>
      <c r="H281" s="41">
        <v>52.953333333333333</v>
      </c>
      <c r="I281" s="41">
        <v>52.953333333333333</v>
      </c>
      <c r="J281" s="41">
        <v>52.953333333333333</v>
      </c>
      <c r="K281" s="41"/>
    </row>
    <row r="282" spans="1:11">
      <c r="A282" s="1" t="s">
        <v>299</v>
      </c>
      <c r="B282" s="1" t="s">
        <v>172</v>
      </c>
      <c r="C282" s="41">
        <v>17.636666666666667</v>
      </c>
      <c r="D282" s="41">
        <v>17.636666666666667</v>
      </c>
      <c r="E282" s="41">
        <v>17.636666666666667</v>
      </c>
      <c r="F282" s="41">
        <v>17.636666666666667</v>
      </c>
      <c r="G282" s="41">
        <v>17.636666666666667</v>
      </c>
      <c r="H282" s="41">
        <v>17.636666666666667</v>
      </c>
      <c r="I282" s="41">
        <v>17.636666666666667</v>
      </c>
      <c r="J282" s="41">
        <v>17.636666666666667</v>
      </c>
      <c r="K282" s="41"/>
    </row>
    <row r="283" spans="1:11">
      <c r="A283" s="1" t="s">
        <v>300</v>
      </c>
      <c r="B283" s="1" t="s">
        <v>172</v>
      </c>
      <c r="C283" s="41">
        <v>7.2366666666666664</v>
      </c>
      <c r="D283" s="41">
        <v>7.2366666666666664</v>
      </c>
      <c r="E283" s="41">
        <v>7.2366666666666664</v>
      </c>
      <c r="F283" s="41">
        <v>7.2366666666666664</v>
      </c>
      <c r="G283" s="41">
        <v>7.2366666666666664</v>
      </c>
      <c r="H283" s="41">
        <v>7.2366666666666664</v>
      </c>
      <c r="I283" s="41">
        <v>7.2366666666666664</v>
      </c>
      <c r="J283" s="41">
        <v>7.2366666666666664</v>
      </c>
      <c r="K283" s="41"/>
    </row>
    <row r="284" spans="1:11">
      <c r="A284" s="1" t="s">
        <v>301</v>
      </c>
      <c r="B284" s="1" t="s">
        <v>172</v>
      </c>
      <c r="C284" s="41">
        <v>10.53</v>
      </c>
      <c r="D284" s="41">
        <v>10.53</v>
      </c>
      <c r="E284" s="41">
        <v>10.53</v>
      </c>
      <c r="F284" s="41">
        <v>10.53</v>
      </c>
      <c r="G284" s="41">
        <v>10.53</v>
      </c>
      <c r="H284" s="41">
        <v>10.53</v>
      </c>
      <c r="I284" s="41">
        <v>10.53</v>
      </c>
      <c r="J284" s="41">
        <v>10.53</v>
      </c>
      <c r="K284" s="41"/>
    </row>
    <row r="285" spans="1:11">
      <c r="A285" s="1" t="s">
        <v>302</v>
      </c>
      <c r="B285" s="1" t="s">
        <v>172</v>
      </c>
      <c r="C285" s="41">
        <v>1.2769204346107463</v>
      </c>
      <c r="D285" s="41">
        <v>1.2769204346107463</v>
      </c>
      <c r="E285" s="41">
        <v>1.2769204346107463</v>
      </c>
      <c r="F285" s="41">
        <v>1.2769204346107463</v>
      </c>
      <c r="G285" s="41">
        <v>1.2769204346107463</v>
      </c>
      <c r="H285" s="41">
        <v>1.2769204346107463</v>
      </c>
      <c r="I285" s="41">
        <v>1.2769204346107463</v>
      </c>
      <c r="J285" s="41">
        <v>1.2769204346107463</v>
      </c>
      <c r="K285" s="41"/>
    </row>
    <row r="286" spans="1:11">
      <c r="A286" s="1" t="s">
        <v>303</v>
      </c>
      <c r="B286" s="1" t="s">
        <v>172</v>
      </c>
      <c r="C286" s="41">
        <v>72.669999999999987</v>
      </c>
      <c r="D286" s="41">
        <v>72.669999999999987</v>
      </c>
      <c r="E286" s="41">
        <v>72.669999999999987</v>
      </c>
      <c r="F286" s="41">
        <v>72.669999999999987</v>
      </c>
      <c r="G286" s="41">
        <v>72.669999999999987</v>
      </c>
      <c r="H286" s="41">
        <v>72.669999999999987</v>
      </c>
      <c r="I286" s="41">
        <v>72.669999999999987</v>
      </c>
      <c r="J286" s="41">
        <v>72.669999999999987</v>
      </c>
      <c r="K286" s="41"/>
    </row>
    <row r="287" spans="1:11">
      <c r="A287" s="1" t="s">
        <v>304</v>
      </c>
      <c r="B287" s="1" t="s">
        <v>172</v>
      </c>
      <c r="C287" s="41">
        <v>0.13</v>
      </c>
      <c r="D287" s="41">
        <v>0.13</v>
      </c>
      <c r="E287" s="41">
        <v>0.13</v>
      </c>
      <c r="F287" s="41">
        <v>0.13</v>
      </c>
      <c r="G287" s="41">
        <v>0.13</v>
      </c>
      <c r="H287" s="41">
        <v>0.13</v>
      </c>
      <c r="I287" s="41">
        <v>0.13</v>
      </c>
      <c r="J287" s="41">
        <v>0.13</v>
      </c>
      <c r="K287" s="41"/>
    </row>
    <row r="288" spans="1:11">
      <c r="A288" s="1" t="s">
        <v>305</v>
      </c>
      <c r="B288" s="1" t="s">
        <v>172</v>
      </c>
      <c r="C288" s="41">
        <v>0</v>
      </c>
      <c r="D288" s="41">
        <v>0</v>
      </c>
      <c r="E288" s="41">
        <v>0</v>
      </c>
      <c r="F288" s="41">
        <v>0</v>
      </c>
      <c r="G288" s="41">
        <v>0</v>
      </c>
      <c r="H288" s="41">
        <v>0</v>
      </c>
      <c r="I288" s="41">
        <v>0</v>
      </c>
      <c r="J288" s="41">
        <v>0</v>
      </c>
      <c r="K288" s="41"/>
    </row>
    <row r="289" spans="1:11">
      <c r="A289" s="1" t="s">
        <v>306</v>
      </c>
      <c r="B289" s="1" t="s">
        <v>172</v>
      </c>
      <c r="C289" s="41">
        <v>0</v>
      </c>
      <c r="D289" s="41">
        <v>0</v>
      </c>
      <c r="E289" s="41">
        <v>0</v>
      </c>
      <c r="F289" s="41">
        <v>0</v>
      </c>
      <c r="G289" s="41">
        <v>0</v>
      </c>
      <c r="H289" s="41">
        <v>0</v>
      </c>
      <c r="I289" s="41">
        <v>0</v>
      </c>
      <c r="J289" s="41">
        <v>0</v>
      </c>
      <c r="K289" s="41"/>
    </row>
    <row r="290" spans="1:11">
      <c r="A290" s="1" t="s">
        <v>307</v>
      </c>
      <c r="B290" s="1" t="s">
        <v>172</v>
      </c>
      <c r="C290" s="41">
        <v>42.9</v>
      </c>
      <c r="D290" s="41">
        <v>42.9</v>
      </c>
      <c r="E290" s="41">
        <v>42.9</v>
      </c>
      <c r="F290" s="41">
        <v>42.9</v>
      </c>
      <c r="G290" s="41">
        <v>42.9</v>
      </c>
      <c r="H290" s="41">
        <v>42.9</v>
      </c>
      <c r="I290" s="41">
        <v>42.9</v>
      </c>
      <c r="J290" s="41">
        <v>42.9</v>
      </c>
      <c r="K290" s="41"/>
    </row>
    <row r="291" spans="1:11">
      <c r="A291" s="1" t="s">
        <v>308</v>
      </c>
      <c r="B291" s="1" t="s">
        <v>172</v>
      </c>
      <c r="C291" s="41">
        <v>24.223333333333333</v>
      </c>
      <c r="D291" s="41">
        <v>24.223333333333333</v>
      </c>
      <c r="E291" s="41">
        <v>24.223333333333333</v>
      </c>
      <c r="F291" s="41">
        <v>24.223333333333333</v>
      </c>
      <c r="G291" s="41">
        <v>24.223333333333333</v>
      </c>
      <c r="H291" s="41">
        <v>24.223333333333333</v>
      </c>
      <c r="I291" s="41">
        <v>24.223333333333333</v>
      </c>
      <c r="J291" s="41">
        <v>24.223333333333333</v>
      </c>
      <c r="K291" s="41"/>
    </row>
    <row r="292" spans="1:11">
      <c r="A292" s="1" t="s">
        <v>309</v>
      </c>
      <c r="B292" s="1" t="s">
        <v>172</v>
      </c>
      <c r="C292" s="41">
        <v>3.9866666666666664</v>
      </c>
      <c r="D292" s="41">
        <v>3.9866666666666664</v>
      </c>
      <c r="E292" s="41">
        <v>3.9866666666666664</v>
      </c>
      <c r="F292" s="41">
        <v>3.9866666666666664</v>
      </c>
      <c r="G292" s="41">
        <v>3.9866666666666664</v>
      </c>
      <c r="H292" s="41">
        <v>3.9866666666666664</v>
      </c>
      <c r="I292" s="41">
        <v>3.9866666666666664</v>
      </c>
      <c r="J292" s="41">
        <v>3.9866666666666664</v>
      </c>
      <c r="K292" s="41"/>
    </row>
    <row r="293" spans="1:11">
      <c r="A293" s="1" t="s">
        <v>310</v>
      </c>
      <c r="B293" s="1" t="s">
        <v>172</v>
      </c>
      <c r="C293" s="41">
        <v>18.676666666666669</v>
      </c>
      <c r="D293" s="41">
        <v>18.676666666666669</v>
      </c>
      <c r="E293" s="41">
        <v>18.676666666666669</v>
      </c>
      <c r="F293" s="41">
        <v>18.676666666666669</v>
      </c>
      <c r="G293" s="41">
        <v>18.676666666666669</v>
      </c>
      <c r="H293" s="41">
        <v>18.676666666666669</v>
      </c>
      <c r="I293" s="41">
        <v>18.676666666666669</v>
      </c>
      <c r="J293" s="41">
        <v>18.676666666666669</v>
      </c>
      <c r="K293" s="41"/>
    </row>
    <row r="294" spans="1:11">
      <c r="A294" s="1" t="s">
        <v>311</v>
      </c>
      <c r="B294" s="1" t="s">
        <v>172</v>
      </c>
      <c r="C294" s="41">
        <v>0</v>
      </c>
      <c r="D294" s="41">
        <v>0</v>
      </c>
      <c r="E294" s="41">
        <v>0</v>
      </c>
      <c r="F294" s="41">
        <v>0</v>
      </c>
      <c r="G294" s="41">
        <v>0</v>
      </c>
      <c r="H294" s="41">
        <v>0</v>
      </c>
      <c r="I294" s="41">
        <v>0</v>
      </c>
      <c r="J294" s="41">
        <v>0</v>
      </c>
      <c r="K294" s="41"/>
    </row>
    <row r="295" spans="1:11">
      <c r="A295" s="1" t="s">
        <v>312</v>
      </c>
      <c r="B295" s="1" t="s">
        <v>172</v>
      </c>
      <c r="C295" s="41">
        <v>0</v>
      </c>
      <c r="D295" s="41">
        <v>0</v>
      </c>
      <c r="E295" s="41">
        <v>0</v>
      </c>
      <c r="F295" s="41">
        <v>0</v>
      </c>
      <c r="G295" s="41">
        <v>0</v>
      </c>
      <c r="H295" s="41">
        <v>0</v>
      </c>
      <c r="I295" s="41">
        <v>0</v>
      </c>
      <c r="J295" s="41">
        <v>0</v>
      </c>
      <c r="K295" s="41"/>
    </row>
    <row r="296" spans="1:11">
      <c r="A296" s="1" t="s">
        <v>277</v>
      </c>
      <c r="B296" s="1" t="s">
        <v>94</v>
      </c>
      <c r="C296" s="41">
        <v>3.3687905327501562</v>
      </c>
      <c r="D296" s="41">
        <v>3.3687905327501562</v>
      </c>
      <c r="E296" s="41">
        <v>3.3687905327501562</v>
      </c>
      <c r="F296" s="41">
        <v>3.3687905327501562</v>
      </c>
      <c r="G296" s="41">
        <v>3.3687905327501562</v>
      </c>
      <c r="H296" s="41">
        <v>3.3687905327501562</v>
      </c>
      <c r="I296" s="41">
        <v>3.3687905327501562</v>
      </c>
      <c r="J296" s="41">
        <v>3.3687905327501562</v>
      </c>
    </row>
    <row r="297" spans="1:11">
      <c r="A297" s="1" t="s">
        <v>279</v>
      </c>
      <c r="B297" s="1" t="s">
        <v>94</v>
      </c>
      <c r="C297" s="41">
        <v>5.425993148689626</v>
      </c>
      <c r="D297" s="41">
        <v>5.425993148689626</v>
      </c>
      <c r="E297" s="41">
        <v>5.425993148689626</v>
      </c>
      <c r="F297" s="41">
        <v>5.425993148689626</v>
      </c>
      <c r="G297" s="41">
        <v>5.425993148689626</v>
      </c>
      <c r="H297" s="41">
        <v>5.425993148689626</v>
      </c>
      <c r="I297" s="41">
        <v>5.425993148689626</v>
      </c>
      <c r="J297" s="41">
        <v>5.425993148689626</v>
      </c>
    </row>
    <row r="298" spans="1:11">
      <c r="A298" s="1" t="s">
        <v>282</v>
      </c>
      <c r="B298" s="1" t="s">
        <v>94</v>
      </c>
      <c r="C298" s="41">
        <v>8.1033333333333317</v>
      </c>
      <c r="D298" s="41">
        <v>8.1033333333333317</v>
      </c>
      <c r="E298" s="41">
        <v>8.1033333333333317</v>
      </c>
      <c r="F298" s="41">
        <v>8.1033333333333317</v>
      </c>
      <c r="G298" s="41">
        <v>8.1033333333333317</v>
      </c>
      <c r="H298" s="41">
        <v>8.1033333333333317</v>
      </c>
      <c r="I298" s="41">
        <v>8.1033333333333317</v>
      </c>
      <c r="J298" s="41">
        <v>8.1033333333333317</v>
      </c>
    </row>
    <row r="299" spans="1:11">
      <c r="A299" s="1" t="s">
        <v>295</v>
      </c>
      <c r="B299" s="1" t="s">
        <v>94</v>
      </c>
      <c r="C299" s="41">
        <v>2.3487279590782402</v>
      </c>
      <c r="D299" s="41">
        <v>2.3487279590782402</v>
      </c>
      <c r="E299" s="41">
        <v>2.3487279590782402</v>
      </c>
      <c r="F299" s="41">
        <v>2.3487279590782402</v>
      </c>
      <c r="G299" s="41">
        <v>2.3487279590782402</v>
      </c>
      <c r="H299" s="41">
        <v>2.3487279590782402</v>
      </c>
      <c r="I299" s="41">
        <v>2.3487279590782402</v>
      </c>
      <c r="J299" s="41">
        <v>2.3487279590782402</v>
      </c>
    </row>
    <row r="300" spans="1:11">
      <c r="A300" s="1" t="s">
        <v>296</v>
      </c>
      <c r="B300" s="1" t="s">
        <v>94</v>
      </c>
      <c r="C300" s="41">
        <v>4.9607826279877374</v>
      </c>
      <c r="D300" s="41">
        <v>4.9607826279877374</v>
      </c>
      <c r="E300" s="41">
        <v>4.9607826279877374</v>
      </c>
      <c r="F300" s="41">
        <v>4.9607826279877374</v>
      </c>
      <c r="G300" s="41">
        <v>4.9607826279877374</v>
      </c>
      <c r="H300" s="41">
        <v>4.9607826279877374</v>
      </c>
      <c r="I300" s="41">
        <v>4.9607826279877374</v>
      </c>
      <c r="J300" s="41">
        <v>4.9607826279877374</v>
      </c>
    </row>
    <row r="301" spans="1:11">
      <c r="A301" s="1" t="s">
        <v>298</v>
      </c>
      <c r="B301" s="1" t="s">
        <v>94</v>
      </c>
      <c r="C301" s="41">
        <v>5.2</v>
      </c>
      <c r="D301" s="41">
        <v>5.2</v>
      </c>
      <c r="E301" s="41">
        <v>5.2</v>
      </c>
      <c r="F301" s="41">
        <v>5.2</v>
      </c>
      <c r="G301" s="41">
        <v>5.2</v>
      </c>
      <c r="H301" s="41">
        <v>5.2</v>
      </c>
      <c r="I301" s="41">
        <v>5.2</v>
      </c>
      <c r="J301" s="41">
        <v>5.2</v>
      </c>
    </row>
    <row r="302" spans="1:11">
      <c r="A302" s="1" t="s">
        <v>302</v>
      </c>
      <c r="B302" s="1" t="s">
        <v>94</v>
      </c>
      <c r="C302" s="41">
        <v>20.165705731494239</v>
      </c>
      <c r="D302" s="41">
        <v>20.165705731494239</v>
      </c>
      <c r="E302" s="41">
        <v>20.165705731494239</v>
      </c>
      <c r="F302" s="41">
        <v>20.165705731494239</v>
      </c>
      <c r="G302" s="41">
        <v>20.165705731494239</v>
      </c>
      <c r="H302" s="41">
        <v>20.165705731494239</v>
      </c>
      <c r="I302" s="41">
        <v>20.165705731494239</v>
      </c>
      <c r="J302" s="41">
        <v>20.165705731494239</v>
      </c>
    </row>
    <row r="303" spans="1:11">
      <c r="A303" s="1" t="s">
        <v>306</v>
      </c>
      <c r="B303" s="1" t="s">
        <v>94</v>
      </c>
      <c r="C303" s="41">
        <v>0</v>
      </c>
      <c r="D303" s="41">
        <v>0</v>
      </c>
      <c r="E303" s="41">
        <v>0</v>
      </c>
      <c r="F303" s="41">
        <v>0</v>
      </c>
      <c r="G303" s="41">
        <v>0</v>
      </c>
      <c r="H303" s="41">
        <v>0</v>
      </c>
      <c r="I303" s="41">
        <v>0</v>
      </c>
      <c r="J303" s="41">
        <v>0</v>
      </c>
    </row>
    <row r="304" spans="1:11">
      <c r="A304" s="1" t="s">
        <v>311</v>
      </c>
      <c r="B304" s="1" t="s">
        <v>94</v>
      </c>
      <c r="C304" s="41">
        <v>0</v>
      </c>
      <c r="D304" s="41">
        <v>0</v>
      </c>
      <c r="E304" s="41">
        <v>0</v>
      </c>
      <c r="F304" s="41">
        <v>0</v>
      </c>
      <c r="G304" s="41">
        <v>0</v>
      </c>
      <c r="H304" s="41">
        <v>0</v>
      </c>
      <c r="I304" s="41">
        <v>0</v>
      </c>
      <c r="J304" s="41">
        <v>0</v>
      </c>
    </row>
    <row r="305" spans="1:10">
      <c r="A305" s="1" t="s">
        <v>312</v>
      </c>
      <c r="B305" s="1" t="s">
        <v>94</v>
      </c>
      <c r="C305" s="41">
        <v>0</v>
      </c>
      <c r="D305" s="41">
        <v>0</v>
      </c>
      <c r="E305" s="41">
        <v>0</v>
      </c>
      <c r="F305" s="41">
        <v>0</v>
      </c>
      <c r="G305" s="41">
        <v>0</v>
      </c>
      <c r="H305" s="41">
        <v>0</v>
      </c>
      <c r="I305" s="41">
        <v>0</v>
      </c>
      <c r="J305" s="41">
        <v>0</v>
      </c>
    </row>
    <row r="306" spans="1:10">
      <c r="A306" s="1" t="s">
        <v>277</v>
      </c>
      <c r="B306" s="1" t="s">
        <v>93</v>
      </c>
      <c r="C306" s="41">
        <v>3.3687905327501562</v>
      </c>
      <c r="D306" s="41">
        <v>3.3687905327501562</v>
      </c>
      <c r="E306" s="41">
        <v>3.3687905327501562</v>
      </c>
      <c r="F306" s="41">
        <v>3.3687905327501562</v>
      </c>
      <c r="G306" s="41">
        <v>3.3687905327501562</v>
      </c>
      <c r="H306" s="41">
        <v>3.3687905327501562</v>
      </c>
      <c r="I306" s="41">
        <v>3.3687905327501562</v>
      </c>
      <c r="J306" s="41">
        <v>3.3687905327501562</v>
      </c>
    </row>
    <row r="307" spans="1:10">
      <c r="A307" s="1" t="s">
        <v>279</v>
      </c>
      <c r="B307" s="1" t="s">
        <v>93</v>
      </c>
      <c r="C307" s="41">
        <v>5.425993148689626</v>
      </c>
      <c r="D307" s="41">
        <v>5.425993148689626</v>
      </c>
      <c r="E307" s="41">
        <v>5.425993148689626</v>
      </c>
      <c r="F307" s="41">
        <v>5.425993148689626</v>
      </c>
      <c r="G307" s="41">
        <v>5.425993148689626</v>
      </c>
      <c r="H307" s="41">
        <v>5.425993148689626</v>
      </c>
      <c r="I307" s="41">
        <v>5.425993148689626</v>
      </c>
      <c r="J307" s="41">
        <v>5.425993148689626</v>
      </c>
    </row>
    <row r="308" spans="1:10">
      <c r="A308" s="1" t="s">
        <v>282</v>
      </c>
      <c r="B308" s="1" t="s">
        <v>93</v>
      </c>
      <c r="C308" s="41">
        <v>8.1033333333333317</v>
      </c>
      <c r="D308" s="41">
        <v>8.1033333333333317</v>
      </c>
      <c r="E308" s="41">
        <v>8.1033333333333317</v>
      </c>
      <c r="F308" s="41">
        <v>8.1033333333333317</v>
      </c>
      <c r="G308" s="41">
        <v>8.1033333333333317</v>
      </c>
      <c r="H308" s="41">
        <v>8.1033333333333317</v>
      </c>
      <c r="I308" s="41">
        <v>8.1033333333333317</v>
      </c>
      <c r="J308" s="41">
        <v>8.1033333333333317</v>
      </c>
    </row>
    <row r="309" spans="1:10">
      <c r="A309" s="1" t="s">
        <v>295</v>
      </c>
      <c r="B309" s="1" t="s">
        <v>93</v>
      </c>
      <c r="C309" s="41">
        <v>2.3487279590782402</v>
      </c>
      <c r="D309" s="41">
        <v>2.3487279590782402</v>
      </c>
      <c r="E309" s="41">
        <v>2.3487279590782402</v>
      </c>
      <c r="F309" s="41">
        <v>2.3487279590782402</v>
      </c>
      <c r="G309" s="41">
        <v>2.3487279590782402</v>
      </c>
      <c r="H309" s="41">
        <v>2.3487279590782402</v>
      </c>
      <c r="I309" s="41">
        <v>2.3487279590782402</v>
      </c>
      <c r="J309" s="41">
        <v>2.3487279590782402</v>
      </c>
    </row>
    <row r="310" spans="1:10">
      <c r="A310" s="1" t="s">
        <v>296</v>
      </c>
      <c r="B310" s="1" t="s">
        <v>93</v>
      </c>
      <c r="C310" s="41">
        <v>4.9607826279877374</v>
      </c>
      <c r="D310" s="41">
        <v>4.9607826279877374</v>
      </c>
      <c r="E310" s="41">
        <v>4.9607826279877374</v>
      </c>
      <c r="F310" s="41">
        <v>4.9607826279877374</v>
      </c>
      <c r="G310" s="41">
        <v>4.9607826279877374</v>
      </c>
      <c r="H310" s="41">
        <v>4.9607826279877374</v>
      </c>
      <c r="I310" s="41">
        <v>4.9607826279877374</v>
      </c>
      <c r="J310" s="41">
        <v>4.9607826279877374</v>
      </c>
    </row>
    <row r="311" spans="1:10">
      <c r="A311" s="1" t="s">
        <v>298</v>
      </c>
      <c r="B311" s="1" t="s">
        <v>93</v>
      </c>
      <c r="C311" s="41">
        <v>5.2</v>
      </c>
      <c r="D311" s="41">
        <v>5.2</v>
      </c>
      <c r="E311" s="41">
        <v>5.2</v>
      </c>
      <c r="F311" s="41">
        <v>5.2</v>
      </c>
      <c r="G311" s="41">
        <v>5.2</v>
      </c>
      <c r="H311" s="41">
        <v>5.2</v>
      </c>
      <c r="I311" s="41">
        <v>5.2</v>
      </c>
      <c r="J311" s="41">
        <v>5.2</v>
      </c>
    </row>
    <row r="312" spans="1:10">
      <c r="A312" s="1" t="s">
        <v>302</v>
      </c>
      <c r="B312" s="1" t="s">
        <v>93</v>
      </c>
      <c r="C312" s="41">
        <v>20.165705731494239</v>
      </c>
      <c r="D312" s="41">
        <v>20.165705731494239</v>
      </c>
      <c r="E312" s="41">
        <v>20.165705731494239</v>
      </c>
      <c r="F312" s="41">
        <v>20.165705731494239</v>
      </c>
      <c r="G312" s="41">
        <v>20.165705731494239</v>
      </c>
      <c r="H312" s="41">
        <v>20.165705731494239</v>
      </c>
      <c r="I312" s="41">
        <v>20.165705731494239</v>
      </c>
      <c r="J312" s="41">
        <v>20.165705731494239</v>
      </c>
    </row>
    <row r="313" spans="1:10">
      <c r="A313" s="1" t="s">
        <v>306</v>
      </c>
      <c r="B313" s="1" t="s">
        <v>93</v>
      </c>
      <c r="C313" s="41">
        <v>0</v>
      </c>
      <c r="D313" s="41">
        <v>0</v>
      </c>
      <c r="E313" s="41">
        <v>0</v>
      </c>
      <c r="F313" s="41">
        <v>0</v>
      </c>
      <c r="G313" s="41">
        <v>0</v>
      </c>
      <c r="H313" s="41">
        <v>0</v>
      </c>
      <c r="I313" s="41">
        <v>0</v>
      </c>
      <c r="J313" s="41">
        <v>0</v>
      </c>
    </row>
    <row r="314" spans="1:10">
      <c r="A314" s="1" t="s">
        <v>311</v>
      </c>
      <c r="B314" s="1" t="s">
        <v>93</v>
      </c>
      <c r="C314" s="41">
        <v>0</v>
      </c>
      <c r="D314" s="41">
        <v>0</v>
      </c>
      <c r="E314" s="41">
        <v>0</v>
      </c>
      <c r="F314" s="41">
        <v>0</v>
      </c>
      <c r="G314" s="41">
        <v>0</v>
      </c>
      <c r="H314" s="41">
        <v>0</v>
      </c>
      <c r="I314" s="41">
        <v>0</v>
      </c>
      <c r="J314" s="41">
        <v>0</v>
      </c>
    </row>
    <row r="315" spans="1:10">
      <c r="A315" s="1" t="s">
        <v>312</v>
      </c>
      <c r="B315" s="1" t="s">
        <v>93</v>
      </c>
      <c r="C315" s="41">
        <v>0</v>
      </c>
      <c r="D315" s="41">
        <v>0</v>
      </c>
      <c r="E315" s="41">
        <v>0</v>
      </c>
      <c r="F315" s="41">
        <v>0</v>
      </c>
      <c r="G315" s="41">
        <v>0</v>
      </c>
      <c r="H315" s="41">
        <v>0</v>
      </c>
      <c r="I315" s="41">
        <v>0</v>
      </c>
      <c r="J315" s="41">
        <v>0</v>
      </c>
    </row>
    <row r="316" spans="1:10">
      <c r="A316" s="1" t="s">
        <v>277</v>
      </c>
      <c r="B316" s="1" t="s">
        <v>95</v>
      </c>
      <c r="C316" s="41">
        <v>3.3687905327501562</v>
      </c>
      <c r="D316" s="41">
        <v>3.3687905327501562</v>
      </c>
      <c r="E316" s="41">
        <v>3.3687905327501562</v>
      </c>
      <c r="F316" s="41">
        <v>3.3687905327501562</v>
      </c>
      <c r="G316" s="41">
        <v>3.3687905327501562</v>
      </c>
      <c r="H316" s="41">
        <v>3.3687905327501562</v>
      </c>
      <c r="I316" s="41">
        <v>3.3687905327501562</v>
      </c>
      <c r="J316" s="41">
        <v>3.3687905327501562</v>
      </c>
    </row>
    <row r="317" spans="1:10">
      <c r="A317" s="1" t="s">
        <v>279</v>
      </c>
      <c r="B317" s="1" t="s">
        <v>95</v>
      </c>
      <c r="C317" s="41">
        <v>5.425993148689626</v>
      </c>
      <c r="D317" s="41">
        <v>5.425993148689626</v>
      </c>
      <c r="E317" s="41">
        <v>5.425993148689626</v>
      </c>
      <c r="F317" s="41">
        <v>5.425993148689626</v>
      </c>
      <c r="G317" s="41">
        <v>5.425993148689626</v>
      </c>
      <c r="H317" s="41">
        <v>5.425993148689626</v>
      </c>
      <c r="I317" s="41">
        <v>5.425993148689626</v>
      </c>
      <c r="J317" s="41">
        <v>5.425993148689626</v>
      </c>
    </row>
    <row r="318" spans="1:10">
      <c r="A318" s="1" t="s">
        <v>282</v>
      </c>
      <c r="B318" s="1" t="s">
        <v>95</v>
      </c>
      <c r="C318" s="41">
        <v>8.1033333333333317</v>
      </c>
      <c r="D318" s="41">
        <v>8.1033333333333317</v>
      </c>
      <c r="E318" s="41">
        <v>8.1033333333333317</v>
      </c>
      <c r="F318" s="41">
        <v>8.1033333333333317</v>
      </c>
      <c r="G318" s="41">
        <v>8.1033333333333317</v>
      </c>
      <c r="H318" s="41">
        <v>8.1033333333333317</v>
      </c>
      <c r="I318" s="41">
        <v>8.1033333333333317</v>
      </c>
      <c r="J318" s="41">
        <v>8.1033333333333317</v>
      </c>
    </row>
    <row r="319" spans="1:10">
      <c r="A319" s="1" t="s">
        <v>295</v>
      </c>
      <c r="B319" s="1" t="s">
        <v>95</v>
      </c>
      <c r="C319" s="41">
        <v>2.3487279590782402</v>
      </c>
      <c r="D319" s="41">
        <v>2.3487279590782402</v>
      </c>
      <c r="E319" s="41">
        <v>2.3487279590782402</v>
      </c>
      <c r="F319" s="41">
        <v>2.3487279590782402</v>
      </c>
      <c r="G319" s="41">
        <v>2.3487279590782402</v>
      </c>
      <c r="H319" s="41">
        <v>2.3487279590782402</v>
      </c>
      <c r="I319" s="41">
        <v>2.3487279590782402</v>
      </c>
      <c r="J319" s="41">
        <v>2.3487279590782402</v>
      </c>
    </row>
    <row r="320" spans="1:10">
      <c r="A320" s="1" t="s">
        <v>296</v>
      </c>
      <c r="B320" s="1" t="s">
        <v>95</v>
      </c>
      <c r="C320" s="41">
        <v>4.9607826279877374</v>
      </c>
      <c r="D320" s="41">
        <v>4.9607826279877374</v>
      </c>
      <c r="E320" s="41">
        <v>4.9607826279877374</v>
      </c>
      <c r="F320" s="41">
        <v>4.9607826279877374</v>
      </c>
      <c r="G320" s="41">
        <v>4.9607826279877374</v>
      </c>
      <c r="H320" s="41">
        <v>4.9607826279877374</v>
      </c>
      <c r="I320" s="41">
        <v>4.9607826279877374</v>
      </c>
      <c r="J320" s="41">
        <v>4.9607826279877374</v>
      </c>
    </row>
    <row r="321" spans="1:10">
      <c r="A321" s="1" t="s">
        <v>298</v>
      </c>
      <c r="B321" s="1" t="s">
        <v>95</v>
      </c>
      <c r="C321" s="41">
        <v>5.2</v>
      </c>
      <c r="D321" s="41">
        <v>5.2</v>
      </c>
      <c r="E321" s="41">
        <v>5.2</v>
      </c>
      <c r="F321" s="41">
        <v>5.2</v>
      </c>
      <c r="G321" s="41">
        <v>5.2</v>
      </c>
      <c r="H321" s="41">
        <v>5.2</v>
      </c>
      <c r="I321" s="41">
        <v>5.2</v>
      </c>
      <c r="J321" s="41">
        <v>5.2</v>
      </c>
    </row>
    <row r="322" spans="1:10">
      <c r="A322" s="1" t="s">
        <v>302</v>
      </c>
      <c r="B322" s="1" t="s">
        <v>95</v>
      </c>
      <c r="C322" s="41">
        <v>20.165705731494239</v>
      </c>
      <c r="D322" s="41">
        <v>20.165705731494239</v>
      </c>
      <c r="E322" s="41">
        <v>20.165705731494239</v>
      </c>
      <c r="F322" s="41">
        <v>20.165705731494239</v>
      </c>
      <c r="G322" s="41">
        <v>20.165705731494239</v>
      </c>
      <c r="H322" s="41">
        <v>20.165705731494239</v>
      </c>
      <c r="I322" s="41">
        <v>20.165705731494239</v>
      </c>
      <c r="J322" s="41">
        <v>20.165705731494239</v>
      </c>
    </row>
    <row r="323" spans="1:10">
      <c r="A323" s="1" t="s">
        <v>306</v>
      </c>
      <c r="B323" s="1" t="s">
        <v>95</v>
      </c>
      <c r="C323" s="41">
        <v>0</v>
      </c>
      <c r="D323" s="41">
        <v>0</v>
      </c>
      <c r="E323" s="41">
        <v>0</v>
      </c>
      <c r="F323" s="41">
        <v>0</v>
      </c>
      <c r="G323" s="41">
        <v>0</v>
      </c>
      <c r="H323" s="41">
        <v>0</v>
      </c>
      <c r="I323" s="41">
        <v>0</v>
      </c>
      <c r="J323" s="41">
        <v>0</v>
      </c>
    </row>
    <row r="324" spans="1:10">
      <c r="A324" s="1" t="s">
        <v>311</v>
      </c>
      <c r="B324" s="1" t="s">
        <v>95</v>
      </c>
      <c r="C324" s="41">
        <v>0</v>
      </c>
      <c r="D324" s="41">
        <v>0</v>
      </c>
      <c r="E324" s="41">
        <v>0</v>
      </c>
      <c r="F324" s="41">
        <v>0</v>
      </c>
      <c r="G324" s="41">
        <v>0</v>
      </c>
      <c r="H324" s="41">
        <v>0</v>
      </c>
      <c r="I324" s="41">
        <v>0</v>
      </c>
      <c r="J324" s="41">
        <v>0</v>
      </c>
    </row>
    <row r="325" spans="1:10">
      <c r="A325" s="1" t="s">
        <v>312</v>
      </c>
      <c r="B325" s="1" t="s">
        <v>95</v>
      </c>
      <c r="C325" s="41">
        <v>0</v>
      </c>
      <c r="D325" s="41">
        <v>0</v>
      </c>
      <c r="E325" s="41">
        <v>0</v>
      </c>
      <c r="F325" s="41">
        <v>0</v>
      </c>
      <c r="G325" s="41">
        <v>0</v>
      </c>
      <c r="H325" s="41">
        <v>0</v>
      </c>
      <c r="I325" s="41">
        <v>0</v>
      </c>
      <c r="J325" s="41">
        <v>0</v>
      </c>
    </row>
    <row r="326" spans="1:10">
      <c r="A326" s="1" t="s">
        <v>277</v>
      </c>
      <c r="B326" s="1" t="s">
        <v>100</v>
      </c>
      <c r="C326" s="41">
        <v>0</v>
      </c>
      <c r="D326" s="41">
        <v>0</v>
      </c>
      <c r="E326" s="41">
        <v>0</v>
      </c>
      <c r="F326" s="41">
        <v>0</v>
      </c>
      <c r="G326" s="41">
        <v>0</v>
      </c>
      <c r="H326" s="41">
        <v>0</v>
      </c>
      <c r="I326" s="41">
        <v>0</v>
      </c>
      <c r="J326" s="41">
        <v>0</v>
      </c>
    </row>
    <row r="327" spans="1:10">
      <c r="A327" s="1" t="s">
        <v>278</v>
      </c>
      <c r="B327" s="1" t="s">
        <v>100</v>
      </c>
      <c r="C327" s="41">
        <v>8.19</v>
      </c>
      <c r="D327" s="41">
        <v>8.19</v>
      </c>
      <c r="E327" s="41">
        <v>8.19</v>
      </c>
      <c r="F327" s="41">
        <v>8.19</v>
      </c>
      <c r="G327" s="41">
        <v>8.19</v>
      </c>
      <c r="H327" s="41">
        <v>8.19</v>
      </c>
      <c r="I327" s="41">
        <v>8.19</v>
      </c>
      <c r="J327" s="41">
        <v>8.19</v>
      </c>
    </row>
    <row r="328" spans="1:10">
      <c r="A328" s="1" t="s">
        <v>279</v>
      </c>
      <c r="B328" s="1" t="s">
        <v>100</v>
      </c>
      <c r="C328" s="41">
        <v>3.7328571428571431</v>
      </c>
      <c r="D328" s="41">
        <v>3.7328571428571431</v>
      </c>
      <c r="E328" s="41">
        <v>3.7328571428571431</v>
      </c>
      <c r="F328" s="41">
        <v>3.7328571428571431</v>
      </c>
      <c r="G328" s="41">
        <v>3.7328571428571431</v>
      </c>
      <c r="H328" s="41">
        <v>3.7328571428571431</v>
      </c>
      <c r="I328" s="41">
        <v>3.7328571428571431</v>
      </c>
      <c r="J328" s="41">
        <v>3.7328571428571431</v>
      </c>
    </row>
    <row r="329" spans="1:10">
      <c r="A329" s="1" t="s">
        <v>280</v>
      </c>
      <c r="B329" s="1" t="s">
        <v>100</v>
      </c>
      <c r="C329" s="41">
        <v>3.5100000000000002</v>
      </c>
      <c r="D329" s="41">
        <v>3.5100000000000002</v>
      </c>
      <c r="E329" s="41">
        <v>3.5100000000000002</v>
      </c>
      <c r="F329" s="41">
        <v>3.5100000000000002</v>
      </c>
      <c r="G329" s="41">
        <v>3.5100000000000002</v>
      </c>
      <c r="H329" s="41">
        <v>3.5100000000000002</v>
      </c>
      <c r="I329" s="41">
        <v>3.5100000000000002</v>
      </c>
      <c r="J329" s="41">
        <v>3.5100000000000002</v>
      </c>
    </row>
    <row r="330" spans="1:10">
      <c r="A330" s="1" t="s">
        <v>281</v>
      </c>
      <c r="B330" s="1" t="s">
        <v>100</v>
      </c>
      <c r="C330" s="41">
        <v>13.13</v>
      </c>
      <c r="D330" s="41">
        <v>13.13</v>
      </c>
      <c r="E330" s="41">
        <v>13.13</v>
      </c>
      <c r="F330" s="41">
        <v>13.13</v>
      </c>
      <c r="G330" s="41">
        <v>13.13</v>
      </c>
      <c r="H330" s="41">
        <v>13.13</v>
      </c>
      <c r="I330" s="41">
        <v>13.13</v>
      </c>
      <c r="J330" s="41">
        <v>13.13</v>
      </c>
    </row>
    <row r="331" spans="1:10">
      <c r="A331" s="1" t="s">
        <v>282</v>
      </c>
      <c r="B331" s="1" t="s">
        <v>100</v>
      </c>
      <c r="C331" s="41">
        <v>3.9000000000000004</v>
      </c>
      <c r="D331" s="41">
        <v>3.9000000000000004</v>
      </c>
      <c r="E331" s="41">
        <v>3.9000000000000004</v>
      </c>
      <c r="F331" s="41">
        <v>3.9000000000000004</v>
      </c>
      <c r="G331" s="41">
        <v>3.9000000000000004</v>
      </c>
      <c r="H331" s="41">
        <v>3.9000000000000004</v>
      </c>
      <c r="I331" s="41">
        <v>3.9000000000000004</v>
      </c>
      <c r="J331" s="41">
        <v>3.9000000000000004</v>
      </c>
    </row>
    <row r="332" spans="1:10">
      <c r="A332" s="1" t="s">
        <v>283</v>
      </c>
      <c r="B332" s="1" t="s">
        <v>100</v>
      </c>
      <c r="C332" s="41">
        <v>11.05</v>
      </c>
      <c r="D332" s="41">
        <v>11.05</v>
      </c>
      <c r="E332" s="41">
        <v>11.05</v>
      </c>
      <c r="F332" s="41">
        <v>11.05</v>
      </c>
      <c r="G332" s="41">
        <v>11.05</v>
      </c>
      <c r="H332" s="41">
        <v>11.05</v>
      </c>
      <c r="I332" s="41">
        <v>11.05</v>
      </c>
      <c r="J332" s="41">
        <v>11.05</v>
      </c>
    </row>
    <row r="333" spans="1:10">
      <c r="A333" s="1" t="s">
        <v>284</v>
      </c>
      <c r="B333" s="1" t="s">
        <v>100</v>
      </c>
      <c r="C333" s="41">
        <v>43.42</v>
      </c>
      <c r="D333" s="41">
        <v>43.42</v>
      </c>
      <c r="E333" s="41">
        <v>43.42</v>
      </c>
      <c r="F333" s="41">
        <v>43.42</v>
      </c>
      <c r="G333" s="41">
        <v>43.42</v>
      </c>
      <c r="H333" s="41">
        <v>43.42</v>
      </c>
      <c r="I333" s="41">
        <v>43.42</v>
      </c>
      <c r="J333" s="41">
        <v>43.42</v>
      </c>
    </row>
    <row r="334" spans="1:10">
      <c r="A334" s="1" t="s">
        <v>285</v>
      </c>
      <c r="B334" s="1" t="s">
        <v>100</v>
      </c>
      <c r="C334" s="41">
        <v>6.89</v>
      </c>
      <c r="D334" s="41">
        <v>6.89</v>
      </c>
      <c r="E334" s="41">
        <v>6.89</v>
      </c>
      <c r="F334" s="41">
        <v>6.89</v>
      </c>
      <c r="G334" s="41">
        <v>6.89</v>
      </c>
      <c r="H334" s="41">
        <v>6.89</v>
      </c>
      <c r="I334" s="41">
        <v>6.89</v>
      </c>
      <c r="J334" s="41">
        <v>6.89</v>
      </c>
    </row>
    <row r="335" spans="1:10">
      <c r="A335" s="1" t="s">
        <v>286</v>
      </c>
      <c r="B335" s="1" t="s">
        <v>100</v>
      </c>
      <c r="C335" s="41">
        <v>71.63000000000001</v>
      </c>
      <c r="D335" s="41">
        <v>71.63000000000001</v>
      </c>
      <c r="E335" s="41">
        <v>71.63000000000001</v>
      </c>
      <c r="F335" s="41">
        <v>71.63000000000001</v>
      </c>
      <c r="G335" s="41">
        <v>71.63000000000001</v>
      </c>
      <c r="H335" s="41">
        <v>71.63000000000001</v>
      </c>
      <c r="I335" s="41">
        <v>71.63000000000001</v>
      </c>
      <c r="J335" s="41">
        <v>71.63000000000001</v>
      </c>
    </row>
    <row r="336" spans="1:10">
      <c r="A336" s="1" t="s">
        <v>287</v>
      </c>
      <c r="B336" s="1" t="s">
        <v>100</v>
      </c>
      <c r="C336" s="41">
        <v>5.9799999999999995</v>
      </c>
      <c r="D336" s="41">
        <v>5.9799999999999995</v>
      </c>
      <c r="E336" s="41">
        <v>5.9799999999999995</v>
      </c>
      <c r="F336" s="41">
        <v>5.9799999999999995</v>
      </c>
      <c r="G336" s="41">
        <v>5.9799999999999995</v>
      </c>
      <c r="H336" s="41">
        <v>5.9799999999999995</v>
      </c>
      <c r="I336" s="41">
        <v>5.9799999999999995</v>
      </c>
      <c r="J336" s="41">
        <v>5.9799999999999995</v>
      </c>
    </row>
    <row r="337" spans="1:10">
      <c r="A337" s="1" t="s">
        <v>288</v>
      </c>
      <c r="B337" s="1" t="s">
        <v>100</v>
      </c>
      <c r="C337" s="41">
        <v>75.789999999999992</v>
      </c>
      <c r="D337" s="41">
        <v>75.789999999999992</v>
      </c>
      <c r="E337" s="41">
        <v>75.789999999999992</v>
      </c>
      <c r="F337" s="41">
        <v>75.789999999999992</v>
      </c>
      <c r="G337" s="41">
        <v>75.789999999999992</v>
      </c>
      <c r="H337" s="41">
        <v>75.789999999999992</v>
      </c>
      <c r="I337" s="41">
        <v>75.789999999999992</v>
      </c>
      <c r="J337" s="41">
        <v>75.789999999999992</v>
      </c>
    </row>
    <row r="338" spans="1:10">
      <c r="A338" s="1" t="s">
        <v>289</v>
      </c>
      <c r="B338" s="1" t="s">
        <v>100</v>
      </c>
      <c r="C338" s="41">
        <v>21.19</v>
      </c>
      <c r="D338" s="41">
        <v>21.19</v>
      </c>
      <c r="E338" s="41">
        <v>21.19</v>
      </c>
      <c r="F338" s="41">
        <v>21.19</v>
      </c>
      <c r="G338" s="41">
        <v>21.19</v>
      </c>
      <c r="H338" s="41">
        <v>21.19</v>
      </c>
      <c r="I338" s="41">
        <v>21.19</v>
      </c>
      <c r="J338" s="41">
        <v>21.19</v>
      </c>
    </row>
    <row r="339" spans="1:10">
      <c r="A339" s="1" t="s">
        <v>290</v>
      </c>
      <c r="B339" s="1" t="s">
        <v>100</v>
      </c>
      <c r="C339" s="41">
        <v>3.5100000000000002</v>
      </c>
      <c r="D339" s="41">
        <v>3.5100000000000002</v>
      </c>
      <c r="E339" s="41">
        <v>3.5100000000000002</v>
      </c>
      <c r="F339" s="41">
        <v>3.5100000000000002</v>
      </c>
      <c r="G339" s="41">
        <v>3.5100000000000002</v>
      </c>
      <c r="H339" s="41">
        <v>3.5100000000000002</v>
      </c>
      <c r="I339" s="41">
        <v>3.5100000000000002</v>
      </c>
      <c r="J339" s="41">
        <v>3.5100000000000002</v>
      </c>
    </row>
    <row r="340" spans="1:10">
      <c r="A340" s="1" t="s">
        <v>291</v>
      </c>
      <c r="B340" s="1" t="s">
        <v>100</v>
      </c>
      <c r="C340" s="41">
        <v>13.91</v>
      </c>
      <c r="D340" s="41">
        <v>13.91</v>
      </c>
      <c r="E340" s="41">
        <v>13.91</v>
      </c>
      <c r="F340" s="41">
        <v>13.91</v>
      </c>
      <c r="G340" s="41">
        <v>13.91</v>
      </c>
      <c r="H340" s="41">
        <v>13.91</v>
      </c>
      <c r="I340" s="41">
        <v>13.91</v>
      </c>
      <c r="J340" s="41">
        <v>13.91</v>
      </c>
    </row>
    <row r="341" spans="1:10">
      <c r="A341" s="1" t="s">
        <v>292</v>
      </c>
      <c r="B341" s="1" t="s">
        <v>100</v>
      </c>
      <c r="C341" s="41">
        <v>11.83</v>
      </c>
      <c r="D341" s="41">
        <v>11.83</v>
      </c>
      <c r="E341" s="41">
        <v>11.83</v>
      </c>
      <c r="F341" s="41">
        <v>11.83</v>
      </c>
      <c r="G341" s="41">
        <v>11.83</v>
      </c>
      <c r="H341" s="41">
        <v>11.83</v>
      </c>
      <c r="I341" s="41">
        <v>11.83</v>
      </c>
      <c r="J341" s="41">
        <v>11.83</v>
      </c>
    </row>
    <row r="342" spans="1:10">
      <c r="A342" s="1" t="s">
        <v>293</v>
      </c>
      <c r="B342" s="1" t="s">
        <v>100</v>
      </c>
      <c r="C342" s="41">
        <v>37.18</v>
      </c>
      <c r="D342" s="41">
        <v>37.18</v>
      </c>
      <c r="E342" s="41">
        <v>37.18</v>
      </c>
      <c r="F342" s="41">
        <v>37.18</v>
      </c>
      <c r="G342" s="41">
        <v>37.18</v>
      </c>
      <c r="H342" s="41">
        <v>37.18</v>
      </c>
      <c r="I342" s="41">
        <v>37.18</v>
      </c>
      <c r="J342" s="41">
        <v>37.18</v>
      </c>
    </row>
    <row r="343" spans="1:10">
      <c r="A343" s="1" t="s">
        <v>294</v>
      </c>
      <c r="B343" s="1" t="s">
        <v>100</v>
      </c>
      <c r="C343" s="41">
        <v>0.39</v>
      </c>
      <c r="D343" s="41">
        <v>0.39</v>
      </c>
      <c r="E343" s="41">
        <v>0.39</v>
      </c>
      <c r="F343" s="41">
        <v>0.39</v>
      </c>
      <c r="G343" s="41">
        <v>0.39</v>
      </c>
      <c r="H343" s="41">
        <v>0.39</v>
      </c>
      <c r="I343" s="41">
        <v>0.39</v>
      </c>
      <c r="J343" s="41">
        <v>0.39</v>
      </c>
    </row>
    <row r="344" spans="1:10">
      <c r="A344" s="1" t="s">
        <v>295</v>
      </c>
      <c r="B344" s="1" t="s">
        <v>100</v>
      </c>
      <c r="C344" s="41">
        <v>1.8664285714285715</v>
      </c>
      <c r="D344" s="41">
        <v>1.8664285714285715</v>
      </c>
      <c r="E344" s="41">
        <v>1.8664285714285715</v>
      </c>
      <c r="F344" s="41">
        <v>1.8664285714285715</v>
      </c>
      <c r="G344" s="41">
        <v>1.8664285714285715</v>
      </c>
      <c r="H344" s="41">
        <v>1.8664285714285715</v>
      </c>
      <c r="I344" s="41">
        <v>1.8664285714285715</v>
      </c>
      <c r="J344" s="41">
        <v>1.8664285714285715</v>
      </c>
    </row>
    <row r="345" spans="1:10">
      <c r="A345" s="1" t="s">
        <v>296</v>
      </c>
      <c r="B345" s="1" t="s">
        <v>100</v>
      </c>
      <c r="C345" s="41">
        <v>0</v>
      </c>
      <c r="D345" s="41">
        <v>0</v>
      </c>
      <c r="E345" s="41">
        <v>0</v>
      </c>
      <c r="F345" s="41">
        <v>0</v>
      </c>
      <c r="G345" s="41">
        <v>0</v>
      </c>
      <c r="H345" s="41">
        <v>0</v>
      </c>
      <c r="I345" s="41">
        <v>0</v>
      </c>
      <c r="J345" s="41">
        <v>0</v>
      </c>
    </row>
    <row r="346" spans="1:10">
      <c r="A346" s="1" t="s">
        <v>297</v>
      </c>
      <c r="B346" s="1" t="s">
        <v>100</v>
      </c>
      <c r="C346" s="41">
        <v>4.9399999999999995</v>
      </c>
      <c r="D346" s="41">
        <v>4.9399999999999995</v>
      </c>
      <c r="E346" s="41">
        <v>4.9399999999999995</v>
      </c>
      <c r="F346" s="41">
        <v>4.9399999999999995</v>
      </c>
      <c r="G346" s="41">
        <v>4.9399999999999995</v>
      </c>
      <c r="H346" s="41">
        <v>4.9399999999999995</v>
      </c>
      <c r="I346" s="41">
        <v>4.9399999999999995</v>
      </c>
      <c r="J346" s="41">
        <v>4.9399999999999995</v>
      </c>
    </row>
    <row r="347" spans="1:10">
      <c r="A347" s="1" t="s">
        <v>298</v>
      </c>
      <c r="B347" s="1" t="s">
        <v>100</v>
      </c>
      <c r="C347" s="41">
        <v>2.6</v>
      </c>
      <c r="D347" s="41">
        <v>2.6</v>
      </c>
      <c r="E347" s="41">
        <v>2.6</v>
      </c>
      <c r="F347" s="41">
        <v>2.6</v>
      </c>
      <c r="G347" s="41">
        <v>2.6</v>
      </c>
      <c r="H347" s="41">
        <v>2.6</v>
      </c>
      <c r="I347" s="41">
        <v>2.6</v>
      </c>
      <c r="J347" s="41">
        <v>2.6</v>
      </c>
    </row>
    <row r="348" spans="1:10">
      <c r="A348" s="1" t="s">
        <v>299</v>
      </c>
      <c r="B348" s="1" t="s">
        <v>100</v>
      </c>
      <c r="C348" s="41">
        <v>37.96</v>
      </c>
      <c r="D348" s="41">
        <v>37.96</v>
      </c>
      <c r="E348" s="41">
        <v>37.96</v>
      </c>
      <c r="F348" s="41">
        <v>37.96</v>
      </c>
      <c r="G348" s="41">
        <v>37.96</v>
      </c>
      <c r="H348" s="41">
        <v>37.96</v>
      </c>
      <c r="I348" s="41">
        <v>37.96</v>
      </c>
      <c r="J348" s="41">
        <v>37.96</v>
      </c>
    </row>
    <row r="349" spans="1:10">
      <c r="A349" s="1" t="s">
        <v>300</v>
      </c>
      <c r="B349" s="1" t="s">
        <v>100</v>
      </c>
      <c r="C349" s="41">
        <v>9.620000000000001</v>
      </c>
      <c r="D349" s="41">
        <v>9.620000000000001</v>
      </c>
      <c r="E349" s="41">
        <v>9.620000000000001</v>
      </c>
      <c r="F349" s="41">
        <v>9.620000000000001</v>
      </c>
      <c r="G349" s="41">
        <v>9.620000000000001</v>
      </c>
      <c r="H349" s="41">
        <v>9.620000000000001</v>
      </c>
      <c r="I349" s="41">
        <v>9.620000000000001</v>
      </c>
      <c r="J349" s="41">
        <v>9.620000000000001</v>
      </c>
    </row>
    <row r="350" spans="1:10">
      <c r="A350" s="1" t="s">
        <v>301</v>
      </c>
      <c r="B350" s="1" t="s">
        <v>100</v>
      </c>
      <c r="C350" s="41">
        <v>36.79</v>
      </c>
      <c r="D350" s="41">
        <v>36.79</v>
      </c>
      <c r="E350" s="41">
        <v>36.79</v>
      </c>
      <c r="F350" s="41">
        <v>36.79</v>
      </c>
      <c r="G350" s="41">
        <v>36.79</v>
      </c>
      <c r="H350" s="41">
        <v>36.79</v>
      </c>
      <c r="I350" s="41">
        <v>36.79</v>
      </c>
      <c r="J350" s="41">
        <v>36.79</v>
      </c>
    </row>
    <row r="351" spans="1:10">
      <c r="A351" s="1" t="s">
        <v>302</v>
      </c>
      <c r="B351" s="1" t="s">
        <v>100</v>
      </c>
      <c r="C351" s="41">
        <v>20.530714285714289</v>
      </c>
      <c r="D351" s="41">
        <v>20.530714285714289</v>
      </c>
      <c r="E351" s="41">
        <v>20.530714285714289</v>
      </c>
      <c r="F351" s="41">
        <v>20.530714285714289</v>
      </c>
      <c r="G351" s="41">
        <v>20.530714285714289</v>
      </c>
      <c r="H351" s="41">
        <v>20.530714285714289</v>
      </c>
      <c r="I351" s="41">
        <v>20.530714285714289</v>
      </c>
      <c r="J351" s="41">
        <v>20.530714285714289</v>
      </c>
    </row>
    <row r="352" spans="1:10">
      <c r="A352" s="1" t="s">
        <v>303</v>
      </c>
      <c r="B352" s="1" t="s">
        <v>100</v>
      </c>
      <c r="C352" s="41">
        <v>8.06</v>
      </c>
      <c r="D352" s="41">
        <v>8.06</v>
      </c>
      <c r="E352" s="41">
        <v>8.06</v>
      </c>
      <c r="F352" s="41">
        <v>8.06</v>
      </c>
      <c r="G352" s="41">
        <v>8.06</v>
      </c>
      <c r="H352" s="41">
        <v>8.06</v>
      </c>
      <c r="I352" s="41">
        <v>8.06</v>
      </c>
      <c r="J352" s="41">
        <v>8.06</v>
      </c>
    </row>
    <row r="353" spans="1:22">
      <c r="A353" s="1" t="s">
        <v>304</v>
      </c>
      <c r="B353" s="1" t="s">
        <v>100</v>
      </c>
      <c r="C353" s="41">
        <v>1.3</v>
      </c>
      <c r="D353" s="41">
        <v>1.3</v>
      </c>
      <c r="E353" s="41">
        <v>1.3</v>
      </c>
      <c r="F353" s="41">
        <v>1.3</v>
      </c>
      <c r="G353" s="41">
        <v>1.3</v>
      </c>
      <c r="H353" s="41">
        <v>1.3</v>
      </c>
      <c r="I353" s="41">
        <v>1.3</v>
      </c>
      <c r="J353" s="41">
        <v>1.3</v>
      </c>
    </row>
    <row r="354" spans="1:22">
      <c r="A354" s="1" t="s">
        <v>305</v>
      </c>
      <c r="B354" s="1" t="s">
        <v>100</v>
      </c>
      <c r="C354" s="41">
        <v>5.07</v>
      </c>
      <c r="D354" s="41">
        <v>5.07</v>
      </c>
      <c r="E354" s="41">
        <v>5.07</v>
      </c>
      <c r="F354" s="41">
        <v>5.07</v>
      </c>
      <c r="G354" s="41">
        <v>5.07</v>
      </c>
      <c r="H354" s="41">
        <v>5.07</v>
      </c>
      <c r="I354" s="41">
        <v>5.07</v>
      </c>
      <c r="J354" s="41">
        <v>5.07</v>
      </c>
    </row>
    <row r="355" spans="1:22">
      <c r="A355" s="1" t="s">
        <v>306</v>
      </c>
      <c r="B355" s="1" t="s">
        <v>100</v>
      </c>
      <c r="C355" s="41">
        <v>0</v>
      </c>
      <c r="D355" s="41">
        <v>0</v>
      </c>
      <c r="E355" s="41">
        <v>0</v>
      </c>
      <c r="F355" s="41">
        <v>0</v>
      </c>
      <c r="G355" s="41">
        <v>0</v>
      </c>
      <c r="H355" s="41">
        <v>0</v>
      </c>
      <c r="I355" s="41">
        <v>0</v>
      </c>
      <c r="J355" s="41">
        <v>0</v>
      </c>
    </row>
    <row r="356" spans="1:22">
      <c r="A356" s="1" t="s">
        <v>307</v>
      </c>
      <c r="B356" s="1" t="s">
        <v>100</v>
      </c>
      <c r="C356" s="41">
        <v>44.72</v>
      </c>
      <c r="D356" s="41">
        <v>44.72</v>
      </c>
      <c r="E356" s="41">
        <v>44.72</v>
      </c>
      <c r="F356" s="41">
        <v>44.72</v>
      </c>
      <c r="G356" s="41">
        <v>44.72</v>
      </c>
      <c r="H356" s="41">
        <v>44.72</v>
      </c>
      <c r="I356" s="41">
        <v>44.72</v>
      </c>
      <c r="J356" s="41">
        <v>44.72</v>
      </c>
    </row>
    <row r="357" spans="1:22">
      <c r="A357" s="1" t="s">
        <v>308</v>
      </c>
      <c r="B357" s="1" t="s">
        <v>100</v>
      </c>
      <c r="C357" s="41">
        <v>2.4699999999999998</v>
      </c>
      <c r="D357" s="41">
        <v>2.4699999999999998</v>
      </c>
      <c r="E357" s="41">
        <v>2.4699999999999998</v>
      </c>
      <c r="F357" s="41">
        <v>2.4699999999999998</v>
      </c>
      <c r="G357" s="41">
        <v>2.4699999999999998</v>
      </c>
      <c r="H357" s="41">
        <v>2.4699999999999998</v>
      </c>
      <c r="I357" s="41">
        <v>2.4699999999999998</v>
      </c>
      <c r="J357" s="41">
        <v>2.4699999999999998</v>
      </c>
    </row>
    <row r="358" spans="1:22">
      <c r="A358" s="1" t="s">
        <v>309</v>
      </c>
      <c r="B358" s="1" t="s">
        <v>100</v>
      </c>
      <c r="C358" s="41">
        <v>7.15</v>
      </c>
      <c r="D358" s="41">
        <v>7.15</v>
      </c>
      <c r="E358" s="41">
        <v>7.15</v>
      </c>
      <c r="F358" s="41">
        <v>7.15</v>
      </c>
      <c r="G358" s="41">
        <v>7.15</v>
      </c>
      <c r="H358" s="41">
        <v>7.15</v>
      </c>
      <c r="I358" s="41">
        <v>7.15</v>
      </c>
      <c r="J358" s="41">
        <v>7.15</v>
      </c>
    </row>
    <row r="359" spans="1:22">
      <c r="A359" s="1" t="s">
        <v>310</v>
      </c>
      <c r="B359" s="1" t="s">
        <v>100</v>
      </c>
      <c r="C359" s="41">
        <v>4.6800000000000006</v>
      </c>
      <c r="D359" s="41">
        <v>4.6800000000000006</v>
      </c>
      <c r="E359" s="41">
        <v>4.6800000000000006</v>
      </c>
      <c r="F359" s="41">
        <v>4.6800000000000006</v>
      </c>
      <c r="G359" s="41">
        <v>4.6800000000000006</v>
      </c>
      <c r="H359" s="41">
        <v>4.6800000000000006</v>
      </c>
      <c r="I359" s="41">
        <v>4.6800000000000006</v>
      </c>
      <c r="J359" s="41">
        <v>4.6800000000000006</v>
      </c>
    </row>
    <row r="360" spans="1:22">
      <c r="A360" s="1" t="s">
        <v>311</v>
      </c>
      <c r="B360" s="1" t="s">
        <v>100</v>
      </c>
      <c r="C360" s="41">
        <v>0</v>
      </c>
      <c r="D360" s="41">
        <v>0</v>
      </c>
      <c r="E360" s="41">
        <v>0</v>
      </c>
      <c r="F360" s="41">
        <v>0</v>
      </c>
      <c r="G360" s="41">
        <v>0</v>
      </c>
      <c r="H360" s="41">
        <v>0</v>
      </c>
      <c r="I360" s="41">
        <v>0</v>
      </c>
      <c r="J360" s="41">
        <v>0</v>
      </c>
    </row>
    <row r="361" spans="1:22">
      <c r="A361" s="1" t="s">
        <v>312</v>
      </c>
      <c r="B361" s="1" t="s">
        <v>100</v>
      </c>
      <c r="C361" s="41">
        <v>0</v>
      </c>
      <c r="D361" s="41">
        <v>0</v>
      </c>
      <c r="E361" s="41">
        <v>0</v>
      </c>
      <c r="F361" s="41">
        <v>0</v>
      </c>
      <c r="G361" s="41">
        <v>0</v>
      </c>
      <c r="H361" s="41">
        <v>0</v>
      </c>
      <c r="I361" s="41">
        <v>0</v>
      </c>
      <c r="J361" s="41">
        <v>0</v>
      </c>
    </row>
    <row r="362" spans="1:22">
      <c r="A362" s="1" t="s">
        <v>277</v>
      </c>
      <c r="B362" s="1" t="s">
        <v>175</v>
      </c>
      <c r="C362" s="38">
        <v>13.211991947990496</v>
      </c>
      <c r="D362" s="38">
        <v>13.211991947990496</v>
      </c>
      <c r="E362" s="38">
        <v>13.211991947990496</v>
      </c>
      <c r="F362" s="38">
        <v>13.211991947990496</v>
      </c>
      <c r="G362" s="38">
        <v>13.211991947990496</v>
      </c>
      <c r="H362" s="38">
        <v>13.211991947990496</v>
      </c>
      <c r="I362" s="38">
        <v>13.211991947990496</v>
      </c>
      <c r="J362" s="38">
        <v>13.211991947990496</v>
      </c>
      <c r="M362" s="1" t="s">
        <v>314</v>
      </c>
      <c r="N362" s="1" t="s">
        <v>175</v>
      </c>
      <c r="O362" s="38">
        <v>65.820045741028594</v>
      </c>
      <c r="P362" s="38">
        <v>65.820045741028594</v>
      </c>
      <c r="Q362" s="38">
        <v>65.820045741028594</v>
      </c>
      <c r="R362" s="38">
        <v>65.820045741028594</v>
      </c>
      <c r="S362" s="38">
        <v>65.820045741028594</v>
      </c>
      <c r="T362" s="38">
        <v>65.820045741028594</v>
      </c>
      <c r="U362" s="38">
        <v>65.820045741028594</v>
      </c>
      <c r="V362" s="38">
        <v>65.820045741028594</v>
      </c>
    </row>
    <row r="363" spans="1:22">
      <c r="A363" s="1" t="s">
        <v>278</v>
      </c>
      <c r="B363" s="1" t="s">
        <v>175</v>
      </c>
      <c r="C363" s="38">
        <v>49.624853932002601</v>
      </c>
      <c r="D363" s="38">
        <v>49.624853932002601</v>
      </c>
      <c r="E363" s="38">
        <v>49.624853932002601</v>
      </c>
      <c r="F363" s="38">
        <v>49.624853932002601</v>
      </c>
      <c r="G363" s="38">
        <v>49.624853932002601</v>
      </c>
      <c r="H363" s="38">
        <v>49.624853932002601</v>
      </c>
      <c r="I363" s="38">
        <v>49.624853932002601</v>
      </c>
      <c r="J363" s="38">
        <v>49.624853932002601</v>
      </c>
      <c r="M363" s="1" t="s">
        <v>315</v>
      </c>
      <c r="N363" s="1" t="s">
        <v>175</v>
      </c>
      <c r="O363" s="38">
        <v>76.085236927821001</v>
      </c>
      <c r="P363" s="38">
        <v>76.085236927821001</v>
      </c>
      <c r="Q363" s="38">
        <v>76.085236927821001</v>
      </c>
      <c r="R363" s="38">
        <v>76.085236927821001</v>
      </c>
      <c r="S363" s="38">
        <v>76.085236927821001</v>
      </c>
      <c r="T363" s="38">
        <v>76.085236927821001</v>
      </c>
      <c r="U363" s="38">
        <v>76.085236927821001</v>
      </c>
      <c r="V363" s="38">
        <v>76.085236927821001</v>
      </c>
    </row>
    <row r="364" spans="1:22">
      <c r="A364" s="1" t="s">
        <v>279</v>
      </c>
      <c r="B364" s="1" t="s">
        <v>175</v>
      </c>
      <c r="C364" s="38">
        <v>21.280093580592958</v>
      </c>
      <c r="D364" s="38">
        <v>21.280093580592958</v>
      </c>
      <c r="E364" s="38">
        <v>21.280093580592958</v>
      </c>
      <c r="F364" s="38">
        <v>21.280093580592958</v>
      </c>
      <c r="G364" s="38">
        <v>21.280093580592958</v>
      </c>
      <c r="H364" s="38">
        <v>21.280093580592958</v>
      </c>
      <c r="I364" s="38">
        <v>21.280093580592958</v>
      </c>
      <c r="J364" s="38">
        <v>21.280093580592958</v>
      </c>
      <c r="M364" s="1" t="s">
        <v>316</v>
      </c>
      <c r="N364" s="1" t="s">
        <v>175</v>
      </c>
      <c r="O364" s="38">
        <v>20.93285073857475</v>
      </c>
      <c r="P364" s="38">
        <v>20.93285073857475</v>
      </c>
      <c r="Q364" s="38">
        <v>20.93285073857475</v>
      </c>
      <c r="R364" s="38">
        <v>20.93285073857475</v>
      </c>
      <c r="S364" s="38">
        <v>20.93285073857475</v>
      </c>
      <c r="T364" s="38">
        <v>20.93285073857475</v>
      </c>
      <c r="U364" s="38">
        <v>20.93285073857475</v>
      </c>
      <c r="V364" s="38">
        <v>20.93285073857475</v>
      </c>
    </row>
    <row r="365" spans="1:22">
      <c r="A365" s="1" t="s">
        <v>280</v>
      </c>
      <c r="B365" s="1" t="s">
        <v>175</v>
      </c>
      <c r="C365" s="38">
        <v>36.368899799481362</v>
      </c>
      <c r="D365" s="38">
        <v>36.368899799481362</v>
      </c>
      <c r="E365" s="38">
        <v>36.368899799481362</v>
      </c>
      <c r="F365" s="38">
        <v>36.368899799481362</v>
      </c>
      <c r="G365" s="38">
        <v>36.368899799481362</v>
      </c>
      <c r="H365" s="38">
        <v>36.368899799481362</v>
      </c>
      <c r="I365" s="38">
        <v>36.368899799481362</v>
      </c>
      <c r="J365" s="38">
        <v>36.368899799481362</v>
      </c>
      <c r="M365" s="1" t="s">
        <v>317</v>
      </c>
      <c r="N365" s="1" t="s">
        <v>175</v>
      </c>
      <c r="O365" s="38">
        <v>67.547330585132741</v>
      </c>
      <c r="P365" s="38">
        <v>67.547330585132741</v>
      </c>
      <c r="Q365" s="38">
        <v>67.547330585132741</v>
      </c>
      <c r="R365" s="38">
        <v>67.547330585132741</v>
      </c>
      <c r="S365" s="38">
        <v>67.547330585132741</v>
      </c>
      <c r="T365" s="38">
        <v>67.547330585132741</v>
      </c>
      <c r="U365" s="38">
        <v>67.547330585132741</v>
      </c>
      <c r="V365" s="38">
        <v>67.547330585132741</v>
      </c>
    </row>
    <row r="366" spans="1:22">
      <c r="A366" s="1" t="s">
        <v>281</v>
      </c>
      <c r="B366" s="1" t="s">
        <v>175</v>
      </c>
      <c r="C366" s="38">
        <v>67.299459442030923</v>
      </c>
      <c r="D366" s="38">
        <v>67.299459442030923</v>
      </c>
      <c r="E366" s="38">
        <v>67.299459442030923</v>
      </c>
      <c r="F366" s="38">
        <v>67.299459442030923</v>
      </c>
      <c r="G366" s="38">
        <v>67.299459442030923</v>
      </c>
      <c r="H366" s="38">
        <v>67.299459442030923</v>
      </c>
      <c r="I366" s="38">
        <v>67.299459442030923</v>
      </c>
      <c r="J366" s="38">
        <v>67.299459442030923</v>
      </c>
      <c r="M366" s="1" t="s">
        <v>318</v>
      </c>
      <c r="N366" s="1" t="s">
        <v>175</v>
      </c>
      <c r="O366" s="38">
        <v>59.925357884434241</v>
      </c>
      <c r="P366" s="38">
        <v>59.925357884434241</v>
      </c>
      <c r="Q366" s="38">
        <v>59.925357884434241</v>
      </c>
      <c r="R366" s="38">
        <v>59.925357884434241</v>
      </c>
      <c r="S366" s="38">
        <v>59.925357884434241</v>
      </c>
      <c r="T366" s="38">
        <v>59.925357884434241</v>
      </c>
      <c r="U366" s="38">
        <v>59.925357884434241</v>
      </c>
      <c r="V366" s="38">
        <v>59.925357884434241</v>
      </c>
    </row>
    <row r="367" spans="1:22">
      <c r="A367" s="1" t="s">
        <v>282</v>
      </c>
      <c r="B367" s="1" t="s">
        <v>175</v>
      </c>
      <c r="C367" s="38">
        <v>31.780300292070159</v>
      </c>
      <c r="D367" s="38">
        <v>31.780300292070159</v>
      </c>
      <c r="E367" s="38">
        <v>31.780300292070159</v>
      </c>
      <c r="F367" s="38">
        <v>31.780300292070159</v>
      </c>
      <c r="G367" s="38">
        <v>31.780300292070159</v>
      </c>
      <c r="H367" s="38">
        <v>31.780300292070159</v>
      </c>
      <c r="I367" s="38">
        <v>31.780300292070159</v>
      </c>
      <c r="J367" s="38">
        <v>31.780300292070159</v>
      </c>
      <c r="M367" s="1" t="s">
        <v>319</v>
      </c>
      <c r="N367" s="1" t="s">
        <v>175</v>
      </c>
      <c r="O367" s="38">
        <v>500.14764081946714</v>
      </c>
      <c r="P367" s="38">
        <v>500.14764081946714</v>
      </c>
      <c r="Q367" s="38">
        <v>500.14764081946714</v>
      </c>
      <c r="R367" s="38">
        <v>500.14764081946714</v>
      </c>
      <c r="S367" s="38">
        <v>500.14764081946714</v>
      </c>
      <c r="T367" s="38">
        <v>500.14764081946714</v>
      </c>
      <c r="U367" s="38">
        <v>500.14764081946714</v>
      </c>
      <c r="V367" s="38">
        <v>500.14764081946714</v>
      </c>
    </row>
    <row r="368" spans="1:22">
      <c r="A368" s="1" t="s">
        <v>283</v>
      </c>
      <c r="B368" s="1" t="s">
        <v>175</v>
      </c>
      <c r="C368" s="38">
        <v>65.090133753277385</v>
      </c>
      <c r="D368" s="38">
        <v>65.090133753277385</v>
      </c>
      <c r="E368" s="38">
        <v>65.090133753277385</v>
      </c>
      <c r="F368" s="38">
        <v>65.090133753277385</v>
      </c>
      <c r="G368" s="38">
        <v>65.090133753277385</v>
      </c>
      <c r="H368" s="38">
        <v>65.090133753277385</v>
      </c>
      <c r="I368" s="38">
        <v>65.090133753277385</v>
      </c>
      <c r="J368" s="38">
        <v>65.090133753277385</v>
      </c>
      <c r="M368" s="1" t="s">
        <v>320</v>
      </c>
      <c r="N368" s="1" t="s">
        <v>175</v>
      </c>
      <c r="O368" s="38">
        <v>40.256056216624273</v>
      </c>
      <c r="P368" s="38">
        <v>40.256056216624273</v>
      </c>
      <c r="Q368" s="38">
        <v>40.256056216624273</v>
      </c>
      <c r="R368" s="38">
        <v>40.256056216624273</v>
      </c>
      <c r="S368" s="38">
        <v>40.256056216624273</v>
      </c>
      <c r="T368" s="38">
        <v>40.256056216624273</v>
      </c>
      <c r="U368" s="38">
        <v>40.256056216624273</v>
      </c>
      <c r="V368" s="38">
        <v>40.256056216624273</v>
      </c>
    </row>
    <row r="369" spans="1:22">
      <c r="A369" s="1" t="s">
        <v>284</v>
      </c>
      <c r="B369" s="1" t="s">
        <v>175</v>
      </c>
      <c r="C369" s="38">
        <v>340.57605232785352</v>
      </c>
      <c r="D369" s="38">
        <v>340.57605232785352</v>
      </c>
      <c r="E369" s="38">
        <v>340.57605232785352</v>
      </c>
      <c r="F369" s="38">
        <v>340.57605232785352</v>
      </c>
      <c r="G369" s="38">
        <v>340.57605232785352</v>
      </c>
      <c r="H369" s="38">
        <v>340.57605232785352</v>
      </c>
      <c r="I369" s="38">
        <v>340.57605232785352</v>
      </c>
      <c r="J369" s="38">
        <v>340.57605232785352</v>
      </c>
      <c r="M369" s="1" t="s">
        <v>321</v>
      </c>
      <c r="N369" s="1" t="s">
        <v>175</v>
      </c>
      <c r="O369" s="38">
        <v>487.66262871539328</v>
      </c>
      <c r="P369" s="38">
        <v>487.66262871539328</v>
      </c>
      <c r="Q369" s="38">
        <v>487.66262871539328</v>
      </c>
      <c r="R369" s="38">
        <v>487.66262871539328</v>
      </c>
      <c r="S369" s="38">
        <v>487.66262871539328</v>
      </c>
      <c r="T369" s="38">
        <v>487.66262871539328</v>
      </c>
      <c r="U369" s="38">
        <v>487.66262871539328</v>
      </c>
      <c r="V369" s="38">
        <v>487.66262871539328</v>
      </c>
    </row>
    <row r="370" spans="1:22">
      <c r="A370" s="1" t="s">
        <v>285</v>
      </c>
      <c r="B370" s="1" t="s">
        <v>175</v>
      </c>
      <c r="C370" s="38">
        <v>38.238329228426664</v>
      </c>
      <c r="D370" s="38">
        <v>38.238329228426664</v>
      </c>
      <c r="E370" s="38">
        <v>38.238329228426664</v>
      </c>
      <c r="F370" s="38">
        <v>38.238329228426664</v>
      </c>
      <c r="G370" s="38">
        <v>38.238329228426664</v>
      </c>
      <c r="H370" s="38">
        <v>38.238329228426664</v>
      </c>
      <c r="I370" s="38">
        <v>38.238329228426664</v>
      </c>
      <c r="J370" s="38">
        <v>38.238329228426664</v>
      </c>
      <c r="M370" s="1" t="s">
        <v>322</v>
      </c>
      <c r="N370" s="1" t="s">
        <v>175</v>
      </c>
      <c r="O370" s="38">
        <v>389.04571844698876</v>
      </c>
      <c r="P370" s="38">
        <v>389.04571844698876</v>
      </c>
      <c r="Q370" s="38">
        <v>389.04571844698876</v>
      </c>
      <c r="R370" s="38">
        <v>389.04571844698876</v>
      </c>
      <c r="S370" s="38">
        <v>389.04571844698876</v>
      </c>
      <c r="T370" s="38">
        <v>389.04571844698876</v>
      </c>
      <c r="U370" s="38">
        <v>389.04571844698876</v>
      </c>
      <c r="V370" s="38">
        <v>389.04571844698876</v>
      </c>
    </row>
    <row r="371" spans="1:22">
      <c r="A371" s="1" t="s">
        <v>286</v>
      </c>
      <c r="B371" s="1" t="s">
        <v>175</v>
      </c>
      <c r="C371" s="38">
        <v>376.60505586752657</v>
      </c>
      <c r="D371" s="38">
        <v>376.60505586752657</v>
      </c>
      <c r="E371" s="38">
        <v>376.60505586752657</v>
      </c>
      <c r="F371" s="38">
        <v>376.60505586752657</v>
      </c>
      <c r="G371" s="38">
        <v>376.60505586752657</v>
      </c>
      <c r="H371" s="38">
        <v>376.60505586752657</v>
      </c>
      <c r="I371" s="38">
        <v>376.60505586752657</v>
      </c>
      <c r="J371" s="38">
        <v>376.60505586752657</v>
      </c>
      <c r="M371" s="1" t="s">
        <v>323</v>
      </c>
      <c r="N371" s="1" t="s">
        <v>175</v>
      </c>
      <c r="O371" s="38">
        <v>327.15469850445265</v>
      </c>
      <c r="P371" s="38">
        <v>327.15469850445265</v>
      </c>
      <c r="Q371" s="38">
        <v>327.15469850445265</v>
      </c>
      <c r="R371" s="38">
        <v>327.15469850445265</v>
      </c>
      <c r="S371" s="38">
        <v>327.15469850445265</v>
      </c>
      <c r="T371" s="38">
        <v>327.15469850445265</v>
      </c>
      <c r="U371" s="38">
        <v>327.15469850445265</v>
      </c>
      <c r="V371" s="38">
        <v>327.15469850445265</v>
      </c>
    </row>
    <row r="372" spans="1:22">
      <c r="A372" s="1" t="s">
        <v>287</v>
      </c>
      <c r="B372" s="1" t="s">
        <v>175</v>
      </c>
      <c r="C372" s="38">
        <v>34.499470370536052</v>
      </c>
      <c r="D372" s="38">
        <v>34.499470370536052</v>
      </c>
      <c r="E372" s="38">
        <v>34.499470370536052</v>
      </c>
      <c r="F372" s="38">
        <v>34.499470370536052</v>
      </c>
      <c r="G372" s="38">
        <v>34.499470370536052</v>
      </c>
      <c r="H372" s="38">
        <v>34.499470370536052</v>
      </c>
      <c r="I372" s="38">
        <v>34.499470370536052</v>
      </c>
      <c r="J372" s="38">
        <v>34.499470370536052</v>
      </c>
      <c r="M372" s="1" t="s">
        <v>324</v>
      </c>
      <c r="N372" s="1" t="s">
        <v>175</v>
      </c>
      <c r="O372" s="38">
        <v>258.68540103922237</v>
      </c>
      <c r="P372" s="38">
        <v>258.68540103922237</v>
      </c>
      <c r="Q372" s="38">
        <v>258.68540103922237</v>
      </c>
      <c r="R372" s="38">
        <v>258.68540103922237</v>
      </c>
      <c r="S372" s="38">
        <v>258.68540103922237</v>
      </c>
      <c r="T372" s="38">
        <v>258.68540103922237</v>
      </c>
      <c r="U372" s="38">
        <v>258.68540103922237</v>
      </c>
      <c r="V372" s="38">
        <v>258.68540103922237</v>
      </c>
    </row>
    <row r="373" spans="1:22">
      <c r="A373" s="1" t="s">
        <v>288</v>
      </c>
      <c r="B373" s="1" t="s">
        <v>175</v>
      </c>
      <c r="C373" s="38">
        <v>427.92939109857036</v>
      </c>
      <c r="D373" s="38">
        <v>427.92939109857036</v>
      </c>
      <c r="E373" s="38">
        <v>427.92939109857036</v>
      </c>
      <c r="F373" s="38">
        <v>427.92939109857036</v>
      </c>
      <c r="G373" s="38">
        <v>427.92939109857036</v>
      </c>
      <c r="H373" s="38">
        <v>427.92939109857036</v>
      </c>
      <c r="I373" s="38">
        <v>427.92939109857036</v>
      </c>
      <c r="J373" s="38">
        <v>427.92939109857036</v>
      </c>
      <c r="M373" s="1" t="s">
        <v>325</v>
      </c>
      <c r="N373" s="1" t="s">
        <v>175</v>
      </c>
      <c r="O373" s="38">
        <v>45.8268505771767</v>
      </c>
      <c r="P373" s="38">
        <v>45.8268505771767</v>
      </c>
      <c r="Q373" s="38">
        <v>45.8268505771767</v>
      </c>
      <c r="R373" s="38">
        <v>45.8268505771767</v>
      </c>
      <c r="S373" s="38">
        <v>45.8268505771767</v>
      </c>
      <c r="T373" s="38">
        <v>45.8268505771767</v>
      </c>
      <c r="U373" s="38">
        <v>45.8268505771767</v>
      </c>
      <c r="V373" s="38">
        <v>45.8268505771767</v>
      </c>
    </row>
    <row r="374" spans="1:22">
      <c r="A374" s="1" t="s">
        <v>289</v>
      </c>
      <c r="B374" s="1" t="s">
        <v>175</v>
      </c>
      <c r="C374" s="38">
        <v>106.72742557978641</v>
      </c>
      <c r="D374" s="38">
        <v>106.72742557978641</v>
      </c>
      <c r="E374" s="38">
        <v>106.72742557978641</v>
      </c>
      <c r="F374" s="38">
        <v>106.72742557978641</v>
      </c>
      <c r="G374" s="38">
        <v>106.72742557978641</v>
      </c>
      <c r="H374" s="38">
        <v>106.72742557978641</v>
      </c>
      <c r="I374" s="38">
        <v>106.72742557978641</v>
      </c>
      <c r="J374" s="38">
        <v>106.72742557978641</v>
      </c>
      <c r="M374" s="1" t="s">
        <v>326</v>
      </c>
      <c r="N374" s="1" t="s">
        <v>175</v>
      </c>
      <c r="O374" s="38">
        <v>356.88843167231295</v>
      </c>
      <c r="P374" s="38">
        <v>356.88843167231295</v>
      </c>
      <c r="Q374" s="38">
        <v>356.88843167231295</v>
      </c>
      <c r="R374" s="38">
        <v>356.88843167231295</v>
      </c>
      <c r="S374" s="38">
        <v>356.88843167231295</v>
      </c>
      <c r="T374" s="38">
        <v>356.88843167231295</v>
      </c>
      <c r="U374" s="38">
        <v>356.88843167231295</v>
      </c>
      <c r="V374" s="38">
        <v>356.88843167231295</v>
      </c>
    </row>
    <row r="375" spans="1:22">
      <c r="A375" s="1" t="s">
        <v>290</v>
      </c>
      <c r="B375" s="1" t="s">
        <v>175</v>
      </c>
      <c r="C375" s="38">
        <v>22.773049407151881</v>
      </c>
      <c r="D375" s="38">
        <v>22.773049407151881</v>
      </c>
      <c r="E375" s="38">
        <v>22.773049407151881</v>
      </c>
      <c r="F375" s="38">
        <v>22.773049407151881</v>
      </c>
      <c r="G375" s="38">
        <v>22.773049407151881</v>
      </c>
      <c r="H375" s="38">
        <v>22.773049407151881</v>
      </c>
      <c r="I375" s="38">
        <v>22.773049407151881</v>
      </c>
      <c r="J375" s="38">
        <v>22.773049407151881</v>
      </c>
      <c r="M375" s="1" t="s">
        <v>327</v>
      </c>
      <c r="N375" s="1" t="s">
        <v>175</v>
      </c>
      <c r="O375" s="38">
        <v>253.53837610735107</v>
      </c>
      <c r="P375" s="38">
        <v>253.53837610735107</v>
      </c>
      <c r="Q375" s="38">
        <v>253.53837610735107</v>
      </c>
      <c r="R375" s="38">
        <v>253.53837610735107</v>
      </c>
      <c r="S375" s="38">
        <v>253.53837610735107</v>
      </c>
      <c r="T375" s="38">
        <v>253.53837610735107</v>
      </c>
      <c r="U375" s="38">
        <v>253.53837610735107</v>
      </c>
      <c r="V375" s="38">
        <v>253.53837610735107</v>
      </c>
    </row>
    <row r="376" spans="1:22">
      <c r="A376" s="1" t="s">
        <v>291</v>
      </c>
      <c r="B376" s="1" t="s">
        <v>175</v>
      </c>
      <c r="C376" s="38">
        <v>75.287021547524489</v>
      </c>
      <c r="D376" s="38">
        <v>75.287021547524489</v>
      </c>
      <c r="E376" s="38">
        <v>75.287021547524489</v>
      </c>
      <c r="F376" s="38">
        <v>75.287021547524489</v>
      </c>
      <c r="G376" s="38">
        <v>75.287021547524489</v>
      </c>
      <c r="H376" s="38">
        <v>75.287021547524489</v>
      </c>
      <c r="I376" s="38">
        <v>75.287021547524489</v>
      </c>
      <c r="J376" s="38">
        <v>75.287021547524489</v>
      </c>
      <c r="M376" s="1" t="s">
        <v>336</v>
      </c>
      <c r="N376" s="1" t="s">
        <v>175</v>
      </c>
      <c r="O376" s="38">
        <v>213.72791792937628</v>
      </c>
      <c r="P376" s="38">
        <v>213.72791792937628</v>
      </c>
      <c r="Q376" s="38">
        <v>213.72791792937628</v>
      </c>
      <c r="R376" s="38">
        <v>213.72791792937628</v>
      </c>
      <c r="S376" s="38">
        <v>213.72791792937628</v>
      </c>
      <c r="T376" s="38">
        <v>213.72791792937628</v>
      </c>
      <c r="U376" s="38">
        <v>213.72791792937628</v>
      </c>
      <c r="V376" s="38">
        <v>213.72791792937628</v>
      </c>
    </row>
    <row r="377" spans="1:22">
      <c r="A377" s="1" t="s">
        <v>292</v>
      </c>
      <c r="B377" s="1" t="s">
        <v>175</v>
      </c>
      <c r="C377" s="38">
        <v>55.912934738454986</v>
      </c>
      <c r="D377" s="38">
        <v>55.912934738454986</v>
      </c>
      <c r="E377" s="38">
        <v>55.912934738454986</v>
      </c>
      <c r="F377" s="38">
        <v>55.912934738454986</v>
      </c>
      <c r="G377" s="38">
        <v>55.912934738454986</v>
      </c>
      <c r="H377" s="38">
        <v>55.912934738454986</v>
      </c>
      <c r="I377" s="38">
        <v>55.912934738454986</v>
      </c>
      <c r="J377" s="38">
        <v>55.912934738454986</v>
      </c>
      <c r="O377" s="1">
        <f>SUM(O362:O376)</f>
        <v>3163.244541905357</v>
      </c>
      <c r="P377" s="1">
        <f t="shared" ref="P377:V377" si="0">SUM(P362:P376)</f>
        <v>3163.244541905357</v>
      </c>
      <c r="Q377" s="1">
        <f t="shared" si="0"/>
        <v>3163.244541905357</v>
      </c>
      <c r="R377" s="1">
        <f t="shared" si="0"/>
        <v>3163.244541905357</v>
      </c>
      <c r="S377" s="1">
        <f t="shared" si="0"/>
        <v>3163.244541905357</v>
      </c>
      <c r="T377" s="1">
        <f t="shared" si="0"/>
        <v>3163.244541905357</v>
      </c>
      <c r="U377" s="1">
        <f t="shared" si="0"/>
        <v>3163.244541905357</v>
      </c>
      <c r="V377" s="1">
        <f t="shared" si="0"/>
        <v>3163.244541905357</v>
      </c>
    </row>
    <row r="378" spans="1:22">
      <c r="A378" s="1" t="s">
        <v>293</v>
      </c>
      <c r="B378" s="1" t="s">
        <v>175</v>
      </c>
      <c r="C378" s="38">
        <v>271.7470597166855</v>
      </c>
      <c r="D378" s="38">
        <v>271.7470597166855</v>
      </c>
      <c r="E378" s="38">
        <v>271.7470597166855</v>
      </c>
      <c r="F378" s="38">
        <v>271.7470597166855</v>
      </c>
      <c r="G378" s="38">
        <v>271.7470597166855</v>
      </c>
      <c r="H378" s="38">
        <v>271.7470597166855</v>
      </c>
      <c r="I378" s="38">
        <v>271.7470597166855</v>
      </c>
      <c r="J378" s="38">
        <v>271.7470597166855</v>
      </c>
    </row>
    <row r="379" spans="1:22">
      <c r="A379" s="1" t="s">
        <v>294</v>
      </c>
      <c r="B379" s="1" t="s">
        <v>175</v>
      </c>
      <c r="C379" s="38">
        <v>2.379273818657659</v>
      </c>
      <c r="D379" s="38">
        <v>2.379273818657659</v>
      </c>
      <c r="E379" s="38">
        <v>2.379273818657659</v>
      </c>
      <c r="F379" s="38">
        <v>2.379273818657659</v>
      </c>
      <c r="G379" s="38">
        <v>2.379273818657659</v>
      </c>
      <c r="H379" s="38">
        <v>2.379273818657659</v>
      </c>
      <c r="I379" s="38">
        <v>2.379273818657659</v>
      </c>
      <c r="J379" s="38">
        <v>2.379273818657659</v>
      </c>
      <c r="M379" s="1" t="s">
        <v>314</v>
      </c>
      <c r="N379" s="1" t="s">
        <v>176</v>
      </c>
      <c r="O379" s="38">
        <v>73.286615442456608</v>
      </c>
      <c r="P379" s="38">
        <v>73.286615442456608</v>
      </c>
      <c r="Q379" s="38">
        <v>73.286615442456608</v>
      </c>
      <c r="R379" s="38">
        <v>73.286615442456608</v>
      </c>
      <c r="S379" s="38">
        <v>73.286615442456608</v>
      </c>
      <c r="T379" s="38">
        <v>73.286615442456608</v>
      </c>
      <c r="U379" s="38">
        <v>73.286615442456608</v>
      </c>
      <c r="V379" s="38">
        <v>73.286615442456608</v>
      </c>
    </row>
    <row r="380" spans="1:22">
      <c r="A380" s="1" t="s">
        <v>295</v>
      </c>
      <c r="B380" s="1" t="s">
        <v>175</v>
      </c>
      <c r="C380" s="38">
        <v>9.2114290222814734</v>
      </c>
      <c r="D380" s="38">
        <v>9.2114290222814734</v>
      </c>
      <c r="E380" s="38">
        <v>9.2114290222814734</v>
      </c>
      <c r="F380" s="38">
        <v>9.2114290222814734</v>
      </c>
      <c r="G380" s="38">
        <v>9.2114290222814734</v>
      </c>
      <c r="H380" s="38">
        <v>9.2114290222814734</v>
      </c>
      <c r="I380" s="38">
        <v>9.2114290222814734</v>
      </c>
      <c r="J380" s="38">
        <v>9.2114290222814734</v>
      </c>
      <c r="M380" s="1" t="s">
        <v>315</v>
      </c>
      <c r="N380" s="1" t="s">
        <v>176</v>
      </c>
      <c r="O380" s="38">
        <v>37.756469465347188</v>
      </c>
      <c r="P380" s="38">
        <v>37.756469465347188</v>
      </c>
      <c r="Q380" s="38">
        <v>37.756469465347188</v>
      </c>
      <c r="R380" s="38">
        <v>37.756469465347188</v>
      </c>
      <c r="S380" s="38">
        <v>37.756469465347188</v>
      </c>
      <c r="T380" s="38">
        <v>37.756469465347188</v>
      </c>
      <c r="U380" s="38">
        <v>37.756469465347188</v>
      </c>
      <c r="V380" s="38">
        <v>37.756469465347188</v>
      </c>
    </row>
    <row r="381" spans="1:22">
      <c r="A381" s="1" t="s">
        <v>296</v>
      </c>
      <c r="B381" s="1" t="s">
        <v>175</v>
      </c>
      <c r="C381" s="38">
        <v>19.455593780477411</v>
      </c>
      <c r="D381" s="38">
        <v>19.455593780477411</v>
      </c>
      <c r="E381" s="38">
        <v>19.455593780477411</v>
      </c>
      <c r="F381" s="38">
        <v>19.455593780477411</v>
      </c>
      <c r="G381" s="38">
        <v>19.455593780477411</v>
      </c>
      <c r="H381" s="38">
        <v>19.455593780477411</v>
      </c>
      <c r="I381" s="38">
        <v>19.455593780477411</v>
      </c>
      <c r="J381" s="38">
        <v>19.455593780477411</v>
      </c>
      <c r="M381" s="1" t="s">
        <v>316</v>
      </c>
      <c r="N381" s="1" t="s">
        <v>176</v>
      </c>
      <c r="O381" s="38">
        <v>19.999865351724221</v>
      </c>
      <c r="P381" s="38">
        <v>19.999865351724221</v>
      </c>
      <c r="Q381" s="38">
        <v>19.999865351724221</v>
      </c>
      <c r="R381" s="38">
        <v>19.999865351724221</v>
      </c>
      <c r="S381" s="38">
        <v>19.999865351724221</v>
      </c>
      <c r="T381" s="38">
        <v>19.999865351724221</v>
      </c>
      <c r="U381" s="38">
        <v>19.999865351724221</v>
      </c>
      <c r="V381" s="38">
        <v>19.999865351724221</v>
      </c>
    </row>
    <row r="382" spans="1:22">
      <c r="A382" s="1" t="s">
        <v>297</v>
      </c>
      <c r="B382" s="1" t="s">
        <v>175</v>
      </c>
      <c r="C382" s="38">
        <v>54.04350530950969</v>
      </c>
      <c r="D382" s="38">
        <v>54.04350530950969</v>
      </c>
      <c r="E382" s="38">
        <v>54.04350530950969</v>
      </c>
      <c r="F382" s="38">
        <v>54.04350530950969</v>
      </c>
      <c r="G382" s="38">
        <v>54.04350530950969</v>
      </c>
      <c r="H382" s="38">
        <v>54.04350530950969</v>
      </c>
      <c r="I382" s="38">
        <v>54.04350530950969</v>
      </c>
      <c r="J382" s="38">
        <v>54.04350530950969</v>
      </c>
      <c r="M382" s="1" t="s">
        <v>317</v>
      </c>
      <c r="N382" s="1" t="s">
        <v>176</v>
      </c>
      <c r="O382" s="38">
        <v>74.991117985797089</v>
      </c>
      <c r="P382" s="38">
        <v>74.991117985797089</v>
      </c>
      <c r="Q382" s="38">
        <v>74.991117985797089</v>
      </c>
      <c r="R382" s="38">
        <v>74.991117985797089</v>
      </c>
      <c r="S382" s="38">
        <v>74.991117985797089</v>
      </c>
      <c r="T382" s="38">
        <v>74.991117985797089</v>
      </c>
      <c r="U382" s="38">
        <v>74.991117985797089</v>
      </c>
      <c r="V382" s="38">
        <v>74.991117985797089</v>
      </c>
    </row>
    <row r="383" spans="1:22">
      <c r="A383" s="1" t="s">
        <v>298</v>
      </c>
      <c r="B383" s="1" t="s">
        <v>175</v>
      </c>
      <c r="C383" s="38">
        <v>20.393775588494222</v>
      </c>
      <c r="D383" s="38">
        <v>20.393775588494222</v>
      </c>
      <c r="E383" s="38">
        <v>20.393775588494222</v>
      </c>
      <c r="F383" s="38">
        <v>20.393775588494222</v>
      </c>
      <c r="G383" s="38">
        <v>20.393775588494222</v>
      </c>
      <c r="H383" s="38">
        <v>20.393775588494222</v>
      </c>
      <c r="I383" s="38">
        <v>20.393775588494222</v>
      </c>
      <c r="J383" s="38">
        <v>20.393775588494222</v>
      </c>
      <c r="M383" s="1" t="s">
        <v>318</v>
      </c>
      <c r="N383" s="1" t="s">
        <v>176</v>
      </c>
      <c r="O383" s="38">
        <v>54.891598464476111</v>
      </c>
      <c r="P383" s="38">
        <v>54.891598464476111</v>
      </c>
      <c r="Q383" s="38">
        <v>54.891598464476111</v>
      </c>
      <c r="R383" s="38">
        <v>54.891598464476111</v>
      </c>
      <c r="S383" s="38">
        <v>54.891598464476111</v>
      </c>
      <c r="T383" s="38">
        <v>54.891598464476111</v>
      </c>
      <c r="U383" s="38">
        <v>54.891598464476111</v>
      </c>
      <c r="V383" s="38">
        <v>54.891598464476111</v>
      </c>
    </row>
    <row r="384" spans="1:22">
      <c r="A384" s="1" t="s">
        <v>299</v>
      </c>
      <c r="B384" s="1" t="s">
        <v>175</v>
      </c>
      <c r="C384" s="38">
        <v>228.41028659113528</v>
      </c>
      <c r="D384" s="38">
        <v>228.41028659113528</v>
      </c>
      <c r="E384" s="38">
        <v>228.41028659113528</v>
      </c>
      <c r="F384" s="38">
        <v>228.41028659113528</v>
      </c>
      <c r="G384" s="38">
        <v>228.41028659113528</v>
      </c>
      <c r="H384" s="38">
        <v>228.41028659113528</v>
      </c>
      <c r="I384" s="38">
        <v>228.41028659113528</v>
      </c>
      <c r="J384" s="38">
        <v>228.41028659113528</v>
      </c>
      <c r="M384" s="1" t="s">
        <v>319</v>
      </c>
      <c r="N384" s="1" t="s">
        <v>176</v>
      </c>
      <c r="O384" s="38">
        <v>416.83052705856466</v>
      </c>
      <c r="P384" s="38">
        <v>416.83052705856466</v>
      </c>
      <c r="Q384" s="38">
        <v>416.83052705856466</v>
      </c>
      <c r="R384" s="38">
        <v>416.83052705856466</v>
      </c>
      <c r="S384" s="38">
        <v>416.83052705856466</v>
      </c>
      <c r="T384" s="38">
        <v>416.83052705856466</v>
      </c>
      <c r="U384" s="38">
        <v>416.83052705856466</v>
      </c>
      <c r="V384" s="38">
        <v>416.83052705856466</v>
      </c>
    </row>
    <row r="385" spans="1:22">
      <c r="A385" s="1" t="s">
        <v>300</v>
      </c>
      <c r="B385" s="1" t="s">
        <v>175</v>
      </c>
      <c r="C385" s="38">
        <v>59.651793596345591</v>
      </c>
      <c r="D385" s="38">
        <v>59.651793596345591</v>
      </c>
      <c r="E385" s="38">
        <v>59.651793596345591</v>
      </c>
      <c r="F385" s="38">
        <v>59.651793596345591</v>
      </c>
      <c r="G385" s="38">
        <v>59.651793596345591</v>
      </c>
      <c r="H385" s="38">
        <v>59.651793596345591</v>
      </c>
      <c r="I385" s="38">
        <v>59.651793596345591</v>
      </c>
      <c r="J385" s="38">
        <v>59.651793596345591</v>
      </c>
      <c r="M385" s="1" t="s">
        <v>320</v>
      </c>
      <c r="N385" s="1" t="s">
        <v>176</v>
      </c>
      <c r="O385" s="38">
        <v>20.877473470201608</v>
      </c>
      <c r="P385" s="38">
        <v>20.877473470201608</v>
      </c>
      <c r="Q385" s="38">
        <v>20.877473470201608</v>
      </c>
      <c r="R385" s="38">
        <v>20.877473470201608</v>
      </c>
      <c r="S385" s="38">
        <v>20.877473470201608</v>
      </c>
      <c r="T385" s="38">
        <v>20.877473470201608</v>
      </c>
      <c r="U385" s="38">
        <v>20.877473470201608</v>
      </c>
      <c r="V385" s="38">
        <v>20.877473470201608</v>
      </c>
    </row>
    <row r="386" spans="1:22">
      <c r="A386" s="1" t="s">
        <v>301</v>
      </c>
      <c r="B386" s="1" t="s">
        <v>175</v>
      </c>
      <c r="C386" s="38">
        <v>188.98232045337974</v>
      </c>
      <c r="D386" s="38">
        <v>188.98232045337974</v>
      </c>
      <c r="E386" s="38">
        <v>188.98232045337974</v>
      </c>
      <c r="F386" s="38">
        <v>188.98232045337974</v>
      </c>
      <c r="G386" s="38">
        <v>188.98232045337974</v>
      </c>
      <c r="H386" s="38">
        <v>188.98232045337974</v>
      </c>
      <c r="I386" s="38">
        <v>188.98232045337974</v>
      </c>
      <c r="J386" s="38">
        <v>188.98232045337974</v>
      </c>
      <c r="M386" s="1" t="s">
        <v>321</v>
      </c>
      <c r="N386" s="1" t="s">
        <v>176</v>
      </c>
      <c r="O386" s="38">
        <v>520.14152416124296</v>
      </c>
      <c r="P386" s="38">
        <v>520.14152416124296</v>
      </c>
      <c r="Q386" s="38">
        <v>520.14152416124296</v>
      </c>
      <c r="R386" s="38">
        <v>520.14152416124296</v>
      </c>
      <c r="S386" s="38">
        <v>520.14152416124296</v>
      </c>
      <c r="T386" s="38">
        <v>520.14152416124296</v>
      </c>
      <c r="U386" s="38">
        <v>520.14152416124296</v>
      </c>
      <c r="V386" s="38">
        <v>520.14152416124296</v>
      </c>
    </row>
    <row r="387" spans="1:22">
      <c r="A387" s="1" t="s">
        <v>302</v>
      </c>
      <c r="B387" s="1" t="s">
        <v>175</v>
      </c>
      <c r="C387" s="38">
        <v>79.087476398404846</v>
      </c>
      <c r="D387" s="38">
        <v>79.087476398404846</v>
      </c>
      <c r="E387" s="38">
        <v>79.087476398404846</v>
      </c>
      <c r="F387" s="38">
        <v>79.087476398404846</v>
      </c>
      <c r="G387" s="38">
        <v>79.087476398404846</v>
      </c>
      <c r="H387" s="38">
        <v>79.087476398404846</v>
      </c>
      <c r="I387" s="38">
        <v>79.087476398404846</v>
      </c>
      <c r="J387" s="38">
        <v>79.087476398404846</v>
      </c>
      <c r="M387" s="1" t="s">
        <v>322</v>
      </c>
      <c r="N387" s="1" t="s">
        <v>176</v>
      </c>
      <c r="O387" s="38">
        <v>211.58879749195361</v>
      </c>
      <c r="P387" s="38">
        <v>211.58879749195361</v>
      </c>
      <c r="Q387" s="38">
        <v>211.58879749195361</v>
      </c>
      <c r="R387" s="38">
        <v>211.58879749195361</v>
      </c>
      <c r="S387" s="38">
        <v>211.58879749195361</v>
      </c>
      <c r="T387" s="38">
        <v>211.58879749195361</v>
      </c>
      <c r="U387" s="38">
        <v>211.58879749195361</v>
      </c>
      <c r="V387" s="38">
        <v>211.58879749195361</v>
      </c>
    </row>
    <row r="388" spans="1:22">
      <c r="A388" s="1" t="s">
        <v>303</v>
      </c>
      <c r="B388" s="1" t="s">
        <v>175</v>
      </c>
      <c r="C388" s="38">
        <v>50.984438971235555</v>
      </c>
      <c r="D388" s="38">
        <v>50.984438971235555</v>
      </c>
      <c r="E388" s="38">
        <v>50.984438971235555</v>
      </c>
      <c r="F388" s="38">
        <v>50.984438971235555</v>
      </c>
      <c r="G388" s="38">
        <v>50.984438971235555</v>
      </c>
      <c r="H388" s="38">
        <v>50.984438971235555</v>
      </c>
      <c r="I388" s="38">
        <v>50.984438971235555</v>
      </c>
      <c r="J388" s="38">
        <v>50.984438971235555</v>
      </c>
      <c r="M388" s="1" t="s">
        <v>323</v>
      </c>
      <c r="N388" s="1" t="s">
        <v>176</v>
      </c>
      <c r="O388" s="38">
        <v>670.04415479610032</v>
      </c>
      <c r="P388" s="38">
        <v>670.04415479610032</v>
      </c>
      <c r="Q388" s="38">
        <v>670.04415479610032</v>
      </c>
      <c r="R388" s="38">
        <v>670.04415479610032</v>
      </c>
      <c r="S388" s="38">
        <v>670.04415479610032</v>
      </c>
      <c r="T388" s="38">
        <v>670.04415479610032</v>
      </c>
      <c r="U388" s="38">
        <v>670.04415479610032</v>
      </c>
      <c r="V388" s="38">
        <v>670.04415479610032</v>
      </c>
    </row>
    <row r="389" spans="1:22">
      <c r="A389" s="1" t="s">
        <v>304</v>
      </c>
      <c r="B389" s="1" t="s">
        <v>175</v>
      </c>
      <c r="C389" s="38">
        <v>9.1771990148223992</v>
      </c>
      <c r="D389" s="38">
        <v>9.1771990148223992</v>
      </c>
      <c r="E389" s="38">
        <v>9.1771990148223992</v>
      </c>
      <c r="F389" s="38">
        <v>9.1771990148223992</v>
      </c>
      <c r="G389" s="38">
        <v>9.1771990148223992</v>
      </c>
      <c r="H389" s="38">
        <v>9.1771990148223992</v>
      </c>
      <c r="I389" s="38">
        <v>9.1771990148223992</v>
      </c>
      <c r="J389" s="38">
        <v>9.1771990148223992</v>
      </c>
      <c r="M389" s="1" t="s">
        <v>324</v>
      </c>
      <c r="N389" s="1" t="s">
        <v>176</v>
      </c>
      <c r="O389" s="38">
        <v>702.85878737091514</v>
      </c>
      <c r="P389" s="38">
        <v>702.85878737091514</v>
      </c>
      <c r="Q389" s="38">
        <v>702.85878737091514</v>
      </c>
      <c r="R389" s="38">
        <v>702.85878737091514</v>
      </c>
      <c r="S389" s="38">
        <v>702.85878737091514</v>
      </c>
      <c r="T389" s="38">
        <v>702.85878737091514</v>
      </c>
      <c r="U389" s="38">
        <v>702.85878737091514</v>
      </c>
      <c r="V389" s="38">
        <v>702.85878737091514</v>
      </c>
    </row>
    <row r="390" spans="1:22">
      <c r="A390" s="1" t="s">
        <v>305</v>
      </c>
      <c r="B390" s="1" t="s">
        <v>175</v>
      </c>
      <c r="C390" s="38">
        <v>31.100507772453685</v>
      </c>
      <c r="D390" s="38">
        <v>31.100507772453685</v>
      </c>
      <c r="E390" s="38">
        <v>31.100507772453685</v>
      </c>
      <c r="F390" s="38">
        <v>31.100507772453685</v>
      </c>
      <c r="G390" s="38">
        <v>31.100507772453685</v>
      </c>
      <c r="H390" s="38">
        <v>31.100507772453685</v>
      </c>
      <c r="I390" s="38">
        <v>31.100507772453685</v>
      </c>
      <c r="J390" s="38">
        <v>31.100507772453685</v>
      </c>
      <c r="M390" s="1" t="s">
        <v>325</v>
      </c>
      <c r="N390" s="1" t="s">
        <v>176</v>
      </c>
      <c r="O390" s="38">
        <v>23.408221565813491</v>
      </c>
      <c r="P390" s="38">
        <v>23.408221565813491</v>
      </c>
      <c r="Q390" s="38">
        <v>23.408221565813491</v>
      </c>
      <c r="R390" s="38">
        <v>23.408221565813491</v>
      </c>
      <c r="S390" s="38">
        <v>23.408221565813491</v>
      </c>
      <c r="T390" s="38">
        <v>23.408221565813491</v>
      </c>
      <c r="U390" s="38">
        <v>23.408221565813491</v>
      </c>
      <c r="V390" s="38">
        <v>23.408221565813491</v>
      </c>
    </row>
    <row r="391" spans="1:22">
      <c r="A391" s="1" t="s">
        <v>306</v>
      </c>
      <c r="B391" s="1" t="s">
        <v>175</v>
      </c>
      <c r="C391" s="38">
        <v>0</v>
      </c>
      <c r="D391" s="38">
        <v>0</v>
      </c>
      <c r="E391" s="38">
        <v>0</v>
      </c>
      <c r="F391" s="38">
        <v>0</v>
      </c>
      <c r="G391" s="38">
        <v>0</v>
      </c>
      <c r="H391" s="38">
        <v>0</v>
      </c>
      <c r="I391" s="38">
        <v>0</v>
      </c>
      <c r="J391" s="38">
        <v>0</v>
      </c>
      <c r="M391" s="1" t="s">
        <v>326</v>
      </c>
      <c r="N391" s="1" t="s">
        <v>176</v>
      </c>
      <c r="O391" s="38">
        <v>181.41601630718262</v>
      </c>
      <c r="P391" s="38">
        <v>181.41601630718262</v>
      </c>
      <c r="Q391" s="38">
        <v>181.41601630718262</v>
      </c>
      <c r="R391" s="38">
        <v>181.41601630718262</v>
      </c>
      <c r="S391" s="38">
        <v>181.41601630718262</v>
      </c>
      <c r="T391" s="38">
        <v>181.41601630718262</v>
      </c>
      <c r="U391" s="38">
        <v>181.41601630718262</v>
      </c>
      <c r="V391" s="38">
        <v>181.41601630718262</v>
      </c>
    </row>
    <row r="392" spans="1:22">
      <c r="A392" s="1" t="s">
        <v>307</v>
      </c>
      <c r="B392" s="1" t="s">
        <v>175</v>
      </c>
      <c r="C392" s="38">
        <v>304.71699691808448</v>
      </c>
      <c r="D392" s="38">
        <v>304.71699691808448</v>
      </c>
      <c r="E392" s="38">
        <v>304.71699691808448</v>
      </c>
      <c r="F392" s="38">
        <v>304.71699691808448</v>
      </c>
      <c r="G392" s="38">
        <v>304.71699691808448</v>
      </c>
      <c r="H392" s="38">
        <v>304.71699691808448</v>
      </c>
      <c r="I392" s="38">
        <v>304.71699691808448</v>
      </c>
      <c r="J392" s="38">
        <v>304.71699691808448</v>
      </c>
      <c r="M392" s="1" t="s">
        <v>327</v>
      </c>
      <c r="N392" s="1" t="s">
        <v>176</v>
      </c>
      <c r="O392" s="38">
        <v>111.91081539316926</v>
      </c>
      <c r="P392" s="38">
        <v>111.91081539316926</v>
      </c>
      <c r="Q392" s="38">
        <v>111.91081539316926</v>
      </c>
      <c r="R392" s="38">
        <v>111.91081539316926</v>
      </c>
      <c r="S392" s="38">
        <v>111.91081539316926</v>
      </c>
      <c r="T392" s="38">
        <v>111.91081539316926</v>
      </c>
      <c r="U392" s="38">
        <v>111.91081539316926</v>
      </c>
      <c r="V392" s="38">
        <v>111.91081539316926</v>
      </c>
    </row>
    <row r="393" spans="1:22">
      <c r="A393" s="1" t="s">
        <v>308</v>
      </c>
      <c r="B393" s="1" t="s">
        <v>175</v>
      </c>
      <c r="C393" s="38">
        <v>12.40621348300065</v>
      </c>
      <c r="D393" s="38">
        <v>12.40621348300065</v>
      </c>
      <c r="E393" s="38">
        <v>12.40621348300065</v>
      </c>
      <c r="F393" s="38">
        <v>12.40621348300065</v>
      </c>
      <c r="G393" s="38">
        <v>12.40621348300065</v>
      </c>
      <c r="H393" s="38">
        <v>12.40621348300065</v>
      </c>
      <c r="I393" s="38">
        <v>12.40621348300065</v>
      </c>
      <c r="J393" s="38">
        <v>12.40621348300065</v>
      </c>
      <c r="M393" s="1" t="s">
        <v>336</v>
      </c>
      <c r="N393" s="1" t="s">
        <v>176</v>
      </c>
      <c r="O393" s="38">
        <v>287.87534837756562</v>
      </c>
      <c r="P393" s="38">
        <v>287.87534837756562</v>
      </c>
      <c r="Q393" s="38">
        <v>287.87534837756562</v>
      </c>
      <c r="R393" s="38">
        <v>287.87534837756562</v>
      </c>
      <c r="S393" s="38">
        <v>287.87534837756562</v>
      </c>
      <c r="T393" s="38">
        <v>287.87534837756562</v>
      </c>
      <c r="U393" s="38">
        <v>287.87534837756562</v>
      </c>
      <c r="V393" s="38">
        <v>287.87534837756562</v>
      </c>
    </row>
    <row r="394" spans="1:22">
      <c r="A394" s="1" t="s">
        <v>309</v>
      </c>
      <c r="B394" s="1" t="s">
        <v>175</v>
      </c>
      <c r="C394" s="38">
        <v>35.179262890152529</v>
      </c>
      <c r="D394" s="38">
        <v>35.179262890152529</v>
      </c>
      <c r="E394" s="38">
        <v>35.179262890152529</v>
      </c>
      <c r="F394" s="38">
        <v>35.179262890152529</v>
      </c>
      <c r="G394" s="38">
        <v>35.179262890152529</v>
      </c>
      <c r="H394" s="38">
        <v>35.179262890152529</v>
      </c>
      <c r="I394" s="38">
        <v>35.179262890152529</v>
      </c>
      <c r="J394" s="38">
        <v>35.179262890152529</v>
      </c>
      <c r="O394" s="1">
        <f>SUM(O379:O393)</f>
        <v>3407.8773327025101</v>
      </c>
      <c r="P394" s="1">
        <f t="shared" ref="P394:V394" si="1">SUM(P379:P393)</f>
        <v>3407.8773327025101</v>
      </c>
      <c r="Q394" s="1">
        <f t="shared" si="1"/>
        <v>3407.8773327025101</v>
      </c>
      <c r="R394" s="1">
        <f t="shared" si="1"/>
        <v>3407.8773327025101</v>
      </c>
      <c r="S394" s="1">
        <f t="shared" si="1"/>
        <v>3407.8773327025101</v>
      </c>
      <c r="T394" s="1">
        <f t="shared" si="1"/>
        <v>3407.8773327025101</v>
      </c>
      <c r="U394" s="1">
        <f t="shared" si="1"/>
        <v>3407.8773327025101</v>
      </c>
      <c r="V394" s="1">
        <f t="shared" si="1"/>
        <v>3407.8773327025101</v>
      </c>
    </row>
    <row r="395" spans="1:22">
      <c r="A395" s="1" t="s">
        <v>310</v>
      </c>
      <c r="B395" s="1" t="s">
        <v>175</v>
      </c>
      <c r="C395" s="38">
        <v>23.112945666960115</v>
      </c>
      <c r="D395" s="38">
        <v>23.112945666960115</v>
      </c>
      <c r="E395" s="38">
        <v>23.112945666960115</v>
      </c>
      <c r="F395" s="38">
        <v>23.112945666960115</v>
      </c>
      <c r="G395" s="38">
        <v>23.112945666960115</v>
      </c>
      <c r="H395" s="38">
        <v>23.112945666960115</v>
      </c>
      <c r="I395" s="38">
        <v>23.112945666960115</v>
      </c>
      <c r="J395" s="38">
        <v>23.112945666960115</v>
      </c>
    </row>
    <row r="396" spans="1:22">
      <c r="A396" s="1" t="s">
        <v>311</v>
      </c>
      <c r="B396" s="1" t="s">
        <v>175</v>
      </c>
      <c r="C396" s="38">
        <v>0</v>
      </c>
      <c r="D396" s="38">
        <v>0</v>
      </c>
      <c r="E396" s="38">
        <v>0</v>
      </c>
      <c r="F396" s="38">
        <v>0</v>
      </c>
      <c r="G396" s="38">
        <v>0</v>
      </c>
      <c r="H396" s="38">
        <v>0</v>
      </c>
      <c r="I396" s="38">
        <v>0</v>
      </c>
      <c r="J396" s="38">
        <v>0</v>
      </c>
    </row>
    <row r="397" spans="1:22">
      <c r="A397" s="1" t="s">
        <v>312</v>
      </c>
      <c r="B397" s="1" t="s">
        <v>175</v>
      </c>
      <c r="C397" s="38">
        <v>0</v>
      </c>
      <c r="D397" s="38">
        <v>0</v>
      </c>
      <c r="E397" s="38">
        <v>0</v>
      </c>
      <c r="F397" s="38">
        <v>0</v>
      </c>
      <c r="G397" s="38">
        <v>0</v>
      </c>
      <c r="H397" s="38">
        <v>0</v>
      </c>
      <c r="I397" s="38">
        <v>0</v>
      </c>
      <c r="J397" s="38">
        <v>0</v>
      </c>
    </row>
    <row r="398" spans="1:22">
      <c r="A398" s="1" t="s">
        <v>277</v>
      </c>
      <c r="B398" s="1" t="s">
        <v>176</v>
      </c>
      <c r="C398" s="38">
        <v>14.233755020496931</v>
      </c>
      <c r="D398" s="38">
        <v>14.233755020496931</v>
      </c>
      <c r="E398" s="38">
        <v>14.233755020496931</v>
      </c>
      <c r="F398" s="38">
        <v>14.233755020496931</v>
      </c>
      <c r="G398" s="38">
        <v>14.233755020496931</v>
      </c>
      <c r="H398" s="38">
        <v>14.233755020496931</v>
      </c>
      <c r="I398" s="38">
        <v>14.233755020496931</v>
      </c>
      <c r="J398" s="38">
        <v>14.233755020496931</v>
      </c>
    </row>
    <row r="399" spans="1:22">
      <c r="A399" s="1" t="s">
        <v>278</v>
      </c>
      <c r="B399" s="1" t="s">
        <v>176</v>
      </c>
      <c r="C399" s="38">
        <v>53.462643375551124</v>
      </c>
      <c r="D399" s="38">
        <v>53.462643375551124</v>
      </c>
      <c r="E399" s="38">
        <v>53.462643375551124</v>
      </c>
      <c r="F399" s="38">
        <v>53.462643375551124</v>
      </c>
      <c r="G399" s="38">
        <v>53.462643375551124</v>
      </c>
      <c r="H399" s="38">
        <v>53.462643375551124</v>
      </c>
      <c r="I399" s="38">
        <v>53.462643375551124</v>
      </c>
      <c r="J399" s="38">
        <v>53.462643375551124</v>
      </c>
    </row>
    <row r="400" spans="1:22">
      <c r="A400" s="1" t="s">
        <v>279</v>
      </c>
      <c r="B400" s="1" t="s">
        <v>176</v>
      </c>
      <c r="C400" s="38">
        <v>22.925811643828549</v>
      </c>
      <c r="D400" s="38">
        <v>22.925811643828549</v>
      </c>
      <c r="E400" s="38">
        <v>22.925811643828549</v>
      </c>
      <c r="F400" s="38">
        <v>22.925811643828549</v>
      </c>
      <c r="G400" s="38">
        <v>22.925811643828549</v>
      </c>
      <c r="H400" s="38">
        <v>22.925811643828549</v>
      </c>
      <c r="I400" s="38">
        <v>22.925811643828549</v>
      </c>
      <c r="J400" s="38">
        <v>22.925811643828549</v>
      </c>
    </row>
    <row r="401" spans="1:10">
      <c r="A401" s="1" t="s">
        <v>280</v>
      </c>
      <c r="B401" s="1" t="s">
        <v>176</v>
      </c>
      <c r="C401" s="38">
        <v>39.181526309479253</v>
      </c>
      <c r="D401" s="38">
        <v>39.181526309479253</v>
      </c>
      <c r="E401" s="38">
        <v>39.181526309479253</v>
      </c>
      <c r="F401" s="38">
        <v>39.181526309479253</v>
      </c>
      <c r="G401" s="38">
        <v>39.181526309479253</v>
      </c>
      <c r="H401" s="38">
        <v>39.181526309479253</v>
      </c>
      <c r="I401" s="38">
        <v>39.181526309479253</v>
      </c>
      <c r="J401" s="38">
        <v>39.181526309479253</v>
      </c>
    </row>
    <row r="402" spans="1:10">
      <c r="A402" s="1" t="s">
        <v>281</v>
      </c>
      <c r="B402" s="1" t="s">
        <v>176</v>
      </c>
      <c r="C402" s="38">
        <v>72.504132796980301</v>
      </c>
      <c r="D402" s="38">
        <v>72.504132796980301</v>
      </c>
      <c r="E402" s="38">
        <v>72.504132796980301</v>
      </c>
      <c r="F402" s="38">
        <v>72.504132796980301</v>
      </c>
      <c r="G402" s="38">
        <v>72.504132796980301</v>
      </c>
      <c r="H402" s="38">
        <v>72.504132796980301</v>
      </c>
      <c r="I402" s="38">
        <v>72.504132796980301</v>
      </c>
      <c r="J402" s="38">
        <v>72.504132796980301</v>
      </c>
    </row>
    <row r="403" spans="1:10">
      <c r="A403" s="1" t="s">
        <v>282</v>
      </c>
      <c r="B403" s="1" t="s">
        <v>176</v>
      </c>
      <c r="C403" s="38">
        <v>34.238062709685138</v>
      </c>
      <c r="D403" s="38">
        <v>34.238062709685138</v>
      </c>
      <c r="E403" s="38">
        <v>34.238062709685138</v>
      </c>
      <c r="F403" s="38">
        <v>34.238062709685138</v>
      </c>
      <c r="G403" s="38">
        <v>34.238062709685138</v>
      </c>
      <c r="H403" s="38">
        <v>34.238062709685138</v>
      </c>
      <c r="I403" s="38">
        <v>34.238062709685138</v>
      </c>
      <c r="J403" s="38">
        <v>34.238062709685138</v>
      </c>
    </row>
    <row r="404" spans="1:10">
      <c r="A404" s="1" t="s">
        <v>283</v>
      </c>
      <c r="B404" s="1" t="s">
        <v>176</v>
      </c>
      <c r="C404" s="38">
        <v>70.123946619301648</v>
      </c>
      <c r="D404" s="38">
        <v>70.123946619301648</v>
      </c>
      <c r="E404" s="38">
        <v>70.123946619301648</v>
      </c>
      <c r="F404" s="38">
        <v>70.123946619301648</v>
      </c>
      <c r="G404" s="38">
        <v>70.123946619301648</v>
      </c>
      <c r="H404" s="38">
        <v>70.123946619301648</v>
      </c>
      <c r="I404" s="38">
        <v>70.123946619301648</v>
      </c>
      <c r="J404" s="38">
        <v>70.123946619301648</v>
      </c>
    </row>
    <row r="405" spans="1:10">
      <c r="A405" s="1" t="s">
        <v>284</v>
      </c>
      <c r="B405" s="1" t="s">
        <v>176</v>
      </c>
      <c r="C405" s="38">
        <v>366.91485385138515</v>
      </c>
      <c r="D405" s="38">
        <v>366.91485385138515</v>
      </c>
      <c r="E405" s="38">
        <v>366.91485385138515</v>
      </c>
      <c r="F405" s="38">
        <v>366.91485385138515</v>
      </c>
      <c r="G405" s="38">
        <v>366.91485385138515</v>
      </c>
      <c r="H405" s="38">
        <v>366.91485385138515</v>
      </c>
      <c r="I405" s="38">
        <v>366.91485385138515</v>
      </c>
      <c r="J405" s="38">
        <v>366.91485385138515</v>
      </c>
    </row>
    <row r="406" spans="1:10">
      <c r="A406" s="1" t="s">
        <v>285</v>
      </c>
      <c r="B406" s="1" t="s">
        <v>176</v>
      </c>
      <c r="C406" s="38">
        <v>41.195529998284258</v>
      </c>
      <c r="D406" s="38">
        <v>41.195529998284258</v>
      </c>
      <c r="E406" s="38">
        <v>41.195529998284258</v>
      </c>
      <c r="F406" s="38">
        <v>41.195529998284258</v>
      </c>
      <c r="G406" s="38">
        <v>41.195529998284258</v>
      </c>
      <c r="H406" s="38">
        <v>41.195529998284258</v>
      </c>
      <c r="I406" s="38">
        <v>41.195529998284258</v>
      </c>
      <c r="J406" s="38">
        <v>41.195529998284258</v>
      </c>
    </row>
    <row r="407" spans="1:10">
      <c r="A407" s="1" t="s">
        <v>286</v>
      </c>
      <c r="B407" s="1" t="s">
        <v>176</v>
      </c>
      <c r="C407" s="38">
        <v>405.73019767199071</v>
      </c>
      <c r="D407" s="38">
        <v>405.73019767199071</v>
      </c>
      <c r="E407" s="38">
        <v>405.73019767199071</v>
      </c>
      <c r="F407" s="38">
        <v>405.73019767199071</v>
      </c>
      <c r="G407" s="38">
        <v>405.73019767199071</v>
      </c>
      <c r="H407" s="38">
        <v>405.73019767199071</v>
      </c>
      <c r="I407" s="38">
        <v>405.73019767199071</v>
      </c>
      <c r="J407" s="38">
        <v>405.73019767199071</v>
      </c>
    </row>
    <row r="408" spans="1:10">
      <c r="A408" s="1" t="s">
        <v>287</v>
      </c>
      <c r="B408" s="1" t="s">
        <v>176</v>
      </c>
      <c r="C408" s="38">
        <v>37.167522620674241</v>
      </c>
      <c r="D408" s="38">
        <v>37.167522620674241</v>
      </c>
      <c r="E408" s="38">
        <v>37.167522620674241</v>
      </c>
      <c r="F408" s="38">
        <v>37.167522620674241</v>
      </c>
      <c r="G408" s="38">
        <v>37.167522620674241</v>
      </c>
      <c r="H408" s="38">
        <v>37.167522620674241</v>
      </c>
      <c r="I408" s="38">
        <v>37.167522620674241</v>
      </c>
      <c r="J408" s="38">
        <v>37.167522620674241</v>
      </c>
    </row>
    <row r="409" spans="1:10">
      <c r="A409" s="1" t="s">
        <v>288</v>
      </c>
      <c r="B409" s="1" t="s">
        <v>176</v>
      </c>
      <c r="C409" s="38">
        <v>461.0237534919101</v>
      </c>
      <c r="D409" s="38">
        <v>461.0237534919101</v>
      </c>
      <c r="E409" s="38">
        <v>461.0237534919101</v>
      </c>
      <c r="F409" s="38">
        <v>461.0237534919101</v>
      </c>
      <c r="G409" s="38">
        <v>461.0237534919101</v>
      </c>
      <c r="H409" s="38">
        <v>461.0237534919101</v>
      </c>
      <c r="I409" s="38">
        <v>461.0237534919101</v>
      </c>
      <c r="J409" s="38">
        <v>461.0237534919101</v>
      </c>
    </row>
    <row r="410" spans="1:10">
      <c r="A410" s="1" t="s">
        <v>289</v>
      </c>
      <c r="B410" s="1" t="s">
        <v>176</v>
      </c>
      <c r="C410" s="38">
        <v>114.98130150632228</v>
      </c>
      <c r="D410" s="38">
        <v>114.98130150632228</v>
      </c>
      <c r="E410" s="38">
        <v>114.98130150632228</v>
      </c>
      <c r="F410" s="38">
        <v>114.98130150632228</v>
      </c>
      <c r="G410" s="38">
        <v>114.98130150632228</v>
      </c>
      <c r="H410" s="38">
        <v>114.98130150632228</v>
      </c>
      <c r="I410" s="38">
        <v>114.98130150632228</v>
      </c>
      <c r="J410" s="38">
        <v>114.98130150632228</v>
      </c>
    </row>
    <row r="411" spans="1:10">
      <c r="A411" s="1" t="s">
        <v>290</v>
      </c>
      <c r="B411" s="1" t="s">
        <v>176</v>
      </c>
      <c r="C411" s="38">
        <v>24.534226754533741</v>
      </c>
      <c r="D411" s="38">
        <v>24.534226754533741</v>
      </c>
      <c r="E411" s="38">
        <v>24.534226754533741</v>
      </c>
      <c r="F411" s="38">
        <v>24.534226754533741</v>
      </c>
      <c r="G411" s="38">
        <v>24.534226754533741</v>
      </c>
      <c r="H411" s="38">
        <v>24.534226754533741</v>
      </c>
      <c r="I411" s="38">
        <v>24.534226754533741</v>
      </c>
      <c r="J411" s="38">
        <v>24.534226754533741</v>
      </c>
    </row>
    <row r="412" spans="1:10">
      <c r="A412" s="1" t="s">
        <v>291</v>
      </c>
      <c r="B412" s="1" t="s">
        <v>176</v>
      </c>
      <c r="C412" s="38">
        <v>81.109421285510791</v>
      </c>
      <c r="D412" s="38">
        <v>81.109421285510791</v>
      </c>
      <c r="E412" s="38">
        <v>81.109421285510791</v>
      </c>
      <c r="F412" s="38">
        <v>81.109421285510791</v>
      </c>
      <c r="G412" s="38">
        <v>81.109421285510791</v>
      </c>
      <c r="H412" s="38">
        <v>81.109421285510791</v>
      </c>
      <c r="I412" s="38">
        <v>81.109421285510791</v>
      </c>
      <c r="J412" s="38">
        <v>81.109421285510791</v>
      </c>
    </row>
    <row r="413" spans="1:10">
      <c r="A413" s="1" t="s">
        <v>292</v>
      </c>
      <c r="B413" s="1" t="s">
        <v>176</v>
      </c>
      <c r="C413" s="38">
        <v>60.237019419713427</v>
      </c>
      <c r="D413" s="38">
        <v>60.237019419713427</v>
      </c>
      <c r="E413" s="38">
        <v>60.237019419713427</v>
      </c>
      <c r="F413" s="38">
        <v>60.237019419713427</v>
      </c>
      <c r="G413" s="38">
        <v>60.237019419713427</v>
      </c>
      <c r="H413" s="38">
        <v>60.237019419713427</v>
      </c>
      <c r="I413" s="38">
        <v>60.237019419713427</v>
      </c>
      <c r="J413" s="38">
        <v>60.237019419713427</v>
      </c>
    </row>
    <row r="414" spans="1:10">
      <c r="A414" s="1" t="s">
        <v>293</v>
      </c>
      <c r="B414" s="1" t="s">
        <v>176</v>
      </c>
      <c r="C414" s="38">
        <v>292.76289985447346</v>
      </c>
      <c r="D414" s="38">
        <v>292.76289985447346</v>
      </c>
      <c r="E414" s="38">
        <v>292.76289985447346</v>
      </c>
      <c r="F414" s="38">
        <v>292.76289985447346</v>
      </c>
      <c r="G414" s="38">
        <v>292.76289985447346</v>
      </c>
      <c r="H414" s="38">
        <v>292.76289985447346</v>
      </c>
      <c r="I414" s="38">
        <v>292.76289985447346</v>
      </c>
      <c r="J414" s="38">
        <v>292.76289985447346</v>
      </c>
    </row>
    <row r="415" spans="1:10">
      <c r="A415" s="1" t="s">
        <v>294</v>
      </c>
      <c r="B415" s="1" t="s">
        <v>176</v>
      </c>
      <c r="C415" s="38">
        <v>2.5632774221154651</v>
      </c>
      <c r="D415" s="38">
        <v>2.5632774221154651</v>
      </c>
      <c r="E415" s="38">
        <v>2.5632774221154651</v>
      </c>
      <c r="F415" s="38">
        <v>2.5632774221154651</v>
      </c>
      <c r="G415" s="38">
        <v>2.5632774221154651</v>
      </c>
      <c r="H415" s="38">
        <v>2.5632774221154651</v>
      </c>
      <c r="I415" s="38">
        <v>2.5632774221154651</v>
      </c>
      <c r="J415" s="38">
        <v>2.5632774221154651</v>
      </c>
    </row>
    <row r="416" spans="1:10">
      <c r="A416" s="1" t="s">
        <v>295</v>
      </c>
      <c r="B416" s="1" t="s">
        <v>176</v>
      </c>
      <c r="C416" s="38">
        <v>9.9238044201042666</v>
      </c>
      <c r="D416" s="38">
        <v>9.9238044201042666</v>
      </c>
      <c r="E416" s="38">
        <v>9.9238044201042666</v>
      </c>
      <c r="F416" s="38">
        <v>9.9238044201042666</v>
      </c>
      <c r="G416" s="38">
        <v>9.9238044201042666</v>
      </c>
      <c r="H416" s="38">
        <v>9.9238044201042666</v>
      </c>
      <c r="I416" s="38">
        <v>9.9238044201042666</v>
      </c>
      <c r="J416" s="38">
        <v>9.9238044201042666</v>
      </c>
    </row>
    <row r="417" spans="1:10">
      <c r="A417" s="1" t="s">
        <v>296</v>
      </c>
      <c r="B417" s="1" t="s">
        <v>176</v>
      </c>
      <c r="C417" s="38">
        <v>20.960212263203722</v>
      </c>
      <c r="D417" s="38">
        <v>20.960212263203722</v>
      </c>
      <c r="E417" s="38">
        <v>20.960212263203722</v>
      </c>
      <c r="F417" s="38">
        <v>20.960212263203722</v>
      </c>
      <c r="G417" s="38">
        <v>20.960212263203722</v>
      </c>
      <c r="H417" s="38">
        <v>20.960212263203722</v>
      </c>
      <c r="I417" s="38">
        <v>20.960212263203722</v>
      </c>
      <c r="J417" s="38">
        <v>20.960212263203722</v>
      </c>
    </row>
    <row r="418" spans="1:10">
      <c r="A418" s="1" t="s">
        <v>297</v>
      </c>
      <c r="B418" s="1" t="s">
        <v>176</v>
      </c>
      <c r="C418" s="38">
        <v>58.223015730908429</v>
      </c>
      <c r="D418" s="38">
        <v>58.223015730908429</v>
      </c>
      <c r="E418" s="38">
        <v>58.223015730908429</v>
      </c>
      <c r="F418" s="38">
        <v>58.223015730908429</v>
      </c>
      <c r="G418" s="38">
        <v>58.223015730908429</v>
      </c>
      <c r="H418" s="38">
        <v>58.223015730908429</v>
      </c>
      <c r="I418" s="38">
        <v>58.223015730908429</v>
      </c>
      <c r="J418" s="38">
        <v>58.223015730908429</v>
      </c>
    </row>
    <row r="419" spans="1:10">
      <c r="A419" s="1" t="s">
        <v>298</v>
      </c>
      <c r="B419" s="1" t="s">
        <v>176</v>
      </c>
      <c r="C419" s="38">
        <v>21.970949332418272</v>
      </c>
      <c r="D419" s="38">
        <v>21.970949332418272</v>
      </c>
      <c r="E419" s="38">
        <v>21.970949332418272</v>
      </c>
      <c r="F419" s="38">
        <v>21.970949332418272</v>
      </c>
      <c r="G419" s="38">
        <v>21.970949332418272</v>
      </c>
      <c r="H419" s="38">
        <v>21.970949332418272</v>
      </c>
      <c r="I419" s="38">
        <v>21.970949332418272</v>
      </c>
      <c r="J419" s="38">
        <v>21.970949332418272</v>
      </c>
    </row>
    <row r="420" spans="1:10">
      <c r="A420" s="1" t="s">
        <v>299</v>
      </c>
      <c r="B420" s="1" t="s">
        <v>176</v>
      </c>
      <c r="C420" s="38">
        <v>246.07463252308466</v>
      </c>
      <c r="D420" s="38">
        <v>246.07463252308466</v>
      </c>
      <c r="E420" s="38">
        <v>246.07463252308466</v>
      </c>
      <c r="F420" s="38">
        <v>246.07463252308466</v>
      </c>
      <c r="G420" s="38">
        <v>246.07463252308466</v>
      </c>
      <c r="H420" s="38">
        <v>246.07463252308466</v>
      </c>
      <c r="I420" s="38">
        <v>246.07463252308466</v>
      </c>
      <c r="J420" s="38">
        <v>246.07463252308466</v>
      </c>
    </row>
    <row r="421" spans="1:10">
      <c r="A421" s="1" t="s">
        <v>300</v>
      </c>
      <c r="B421" s="1" t="s">
        <v>176</v>
      </c>
      <c r="C421" s="38">
        <v>64.265026797323443</v>
      </c>
      <c r="D421" s="38">
        <v>64.265026797323443</v>
      </c>
      <c r="E421" s="38">
        <v>64.265026797323443</v>
      </c>
      <c r="F421" s="38">
        <v>64.265026797323443</v>
      </c>
      <c r="G421" s="38">
        <v>64.265026797323443</v>
      </c>
      <c r="H421" s="38">
        <v>64.265026797323443</v>
      </c>
      <c r="I421" s="38">
        <v>64.265026797323443</v>
      </c>
      <c r="J421" s="38">
        <v>64.265026797323443</v>
      </c>
    </row>
    <row r="422" spans="1:10">
      <c r="A422" s="1" t="s">
        <v>301</v>
      </c>
      <c r="B422" s="1" t="s">
        <v>176</v>
      </c>
      <c r="C422" s="38">
        <v>203.59746381374265</v>
      </c>
      <c r="D422" s="38">
        <v>203.59746381374265</v>
      </c>
      <c r="E422" s="38">
        <v>203.59746381374265</v>
      </c>
      <c r="F422" s="38">
        <v>203.59746381374265</v>
      </c>
      <c r="G422" s="38">
        <v>203.59746381374265</v>
      </c>
      <c r="H422" s="38">
        <v>203.59746381374265</v>
      </c>
      <c r="I422" s="38">
        <v>203.59746381374265</v>
      </c>
      <c r="J422" s="38">
        <v>203.59746381374265</v>
      </c>
    </row>
    <row r="423" spans="1:10">
      <c r="A423" s="1" t="s">
        <v>302</v>
      </c>
      <c r="B423" s="1" t="s">
        <v>176</v>
      </c>
      <c r="C423" s="38">
        <v>85.203788245983986</v>
      </c>
      <c r="D423" s="38">
        <v>85.203788245983986</v>
      </c>
      <c r="E423" s="38">
        <v>85.203788245983986</v>
      </c>
      <c r="F423" s="38">
        <v>85.203788245983986</v>
      </c>
      <c r="G423" s="38">
        <v>85.203788245983986</v>
      </c>
      <c r="H423" s="38">
        <v>85.203788245983986</v>
      </c>
      <c r="I423" s="38">
        <v>85.203788245983986</v>
      </c>
      <c r="J423" s="38">
        <v>85.203788245983986</v>
      </c>
    </row>
    <row r="424" spans="1:10">
      <c r="A424" s="1" t="s">
        <v>303</v>
      </c>
      <c r="B424" s="1" t="s">
        <v>176</v>
      </c>
      <c r="C424" s="38">
        <v>54.927373331045686</v>
      </c>
      <c r="D424" s="38">
        <v>54.927373331045686</v>
      </c>
      <c r="E424" s="38">
        <v>54.927373331045686</v>
      </c>
      <c r="F424" s="38">
        <v>54.927373331045686</v>
      </c>
      <c r="G424" s="38">
        <v>54.927373331045686</v>
      </c>
      <c r="H424" s="38">
        <v>54.927373331045686</v>
      </c>
      <c r="I424" s="38">
        <v>54.927373331045686</v>
      </c>
      <c r="J424" s="38">
        <v>54.927373331045686</v>
      </c>
    </row>
    <row r="425" spans="1:10">
      <c r="A425" s="1" t="s">
        <v>304</v>
      </c>
      <c r="B425" s="1" t="s">
        <v>176</v>
      </c>
      <c r="C425" s="38">
        <v>9.8869271995882233</v>
      </c>
      <c r="D425" s="38">
        <v>9.8869271995882233</v>
      </c>
      <c r="E425" s="38">
        <v>9.8869271995882233</v>
      </c>
      <c r="F425" s="38">
        <v>9.8869271995882233</v>
      </c>
      <c r="G425" s="38">
        <v>9.8869271995882233</v>
      </c>
      <c r="H425" s="38">
        <v>9.8869271995882233</v>
      </c>
      <c r="I425" s="38">
        <v>9.8869271995882233</v>
      </c>
      <c r="J425" s="38">
        <v>9.8869271995882233</v>
      </c>
    </row>
    <row r="426" spans="1:10">
      <c r="A426" s="1" t="s">
        <v>305</v>
      </c>
      <c r="B426" s="1" t="s">
        <v>176</v>
      </c>
      <c r="C426" s="38">
        <v>33.505697731937865</v>
      </c>
      <c r="D426" s="38">
        <v>33.505697731937865</v>
      </c>
      <c r="E426" s="38">
        <v>33.505697731937865</v>
      </c>
      <c r="F426" s="38">
        <v>33.505697731937865</v>
      </c>
      <c r="G426" s="38">
        <v>33.505697731937865</v>
      </c>
      <c r="H426" s="38">
        <v>33.505697731937865</v>
      </c>
      <c r="I426" s="38">
        <v>33.505697731937865</v>
      </c>
      <c r="J426" s="38">
        <v>33.505697731937865</v>
      </c>
    </row>
    <row r="427" spans="1:10">
      <c r="A427" s="1" t="s">
        <v>306</v>
      </c>
      <c r="B427" s="1" t="s">
        <v>176</v>
      </c>
      <c r="C427" s="38">
        <v>0</v>
      </c>
      <c r="D427" s="38">
        <v>0</v>
      </c>
      <c r="E427" s="38">
        <v>0</v>
      </c>
      <c r="F427" s="38">
        <v>0</v>
      </c>
      <c r="G427" s="38">
        <v>0</v>
      </c>
      <c r="H427" s="38">
        <v>0</v>
      </c>
      <c r="I427" s="38">
        <v>0</v>
      </c>
      <c r="J427" s="38">
        <v>0</v>
      </c>
    </row>
    <row r="428" spans="1:10">
      <c r="A428" s="1" t="s">
        <v>307</v>
      </c>
      <c r="B428" s="1" t="s">
        <v>176</v>
      </c>
      <c r="C428" s="38">
        <v>328.28260127521634</v>
      </c>
      <c r="D428" s="38">
        <v>328.28260127521634</v>
      </c>
      <c r="E428" s="38">
        <v>328.28260127521634</v>
      </c>
      <c r="F428" s="38">
        <v>328.28260127521634</v>
      </c>
      <c r="G428" s="38">
        <v>328.28260127521634</v>
      </c>
      <c r="H428" s="38">
        <v>328.28260127521634</v>
      </c>
      <c r="I428" s="38">
        <v>328.28260127521634</v>
      </c>
      <c r="J428" s="38">
        <v>328.28260127521634</v>
      </c>
    </row>
    <row r="429" spans="1:10">
      <c r="A429" s="1" t="s">
        <v>308</v>
      </c>
      <c r="B429" s="1" t="s">
        <v>176</v>
      </c>
      <c r="C429" s="38">
        <v>13.365660843887781</v>
      </c>
      <c r="D429" s="38">
        <v>13.365660843887781</v>
      </c>
      <c r="E429" s="38">
        <v>13.365660843887781</v>
      </c>
      <c r="F429" s="38">
        <v>13.365660843887781</v>
      </c>
      <c r="G429" s="38">
        <v>13.365660843887781</v>
      </c>
      <c r="H429" s="38">
        <v>13.365660843887781</v>
      </c>
      <c r="I429" s="38">
        <v>13.365660843887781</v>
      </c>
      <c r="J429" s="38">
        <v>13.365660843887781</v>
      </c>
    </row>
    <row r="430" spans="1:10">
      <c r="A430" s="1" t="s">
        <v>309</v>
      </c>
      <c r="B430" s="1" t="s">
        <v>176</v>
      </c>
      <c r="C430" s="38">
        <v>37.899887598421522</v>
      </c>
      <c r="D430" s="38">
        <v>37.899887598421522</v>
      </c>
      <c r="E430" s="38">
        <v>37.899887598421522</v>
      </c>
      <c r="F430" s="38">
        <v>37.899887598421522</v>
      </c>
      <c r="G430" s="38">
        <v>37.899887598421522</v>
      </c>
      <c r="H430" s="38">
        <v>37.899887598421522</v>
      </c>
      <c r="I430" s="38">
        <v>37.899887598421522</v>
      </c>
      <c r="J430" s="38">
        <v>37.899887598421522</v>
      </c>
    </row>
    <row r="431" spans="1:10">
      <c r="A431" s="1" t="s">
        <v>310</v>
      </c>
      <c r="B431" s="1" t="s">
        <v>176</v>
      </c>
      <c r="C431" s="38">
        <v>24.900409243407374</v>
      </c>
      <c r="D431" s="38">
        <v>24.900409243407374</v>
      </c>
      <c r="E431" s="38">
        <v>24.900409243407374</v>
      </c>
      <c r="F431" s="38">
        <v>24.900409243407374</v>
      </c>
      <c r="G431" s="38">
        <v>24.900409243407374</v>
      </c>
      <c r="H431" s="38">
        <v>24.900409243407374</v>
      </c>
      <c r="I431" s="38">
        <v>24.900409243407374</v>
      </c>
      <c r="J431" s="38">
        <v>24.900409243407374</v>
      </c>
    </row>
    <row r="432" spans="1:10">
      <c r="A432" s="1" t="s">
        <v>311</v>
      </c>
      <c r="B432" s="1" t="s">
        <v>176</v>
      </c>
      <c r="C432" s="38">
        <v>0</v>
      </c>
      <c r="D432" s="38">
        <v>0</v>
      </c>
      <c r="E432" s="38">
        <v>0</v>
      </c>
      <c r="F432" s="38">
        <v>0</v>
      </c>
      <c r="G432" s="38">
        <v>0</v>
      </c>
      <c r="H432" s="38">
        <v>0</v>
      </c>
      <c r="I432" s="38">
        <v>0</v>
      </c>
      <c r="J432" s="38">
        <v>0</v>
      </c>
    </row>
    <row r="433" spans="1:10">
      <c r="A433" s="1" t="s">
        <v>312</v>
      </c>
      <c r="B433" s="1" t="s">
        <v>176</v>
      </c>
      <c r="C433" s="38">
        <v>0</v>
      </c>
    </row>
    <row r="434" spans="1:10">
      <c r="A434" s="1" t="s">
        <v>277</v>
      </c>
      <c r="B434" s="1" t="s">
        <v>177</v>
      </c>
      <c r="C434" s="38">
        <v>999999</v>
      </c>
      <c r="D434" s="38">
        <v>999999</v>
      </c>
      <c r="E434" s="38">
        <v>999999</v>
      </c>
      <c r="F434" s="38">
        <v>999999</v>
      </c>
      <c r="G434" s="38">
        <v>999999</v>
      </c>
      <c r="H434" s="38">
        <v>999999</v>
      </c>
      <c r="I434" s="38">
        <v>999999</v>
      </c>
      <c r="J434" s="38">
        <v>999999</v>
      </c>
    </row>
    <row r="435" spans="1:10">
      <c r="A435" s="1" t="s">
        <v>278</v>
      </c>
      <c r="B435" s="1" t="s">
        <v>177</v>
      </c>
      <c r="C435" s="38">
        <v>999999</v>
      </c>
      <c r="D435" s="38">
        <v>999999</v>
      </c>
      <c r="E435" s="38">
        <v>999999</v>
      </c>
      <c r="F435" s="38">
        <v>999999</v>
      </c>
      <c r="G435" s="38">
        <v>999999</v>
      </c>
      <c r="H435" s="38">
        <v>999999</v>
      </c>
      <c r="I435" s="38">
        <v>999999</v>
      </c>
      <c r="J435" s="38">
        <v>999999</v>
      </c>
    </row>
    <row r="436" spans="1:10">
      <c r="A436" s="1" t="s">
        <v>279</v>
      </c>
      <c r="B436" s="1" t="s">
        <v>177</v>
      </c>
      <c r="C436" s="38">
        <v>999999</v>
      </c>
      <c r="D436" s="38">
        <v>999999</v>
      </c>
      <c r="E436" s="38">
        <v>999999</v>
      </c>
      <c r="F436" s="38">
        <v>999999</v>
      </c>
      <c r="G436" s="38">
        <v>999999</v>
      </c>
      <c r="H436" s="38">
        <v>999999</v>
      </c>
      <c r="I436" s="38">
        <v>999999</v>
      </c>
      <c r="J436" s="38">
        <v>999999</v>
      </c>
    </row>
    <row r="437" spans="1:10">
      <c r="A437" s="1" t="s">
        <v>280</v>
      </c>
      <c r="B437" s="1" t="s">
        <v>177</v>
      </c>
      <c r="C437" s="38">
        <v>999999</v>
      </c>
      <c r="D437" s="38">
        <v>999999</v>
      </c>
      <c r="E437" s="38">
        <v>999999</v>
      </c>
      <c r="F437" s="38">
        <v>999999</v>
      </c>
      <c r="G437" s="38">
        <v>999999</v>
      </c>
      <c r="H437" s="38">
        <v>999999</v>
      </c>
      <c r="I437" s="38">
        <v>999999</v>
      </c>
      <c r="J437" s="38">
        <v>999999</v>
      </c>
    </row>
    <row r="438" spans="1:10">
      <c r="A438" s="1" t="s">
        <v>281</v>
      </c>
      <c r="B438" s="1" t="s">
        <v>177</v>
      </c>
      <c r="C438" s="38">
        <v>999999</v>
      </c>
      <c r="D438" s="38">
        <v>999999</v>
      </c>
      <c r="E438" s="38">
        <v>999999</v>
      </c>
      <c r="F438" s="38">
        <v>999999</v>
      </c>
      <c r="G438" s="38">
        <v>999999</v>
      </c>
      <c r="H438" s="38">
        <v>999999</v>
      </c>
      <c r="I438" s="38">
        <v>999999</v>
      </c>
      <c r="J438" s="38">
        <v>999999</v>
      </c>
    </row>
    <row r="439" spans="1:10">
      <c r="A439" s="1" t="s">
        <v>282</v>
      </c>
      <c r="B439" s="1" t="s">
        <v>177</v>
      </c>
      <c r="C439" s="38">
        <v>999999</v>
      </c>
      <c r="D439" s="38">
        <v>999999</v>
      </c>
      <c r="E439" s="38">
        <v>999999</v>
      </c>
      <c r="F439" s="38">
        <v>999999</v>
      </c>
      <c r="G439" s="38">
        <v>999999</v>
      </c>
      <c r="H439" s="38">
        <v>999999</v>
      </c>
      <c r="I439" s="38">
        <v>999999</v>
      </c>
      <c r="J439" s="38">
        <v>999999</v>
      </c>
    </row>
    <row r="440" spans="1:10">
      <c r="A440" s="1" t="s">
        <v>283</v>
      </c>
      <c r="B440" s="1" t="s">
        <v>177</v>
      </c>
      <c r="C440" s="38">
        <v>999999</v>
      </c>
      <c r="D440" s="38">
        <v>999999</v>
      </c>
      <c r="E440" s="38">
        <v>999999</v>
      </c>
      <c r="F440" s="38">
        <v>999999</v>
      </c>
      <c r="G440" s="38">
        <v>999999</v>
      </c>
      <c r="H440" s="38">
        <v>999999</v>
      </c>
      <c r="I440" s="38">
        <v>999999</v>
      </c>
      <c r="J440" s="38">
        <v>999999</v>
      </c>
    </row>
    <row r="441" spans="1:10">
      <c r="A441" s="1" t="s">
        <v>284</v>
      </c>
      <c r="B441" s="1" t="s">
        <v>177</v>
      </c>
      <c r="C441" s="38">
        <v>999999</v>
      </c>
      <c r="D441" s="38">
        <v>999999</v>
      </c>
      <c r="E441" s="38">
        <v>999999</v>
      </c>
      <c r="F441" s="38">
        <v>999999</v>
      </c>
      <c r="G441" s="38">
        <v>999999</v>
      </c>
      <c r="H441" s="38">
        <v>999999</v>
      </c>
      <c r="I441" s="38">
        <v>999999</v>
      </c>
      <c r="J441" s="38">
        <v>999999</v>
      </c>
    </row>
    <row r="442" spans="1:10">
      <c r="A442" s="1" t="s">
        <v>285</v>
      </c>
      <c r="B442" s="1" t="s">
        <v>177</v>
      </c>
      <c r="C442" s="38">
        <v>999999</v>
      </c>
      <c r="D442" s="38">
        <v>999999</v>
      </c>
      <c r="E442" s="38">
        <v>999999</v>
      </c>
      <c r="F442" s="38">
        <v>999999</v>
      </c>
      <c r="G442" s="38">
        <v>999999</v>
      </c>
      <c r="H442" s="38">
        <v>999999</v>
      </c>
      <c r="I442" s="38">
        <v>999999</v>
      </c>
      <c r="J442" s="38">
        <v>999999</v>
      </c>
    </row>
    <row r="443" spans="1:10">
      <c r="A443" s="1" t="s">
        <v>286</v>
      </c>
      <c r="B443" s="1" t="s">
        <v>177</v>
      </c>
      <c r="C443" s="38">
        <v>999999</v>
      </c>
      <c r="D443" s="38">
        <v>999999</v>
      </c>
      <c r="E443" s="38">
        <v>999999</v>
      </c>
      <c r="F443" s="38">
        <v>999999</v>
      </c>
      <c r="G443" s="38">
        <v>999999</v>
      </c>
      <c r="H443" s="38">
        <v>999999</v>
      </c>
      <c r="I443" s="38">
        <v>999999</v>
      </c>
      <c r="J443" s="38">
        <v>999999</v>
      </c>
    </row>
    <row r="444" spans="1:10">
      <c r="A444" s="1" t="s">
        <v>287</v>
      </c>
      <c r="B444" s="1" t="s">
        <v>177</v>
      </c>
      <c r="C444" s="38">
        <v>999999</v>
      </c>
      <c r="D444" s="38">
        <v>999999</v>
      </c>
      <c r="E444" s="38">
        <v>999999</v>
      </c>
      <c r="F444" s="38">
        <v>999999</v>
      </c>
      <c r="G444" s="38">
        <v>999999</v>
      </c>
      <c r="H444" s="38">
        <v>999999</v>
      </c>
      <c r="I444" s="38">
        <v>999999</v>
      </c>
      <c r="J444" s="38">
        <v>999999</v>
      </c>
    </row>
    <row r="445" spans="1:10">
      <c r="A445" s="1" t="s">
        <v>288</v>
      </c>
      <c r="B445" s="1" t="s">
        <v>177</v>
      </c>
      <c r="C445" s="38">
        <v>999999</v>
      </c>
      <c r="D445" s="38">
        <v>999999</v>
      </c>
      <c r="E445" s="38">
        <v>999999</v>
      </c>
      <c r="F445" s="38">
        <v>999999</v>
      </c>
      <c r="G445" s="38">
        <v>999999</v>
      </c>
      <c r="H445" s="38">
        <v>999999</v>
      </c>
      <c r="I445" s="38">
        <v>999999</v>
      </c>
      <c r="J445" s="38">
        <v>999999</v>
      </c>
    </row>
    <row r="446" spans="1:10">
      <c r="A446" s="1" t="s">
        <v>289</v>
      </c>
      <c r="B446" s="1" t="s">
        <v>177</v>
      </c>
      <c r="C446" s="38">
        <v>999999</v>
      </c>
      <c r="D446" s="38">
        <v>999999</v>
      </c>
      <c r="E446" s="38">
        <v>999999</v>
      </c>
      <c r="F446" s="38">
        <v>999999</v>
      </c>
      <c r="G446" s="38">
        <v>999999</v>
      </c>
      <c r="H446" s="38">
        <v>999999</v>
      </c>
      <c r="I446" s="38">
        <v>999999</v>
      </c>
      <c r="J446" s="38">
        <v>999999</v>
      </c>
    </row>
    <row r="447" spans="1:10">
      <c r="A447" s="1" t="s">
        <v>290</v>
      </c>
      <c r="B447" s="1" t="s">
        <v>177</v>
      </c>
      <c r="C447" s="38">
        <v>999999</v>
      </c>
      <c r="D447" s="38">
        <v>999999</v>
      </c>
      <c r="E447" s="38">
        <v>999999</v>
      </c>
      <c r="F447" s="38">
        <v>999999</v>
      </c>
      <c r="G447" s="38">
        <v>999999</v>
      </c>
      <c r="H447" s="38">
        <v>999999</v>
      </c>
      <c r="I447" s="38">
        <v>999999</v>
      </c>
      <c r="J447" s="38">
        <v>999999</v>
      </c>
    </row>
    <row r="448" spans="1:10">
      <c r="A448" s="1" t="s">
        <v>291</v>
      </c>
      <c r="B448" s="1" t="s">
        <v>177</v>
      </c>
      <c r="C448" s="38">
        <v>999999</v>
      </c>
      <c r="D448" s="38">
        <v>999999</v>
      </c>
      <c r="E448" s="38">
        <v>999999</v>
      </c>
      <c r="F448" s="38">
        <v>999999</v>
      </c>
      <c r="G448" s="38">
        <v>999999</v>
      </c>
      <c r="H448" s="38">
        <v>999999</v>
      </c>
      <c r="I448" s="38">
        <v>999999</v>
      </c>
      <c r="J448" s="38">
        <v>999999</v>
      </c>
    </row>
    <row r="449" spans="1:10">
      <c r="A449" s="1" t="s">
        <v>292</v>
      </c>
      <c r="B449" s="1" t="s">
        <v>177</v>
      </c>
      <c r="C449" s="38">
        <v>999999</v>
      </c>
      <c r="D449" s="38">
        <v>999999</v>
      </c>
      <c r="E449" s="38">
        <v>999999</v>
      </c>
      <c r="F449" s="38">
        <v>999999</v>
      </c>
      <c r="G449" s="38">
        <v>999999</v>
      </c>
      <c r="H449" s="38">
        <v>999999</v>
      </c>
      <c r="I449" s="38">
        <v>999999</v>
      </c>
      <c r="J449" s="38">
        <v>999999</v>
      </c>
    </row>
    <row r="450" spans="1:10">
      <c r="A450" s="1" t="s">
        <v>293</v>
      </c>
      <c r="B450" s="1" t="s">
        <v>177</v>
      </c>
      <c r="C450" s="38">
        <v>999999</v>
      </c>
      <c r="D450" s="38">
        <v>999999</v>
      </c>
      <c r="E450" s="38">
        <v>999999</v>
      </c>
      <c r="F450" s="38">
        <v>999999</v>
      </c>
      <c r="G450" s="38">
        <v>999999</v>
      </c>
      <c r="H450" s="38">
        <v>999999</v>
      </c>
      <c r="I450" s="38">
        <v>999999</v>
      </c>
      <c r="J450" s="38">
        <v>999999</v>
      </c>
    </row>
    <row r="451" spans="1:10">
      <c r="A451" s="1" t="s">
        <v>294</v>
      </c>
      <c r="B451" s="1" t="s">
        <v>177</v>
      </c>
      <c r="C451" s="38">
        <v>999999</v>
      </c>
      <c r="D451" s="38">
        <v>999999</v>
      </c>
      <c r="E451" s="38">
        <v>999999</v>
      </c>
      <c r="F451" s="38">
        <v>999999</v>
      </c>
      <c r="G451" s="38">
        <v>999999</v>
      </c>
      <c r="H451" s="38">
        <v>999999</v>
      </c>
      <c r="I451" s="38">
        <v>999999</v>
      </c>
      <c r="J451" s="38">
        <v>999999</v>
      </c>
    </row>
    <row r="452" spans="1:10">
      <c r="A452" s="1" t="s">
        <v>295</v>
      </c>
      <c r="B452" s="1" t="s">
        <v>177</v>
      </c>
      <c r="C452" s="38">
        <v>999999</v>
      </c>
      <c r="D452" s="38">
        <v>999999</v>
      </c>
      <c r="E452" s="38">
        <v>999999</v>
      </c>
      <c r="F452" s="38">
        <v>999999</v>
      </c>
      <c r="G452" s="38">
        <v>999999</v>
      </c>
      <c r="H452" s="38">
        <v>999999</v>
      </c>
      <c r="I452" s="38">
        <v>999999</v>
      </c>
      <c r="J452" s="38">
        <v>999999</v>
      </c>
    </row>
    <row r="453" spans="1:10">
      <c r="A453" s="1" t="s">
        <v>296</v>
      </c>
      <c r="B453" s="1" t="s">
        <v>177</v>
      </c>
      <c r="C453" s="38">
        <v>999999</v>
      </c>
      <c r="D453" s="38">
        <v>999999</v>
      </c>
      <c r="E453" s="38">
        <v>999999</v>
      </c>
      <c r="F453" s="38">
        <v>999999</v>
      </c>
      <c r="G453" s="38">
        <v>999999</v>
      </c>
      <c r="H453" s="38">
        <v>999999</v>
      </c>
      <c r="I453" s="38">
        <v>999999</v>
      </c>
      <c r="J453" s="38">
        <v>999999</v>
      </c>
    </row>
    <row r="454" spans="1:10">
      <c r="A454" s="1" t="s">
        <v>297</v>
      </c>
      <c r="B454" s="1" t="s">
        <v>177</v>
      </c>
      <c r="C454" s="38">
        <v>999999</v>
      </c>
      <c r="D454" s="38">
        <v>999999</v>
      </c>
      <c r="E454" s="38">
        <v>999999</v>
      </c>
      <c r="F454" s="38">
        <v>999999</v>
      </c>
      <c r="G454" s="38">
        <v>999999</v>
      </c>
      <c r="H454" s="38">
        <v>999999</v>
      </c>
      <c r="I454" s="38">
        <v>999999</v>
      </c>
      <c r="J454" s="38">
        <v>999999</v>
      </c>
    </row>
    <row r="455" spans="1:10">
      <c r="A455" s="1" t="s">
        <v>298</v>
      </c>
      <c r="B455" s="1" t="s">
        <v>177</v>
      </c>
      <c r="C455" s="38">
        <v>999999</v>
      </c>
      <c r="D455" s="38">
        <v>999999</v>
      </c>
      <c r="E455" s="38">
        <v>999999</v>
      </c>
      <c r="F455" s="38">
        <v>999999</v>
      </c>
      <c r="G455" s="38">
        <v>999999</v>
      </c>
      <c r="H455" s="38">
        <v>999999</v>
      </c>
      <c r="I455" s="38">
        <v>999999</v>
      </c>
      <c r="J455" s="38">
        <v>999999</v>
      </c>
    </row>
    <row r="456" spans="1:10">
      <c r="A456" s="1" t="s">
        <v>299</v>
      </c>
      <c r="B456" s="1" t="s">
        <v>177</v>
      </c>
      <c r="C456" s="38">
        <v>999999</v>
      </c>
      <c r="D456" s="38">
        <v>999999</v>
      </c>
      <c r="E456" s="38">
        <v>999999</v>
      </c>
      <c r="F456" s="38">
        <v>999999</v>
      </c>
      <c r="G456" s="38">
        <v>999999</v>
      </c>
      <c r="H456" s="38">
        <v>999999</v>
      </c>
      <c r="I456" s="38">
        <v>999999</v>
      </c>
      <c r="J456" s="38">
        <v>999999</v>
      </c>
    </row>
    <row r="457" spans="1:10">
      <c r="A457" s="1" t="s">
        <v>300</v>
      </c>
      <c r="B457" s="1" t="s">
        <v>177</v>
      </c>
      <c r="C457" s="38">
        <v>999999</v>
      </c>
      <c r="D457" s="38">
        <v>999999</v>
      </c>
      <c r="E457" s="38">
        <v>999999</v>
      </c>
      <c r="F457" s="38">
        <v>999999</v>
      </c>
      <c r="G457" s="38">
        <v>999999</v>
      </c>
      <c r="H457" s="38">
        <v>999999</v>
      </c>
      <c r="I457" s="38">
        <v>999999</v>
      </c>
      <c r="J457" s="38">
        <v>999999</v>
      </c>
    </row>
    <row r="458" spans="1:10">
      <c r="A458" s="1" t="s">
        <v>301</v>
      </c>
      <c r="B458" s="1" t="s">
        <v>177</v>
      </c>
      <c r="C458" s="38">
        <v>999999</v>
      </c>
      <c r="D458" s="38">
        <v>999999</v>
      </c>
      <c r="E458" s="38">
        <v>999999</v>
      </c>
      <c r="F458" s="38">
        <v>999999</v>
      </c>
      <c r="G458" s="38">
        <v>999999</v>
      </c>
      <c r="H458" s="38">
        <v>999999</v>
      </c>
      <c r="I458" s="38">
        <v>999999</v>
      </c>
      <c r="J458" s="38">
        <v>999999</v>
      </c>
    </row>
    <row r="459" spans="1:10">
      <c r="A459" s="1" t="s">
        <v>302</v>
      </c>
      <c r="B459" s="1" t="s">
        <v>177</v>
      </c>
      <c r="C459" s="38">
        <v>999999</v>
      </c>
      <c r="D459" s="38">
        <v>999999</v>
      </c>
      <c r="E459" s="38">
        <v>999999</v>
      </c>
      <c r="F459" s="38">
        <v>999999</v>
      </c>
      <c r="G459" s="38">
        <v>999999</v>
      </c>
      <c r="H459" s="38">
        <v>999999</v>
      </c>
      <c r="I459" s="38">
        <v>999999</v>
      </c>
      <c r="J459" s="38">
        <v>999999</v>
      </c>
    </row>
    <row r="460" spans="1:10">
      <c r="A460" s="1" t="s">
        <v>303</v>
      </c>
      <c r="B460" s="1" t="s">
        <v>177</v>
      </c>
      <c r="C460" s="38">
        <v>999999</v>
      </c>
      <c r="D460" s="38">
        <v>999999</v>
      </c>
      <c r="E460" s="38">
        <v>999999</v>
      </c>
      <c r="F460" s="38">
        <v>999999</v>
      </c>
      <c r="G460" s="38">
        <v>999999</v>
      </c>
      <c r="H460" s="38">
        <v>999999</v>
      </c>
      <c r="I460" s="38">
        <v>999999</v>
      </c>
      <c r="J460" s="38">
        <v>999999</v>
      </c>
    </row>
    <row r="461" spans="1:10">
      <c r="A461" s="1" t="s">
        <v>304</v>
      </c>
      <c r="B461" s="1" t="s">
        <v>177</v>
      </c>
      <c r="C461" s="38">
        <v>999999</v>
      </c>
      <c r="D461" s="38">
        <v>999999</v>
      </c>
      <c r="E461" s="38">
        <v>999999</v>
      </c>
      <c r="F461" s="38">
        <v>999999</v>
      </c>
      <c r="G461" s="38">
        <v>999999</v>
      </c>
      <c r="H461" s="38">
        <v>999999</v>
      </c>
      <c r="I461" s="38">
        <v>999999</v>
      </c>
      <c r="J461" s="38">
        <v>999999</v>
      </c>
    </row>
    <row r="462" spans="1:10">
      <c r="A462" s="1" t="s">
        <v>305</v>
      </c>
      <c r="B462" s="1" t="s">
        <v>177</v>
      </c>
      <c r="C462" s="38">
        <v>999999</v>
      </c>
      <c r="D462" s="38">
        <v>999999</v>
      </c>
      <c r="E462" s="38">
        <v>999999</v>
      </c>
      <c r="F462" s="38">
        <v>999999</v>
      </c>
      <c r="G462" s="38">
        <v>999999</v>
      </c>
      <c r="H462" s="38">
        <v>999999</v>
      </c>
      <c r="I462" s="38">
        <v>999999</v>
      </c>
      <c r="J462" s="38">
        <v>999999</v>
      </c>
    </row>
    <row r="463" spans="1:10">
      <c r="A463" s="1" t="s">
        <v>306</v>
      </c>
      <c r="B463" s="1" t="s">
        <v>177</v>
      </c>
      <c r="C463" s="38">
        <v>999999</v>
      </c>
      <c r="D463" s="38">
        <v>999999</v>
      </c>
      <c r="E463" s="38">
        <v>999999</v>
      </c>
      <c r="F463" s="38">
        <v>999999</v>
      </c>
      <c r="G463" s="38">
        <v>999999</v>
      </c>
      <c r="H463" s="38">
        <v>999999</v>
      </c>
      <c r="I463" s="38">
        <v>999999</v>
      </c>
      <c r="J463" s="38">
        <v>999999</v>
      </c>
    </row>
    <row r="464" spans="1:10">
      <c r="A464" s="1" t="s">
        <v>307</v>
      </c>
      <c r="B464" s="1" t="s">
        <v>177</v>
      </c>
      <c r="C464" s="38">
        <v>999999</v>
      </c>
      <c r="D464" s="38">
        <v>999999</v>
      </c>
      <c r="E464" s="38">
        <v>999999</v>
      </c>
      <c r="F464" s="38">
        <v>999999</v>
      </c>
      <c r="G464" s="38">
        <v>999999</v>
      </c>
      <c r="H464" s="38">
        <v>999999</v>
      </c>
      <c r="I464" s="38">
        <v>999999</v>
      </c>
      <c r="J464" s="38">
        <v>999999</v>
      </c>
    </row>
    <row r="465" spans="1:10">
      <c r="A465" s="1" t="s">
        <v>308</v>
      </c>
      <c r="B465" s="1" t="s">
        <v>177</v>
      </c>
      <c r="C465" s="38">
        <v>999999</v>
      </c>
      <c r="D465" s="38">
        <v>999999</v>
      </c>
      <c r="E465" s="38">
        <v>999999</v>
      </c>
      <c r="F465" s="38">
        <v>999999</v>
      </c>
      <c r="G465" s="38">
        <v>999999</v>
      </c>
      <c r="H465" s="38">
        <v>999999</v>
      </c>
      <c r="I465" s="38">
        <v>999999</v>
      </c>
      <c r="J465" s="38">
        <v>999999</v>
      </c>
    </row>
    <row r="466" spans="1:10">
      <c r="A466" s="1" t="s">
        <v>309</v>
      </c>
      <c r="B466" s="1" t="s">
        <v>177</v>
      </c>
      <c r="C466" s="38">
        <v>999999</v>
      </c>
      <c r="D466" s="38">
        <v>999999</v>
      </c>
      <c r="E466" s="38">
        <v>999999</v>
      </c>
      <c r="F466" s="38">
        <v>999999</v>
      </c>
      <c r="G466" s="38">
        <v>999999</v>
      </c>
      <c r="H466" s="38">
        <v>999999</v>
      </c>
      <c r="I466" s="38">
        <v>999999</v>
      </c>
      <c r="J466" s="38">
        <v>999999</v>
      </c>
    </row>
    <row r="467" spans="1:10">
      <c r="A467" s="1" t="s">
        <v>310</v>
      </c>
      <c r="B467" s="1" t="s">
        <v>177</v>
      </c>
      <c r="C467" s="38">
        <v>999999</v>
      </c>
      <c r="D467" s="38">
        <v>999999</v>
      </c>
      <c r="E467" s="38">
        <v>999999</v>
      </c>
      <c r="F467" s="38">
        <v>999999</v>
      </c>
      <c r="G467" s="38">
        <v>999999</v>
      </c>
      <c r="H467" s="38">
        <v>999999</v>
      </c>
      <c r="I467" s="38">
        <v>999999</v>
      </c>
      <c r="J467" s="38">
        <v>999999</v>
      </c>
    </row>
    <row r="468" spans="1:10">
      <c r="A468" s="1" t="s">
        <v>311</v>
      </c>
      <c r="B468" s="1" t="s">
        <v>177</v>
      </c>
      <c r="C468" s="38">
        <v>999999</v>
      </c>
      <c r="D468" s="38">
        <v>999999</v>
      </c>
      <c r="E468" s="38">
        <v>999999</v>
      </c>
      <c r="F468" s="38">
        <v>999999</v>
      </c>
      <c r="G468" s="38">
        <v>999999</v>
      </c>
      <c r="H468" s="38">
        <v>999999</v>
      </c>
      <c r="I468" s="38">
        <v>999999</v>
      </c>
      <c r="J468" s="38">
        <v>999999</v>
      </c>
    </row>
    <row r="469" spans="1:10">
      <c r="A469" s="1" t="s">
        <v>312</v>
      </c>
      <c r="B469" s="1" t="s">
        <v>177</v>
      </c>
      <c r="C469" s="38">
        <v>999999</v>
      </c>
      <c r="D469" s="38">
        <v>999999</v>
      </c>
      <c r="E469" s="38">
        <v>999999</v>
      </c>
      <c r="F469" s="38">
        <v>999999</v>
      </c>
      <c r="G469" s="38">
        <v>999999</v>
      </c>
      <c r="H469" s="38">
        <v>999999</v>
      </c>
      <c r="I469" s="38">
        <v>999999</v>
      </c>
      <c r="J469" s="38">
        <v>999999</v>
      </c>
    </row>
    <row r="470" spans="1:10">
      <c r="A470" s="1" t="s">
        <v>277</v>
      </c>
      <c r="B470" s="1" t="s">
        <v>178</v>
      </c>
      <c r="C470" s="38">
        <v>999999</v>
      </c>
      <c r="D470" s="38">
        <v>999999</v>
      </c>
      <c r="E470" s="38">
        <v>999999</v>
      </c>
      <c r="F470" s="38">
        <v>999999</v>
      </c>
      <c r="G470" s="38">
        <v>999999</v>
      </c>
      <c r="H470" s="38">
        <v>999999</v>
      </c>
      <c r="I470" s="38">
        <v>999999</v>
      </c>
      <c r="J470" s="38">
        <v>999999</v>
      </c>
    </row>
    <row r="471" spans="1:10">
      <c r="A471" s="1" t="s">
        <v>278</v>
      </c>
      <c r="B471" s="1" t="s">
        <v>178</v>
      </c>
      <c r="C471" s="38">
        <v>999999</v>
      </c>
      <c r="D471" s="38">
        <v>999999</v>
      </c>
      <c r="E471" s="38">
        <v>999999</v>
      </c>
      <c r="F471" s="38">
        <v>999999</v>
      </c>
      <c r="G471" s="38">
        <v>999999</v>
      </c>
      <c r="H471" s="38">
        <v>999999</v>
      </c>
      <c r="I471" s="38">
        <v>999999</v>
      </c>
      <c r="J471" s="38">
        <v>999999</v>
      </c>
    </row>
    <row r="472" spans="1:10">
      <c r="A472" s="1" t="s">
        <v>279</v>
      </c>
      <c r="B472" s="1" t="s">
        <v>178</v>
      </c>
      <c r="C472" s="38">
        <v>999999</v>
      </c>
      <c r="D472" s="38">
        <v>999999</v>
      </c>
      <c r="E472" s="38">
        <v>999999</v>
      </c>
      <c r="F472" s="38">
        <v>999999</v>
      </c>
      <c r="G472" s="38">
        <v>999999</v>
      </c>
      <c r="H472" s="38">
        <v>999999</v>
      </c>
      <c r="I472" s="38">
        <v>999999</v>
      </c>
      <c r="J472" s="38">
        <v>999999</v>
      </c>
    </row>
    <row r="473" spans="1:10">
      <c r="A473" s="1" t="s">
        <v>280</v>
      </c>
      <c r="B473" s="1" t="s">
        <v>178</v>
      </c>
      <c r="C473" s="38">
        <v>999999</v>
      </c>
      <c r="D473" s="38">
        <v>999999</v>
      </c>
      <c r="E473" s="38">
        <v>999999</v>
      </c>
      <c r="F473" s="38">
        <v>999999</v>
      </c>
      <c r="G473" s="38">
        <v>999999</v>
      </c>
      <c r="H473" s="38">
        <v>999999</v>
      </c>
      <c r="I473" s="38">
        <v>999999</v>
      </c>
      <c r="J473" s="38">
        <v>999999</v>
      </c>
    </row>
    <row r="474" spans="1:10">
      <c r="A474" s="1" t="s">
        <v>281</v>
      </c>
      <c r="B474" s="1" t="s">
        <v>178</v>
      </c>
      <c r="C474" s="38">
        <v>999999</v>
      </c>
      <c r="D474" s="38">
        <v>999999</v>
      </c>
      <c r="E474" s="38">
        <v>999999</v>
      </c>
      <c r="F474" s="38">
        <v>999999</v>
      </c>
      <c r="G474" s="38">
        <v>999999</v>
      </c>
      <c r="H474" s="38">
        <v>999999</v>
      </c>
      <c r="I474" s="38">
        <v>999999</v>
      </c>
      <c r="J474" s="38">
        <v>999999</v>
      </c>
    </row>
    <row r="475" spans="1:10">
      <c r="A475" s="1" t="s">
        <v>282</v>
      </c>
      <c r="B475" s="1" t="s">
        <v>178</v>
      </c>
      <c r="C475" s="38">
        <v>999999</v>
      </c>
      <c r="D475" s="38">
        <v>999999</v>
      </c>
      <c r="E475" s="38">
        <v>999999</v>
      </c>
      <c r="F475" s="38">
        <v>999999</v>
      </c>
      <c r="G475" s="38">
        <v>999999</v>
      </c>
      <c r="H475" s="38">
        <v>999999</v>
      </c>
      <c r="I475" s="38">
        <v>999999</v>
      </c>
      <c r="J475" s="38">
        <v>999999</v>
      </c>
    </row>
    <row r="476" spans="1:10">
      <c r="A476" s="1" t="s">
        <v>283</v>
      </c>
      <c r="B476" s="1" t="s">
        <v>178</v>
      </c>
      <c r="C476" s="38">
        <v>999999</v>
      </c>
      <c r="D476" s="38">
        <v>999999</v>
      </c>
      <c r="E476" s="38">
        <v>999999</v>
      </c>
      <c r="F476" s="38">
        <v>999999</v>
      </c>
      <c r="G476" s="38">
        <v>999999</v>
      </c>
      <c r="H476" s="38">
        <v>999999</v>
      </c>
      <c r="I476" s="38">
        <v>999999</v>
      </c>
      <c r="J476" s="38">
        <v>999999</v>
      </c>
    </row>
    <row r="477" spans="1:10">
      <c r="A477" s="1" t="s">
        <v>284</v>
      </c>
      <c r="B477" s="1" t="s">
        <v>178</v>
      </c>
      <c r="C477" s="38">
        <v>999999</v>
      </c>
      <c r="D477" s="38">
        <v>999999</v>
      </c>
      <c r="E477" s="38">
        <v>999999</v>
      </c>
      <c r="F477" s="38">
        <v>999999</v>
      </c>
      <c r="G477" s="38">
        <v>999999</v>
      </c>
      <c r="H477" s="38">
        <v>999999</v>
      </c>
      <c r="I477" s="38">
        <v>999999</v>
      </c>
      <c r="J477" s="38">
        <v>999999</v>
      </c>
    </row>
    <row r="478" spans="1:10">
      <c r="A478" s="1" t="s">
        <v>285</v>
      </c>
      <c r="B478" s="1" t="s">
        <v>178</v>
      </c>
      <c r="C478" s="38">
        <v>999999</v>
      </c>
      <c r="D478" s="38">
        <v>999999</v>
      </c>
      <c r="E478" s="38">
        <v>999999</v>
      </c>
      <c r="F478" s="38">
        <v>999999</v>
      </c>
      <c r="G478" s="38">
        <v>999999</v>
      </c>
      <c r="H478" s="38">
        <v>999999</v>
      </c>
      <c r="I478" s="38">
        <v>999999</v>
      </c>
      <c r="J478" s="38">
        <v>999999</v>
      </c>
    </row>
    <row r="479" spans="1:10">
      <c r="A479" s="1" t="s">
        <v>286</v>
      </c>
      <c r="B479" s="1" t="s">
        <v>178</v>
      </c>
      <c r="C479" s="38">
        <v>999999</v>
      </c>
      <c r="D479" s="38">
        <v>999999</v>
      </c>
      <c r="E479" s="38">
        <v>999999</v>
      </c>
      <c r="F479" s="38">
        <v>999999</v>
      </c>
      <c r="G479" s="38">
        <v>999999</v>
      </c>
      <c r="H479" s="38">
        <v>999999</v>
      </c>
      <c r="I479" s="38">
        <v>999999</v>
      </c>
      <c r="J479" s="38">
        <v>999999</v>
      </c>
    </row>
    <row r="480" spans="1:10">
      <c r="A480" s="1" t="s">
        <v>287</v>
      </c>
      <c r="B480" s="1" t="s">
        <v>178</v>
      </c>
      <c r="C480" s="38">
        <v>999999</v>
      </c>
      <c r="D480" s="38">
        <v>999999</v>
      </c>
      <c r="E480" s="38">
        <v>999999</v>
      </c>
      <c r="F480" s="38">
        <v>999999</v>
      </c>
      <c r="G480" s="38">
        <v>999999</v>
      </c>
      <c r="H480" s="38">
        <v>999999</v>
      </c>
      <c r="I480" s="38">
        <v>999999</v>
      </c>
      <c r="J480" s="38">
        <v>999999</v>
      </c>
    </row>
    <row r="481" spans="1:10">
      <c r="A481" s="1" t="s">
        <v>288</v>
      </c>
      <c r="B481" s="1" t="s">
        <v>178</v>
      </c>
      <c r="C481" s="38">
        <v>999999</v>
      </c>
      <c r="D481" s="38">
        <v>999999</v>
      </c>
      <c r="E481" s="38">
        <v>999999</v>
      </c>
      <c r="F481" s="38">
        <v>999999</v>
      </c>
      <c r="G481" s="38">
        <v>999999</v>
      </c>
      <c r="H481" s="38">
        <v>999999</v>
      </c>
      <c r="I481" s="38">
        <v>999999</v>
      </c>
      <c r="J481" s="38">
        <v>999999</v>
      </c>
    </row>
    <row r="482" spans="1:10">
      <c r="A482" s="1" t="s">
        <v>289</v>
      </c>
      <c r="B482" s="1" t="s">
        <v>178</v>
      </c>
      <c r="C482" s="38">
        <v>999999</v>
      </c>
      <c r="D482" s="38">
        <v>999999</v>
      </c>
      <c r="E482" s="38">
        <v>999999</v>
      </c>
      <c r="F482" s="38">
        <v>999999</v>
      </c>
      <c r="G482" s="38">
        <v>999999</v>
      </c>
      <c r="H482" s="38">
        <v>999999</v>
      </c>
      <c r="I482" s="38">
        <v>999999</v>
      </c>
      <c r="J482" s="38">
        <v>999999</v>
      </c>
    </row>
    <row r="483" spans="1:10">
      <c r="A483" s="1" t="s">
        <v>290</v>
      </c>
      <c r="B483" s="1" t="s">
        <v>178</v>
      </c>
      <c r="C483" s="38">
        <v>999999</v>
      </c>
      <c r="D483" s="38">
        <v>999999</v>
      </c>
      <c r="E483" s="38">
        <v>999999</v>
      </c>
      <c r="F483" s="38">
        <v>999999</v>
      </c>
      <c r="G483" s="38">
        <v>999999</v>
      </c>
      <c r="H483" s="38">
        <v>999999</v>
      </c>
      <c r="I483" s="38">
        <v>999999</v>
      </c>
      <c r="J483" s="38">
        <v>999999</v>
      </c>
    </row>
    <row r="484" spans="1:10">
      <c r="A484" s="1" t="s">
        <v>291</v>
      </c>
      <c r="B484" s="1" t="s">
        <v>178</v>
      </c>
      <c r="C484" s="38">
        <v>999999</v>
      </c>
      <c r="D484" s="38">
        <v>999999</v>
      </c>
      <c r="E484" s="38">
        <v>999999</v>
      </c>
      <c r="F484" s="38">
        <v>999999</v>
      </c>
      <c r="G484" s="38">
        <v>999999</v>
      </c>
      <c r="H484" s="38">
        <v>999999</v>
      </c>
      <c r="I484" s="38">
        <v>999999</v>
      </c>
      <c r="J484" s="38">
        <v>999999</v>
      </c>
    </row>
    <row r="485" spans="1:10">
      <c r="A485" s="1" t="s">
        <v>292</v>
      </c>
      <c r="B485" s="1" t="s">
        <v>178</v>
      </c>
      <c r="C485" s="38">
        <v>999999</v>
      </c>
      <c r="D485" s="38">
        <v>999999</v>
      </c>
      <c r="E485" s="38">
        <v>999999</v>
      </c>
      <c r="F485" s="38">
        <v>999999</v>
      </c>
      <c r="G485" s="38">
        <v>999999</v>
      </c>
      <c r="H485" s="38">
        <v>999999</v>
      </c>
      <c r="I485" s="38">
        <v>999999</v>
      </c>
      <c r="J485" s="38">
        <v>999999</v>
      </c>
    </row>
    <row r="486" spans="1:10">
      <c r="A486" s="1" t="s">
        <v>293</v>
      </c>
      <c r="B486" s="1" t="s">
        <v>178</v>
      </c>
      <c r="C486" s="38">
        <v>999999</v>
      </c>
      <c r="D486" s="38">
        <v>999999</v>
      </c>
      <c r="E486" s="38">
        <v>999999</v>
      </c>
      <c r="F486" s="38">
        <v>999999</v>
      </c>
      <c r="G486" s="38">
        <v>999999</v>
      </c>
      <c r="H486" s="38">
        <v>999999</v>
      </c>
      <c r="I486" s="38">
        <v>999999</v>
      </c>
      <c r="J486" s="38">
        <v>999999</v>
      </c>
    </row>
    <row r="487" spans="1:10">
      <c r="A487" s="1" t="s">
        <v>294</v>
      </c>
      <c r="B487" s="1" t="s">
        <v>178</v>
      </c>
      <c r="C487" s="38">
        <v>999999</v>
      </c>
      <c r="D487" s="38">
        <v>999999</v>
      </c>
      <c r="E487" s="38">
        <v>999999</v>
      </c>
      <c r="F487" s="38">
        <v>999999</v>
      </c>
      <c r="G487" s="38">
        <v>999999</v>
      </c>
      <c r="H487" s="38">
        <v>999999</v>
      </c>
      <c r="I487" s="38">
        <v>999999</v>
      </c>
      <c r="J487" s="38">
        <v>999999</v>
      </c>
    </row>
    <row r="488" spans="1:10">
      <c r="A488" s="1" t="s">
        <v>295</v>
      </c>
      <c r="B488" s="1" t="s">
        <v>178</v>
      </c>
      <c r="C488" s="38">
        <v>999999</v>
      </c>
      <c r="D488" s="38">
        <v>999999</v>
      </c>
      <c r="E488" s="38">
        <v>999999</v>
      </c>
      <c r="F488" s="38">
        <v>999999</v>
      </c>
      <c r="G488" s="38">
        <v>999999</v>
      </c>
      <c r="H488" s="38">
        <v>999999</v>
      </c>
      <c r="I488" s="38">
        <v>999999</v>
      </c>
      <c r="J488" s="38">
        <v>999999</v>
      </c>
    </row>
    <row r="489" spans="1:10">
      <c r="A489" s="1" t="s">
        <v>296</v>
      </c>
      <c r="B489" s="1" t="s">
        <v>178</v>
      </c>
      <c r="C489" s="38">
        <v>999999</v>
      </c>
      <c r="D489" s="38">
        <v>999999</v>
      </c>
      <c r="E489" s="38">
        <v>999999</v>
      </c>
      <c r="F489" s="38">
        <v>999999</v>
      </c>
      <c r="G489" s="38">
        <v>999999</v>
      </c>
      <c r="H489" s="38">
        <v>999999</v>
      </c>
      <c r="I489" s="38">
        <v>999999</v>
      </c>
      <c r="J489" s="38">
        <v>999999</v>
      </c>
    </row>
    <row r="490" spans="1:10">
      <c r="A490" s="1" t="s">
        <v>297</v>
      </c>
      <c r="B490" s="1" t="s">
        <v>178</v>
      </c>
      <c r="C490" s="38">
        <v>999999</v>
      </c>
      <c r="D490" s="38">
        <v>999999</v>
      </c>
      <c r="E490" s="38">
        <v>999999</v>
      </c>
      <c r="F490" s="38">
        <v>999999</v>
      </c>
      <c r="G490" s="38">
        <v>999999</v>
      </c>
      <c r="H490" s="38">
        <v>999999</v>
      </c>
      <c r="I490" s="38">
        <v>999999</v>
      </c>
      <c r="J490" s="38">
        <v>999999</v>
      </c>
    </row>
    <row r="491" spans="1:10">
      <c r="A491" s="1" t="s">
        <v>298</v>
      </c>
      <c r="B491" s="1" t="s">
        <v>178</v>
      </c>
      <c r="C491" s="38">
        <v>999999</v>
      </c>
      <c r="D491" s="38">
        <v>999999</v>
      </c>
      <c r="E491" s="38">
        <v>999999</v>
      </c>
      <c r="F491" s="38">
        <v>999999</v>
      </c>
      <c r="G491" s="38">
        <v>999999</v>
      </c>
      <c r="H491" s="38">
        <v>999999</v>
      </c>
      <c r="I491" s="38">
        <v>999999</v>
      </c>
      <c r="J491" s="38">
        <v>999999</v>
      </c>
    </row>
    <row r="492" spans="1:10">
      <c r="A492" s="1" t="s">
        <v>299</v>
      </c>
      <c r="B492" s="1" t="s">
        <v>178</v>
      </c>
      <c r="C492" s="38">
        <v>999999</v>
      </c>
      <c r="D492" s="38">
        <v>999999</v>
      </c>
      <c r="E492" s="38">
        <v>999999</v>
      </c>
      <c r="F492" s="38">
        <v>999999</v>
      </c>
      <c r="G492" s="38">
        <v>999999</v>
      </c>
      <c r="H492" s="38">
        <v>999999</v>
      </c>
      <c r="I492" s="38">
        <v>999999</v>
      </c>
      <c r="J492" s="38">
        <v>999999</v>
      </c>
    </row>
    <row r="493" spans="1:10">
      <c r="A493" s="1" t="s">
        <v>300</v>
      </c>
      <c r="B493" s="1" t="s">
        <v>178</v>
      </c>
      <c r="C493" s="38">
        <v>999999</v>
      </c>
      <c r="D493" s="38">
        <v>999999</v>
      </c>
      <c r="E493" s="38">
        <v>999999</v>
      </c>
      <c r="F493" s="38">
        <v>999999</v>
      </c>
      <c r="G493" s="38">
        <v>999999</v>
      </c>
      <c r="H493" s="38">
        <v>999999</v>
      </c>
      <c r="I493" s="38">
        <v>999999</v>
      </c>
      <c r="J493" s="38">
        <v>999999</v>
      </c>
    </row>
    <row r="494" spans="1:10">
      <c r="A494" s="1" t="s">
        <v>301</v>
      </c>
      <c r="B494" s="1" t="s">
        <v>178</v>
      </c>
      <c r="C494" s="38">
        <v>999999</v>
      </c>
      <c r="D494" s="38">
        <v>999999</v>
      </c>
      <c r="E494" s="38">
        <v>999999</v>
      </c>
      <c r="F494" s="38">
        <v>999999</v>
      </c>
      <c r="G494" s="38">
        <v>999999</v>
      </c>
      <c r="H494" s="38">
        <v>999999</v>
      </c>
      <c r="I494" s="38">
        <v>999999</v>
      </c>
      <c r="J494" s="38">
        <v>999999</v>
      </c>
    </row>
    <row r="495" spans="1:10">
      <c r="A495" s="1" t="s">
        <v>302</v>
      </c>
      <c r="B495" s="1" t="s">
        <v>178</v>
      </c>
      <c r="C495" s="38">
        <v>999999</v>
      </c>
      <c r="D495" s="38">
        <v>999999</v>
      </c>
      <c r="E495" s="38">
        <v>999999</v>
      </c>
      <c r="F495" s="38">
        <v>999999</v>
      </c>
      <c r="G495" s="38">
        <v>999999</v>
      </c>
      <c r="H495" s="38">
        <v>999999</v>
      </c>
      <c r="I495" s="38">
        <v>999999</v>
      </c>
      <c r="J495" s="38">
        <v>999999</v>
      </c>
    </row>
    <row r="496" spans="1:10">
      <c r="A496" s="1" t="s">
        <v>303</v>
      </c>
      <c r="B496" s="1" t="s">
        <v>178</v>
      </c>
      <c r="C496" s="38">
        <v>999999</v>
      </c>
      <c r="D496" s="38">
        <v>999999</v>
      </c>
      <c r="E496" s="38">
        <v>999999</v>
      </c>
      <c r="F496" s="38">
        <v>999999</v>
      </c>
      <c r="G496" s="38">
        <v>999999</v>
      </c>
      <c r="H496" s="38">
        <v>999999</v>
      </c>
      <c r="I496" s="38">
        <v>999999</v>
      </c>
      <c r="J496" s="38">
        <v>999999</v>
      </c>
    </row>
    <row r="497" spans="1:10">
      <c r="A497" s="1" t="s">
        <v>304</v>
      </c>
      <c r="B497" s="1" t="s">
        <v>178</v>
      </c>
      <c r="C497" s="38">
        <v>999999</v>
      </c>
      <c r="D497" s="38">
        <v>999999</v>
      </c>
      <c r="E497" s="38">
        <v>999999</v>
      </c>
      <c r="F497" s="38">
        <v>999999</v>
      </c>
      <c r="G497" s="38">
        <v>999999</v>
      </c>
      <c r="H497" s="38">
        <v>999999</v>
      </c>
      <c r="I497" s="38">
        <v>999999</v>
      </c>
      <c r="J497" s="38">
        <v>999999</v>
      </c>
    </row>
    <row r="498" spans="1:10">
      <c r="A498" s="1" t="s">
        <v>305</v>
      </c>
      <c r="B498" s="1" t="s">
        <v>178</v>
      </c>
      <c r="C498" s="38">
        <v>999999</v>
      </c>
      <c r="D498" s="38">
        <v>999999</v>
      </c>
      <c r="E498" s="38">
        <v>999999</v>
      </c>
      <c r="F498" s="38">
        <v>999999</v>
      </c>
      <c r="G498" s="38">
        <v>999999</v>
      </c>
      <c r="H498" s="38">
        <v>999999</v>
      </c>
      <c r="I498" s="38">
        <v>999999</v>
      </c>
      <c r="J498" s="38">
        <v>999999</v>
      </c>
    </row>
    <row r="499" spans="1:10">
      <c r="A499" s="1" t="s">
        <v>306</v>
      </c>
      <c r="B499" s="1" t="s">
        <v>178</v>
      </c>
      <c r="C499" s="38">
        <v>999999</v>
      </c>
      <c r="D499" s="38">
        <v>999999</v>
      </c>
      <c r="E499" s="38">
        <v>999999</v>
      </c>
      <c r="F499" s="38">
        <v>999999</v>
      </c>
      <c r="G499" s="38">
        <v>999999</v>
      </c>
      <c r="H499" s="38">
        <v>999999</v>
      </c>
      <c r="I499" s="38">
        <v>999999</v>
      </c>
      <c r="J499" s="38">
        <v>999999</v>
      </c>
    </row>
    <row r="500" spans="1:10">
      <c r="A500" s="1" t="s">
        <v>307</v>
      </c>
      <c r="B500" s="1" t="s">
        <v>178</v>
      </c>
      <c r="C500" s="38">
        <v>999999</v>
      </c>
      <c r="D500" s="38">
        <v>999999</v>
      </c>
      <c r="E500" s="38">
        <v>999999</v>
      </c>
      <c r="F500" s="38">
        <v>999999</v>
      </c>
      <c r="G500" s="38">
        <v>999999</v>
      </c>
      <c r="H500" s="38">
        <v>999999</v>
      </c>
      <c r="I500" s="38">
        <v>999999</v>
      </c>
      <c r="J500" s="38">
        <v>999999</v>
      </c>
    </row>
    <row r="501" spans="1:10">
      <c r="A501" s="1" t="s">
        <v>308</v>
      </c>
      <c r="B501" s="1" t="s">
        <v>178</v>
      </c>
      <c r="C501" s="38">
        <v>999999</v>
      </c>
      <c r="D501" s="38">
        <v>999999</v>
      </c>
      <c r="E501" s="38">
        <v>999999</v>
      </c>
      <c r="F501" s="38">
        <v>999999</v>
      </c>
      <c r="G501" s="38">
        <v>999999</v>
      </c>
      <c r="H501" s="38">
        <v>999999</v>
      </c>
      <c r="I501" s="38">
        <v>999999</v>
      </c>
      <c r="J501" s="38">
        <v>999999</v>
      </c>
    </row>
    <row r="502" spans="1:10">
      <c r="A502" s="1" t="s">
        <v>309</v>
      </c>
      <c r="B502" s="1" t="s">
        <v>178</v>
      </c>
      <c r="C502" s="38">
        <v>999999</v>
      </c>
      <c r="D502" s="38">
        <v>999999</v>
      </c>
      <c r="E502" s="38">
        <v>999999</v>
      </c>
      <c r="F502" s="38">
        <v>999999</v>
      </c>
      <c r="G502" s="38">
        <v>999999</v>
      </c>
      <c r="H502" s="38">
        <v>999999</v>
      </c>
      <c r="I502" s="38">
        <v>999999</v>
      </c>
      <c r="J502" s="38">
        <v>999999</v>
      </c>
    </row>
    <row r="503" spans="1:10">
      <c r="A503" s="1" t="s">
        <v>310</v>
      </c>
      <c r="B503" s="1" t="s">
        <v>178</v>
      </c>
      <c r="C503" s="38">
        <v>999999</v>
      </c>
      <c r="D503" s="38">
        <v>999999</v>
      </c>
      <c r="E503" s="38">
        <v>999999</v>
      </c>
      <c r="F503" s="38">
        <v>999999</v>
      </c>
      <c r="G503" s="38">
        <v>999999</v>
      </c>
      <c r="H503" s="38">
        <v>999999</v>
      </c>
      <c r="I503" s="38">
        <v>999999</v>
      </c>
      <c r="J503" s="38">
        <v>999999</v>
      </c>
    </row>
    <row r="504" spans="1:10">
      <c r="A504" s="1" t="s">
        <v>311</v>
      </c>
      <c r="B504" s="1" t="s">
        <v>178</v>
      </c>
      <c r="C504" s="38">
        <v>999999</v>
      </c>
      <c r="D504" s="38">
        <v>999999</v>
      </c>
      <c r="E504" s="38">
        <v>999999</v>
      </c>
      <c r="F504" s="38">
        <v>999999</v>
      </c>
      <c r="G504" s="38">
        <v>999999</v>
      </c>
      <c r="H504" s="38">
        <v>999999</v>
      </c>
      <c r="I504" s="38">
        <v>999999</v>
      </c>
      <c r="J504" s="38">
        <v>999999</v>
      </c>
    </row>
    <row r="505" spans="1:10">
      <c r="A505" s="1" t="s">
        <v>312</v>
      </c>
      <c r="B505" s="1" t="s">
        <v>178</v>
      </c>
      <c r="C505" s="38">
        <v>999999</v>
      </c>
      <c r="D505" s="38">
        <v>999999</v>
      </c>
      <c r="E505" s="38">
        <v>999999</v>
      </c>
      <c r="F505" s="38">
        <v>999999</v>
      </c>
      <c r="G505" s="38">
        <v>999999</v>
      </c>
      <c r="H505" s="38">
        <v>999999</v>
      </c>
      <c r="I505" s="38">
        <v>999999</v>
      </c>
      <c r="J505" s="38">
        <v>999999</v>
      </c>
    </row>
    <row r="506" spans="1:10">
      <c r="A506" s="1" t="s">
        <v>277</v>
      </c>
      <c r="B506" s="1" t="s">
        <v>234</v>
      </c>
      <c r="C506" s="38">
        <v>999999</v>
      </c>
      <c r="D506" s="38">
        <v>999999</v>
      </c>
      <c r="E506" s="38">
        <v>999999</v>
      </c>
      <c r="F506" s="38">
        <v>999999</v>
      </c>
      <c r="G506" s="38">
        <v>999999</v>
      </c>
      <c r="H506" s="38">
        <v>999999</v>
      </c>
      <c r="I506" s="38">
        <v>999999</v>
      </c>
      <c r="J506" s="38">
        <v>999999</v>
      </c>
    </row>
    <row r="507" spans="1:10">
      <c r="A507" s="1" t="s">
        <v>278</v>
      </c>
      <c r="B507" s="1" t="s">
        <v>234</v>
      </c>
      <c r="C507" s="38">
        <v>999999</v>
      </c>
      <c r="D507" s="38">
        <v>999999</v>
      </c>
      <c r="E507" s="38">
        <v>999999</v>
      </c>
      <c r="F507" s="38">
        <v>999999</v>
      </c>
      <c r="G507" s="38">
        <v>999999</v>
      </c>
      <c r="H507" s="38">
        <v>999999</v>
      </c>
      <c r="I507" s="38">
        <v>999999</v>
      </c>
      <c r="J507" s="38">
        <v>999999</v>
      </c>
    </row>
    <row r="508" spans="1:10">
      <c r="A508" s="1" t="s">
        <v>279</v>
      </c>
      <c r="B508" s="1" t="s">
        <v>234</v>
      </c>
      <c r="C508" s="38">
        <v>999999</v>
      </c>
      <c r="D508" s="38">
        <v>999999</v>
      </c>
      <c r="E508" s="38">
        <v>999999</v>
      </c>
      <c r="F508" s="38">
        <v>999999</v>
      </c>
      <c r="G508" s="38">
        <v>999999</v>
      </c>
      <c r="H508" s="38">
        <v>999999</v>
      </c>
      <c r="I508" s="38">
        <v>999999</v>
      </c>
      <c r="J508" s="38">
        <v>999999</v>
      </c>
    </row>
    <row r="509" spans="1:10">
      <c r="A509" s="1" t="s">
        <v>280</v>
      </c>
      <c r="B509" s="1" t="s">
        <v>234</v>
      </c>
      <c r="C509" s="38">
        <v>999999</v>
      </c>
      <c r="D509" s="38">
        <v>999999</v>
      </c>
      <c r="E509" s="38">
        <v>999999</v>
      </c>
      <c r="F509" s="38">
        <v>999999</v>
      </c>
      <c r="G509" s="38">
        <v>999999</v>
      </c>
      <c r="H509" s="38">
        <v>999999</v>
      </c>
      <c r="I509" s="38">
        <v>999999</v>
      </c>
      <c r="J509" s="38">
        <v>999999</v>
      </c>
    </row>
    <row r="510" spans="1:10">
      <c r="A510" s="1" t="s">
        <v>281</v>
      </c>
      <c r="B510" s="1" t="s">
        <v>234</v>
      </c>
      <c r="C510" s="38">
        <v>999999</v>
      </c>
      <c r="D510" s="38">
        <v>999999</v>
      </c>
      <c r="E510" s="38">
        <v>999999</v>
      </c>
      <c r="F510" s="38">
        <v>999999</v>
      </c>
      <c r="G510" s="38">
        <v>999999</v>
      </c>
      <c r="H510" s="38">
        <v>999999</v>
      </c>
      <c r="I510" s="38">
        <v>999999</v>
      </c>
      <c r="J510" s="38">
        <v>999999</v>
      </c>
    </row>
    <row r="511" spans="1:10">
      <c r="A511" s="1" t="s">
        <v>282</v>
      </c>
      <c r="B511" s="1" t="s">
        <v>234</v>
      </c>
      <c r="C511" s="38">
        <v>999999</v>
      </c>
      <c r="D511" s="38">
        <v>999999</v>
      </c>
      <c r="E511" s="38">
        <v>999999</v>
      </c>
      <c r="F511" s="38">
        <v>999999</v>
      </c>
      <c r="G511" s="38">
        <v>999999</v>
      </c>
      <c r="H511" s="38">
        <v>999999</v>
      </c>
      <c r="I511" s="38">
        <v>999999</v>
      </c>
      <c r="J511" s="38">
        <v>999999</v>
      </c>
    </row>
    <row r="512" spans="1:10">
      <c r="A512" s="1" t="s">
        <v>283</v>
      </c>
      <c r="B512" s="1" t="s">
        <v>234</v>
      </c>
      <c r="C512" s="38">
        <v>999999</v>
      </c>
      <c r="D512" s="38">
        <v>999999</v>
      </c>
      <c r="E512" s="38">
        <v>999999</v>
      </c>
      <c r="F512" s="38">
        <v>999999</v>
      </c>
      <c r="G512" s="38">
        <v>999999</v>
      </c>
      <c r="H512" s="38">
        <v>999999</v>
      </c>
      <c r="I512" s="38">
        <v>999999</v>
      </c>
      <c r="J512" s="38">
        <v>999999</v>
      </c>
    </row>
    <row r="513" spans="1:10">
      <c r="A513" s="1" t="s">
        <v>284</v>
      </c>
      <c r="B513" s="1" t="s">
        <v>234</v>
      </c>
      <c r="C513" s="38">
        <v>999999</v>
      </c>
      <c r="D513" s="38">
        <v>999999</v>
      </c>
      <c r="E513" s="38">
        <v>999999</v>
      </c>
      <c r="F513" s="38">
        <v>999999</v>
      </c>
      <c r="G513" s="38">
        <v>999999</v>
      </c>
      <c r="H513" s="38">
        <v>999999</v>
      </c>
      <c r="I513" s="38">
        <v>999999</v>
      </c>
      <c r="J513" s="38">
        <v>999999</v>
      </c>
    </row>
    <row r="514" spans="1:10">
      <c r="A514" s="1" t="s">
        <v>285</v>
      </c>
      <c r="B514" s="1" t="s">
        <v>234</v>
      </c>
      <c r="C514" s="38">
        <v>999999</v>
      </c>
      <c r="D514" s="38">
        <v>999999</v>
      </c>
      <c r="E514" s="38">
        <v>999999</v>
      </c>
      <c r="F514" s="38">
        <v>999999</v>
      </c>
      <c r="G514" s="38">
        <v>999999</v>
      </c>
      <c r="H514" s="38">
        <v>999999</v>
      </c>
      <c r="I514" s="38">
        <v>999999</v>
      </c>
      <c r="J514" s="38">
        <v>999999</v>
      </c>
    </row>
    <row r="515" spans="1:10">
      <c r="A515" s="1" t="s">
        <v>286</v>
      </c>
      <c r="B515" s="1" t="s">
        <v>234</v>
      </c>
      <c r="C515" s="38">
        <v>999999</v>
      </c>
      <c r="D515" s="38">
        <v>999999</v>
      </c>
      <c r="E515" s="38">
        <v>999999</v>
      </c>
      <c r="F515" s="38">
        <v>999999</v>
      </c>
      <c r="G515" s="38">
        <v>999999</v>
      </c>
      <c r="H515" s="38">
        <v>999999</v>
      </c>
      <c r="I515" s="38">
        <v>999999</v>
      </c>
      <c r="J515" s="38">
        <v>999999</v>
      </c>
    </row>
    <row r="516" spans="1:10">
      <c r="A516" s="1" t="s">
        <v>287</v>
      </c>
      <c r="B516" s="1" t="s">
        <v>234</v>
      </c>
      <c r="C516" s="38">
        <v>999999</v>
      </c>
      <c r="D516" s="38">
        <v>999999</v>
      </c>
      <c r="E516" s="38">
        <v>999999</v>
      </c>
      <c r="F516" s="38">
        <v>999999</v>
      </c>
      <c r="G516" s="38">
        <v>999999</v>
      </c>
      <c r="H516" s="38">
        <v>999999</v>
      </c>
      <c r="I516" s="38">
        <v>999999</v>
      </c>
      <c r="J516" s="38">
        <v>999999</v>
      </c>
    </row>
    <row r="517" spans="1:10">
      <c r="A517" s="1" t="s">
        <v>288</v>
      </c>
      <c r="B517" s="1" t="s">
        <v>234</v>
      </c>
      <c r="C517" s="38">
        <v>999999</v>
      </c>
      <c r="D517" s="38">
        <v>999999</v>
      </c>
      <c r="E517" s="38">
        <v>999999</v>
      </c>
      <c r="F517" s="38">
        <v>999999</v>
      </c>
      <c r="G517" s="38">
        <v>999999</v>
      </c>
      <c r="H517" s="38">
        <v>999999</v>
      </c>
      <c r="I517" s="38">
        <v>999999</v>
      </c>
      <c r="J517" s="38">
        <v>999999</v>
      </c>
    </row>
    <row r="518" spans="1:10">
      <c r="A518" s="1" t="s">
        <v>289</v>
      </c>
      <c r="B518" s="1" t="s">
        <v>234</v>
      </c>
      <c r="C518" s="38">
        <v>999999</v>
      </c>
      <c r="D518" s="38">
        <v>999999</v>
      </c>
      <c r="E518" s="38">
        <v>999999</v>
      </c>
      <c r="F518" s="38">
        <v>999999</v>
      </c>
      <c r="G518" s="38">
        <v>999999</v>
      </c>
      <c r="H518" s="38">
        <v>999999</v>
      </c>
      <c r="I518" s="38">
        <v>999999</v>
      </c>
      <c r="J518" s="38">
        <v>999999</v>
      </c>
    </row>
    <row r="519" spans="1:10">
      <c r="A519" s="1" t="s">
        <v>290</v>
      </c>
      <c r="B519" s="1" t="s">
        <v>234</v>
      </c>
      <c r="C519" s="38">
        <v>999999</v>
      </c>
      <c r="D519" s="38">
        <v>999999</v>
      </c>
      <c r="E519" s="38">
        <v>999999</v>
      </c>
      <c r="F519" s="38">
        <v>999999</v>
      </c>
      <c r="G519" s="38">
        <v>999999</v>
      </c>
      <c r="H519" s="38">
        <v>999999</v>
      </c>
      <c r="I519" s="38">
        <v>999999</v>
      </c>
      <c r="J519" s="38">
        <v>999999</v>
      </c>
    </row>
    <row r="520" spans="1:10">
      <c r="A520" s="1" t="s">
        <v>291</v>
      </c>
      <c r="B520" s="1" t="s">
        <v>234</v>
      </c>
      <c r="C520" s="38">
        <v>999999</v>
      </c>
      <c r="D520" s="38">
        <v>999999</v>
      </c>
      <c r="E520" s="38">
        <v>999999</v>
      </c>
      <c r="F520" s="38">
        <v>999999</v>
      </c>
      <c r="G520" s="38">
        <v>999999</v>
      </c>
      <c r="H520" s="38">
        <v>999999</v>
      </c>
      <c r="I520" s="38">
        <v>999999</v>
      </c>
      <c r="J520" s="38">
        <v>999999</v>
      </c>
    </row>
    <row r="521" spans="1:10">
      <c r="A521" s="1" t="s">
        <v>292</v>
      </c>
      <c r="B521" s="1" t="s">
        <v>234</v>
      </c>
      <c r="C521" s="38">
        <v>999999</v>
      </c>
      <c r="D521" s="38">
        <v>999999</v>
      </c>
      <c r="E521" s="38">
        <v>999999</v>
      </c>
      <c r="F521" s="38">
        <v>999999</v>
      </c>
      <c r="G521" s="38">
        <v>999999</v>
      </c>
      <c r="H521" s="38">
        <v>999999</v>
      </c>
      <c r="I521" s="38">
        <v>999999</v>
      </c>
      <c r="J521" s="38">
        <v>999999</v>
      </c>
    </row>
    <row r="522" spans="1:10">
      <c r="A522" s="1" t="s">
        <v>293</v>
      </c>
      <c r="B522" s="1" t="s">
        <v>234</v>
      </c>
      <c r="C522" s="38">
        <v>999999</v>
      </c>
      <c r="D522" s="38">
        <v>999999</v>
      </c>
      <c r="E522" s="38">
        <v>999999</v>
      </c>
      <c r="F522" s="38">
        <v>999999</v>
      </c>
      <c r="G522" s="38">
        <v>999999</v>
      </c>
      <c r="H522" s="38">
        <v>999999</v>
      </c>
      <c r="I522" s="38">
        <v>999999</v>
      </c>
      <c r="J522" s="38">
        <v>999999</v>
      </c>
    </row>
    <row r="523" spans="1:10">
      <c r="A523" s="1" t="s">
        <v>294</v>
      </c>
      <c r="B523" s="1" t="s">
        <v>234</v>
      </c>
      <c r="C523" s="38">
        <v>999999</v>
      </c>
      <c r="D523" s="38">
        <v>999999</v>
      </c>
      <c r="E523" s="38">
        <v>999999</v>
      </c>
      <c r="F523" s="38">
        <v>999999</v>
      </c>
      <c r="G523" s="38">
        <v>999999</v>
      </c>
      <c r="H523" s="38">
        <v>999999</v>
      </c>
      <c r="I523" s="38">
        <v>999999</v>
      </c>
      <c r="J523" s="38">
        <v>999999</v>
      </c>
    </row>
    <row r="524" spans="1:10">
      <c r="A524" s="1" t="s">
        <v>295</v>
      </c>
      <c r="B524" s="1" t="s">
        <v>234</v>
      </c>
      <c r="C524" s="38">
        <v>999999</v>
      </c>
      <c r="D524" s="38">
        <v>999999</v>
      </c>
      <c r="E524" s="38">
        <v>999999</v>
      </c>
      <c r="F524" s="38">
        <v>999999</v>
      </c>
      <c r="G524" s="38">
        <v>999999</v>
      </c>
      <c r="H524" s="38">
        <v>999999</v>
      </c>
      <c r="I524" s="38">
        <v>999999</v>
      </c>
      <c r="J524" s="38">
        <v>999999</v>
      </c>
    </row>
    <row r="525" spans="1:10">
      <c r="A525" s="1" t="s">
        <v>296</v>
      </c>
      <c r="B525" s="1" t="s">
        <v>234</v>
      </c>
      <c r="C525" s="38">
        <v>999999</v>
      </c>
      <c r="D525" s="38">
        <v>999999</v>
      </c>
      <c r="E525" s="38">
        <v>999999</v>
      </c>
      <c r="F525" s="38">
        <v>999999</v>
      </c>
      <c r="G525" s="38">
        <v>999999</v>
      </c>
      <c r="H525" s="38">
        <v>999999</v>
      </c>
      <c r="I525" s="38">
        <v>999999</v>
      </c>
      <c r="J525" s="38">
        <v>999999</v>
      </c>
    </row>
    <row r="526" spans="1:10">
      <c r="A526" s="1" t="s">
        <v>297</v>
      </c>
      <c r="B526" s="1" t="s">
        <v>234</v>
      </c>
      <c r="C526" s="38">
        <v>999999</v>
      </c>
      <c r="D526" s="38">
        <v>999999</v>
      </c>
      <c r="E526" s="38">
        <v>999999</v>
      </c>
      <c r="F526" s="38">
        <v>999999</v>
      </c>
      <c r="G526" s="38">
        <v>999999</v>
      </c>
      <c r="H526" s="38">
        <v>999999</v>
      </c>
      <c r="I526" s="38">
        <v>999999</v>
      </c>
      <c r="J526" s="38">
        <v>999999</v>
      </c>
    </row>
    <row r="527" spans="1:10">
      <c r="A527" s="1" t="s">
        <v>298</v>
      </c>
      <c r="B527" s="1" t="s">
        <v>234</v>
      </c>
      <c r="C527" s="38">
        <v>999999</v>
      </c>
      <c r="D527" s="38">
        <v>999999</v>
      </c>
      <c r="E527" s="38">
        <v>999999</v>
      </c>
      <c r="F527" s="38">
        <v>999999</v>
      </c>
      <c r="G527" s="38">
        <v>999999</v>
      </c>
      <c r="H527" s="38">
        <v>999999</v>
      </c>
      <c r="I527" s="38">
        <v>999999</v>
      </c>
      <c r="J527" s="38">
        <v>999999</v>
      </c>
    </row>
    <row r="528" spans="1:10">
      <c r="A528" s="1" t="s">
        <v>299</v>
      </c>
      <c r="B528" s="1" t="s">
        <v>234</v>
      </c>
      <c r="C528" s="38">
        <v>999999</v>
      </c>
      <c r="D528" s="38">
        <v>999999</v>
      </c>
      <c r="E528" s="38">
        <v>999999</v>
      </c>
      <c r="F528" s="38">
        <v>999999</v>
      </c>
      <c r="G528" s="38">
        <v>999999</v>
      </c>
      <c r="H528" s="38">
        <v>999999</v>
      </c>
      <c r="I528" s="38">
        <v>999999</v>
      </c>
      <c r="J528" s="38">
        <v>999999</v>
      </c>
    </row>
    <row r="529" spans="1:10">
      <c r="A529" s="1" t="s">
        <v>300</v>
      </c>
      <c r="B529" s="1" t="s">
        <v>234</v>
      </c>
      <c r="C529" s="38">
        <v>999999</v>
      </c>
      <c r="D529" s="38">
        <v>999999</v>
      </c>
      <c r="E529" s="38">
        <v>999999</v>
      </c>
      <c r="F529" s="38">
        <v>999999</v>
      </c>
      <c r="G529" s="38">
        <v>999999</v>
      </c>
      <c r="H529" s="38">
        <v>999999</v>
      </c>
      <c r="I529" s="38">
        <v>999999</v>
      </c>
      <c r="J529" s="38">
        <v>999999</v>
      </c>
    </row>
    <row r="530" spans="1:10">
      <c r="A530" s="1" t="s">
        <v>301</v>
      </c>
      <c r="B530" s="1" t="s">
        <v>234</v>
      </c>
      <c r="C530" s="38">
        <v>999999</v>
      </c>
      <c r="D530" s="38">
        <v>999999</v>
      </c>
      <c r="E530" s="38">
        <v>999999</v>
      </c>
      <c r="F530" s="38">
        <v>999999</v>
      </c>
      <c r="G530" s="38">
        <v>999999</v>
      </c>
      <c r="H530" s="38">
        <v>999999</v>
      </c>
      <c r="I530" s="38">
        <v>999999</v>
      </c>
      <c r="J530" s="38">
        <v>999999</v>
      </c>
    </row>
    <row r="531" spans="1:10">
      <c r="A531" s="1" t="s">
        <v>302</v>
      </c>
      <c r="B531" s="1" t="s">
        <v>234</v>
      </c>
      <c r="C531" s="38">
        <v>999999</v>
      </c>
      <c r="D531" s="38">
        <v>999999</v>
      </c>
      <c r="E531" s="38">
        <v>999999</v>
      </c>
      <c r="F531" s="38">
        <v>999999</v>
      </c>
      <c r="G531" s="38">
        <v>999999</v>
      </c>
      <c r="H531" s="38">
        <v>999999</v>
      </c>
      <c r="I531" s="38">
        <v>999999</v>
      </c>
      <c r="J531" s="38">
        <v>999999</v>
      </c>
    </row>
    <row r="532" spans="1:10">
      <c r="A532" s="1" t="s">
        <v>303</v>
      </c>
      <c r="B532" s="1" t="s">
        <v>234</v>
      </c>
      <c r="C532" s="38">
        <v>999999</v>
      </c>
      <c r="D532" s="38">
        <v>999999</v>
      </c>
      <c r="E532" s="38">
        <v>999999</v>
      </c>
      <c r="F532" s="38">
        <v>999999</v>
      </c>
      <c r="G532" s="38">
        <v>999999</v>
      </c>
      <c r="H532" s="38">
        <v>999999</v>
      </c>
      <c r="I532" s="38">
        <v>999999</v>
      </c>
      <c r="J532" s="38">
        <v>999999</v>
      </c>
    </row>
    <row r="533" spans="1:10">
      <c r="A533" s="1" t="s">
        <v>304</v>
      </c>
      <c r="B533" s="1" t="s">
        <v>234</v>
      </c>
      <c r="C533" s="38">
        <v>999999</v>
      </c>
      <c r="D533" s="38">
        <v>999999</v>
      </c>
      <c r="E533" s="38">
        <v>999999</v>
      </c>
      <c r="F533" s="38">
        <v>999999</v>
      </c>
      <c r="G533" s="38">
        <v>999999</v>
      </c>
      <c r="H533" s="38">
        <v>999999</v>
      </c>
      <c r="I533" s="38">
        <v>999999</v>
      </c>
      <c r="J533" s="38">
        <v>999999</v>
      </c>
    </row>
    <row r="534" spans="1:10">
      <c r="A534" s="1" t="s">
        <v>305</v>
      </c>
      <c r="B534" s="1" t="s">
        <v>234</v>
      </c>
      <c r="C534" s="38">
        <v>999999</v>
      </c>
      <c r="D534" s="38">
        <v>999999</v>
      </c>
      <c r="E534" s="38">
        <v>999999</v>
      </c>
      <c r="F534" s="38">
        <v>999999</v>
      </c>
      <c r="G534" s="38">
        <v>999999</v>
      </c>
      <c r="H534" s="38">
        <v>999999</v>
      </c>
      <c r="I534" s="38">
        <v>999999</v>
      </c>
      <c r="J534" s="38">
        <v>999999</v>
      </c>
    </row>
    <row r="535" spans="1:10">
      <c r="A535" s="1" t="s">
        <v>306</v>
      </c>
      <c r="B535" s="1" t="s">
        <v>234</v>
      </c>
      <c r="C535" s="38">
        <v>999999</v>
      </c>
      <c r="D535" s="38">
        <v>999999</v>
      </c>
      <c r="E535" s="38">
        <v>999999</v>
      </c>
      <c r="F535" s="38">
        <v>999999</v>
      </c>
      <c r="G535" s="38">
        <v>999999</v>
      </c>
      <c r="H535" s="38">
        <v>999999</v>
      </c>
      <c r="I535" s="38">
        <v>999999</v>
      </c>
      <c r="J535" s="38">
        <v>999999</v>
      </c>
    </row>
    <row r="536" spans="1:10">
      <c r="A536" s="1" t="s">
        <v>307</v>
      </c>
      <c r="B536" s="1" t="s">
        <v>234</v>
      </c>
      <c r="C536" s="38">
        <v>999999</v>
      </c>
      <c r="D536" s="38">
        <v>999999</v>
      </c>
      <c r="E536" s="38">
        <v>999999</v>
      </c>
      <c r="F536" s="38">
        <v>999999</v>
      </c>
      <c r="G536" s="38">
        <v>999999</v>
      </c>
      <c r="H536" s="38">
        <v>999999</v>
      </c>
      <c r="I536" s="38">
        <v>999999</v>
      </c>
      <c r="J536" s="38">
        <v>999999</v>
      </c>
    </row>
    <row r="537" spans="1:10">
      <c r="A537" s="1" t="s">
        <v>308</v>
      </c>
      <c r="B537" s="1" t="s">
        <v>234</v>
      </c>
      <c r="C537" s="38">
        <v>999999</v>
      </c>
      <c r="D537" s="38">
        <v>999999</v>
      </c>
      <c r="E537" s="38">
        <v>999999</v>
      </c>
      <c r="F537" s="38">
        <v>999999</v>
      </c>
      <c r="G537" s="38">
        <v>999999</v>
      </c>
      <c r="H537" s="38">
        <v>999999</v>
      </c>
      <c r="I537" s="38">
        <v>999999</v>
      </c>
      <c r="J537" s="38">
        <v>999999</v>
      </c>
    </row>
    <row r="538" spans="1:10">
      <c r="A538" s="1" t="s">
        <v>309</v>
      </c>
      <c r="B538" s="1" t="s">
        <v>234</v>
      </c>
      <c r="C538" s="38">
        <v>999999</v>
      </c>
      <c r="D538" s="38">
        <v>999999</v>
      </c>
      <c r="E538" s="38">
        <v>999999</v>
      </c>
      <c r="F538" s="38">
        <v>999999</v>
      </c>
      <c r="G538" s="38">
        <v>999999</v>
      </c>
      <c r="H538" s="38">
        <v>999999</v>
      </c>
      <c r="I538" s="38">
        <v>999999</v>
      </c>
      <c r="J538" s="38">
        <v>999999</v>
      </c>
    </row>
    <row r="539" spans="1:10">
      <c r="A539" s="1" t="s">
        <v>310</v>
      </c>
      <c r="B539" s="1" t="s">
        <v>234</v>
      </c>
      <c r="C539" s="38">
        <v>999999</v>
      </c>
      <c r="D539" s="38">
        <v>999999</v>
      </c>
      <c r="E539" s="38">
        <v>999999</v>
      </c>
      <c r="F539" s="38">
        <v>999999</v>
      </c>
      <c r="G539" s="38">
        <v>999999</v>
      </c>
      <c r="H539" s="38">
        <v>999999</v>
      </c>
      <c r="I539" s="38">
        <v>999999</v>
      </c>
      <c r="J539" s="38">
        <v>999999</v>
      </c>
    </row>
    <row r="540" spans="1:10">
      <c r="A540" s="1" t="s">
        <v>311</v>
      </c>
      <c r="B540" s="1" t="s">
        <v>234</v>
      </c>
      <c r="C540" s="38">
        <v>999999</v>
      </c>
      <c r="D540" s="38">
        <v>999999</v>
      </c>
      <c r="E540" s="38">
        <v>999999</v>
      </c>
      <c r="F540" s="38">
        <v>999999</v>
      </c>
      <c r="G540" s="38">
        <v>999999</v>
      </c>
      <c r="H540" s="38">
        <v>999999</v>
      </c>
      <c r="I540" s="38">
        <v>999999</v>
      </c>
      <c r="J540" s="38">
        <v>999999</v>
      </c>
    </row>
    <row r="541" spans="1:10">
      <c r="A541" s="1" t="s">
        <v>312</v>
      </c>
      <c r="B541" s="1" t="s">
        <v>234</v>
      </c>
      <c r="C541" s="38">
        <v>999999</v>
      </c>
      <c r="D541" s="38">
        <v>999999</v>
      </c>
      <c r="E541" s="38">
        <v>999999</v>
      </c>
      <c r="F541" s="38">
        <v>999999</v>
      </c>
      <c r="G541" s="38">
        <v>999999</v>
      </c>
      <c r="H541" s="38">
        <v>999999</v>
      </c>
      <c r="I541" s="38">
        <v>999999</v>
      </c>
      <c r="J541" s="38">
        <v>999999</v>
      </c>
    </row>
    <row r="542" spans="1:10">
      <c r="A542" s="1" t="s">
        <v>277</v>
      </c>
      <c r="B542" s="1" t="s">
        <v>238</v>
      </c>
      <c r="C542" s="38">
        <v>999999</v>
      </c>
      <c r="D542" s="38">
        <v>999999</v>
      </c>
      <c r="E542" s="38">
        <v>999999</v>
      </c>
      <c r="F542" s="38">
        <v>999999</v>
      </c>
      <c r="G542" s="38">
        <v>999999</v>
      </c>
      <c r="H542" s="38">
        <v>999999</v>
      </c>
      <c r="I542" s="38">
        <v>999999</v>
      </c>
      <c r="J542" s="38">
        <v>999999</v>
      </c>
    </row>
    <row r="543" spans="1:10">
      <c r="A543" s="1" t="s">
        <v>278</v>
      </c>
      <c r="B543" s="1" t="s">
        <v>238</v>
      </c>
      <c r="C543" s="38">
        <v>999999</v>
      </c>
      <c r="D543" s="38">
        <v>999999</v>
      </c>
      <c r="E543" s="38">
        <v>999999</v>
      </c>
      <c r="F543" s="38">
        <v>999999</v>
      </c>
      <c r="G543" s="38">
        <v>999999</v>
      </c>
      <c r="H543" s="38">
        <v>999999</v>
      </c>
      <c r="I543" s="38">
        <v>999999</v>
      </c>
      <c r="J543" s="38">
        <v>999999</v>
      </c>
    </row>
    <row r="544" spans="1:10">
      <c r="A544" s="1" t="s">
        <v>279</v>
      </c>
      <c r="B544" s="1" t="s">
        <v>238</v>
      </c>
      <c r="C544" s="38">
        <v>999999</v>
      </c>
      <c r="D544" s="38">
        <v>999999</v>
      </c>
      <c r="E544" s="38">
        <v>999999</v>
      </c>
      <c r="F544" s="38">
        <v>999999</v>
      </c>
      <c r="G544" s="38">
        <v>999999</v>
      </c>
      <c r="H544" s="38">
        <v>999999</v>
      </c>
      <c r="I544" s="38">
        <v>999999</v>
      </c>
      <c r="J544" s="38">
        <v>999999</v>
      </c>
    </row>
    <row r="545" spans="1:10">
      <c r="A545" s="1" t="s">
        <v>280</v>
      </c>
      <c r="B545" s="1" t="s">
        <v>238</v>
      </c>
      <c r="C545" s="38">
        <v>999999</v>
      </c>
      <c r="D545" s="38">
        <v>999999</v>
      </c>
      <c r="E545" s="38">
        <v>999999</v>
      </c>
      <c r="F545" s="38">
        <v>999999</v>
      </c>
      <c r="G545" s="38">
        <v>999999</v>
      </c>
      <c r="H545" s="38">
        <v>999999</v>
      </c>
      <c r="I545" s="38">
        <v>999999</v>
      </c>
      <c r="J545" s="38">
        <v>999999</v>
      </c>
    </row>
    <row r="546" spans="1:10">
      <c r="A546" s="1" t="s">
        <v>281</v>
      </c>
      <c r="B546" s="1" t="s">
        <v>238</v>
      </c>
      <c r="C546" s="38">
        <v>999999</v>
      </c>
      <c r="D546" s="38">
        <v>999999</v>
      </c>
      <c r="E546" s="38">
        <v>999999</v>
      </c>
      <c r="F546" s="38">
        <v>999999</v>
      </c>
      <c r="G546" s="38">
        <v>999999</v>
      </c>
      <c r="H546" s="38">
        <v>999999</v>
      </c>
      <c r="I546" s="38">
        <v>999999</v>
      </c>
      <c r="J546" s="38">
        <v>999999</v>
      </c>
    </row>
    <row r="547" spans="1:10">
      <c r="A547" s="1" t="s">
        <v>282</v>
      </c>
      <c r="B547" s="1" t="s">
        <v>238</v>
      </c>
      <c r="C547" s="38">
        <v>999999</v>
      </c>
      <c r="D547" s="38">
        <v>999999</v>
      </c>
      <c r="E547" s="38">
        <v>999999</v>
      </c>
      <c r="F547" s="38">
        <v>999999</v>
      </c>
      <c r="G547" s="38">
        <v>999999</v>
      </c>
      <c r="H547" s="38">
        <v>999999</v>
      </c>
      <c r="I547" s="38">
        <v>999999</v>
      </c>
      <c r="J547" s="38">
        <v>999999</v>
      </c>
    </row>
    <row r="548" spans="1:10">
      <c r="A548" s="1" t="s">
        <v>283</v>
      </c>
      <c r="B548" s="1" t="s">
        <v>238</v>
      </c>
      <c r="C548" s="38">
        <v>999999</v>
      </c>
      <c r="D548" s="38">
        <v>999999</v>
      </c>
      <c r="E548" s="38">
        <v>999999</v>
      </c>
      <c r="F548" s="38">
        <v>999999</v>
      </c>
      <c r="G548" s="38">
        <v>999999</v>
      </c>
      <c r="H548" s="38">
        <v>999999</v>
      </c>
      <c r="I548" s="38">
        <v>999999</v>
      </c>
      <c r="J548" s="38">
        <v>999999</v>
      </c>
    </row>
    <row r="549" spans="1:10">
      <c r="A549" s="1" t="s">
        <v>284</v>
      </c>
      <c r="B549" s="1" t="s">
        <v>238</v>
      </c>
      <c r="C549" s="38">
        <v>999999</v>
      </c>
      <c r="D549" s="38">
        <v>999999</v>
      </c>
      <c r="E549" s="38">
        <v>999999</v>
      </c>
      <c r="F549" s="38">
        <v>999999</v>
      </c>
      <c r="G549" s="38">
        <v>999999</v>
      </c>
      <c r="H549" s="38">
        <v>999999</v>
      </c>
      <c r="I549" s="38">
        <v>999999</v>
      </c>
      <c r="J549" s="38">
        <v>999999</v>
      </c>
    </row>
    <row r="550" spans="1:10">
      <c r="A550" s="1" t="s">
        <v>285</v>
      </c>
      <c r="B550" s="1" t="s">
        <v>238</v>
      </c>
      <c r="C550" s="38">
        <v>999999</v>
      </c>
      <c r="D550" s="38">
        <v>999999</v>
      </c>
      <c r="E550" s="38">
        <v>999999</v>
      </c>
      <c r="F550" s="38">
        <v>999999</v>
      </c>
      <c r="G550" s="38">
        <v>999999</v>
      </c>
      <c r="H550" s="38">
        <v>999999</v>
      </c>
      <c r="I550" s="38">
        <v>999999</v>
      </c>
      <c r="J550" s="38">
        <v>999999</v>
      </c>
    </row>
    <row r="551" spans="1:10">
      <c r="A551" s="1" t="s">
        <v>286</v>
      </c>
      <c r="B551" s="1" t="s">
        <v>238</v>
      </c>
      <c r="C551" s="38">
        <v>999999</v>
      </c>
      <c r="D551" s="38">
        <v>999999</v>
      </c>
      <c r="E551" s="38">
        <v>999999</v>
      </c>
      <c r="F551" s="38">
        <v>999999</v>
      </c>
      <c r="G551" s="38">
        <v>999999</v>
      </c>
      <c r="H551" s="38">
        <v>999999</v>
      </c>
      <c r="I551" s="38">
        <v>999999</v>
      </c>
      <c r="J551" s="38">
        <v>999999</v>
      </c>
    </row>
    <row r="552" spans="1:10">
      <c r="A552" s="1" t="s">
        <v>287</v>
      </c>
      <c r="B552" s="1" t="s">
        <v>238</v>
      </c>
      <c r="C552" s="38">
        <v>999999</v>
      </c>
      <c r="D552" s="38">
        <v>999999</v>
      </c>
      <c r="E552" s="38">
        <v>999999</v>
      </c>
      <c r="F552" s="38">
        <v>999999</v>
      </c>
      <c r="G552" s="38">
        <v>999999</v>
      </c>
      <c r="H552" s="38">
        <v>999999</v>
      </c>
      <c r="I552" s="38">
        <v>999999</v>
      </c>
      <c r="J552" s="38">
        <v>999999</v>
      </c>
    </row>
    <row r="553" spans="1:10">
      <c r="A553" s="1" t="s">
        <v>288</v>
      </c>
      <c r="B553" s="1" t="s">
        <v>238</v>
      </c>
      <c r="C553" s="38">
        <v>999999</v>
      </c>
      <c r="D553" s="38">
        <v>999999</v>
      </c>
      <c r="E553" s="38">
        <v>999999</v>
      </c>
      <c r="F553" s="38">
        <v>999999</v>
      </c>
      <c r="G553" s="38">
        <v>999999</v>
      </c>
      <c r="H553" s="38">
        <v>999999</v>
      </c>
      <c r="I553" s="38">
        <v>999999</v>
      </c>
      <c r="J553" s="38">
        <v>999999</v>
      </c>
    </row>
    <row r="554" spans="1:10">
      <c r="A554" s="1" t="s">
        <v>289</v>
      </c>
      <c r="B554" s="1" t="s">
        <v>238</v>
      </c>
      <c r="C554" s="38">
        <v>999999</v>
      </c>
      <c r="D554" s="38">
        <v>999999</v>
      </c>
      <c r="E554" s="38">
        <v>999999</v>
      </c>
      <c r="F554" s="38">
        <v>999999</v>
      </c>
      <c r="G554" s="38">
        <v>999999</v>
      </c>
      <c r="H554" s="38">
        <v>999999</v>
      </c>
      <c r="I554" s="38">
        <v>999999</v>
      </c>
      <c r="J554" s="38">
        <v>999999</v>
      </c>
    </row>
    <row r="555" spans="1:10">
      <c r="A555" s="1" t="s">
        <v>290</v>
      </c>
      <c r="B555" s="1" t="s">
        <v>238</v>
      </c>
      <c r="C555" s="38">
        <v>999999</v>
      </c>
      <c r="D555" s="38">
        <v>999999</v>
      </c>
      <c r="E555" s="38">
        <v>999999</v>
      </c>
      <c r="F555" s="38">
        <v>999999</v>
      </c>
      <c r="G555" s="38">
        <v>999999</v>
      </c>
      <c r="H555" s="38">
        <v>999999</v>
      </c>
      <c r="I555" s="38">
        <v>999999</v>
      </c>
      <c r="J555" s="38">
        <v>999999</v>
      </c>
    </row>
    <row r="556" spans="1:10">
      <c r="A556" s="1" t="s">
        <v>291</v>
      </c>
      <c r="B556" s="1" t="s">
        <v>238</v>
      </c>
      <c r="C556" s="38">
        <v>999999</v>
      </c>
      <c r="D556" s="38">
        <v>999999</v>
      </c>
      <c r="E556" s="38">
        <v>999999</v>
      </c>
      <c r="F556" s="38">
        <v>999999</v>
      </c>
      <c r="G556" s="38">
        <v>999999</v>
      </c>
      <c r="H556" s="38">
        <v>999999</v>
      </c>
      <c r="I556" s="38">
        <v>999999</v>
      </c>
      <c r="J556" s="38">
        <v>999999</v>
      </c>
    </row>
    <row r="557" spans="1:10">
      <c r="A557" s="1" t="s">
        <v>292</v>
      </c>
      <c r="B557" s="1" t="s">
        <v>238</v>
      </c>
      <c r="C557" s="38">
        <v>999999</v>
      </c>
      <c r="D557" s="38">
        <v>999999</v>
      </c>
      <c r="E557" s="38">
        <v>999999</v>
      </c>
      <c r="F557" s="38">
        <v>999999</v>
      </c>
      <c r="G557" s="38">
        <v>999999</v>
      </c>
      <c r="H557" s="38">
        <v>999999</v>
      </c>
      <c r="I557" s="38">
        <v>999999</v>
      </c>
      <c r="J557" s="38">
        <v>999999</v>
      </c>
    </row>
    <row r="558" spans="1:10">
      <c r="A558" s="1" t="s">
        <v>293</v>
      </c>
      <c r="B558" s="1" t="s">
        <v>238</v>
      </c>
      <c r="C558" s="38">
        <v>999999</v>
      </c>
      <c r="D558" s="38">
        <v>999999</v>
      </c>
      <c r="E558" s="38">
        <v>999999</v>
      </c>
      <c r="F558" s="38">
        <v>999999</v>
      </c>
      <c r="G558" s="38">
        <v>999999</v>
      </c>
      <c r="H558" s="38">
        <v>999999</v>
      </c>
      <c r="I558" s="38">
        <v>999999</v>
      </c>
      <c r="J558" s="38">
        <v>999999</v>
      </c>
    </row>
    <row r="559" spans="1:10">
      <c r="A559" s="1" t="s">
        <v>294</v>
      </c>
      <c r="B559" s="1" t="s">
        <v>238</v>
      </c>
      <c r="C559" s="38">
        <v>999999</v>
      </c>
      <c r="D559" s="38">
        <v>999999</v>
      </c>
      <c r="E559" s="38">
        <v>999999</v>
      </c>
      <c r="F559" s="38">
        <v>999999</v>
      </c>
      <c r="G559" s="38">
        <v>999999</v>
      </c>
      <c r="H559" s="38">
        <v>999999</v>
      </c>
      <c r="I559" s="38">
        <v>999999</v>
      </c>
      <c r="J559" s="38">
        <v>999999</v>
      </c>
    </row>
    <row r="560" spans="1:10">
      <c r="A560" s="1" t="s">
        <v>295</v>
      </c>
      <c r="B560" s="1" t="s">
        <v>238</v>
      </c>
      <c r="C560" s="38">
        <v>999999</v>
      </c>
      <c r="D560" s="38">
        <v>999999</v>
      </c>
      <c r="E560" s="38">
        <v>999999</v>
      </c>
      <c r="F560" s="38">
        <v>999999</v>
      </c>
      <c r="G560" s="38">
        <v>999999</v>
      </c>
      <c r="H560" s="38">
        <v>999999</v>
      </c>
      <c r="I560" s="38">
        <v>999999</v>
      </c>
      <c r="J560" s="38">
        <v>999999</v>
      </c>
    </row>
    <row r="561" spans="1:10">
      <c r="A561" s="1" t="s">
        <v>296</v>
      </c>
      <c r="B561" s="1" t="s">
        <v>238</v>
      </c>
      <c r="C561" s="38">
        <v>999999</v>
      </c>
      <c r="D561" s="38">
        <v>999999</v>
      </c>
      <c r="E561" s="38">
        <v>999999</v>
      </c>
      <c r="F561" s="38">
        <v>999999</v>
      </c>
      <c r="G561" s="38">
        <v>999999</v>
      </c>
      <c r="H561" s="38">
        <v>999999</v>
      </c>
      <c r="I561" s="38">
        <v>999999</v>
      </c>
      <c r="J561" s="38">
        <v>999999</v>
      </c>
    </row>
    <row r="562" spans="1:10">
      <c r="A562" s="1" t="s">
        <v>297</v>
      </c>
      <c r="B562" s="1" t="s">
        <v>238</v>
      </c>
      <c r="C562" s="38">
        <v>999999</v>
      </c>
      <c r="D562" s="38">
        <v>999999</v>
      </c>
      <c r="E562" s="38">
        <v>999999</v>
      </c>
      <c r="F562" s="38">
        <v>999999</v>
      </c>
      <c r="G562" s="38">
        <v>999999</v>
      </c>
      <c r="H562" s="38">
        <v>999999</v>
      </c>
      <c r="I562" s="38">
        <v>999999</v>
      </c>
      <c r="J562" s="38">
        <v>999999</v>
      </c>
    </row>
    <row r="563" spans="1:10">
      <c r="A563" s="1" t="s">
        <v>298</v>
      </c>
      <c r="B563" s="1" t="s">
        <v>238</v>
      </c>
      <c r="C563" s="38">
        <v>999999</v>
      </c>
      <c r="D563" s="38">
        <v>999999</v>
      </c>
      <c r="E563" s="38">
        <v>999999</v>
      </c>
      <c r="F563" s="38">
        <v>999999</v>
      </c>
      <c r="G563" s="38">
        <v>999999</v>
      </c>
      <c r="H563" s="38">
        <v>999999</v>
      </c>
      <c r="I563" s="38">
        <v>999999</v>
      </c>
      <c r="J563" s="38">
        <v>999999</v>
      </c>
    </row>
    <row r="564" spans="1:10">
      <c r="A564" s="1" t="s">
        <v>299</v>
      </c>
      <c r="B564" s="1" t="s">
        <v>238</v>
      </c>
      <c r="C564" s="38">
        <v>999999</v>
      </c>
      <c r="D564" s="38">
        <v>999999</v>
      </c>
      <c r="E564" s="38">
        <v>999999</v>
      </c>
      <c r="F564" s="38">
        <v>999999</v>
      </c>
      <c r="G564" s="38">
        <v>999999</v>
      </c>
      <c r="H564" s="38">
        <v>999999</v>
      </c>
      <c r="I564" s="38">
        <v>999999</v>
      </c>
      <c r="J564" s="38">
        <v>999999</v>
      </c>
    </row>
    <row r="565" spans="1:10">
      <c r="A565" s="1" t="s">
        <v>300</v>
      </c>
      <c r="B565" s="1" t="s">
        <v>238</v>
      </c>
      <c r="C565" s="38">
        <v>999999</v>
      </c>
      <c r="D565" s="38">
        <v>999999</v>
      </c>
      <c r="E565" s="38">
        <v>999999</v>
      </c>
      <c r="F565" s="38">
        <v>999999</v>
      </c>
      <c r="G565" s="38">
        <v>999999</v>
      </c>
      <c r="H565" s="38">
        <v>999999</v>
      </c>
      <c r="I565" s="38">
        <v>999999</v>
      </c>
      <c r="J565" s="38">
        <v>999999</v>
      </c>
    </row>
    <row r="566" spans="1:10">
      <c r="A566" s="1" t="s">
        <v>301</v>
      </c>
      <c r="B566" s="1" t="s">
        <v>238</v>
      </c>
      <c r="C566" s="38">
        <v>999999</v>
      </c>
      <c r="D566" s="38">
        <v>999999</v>
      </c>
      <c r="E566" s="38">
        <v>999999</v>
      </c>
      <c r="F566" s="38">
        <v>999999</v>
      </c>
      <c r="G566" s="38">
        <v>999999</v>
      </c>
      <c r="H566" s="38">
        <v>999999</v>
      </c>
      <c r="I566" s="38">
        <v>999999</v>
      </c>
      <c r="J566" s="38">
        <v>999999</v>
      </c>
    </row>
    <row r="567" spans="1:10">
      <c r="A567" s="1" t="s">
        <v>302</v>
      </c>
      <c r="B567" s="1" t="s">
        <v>238</v>
      </c>
      <c r="C567" s="38">
        <v>999999</v>
      </c>
      <c r="D567" s="38">
        <v>999999</v>
      </c>
      <c r="E567" s="38">
        <v>999999</v>
      </c>
      <c r="F567" s="38">
        <v>999999</v>
      </c>
      <c r="G567" s="38">
        <v>999999</v>
      </c>
      <c r="H567" s="38">
        <v>999999</v>
      </c>
      <c r="I567" s="38">
        <v>999999</v>
      </c>
      <c r="J567" s="38">
        <v>999999</v>
      </c>
    </row>
    <row r="568" spans="1:10">
      <c r="A568" s="1" t="s">
        <v>303</v>
      </c>
      <c r="B568" s="1" t="s">
        <v>238</v>
      </c>
      <c r="C568" s="38">
        <v>999999</v>
      </c>
      <c r="D568" s="38">
        <v>999999</v>
      </c>
      <c r="E568" s="38">
        <v>999999</v>
      </c>
      <c r="F568" s="38">
        <v>999999</v>
      </c>
      <c r="G568" s="38">
        <v>999999</v>
      </c>
      <c r="H568" s="38">
        <v>999999</v>
      </c>
      <c r="I568" s="38">
        <v>999999</v>
      </c>
      <c r="J568" s="38">
        <v>999999</v>
      </c>
    </row>
    <row r="569" spans="1:10">
      <c r="A569" s="1" t="s">
        <v>304</v>
      </c>
      <c r="B569" s="1" t="s">
        <v>238</v>
      </c>
      <c r="C569" s="38">
        <v>999999</v>
      </c>
      <c r="D569" s="38">
        <v>999999</v>
      </c>
      <c r="E569" s="38">
        <v>999999</v>
      </c>
      <c r="F569" s="38">
        <v>999999</v>
      </c>
      <c r="G569" s="38">
        <v>999999</v>
      </c>
      <c r="H569" s="38">
        <v>999999</v>
      </c>
      <c r="I569" s="38">
        <v>999999</v>
      </c>
      <c r="J569" s="38">
        <v>999999</v>
      </c>
    </row>
    <row r="570" spans="1:10">
      <c r="A570" s="1" t="s">
        <v>305</v>
      </c>
      <c r="B570" s="1" t="s">
        <v>238</v>
      </c>
      <c r="C570" s="38">
        <v>999999</v>
      </c>
      <c r="D570" s="38">
        <v>999999</v>
      </c>
      <c r="E570" s="38">
        <v>999999</v>
      </c>
      <c r="F570" s="38">
        <v>999999</v>
      </c>
      <c r="G570" s="38">
        <v>999999</v>
      </c>
      <c r="H570" s="38">
        <v>999999</v>
      </c>
      <c r="I570" s="38">
        <v>999999</v>
      </c>
      <c r="J570" s="38">
        <v>999999</v>
      </c>
    </row>
    <row r="571" spans="1:10">
      <c r="A571" s="1" t="s">
        <v>306</v>
      </c>
      <c r="B571" s="1" t="s">
        <v>238</v>
      </c>
      <c r="C571" s="38">
        <v>999999</v>
      </c>
      <c r="D571" s="38">
        <v>999999</v>
      </c>
      <c r="E571" s="38">
        <v>999999</v>
      </c>
      <c r="F571" s="38">
        <v>999999</v>
      </c>
      <c r="G571" s="38">
        <v>999999</v>
      </c>
      <c r="H571" s="38">
        <v>999999</v>
      </c>
      <c r="I571" s="38">
        <v>999999</v>
      </c>
      <c r="J571" s="38">
        <v>999999</v>
      </c>
    </row>
    <row r="572" spans="1:10">
      <c r="A572" s="1" t="s">
        <v>307</v>
      </c>
      <c r="B572" s="1" t="s">
        <v>238</v>
      </c>
      <c r="C572" s="38">
        <v>999999</v>
      </c>
      <c r="D572" s="38">
        <v>999999</v>
      </c>
      <c r="E572" s="38">
        <v>999999</v>
      </c>
      <c r="F572" s="38">
        <v>999999</v>
      </c>
      <c r="G572" s="38">
        <v>999999</v>
      </c>
      <c r="H572" s="38">
        <v>999999</v>
      </c>
      <c r="I572" s="38">
        <v>999999</v>
      </c>
      <c r="J572" s="38">
        <v>999999</v>
      </c>
    </row>
    <row r="573" spans="1:10">
      <c r="A573" s="1" t="s">
        <v>308</v>
      </c>
      <c r="B573" s="1" t="s">
        <v>238</v>
      </c>
      <c r="C573" s="38">
        <v>999999</v>
      </c>
      <c r="D573" s="38">
        <v>999999</v>
      </c>
      <c r="E573" s="38">
        <v>999999</v>
      </c>
      <c r="F573" s="38">
        <v>999999</v>
      </c>
      <c r="G573" s="38">
        <v>999999</v>
      </c>
      <c r="H573" s="38">
        <v>999999</v>
      </c>
      <c r="I573" s="38">
        <v>999999</v>
      </c>
      <c r="J573" s="38">
        <v>999999</v>
      </c>
    </row>
    <row r="574" spans="1:10">
      <c r="A574" s="1" t="s">
        <v>309</v>
      </c>
      <c r="B574" s="1" t="s">
        <v>238</v>
      </c>
      <c r="C574" s="38">
        <v>999999</v>
      </c>
      <c r="D574" s="38">
        <v>999999</v>
      </c>
      <c r="E574" s="38">
        <v>999999</v>
      </c>
      <c r="F574" s="38">
        <v>999999</v>
      </c>
      <c r="G574" s="38">
        <v>999999</v>
      </c>
      <c r="H574" s="38">
        <v>999999</v>
      </c>
      <c r="I574" s="38">
        <v>999999</v>
      </c>
      <c r="J574" s="38">
        <v>999999</v>
      </c>
    </row>
    <row r="575" spans="1:10">
      <c r="A575" s="1" t="s">
        <v>310</v>
      </c>
      <c r="B575" s="1" t="s">
        <v>238</v>
      </c>
      <c r="C575" s="38">
        <v>999999</v>
      </c>
      <c r="D575" s="38">
        <v>999999</v>
      </c>
      <c r="E575" s="38">
        <v>999999</v>
      </c>
      <c r="F575" s="38">
        <v>999999</v>
      </c>
      <c r="G575" s="38">
        <v>999999</v>
      </c>
      <c r="H575" s="38">
        <v>999999</v>
      </c>
      <c r="I575" s="38">
        <v>999999</v>
      </c>
      <c r="J575" s="38">
        <v>999999</v>
      </c>
    </row>
    <row r="576" spans="1:10">
      <c r="A576" s="1" t="s">
        <v>311</v>
      </c>
      <c r="B576" s="1" t="s">
        <v>238</v>
      </c>
      <c r="C576" s="38">
        <v>999999</v>
      </c>
      <c r="D576" s="38">
        <v>999999</v>
      </c>
      <c r="E576" s="38">
        <v>999999</v>
      </c>
      <c r="F576" s="38">
        <v>999999</v>
      </c>
      <c r="G576" s="38">
        <v>999999</v>
      </c>
      <c r="H576" s="38">
        <v>999999</v>
      </c>
      <c r="I576" s="38">
        <v>999999</v>
      </c>
      <c r="J576" s="38">
        <v>999999</v>
      </c>
    </row>
    <row r="577" spans="1:12">
      <c r="A577" s="1" t="s">
        <v>312</v>
      </c>
      <c r="B577" s="1" t="s">
        <v>238</v>
      </c>
      <c r="C577" s="38">
        <v>999999</v>
      </c>
      <c r="D577" s="38">
        <v>999999</v>
      </c>
      <c r="E577" s="38">
        <v>999999</v>
      </c>
      <c r="F577" s="38">
        <v>999999</v>
      </c>
      <c r="G577" s="38">
        <v>999999</v>
      </c>
      <c r="H577" s="38">
        <v>999999</v>
      </c>
      <c r="I577" s="38">
        <v>999999</v>
      </c>
      <c r="J577" s="38">
        <v>999999</v>
      </c>
    </row>
    <row r="578" spans="1:12">
      <c r="A578" s="8" t="s">
        <v>357</v>
      </c>
      <c r="B578" s="1" t="s">
        <v>95</v>
      </c>
      <c r="C578" s="42">
        <v>37.954413187220567</v>
      </c>
      <c r="D578" s="42">
        <v>37.954413187220567</v>
      </c>
      <c r="E578" s="42">
        <v>37.954413187220567</v>
      </c>
      <c r="F578" s="42">
        <v>37.954413187220567</v>
      </c>
      <c r="G578" s="42">
        <v>37.954413187220567</v>
      </c>
      <c r="H578" s="42">
        <v>37.954413187220567</v>
      </c>
      <c r="I578" s="42">
        <v>37.954413187220567</v>
      </c>
      <c r="J578" s="42">
        <v>37.954413187220567</v>
      </c>
    </row>
    <row r="579" spans="1:12">
      <c r="A579" s="8" t="s">
        <v>357</v>
      </c>
      <c r="B579" s="1" t="s">
        <v>100</v>
      </c>
      <c r="C579" s="42">
        <v>22.987714285714233</v>
      </c>
      <c r="D579" s="42">
        <v>22.987714285714233</v>
      </c>
      <c r="E579" s="42">
        <v>22.987714285714233</v>
      </c>
      <c r="F579" s="42">
        <v>22.987714285714233</v>
      </c>
      <c r="G579" s="42">
        <v>22.987714285714233</v>
      </c>
      <c r="H579" s="42">
        <v>22.987714285714233</v>
      </c>
      <c r="I579" s="42">
        <v>22.987714285714233</v>
      </c>
      <c r="J579" s="42">
        <v>22.987714285714233</v>
      </c>
    </row>
    <row r="580" spans="1:12">
      <c r="A580" s="8" t="s">
        <v>357</v>
      </c>
      <c r="B580" s="1" t="s">
        <v>175</v>
      </c>
      <c r="C580" s="42">
        <v>70.639302822095772</v>
      </c>
      <c r="D580" s="42">
        <v>70.639302822095772</v>
      </c>
      <c r="E580" s="42">
        <v>70.639302822095772</v>
      </c>
      <c r="F580" s="42">
        <v>70.639302822095772</v>
      </c>
      <c r="G580" s="42">
        <v>70.639302822095772</v>
      </c>
      <c r="H580" s="42">
        <v>70.639302822095772</v>
      </c>
      <c r="I580" s="42">
        <v>70.639302822095772</v>
      </c>
      <c r="J580" s="42">
        <v>70.639302822095772</v>
      </c>
      <c r="L580" s="33"/>
    </row>
    <row r="581" spans="1:12">
      <c r="A581" s="8" t="s">
        <v>357</v>
      </c>
      <c r="B581" s="1" t="s">
        <v>176</v>
      </c>
      <c r="C581" s="42">
        <v>100.18881111063871</v>
      </c>
      <c r="D581" s="42">
        <v>100.18881111063871</v>
      </c>
      <c r="E581" s="42">
        <v>100.18881111063871</v>
      </c>
      <c r="F581" s="42">
        <v>100.18881111063871</v>
      </c>
      <c r="G581" s="42">
        <v>100.18881111063871</v>
      </c>
      <c r="H581" s="42">
        <v>100.18881111063871</v>
      </c>
      <c r="I581" s="42">
        <v>100.18881111063871</v>
      </c>
      <c r="J581" s="42">
        <v>100.18881111063871</v>
      </c>
      <c r="L581" s="33"/>
    </row>
    <row r="582" spans="1:12">
      <c r="A582" s="8" t="s">
        <v>357</v>
      </c>
      <c r="B582" s="1" t="s">
        <v>98</v>
      </c>
      <c r="C582" s="42">
        <v>48.522758140007326</v>
      </c>
      <c r="D582" s="42">
        <v>48.522758140007326</v>
      </c>
      <c r="E582" s="42">
        <v>48.522758140007326</v>
      </c>
      <c r="F582" s="42">
        <v>48.522758140007326</v>
      </c>
      <c r="G582" s="42">
        <v>48.522758140007326</v>
      </c>
      <c r="H582" s="42">
        <v>48.522758140007326</v>
      </c>
      <c r="I582" s="42">
        <v>48.522758140007326</v>
      </c>
      <c r="J582" s="42">
        <v>48.522758140007326</v>
      </c>
    </row>
    <row r="583" spans="1:12">
      <c r="A583" s="8" t="s">
        <v>357</v>
      </c>
      <c r="B583" s="1" t="s">
        <v>171</v>
      </c>
      <c r="C583" s="42">
        <v>-5.2666739558868052</v>
      </c>
      <c r="D583" s="42">
        <v>-5.2666739558868052</v>
      </c>
      <c r="E583" s="42">
        <v>-5.2666739558868052</v>
      </c>
      <c r="F583" s="42">
        <v>-5.2666739558868052</v>
      </c>
      <c r="G583" s="42">
        <v>-5.2666739558868052</v>
      </c>
      <c r="H583" s="42">
        <v>-5.2666739558868052</v>
      </c>
      <c r="I583" s="42">
        <v>-5.2666739558868052</v>
      </c>
      <c r="J583" s="42">
        <v>-5.2666739558868052</v>
      </c>
    </row>
    <row r="584" spans="1:12">
      <c r="A584" s="8" t="s">
        <v>357</v>
      </c>
      <c r="B584" s="1" t="s">
        <v>170</v>
      </c>
      <c r="C584" s="42">
        <v>2.4033260441131929</v>
      </c>
      <c r="D584" s="42">
        <v>2.4033260441131929</v>
      </c>
      <c r="E584" s="42">
        <v>2.4033260441131929</v>
      </c>
      <c r="F584" s="42">
        <v>2.4033260441131929</v>
      </c>
      <c r="G584" s="42">
        <v>2.4033260441131929</v>
      </c>
      <c r="H584" s="42">
        <v>2.4033260441131929</v>
      </c>
      <c r="I584" s="42">
        <v>2.4033260441131929</v>
      </c>
      <c r="J584" s="42">
        <v>2.4033260441131929</v>
      </c>
    </row>
    <row r="585" spans="1:12">
      <c r="A585" s="8" t="s">
        <v>357</v>
      </c>
      <c r="B585" s="1" t="s">
        <v>172</v>
      </c>
      <c r="C585" s="42">
        <v>2.4033260441131929</v>
      </c>
      <c r="D585" s="42">
        <v>2.4033260441131929</v>
      </c>
      <c r="E585" s="42">
        <v>2.4033260441131929</v>
      </c>
      <c r="F585" s="42">
        <v>2.4033260441131929</v>
      </c>
      <c r="G585" s="42">
        <v>2.4033260441131929</v>
      </c>
      <c r="H585" s="42">
        <v>2.4033260441131929</v>
      </c>
      <c r="I585" s="42">
        <v>2.4033260441131929</v>
      </c>
      <c r="J585" s="42">
        <v>2.4033260441131929</v>
      </c>
    </row>
    <row r="586" spans="1:12">
      <c r="A586" s="8" t="s">
        <v>357</v>
      </c>
      <c r="B586" s="1" t="s">
        <v>104</v>
      </c>
      <c r="C586" s="42">
        <v>0.11767388485332736</v>
      </c>
      <c r="D586" s="42">
        <v>0.11767388485332736</v>
      </c>
      <c r="E586" s="42">
        <v>0.11767388485332736</v>
      </c>
      <c r="F586" s="42">
        <v>0.11767388485332736</v>
      </c>
      <c r="G586" s="42">
        <v>0.11767388485332736</v>
      </c>
      <c r="H586" s="42">
        <v>0.11767388485332736</v>
      </c>
      <c r="I586" s="42">
        <v>0.11767388485332736</v>
      </c>
      <c r="J586" s="42">
        <v>0.11767388485332736</v>
      </c>
    </row>
    <row r="587" spans="1:12">
      <c r="A587" s="8" t="s">
        <v>357</v>
      </c>
      <c r="B587" s="1" t="s">
        <v>105</v>
      </c>
      <c r="C587" s="42">
        <v>1.1700000000006503</v>
      </c>
      <c r="D587" s="42">
        <v>1.1700000000006503</v>
      </c>
      <c r="E587" s="42">
        <v>1.1700000000006503</v>
      </c>
      <c r="F587" s="42">
        <v>1.1700000000006503</v>
      </c>
      <c r="G587" s="42">
        <v>1.1700000000006503</v>
      </c>
      <c r="H587" s="42">
        <v>1.1700000000006503</v>
      </c>
      <c r="I587" s="42">
        <v>1.1700000000006503</v>
      </c>
      <c r="J587" s="42">
        <v>1.1700000000006503</v>
      </c>
    </row>
    <row r="588" spans="1:12">
      <c r="A588" s="8" t="s">
        <v>357</v>
      </c>
      <c r="B588" s="1" t="s">
        <v>102</v>
      </c>
      <c r="C588" s="33">
        <v>5.5617723619120003</v>
      </c>
      <c r="D588" s="33">
        <v>5.5617723619120003</v>
      </c>
      <c r="E588" s="33">
        <v>5.5617723619120003</v>
      </c>
      <c r="F588" s="33">
        <v>5.5617723619120003</v>
      </c>
      <c r="G588" s="33">
        <v>5.5617723619120003</v>
      </c>
      <c r="H588" s="33">
        <v>5.5617723619120003</v>
      </c>
      <c r="I588" s="33">
        <v>5.5617723619120003</v>
      </c>
      <c r="J588" s="33">
        <v>5.5617723619120003</v>
      </c>
    </row>
    <row r="589" spans="1:12">
      <c r="A589" s="8" t="s">
        <v>357</v>
      </c>
      <c r="B589" s="1" t="s">
        <v>103</v>
      </c>
      <c r="C589" s="33">
        <v>4.1361649520880013</v>
      </c>
      <c r="D589" s="33">
        <v>4.1361649520880013</v>
      </c>
      <c r="E589" s="33">
        <v>4.1361649520880013</v>
      </c>
      <c r="F589" s="33">
        <v>4.1361649520880013</v>
      </c>
      <c r="G589" s="33">
        <v>4.1361649520880013</v>
      </c>
      <c r="H589" s="33">
        <v>4.1361649520880013</v>
      </c>
      <c r="I589" s="33">
        <v>4.1361649520880013</v>
      </c>
      <c r="J589" s="33">
        <v>4.1361649520880013</v>
      </c>
    </row>
    <row r="590" spans="1:12">
      <c r="A590" s="8" t="s">
        <v>357</v>
      </c>
      <c r="B590" s="1" t="s">
        <v>139</v>
      </c>
      <c r="C590" s="33">
        <v>5.3367795000000005</v>
      </c>
      <c r="D590" s="33">
        <v>5.3367795000000005</v>
      </c>
      <c r="E590" s="33">
        <v>5.3367795000000005</v>
      </c>
      <c r="F590" s="33">
        <v>5.3367795000000005</v>
      </c>
      <c r="G590" s="33">
        <v>5.3367795000000005</v>
      </c>
      <c r="H590" s="33">
        <v>5.3367795000000005</v>
      </c>
      <c r="I590" s="33">
        <v>5.3367795000000005</v>
      </c>
      <c r="J590" s="33">
        <v>5.3367795000000005</v>
      </c>
    </row>
    <row r="591" spans="1:12">
      <c r="A591" s="8" t="s">
        <v>357</v>
      </c>
      <c r="B591" s="1" t="s">
        <v>97</v>
      </c>
      <c r="C591" s="42">
        <v>61.08075814000734</v>
      </c>
      <c r="D591" s="42">
        <v>61.08075814000734</v>
      </c>
      <c r="E591" s="42">
        <v>61.08075814000734</v>
      </c>
      <c r="F591" s="42">
        <v>61.08075814000734</v>
      </c>
      <c r="G591" s="42">
        <v>61.08075814000734</v>
      </c>
      <c r="H591" s="42">
        <v>61.08075814000734</v>
      </c>
      <c r="I591" s="42">
        <v>61.08075814000734</v>
      </c>
      <c r="J591" s="42">
        <v>61.08075814000734</v>
      </c>
    </row>
    <row r="592" spans="1:12">
      <c r="A592" s="8" t="s">
        <v>357</v>
      </c>
      <c r="B592" s="1" t="s">
        <v>94</v>
      </c>
      <c r="C592" s="42">
        <v>37.954413187220567</v>
      </c>
      <c r="D592" s="42">
        <v>37.954413187220567</v>
      </c>
      <c r="E592" s="42">
        <v>37.954413187220567</v>
      </c>
      <c r="F592" s="42">
        <v>37.954413187220567</v>
      </c>
      <c r="G592" s="42">
        <v>37.954413187220567</v>
      </c>
      <c r="H592" s="42">
        <v>37.954413187220567</v>
      </c>
      <c r="I592" s="42">
        <v>37.954413187220567</v>
      </c>
      <c r="J592" s="42">
        <v>37.954413187220567</v>
      </c>
    </row>
    <row r="593" spans="1:10">
      <c r="A593" s="8" t="s">
        <v>357</v>
      </c>
      <c r="B593" s="1" t="s">
        <v>96</v>
      </c>
      <c r="C593" s="42">
        <v>61.08075814000734</v>
      </c>
      <c r="D593" s="42">
        <v>61.08075814000734</v>
      </c>
      <c r="E593" s="42">
        <v>61.08075814000734</v>
      </c>
      <c r="F593" s="42">
        <v>61.08075814000734</v>
      </c>
      <c r="G593" s="42">
        <v>61.08075814000734</v>
      </c>
      <c r="H593" s="42">
        <v>61.08075814000734</v>
      </c>
      <c r="I593" s="42">
        <v>61.08075814000734</v>
      </c>
      <c r="J593" s="42">
        <v>61.08075814000734</v>
      </c>
    </row>
    <row r="594" spans="1:10">
      <c r="A594" s="8" t="s">
        <v>357</v>
      </c>
      <c r="B594" s="1" t="s">
        <v>93</v>
      </c>
      <c r="C594" s="42">
        <v>37.954413187220567</v>
      </c>
      <c r="D594" s="42">
        <v>37.954413187220567</v>
      </c>
      <c r="E594" s="42">
        <v>37.954413187220567</v>
      </c>
      <c r="F594" s="42">
        <v>37.954413187220567</v>
      </c>
      <c r="G594" s="42">
        <v>37.954413187220567</v>
      </c>
      <c r="H594" s="42">
        <v>37.954413187220567</v>
      </c>
      <c r="I594" s="42">
        <v>37.954413187220567</v>
      </c>
      <c r="J594" s="42">
        <v>37.954413187220567</v>
      </c>
    </row>
    <row r="595" spans="1:10">
      <c r="A595" s="1" t="s">
        <v>278</v>
      </c>
      <c r="B595" s="1" t="s">
        <v>103</v>
      </c>
      <c r="C595" s="1">
        <v>10.1998</v>
      </c>
      <c r="D595" s="1">
        <v>10.1998</v>
      </c>
      <c r="E595" s="1">
        <v>10.1998</v>
      </c>
      <c r="F595" s="1">
        <v>10.1998</v>
      </c>
      <c r="G595" s="1">
        <v>10.1998</v>
      </c>
      <c r="H595" s="1">
        <v>10.1998</v>
      </c>
      <c r="I595" s="1">
        <v>10.1998</v>
      </c>
      <c r="J595" s="1">
        <v>10.1998</v>
      </c>
    </row>
    <row r="596" spans="1:10">
      <c r="A596" s="1" t="s">
        <v>280</v>
      </c>
      <c r="B596" s="1" t="s">
        <v>103</v>
      </c>
      <c r="C596" s="1">
        <v>1.7004004333333329</v>
      </c>
      <c r="D596" s="1">
        <v>1.7004004333333329</v>
      </c>
      <c r="E596" s="1">
        <v>1.7004004333333329</v>
      </c>
      <c r="F596" s="1">
        <v>1.7004004333333329</v>
      </c>
      <c r="G596" s="1">
        <v>1.7004004333333329</v>
      </c>
      <c r="H596" s="1">
        <v>1.7004004333333329</v>
      </c>
      <c r="I596" s="1">
        <v>1.7004004333333329</v>
      </c>
      <c r="J596" s="1">
        <v>1.7004004333333329</v>
      </c>
    </row>
    <row r="597" spans="1:10">
      <c r="A597" s="1" t="s">
        <v>281</v>
      </c>
      <c r="B597" s="1" t="s">
        <v>103</v>
      </c>
      <c r="C597" s="1">
        <v>1.1232</v>
      </c>
      <c r="D597" s="1">
        <v>1.1232</v>
      </c>
      <c r="E597" s="1">
        <v>1.1232</v>
      </c>
      <c r="F597" s="1">
        <v>1.1232</v>
      </c>
      <c r="G597" s="1">
        <v>1.1232</v>
      </c>
      <c r="H597" s="1">
        <v>1.1232</v>
      </c>
      <c r="I597" s="1">
        <v>1.1232</v>
      </c>
      <c r="J597" s="1">
        <v>1.1232</v>
      </c>
    </row>
    <row r="598" spans="1:10">
      <c r="A598" s="1" t="s">
        <v>283</v>
      </c>
      <c r="B598" s="1" t="s">
        <v>103</v>
      </c>
      <c r="C598" s="1">
        <v>2.444</v>
      </c>
      <c r="D598" s="1">
        <v>2.444</v>
      </c>
      <c r="E598" s="1">
        <v>2.444</v>
      </c>
      <c r="F598" s="1">
        <v>2.444</v>
      </c>
      <c r="G598" s="1">
        <v>2.444</v>
      </c>
      <c r="H598" s="1">
        <v>2.444</v>
      </c>
      <c r="I598" s="1">
        <v>2.444</v>
      </c>
      <c r="J598" s="1">
        <v>2.444</v>
      </c>
    </row>
    <row r="599" spans="1:10">
      <c r="A599" s="1" t="s">
        <v>284</v>
      </c>
      <c r="B599" s="1" t="s">
        <v>103</v>
      </c>
      <c r="C599" s="1">
        <v>7.7416299999999989</v>
      </c>
      <c r="D599" s="1">
        <v>7.7416299999999989</v>
      </c>
      <c r="E599" s="1">
        <v>7.7416299999999989</v>
      </c>
      <c r="F599" s="1">
        <v>7.7416299999999989</v>
      </c>
      <c r="G599" s="1">
        <v>7.7416299999999989</v>
      </c>
      <c r="H599" s="1">
        <v>7.7416299999999989</v>
      </c>
      <c r="I599" s="1">
        <v>7.7416299999999989</v>
      </c>
      <c r="J599" s="1">
        <v>7.7416299999999989</v>
      </c>
    </row>
    <row r="600" spans="1:10">
      <c r="A600" s="1" t="s">
        <v>285</v>
      </c>
      <c r="B600" s="1" t="s">
        <v>103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</row>
    <row r="601" spans="1:10">
      <c r="A601" s="1" t="s">
        <v>286</v>
      </c>
      <c r="B601" s="1" t="s">
        <v>103</v>
      </c>
      <c r="C601" s="1">
        <v>7.7829179999999969</v>
      </c>
      <c r="D601" s="1">
        <v>7.7829179999999969</v>
      </c>
      <c r="E601" s="1">
        <v>7.7829179999999969</v>
      </c>
      <c r="F601" s="1">
        <v>7.7829179999999969</v>
      </c>
      <c r="G601" s="1">
        <v>7.7829179999999969</v>
      </c>
      <c r="H601" s="1">
        <v>7.7829179999999969</v>
      </c>
      <c r="I601" s="1">
        <v>7.7829179999999969</v>
      </c>
      <c r="J601" s="1">
        <v>7.7829179999999969</v>
      </c>
    </row>
    <row r="602" spans="1:10">
      <c r="A602" s="1" t="s">
        <v>287</v>
      </c>
      <c r="B602" s="1" t="s">
        <v>103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</row>
    <row r="603" spans="1:10">
      <c r="A603" s="1" t="s">
        <v>288</v>
      </c>
      <c r="B603" s="1" t="s">
        <v>103</v>
      </c>
      <c r="C603" s="1">
        <v>16.530799999999999</v>
      </c>
      <c r="D603" s="1">
        <v>16.530799999999999</v>
      </c>
      <c r="E603" s="1">
        <v>16.530799999999999</v>
      </c>
      <c r="F603" s="1">
        <v>16.530799999999999</v>
      </c>
      <c r="G603" s="1">
        <v>16.530799999999999</v>
      </c>
      <c r="H603" s="1">
        <v>16.530799999999999</v>
      </c>
      <c r="I603" s="1">
        <v>16.530799999999999</v>
      </c>
      <c r="J603" s="1">
        <v>16.530799999999999</v>
      </c>
    </row>
    <row r="604" spans="1:10">
      <c r="A604" s="1" t="s">
        <v>289</v>
      </c>
      <c r="B604" s="1" t="s">
        <v>103</v>
      </c>
      <c r="C604" s="1">
        <v>1.8355999999999999</v>
      </c>
      <c r="D604" s="1">
        <v>1.8355999999999999</v>
      </c>
      <c r="E604" s="1">
        <v>1.8355999999999999</v>
      </c>
      <c r="F604" s="1">
        <v>1.8355999999999999</v>
      </c>
      <c r="G604" s="1">
        <v>1.8355999999999999</v>
      </c>
      <c r="H604" s="1">
        <v>1.8355999999999999</v>
      </c>
      <c r="I604" s="1">
        <v>1.8355999999999999</v>
      </c>
      <c r="J604" s="1">
        <v>1.8355999999999999</v>
      </c>
    </row>
    <row r="605" spans="1:10">
      <c r="A605" s="1" t="s">
        <v>290</v>
      </c>
      <c r="B605" s="1" t="s">
        <v>103</v>
      </c>
      <c r="C605" s="1">
        <v>0.39000000000000046</v>
      </c>
      <c r="D605" s="1">
        <v>0.39000000000000046</v>
      </c>
      <c r="E605" s="1">
        <v>0.39000000000000046</v>
      </c>
      <c r="F605" s="1">
        <v>0.39000000000000046</v>
      </c>
      <c r="G605" s="1">
        <v>0.39000000000000046</v>
      </c>
      <c r="H605" s="1">
        <v>0.39000000000000046</v>
      </c>
      <c r="I605" s="1">
        <v>0.39000000000000046</v>
      </c>
      <c r="J605" s="1">
        <v>0.39000000000000046</v>
      </c>
    </row>
    <row r="606" spans="1:10">
      <c r="A606" s="1" t="s">
        <v>291</v>
      </c>
      <c r="B606" s="1" t="s">
        <v>103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</row>
    <row r="607" spans="1:10">
      <c r="A607" s="1" t="s">
        <v>292</v>
      </c>
      <c r="B607" s="1" t="s">
        <v>103</v>
      </c>
      <c r="C607" s="1">
        <v>0.37959999999999999</v>
      </c>
      <c r="D607" s="1">
        <v>0.37959999999999999</v>
      </c>
      <c r="E607" s="1">
        <v>0.37959999999999999</v>
      </c>
      <c r="F607" s="1">
        <v>0.37959999999999999</v>
      </c>
      <c r="G607" s="1">
        <v>0.37959999999999999</v>
      </c>
      <c r="H607" s="1">
        <v>0.37959999999999999</v>
      </c>
      <c r="I607" s="1">
        <v>0.37959999999999999</v>
      </c>
      <c r="J607" s="1">
        <v>0.37959999999999999</v>
      </c>
    </row>
    <row r="608" spans="1:10">
      <c r="A608" s="1" t="s">
        <v>293</v>
      </c>
      <c r="B608" s="1" t="s">
        <v>103</v>
      </c>
      <c r="C608" s="1">
        <v>19.6326</v>
      </c>
      <c r="D608" s="1">
        <v>19.6326</v>
      </c>
      <c r="E608" s="1">
        <v>19.6326</v>
      </c>
      <c r="F608" s="1">
        <v>19.6326</v>
      </c>
      <c r="G608" s="1">
        <v>19.6326</v>
      </c>
      <c r="H608" s="1">
        <v>19.6326</v>
      </c>
      <c r="I608" s="1">
        <v>19.6326</v>
      </c>
      <c r="J608" s="1">
        <v>19.6326</v>
      </c>
    </row>
    <row r="609" spans="1:10">
      <c r="A609" s="1" t="s">
        <v>294</v>
      </c>
      <c r="B609" s="1" t="s">
        <v>103</v>
      </c>
      <c r="C609" s="1">
        <v>1.573</v>
      </c>
      <c r="D609" s="1">
        <v>1.573</v>
      </c>
      <c r="E609" s="1">
        <v>1.573</v>
      </c>
      <c r="F609" s="1">
        <v>1.573</v>
      </c>
      <c r="G609" s="1">
        <v>1.573</v>
      </c>
      <c r="H609" s="1">
        <v>1.573</v>
      </c>
      <c r="I609" s="1">
        <v>1.573</v>
      </c>
      <c r="J609" s="1">
        <v>1.573</v>
      </c>
    </row>
    <row r="610" spans="1:10">
      <c r="A610" s="1" t="s">
        <v>297</v>
      </c>
      <c r="B610" s="1" t="s">
        <v>103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</row>
    <row r="611" spans="1:10">
      <c r="A611" s="1" t="s">
        <v>299</v>
      </c>
      <c r="B611" s="1" t="s">
        <v>103</v>
      </c>
      <c r="C611" s="1">
        <v>1.8369000000000002</v>
      </c>
      <c r="D611" s="1">
        <v>1.8369000000000002</v>
      </c>
      <c r="E611" s="1">
        <v>1.8369000000000002</v>
      </c>
      <c r="F611" s="1">
        <v>1.8369000000000002</v>
      </c>
      <c r="G611" s="1">
        <v>1.8369000000000002</v>
      </c>
      <c r="H611" s="1">
        <v>1.8369000000000002</v>
      </c>
      <c r="I611" s="1">
        <v>1.8369000000000002</v>
      </c>
      <c r="J611" s="1">
        <v>1.8369000000000002</v>
      </c>
    </row>
    <row r="612" spans="1:10">
      <c r="A612" s="1" t="s">
        <v>300</v>
      </c>
      <c r="B612" s="1" t="s">
        <v>103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</row>
    <row r="613" spans="1:10">
      <c r="A613" s="1" t="s">
        <v>301</v>
      </c>
      <c r="B613" s="1" t="s">
        <v>103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</row>
    <row r="614" spans="1:10">
      <c r="A614" s="1" t="s">
        <v>303</v>
      </c>
      <c r="B614" s="1" t="s">
        <v>103</v>
      </c>
      <c r="C614" s="1">
        <v>6.4740000000000011</v>
      </c>
      <c r="D614" s="1">
        <v>6.4740000000000011</v>
      </c>
      <c r="E614" s="1">
        <v>6.4740000000000011</v>
      </c>
      <c r="F614" s="1">
        <v>6.4740000000000011</v>
      </c>
      <c r="G614" s="1">
        <v>6.4740000000000011</v>
      </c>
      <c r="H614" s="1">
        <v>6.4740000000000011</v>
      </c>
      <c r="I614" s="1">
        <v>6.4740000000000011</v>
      </c>
      <c r="J614" s="1">
        <v>6.4740000000000011</v>
      </c>
    </row>
    <row r="615" spans="1:10">
      <c r="A615" s="1" t="s">
        <v>304</v>
      </c>
      <c r="B615" s="1" t="s">
        <v>103</v>
      </c>
      <c r="C615" s="1">
        <v>0.2339999999999999</v>
      </c>
      <c r="D615" s="1">
        <v>0.2339999999999999</v>
      </c>
      <c r="E615" s="1">
        <v>0.2339999999999999</v>
      </c>
      <c r="F615" s="1">
        <v>0.2339999999999999</v>
      </c>
      <c r="G615" s="1">
        <v>0.2339999999999999</v>
      </c>
      <c r="H615" s="1">
        <v>0.2339999999999999</v>
      </c>
      <c r="I615" s="1">
        <v>0.2339999999999999</v>
      </c>
      <c r="J615" s="1">
        <v>0.2339999999999999</v>
      </c>
    </row>
    <row r="616" spans="1:10">
      <c r="A616" s="1" t="s">
        <v>305</v>
      </c>
      <c r="B616" s="1" t="s">
        <v>103</v>
      </c>
      <c r="C616" s="1">
        <v>1.2573080000000003</v>
      </c>
      <c r="D616" s="1">
        <v>1.2573080000000003</v>
      </c>
      <c r="E616" s="1">
        <v>1.2573080000000003</v>
      </c>
      <c r="F616" s="1">
        <v>1.2573080000000003</v>
      </c>
      <c r="G616" s="1">
        <v>1.2573080000000003</v>
      </c>
      <c r="H616" s="1">
        <v>1.2573080000000003</v>
      </c>
      <c r="I616" s="1">
        <v>1.2573080000000003</v>
      </c>
      <c r="J616" s="1">
        <v>1.2573080000000003</v>
      </c>
    </row>
    <row r="617" spans="1:10">
      <c r="A617" s="1" t="s">
        <v>307</v>
      </c>
      <c r="B617" s="1" t="s">
        <v>103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</row>
    <row r="618" spans="1:10">
      <c r="A618" s="1" t="s">
        <v>308</v>
      </c>
      <c r="B618" s="1" t="s">
        <v>103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</row>
    <row r="619" spans="1:10">
      <c r="A619" s="1" t="s">
        <v>309</v>
      </c>
      <c r="B619" s="1" t="s">
        <v>103</v>
      </c>
      <c r="C619" s="1">
        <v>1.1700000000000002</v>
      </c>
      <c r="D619" s="1">
        <v>1.1700000000000002</v>
      </c>
      <c r="E619" s="1">
        <v>1.1700000000000002</v>
      </c>
      <c r="F619" s="1">
        <v>1.1700000000000002</v>
      </c>
      <c r="G619" s="1">
        <v>1.1700000000000002</v>
      </c>
      <c r="H619" s="1">
        <v>1.1700000000000002</v>
      </c>
      <c r="I619" s="1">
        <v>1.1700000000000002</v>
      </c>
      <c r="J619" s="1">
        <v>1.1700000000000002</v>
      </c>
    </row>
    <row r="620" spans="1:10">
      <c r="A620" s="1" t="s">
        <v>310</v>
      </c>
      <c r="B620" s="1" t="s">
        <v>103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</row>
    <row r="621" spans="1:10">
      <c r="A621" s="1" t="s">
        <v>278</v>
      </c>
      <c r="B621" s="1" t="s">
        <v>102</v>
      </c>
      <c r="C621" s="38">
        <v>7.8181999999999992</v>
      </c>
      <c r="D621" s="38">
        <v>7.8181999999999992</v>
      </c>
      <c r="E621" s="38">
        <v>7.8181999999999992</v>
      </c>
      <c r="F621" s="38">
        <v>7.8181999999999992</v>
      </c>
      <c r="G621" s="38">
        <v>7.8181999999999992</v>
      </c>
      <c r="H621" s="38">
        <v>7.8181999999999992</v>
      </c>
      <c r="I621" s="38">
        <v>7.8181999999999992</v>
      </c>
      <c r="J621" s="38">
        <v>7.8181999999999992</v>
      </c>
    </row>
    <row r="622" spans="1:10">
      <c r="A622" s="1" t="s">
        <v>280</v>
      </c>
      <c r="B622" s="1" t="s">
        <v>102</v>
      </c>
      <c r="C622" s="38">
        <v>0.1549166666666667</v>
      </c>
      <c r="D622" s="38">
        <v>0.1549166666666667</v>
      </c>
      <c r="E622" s="38">
        <v>0.1549166666666667</v>
      </c>
      <c r="F622" s="38">
        <v>0.1549166666666667</v>
      </c>
      <c r="G622" s="38">
        <v>0.1549166666666667</v>
      </c>
      <c r="H622" s="38">
        <v>0.1549166666666667</v>
      </c>
      <c r="I622" s="38">
        <v>0.1549166666666667</v>
      </c>
      <c r="J622" s="38">
        <v>0.1549166666666667</v>
      </c>
    </row>
    <row r="623" spans="1:10">
      <c r="A623" s="1" t="s">
        <v>281</v>
      </c>
      <c r="B623" s="1" t="s">
        <v>102</v>
      </c>
      <c r="C623" s="38">
        <v>3.0329000000000002</v>
      </c>
      <c r="D623" s="38">
        <v>3.0329000000000002</v>
      </c>
      <c r="E623" s="38">
        <v>3.0329000000000002</v>
      </c>
      <c r="F623" s="38">
        <v>3.0329000000000002</v>
      </c>
      <c r="G623" s="38">
        <v>3.0329000000000002</v>
      </c>
      <c r="H623" s="38">
        <v>3.0329000000000002</v>
      </c>
      <c r="I623" s="38">
        <v>3.0329000000000002</v>
      </c>
      <c r="J623" s="38">
        <v>3.0329000000000002</v>
      </c>
    </row>
    <row r="624" spans="1:10">
      <c r="A624" s="1" t="s">
        <v>283</v>
      </c>
      <c r="B624" s="1" t="s">
        <v>102</v>
      </c>
      <c r="C624" s="38">
        <v>0.32500000000000001</v>
      </c>
      <c r="D624" s="38">
        <v>0.32500000000000001</v>
      </c>
      <c r="E624" s="38">
        <v>0.32500000000000001</v>
      </c>
      <c r="F624" s="38">
        <v>0.32500000000000001</v>
      </c>
      <c r="G624" s="38">
        <v>0.32500000000000001</v>
      </c>
      <c r="H624" s="38">
        <v>0.32500000000000001</v>
      </c>
      <c r="I624" s="38">
        <v>0.32500000000000001</v>
      </c>
      <c r="J624" s="38">
        <v>0.32500000000000001</v>
      </c>
    </row>
    <row r="625" spans="1:10">
      <c r="A625" s="1" t="s">
        <v>284</v>
      </c>
      <c r="B625" s="1" t="s">
        <v>102</v>
      </c>
      <c r="C625" s="38">
        <v>9.2752400000000019</v>
      </c>
      <c r="D625" s="38">
        <v>9.2752400000000019</v>
      </c>
      <c r="E625" s="38">
        <v>9.2752400000000019</v>
      </c>
      <c r="F625" s="38">
        <v>9.2752400000000019</v>
      </c>
      <c r="G625" s="38">
        <v>9.2752400000000019</v>
      </c>
      <c r="H625" s="38">
        <v>9.2752400000000019</v>
      </c>
      <c r="I625" s="38">
        <v>9.2752400000000019</v>
      </c>
      <c r="J625" s="38">
        <v>9.2752400000000019</v>
      </c>
    </row>
    <row r="626" spans="1:10">
      <c r="A626" s="1" t="s">
        <v>285</v>
      </c>
      <c r="B626" s="1" t="s">
        <v>102</v>
      </c>
      <c r="C626" s="38">
        <v>0</v>
      </c>
      <c r="D626" s="38">
        <v>0</v>
      </c>
      <c r="E626" s="38">
        <v>0</v>
      </c>
      <c r="F626" s="38">
        <v>0</v>
      </c>
      <c r="G626" s="38">
        <v>0</v>
      </c>
      <c r="H626" s="38">
        <v>0</v>
      </c>
      <c r="I626" s="38">
        <v>0</v>
      </c>
      <c r="J626" s="38">
        <v>0</v>
      </c>
    </row>
    <row r="627" spans="1:10">
      <c r="A627" s="1" t="s">
        <v>286</v>
      </c>
      <c r="B627" s="1" t="s">
        <v>102</v>
      </c>
      <c r="C627" s="38">
        <v>18.613846151510209</v>
      </c>
      <c r="D627" s="38">
        <v>18.613846151510209</v>
      </c>
      <c r="E627" s="38">
        <v>18.613846151510209</v>
      </c>
      <c r="F627" s="38">
        <v>18.613846151510209</v>
      </c>
      <c r="G627" s="38">
        <v>18.613846151510209</v>
      </c>
      <c r="H627" s="38">
        <v>18.613846151510209</v>
      </c>
      <c r="I627" s="38">
        <v>18.613846151510209</v>
      </c>
      <c r="J627" s="38">
        <v>18.613846151510209</v>
      </c>
    </row>
    <row r="628" spans="1:10">
      <c r="A628" s="1" t="s">
        <v>287</v>
      </c>
      <c r="B628" s="1" t="s">
        <v>102</v>
      </c>
      <c r="C628" s="38">
        <v>4.0949999999999998</v>
      </c>
      <c r="D628" s="38">
        <v>4.0949999999999998</v>
      </c>
      <c r="E628" s="38">
        <v>4.0949999999999998</v>
      </c>
      <c r="F628" s="38">
        <v>4.0949999999999998</v>
      </c>
      <c r="G628" s="38">
        <v>4.0949999999999998</v>
      </c>
      <c r="H628" s="38">
        <v>4.0949999999999998</v>
      </c>
      <c r="I628" s="38">
        <v>4.0949999999999998</v>
      </c>
      <c r="J628" s="38">
        <v>4.0949999999999998</v>
      </c>
    </row>
    <row r="629" spans="1:10">
      <c r="A629" s="1" t="s">
        <v>288</v>
      </c>
      <c r="B629" s="1" t="s">
        <v>102</v>
      </c>
      <c r="C629" s="38">
        <v>13.422499999999999</v>
      </c>
      <c r="D629" s="38">
        <v>13.422499999999999</v>
      </c>
      <c r="E629" s="38">
        <v>13.422499999999999</v>
      </c>
      <c r="F629" s="38">
        <v>13.422499999999999</v>
      </c>
      <c r="G629" s="38">
        <v>13.422499999999999</v>
      </c>
      <c r="H629" s="38">
        <v>13.422499999999999</v>
      </c>
      <c r="I629" s="38">
        <v>13.422499999999999</v>
      </c>
      <c r="J629" s="38">
        <v>13.422499999999999</v>
      </c>
    </row>
    <row r="630" spans="1:10">
      <c r="A630" s="1" t="s">
        <v>289</v>
      </c>
      <c r="B630" s="1" t="s">
        <v>102</v>
      </c>
      <c r="C630" s="38">
        <v>0.29380000000000001</v>
      </c>
      <c r="D630" s="38">
        <v>0.29380000000000001</v>
      </c>
      <c r="E630" s="38">
        <v>0.29380000000000001</v>
      </c>
      <c r="F630" s="38">
        <v>0.29380000000000001</v>
      </c>
      <c r="G630" s="38">
        <v>0.29380000000000001</v>
      </c>
      <c r="H630" s="38">
        <v>0.29380000000000001</v>
      </c>
      <c r="I630" s="38">
        <v>0.29380000000000001</v>
      </c>
      <c r="J630" s="38">
        <v>0.29380000000000001</v>
      </c>
    </row>
    <row r="631" spans="1:10">
      <c r="A631" s="1" t="s">
        <v>290</v>
      </c>
      <c r="B631" s="1" t="s">
        <v>102</v>
      </c>
      <c r="C631" s="38">
        <v>2.4699999999999998</v>
      </c>
      <c r="D631" s="38">
        <v>2.4699999999999998</v>
      </c>
      <c r="E631" s="38">
        <v>2.4699999999999998</v>
      </c>
      <c r="F631" s="38">
        <v>2.4699999999999998</v>
      </c>
      <c r="G631" s="38">
        <v>2.4699999999999998</v>
      </c>
      <c r="H631" s="38">
        <v>2.4699999999999998</v>
      </c>
      <c r="I631" s="38">
        <v>2.4699999999999998</v>
      </c>
      <c r="J631" s="38">
        <v>2.4699999999999998</v>
      </c>
    </row>
    <row r="632" spans="1:10">
      <c r="A632" s="1" t="s">
        <v>291</v>
      </c>
      <c r="B632" s="1" t="s">
        <v>102</v>
      </c>
      <c r="C632" s="38">
        <v>6.5000000000000002E-2</v>
      </c>
      <c r="D632" s="38">
        <v>6.5000000000000002E-2</v>
      </c>
      <c r="E632" s="38">
        <v>6.5000000000000002E-2</v>
      </c>
      <c r="F632" s="38">
        <v>6.5000000000000002E-2</v>
      </c>
      <c r="G632" s="38">
        <v>6.5000000000000002E-2</v>
      </c>
      <c r="H632" s="38">
        <v>6.5000000000000002E-2</v>
      </c>
      <c r="I632" s="38">
        <v>6.5000000000000002E-2</v>
      </c>
      <c r="J632" s="38">
        <v>6.5000000000000002E-2</v>
      </c>
    </row>
    <row r="633" spans="1:10">
      <c r="A633" s="1" t="s">
        <v>292</v>
      </c>
      <c r="B633" s="1" t="s">
        <v>102</v>
      </c>
      <c r="C633" s="38">
        <v>0.30940000000000001</v>
      </c>
      <c r="D633" s="38">
        <v>0.30940000000000001</v>
      </c>
      <c r="E633" s="38">
        <v>0.30940000000000001</v>
      </c>
      <c r="F633" s="38">
        <v>0.30940000000000001</v>
      </c>
      <c r="G633" s="38">
        <v>0.30940000000000001</v>
      </c>
      <c r="H633" s="38">
        <v>0.30940000000000001</v>
      </c>
      <c r="I633" s="38">
        <v>0.30940000000000001</v>
      </c>
      <c r="J633" s="38">
        <v>0.30940000000000001</v>
      </c>
    </row>
    <row r="634" spans="1:10">
      <c r="A634" s="1" t="s">
        <v>293</v>
      </c>
      <c r="B634" s="1" t="s">
        <v>102</v>
      </c>
      <c r="C634" s="38">
        <v>9.5784000000000002</v>
      </c>
      <c r="D634" s="38">
        <v>9.5784000000000002</v>
      </c>
      <c r="E634" s="38">
        <v>9.5784000000000002</v>
      </c>
      <c r="F634" s="38">
        <v>9.5784000000000002</v>
      </c>
      <c r="G634" s="38">
        <v>9.5784000000000002</v>
      </c>
      <c r="H634" s="38">
        <v>9.5784000000000002</v>
      </c>
      <c r="I634" s="38">
        <v>9.5784000000000002</v>
      </c>
      <c r="J634" s="38">
        <v>9.5784000000000002</v>
      </c>
    </row>
    <row r="635" spans="1:10">
      <c r="A635" s="1" t="s">
        <v>294</v>
      </c>
      <c r="B635" s="1" t="s">
        <v>102</v>
      </c>
      <c r="C635" s="38">
        <v>5.2000000000000005E-2</v>
      </c>
      <c r="D635" s="38">
        <v>5.2000000000000005E-2</v>
      </c>
      <c r="E635" s="38">
        <v>5.2000000000000005E-2</v>
      </c>
      <c r="F635" s="38">
        <v>5.2000000000000005E-2</v>
      </c>
      <c r="G635" s="38">
        <v>5.2000000000000005E-2</v>
      </c>
      <c r="H635" s="38">
        <v>5.2000000000000005E-2</v>
      </c>
      <c r="I635" s="38">
        <v>5.2000000000000005E-2</v>
      </c>
      <c r="J635" s="38">
        <v>5.2000000000000005E-2</v>
      </c>
    </row>
    <row r="636" spans="1:10">
      <c r="A636" s="1" t="s">
        <v>297</v>
      </c>
      <c r="B636" s="1" t="s">
        <v>102</v>
      </c>
      <c r="C636" s="38">
        <v>4.9399999999999999E-2</v>
      </c>
      <c r="D636" s="38">
        <v>4.9399999999999999E-2</v>
      </c>
      <c r="E636" s="38">
        <v>4.9399999999999999E-2</v>
      </c>
      <c r="F636" s="38">
        <v>4.9399999999999999E-2</v>
      </c>
      <c r="G636" s="38">
        <v>4.9399999999999999E-2</v>
      </c>
      <c r="H636" s="38">
        <v>4.9399999999999999E-2</v>
      </c>
      <c r="I636" s="38">
        <v>4.9399999999999999E-2</v>
      </c>
      <c r="J636" s="38">
        <v>4.9399999999999999E-2</v>
      </c>
    </row>
    <row r="637" spans="1:10">
      <c r="A637" s="1" t="s">
        <v>299</v>
      </c>
      <c r="B637" s="1" t="s">
        <v>102</v>
      </c>
      <c r="C637" s="38">
        <v>1.2467000000000001</v>
      </c>
      <c r="D637" s="38">
        <v>1.2467000000000001</v>
      </c>
      <c r="E637" s="38">
        <v>1.2467000000000001</v>
      </c>
      <c r="F637" s="38">
        <v>1.2467000000000001</v>
      </c>
      <c r="G637" s="38">
        <v>1.2467000000000001</v>
      </c>
      <c r="H637" s="38">
        <v>1.2467000000000001</v>
      </c>
      <c r="I637" s="38">
        <v>1.2467000000000001</v>
      </c>
      <c r="J637" s="38">
        <v>1.2467000000000001</v>
      </c>
    </row>
    <row r="638" spans="1:10">
      <c r="A638" s="1" t="s">
        <v>300</v>
      </c>
      <c r="B638" s="1" t="s">
        <v>102</v>
      </c>
      <c r="C638" s="38">
        <v>8.7268999999999988</v>
      </c>
      <c r="D638" s="38">
        <v>8.7268999999999988</v>
      </c>
      <c r="E638" s="38">
        <v>8.7268999999999988</v>
      </c>
      <c r="F638" s="38">
        <v>8.7268999999999988</v>
      </c>
      <c r="G638" s="38">
        <v>8.7268999999999988</v>
      </c>
      <c r="H638" s="38">
        <v>8.7268999999999988</v>
      </c>
      <c r="I638" s="38">
        <v>8.7268999999999988</v>
      </c>
      <c r="J638" s="38">
        <v>8.7268999999999988</v>
      </c>
    </row>
    <row r="639" spans="1:10">
      <c r="A639" s="1" t="s">
        <v>301</v>
      </c>
      <c r="B639" s="1" t="s">
        <v>102</v>
      </c>
      <c r="C639" s="38">
        <v>8.3101232500000002</v>
      </c>
      <c r="D639" s="38">
        <v>8.3101232500000002</v>
      </c>
      <c r="E639" s="38">
        <v>8.3101232500000002</v>
      </c>
      <c r="F639" s="38">
        <v>8.3101232500000002</v>
      </c>
      <c r="G639" s="38">
        <v>8.3101232500000002</v>
      </c>
      <c r="H639" s="38">
        <v>8.3101232500000002</v>
      </c>
      <c r="I639" s="38">
        <v>8.3101232500000002</v>
      </c>
      <c r="J639" s="38">
        <v>8.3101232500000002</v>
      </c>
    </row>
    <row r="640" spans="1:10">
      <c r="A640" s="1" t="s">
        <v>303</v>
      </c>
      <c r="B640" s="1" t="s">
        <v>102</v>
      </c>
      <c r="C640" s="38">
        <v>14.586000000000002</v>
      </c>
      <c r="D640" s="38">
        <v>14.586000000000002</v>
      </c>
      <c r="E640" s="38">
        <v>14.586000000000002</v>
      </c>
      <c r="F640" s="38">
        <v>14.586000000000002</v>
      </c>
      <c r="G640" s="38">
        <v>14.586000000000002</v>
      </c>
      <c r="H640" s="38">
        <v>14.586000000000002</v>
      </c>
      <c r="I640" s="38">
        <v>14.586000000000002</v>
      </c>
      <c r="J640" s="38">
        <v>14.586000000000002</v>
      </c>
    </row>
    <row r="641" spans="1:11">
      <c r="A641" s="1" t="s">
        <v>304</v>
      </c>
      <c r="B641" s="1" t="s">
        <v>102</v>
      </c>
      <c r="C641" s="38">
        <v>1.3949</v>
      </c>
      <c r="D641" s="38">
        <v>1.3949</v>
      </c>
      <c r="E641" s="38">
        <v>1.3949</v>
      </c>
      <c r="F641" s="38">
        <v>1.3949</v>
      </c>
      <c r="G641" s="38">
        <v>1.3949</v>
      </c>
      <c r="H641" s="38">
        <v>1.3949</v>
      </c>
      <c r="I641" s="38">
        <v>1.3949</v>
      </c>
      <c r="J641" s="38">
        <v>1.3949</v>
      </c>
    </row>
    <row r="642" spans="1:11">
      <c r="A642" s="1" t="s">
        <v>305</v>
      </c>
      <c r="B642" s="1" t="s">
        <v>102</v>
      </c>
      <c r="C642" s="38">
        <v>2.038465</v>
      </c>
      <c r="D642" s="38">
        <v>2.038465</v>
      </c>
      <c r="E642" s="38">
        <v>2.038465</v>
      </c>
      <c r="F642" s="38">
        <v>2.038465</v>
      </c>
      <c r="G642" s="38">
        <v>2.038465</v>
      </c>
      <c r="H642" s="38">
        <v>2.038465</v>
      </c>
      <c r="I642" s="38">
        <v>2.038465</v>
      </c>
      <c r="J642" s="38">
        <v>2.038465</v>
      </c>
    </row>
    <row r="643" spans="1:11">
      <c r="A643" s="1" t="s">
        <v>307</v>
      </c>
      <c r="B643" s="1" t="s">
        <v>102</v>
      </c>
      <c r="C643" s="38">
        <v>1.4586000000000001</v>
      </c>
      <c r="D643" s="38">
        <v>1.4586000000000001</v>
      </c>
      <c r="E643" s="38">
        <v>1.4586000000000001</v>
      </c>
      <c r="F643" s="38">
        <v>1.4586000000000001</v>
      </c>
      <c r="G643" s="38">
        <v>1.4586000000000001</v>
      </c>
      <c r="H643" s="38">
        <v>1.4586000000000001</v>
      </c>
      <c r="I643" s="38">
        <v>1.4586000000000001</v>
      </c>
      <c r="J643" s="38">
        <v>1.4586000000000001</v>
      </c>
    </row>
    <row r="644" spans="1:11">
      <c r="A644" s="1" t="s">
        <v>308</v>
      </c>
      <c r="B644" s="1" t="s">
        <v>102</v>
      </c>
      <c r="C644" s="38">
        <v>0</v>
      </c>
      <c r="D644" s="38">
        <v>0</v>
      </c>
      <c r="E644" s="38">
        <v>0</v>
      </c>
      <c r="F644" s="38">
        <v>0</v>
      </c>
      <c r="G644" s="38">
        <v>0</v>
      </c>
      <c r="H644" s="38">
        <v>0</v>
      </c>
      <c r="I644" s="38">
        <v>0</v>
      </c>
      <c r="J644" s="38">
        <v>0</v>
      </c>
    </row>
    <row r="645" spans="1:11">
      <c r="A645" s="1" t="s">
        <v>309</v>
      </c>
      <c r="B645" s="1" t="s">
        <v>102</v>
      </c>
      <c r="C645" s="38">
        <v>0.16796000000000003</v>
      </c>
      <c r="D645" s="38">
        <v>0.16796000000000003</v>
      </c>
      <c r="E645" s="38">
        <v>0.16796000000000003</v>
      </c>
      <c r="F645" s="38">
        <v>0.16796000000000003</v>
      </c>
      <c r="G645" s="38">
        <v>0.16796000000000003</v>
      </c>
      <c r="H645" s="38">
        <v>0.16796000000000003</v>
      </c>
      <c r="I645" s="38">
        <v>0.16796000000000003</v>
      </c>
      <c r="J645" s="38">
        <v>0.16796000000000003</v>
      </c>
    </row>
    <row r="646" spans="1:11">
      <c r="A646" s="1" t="s">
        <v>310</v>
      </c>
      <c r="B646" s="1" t="s">
        <v>102</v>
      </c>
      <c r="C646" s="38">
        <v>2.0722</v>
      </c>
      <c r="D646" s="38">
        <v>2.0722</v>
      </c>
      <c r="E646" s="38">
        <v>2.0722</v>
      </c>
      <c r="F646" s="38">
        <v>2.0722</v>
      </c>
      <c r="G646" s="38">
        <v>2.0722</v>
      </c>
      <c r="H646" s="38">
        <v>2.0722</v>
      </c>
      <c r="I646" s="38">
        <v>2.0722</v>
      </c>
      <c r="J646" s="38">
        <v>2.0722</v>
      </c>
    </row>
    <row r="647" spans="1:11">
      <c r="A647" s="1" t="s">
        <v>356</v>
      </c>
      <c r="B647" s="41" t="s">
        <v>139</v>
      </c>
      <c r="C647" s="38">
        <v>0</v>
      </c>
      <c r="D647" s="38">
        <v>0</v>
      </c>
      <c r="E647" s="38">
        <v>0</v>
      </c>
      <c r="F647" s="38">
        <v>0</v>
      </c>
      <c r="G647" s="38">
        <v>0</v>
      </c>
      <c r="H647" s="38">
        <v>0</v>
      </c>
      <c r="I647" s="38">
        <v>0</v>
      </c>
      <c r="J647" s="38">
        <v>0</v>
      </c>
    </row>
    <row r="648" spans="1:11">
      <c r="A648" s="1" t="s">
        <v>356</v>
      </c>
      <c r="B648" s="1" t="s">
        <v>97</v>
      </c>
      <c r="C648" s="38">
        <v>101.14</v>
      </c>
      <c r="D648" s="38">
        <v>101.14</v>
      </c>
      <c r="E648" s="38">
        <v>101.14</v>
      </c>
      <c r="F648" s="38">
        <v>101.14</v>
      </c>
      <c r="G648" s="38">
        <v>101.14</v>
      </c>
      <c r="H648" s="38">
        <v>101.14</v>
      </c>
      <c r="I648" s="38">
        <v>101.14</v>
      </c>
      <c r="J648" s="38">
        <v>101.14</v>
      </c>
      <c r="K648" s="30" t="s">
        <v>359</v>
      </c>
    </row>
    <row r="649" spans="1:11">
      <c r="A649" s="1" t="s">
        <v>356</v>
      </c>
      <c r="B649" s="1" t="s">
        <v>96</v>
      </c>
      <c r="C649" s="38">
        <v>101.14</v>
      </c>
      <c r="D649" s="38">
        <v>101.14</v>
      </c>
      <c r="E649" s="38">
        <v>101.14</v>
      </c>
      <c r="F649" s="38">
        <v>101.14</v>
      </c>
      <c r="G649" s="38">
        <v>101.14</v>
      </c>
      <c r="H649" s="38">
        <v>101.14</v>
      </c>
      <c r="I649" s="38">
        <v>101.14</v>
      </c>
      <c r="J649" s="38">
        <v>101.14</v>
      </c>
      <c r="K649" s="30" t="s">
        <v>359</v>
      </c>
    </row>
    <row r="650" spans="1:11">
      <c r="A650" s="1" t="s">
        <v>356</v>
      </c>
      <c r="B650" s="1" t="s">
        <v>98</v>
      </c>
      <c r="C650" s="38">
        <v>101.14</v>
      </c>
      <c r="D650" s="38">
        <v>101.14</v>
      </c>
      <c r="E650" s="38">
        <v>101.14</v>
      </c>
      <c r="F650" s="38">
        <v>101.14</v>
      </c>
      <c r="G650" s="38">
        <v>101.14</v>
      </c>
      <c r="H650" s="38">
        <v>101.14</v>
      </c>
      <c r="I650" s="38">
        <v>101.14</v>
      </c>
      <c r="J650" s="38">
        <v>101.14</v>
      </c>
      <c r="K650" s="30" t="s">
        <v>359</v>
      </c>
    </row>
    <row r="651" spans="1:11">
      <c r="A651" s="1" t="s">
        <v>356</v>
      </c>
      <c r="B651" s="1" t="s">
        <v>170</v>
      </c>
      <c r="C651" s="38">
        <v>13</v>
      </c>
      <c r="D651" s="38">
        <v>13</v>
      </c>
      <c r="E651" s="38">
        <v>13</v>
      </c>
      <c r="F651" s="38">
        <v>13</v>
      </c>
      <c r="G651" s="38">
        <v>13</v>
      </c>
      <c r="H651" s="38">
        <v>13</v>
      </c>
      <c r="I651" s="38">
        <v>13</v>
      </c>
      <c r="J651" s="38">
        <v>13</v>
      </c>
      <c r="K651" s="30" t="s">
        <v>359</v>
      </c>
    </row>
    <row r="652" spans="1:11">
      <c r="A652" s="1" t="s">
        <v>356</v>
      </c>
      <c r="B652" s="1" t="s">
        <v>171</v>
      </c>
      <c r="C652" s="38">
        <v>13</v>
      </c>
      <c r="D652" s="38">
        <v>13</v>
      </c>
      <c r="E652" s="38">
        <v>13</v>
      </c>
      <c r="F652" s="38">
        <v>13</v>
      </c>
      <c r="G652" s="38">
        <v>13</v>
      </c>
      <c r="H652" s="38">
        <v>13</v>
      </c>
      <c r="I652" s="38">
        <v>13</v>
      </c>
      <c r="J652" s="38">
        <v>13</v>
      </c>
      <c r="K652" s="30" t="s">
        <v>359</v>
      </c>
    </row>
    <row r="653" spans="1:11">
      <c r="A653" s="1" t="s">
        <v>356</v>
      </c>
      <c r="B653" s="1" t="s">
        <v>172</v>
      </c>
      <c r="C653" s="38">
        <v>13</v>
      </c>
      <c r="D653" s="38">
        <v>13</v>
      </c>
      <c r="E653" s="38">
        <v>13</v>
      </c>
      <c r="F653" s="38">
        <v>13</v>
      </c>
      <c r="G653" s="38">
        <v>13</v>
      </c>
      <c r="H653" s="38">
        <v>13</v>
      </c>
      <c r="I653" s="38">
        <v>13</v>
      </c>
      <c r="J653" s="38">
        <v>13</v>
      </c>
      <c r="K653" s="30" t="s">
        <v>359</v>
      </c>
    </row>
    <row r="654" spans="1:11">
      <c r="A654" s="1" t="s">
        <v>356</v>
      </c>
      <c r="B654" s="1" t="s">
        <v>94</v>
      </c>
      <c r="C654" s="38">
        <v>191.035</v>
      </c>
      <c r="D654" s="38">
        <v>191.035</v>
      </c>
      <c r="E654" s="38">
        <v>191.035</v>
      </c>
      <c r="F654" s="38">
        <v>191.035</v>
      </c>
      <c r="G654" s="38">
        <v>191.035</v>
      </c>
      <c r="H654" s="38">
        <v>191.035</v>
      </c>
      <c r="I654" s="38">
        <v>191.035</v>
      </c>
      <c r="J654" s="38">
        <v>191.035</v>
      </c>
      <c r="K654" s="30" t="s">
        <v>359</v>
      </c>
    </row>
    <row r="655" spans="1:11">
      <c r="A655" s="1" t="s">
        <v>356</v>
      </c>
      <c r="B655" s="1" t="s">
        <v>93</v>
      </c>
      <c r="C655" s="38">
        <v>191.035</v>
      </c>
      <c r="D655" s="38">
        <v>191.035</v>
      </c>
      <c r="E655" s="38">
        <v>191.035</v>
      </c>
      <c r="F655" s="38">
        <v>191.035</v>
      </c>
      <c r="G655" s="38">
        <v>191.035</v>
      </c>
      <c r="H655" s="38">
        <v>191.035</v>
      </c>
      <c r="I655" s="38">
        <v>191.035</v>
      </c>
      <c r="J655" s="38">
        <v>191.035</v>
      </c>
      <c r="K655" s="30" t="s">
        <v>359</v>
      </c>
    </row>
    <row r="656" spans="1:11">
      <c r="A656" s="1" t="s">
        <v>356</v>
      </c>
      <c r="B656" s="1" t="s">
        <v>95</v>
      </c>
      <c r="C656" s="38">
        <v>191.035</v>
      </c>
      <c r="D656" s="38">
        <v>191.035</v>
      </c>
      <c r="E656" s="38">
        <v>191.035</v>
      </c>
      <c r="F656" s="38">
        <v>191.035</v>
      </c>
      <c r="G656" s="38">
        <v>191.035</v>
      </c>
      <c r="H656" s="38">
        <v>191.035</v>
      </c>
      <c r="I656" s="38">
        <v>191.035</v>
      </c>
      <c r="J656" s="38">
        <v>191.035</v>
      </c>
      <c r="K656" s="30" t="s">
        <v>359</v>
      </c>
    </row>
    <row r="657" spans="1:11">
      <c r="A657" s="1" t="s">
        <v>356</v>
      </c>
      <c r="B657" s="1" t="s">
        <v>100</v>
      </c>
      <c r="C657" s="38">
        <v>9168.119999999999</v>
      </c>
      <c r="D657" s="38">
        <v>9168.119999999999</v>
      </c>
      <c r="E657" s="38">
        <v>9168.119999999999</v>
      </c>
      <c r="F657" s="38">
        <v>9168.119999999999</v>
      </c>
      <c r="G657" s="38">
        <v>9168.119999999999</v>
      </c>
      <c r="H657" s="38">
        <v>9168.119999999999</v>
      </c>
      <c r="I657" s="38">
        <v>9168.119999999999</v>
      </c>
      <c r="J657" s="38">
        <v>9168.119999999999</v>
      </c>
      <c r="K657" s="30" t="s">
        <v>359</v>
      </c>
    </row>
    <row r="658" spans="1:11">
      <c r="A658" s="1" t="s">
        <v>356</v>
      </c>
      <c r="B658" s="1" t="s">
        <v>175</v>
      </c>
      <c r="C658" s="38">
        <v>70.639302822095772</v>
      </c>
      <c r="D658" s="38">
        <v>70.639302822095772</v>
      </c>
      <c r="E658" s="38">
        <v>70.639302822095772</v>
      </c>
      <c r="F658" s="38">
        <v>70.639302822095772</v>
      </c>
      <c r="G658" s="38">
        <v>70.639302822095772</v>
      </c>
      <c r="H658" s="38">
        <v>70.639302822095772</v>
      </c>
      <c r="I658" s="38">
        <v>70.639302822095772</v>
      </c>
      <c r="J658" s="38">
        <v>70.639302822095772</v>
      </c>
      <c r="K658" s="30" t="s">
        <v>359</v>
      </c>
    </row>
    <row r="659" spans="1:11">
      <c r="A659" s="1" t="s">
        <v>356</v>
      </c>
      <c r="B659" s="1" t="s">
        <v>176</v>
      </c>
      <c r="C659" s="38">
        <v>100.18881111063871</v>
      </c>
      <c r="D659" s="38">
        <v>100.18881111063871</v>
      </c>
      <c r="E659" s="38">
        <v>100.18881111063871</v>
      </c>
      <c r="F659" s="38">
        <v>100.18881111063871</v>
      </c>
      <c r="G659" s="38">
        <v>100.18881111063871</v>
      </c>
      <c r="H659" s="38">
        <v>100.18881111063871</v>
      </c>
      <c r="I659" s="38">
        <v>100.18881111063871</v>
      </c>
      <c r="J659" s="38">
        <v>100.18881111063871</v>
      </c>
      <c r="K659" s="30" t="s">
        <v>359</v>
      </c>
    </row>
    <row r="660" spans="1:11">
      <c r="A660" s="1" t="s">
        <v>356</v>
      </c>
      <c r="B660" s="1" t="s">
        <v>177</v>
      </c>
      <c r="C660" s="38">
        <v>1299998.7</v>
      </c>
      <c r="D660" s="38">
        <v>1299998.7</v>
      </c>
      <c r="E660" s="38">
        <v>1299998.7</v>
      </c>
      <c r="F660" s="38">
        <v>1299998.7</v>
      </c>
      <c r="G660" s="38">
        <v>1299998.7</v>
      </c>
      <c r="H660" s="38">
        <v>1299998.7</v>
      </c>
      <c r="I660" s="38">
        <v>1299998.7</v>
      </c>
      <c r="J660" s="38">
        <v>1299998.7</v>
      </c>
      <c r="K660" s="30" t="s">
        <v>359</v>
      </c>
    </row>
    <row r="661" spans="1:11">
      <c r="A661" s="1" t="s">
        <v>356</v>
      </c>
      <c r="B661" s="1" t="s">
        <v>178</v>
      </c>
      <c r="C661" s="38">
        <v>1299998.7</v>
      </c>
      <c r="D661" s="38">
        <v>1299998.7</v>
      </c>
      <c r="E661" s="38">
        <v>1299998.7</v>
      </c>
      <c r="F661" s="38">
        <v>1299998.7</v>
      </c>
      <c r="G661" s="38">
        <v>1299998.7</v>
      </c>
      <c r="H661" s="38">
        <v>1299998.7</v>
      </c>
      <c r="I661" s="38">
        <v>1299998.7</v>
      </c>
      <c r="J661" s="38">
        <v>1299998.7</v>
      </c>
      <c r="K661" s="30" t="s">
        <v>359</v>
      </c>
    </row>
    <row r="662" spans="1:11">
      <c r="A662" s="1" t="s">
        <v>356</v>
      </c>
      <c r="B662" s="1" t="s">
        <v>234</v>
      </c>
      <c r="C662" s="38">
        <v>91.831093668724506</v>
      </c>
      <c r="D662" s="38">
        <v>91.831093668724506</v>
      </c>
      <c r="E662" s="38">
        <v>91.831093668724506</v>
      </c>
      <c r="F662" s="38">
        <v>91.831093668724506</v>
      </c>
      <c r="G662" s="38">
        <v>91.831093668724506</v>
      </c>
      <c r="H662" s="38">
        <v>91.831093668724506</v>
      </c>
      <c r="I662" s="38">
        <v>91.831093668724506</v>
      </c>
      <c r="J662" s="38">
        <v>91.831093668724506</v>
      </c>
      <c r="K662" s="30" t="s">
        <v>359</v>
      </c>
    </row>
    <row r="663" spans="1:11">
      <c r="A663" s="1" t="s">
        <v>356</v>
      </c>
      <c r="B663" s="1" t="s">
        <v>238</v>
      </c>
      <c r="C663" s="38">
        <v>130.24545444383034</v>
      </c>
      <c r="D663" s="38">
        <v>130.24545444383034</v>
      </c>
      <c r="E663" s="38">
        <v>130.24545444383034</v>
      </c>
      <c r="F663" s="38">
        <v>130.24545444383034</v>
      </c>
      <c r="G663" s="38">
        <v>130.24545444383034</v>
      </c>
      <c r="H663" s="38">
        <v>130.24545444383034</v>
      </c>
      <c r="I663" s="38">
        <v>130.24545444383034</v>
      </c>
      <c r="J663" s="38">
        <v>130.24545444383034</v>
      </c>
      <c r="K663" s="30" t="s">
        <v>359</v>
      </c>
    </row>
    <row r="664" spans="1:11">
      <c r="A664" s="1" t="s">
        <v>356</v>
      </c>
      <c r="B664" s="1" t="s">
        <v>104</v>
      </c>
      <c r="C664" s="38">
        <v>0</v>
      </c>
      <c r="D664" s="38">
        <v>0</v>
      </c>
      <c r="E664" s="38">
        <v>0</v>
      </c>
      <c r="F664" s="38">
        <v>0</v>
      </c>
      <c r="G664" s="38">
        <v>0</v>
      </c>
      <c r="H664" s="38">
        <v>0</v>
      </c>
      <c r="I664" s="38">
        <v>0</v>
      </c>
      <c r="J664" s="38">
        <v>0</v>
      </c>
      <c r="K664" s="30" t="s">
        <v>359</v>
      </c>
    </row>
    <row r="665" spans="1:11">
      <c r="A665" s="1" t="s">
        <v>356</v>
      </c>
      <c r="B665" s="1" t="s">
        <v>105</v>
      </c>
      <c r="C665" s="38">
        <v>0</v>
      </c>
      <c r="D665" s="38">
        <v>0</v>
      </c>
      <c r="E665" s="38">
        <v>0</v>
      </c>
      <c r="F665" s="38">
        <v>0</v>
      </c>
      <c r="G665" s="38">
        <v>0</v>
      </c>
      <c r="H665" s="38">
        <v>0</v>
      </c>
      <c r="I665" s="38">
        <v>0</v>
      </c>
      <c r="J665" s="38">
        <v>0</v>
      </c>
      <c r="K665" s="30" t="s">
        <v>359</v>
      </c>
    </row>
    <row r="666" spans="1:11">
      <c r="A666" s="1" t="s">
        <v>356</v>
      </c>
      <c r="B666" s="1" t="s">
        <v>102</v>
      </c>
      <c r="C666" s="38">
        <v>40.82</v>
      </c>
      <c r="D666" s="38">
        <v>40.82</v>
      </c>
      <c r="E666" s="38">
        <v>40.82</v>
      </c>
      <c r="F666" s="38">
        <v>40.82</v>
      </c>
      <c r="G666" s="38">
        <v>40.82</v>
      </c>
      <c r="H666" s="38">
        <v>40.82</v>
      </c>
      <c r="I666" s="38">
        <v>40.82</v>
      </c>
      <c r="J666" s="38">
        <v>40.82</v>
      </c>
      <c r="K666" s="30" t="s">
        <v>359</v>
      </c>
    </row>
    <row r="667" spans="1:11">
      <c r="A667" s="1" t="s">
        <v>356</v>
      </c>
      <c r="B667" s="1" t="s">
        <v>103</v>
      </c>
      <c r="C667" s="38">
        <v>15.08</v>
      </c>
      <c r="D667" s="38">
        <v>15.08</v>
      </c>
      <c r="E667" s="38">
        <v>15.08</v>
      </c>
      <c r="F667" s="38">
        <v>15.08</v>
      </c>
      <c r="G667" s="38">
        <v>15.08</v>
      </c>
      <c r="H667" s="38">
        <v>15.08</v>
      </c>
      <c r="I667" s="38">
        <v>15.08</v>
      </c>
      <c r="J667" s="38">
        <v>15.08</v>
      </c>
      <c r="K667" s="30" t="s">
        <v>359</v>
      </c>
    </row>
    <row r="668" spans="1:11">
      <c r="A668" s="1" t="s">
        <v>278</v>
      </c>
      <c r="B668" s="1" t="s">
        <v>93</v>
      </c>
      <c r="C668" s="41">
        <v>13.041779427083334</v>
      </c>
      <c r="D668" s="41">
        <v>13.041779427083334</v>
      </c>
      <c r="E668" s="41">
        <v>13.041779427083334</v>
      </c>
      <c r="F668" s="41">
        <v>13.041779427083334</v>
      </c>
      <c r="G668" s="41">
        <v>13.041779427083334</v>
      </c>
      <c r="H668" s="41">
        <v>13.041779427083334</v>
      </c>
      <c r="I668" s="41">
        <v>13.041779427083334</v>
      </c>
      <c r="J668" s="41">
        <v>13.041779427083334</v>
      </c>
    </row>
    <row r="669" spans="1:11">
      <c r="A669" s="1" t="s">
        <v>280</v>
      </c>
      <c r="B669" s="1" t="s">
        <v>93</v>
      </c>
      <c r="C669" s="41">
        <v>12.642348291015626</v>
      </c>
      <c r="D669" s="41">
        <v>12.642348291015626</v>
      </c>
      <c r="E669" s="41">
        <v>12.642348291015626</v>
      </c>
      <c r="F669" s="41">
        <v>12.642348291015626</v>
      </c>
      <c r="G669" s="41">
        <v>12.642348291015626</v>
      </c>
      <c r="H669" s="41">
        <v>12.642348291015626</v>
      </c>
      <c r="I669" s="41">
        <v>12.642348291015626</v>
      </c>
      <c r="J669" s="41">
        <v>12.642348291015626</v>
      </c>
    </row>
    <row r="670" spans="1:11">
      <c r="A670" s="1" t="s">
        <v>281</v>
      </c>
      <c r="B670" s="1" t="s">
        <v>93</v>
      </c>
      <c r="C670" s="41">
        <v>7.3091247395833339</v>
      </c>
      <c r="D670" s="41">
        <v>7.3091247395833339</v>
      </c>
      <c r="E670" s="41">
        <v>7.3091247395833339</v>
      </c>
      <c r="F670" s="41">
        <v>7.3091247395833339</v>
      </c>
      <c r="G670" s="41">
        <v>7.3091247395833339</v>
      </c>
      <c r="H670" s="41">
        <v>7.3091247395833339</v>
      </c>
      <c r="I670" s="41">
        <v>7.3091247395833339</v>
      </c>
      <c r="J670" s="41">
        <v>7.3091247395833339</v>
      </c>
    </row>
    <row r="671" spans="1:11">
      <c r="A671" s="1" t="s">
        <v>283</v>
      </c>
      <c r="B671" s="1" t="s">
        <v>93</v>
      </c>
      <c r="C671" s="41">
        <v>16.458284375000002</v>
      </c>
      <c r="D671" s="41">
        <v>16.458284375000002</v>
      </c>
      <c r="E671" s="41">
        <v>16.458284375000002</v>
      </c>
      <c r="F671" s="41">
        <v>16.458284375000002</v>
      </c>
      <c r="G671" s="41">
        <v>16.458284375000002</v>
      </c>
      <c r="H671" s="41">
        <v>16.458284375000002</v>
      </c>
      <c r="I671" s="41">
        <v>16.458284375000002</v>
      </c>
      <c r="J671" s="41">
        <v>16.458284375000002</v>
      </c>
    </row>
    <row r="672" spans="1:11">
      <c r="A672" s="1" t="s">
        <v>284</v>
      </c>
      <c r="B672" s="1" t="s">
        <v>93</v>
      </c>
      <c r="C672" s="41">
        <v>85.873092838541666</v>
      </c>
      <c r="D672" s="41">
        <v>85.873092838541666</v>
      </c>
      <c r="E672" s="41">
        <v>85.873092838541666</v>
      </c>
      <c r="F672" s="41">
        <v>85.873092838541666</v>
      </c>
      <c r="G672" s="41">
        <v>85.873092838541666</v>
      </c>
      <c r="H672" s="41">
        <v>85.873092838541666</v>
      </c>
      <c r="I672" s="41">
        <v>85.873092838541666</v>
      </c>
      <c r="J672" s="41">
        <v>85.873092838541666</v>
      </c>
    </row>
    <row r="673" spans="1:10">
      <c r="A673" s="1" t="s">
        <v>285</v>
      </c>
      <c r="B673" s="1" t="s">
        <v>93</v>
      </c>
      <c r="C673" s="41">
        <v>7.550832486979167</v>
      </c>
      <c r="D673" s="41">
        <v>7.550832486979167</v>
      </c>
      <c r="E673" s="41">
        <v>7.550832486979167</v>
      </c>
      <c r="F673" s="41">
        <v>7.550832486979167</v>
      </c>
      <c r="G673" s="41">
        <v>7.550832486979167</v>
      </c>
      <c r="H673" s="41">
        <v>7.550832486979167</v>
      </c>
      <c r="I673" s="41">
        <v>7.550832486979167</v>
      </c>
      <c r="J673" s="41">
        <v>7.550832486979167</v>
      </c>
    </row>
    <row r="674" spans="1:10">
      <c r="A674" s="1" t="s">
        <v>308</v>
      </c>
      <c r="B674" s="1" t="s">
        <v>93</v>
      </c>
      <c r="C674" s="41">
        <v>1.1208379313151042</v>
      </c>
      <c r="D674" s="41">
        <v>1.1208379313151042</v>
      </c>
      <c r="E674" s="41">
        <v>1.1208379313151042</v>
      </c>
      <c r="F674" s="41">
        <v>1.1208379313151042</v>
      </c>
      <c r="G674" s="41">
        <v>1.1208379313151042</v>
      </c>
      <c r="H674" s="41">
        <v>1.1208379313151042</v>
      </c>
      <c r="I674" s="41">
        <v>1.1208379313151042</v>
      </c>
      <c r="J674" s="41">
        <v>1.1208379313151042</v>
      </c>
    </row>
    <row r="675" spans="1:10">
      <c r="A675" s="1" t="s">
        <v>286</v>
      </c>
      <c r="B675" s="1" t="s">
        <v>93</v>
      </c>
      <c r="C675" s="41">
        <v>105.3</v>
      </c>
      <c r="D675" s="41">
        <v>105.3</v>
      </c>
      <c r="E675" s="41">
        <v>105.3</v>
      </c>
      <c r="F675" s="41">
        <v>105.3</v>
      </c>
      <c r="G675" s="41">
        <v>105.3</v>
      </c>
      <c r="H675" s="41">
        <v>105.3</v>
      </c>
      <c r="I675" s="41">
        <v>105.3</v>
      </c>
      <c r="J675" s="41">
        <v>105.3</v>
      </c>
    </row>
    <row r="676" spans="1:10">
      <c r="A676" s="1" t="s">
        <v>287</v>
      </c>
      <c r="B676" s="1" t="s">
        <v>93</v>
      </c>
      <c r="C676" s="41">
        <v>11.272048209635418</v>
      </c>
      <c r="D676" s="41">
        <v>11.272048209635418</v>
      </c>
      <c r="E676" s="41">
        <v>11.272048209635418</v>
      </c>
      <c r="F676" s="41">
        <v>11.272048209635418</v>
      </c>
      <c r="G676" s="41">
        <v>11.272048209635418</v>
      </c>
      <c r="H676" s="41">
        <v>11.272048209635418</v>
      </c>
      <c r="I676" s="41">
        <v>11.272048209635418</v>
      </c>
      <c r="J676" s="41">
        <v>11.272048209635418</v>
      </c>
    </row>
    <row r="677" spans="1:10">
      <c r="A677" s="1" t="s">
        <v>288</v>
      </c>
      <c r="B677" s="1" t="s">
        <v>93</v>
      </c>
      <c r="C677" s="41">
        <v>98.964819010416676</v>
      </c>
      <c r="D677" s="41">
        <v>98.964819010416676</v>
      </c>
      <c r="E677" s="41">
        <v>98.964819010416676</v>
      </c>
      <c r="F677" s="41">
        <v>98.964819010416676</v>
      </c>
      <c r="G677" s="41">
        <v>98.964819010416676</v>
      </c>
      <c r="H677" s="41">
        <v>98.964819010416676</v>
      </c>
      <c r="I677" s="41">
        <v>98.964819010416676</v>
      </c>
      <c r="J677" s="41">
        <v>98.964819010416676</v>
      </c>
    </row>
    <row r="678" spans="1:10">
      <c r="A678" s="1" t="s">
        <v>289</v>
      </c>
      <c r="B678" s="1" t="s">
        <v>93</v>
      </c>
      <c r="C678" s="41">
        <v>36.4</v>
      </c>
      <c r="D678" s="41">
        <v>36.4</v>
      </c>
      <c r="E678" s="41">
        <v>36.4</v>
      </c>
      <c r="F678" s="41">
        <v>36.4</v>
      </c>
      <c r="G678" s="41">
        <v>36.4</v>
      </c>
      <c r="H678" s="41">
        <v>36.4</v>
      </c>
      <c r="I678" s="41">
        <v>36.4</v>
      </c>
      <c r="J678" s="41">
        <v>36.4</v>
      </c>
    </row>
    <row r="679" spans="1:10">
      <c r="A679" s="1" t="s">
        <v>290</v>
      </c>
      <c r="B679" s="1" t="s">
        <v>93</v>
      </c>
      <c r="C679" s="41">
        <v>5.0493366861979165</v>
      </c>
      <c r="D679" s="41">
        <v>5.0493366861979165</v>
      </c>
      <c r="E679" s="41">
        <v>5.0493366861979165</v>
      </c>
      <c r="F679" s="41">
        <v>5.0493366861979165</v>
      </c>
      <c r="G679" s="41">
        <v>5.0493366861979165</v>
      </c>
      <c r="H679" s="41">
        <v>5.0493366861979165</v>
      </c>
      <c r="I679" s="41">
        <v>5.0493366861979165</v>
      </c>
      <c r="J679" s="41">
        <v>5.0493366861979165</v>
      </c>
    </row>
    <row r="680" spans="1:10">
      <c r="A680" s="1" t="s">
        <v>291</v>
      </c>
      <c r="B680" s="1" t="s">
        <v>93</v>
      </c>
      <c r="C680" s="41">
        <v>10.108734830729167</v>
      </c>
      <c r="D680" s="41">
        <v>10.108734830729167</v>
      </c>
      <c r="E680" s="41">
        <v>10.108734830729167</v>
      </c>
      <c r="F680" s="41">
        <v>10.108734830729167</v>
      </c>
      <c r="G680" s="41">
        <v>10.108734830729167</v>
      </c>
      <c r="H680" s="41">
        <v>10.108734830729167</v>
      </c>
      <c r="I680" s="41">
        <v>10.108734830729167</v>
      </c>
      <c r="J680" s="41">
        <v>10.108734830729167</v>
      </c>
    </row>
    <row r="681" spans="1:10">
      <c r="A681" s="1" t="s">
        <v>292</v>
      </c>
      <c r="B681" s="1" t="s">
        <v>93</v>
      </c>
      <c r="C681" s="41">
        <v>7.0550039388020833</v>
      </c>
      <c r="D681" s="41">
        <v>7.0550039388020833</v>
      </c>
      <c r="E681" s="41">
        <v>7.0550039388020833</v>
      </c>
      <c r="F681" s="41">
        <v>7.0550039388020833</v>
      </c>
      <c r="G681" s="41">
        <v>7.0550039388020833</v>
      </c>
      <c r="H681" s="41">
        <v>7.0550039388020833</v>
      </c>
      <c r="I681" s="41">
        <v>7.0550039388020833</v>
      </c>
      <c r="J681" s="41">
        <v>7.0550039388020833</v>
      </c>
    </row>
    <row r="682" spans="1:10">
      <c r="A682" s="1" t="s">
        <v>293</v>
      </c>
      <c r="B682" s="1" t="s">
        <v>93</v>
      </c>
      <c r="C682" s="41">
        <v>64.219878125000008</v>
      </c>
      <c r="D682" s="41">
        <v>64.219878125000008</v>
      </c>
      <c r="E682" s="41">
        <v>64.219878125000008</v>
      </c>
      <c r="F682" s="41">
        <v>64.219878125000008</v>
      </c>
      <c r="G682" s="41">
        <v>64.219878125000008</v>
      </c>
      <c r="H682" s="41">
        <v>64.219878125000008</v>
      </c>
      <c r="I682" s="41">
        <v>64.219878125000008</v>
      </c>
      <c r="J682" s="41">
        <v>64.219878125000008</v>
      </c>
    </row>
    <row r="683" spans="1:10">
      <c r="A683" s="1" t="s">
        <v>309</v>
      </c>
      <c r="B683" s="1" t="s">
        <v>93</v>
      </c>
      <c r="C683" s="41">
        <v>15.600000000000001</v>
      </c>
      <c r="D683" s="41">
        <v>15.600000000000001</v>
      </c>
      <c r="E683" s="41">
        <v>15.600000000000001</v>
      </c>
      <c r="F683" s="41">
        <v>15.600000000000001</v>
      </c>
      <c r="G683" s="41">
        <v>15.600000000000001</v>
      </c>
      <c r="H683" s="41">
        <v>15.600000000000001</v>
      </c>
      <c r="I683" s="41">
        <v>15.600000000000001</v>
      </c>
      <c r="J683" s="41">
        <v>15.600000000000001</v>
      </c>
    </row>
    <row r="684" spans="1:10">
      <c r="A684" s="1" t="s">
        <v>294</v>
      </c>
      <c r="B684" s="1" t="s">
        <v>93</v>
      </c>
      <c r="C684" s="41">
        <v>0.92882294311523439</v>
      </c>
      <c r="D684" s="41">
        <v>0.92882294311523439</v>
      </c>
      <c r="E684" s="41">
        <v>0.92882294311523439</v>
      </c>
      <c r="F684" s="41">
        <v>0.92882294311523439</v>
      </c>
      <c r="G684" s="41">
        <v>0.92882294311523439</v>
      </c>
      <c r="H684" s="41">
        <v>0.92882294311523439</v>
      </c>
      <c r="I684" s="41">
        <v>0.92882294311523439</v>
      </c>
      <c r="J684" s="41">
        <v>0.92882294311523439</v>
      </c>
    </row>
    <row r="685" spans="1:10">
      <c r="A685" s="1" t="s">
        <v>310</v>
      </c>
      <c r="B685" s="1" t="s">
        <v>93</v>
      </c>
      <c r="C685" s="41">
        <v>13</v>
      </c>
      <c r="D685" s="41">
        <v>13</v>
      </c>
      <c r="E685" s="41">
        <v>13</v>
      </c>
      <c r="F685" s="41">
        <v>13</v>
      </c>
      <c r="G685" s="41">
        <v>13</v>
      </c>
      <c r="H685" s="41">
        <v>13</v>
      </c>
      <c r="I685" s="41">
        <v>13</v>
      </c>
      <c r="J685" s="41">
        <v>13</v>
      </c>
    </row>
    <row r="686" spans="1:10">
      <c r="A686" s="1" t="s">
        <v>297</v>
      </c>
      <c r="B686" s="1" t="s">
        <v>93</v>
      </c>
      <c r="C686" s="41">
        <v>15.652033854166666</v>
      </c>
      <c r="D686" s="41">
        <v>15.652033854166666</v>
      </c>
      <c r="E686" s="41">
        <v>15.652033854166666</v>
      </c>
      <c r="F686" s="41">
        <v>15.652033854166666</v>
      </c>
      <c r="G686" s="41">
        <v>15.652033854166666</v>
      </c>
      <c r="H686" s="41">
        <v>15.652033854166666</v>
      </c>
      <c r="I686" s="41">
        <v>15.652033854166666</v>
      </c>
      <c r="J686" s="41">
        <v>15.652033854166666</v>
      </c>
    </row>
    <row r="687" spans="1:10">
      <c r="A687" s="1" t="s">
        <v>299</v>
      </c>
      <c r="B687" s="1" t="s">
        <v>93</v>
      </c>
      <c r="C687" s="41">
        <v>67.600000000000009</v>
      </c>
      <c r="D687" s="41">
        <v>67.600000000000009</v>
      </c>
      <c r="E687" s="41">
        <v>67.600000000000009</v>
      </c>
      <c r="F687" s="41">
        <v>67.600000000000009</v>
      </c>
      <c r="G687" s="41">
        <v>67.600000000000009</v>
      </c>
      <c r="H687" s="41">
        <v>67.600000000000009</v>
      </c>
      <c r="I687" s="41">
        <v>67.600000000000009</v>
      </c>
      <c r="J687" s="41">
        <v>67.600000000000009</v>
      </c>
    </row>
    <row r="688" spans="1:10">
      <c r="A688" s="1" t="s">
        <v>300</v>
      </c>
      <c r="B688" s="1" t="s">
        <v>93</v>
      </c>
      <c r="C688" s="41">
        <v>10.893533235677085</v>
      </c>
      <c r="D688" s="41">
        <v>10.893533235677085</v>
      </c>
      <c r="E688" s="41">
        <v>10.893533235677085</v>
      </c>
      <c r="F688" s="41">
        <v>10.893533235677085</v>
      </c>
      <c r="G688" s="41">
        <v>10.893533235677085</v>
      </c>
      <c r="H688" s="41">
        <v>10.893533235677085</v>
      </c>
      <c r="I688" s="41">
        <v>10.893533235677085</v>
      </c>
      <c r="J688" s="41">
        <v>10.893533235677085</v>
      </c>
    </row>
    <row r="689" spans="1:10">
      <c r="A689" s="1" t="s">
        <v>301</v>
      </c>
      <c r="B689" s="1" t="s">
        <v>93</v>
      </c>
      <c r="C689" s="41">
        <v>57.2</v>
      </c>
      <c r="D689" s="41">
        <v>57.2</v>
      </c>
      <c r="E689" s="41">
        <v>57.2</v>
      </c>
      <c r="F689" s="41">
        <v>57.2</v>
      </c>
      <c r="G689" s="41">
        <v>57.2</v>
      </c>
      <c r="H689" s="41">
        <v>57.2</v>
      </c>
      <c r="I689" s="41">
        <v>57.2</v>
      </c>
      <c r="J689" s="41">
        <v>57.2</v>
      </c>
    </row>
    <row r="690" spans="1:10">
      <c r="A690" s="1" t="s">
        <v>303</v>
      </c>
      <c r="B690" s="1" t="s">
        <v>93</v>
      </c>
      <c r="C690" s="41">
        <v>18.599936197916666</v>
      </c>
      <c r="D690" s="41">
        <v>18.599936197916666</v>
      </c>
      <c r="E690" s="41">
        <v>18.599936197916666</v>
      </c>
      <c r="F690" s="41">
        <v>18.599936197916666</v>
      </c>
      <c r="G690" s="41">
        <v>18.599936197916666</v>
      </c>
      <c r="H690" s="41">
        <v>18.599936197916666</v>
      </c>
      <c r="I690" s="41">
        <v>18.599936197916666</v>
      </c>
      <c r="J690" s="41">
        <v>18.599936197916666</v>
      </c>
    </row>
    <row r="691" spans="1:10">
      <c r="A691" s="1" t="s">
        <v>304</v>
      </c>
      <c r="B691" s="1" t="s">
        <v>93</v>
      </c>
      <c r="C691" s="41">
        <v>2.4498147176106775</v>
      </c>
      <c r="D691" s="41">
        <v>2.4498147176106775</v>
      </c>
      <c r="E691" s="41">
        <v>2.4498147176106775</v>
      </c>
      <c r="F691" s="41">
        <v>2.4498147176106775</v>
      </c>
      <c r="G691" s="41">
        <v>2.4498147176106775</v>
      </c>
      <c r="H691" s="41">
        <v>2.4498147176106775</v>
      </c>
      <c r="I691" s="41">
        <v>2.4498147176106775</v>
      </c>
      <c r="J691" s="41">
        <v>2.4498147176106775</v>
      </c>
    </row>
    <row r="692" spans="1:10">
      <c r="A692" s="1" t="s">
        <v>305</v>
      </c>
      <c r="B692" s="1" t="s">
        <v>93</v>
      </c>
      <c r="C692" s="41">
        <v>7.6261059570312506</v>
      </c>
      <c r="D692" s="41">
        <v>7.6261059570312506</v>
      </c>
      <c r="E692" s="41">
        <v>7.6261059570312506</v>
      </c>
      <c r="F692" s="41">
        <v>7.6261059570312506</v>
      </c>
      <c r="G692" s="41">
        <v>7.6261059570312506</v>
      </c>
      <c r="H692" s="41">
        <v>7.6261059570312506</v>
      </c>
      <c r="I692" s="41">
        <v>7.6261059570312506</v>
      </c>
      <c r="J692" s="41">
        <v>7.6261059570312506</v>
      </c>
    </row>
    <row r="693" spans="1:10">
      <c r="A693" s="1" t="s">
        <v>307</v>
      </c>
      <c r="B693" s="1" t="s">
        <v>93</v>
      </c>
      <c r="C693" s="41">
        <v>66.32116223958333</v>
      </c>
      <c r="D693" s="41">
        <v>66.32116223958333</v>
      </c>
      <c r="E693" s="41">
        <v>66.32116223958333</v>
      </c>
      <c r="F693" s="41">
        <v>66.32116223958333</v>
      </c>
      <c r="G693" s="41">
        <v>66.32116223958333</v>
      </c>
      <c r="H693" s="41">
        <v>66.32116223958333</v>
      </c>
      <c r="I693" s="41">
        <v>66.32116223958333</v>
      </c>
      <c r="J693" s="41">
        <v>66.32116223958333</v>
      </c>
    </row>
    <row r="694" spans="1:10">
      <c r="A694" s="1" t="s">
        <v>278</v>
      </c>
      <c r="B694" s="1" t="s">
        <v>95</v>
      </c>
      <c r="C694" s="41">
        <v>13.041779427083334</v>
      </c>
      <c r="D694" s="41">
        <v>13.041779427083334</v>
      </c>
      <c r="E694" s="41">
        <v>13.041779427083334</v>
      </c>
      <c r="F694" s="41">
        <v>13.041779427083334</v>
      </c>
      <c r="G694" s="41">
        <v>13.041779427083334</v>
      </c>
      <c r="H694" s="41">
        <v>13.041779427083334</v>
      </c>
      <c r="I694" s="41">
        <v>13.041779427083334</v>
      </c>
      <c r="J694" s="41">
        <v>13.041779427083334</v>
      </c>
    </row>
    <row r="695" spans="1:10">
      <c r="A695" s="1" t="s">
        <v>280</v>
      </c>
      <c r="B695" s="1" t="s">
        <v>95</v>
      </c>
      <c r="C695" s="41">
        <v>12.642348291015626</v>
      </c>
      <c r="D695" s="41">
        <v>12.642348291015626</v>
      </c>
      <c r="E695" s="41">
        <v>12.642348291015626</v>
      </c>
      <c r="F695" s="41">
        <v>12.642348291015626</v>
      </c>
      <c r="G695" s="41">
        <v>12.642348291015626</v>
      </c>
      <c r="H695" s="41">
        <v>12.642348291015626</v>
      </c>
      <c r="I695" s="41">
        <v>12.642348291015626</v>
      </c>
      <c r="J695" s="41">
        <v>12.642348291015626</v>
      </c>
    </row>
    <row r="696" spans="1:10">
      <c r="A696" s="1" t="s">
        <v>281</v>
      </c>
      <c r="B696" s="1" t="s">
        <v>95</v>
      </c>
      <c r="C696" s="41">
        <v>7.3091247395833339</v>
      </c>
      <c r="D696" s="41">
        <v>7.3091247395833339</v>
      </c>
      <c r="E696" s="41">
        <v>7.3091247395833339</v>
      </c>
      <c r="F696" s="41">
        <v>7.3091247395833339</v>
      </c>
      <c r="G696" s="41">
        <v>7.3091247395833339</v>
      </c>
      <c r="H696" s="41">
        <v>7.3091247395833339</v>
      </c>
      <c r="I696" s="41">
        <v>7.3091247395833339</v>
      </c>
      <c r="J696" s="41">
        <v>7.3091247395833339</v>
      </c>
    </row>
    <row r="697" spans="1:10">
      <c r="A697" s="1" t="s">
        <v>283</v>
      </c>
      <c r="B697" s="1" t="s">
        <v>95</v>
      </c>
      <c r="C697" s="41">
        <v>16.458284375000002</v>
      </c>
      <c r="D697" s="41">
        <v>16.458284375000002</v>
      </c>
      <c r="E697" s="41">
        <v>16.458284375000002</v>
      </c>
      <c r="F697" s="41">
        <v>16.458284375000002</v>
      </c>
      <c r="G697" s="41">
        <v>16.458284375000002</v>
      </c>
      <c r="H697" s="41">
        <v>16.458284375000002</v>
      </c>
      <c r="I697" s="41">
        <v>16.458284375000002</v>
      </c>
      <c r="J697" s="41">
        <v>16.458284375000002</v>
      </c>
    </row>
    <row r="698" spans="1:10">
      <c r="A698" s="1" t="s">
        <v>284</v>
      </c>
      <c r="B698" s="1" t="s">
        <v>95</v>
      </c>
      <c r="C698" s="41">
        <v>85.873092838541666</v>
      </c>
      <c r="D698" s="41">
        <v>85.873092838541666</v>
      </c>
      <c r="E698" s="41">
        <v>85.873092838541666</v>
      </c>
      <c r="F698" s="41">
        <v>85.873092838541666</v>
      </c>
      <c r="G698" s="41">
        <v>85.873092838541666</v>
      </c>
      <c r="H698" s="41">
        <v>85.873092838541666</v>
      </c>
      <c r="I698" s="41">
        <v>85.873092838541666</v>
      </c>
      <c r="J698" s="41">
        <v>85.873092838541666</v>
      </c>
    </row>
    <row r="699" spans="1:10">
      <c r="A699" s="1" t="s">
        <v>285</v>
      </c>
      <c r="B699" s="1" t="s">
        <v>95</v>
      </c>
      <c r="C699" s="41">
        <v>7.550832486979167</v>
      </c>
      <c r="D699" s="41">
        <v>7.550832486979167</v>
      </c>
      <c r="E699" s="41">
        <v>7.550832486979167</v>
      </c>
      <c r="F699" s="41">
        <v>7.550832486979167</v>
      </c>
      <c r="G699" s="41">
        <v>7.550832486979167</v>
      </c>
      <c r="H699" s="41">
        <v>7.550832486979167</v>
      </c>
      <c r="I699" s="41">
        <v>7.550832486979167</v>
      </c>
      <c r="J699" s="41">
        <v>7.550832486979167</v>
      </c>
    </row>
    <row r="700" spans="1:10">
      <c r="A700" s="1" t="s">
        <v>308</v>
      </c>
      <c r="B700" s="1" t="s">
        <v>95</v>
      </c>
      <c r="C700" s="41">
        <v>1.1208379313151042</v>
      </c>
      <c r="D700" s="41">
        <v>1.1208379313151042</v>
      </c>
      <c r="E700" s="41">
        <v>1.1208379313151042</v>
      </c>
      <c r="F700" s="41">
        <v>1.1208379313151042</v>
      </c>
      <c r="G700" s="41">
        <v>1.1208379313151042</v>
      </c>
      <c r="H700" s="41">
        <v>1.1208379313151042</v>
      </c>
      <c r="I700" s="41">
        <v>1.1208379313151042</v>
      </c>
      <c r="J700" s="41">
        <v>1.1208379313151042</v>
      </c>
    </row>
    <row r="701" spans="1:10">
      <c r="A701" s="1" t="s">
        <v>286</v>
      </c>
      <c r="B701" s="1" t="s">
        <v>95</v>
      </c>
      <c r="C701" s="41">
        <v>105.3</v>
      </c>
      <c r="D701" s="41">
        <v>105.3</v>
      </c>
      <c r="E701" s="41">
        <v>105.3</v>
      </c>
      <c r="F701" s="41">
        <v>105.3</v>
      </c>
      <c r="G701" s="41">
        <v>105.3</v>
      </c>
      <c r="H701" s="41">
        <v>105.3</v>
      </c>
      <c r="I701" s="41">
        <v>105.3</v>
      </c>
      <c r="J701" s="41">
        <v>105.3</v>
      </c>
    </row>
    <row r="702" spans="1:10">
      <c r="A702" s="1" t="s">
        <v>287</v>
      </c>
      <c r="B702" s="1" t="s">
        <v>95</v>
      </c>
      <c r="C702" s="41">
        <v>11.272048209635418</v>
      </c>
      <c r="D702" s="41">
        <v>11.272048209635418</v>
      </c>
      <c r="E702" s="41">
        <v>11.272048209635418</v>
      </c>
      <c r="F702" s="41">
        <v>11.272048209635418</v>
      </c>
      <c r="G702" s="41">
        <v>11.272048209635418</v>
      </c>
      <c r="H702" s="41">
        <v>11.272048209635418</v>
      </c>
      <c r="I702" s="41">
        <v>11.272048209635418</v>
      </c>
      <c r="J702" s="41">
        <v>11.272048209635418</v>
      </c>
    </row>
    <row r="703" spans="1:10">
      <c r="A703" s="1" t="s">
        <v>288</v>
      </c>
      <c r="B703" s="1" t="s">
        <v>95</v>
      </c>
      <c r="C703" s="41">
        <v>98.964819010416676</v>
      </c>
      <c r="D703" s="41">
        <v>98.964819010416676</v>
      </c>
      <c r="E703" s="41">
        <v>98.964819010416676</v>
      </c>
      <c r="F703" s="41">
        <v>98.964819010416676</v>
      </c>
      <c r="G703" s="41">
        <v>98.964819010416676</v>
      </c>
      <c r="H703" s="41">
        <v>98.964819010416676</v>
      </c>
      <c r="I703" s="41">
        <v>98.964819010416676</v>
      </c>
      <c r="J703" s="41">
        <v>98.964819010416676</v>
      </c>
    </row>
    <row r="704" spans="1:10">
      <c r="A704" s="1" t="s">
        <v>289</v>
      </c>
      <c r="B704" s="1" t="s">
        <v>95</v>
      </c>
      <c r="C704" s="41">
        <v>36.4</v>
      </c>
      <c r="D704" s="41">
        <v>36.4</v>
      </c>
      <c r="E704" s="41">
        <v>36.4</v>
      </c>
      <c r="F704" s="41">
        <v>36.4</v>
      </c>
      <c r="G704" s="41">
        <v>36.4</v>
      </c>
      <c r="H704" s="41">
        <v>36.4</v>
      </c>
      <c r="I704" s="41">
        <v>36.4</v>
      </c>
      <c r="J704" s="41">
        <v>36.4</v>
      </c>
    </row>
    <row r="705" spans="1:10">
      <c r="A705" s="1" t="s">
        <v>290</v>
      </c>
      <c r="B705" s="1" t="s">
        <v>95</v>
      </c>
      <c r="C705" s="41">
        <v>5.0493366861979165</v>
      </c>
      <c r="D705" s="41">
        <v>5.0493366861979165</v>
      </c>
      <c r="E705" s="41">
        <v>5.0493366861979165</v>
      </c>
      <c r="F705" s="41">
        <v>5.0493366861979165</v>
      </c>
      <c r="G705" s="41">
        <v>5.0493366861979165</v>
      </c>
      <c r="H705" s="41">
        <v>5.0493366861979165</v>
      </c>
      <c r="I705" s="41">
        <v>5.0493366861979165</v>
      </c>
      <c r="J705" s="41">
        <v>5.0493366861979165</v>
      </c>
    </row>
    <row r="706" spans="1:10">
      <c r="A706" s="1" t="s">
        <v>291</v>
      </c>
      <c r="B706" s="1" t="s">
        <v>95</v>
      </c>
      <c r="C706" s="41">
        <v>10.108734830729167</v>
      </c>
      <c r="D706" s="41">
        <v>10.108734830729167</v>
      </c>
      <c r="E706" s="41">
        <v>10.108734830729167</v>
      </c>
      <c r="F706" s="41">
        <v>10.108734830729167</v>
      </c>
      <c r="G706" s="41">
        <v>10.108734830729167</v>
      </c>
      <c r="H706" s="41">
        <v>10.108734830729167</v>
      </c>
      <c r="I706" s="41">
        <v>10.108734830729167</v>
      </c>
      <c r="J706" s="41">
        <v>10.108734830729167</v>
      </c>
    </row>
    <row r="707" spans="1:10">
      <c r="A707" s="1" t="s">
        <v>292</v>
      </c>
      <c r="B707" s="1" t="s">
        <v>95</v>
      </c>
      <c r="C707" s="41">
        <v>7.0550039388020833</v>
      </c>
      <c r="D707" s="41">
        <v>7.0550039388020833</v>
      </c>
      <c r="E707" s="41">
        <v>7.0550039388020833</v>
      </c>
      <c r="F707" s="41">
        <v>7.0550039388020833</v>
      </c>
      <c r="G707" s="41">
        <v>7.0550039388020833</v>
      </c>
      <c r="H707" s="41">
        <v>7.0550039388020833</v>
      </c>
      <c r="I707" s="41">
        <v>7.0550039388020833</v>
      </c>
      <c r="J707" s="41">
        <v>7.0550039388020833</v>
      </c>
    </row>
    <row r="708" spans="1:10">
      <c r="A708" s="1" t="s">
        <v>293</v>
      </c>
      <c r="B708" s="1" t="s">
        <v>95</v>
      </c>
      <c r="C708" s="41">
        <v>64.219878125000008</v>
      </c>
      <c r="D708" s="41">
        <v>64.219878125000008</v>
      </c>
      <c r="E708" s="41">
        <v>64.219878125000008</v>
      </c>
      <c r="F708" s="41">
        <v>64.219878125000008</v>
      </c>
      <c r="G708" s="41">
        <v>64.219878125000008</v>
      </c>
      <c r="H708" s="41">
        <v>64.219878125000008</v>
      </c>
      <c r="I708" s="41">
        <v>64.219878125000008</v>
      </c>
      <c r="J708" s="41">
        <v>64.219878125000008</v>
      </c>
    </row>
    <row r="709" spans="1:10">
      <c r="A709" s="1" t="s">
        <v>309</v>
      </c>
      <c r="B709" s="1" t="s">
        <v>95</v>
      </c>
      <c r="C709" s="41">
        <v>15.600000000000001</v>
      </c>
      <c r="D709" s="41">
        <v>15.600000000000001</v>
      </c>
      <c r="E709" s="41">
        <v>15.600000000000001</v>
      </c>
      <c r="F709" s="41">
        <v>15.600000000000001</v>
      </c>
      <c r="G709" s="41">
        <v>15.600000000000001</v>
      </c>
      <c r="H709" s="41">
        <v>15.600000000000001</v>
      </c>
      <c r="I709" s="41">
        <v>15.600000000000001</v>
      </c>
      <c r="J709" s="41">
        <v>15.600000000000001</v>
      </c>
    </row>
    <row r="710" spans="1:10">
      <c r="A710" s="1" t="s">
        <v>294</v>
      </c>
      <c r="B710" s="1" t="s">
        <v>95</v>
      </c>
      <c r="C710" s="41">
        <v>0.92882294311523439</v>
      </c>
      <c r="D710" s="41">
        <v>0.92882294311523439</v>
      </c>
      <c r="E710" s="41">
        <v>0.92882294311523439</v>
      </c>
      <c r="F710" s="41">
        <v>0.92882294311523439</v>
      </c>
      <c r="G710" s="41">
        <v>0.92882294311523439</v>
      </c>
      <c r="H710" s="41">
        <v>0.92882294311523439</v>
      </c>
      <c r="I710" s="41">
        <v>0.92882294311523439</v>
      </c>
      <c r="J710" s="41">
        <v>0.92882294311523439</v>
      </c>
    </row>
    <row r="711" spans="1:10">
      <c r="A711" s="1" t="s">
        <v>310</v>
      </c>
      <c r="B711" s="1" t="s">
        <v>95</v>
      </c>
      <c r="C711" s="41">
        <v>13</v>
      </c>
      <c r="D711" s="41">
        <v>13</v>
      </c>
      <c r="E711" s="41">
        <v>13</v>
      </c>
      <c r="F711" s="41">
        <v>13</v>
      </c>
      <c r="G711" s="41">
        <v>13</v>
      </c>
      <c r="H711" s="41">
        <v>13</v>
      </c>
      <c r="I711" s="41">
        <v>13</v>
      </c>
      <c r="J711" s="41">
        <v>13</v>
      </c>
    </row>
    <row r="712" spans="1:10">
      <c r="A712" s="1" t="s">
        <v>297</v>
      </c>
      <c r="B712" s="1" t="s">
        <v>95</v>
      </c>
      <c r="C712" s="41">
        <v>15.652033854166666</v>
      </c>
      <c r="D712" s="41">
        <v>15.652033854166666</v>
      </c>
      <c r="E712" s="41">
        <v>15.652033854166666</v>
      </c>
      <c r="F712" s="41">
        <v>15.652033854166666</v>
      </c>
      <c r="G712" s="41">
        <v>15.652033854166666</v>
      </c>
      <c r="H712" s="41">
        <v>15.652033854166666</v>
      </c>
      <c r="I712" s="41">
        <v>15.652033854166666</v>
      </c>
      <c r="J712" s="41">
        <v>15.652033854166666</v>
      </c>
    </row>
    <row r="713" spans="1:10">
      <c r="A713" s="1" t="s">
        <v>299</v>
      </c>
      <c r="B713" s="1" t="s">
        <v>95</v>
      </c>
      <c r="C713" s="41">
        <v>67.600000000000009</v>
      </c>
      <c r="D713" s="41">
        <v>67.600000000000009</v>
      </c>
      <c r="E713" s="41">
        <v>67.600000000000009</v>
      </c>
      <c r="F713" s="41">
        <v>67.600000000000009</v>
      </c>
      <c r="G713" s="41">
        <v>67.600000000000009</v>
      </c>
      <c r="H713" s="41">
        <v>67.600000000000009</v>
      </c>
      <c r="I713" s="41">
        <v>67.600000000000009</v>
      </c>
      <c r="J713" s="41">
        <v>67.600000000000009</v>
      </c>
    </row>
    <row r="714" spans="1:10">
      <c r="A714" s="1" t="s">
        <v>300</v>
      </c>
      <c r="B714" s="1" t="s">
        <v>95</v>
      </c>
      <c r="C714" s="41">
        <v>10.893533235677085</v>
      </c>
      <c r="D714" s="41">
        <v>10.893533235677085</v>
      </c>
      <c r="E714" s="41">
        <v>10.893533235677085</v>
      </c>
      <c r="F714" s="41">
        <v>10.893533235677085</v>
      </c>
      <c r="G714" s="41">
        <v>10.893533235677085</v>
      </c>
      <c r="H714" s="41">
        <v>10.893533235677085</v>
      </c>
      <c r="I714" s="41">
        <v>10.893533235677085</v>
      </c>
      <c r="J714" s="41">
        <v>10.893533235677085</v>
      </c>
    </row>
    <row r="715" spans="1:10">
      <c r="A715" s="1" t="s">
        <v>301</v>
      </c>
      <c r="B715" s="1" t="s">
        <v>95</v>
      </c>
      <c r="C715" s="41">
        <v>57.2</v>
      </c>
      <c r="D715" s="41">
        <v>57.2</v>
      </c>
      <c r="E715" s="41">
        <v>57.2</v>
      </c>
      <c r="F715" s="41">
        <v>57.2</v>
      </c>
      <c r="G715" s="41">
        <v>57.2</v>
      </c>
      <c r="H715" s="41">
        <v>57.2</v>
      </c>
      <c r="I715" s="41">
        <v>57.2</v>
      </c>
      <c r="J715" s="41">
        <v>57.2</v>
      </c>
    </row>
    <row r="716" spans="1:10">
      <c r="A716" s="1" t="s">
        <v>303</v>
      </c>
      <c r="B716" s="1" t="s">
        <v>95</v>
      </c>
      <c r="C716" s="41">
        <v>18.599936197916666</v>
      </c>
      <c r="D716" s="41">
        <v>18.599936197916666</v>
      </c>
      <c r="E716" s="41">
        <v>18.599936197916666</v>
      </c>
      <c r="F716" s="41">
        <v>18.599936197916666</v>
      </c>
      <c r="G716" s="41">
        <v>18.599936197916666</v>
      </c>
      <c r="H716" s="41">
        <v>18.599936197916666</v>
      </c>
      <c r="I716" s="41">
        <v>18.599936197916666</v>
      </c>
      <c r="J716" s="41">
        <v>18.599936197916666</v>
      </c>
    </row>
    <row r="717" spans="1:10">
      <c r="A717" s="1" t="s">
        <v>304</v>
      </c>
      <c r="B717" s="1" t="s">
        <v>95</v>
      </c>
      <c r="C717" s="41">
        <v>2.4498147176106775</v>
      </c>
      <c r="D717" s="41">
        <v>2.4498147176106775</v>
      </c>
      <c r="E717" s="41">
        <v>2.4498147176106775</v>
      </c>
      <c r="F717" s="41">
        <v>2.4498147176106775</v>
      </c>
      <c r="G717" s="41">
        <v>2.4498147176106775</v>
      </c>
      <c r="H717" s="41">
        <v>2.4498147176106775</v>
      </c>
      <c r="I717" s="41">
        <v>2.4498147176106775</v>
      </c>
      <c r="J717" s="41">
        <v>2.4498147176106775</v>
      </c>
    </row>
    <row r="718" spans="1:10">
      <c r="A718" s="1" t="s">
        <v>305</v>
      </c>
      <c r="B718" s="1" t="s">
        <v>95</v>
      </c>
      <c r="C718" s="41">
        <v>7.6261059570312506</v>
      </c>
      <c r="D718" s="41">
        <v>7.6261059570312506</v>
      </c>
      <c r="E718" s="41">
        <v>7.6261059570312506</v>
      </c>
      <c r="F718" s="41">
        <v>7.6261059570312506</v>
      </c>
      <c r="G718" s="41">
        <v>7.6261059570312506</v>
      </c>
      <c r="H718" s="41">
        <v>7.6261059570312506</v>
      </c>
      <c r="I718" s="41">
        <v>7.6261059570312506</v>
      </c>
      <c r="J718" s="41">
        <v>7.6261059570312506</v>
      </c>
    </row>
    <row r="719" spans="1:10">
      <c r="A719" s="1" t="s">
        <v>307</v>
      </c>
      <c r="B719" s="1" t="s">
        <v>95</v>
      </c>
      <c r="C719" s="41">
        <v>66.32116223958333</v>
      </c>
      <c r="D719" s="41">
        <v>66.32116223958333</v>
      </c>
      <c r="E719" s="41">
        <v>66.32116223958333</v>
      </c>
      <c r="F719" s="41">
        <v>66.32116223958333</v>
      </c>
      <c r="G719" s="41">
        <v>66.32116223958333</v>
      </c>
      <c r="H719" s="41">
        <v>66.32116223958333</v>
      </c>
      <c r="I719" s="41">
        <v>66.32116223958333</v>
      </c>
      <c r="J719" s="41">
        <v>66.32116223958333</v>
      </c>
    </row>
    <row r="720" spans="1:10">
      <c r="A720" s="1" t="s">
        <v>278</v>
      </c>
      <c r="B720" s="1" t="s">
        <v>94</v>
      </c>
      <c r="C720" s="1">
        <v>13.041779427083334</v>
      </c>
      <c r="D720" s="1">
        <v>13.041779427083334</v>
      </c>
      <c r="E720" s="1">
        <v>13.041779427083334</v>
      </c>
      <c r="F720" s="1">
        <v>13.041779427083334</v>
      </c>
      <c r="G720" s="1">
        <v>13.041779427083334</v>
      </c>
      <c r="H720" s="1">
        <v>13.041779427083334</v>
      </c>
      <c r="I720" s="1">
        <v>13.041779427083334</v>
      </c>
      <c r="J720" s="1">
        <v>13.041779427083334</v>
      </c>
    </row>
    <row r="721" spans="1:10">
      <c r="A721" s="1" t="s">
        <v>280</v>
      </c>
      <c r="B721" s="1" t="s">
        <v>94</v>
      </c>
      <c r="C721" s="1">
        <v>12.642348291015626</v>
      </c>
      <c r="D721" s="1">
        <v>12.642348291015626</v>
      </c>
      <c r="E721" s="1">
        <v>12.642348291015626</v>
      </c>
      <c r="F721" s="1">
        <v>12.642348291015626</v>
      </c>
      <c r="G721" s="1">
        <v>12.642348291015626</v>
      </c>
      <c r="H721" s="1">
        <v>12.642348291015626</v>
      </c>
      <c r="I721" s="1">
        <v>12.642348291015626</v>
      </c>
      <c r="J721" s="1">
        <v>12.642348291015626</v>
      </c>
    </row>
    <row r="722" spans="1:10">
      <c r="A722" s="1" t="s">
        <v>281</v>
      </c>
      <c r="B722" s="1" t="s">
        <v>94</v>
      </c>
      <c r="C722" s="1">
        <v>7.3091247395833339</v>
      </c>
      <c r="D722" s="1">
        <v>7.3091247395833339</v>
      </c>
      <c r="E722" s="1">
        <v>7.3091247395833339</v>
      </c>
      <c r="F722" s="1">
        <v>7.3091247395833339</v>
      </c>
      <c r="G722" s="1">
        <v>7.3091247395833339</v>
      </c>
      <c r="H722" s="1">
        <v>7.3091247395833339</v>
      </c>
      <c r="I722" s="1">
        <v>7.3091247395833339</v>
      </c>
      <c r="J722" s="1">
        <v>7.3091247395833339</v>
      </c>
    </row>
    <row r="723" spans="1:10">
      <c r="A723" s="1" t="s">
        <v>283</v>
      </c>
      <c r="B723" s="1" t="s">
        <v>94</v>
      </c>
      <c r="C723" s="1">
        <v>16.458284375000002</v>
      </c>
      <c r="D723" s="1">
        <v>16.458284375000002</v>
      </c>
      <c r="E723" s="1">
        <v>16.458284375000002</v>
      </c>
      <c r="F723" s="1">
        <v>16.458284375000002</v>
      </c>
      <c r="G723" s="1">
        <v>16.458284375000002</v>
      </c>
      <c r="H723" s="1">
        <v>16.458284375000002</v>
      </c>
      <c r="I723" s="1">
        <v>16.458284375000002</v>
      </c>
      <c r="J723" s="1">
        <v>16.458284375000002</v>
      </c>
    </row>
    <row r="724" spans="1:10">
      <c r="A724" s="1" t="s">
        <v>284</v>
      </c>
      <c r="B724" s="1" t="s">
        <v>94</v>
      </c>
      <c r="C724" s="1">
        <v>85.873092838541666</v>
      </c>
      <c r="D724" s="1">
        <v>85.873092838541666</v>
      </c>
      <c r="E724" s="1">
        <v>85.873092838541666</v>
      </c>
      <c r="F724" s="1">
        <v>85.873092838541666</v>
      </c>
      <c r="G724" s="1">
        <v>85.873092838541666</v>
      </c>
      <c r="H724" s="1">
        <v>85.873092838541666</v>
      </c>
      <c r="I724" s="1">
        <v>85.873092838541666</v>
      </c>
      <c r="J724" s="1">
        <v>85.873092838541666</v>
      </c>
    </row>
    <row r="725" spans="1:10">
      <c r="A725" s="1" t="s">
        <v>285</v>
      </c>
      <c r="B725" s="1" t="s">
        <v>94</v>
      </c>
      <c r="C725" s="1">
        <v>7.550832486979167</v>
      </c>
      <c r="D725" s="1">
        <v>7.550832486979167</v>
      </c>
      <c r="E725" s="1">
        <v>7.550832486979167</v>
      </c>
      <c r="F725" s="1">
        <v>7.550832486979167</v>
      </c>
      <c r="G725" s="1">
        <v>7.550832486979167</v>
      </c>
      <c r="H725" s="1">
        <v>7.550832486979167</v>
      </c>
      <c r="I725" s="1">
        <v>7.550832486979167</v>
      </c>
      <c r="J725" s="1">
        <v>7.550832486979167</v>
      </c>
    </row>
    <row r="726" spans="1:10">
      <c r="A726" s="1" t="s">
        <v>308</v>
      </c>
      <c r="B726" s="1" t="s">
        <v>94</v>
      </c>
      <c r="C726" s="1">
        <v>1.1208379313151042</v>
      </c>
      <c r="D726" s="1">
        <v>1.1208379313151042</v>
      </c>
      <c r="E726" s="1">
        <v>1.1208379313151042</v>
      </c>
      <c r="F726" s="1">
        <v>1.1208379313151042</v>
      </c>
      <c r="G726" s="1">
        <v>1.1208379313151042</v>
      </c>
      <c r="H726" s="1">
        <v>1.1208379313151042</v>
      </c>
      <c r="I726" s="1">
        <v>1.1208379313151042</v>
      </c>
      <c r="J726" s="1">
        <v>1.1208379313151042</v>
      </c>
    </row>
    <row r="727" spans="1:10">
      <c r="A727" s="1" t="s">
        <v>286</v>
      </c>
      <c r="B727" s="1" t="s">
        <v>94</v>
      </c>
      <c r="C727" s="1">
        <v>105.3</v>
      </c>
      <c r="D727" s="1">
        <v>105.3</v>
      </c>
      <c r="E727" s="1">
        <v>105.3</v>
      </c>
      <c r="F727" s="1">
        <v>105.3</v>
      </c>
      <c r="G727" s="1">
        <v>105.3</v>
      </c>
      <c r="H727" s="1">
        <v>105.3</v>
      </c>
      <c r="I727" s="1">
        <v>105.3</v>
      </c>
      <c r="J727" s="1">
        <v>105.3</v>
      </c>
    </row>
    <row r="728" spans="1:10">
      <c r="A728" s="1" t="s">
        <v>287</v>
      </c>
      <c r="B728" s="1" t="s">
        <v>94</v>
      </c>
      <c r="C728" s="1">
        <v>11.272048209635418</v>
      </c>
      <c r="D728" s="1">
        <v>11.272048209635418</v>
      </c>
      <c r="E728" s="1">
        <v>11.272048209635418</v>
      </c>
      <c r="F728" s="1">
        <v>11.272048209635418</v>
      </c>
      <c r="G728" s="1">
        <v>11.272048209635418</v>
      </c>
      <c r="H728" s="1">
        <v>11.272048209635418</v>
      </c>
      <c r="I728" s="1">
        <v>11.272048209635418</v>
      </c>
      <c r="J728" s="1">
        <v>11.272048209635418</v>
      </c>
    </row>
    <row r="729" spans="1:10">
      <c r="A729" s="1" t="s">
        <v>288</v>
      </c>
      <c r="B729" s="1" t="s">
        <v>94</v>
      </c>
      <c r="C729" s="1">
        <v>98.964819010416676</v>
      </c>
      <c r="D729" s="1">
        <v>98.964819010416676</v>
      </c>
      <c r="E729" s="1">
        <v>98.964819010416676</v>
      </c>
      <c r="F729" s="1">
        <v>98.964819010416676</v>
      </c>
      <c r="G729" s="1">
        <v>98.964819010416676</v>
      </c>
      <c r="H729" s="1">
        <v>98.964819010416676</v>
      </c>
      <c r="I729" s="1">
        <v>98.964819010416676</v>
      </c>
      <c r="J729" s="1">
        <v>98.964819010416676</v>
      </c>
    </row>
    <row r="730" spans="1:10">
      <c r="A730" s="1" t="s">
        <v>289</v>
      </c>
      <c r="B730" s="1" t="s">
        <v>94</v>
      </c>
      <c r="C730" s="1">
        <v>36.4</v>
      </c>
      <c r="D730" s="1">
        <v>36.4</v>
      </c>
      <c r="E730" s="1">
        <v>36.4</v>
      </c>
      <c r="F730" s="1">
        <v>36.4</v>
      </c>
      <c r="G730" s="1">
        <v>36.4</v>
      </c>
      <c r="H730" s="1">
        <v>36.4</v>
      </c>
      <c r="I730" s="1">
        <v>36.4</v>
      </c>
      <c r="J730" s="1">
        <v>36.4</v>
      </c>
    </row>
    <row r="731" spans="1:10">
      <c r="A731" s="1" t="s">
        <v>290</v>
      </c>
      <c r="B731" s="1" t="s">
        <v>94</v>
      </c>
      <c r="C731" s="1">
        <v>5.0493366861979165</v>
      </c>
      <c r="D731" s="1">
        <v>5.0493366861979165</v>
      </c>
      <c r="E731" s="1">
        <v>5.0493366861979165</v>
      </c>
      <c r="F731" s="1">
        <v>5.0493366861979165</v>
      </c>
      <c r="G731" s="1">
        <v>5.0493366861979165</v>
      </c>
      <c r="H731" s="1">
        <v>5.0493366861979165</v>
      </c>
      <c r="I731" s="1">
        <v>5.0493366861979165</v>
      </c>
      <c r="J731" s="1">
        <v>5.0493366861979165</v>
      </c>
    </row>
    <row r="732" spans="1:10">
      <c r="A732" s="1" t="s">
        <v>291</v>
      </c>
      <c r="B732" s="1" t="s">
        <v>94</v>
      </c>
      <c r="C732" s="1">
        <v>10.108734830729167</v>
      </c>
      <c r="D732" s="1">
        <v>10.108734830729167</v>
      </c>
      <c r="E732" s="1">
        <v>10.108734830729167</v>
      </c>
      <c r="F732" s="1">
        <v>10.108734830729167</v>
      </c>
      <c r="G732" s="1">
        <v>10.108734830729167</v>
      </c>
      <c r="H732" s="1">
        <v>10.108734830729167</v>
      </c>
      <c r="I732" s="1">
        <v>10.108734830729167</v>
      </c>
      <c r="J732" s="1">
        <v>10.108734830729167</v>
      </c>
    </row>
    <row r="733" spans="1:10">
      <c r="A733" s="1" t="s">
        <v>292</v>
      </c>
      <c r="B733" s="1" t="s">
        <v>94</v>
      </c>
      <c r="C733" s="1">
        <v>7.0550039388020833</v>
      </c>
      <c r="D733" s="1">
        <v>7.0550039388020833</v>
      </c>
      <c r="E733" s="1">
        <v>7.0550039388020833</v>
      </c>
      <c r="F733" s="1">
        <v>7.0550039388020833</v>
      </c>
      <c r="G733" s="1">
        <v>7.0550039388020833</v>
      </c>
      <c r="H733" s="1">
        <v>7.0550039388020833</v>
      </c>
      <c r="I733" s="1">
        <v>7.0550039388020833</v>
      </c>
      <c r="J733" s="1">
        <v>7.0550039388020833</v>
      </c>
    </row>
    <row r="734" spans="1:10">
      <c r="A734" s="1" t="s">
        <v>293</v>
      </c>
      <c r="B734" s="1" t="s">
        <v>94</v>
      </c>
      <c r="C734" s="1">
        <v>64.219878125000008</v>
      </c>
      <c r="D734" s="1">
        <v>64.219878125000008</v>
      </c>
      <c r="E734" s="1">
        <v>64.219878125000008</v>
      </c>
      <c r="F734" s="1">
        <v>64.219878125000008</v>
      </c>
      <c r="G734" s="1">
        <v>64.219878125000008</v>
      </c>
      <c r="H734" s="1">
        <v>64.219878125000008</v>
      </c>
      <c r="I734" s="1">
        <v>64.219878125000008</v>
      </c>
      <c r="J734" s="1">
        <v>64.219878125000008</v>
      </c>
    </row>
    <row r="735" spans="1:10">
      <c r="A735" s="1" t="s">
        <v>309</v>
      </c>
      <c r="B735" s="1" t="s">
        <v>94</v>
      </c>
      <c r="C735" s="1">
        <v>15.600000000000001</v>
      </c>
      <c r="D735" s="1">
        <v>15.600000000000001</v>
      </c>
      <c r="E735" s="1">
        <v>15.600000000000001</v>
      </c>
      <c r="F735" s="1">
        <v>15.600000000000001</v>
      </c>
      <c r="G735" s="1">
        <v>15.600000000000001</v>
      </c>
      <c r="H735" s="1">
        <v>15.600000000000001</v>
      </c>
      <c r="I735" s="1">
        <v>15.600000000000001</v>
      </c>
      <c r="J735" s="1">
        <v>15.600000000000001</v>
      </c>
    </row>
    <row r="736" spans="1:10">
      <c r="A736" s="1" t="s">
        <v>294</v>
      </c>
      <c r="B736" s="1" t="s">
        <v>94</v>
      </c>
      <c r="C736" s="1">
        <v>0.92882294311523439</v>
      </c>
      <c r="D736" s="1">
        <v>0.92882294311523439</v>
      </c>
      <c r="E736" s="1">
        <v>0.92882294311523439</v>
      </c>
      <c r="F736" s="1">
        <v>0.92882294311523439</v>
      </c>
      <c r="G736" s="1">
        <v>0.92882294311523439</v>
      </c>
      <c r="H736" s="1">
        <v>0.92882294311523439</v>
      </c>
      <c r="I736" s="1">
        <v>0.92882294311523439</v>
      </c>
      <c r="J736" s="1">
        <v>0.92882294311523439</v>
      </c>
    </row>
    <row r="737" spans="1:10">
      <c r="A737" s="1" t="s">
        <v>310</v>
      </c>
      <c r="B737" s="1" t="s">
        <v>94</v>
      </c>
      <c r="C737" s="1">
        <v>13</v>
      </c>
      <c r="D737" s="1">
        <v>13</v>
      </c>
      <c r="E737" s="1">
        <v>13</v>
      </c>
      <c r="F737" s="1">
        <v>13</v>
      </c>
      <c r="G737" s="1">
        <v>13</v>
      </c>
      <c r="H737" s="1">
        <v>13</v>
      </c>
      <c r="I737" s="1">
        <v>13</v>
      </c>
      <c r="J737" s="1">
        <v>13</v>
      </c>
    </row>
    <row r="738" spans="1:10">
      <c r="A738" s="1" t="s">
        <v>297</v>
      </c>
      <c r="B738" s="1" t="s">
        <v>94</v>
      </c>
      <c r="C738" s="1">
        <v>15.652033854166666</v>
      </c>
      <c r="D738" s="1">
        <v>15.652033854166666</v>
      </c>
      <c r="E738" s="1">
        <v>15.652033854166666</v>
      </c>
      <c r="F738" s="1">
        <v>15.652033854166666</v>
      </c>
      <c r="G738" s="1">
        <v>15.652033854166666</v>
      </c>
      <c r="H738" s="1">
        <v>15.652033854166666</v>
      </c>
      <c r="I738" s="1">
        <v>15.652033854166666</v>
      </c>
      <c r="J738" s="1">
        <v>15.652033854166666</v>
      </c>
    </row>
    <row r="739" spans="1:10">
      <c r="A739" s="1" t="s">
        <v>299</v>
      </c>
      <c r="B739" s="1" t="s">
        <v>94</v>
      </c>
      <c r="C739" s="1">
        <v>67.600000000000009</v>
      </c>
      <c r="D739" s="1">
        <v>67.600000000000009</v>
      </c>
      <c r="E739" s="1">
        <v>67.600000000000009</v>
      </c>
      <c r="F739" s="1">
        <v>67.600000000000009</v>
      </c>
      <c r="G739" s="1">
        <v>67.600000000000009</v>
      </c>
      <c r="H739" s="1">
        <v>67.600000000000009</v>
      </c>
      <c r="I739" s="1">
        <v>67.600000000000009</v>
      </c>
      <c r="J739" s="1">
        <v>67.600000000000009</v>
      </c>
    </row>
    <row r="740" spans="1:10">
      <c r="A740" s="1" t="s">
        <v>300</v>
      </c>
      <c r="B740" s="1" t="s">
        <v>94</v>
      </c>
      <c r="C740" s="1">
        <v>10.893533235677085</v>
      </c>
      <c r="D740" s="1">
        <v>10.893533235677085</v>
      </c>
      <c r="E740" s="1">
        <v>10.893533235677085</v>
      </c>
      <c r="F740" s="1">
        <v>10.893533235677085</v>
      </c>
      <c r="G740" s="1">
        <v>10.893533235677085</v>
      </c>
      <c r="H740" s="1">
        <v>10.893533235677085</v>
      </c>
      <c r="I740" s="1">
        <v>10.893533235677085</v>
      </c>
      <c r="J740" s="1">
        <v>10.893533235677085</v>
      </c>
    </row>
    <row r="741" spans="1:10">
      <c r="A741" s="1" t="s">
        <v>301</v>
      </c>
      <c r="B741" s="1" t="s">
        <v>94</v>
      </c>
      <c r="C741" s="1">
        <v>57.2</v>
      </c>
      <c r="D741" s="1">
        <v>57.2</v>
      </c>
      <c r="E741" s="1">
        <v>57.2</v>
      </c>
      <c r="F741" s="1">
        <v>57.2</v>
      </c>
      <c r="G741" s="1">
        <v>57.2</v>
      </c>
      <c r="H741" s="1">
        <v>57.2</v>
      </c>
      <c r="I741" s="1">
        <v>57.2</v>
      </c>
      <c r="J741" s="1">
        <v>57.2</v>
      </c>
    </row>
    <row r="742" spans="1:10">
      <c r="A742" s="1" t="s">
        <v>303</v>
      </c>
      <c r="B742" s="1" t="s">
        <v>94</v>
      </c>
      <c r="C742" s="1">
        <v>18.599936197916666</v>
      </c>
      <c r="D742" s="1">
        <v>18.599936197916666</v>
      </c>
      <c r="E742" s="1">
        <v>18.599936197916666</v>
      </c>
      <c r="F742" s="1">
        <v>18.599936197916666</v>
      </c>
      <c r="G742" s="1">
        <v>18.599936197916666</v>
      </c>
      <c r="H742" s="1">
        <v>18.599936197916666</v>
      </c>
      <c r="I742" s="1">
        <v>18.599936197916666</v>
      </c>
      <c r="J742" s="1">
        <v>18.599936197916666</v>
      </c>
    </row>
    <row r="743" spans="1:10">
      <c r="A743" s="1" t="s">
        <v>304</v>
      </c>
      <c r="B743" s="1" t="s">
        <v>94</v>
      </c>
      <c r="C743" s="1">
        <v>2.4498147176106775</v>
      </c>
      <c r="D743" s="1">
        <v>2.4498147176106775</v>
      </c>
      <c r="E743" s="1">
        <v>2.4498147176106775</v>
      </c>
      <c r="F743" s="1">
        <v>2.4498147176106775</v>
      </c>
      <c r="G743" s="1">
        <v>2.4498147176106775</v>
      </c>
      <c r="H743" s="1">
        <v>2.4498147176106775</v>
      </c>
      <c r="I743" s="1">
        <v>2.4498147176106775</v>
      </c>
      <c r="J743" s="1">
        <v>2.4498147176106775</v>
      </c>
    </row>
    <row r="744" spans="1:10">
      <c r="A744" s="1" t="s">
        <v>305</v>
      </c>
      <c r="B744" s="1" t="s">
        <v>94</v>
      </c>
      <c r="C744" s="1">
        <v>7.6261059570312506</v>
      </c>
      <c r="D744" s="1">
        <v>7.6261059570312506</v>
      </c>
      <c r="E744" s="1">
        <v>7.6261059570312506</v>
      </c>
      <c r="F744" s="1">
        <v>7.6261059570312506</v>
      </c>
      <c r="G744" s="1">
        <v>7.6261059570312506</v>
      </c>
      <c r="H744" s="1">
        <v>7.6261059570312506</v>
      </c>
      <c r="I744" s="1">
        <v>7.6261059570312506</v>
      </c>
      <c r="J744" s="1">
        <v>7.6261059570312506</v>
      </c>
    </row>
    <row r="745" spans="1:10">
      <c r="A745" s="1" t="s">
        <v>307</v>
      </c>
      <c r="B745" s="1" t="s">
        <v>94</v>
      </c>
      <c r="C745" s="1">
        <v>66.32116223958333</v>
      </c>
      <c r="D745" s="1">
        <v>66.32116223958333</v>
      </c>
      <c r="E745" s="1">
        <v>66.32116223958333</v>
      </c>
      <c r="F745" s="1">
        <v>66.32116223958333</v>
      </c>
      <c r="G745" s="1">
        <v>66.32116223958333</v>
      </c>
      <c r="H745" s="1">
        <v>66.32116223958333</v>
      </c>
      <c r="I745" s="1">
        <v>66.32116223958333</v>
      </c>
      <c r="J745" s="1">
        <v>66.32116223958333</v>
      </c>
    </row>
    <row r="746" spans="1:10">
      <c r="A746" s="1" t="s">
        <v>278</v>
      </c>
      <c r="B746" s="1" t="s">
        <v>499</v>
      </c>
      <c r="C746" s="38">
        <v>13.041779427083334</v>
      </c>
      <c r="D746" s="38">
        <v>13.041779427083334</v>
      </c>
      <c r="E746" s="38">
        <v>13.041779427083334</v>
      </c>
      <c r="F746" s="38">
        <v>13.041779427083334</v>
      </c>
      <c r="G746" s="38">
        <v>13.041779427083334</v>
      </c>
      <c r="H746" s="38">
        <v>13.041779427083334</v>
      </c>
      <c r="I746" s="38">
        <v>13.041779427083334</v>
      </c>
      <c r="J746" s="38">
        <v>13.041779427083334</v>
      </c>
    </row>
    <row r="747" spans="1:10">
      <c r="A747" s="1" t="s">
        <v>280</v>
      </c>
      <c r="B747" s="1" t="s">
        <v>499</v>
      </c>
      <c r="C747" s="38">
        <v>12.642348291015626</v>
      </c>
      <c r="D747" s="38">
        <v>12.642348291015626</v>
      </c>
      <c r="E747" s="38">
        <v>12.642348291015626</v>
      </c>
      <c r="F747" s="38">
        <v>12.642348291015626</v>
      </c>
      <c r="G747" s="38">
        <v>12.642348291015626</v>
      </c>
      <c r="H747" s="38">
        <v>12.642348291015626</v>
      </c>
      <c r="I747" s="38">
        <v>12.642348291015626</v>
      </c>
      <c r="J747" s="38">
        <v>12.642348291015626</v>
      </c>
    </row>
    <row r="748" spans="1:10">
      <c r="A748" s="1" t="s">
        <v>281</v>
      </c>
      <c r="B748" s="1" t="s">
        <v>499</v>
      </c>
      <c r="C748" s="38">
        <v>7.3091247395833339</v>
      </c>
      <c r="D748" s="38">
        <v>7.3091247395833339</v>
      </c>
      <c r="E748" s="38">
        <v>7.3091247395833339</v>
      </c>
      <c r="F748" s="38">
        <v>7.3091247395833339</v>
      </c>
      <c r="G748" s="38">
        <v>7.3091247395833339</v>
      </c>
      <c r="H748" s="38">
        <v>7.3091247395833339</v>
      </c>
      <c r="I748" s="38">
        <v>7.3091247395833339</v>
      </c>
      <c r="J748" s="38">
        <v>7.3091247395833339</v>
      </c>
    </row>
    <row r="749" spans="1:10">
      <c r="A749" s="1" t="s">
        <v>282</v>
      </c>
      <c r="B749" s="1" t="s">
        <v>499</v>
      </c>
      <c r="C749" s="38">
        <v>8.1033333333333317</v>
      </c>
      <c r="D749" s="38">
        <v>8.1033333333333317</v>
      </c>
      <c r="E749" s="38">
        <v>8.1033333333333317</v>
      </c>
      <c r="F749" s="38">
        <v>8.1033333333333317</v>
      </c>
      <c r="G749" s="38">
        <v>8.1033333333333317</v>
      </c>
      <c r="H749" s="38">
        <v>8.1033333333333317</v>
      </c>
      <c r="I749" s="38">
        <v>8.1033333333333317</v>
      </c>
      <c r="J749" s="38">
        <v>8.1033333333333317</v>
      </c>
    </row>
    <row r="750" spans="1:10">
      <c r="A750" s="1" t="s">
        <v>283</v>
      </c>
      <c r="B750" s="1" t="s">
        <v>499</v>
      </c>
      <c r="C750" s="38">
        <v>16.458284375000002</v>
      </c>
      <c r="D750" s="38">
        <v>16.458284375000002</v>
      </c>
      <c r="E750" s="38">
        <v>16.458284375000002</v>
      </c>
      <c r="F750" s="38">
        <v>16.458284375000002</v>
      </c>
      <c r="G750" s="38">
        <v>16.458284375000002</v>
      </c>
      <c r="H750" s="38">
        <v>16.458284375000002</v>
      </c>
      <c r="I750" s="38">
        <v>16.458284375000002</v>
      </c>
      <c r="J750" s="38">
        <v>16.458284375000002</v>
      </c>
    </row>
    <row r="751" spans="1:10">
      <c r="A751" s="1" t="s">
        <v>284</v>
      </c>
      <c r="B751" s="1" t="s">
        <v>499</v>
      </c>
      <c r="C751" s="38">
        <v>85.873092838541666</v>
      </c>
      <c r="D751" s="38">
        <v>85.873092838541666</v>
      </c>
      <c r="E751" s="38">
        <v>85.873092838541666</v>
      </c>
      <c r="F751" s="38">
        <v>85.873092838541666</v>
      </c>
      <c r="G751" s="38">
        <v>85.873092838541666</v>
      </c>
      <c r="H751" s="38">
        <v>85.873092838541666</v>
      </c>
      <c r="I751" s="38">
        <v>85.873092838541666</v>
      </c>
      <c r="J751" s="38">
        <v>85.873092838541666</v>
      </c>
    </row>
    <row r="752" spans="1:10">
      <c r="A752" s="1" t="s">
        <v>285</v>
      </c>
      <c r="B752" s="1" t="s">
        <v>499</v>
      </c>
      <c r="C752" s="38">
        <v>7.550832486979167</v>
      </c>
      <c r="D752" s="38">
        <v>7.550832486979167</v>
      </c>
      <c r="E752" s="38">
        <v>7.550832486979167</v>
      </c>
      <c r="F752" s="38">
        <v>7.550832486979167</v>
      </c>
      <c r="G752" s="38">
        <v>7.550832486979167</v>
      </c>
      <c r="H752" s="38">
        <v>7.550832486979167</v>
      </c>
      <c r="I752" s="38">
        <v>7.550832486979167</v>
      </c>
      <c r="J752" s="38">
        <v>7.550832486979167</v>
      </c>
    </row>
    <row r="753" spans="1:10">
      <c r="A753" s="1" t="s">
        <v>308</v>
      </c>
      <c r="B753" s="1" t="s">
        <v>499</v>
      </c>
      <c r="C753" s="38">
        <v>1.1208379313151042</v>
      </c>
      <c r="D753" s="38">
        <v>1.1208379313151042</v>
      </c>
      <c r="E753" s="38">
        <v>1.1208379313151042</v>
      </c>
      <c r="F753" s="38">
        <v>1.1208379313151042</v>
      </c>
      <c r="G753" s="38">
        <v>1.1208379313151042</v>
      </c>
      <c r="H753" s="38">
        <v>1.1208379313151042</v>
      </c>
      <c r="I753" s="38">
        <v>1.1208379313151042</v>
      </c>
      <c r="J753" s="38">
        <v>1.1208379313151042</v>
      </c>
    </row>
    <row r="754" spans="1:10">
      <c r="A754" s="1" t="s">
        <v>286</v>
      </c>
      <c r="B754" s="1" t="s">
        <v>499</v>
      </c>
      <c r="C754" s="38">
        <v>105.3</v>
      </c>
      <c r="D754" s="38">
        <v>105.3</v>
      </c>
      <c r="E754" s="38">
        <v>105.3</v>
      </c>
      <c r="F754" s="38">
        <v>105.3</v>
      </c>
      <c r="G754" s="38">
        <v>105.3</v>
      </c>
      <c r="H754" s="38">
        <v>105.3</v>
      </c>
      <c r="I754" s="38">
        <v>105.3</v>
      </c>
      <c r="J754" s="38">
        <v>105.3</v>
      </c>
    </row>
    <row r="755" spans="1:10">
      <c r="A755" s="1" t="s">
        <v>287</v>
      </c>
      <c r="B755" s="1" t="s">
        <v>499</v>
      </c>
      <c r="C755" s="38">
        <v>11.272048209635418</v>
      </c>
      <c r="D755" s="38">
        <v>11.272048209635418</v>
      </c>
      <c r="E755" s="38">
        <v>11.272048209635418</v>
      </c>
      <c r="F755" s="38">
        <v>11.272048209635418</v>
      </c>
      <c r="G755" s="38">
        <v>11.272048209635418</v>
      </c>
      <c r="H755" s="38">
        <v>11.272048209635418</v>
      </c>
      <c r="I755" s="38">
        <v>11.272048209635418</v>
      </c>
      <c r="J755" s="38">
        <v>11.272048209635418</v>
      </c>
    </row>
    <row r="756" spans="1:10">
      <c r="A756" s="1" t="s">
        <v>288</v>
      </c>
      <c r="B756" s="1" t="s">
        <v>499</v>
      </c>
      <c r="C756" s="38">
        <v>98.964819010416676</v>
      </c>
      <c r="D756" s="38">
        <v>98.964819010416676</v>
      </c>
      <c r="E756" s="38">
        <v>98.964819010416676</v>
      </c>
      <c r="F756" s="38">
        <v>98.964819010416676</v>
      </c>
      <c r="G756" s="38">
        <v>98.964819010416676</v>
      </c>
      <c r="H756" s="38">
        <v>98.964819010416676</v>
      </c>
      <c r="I756" s="38">
        <v>98.964819010416676</v>
      </c>
      <c r="J756" s="38">
        <v>98.964819010416676</v>
      </c>
    </row>
    <row r="757" spans="1:10">
      <c r="A757" s="1" t="s">
        <v>289</v>
      </c>
      <c r="B757" s="1" t="s">
        <v>499</v>
      </c>
      <c r="C757" s="38">
        <v>36.4</v>
      </c>
      <c r="D757" s="38">
        <v>36.4</v>
      </c>
      <c r="E757" s="38">
        <v>36.4</v>
      </c>
      <c r="F757" s="38">
        <v>36.4</v>
      </c>
      <c r="G757" s="38">
        <v>36.4</v>
      </c>
      <c r="H757" s="38">
        <v>36.4</v>
      </c>
      <c r="I757" s="38">
        <v>36.4</v>
      </c>
      <c r="J757" s="38">
        <v>36.4</v>
      </c>
    </row>
    <row r="758" spans="1:10">
      <c r="A758" s="1" t="s">
        <v>290</v>
      </c>
      <c r="B758" s="1" t="s">
        <v>499</v>
      </c>
      <c r="C758" s="38">
        <v>5.0493366861979165</v>
      </c>
      <c r="D758" s="38">
        <v>5.0493366861979165</v>
      </c>
      <c r="E758" s="38">
        <v>5.0493366861979165</v>
      </c>
      <c r="F758" s="38">
        <v>5.0493366861979165</v>
      </c>
      <c r="G758" s="38">
        <v>5.0493366861979165</v>
      </c>
      <c r="H758" s="38">
        <v>5.0493366861979165</v>
      </c>
      <c r="I758" s="38">
        <v>5.0493366861979165</v>
      </c>
      <c r="J758" s="38">
        <v>5.0493366861979165</v>
      </c>
    </row>
    <row r="759" spans="1:10">
      <c r="A759" s="1" t="s">
        <v>291</v>
      </c>
      <c r="B759" s="1" t="s">
        <v>499</v>
      </c>
      <c r="C759" s="38">
        <v>10.108734830729167</v>
      </c>
      <c r="D759" s="38">
        <v>10.108734830729167</v>
      </c>
      <c r="E759" s="38">
        <v>10.108734830729167</v>
      </c>
      <c r="F759" s="38">
        <v>10.108734830729167</v>
      </c>
      <c r="G759" s="38">
        <v>10.108734830729167</v>
      </c>
      <c r="H759" s="38">
        <v>10.108734830729167</v>
      </c>
      <c r="I759" s="38">
        <v>10.108734830729167</v>
      </c>
      <c r="J759" s="38">
        <v>10.108734830729167</v>
      </c>
    </row>
    <row r="760" spans="1:10">
      <c r="A760" s="1" t="s">
        <v>292</v>
      </c>
      <c r="B760" s="1" t="s">
        <v>499</v>
      </c>
      <c r="C760" s="38">
        <v>7.0550039388020833</v>
      </c>
      <c r="D760" s="38">
        <v>7.0550039388020833</v>
      </c>
      <c r="E760" s="38">
        <v>7.0550039388020833</v>
      </c>
      <c r="F760" s="38">
        <v>7.0550039388020833</v>
      </c>
      <c r="G760" s="38">
        <v>7.0550039388020833</v>
      </c>
      <c r="H760" s="38">
        <v>7.0550039388020833</v>
      </c>
      <c r="I760" s="38">
        <v>7.0550039388020833</v>
      </c>
      <c r="J760" s="38">
        <v>7.0550039388020833</v>
      </c>
    </row>
    <row r="761" spans="1:10">
      <c r="A761" s="1" t="s">
        <v>293</v>
      </c>
      <c r="B761" s="1" t="s">
        <v>499</v>
      </c>
      <c r="C761" s="38">
        <v>64.219878125000008</v>
      </c>
      <c r="D761" s="38">
        <v>64.219878125000008</v>
      </c>
      <c r="E761" s="38">
        <v>64.219878125000008</v>
      </c>
      <c r="F761" s="38">
        <v>64.219878125000008</v>
      </c>
      <c r="G761" s="38">
        <v>64.219878125000008</v>
      </c>
      <c r="H761" s="38">
        <v>64.219878125000008</v>
      </c>
      <c r="I761" s="38">
        <v>64.219878125000008</v>
      </c>
      <c r="J761" s="38">
        <v>64.219878125000008</v>
      </c>
    </row>
    <row r="762" spans="1:10">
      <c r="A762" s="1" t="s">
        <v>309</v>
      </c>
      <c r="B762" s="1" t="s">
        <v>499</v>
      </c>
      <c r="C762" s="38">
        <v>15.600000000000001</v>
      </c>
      <c r="D762" s="38">
        <v>15.600000000000001</v>
      </c>
      <c r="E762" s="38">
        <v>15.600000000000001</v>
      </c>
      <c r="F762" s="38">
        <v>15.600000000000001</v>
      </c>
      <c r="G762" s="38">
        <v>15.600000000000001</v>
      </c>
      <c r="H762" s="38">
        <v>15.600000000000001</v>
      </c>
      <c r="I762" s="38">
        <v>15.600000000000001</v>
      </c>
      <c r="J762" s="38">
        <v>15.600000000000001</v>
      </c>
    </row>
    <row r="763" spans="1:10">
      <c r="A763" s="1" t="s">
        <v>294</v>
      </c>
      <c r="B763" s="1" t="s">
        <v>499</v>
      </c>
      <c r="C763" s="38">
        <v>0.92882294311523439</v>
      </c>
      <c r="D763" s="38">
        <v>0.92882294311523439</v>
      </c>
      <c r="E763" s="38">
        <v>0.92882294311523439</v>
      </c>
      <c r="F763" s="38">
        <v>0.92882294311523439</v>
      </c>
      <c r="G763" s="38">
        <v>0.92882294311523439</v>
      </c>
      <c r="H763" s="38">
        <v>0.92882294311523439</v>
      </c>
      <c r="I763" s="38">
        <v>0.92882294311523439</v>
      </c>
      <c r="J763" s="38">
        <v>0.92882294311523439</v>
      </c>
    </row>
    <row r="764" spans="1:10">
      <c r="A764" s="1" t="s">
        <v>310</v>
      </c>
      <c r="B764" s="1" t="s">
        <v>499</v>
      </c>
      <c r="C764" s="38">
        <v>13</v>
      </c>
      <c r="D764" s="38">
        <v>13</v>
      </c>
      <c r="E764" s="38">
        <v>13</v>
      </c>
      <c r="F764" s="38">
        <v>13</v>
      </c>
      <c r="G764" s="38">
        <v>13</v>
      </c>
      <c r="H764" s="38">
        <v>13</v>
      </c>
      <c r="I764" s="38">
        <v>13</v>
      </c>
      <c r="J764" s="38">
        <v>13</v>
      </c>
    </row>
    <row r="765" spans="1:10">
      <c r="A765" s="1" t="s">
        <v>297</v>
      </c>
      <c r="B765" s="1" t="s">
        <v>499</v>
      </c>
      <c r="C765" s="38">
        <v>15.652033854166666</v>
      </c>
      <c r="D765" s="38">
        <v>15.652033854166666</v>
      </c>
      <c r="E765" s="38">
        <v>15.652033854166666</v>
      </c>
      <c r="F765" s="38">
        <v>15.652033854166666</v>
      </c>
      <c r="G765" s="38">
        <v>15.652033854166666</v>
      </c>
      <c r="H765" s="38">
        <v>15.652033854166666</v>
      </c>
      <c r="I765" s="38">
        <v>15.652033854166666</v>
      </c>
      <c r="J765" s="38">
        <v>15.652033854166666</v>
      </c>
    </row>
    <row r="766" spans="1:10">
      <c r="A766" s="1" t="s">
        <v>298</v>
      </c>
      <c r="B766" s="1" t="s">
        <v>499</v>
      </c>
      <c r="C766" s="38">
        <v>5.2</v>
      </c>
      <c r="D766" s="38">
        <v>5.2</v>
      </c>
      <c r="E766" s="38">
        <v>5.2</v>
      </c>
      <c r="F766" s="38">
        <v>5.2</v>
      </c>
      <c r="G766" s="38">
        <v>5.2</v>
      </c>
      <c r="H766" s="38">
        <v>5.2</v>
      </c>
      <c r="I766" s="38">
        <v>5.2</v>
      </c>
      <c r="J766" s="38">
        <v>5.2</v>
      </c>
    </row>
    <row r="767" spans="1:10">
      <c r="A767" s="1" t="s">
        <v>357</v>
      </c>
      <c r="B767" s="1" t="s">
        <v>499</v>
      </c>
      <c r="C767" s="38">
        <v>37.954413187220567</v>
      </c>
      <c r="D767" s="38">
        <v>37.954413187220567</v>
      </c>
      <c r="E767" s="38">
        <v>37.954413187220567</v>
      </c>
      <c r="F767" s="38">
        <v>37.954413187220567</v>
      </c>
      <c r="G767" s="38">
        <v>37.954413187220567</v>
      </c>
      <c r="H767" s="38">
        <v>37.954413187220567</v>
      </c>
      <c r="I767" s="38">
        <v>37.954413187220567</v>
      </c>
      <c r="J767" s="38">
        <v>37.954413187220567</v>
      </c>
    </row>
    <row r="768" spans="1:10">
      <c r="A768" s="1" t="s">
        <v>299</v>
      </c>
      <c r="B768" s="1" t="s">
        <v>499</v>
      </c>
      <c r="C768" s="38">
        <v>67.600000000000009</v>
      </c>
      <c r="D768" s="38">
        <v>67.600000000000009</v>
      </c>
      <c r="E768" s="38">
        <v>67.600000000000009</v>
      </c>
      <c r="F768" s="38">
        <v>67.600000000000009</v>
      </c>
      <c r="G768" s="38">
        <v>67.600000000000009</v>
      </c>
      <c r="H768" s="38">
        <v>67.600000000000009</v>
      </c>
      <c r="I768" s="38">
        <v>67.600000000000009</v>
      </c>
      <c r="J768" s="38">
        <v>67.600000000000009</v>
      </c>
    </row>
    <row r="769" spans="1:10">
      <c r="A769" s="1" t="s">
        <v>300</v>
      </c>
      <c r="B769" s="1" t="s">
        <v>499</v>
      </c>
      <c r="C769" s="38">
        <v>10.893533235677085</v>
      </c>
      <c r="D769" s="38">
        <v>10.893533235677085</v>
      </c>
      <c r="E769" s="38">
        <v>10.893533235677085</v>
      </c>
      <c r="F769" s="38">
        <v>10.893533235677085</v>
      </c>
      <c r="G769" s="38">
        <v>10.893533235677085</v>
      </c>
      <c r="H769" s="38">
        <v>10.893533235677085</v>
      </c>
      <c r="I769" s="38">
        <v>10.893533235677085</v>
      </c>
      <c r="J769" s="38">
        <v>10.893533235677085</v>
      </c>
    </row>
    <row r="770" spans="1:10">
      <c r="A770" s="1" t="s">
        <v>301</v>
      </c>
      <c r="B770" s="1" t="s">
        <v>499</v>
      </c>
      <c r="C770" s="38">
        <v>57.2</v>
      </c>
      <c r="D770" s="38">
        <v>57.2</v>
      </c>
      <c r="E770" s="38">
        <v>57.2</v>
      </c>
      <c r="F770" s="38">
        <v>57.2</v>
      </c>
      <c r="G770" s="38">
        <v>57.2</v>
      </c>
      <c r="H770" s="38">
        <v>57.2</v>
      </c>
      <c r="I770" s="38">
        <v>57.2</v>
      </c>
      <c r="J770" s="38">
        <v>57.2</v>
      </c>
    </row>
    <row r="771" spans="1:10">
      <c r="A771" s="1" t="s">
        <v>303</v>
      </c>
      <c r="B771" s="1" t="s">
        <v>499</v>
      </c>
      <c r="C771" s="38">
        <v>18.599936197916666</v>
      </c>
      <c r="D771" s="38">
        <v>18.599936197916666</v>
      </c>
      <c r="E771" s="38">
        <v>18.599936197916666</v>
      </c>
      <c r="F771" s="38">
        <v>18.599936197916666</v>
      </c>
      <c r="G771" s="38">
        <v>18.599936197916666</v>
      </c>
      <c r="H771" s="38">
        <v>18.599936197916666</v>
      </c>
      <c r="I771" s="38">
        <v>18.599936197916666</v>
      </c>
      <c r="J771" s="38">
        <v>18.599936197916666</v>
      </c>
    </row>
    <row r="772" spans="1:10">
      <c r="A772" s="1" t="s">
        <v>304</v>
      </c>
      <c r="B772" s="1" t="s">
        <v>499</v>
      </c>
      <c r="C772" s="38">
        <v>2.4498147176106775</v>
      </c>
      <c r="D772" s="38">
        <v>2.4498147176106775</v>
      </c>
      <c r="E772" s="38">
        <v>2.4498147176106775</v>
      </c>
      <c r="F772" s="38">
        <v>2.4498147176106775</v>
      </c>
      <c r="G772" s="38">
        <v>2.4498147176106775</v>
      </c>
      <c r="H772" s="38">
        <v>2.4498147176106775</v>
      </c>
      <c r="I772" s="38">
        <v>2.4498147176106775</v>
      </c>
      <c r="J772" s="38">
        <v>2.4498147176106775</v>
      </c>
    </row>
    <row r="773" spans="1:10">
      <c r="A773" s="1" t="s">
        <v>305</v>
      </c>
      <c r="B773" s="1" t="s">
        <v>499</v>
      </c>
      <c r="C773" s="38">
        <v>7.6261059570312506</v>
      </c>
      <c r="D773" s="38">
        <v>7.6261059570312506</v>
      </c>
      <c r="E773" s="38">
        <v>7.6261059570312506</v>
      </c>
      <c r="F773" s="38">
        <v>7.6261059570312506</v>
      </c>
      <c r="G773" s="38">
        <v>7.6261059570312506</v>
      </c>
      <c r="H773" s="38">
        <v>7.6261059570312506</v>
      </c>
      <c r="I773" s="38">
        <v>7.6261059570312506</v>
      </c>
      <c r="J773" s="38">
        <v>7.6261059570312506</v>
      </c>
    </row>
    <row r="774" spans="1:10">
      <c r="A774" s="1" t="s">
        <v>307</v>
      </c>
      <c r="B774" s="1" t="s">
        <v>499</v>
      </c>
      <c r="C774" s="38">
        <v>66.32116223958333</v>
      </c>
      <c r="D774" s="38">
        <v>66.32116223958333</v>
      </c>
      <c r="E774" s="38">
        <v>66.32116223958333</v>
      </c>
      <c r="F774" s="38">
        <v>66.32116223958333</v>
      </c>
      <c r="G774" s="38">
        <v>66.32116223958333</v>
      </c>
      <c r="H774" s="38">
        <v>66.32116223958333</v>
      </c>
      <c r="I774" s="38">
        <v>66.32116223958333</v>
      </c>
      <c r="J774" s="38">
        <v>66.32116223958333</v>
      </c>
    </row>
    <row r="775" spans="1:10">
      <c r="A775" s="10" t="s">
        <v>356</v>
      </c>
      <c r="B775" s="10" t="s">
        <v>523</v>
      </c>
      <c r="C775" s="82">
        <v>95.517499999999998</v>
      </c>
      <c r="D775" s="82">
        <v>95.517499999999998</v>
      </c>
      <c r="E775" s="82">
        <v>95.517499999999998</v>
      </c>
      <c r="F775" s="82">
        <v>95.517499999999998</v>
      </c>
      <c r="G775" s="82">
        <v>95.517499999999998</v>
      </c>
      <c r="H775" s="82">
        <v>95.517499999999998</v>
      </c>
      <c r="I775" s="82">
        <v>95.517499999999998</v>
      </c>
      <c r="J775" s="82">
        <v>95.517499999999998</v>
      </c>
    </row>
  </sheetData>
  <hyperlinks>
    <hyperlink ref="K648" r:id="rId1" xr:uid="{00000000-0004-0000-2400-000000000000}"/>
    <hyperlink ref="K649" r:id="rId2" xr:uid="{00000000-0004-0000-2400-000001000000}"/>
    <hyperlink ref="K650" r:id="rId3" xr:uid="{00000000-0004-0000-2400-000002000000}"/>
    <hyperlink ref="K651" r:id="rId4" xr:uid="{00000000-0004-0000-2400-000003000000}"/>
    <hyperlink ref="K652" r:id="rId5" xr:uid="{00000000-0004-0000-2400-000004000000}"/>
    <hyperlink ref="K653" r:id="rId6" xr:uid="{00000000-0004-0000-2400-000005000000}"/>
    <hyperlink ref="K654" r:id="rId7" xr:uid="{00000000-0004-0000-2400-000006000000}"/>
    <hyperlink ref="K655" r:id="rId8" xr:uid="{00000000-0004-0000-2400-000007000000}"/>
    <hyperlink ref="K656" r:id="rId9" xr:uid="{00000000-0004-0000-2400-000008000000}"/>
    <hyperlink ref="K657" r:id="rId10" xr:uid="{00000000-0004-0000-2400-000009000000}"/>
    <hyperlink ref="K658" r:id="rId11" xr:uid="{00000000-0004-0000-2400-00000A000000}"/>
    <hyperlink ref="K659" r:id="rId12" xr:uid="{00000000-0004-0000-2400-00000B000000}"/>
    <hyperlink ref="K660" r:id="rId13" xr:uid="{00000000-0004-0000-2400-00000C000000}"/>
    <hyperlink ref="K661" r:id="rId14" xr:uid="{00000000-0004-0000-2400-00000D000000}"/>
    <hyperlink ref="K662" r:id="rId15" xr:uid="{00000000-0004-0000-2400-00000E000000}"/>
    <hyperlink ref="K663" r:id="rId16" xr:uid="{00000000-0004-0000-2400-00000F000000}"/>
    <hyperlink ref="K664" r:id="rId17" xr:uid="{00000000-0004-0000-2400-000010000000}"/>
    <hyperlink ref="K665" r:id="rId18" xr:uid="{00000000-0004-0000-2400-000011000000}"/>
    <hyperlink ref="K666" r:id="rId19" xr:uid="{00000000-0004-0000-2400-000012000000}"/>
    <hyperlink ref="K667" r:id="rId20" xr:uid="{00000000-0004-0000-2400-000013000000}"/>
  </hyperlinks>
  <pageMargins left="0.7" right="0.7" top="0.78740157499999996" bottom="0.78740157499999996" header="0.3" footer="0.3"/>
  <pageSetup paperSize="9" orientation="portrait" horizontalDpi="1200" verticalDpi="1200" r:id="rId2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40"/>
  <dimension ref="A1:J47"/>
  <sheetViews>
    <sheetView topLeftCell="A4" workbookViewId="0">
      <selection activeCell="I31" sqref="I31"/>
    </sheetView>
  </sheetViews>
  <sheetFormatPr defaultColWidth="11.42578125" defaultRowHeight="15"/>
  <cols>
    <col min="1" max="1" width="20.85546875" style="34" customWidth="1"/>
    <col min="2" max="2" width="15.5703125" style="1" bestFit="1" customWidth="1"/>
    <col min="3" max="16384" width="11.42578125" style="1"/>
  </cols>
  <sheetData>
    <row r="1" spans="1:10">
      <c r="A1" s="34" t="s">
        <v>445</v>
      </c>
      <c r="C1" s="43"/>
      <c r="D1" s="43"/>
      <c r="E1" s="43"/>
      <c r="F1" s="43"/>
      <c r="G1" s="43"/>
      <c r="H1" s="43"/>
      <c r="I1" s="43"/>
      <c r="J1" s="43"/>
    </row>
    <row r="2" spans="1:10">
      <c r="A2" s="34" t="s">
        <v>380</v>
      </c>
      <c r="C2" s="43"/>
      <c r="D2" s="43"/>
      <c r="E2" s="43"/>
      <c r="F2" s="43"/>
      <c r="G2" s="43"/>
      <c r="H2" s="43"/>
      <c r="I2" s="43"/>
      <c r="J2" s="43"/>
    </row>
    <row r="3" spans="1:10">
      <c r="A3" s="34" t="s">
        <v>424</v>
      </c>
      <c r="C3" s="43"/>
      <c r="D3" s="43"/>
      <c r="E3" s="43"/>
      <c r="F3" s="43"/>
      <c r="G3" s="43"/>
      <c r="H3" s="43"/>
      <c r="I3" s="43"/>
      <c r="J3" s="43"/>
    </row>
    <row r="4" spans="1:10">
      <c r="A4" s="34" t="s">
        <v>20</v>
      </c>
      <c r="B4" s="1" t="s">
        <v>26</v>
      </c>
      <c r="C4" s="1" t="s">
        <v>35</v>
      </c>
      <c r="D4" s="43"/>
      <c r="E4" s="43"/>
      <c r="F4" s="43"/>
      <c r="G4" s="43"/>
      <c r="H4" s="43"/>
      <c r="I4" s="43"/>
      <c r="J4" s="43"/>
    </row>
    <row r="5" spans="1:10">
      <c r="A5" s="34" t="s">
        <v>283</v>
      </c>
      <c r="B5" s="1" t="s">
        <v>90</v>
      </c>
      <c r="C5" s="33">
        <v>31987.000000000255</v>
      </c>
      <c r="F5" s="34"/>
    </row>
    <row r="6" spans="1:10">
      <c r="A6" s="34" t="s">
        <v>284</v>
      </c>
      <c r="B6" s="1" t="s">
        <v>90</v>
      </c>
      <c r="C6" s="33">
        <v>348</v>
      </c>
      <c r="F6" s="34"/>
    </row>
    <row r="7" spans="1:10">
      <c r="A7" s="34" t="s">
        <v>307</v>
      </c>
      <c r="B7" s="1" t="s">
        <v>90</v>
      </c>
      <c r="C7" s="33">
        <v>2030.0000000000161</v>
      </c>
      <c r="F7" s="34"/>
    </row>
    <row r="8" spans="1:10">
      <c r="A8" s="34" t="s">
        <v>286</v>
      </c>
      <c r="B8" s="1" t="s">
        <v>90</v>
      </c>
      <c r="C8" s="33">
        <f>25172.0000000002/2</f>
        <v>12586.0000000001</v>
      </c>
      <c r="F8" s="34"/>
    </row>
    <row r="9" spans="1:10">
      <c r="A9" s="34" t="s">
        <v>300</v>
      </c>
      <c r="B9" s="1" t="s">
        <v>90</v>
      </c>
      <c r="C9" s="33">
        <f>25172.0000000002/2</f>
        <v>12586.0000000001</v>
      </c>
    </row>
    <row r="10" spans="1:10">
      <c r="A10" s="34" t="s">
        <v>299</v>
      </c>
      <c r="B10" s="1" t="s">
        <v>90</v>
      </c>
      <c r="C10" s="33">
        <v>542300.00000000431</v>
      </c>
    </row>
    <row r="11" spans="1:10">
      <c r="A11" s="12" t="s">
        <v>291</v>
      </c>
      <c r="B11" s="1" t="s">
        <v>90</v>
      </c>
      <c r="C11" s="33">
        <f>8323.00000000007/3</f>
        <v>2774.3333333333562</v>
      </c>
    </row>
    <row r="12" spans="1:10">
      <c r="A12" s="12" t="s">
        <v>301</v>
      </c>
      <c r="B12" s="1" t="s">
        <v>90</v>
      </c>
      <c r="C12" s="33">
        <f>8323.00000000007/3</f>
        <v>2774.3333333333562</v>
      </c>
    </row>
    <row r="13" spans="1:10">
      <c r="A13" s="12" t="s">
        <v>305</v>
      </c>
      <c r="B13" s="1" t="s">
        <v>90</v>
      </c>
      <c r="C13" s="33">
        <f>8323.00000000007/3</f>
        <v>2774.3333333333562</v>
      </c>
    </row>
    <row r="14" spans="1:10">
      <c r="A14" s="12" t="s">
        <v>357</v>
      </c>
      <c r="B14" s="1" t="s">
        <v>90</v>
      </c>
      <c r="C14" s="33">
        <f>25.6630136986303/4</f>
        <v>6.4157534246575754</v>
      </c>
    </row>
    <row r="15" spans="1:10">
      <c r="A15" s="1" t="s">
        <v>281</v>
      </c>
      <c r="B15" s="1" t="s">
        <v>90</v>
      </c>
      <c r="C15" s="33">
        <f>25.6630136986303/4</f>
        <v>6.4157534246575754</v>
      </c>
    </row>
    <row r="16" spans="1:10">
      <c r="A16" s="1" t="s">
        <v>290</v>
      </c>
      <c r="B16" s="1" t="s">
        <v>90</v>
      </c>
      <c r="C16" s="33">
        <f>25.6630136986303/4</f>
        <v>6.4157534246575754</v>
      </c>
    </row>
    <row r="17" spans="1:10">
      <c r="A17" s="12" t="s">
        <v>304</v>
      </c>
      <c r="B17" s="1" t="s">
        <v>90</v>
      </c>
      <c r="C17" s="33">
        <f>25.6630136986303/4</f>
        <v>6.4157534246575754</v>
      </c>
    </row>
    <row r="18" spans="1:10">
      <c r="A18" s="34" t="s">
        <v>283</v>
      </c>
      <c r="B18" s="1" t="s">
        <v>89</v>
      </c>
      <c r="C18" s="33">
        <v>38595.000000000306</v>
      </c>
    </row>
    <row r="19" spans="1:10">
      <c r="A19" s="34" t="s">
        <v>284</v>
      </c>
      <c r="B19" s="1" t="s">
        <v>89</v>
      </c>
      <c r="C19" s="33">
        <v>543000.00000000431</v>
      </c>
    </row>
    <row r="20" spans="1:10">
      <c r="A20" s="34" t="s">
        <v>299</v>
      </c>
      <c r="B20" s="1" t="s">
        <v>89</v>
      </c>
      <c r="C20" s="33">
        <v>81915.00000000064</v>
      </c>
      <c r="J20" s="12"/>
    </row>
    <row r="21" spans="1:10">
      <c r="A21" s="12" t="s">
        <v>291</v>
      </c>
      <c r="B21" s="1" t="s">
        <v>89</v>
      </c>
      <c r="C21" s="33">
        <f>43695.0000000003/3</f>
        <v>14565.0000000001</v>
      </c>
      <c r="J21" s="12"/>
    </row>
    <row r="22" spans="1:10">
      <c r="A22" s="34" t="s">
        <v>301</v>
      </c>
      <c r="B22" s="1" t="s">
        <v>89</v>
      </c>
      <c r="C22" s="33">
        <f>43695.0000000003/3</f>
        <v>14565.0000000001</v>
      </c>
    </row>
    <row r="23" spans="1:10">
      <c r="A23" s="34" t="s">
        <v>305</v>
      </c>
      <c r="B23" s="1" t="s">
        <v>89</v>
      </c>
      <c r="C23" s="33">
        <f>43695.0000000003/3</f>
        <v>14565.0000000001</v>
      </c>
    </row>
    <row r="24" spans="1:10">
      <c r="A24" s="12" t="s">
        <v>357</v>
      </c>
      <c r="B24" s="1" t="s">
        <v>89</v>
      </c>
      <c r="C24" s="33">
        <f>219240.000000002/4</f>
        <v>54810.000000000502</v>
      </c>
    </row>
    <row r="25" spans="1:10">
      <c r="A25" s="34" t="s">
        <v>281</v>
      </c>
      <c r="B25" s="1" t="s">
        <v>89</v>
      </c>
      <c r="C25" s="33">
        <f>219240.000000002/4</f>
        <v>54810.000000000502</v>
      </c>
    </row>
    <row r="26" spans="1:10">
      <c r="A26" s="34" t="s">
        <v>290</v>
      </c>
      <c r="B26" s="1" t="s">
        <v>89</v>
      </c>
      <c r="C26" s="33">
        <f>219240.000000002/4</f>
        <v>54810.000000000502</v>
      </c>
    </row>
    <row r="27" spans="1:10">
      <c r="A27" s="34" t="s">
        <v>304</v>
      </c>
      <c r="B27" s="1" t="s">
        <v>89</v>
      </c>
      <c r="C27" s="33">
        <f>219240.000000002/4</f>
        <v>54810.000000000502</v>
      </c>
    </row>
    <row r="28" spans="1:10">
      <c r="A28" s="12" t="s">
        <v>289</v>
      </c>
      <c r="B28" s="1" t="s">
        <v>89</v>
      </c>
      <c r="C28" s="33">
        <v>4350</v>
      </c>
    </row>
    <row r="29" spans="1:10">
      <c r="A29" s="34" t="s">
        <v>285</v>
      </c>
      <c r="B29" s="1" t="s">
        <v>92</v>
      </c>
      <c r="C29" s="33">
        <v>2294.3664000000003</v>
      </c>
    </row>
    <row r="30" spans="1:10">
      <c r="A30" s="34" t="s">
        <v>307</v>
      </c>
      <c r="B30" s="1" t="s">
        <v>92</v>
      </c>
      <c r="C30" s="33">
        <v>14339.789999999999</v>
      </c>
    </row>
    <row r="31" spans="1:10">
      <c r="A31" s="34" t="s">
        <v>293</v>
      </c>
      <c r="B31" s="1" t="s">
        <v>92</v>
      </c>
      <c r="C31" s="33">
        <v>2867.9580000000001</v>
      </c>
    </row>
    <row r="32" spans="1:10">
      <c r="A32" s="34" t="s">
        <v>298</v>
      </c>
      <c r="B32" s="1" t="s">
        <v>92</v>
      </c>
      <c r="C32" s="33">
        <v>61923.600000000006</v>
      </c>
    </row>
    <row r="33" spans="1:6">
      <c r="A33" s="1" t="s">
        <v>287</v>
      </c>
      <c r="B33" s="1" t="s">
        <v>92</v>
      </c>
      <c r="C33" s="33">
        <f>43592.9616/3</f>
        <v>14530.987200000001</v>
      </c>
    </row>
    <row r="34" spans="1:6">
      <c r="A34" s="1" t="s">
        <v>303</v>
      </c>
      <c r="B34" s="1" t="s">
        <v>92</v>
      </c>
      <c r="C34" s="33">
        <f>43592.9616/3</f>
        <v>14530.987200000001</v>
      </c>
    </row>
    <row r="35" spans="1:6">
      <c r="A35" s="12" t="s">
        <v>291</v>
      </c>
      <c r="B35" s="1" t="s">
        <v>92</v>
      </c>
      <c r="C35" s="33">
        <f>3441.5496/3</f>
        <v>1147.1831999999999</v>
      </c>
    </row>
    <row r="36" spans="1:6">
      <c r="A36" s="12" t="s">
        <v>301</v>
      </c>
      <c r="B36" s="1" t="s">
        <v>92</v>
      </c>
      <c r="C36" s="33">
        <f>3441.5496/3</f>
        <v>1147.1831999999999</v>
      </c>
    </row>
    <row r="37" spans="1:6">
      <c r="A37" s="12" t="s">
        <v>305</v>
      </c>
      <c r="B37" s="1" t="s">
        <v>92</v>
      </c>
      <c r="C37" s="33">
        <f>3441.5496/3</f>
        <v>1147.1831999999999</v>
      </c>
    </row>
    <row r="38" spans="1:6">
      <c r="A38" s="34" t="s">
        <v>307</v>
      </c>
      <c r="B38" s="1" t="s">
        <v>88</v>
      </c>
      <c r="C38" s="33">
        <v>7536.2400000000007</v>
      </c>
    </row>
    <row r="39" spans="1:6">
      <c r="A39" s="34" t="s">
        <v>297</v>
      </c>
      <c r="B39" s="1" t="s">
        <v>88</v>
      </c>
      <c r="C39" s="33">
        <v>26376.84</v>
      </c>
    </row>
    <row r="40" spans="1:6">
      <c r="A40" s="34" t="s">
        <v>299</v>
      </c>
      <c r="B40" s="1" t="s">
        <v>88</v>
      </c>
      <c r="C40" s="33">
        <v>3768.1200000000003</v>
      </c>
    </row>
    <row r="41" spans="1:6">
      <c r="A41" s="12" t="s">
        <v>291</v>
      </c>
      <c r="B41" s="1" t="s">
        <v>88</v>
      </c>
      <c r="C41" s="33">
        <f>3768.12/3</f>
        <v>1256.04</v>
      </c>
    </row>
    <row r="42" spans="1:6">
      <c r="A42" s="12" t="s">
        <v>301</v>
      </c>
      <c r="B42" s="1" t="s">
        <v>88</v>
      </c>
      <c r="C42" s="33">
        <f>3768.12/3</f>
        <v>1256.04</v>
      </c>
    </row>
    <row r="43" spans="1:6">
      <c r="A43" s="12" t="s">
        <v>305</v>
      </c>
      <c r="B43" s="1" t="s">
        <v>88</v>
      </c>
      <c r="C43" s="33">
        <f>3768.12/3</f>
        <v>1256.04</v>
      </c>
    </row>
    <row r="44" spans="1:6">
      <c r="A44" s="34" t="s">
        <v>287</v>
      </c>
      <c r="B44" s="1" t="s">
        <v>88</v>
      </c>
      <c r="C44" s="33">
        <f>67826.16/3</f>
        <v>22608.720000000001</v>
      </c>
    </row>
    <row r="45" spans="1:6">
      <c r="A45" s="1" t="s">
        <v>303</v>
      </c>
      <c r="B45" s="1" t="s">
        <v>88</v>
      </c>
      <c r="C45" s="33">
        <f>67826.16/3</f>
        <v>22608.720000000001</v>
      </c>
    </row>
    <row r="46" spans="1:6">
      <c r="A46" s="1" t="s">
        <v>298</v>
      </c>
      <c r="B46" s="1" t="s">
        <v>88</v>
      </c>
      <c r="C46" s="33">
        <v>79199.208000000013</v>
      </c>
    </row>
    <row r="47" spans="1:6">
      <c r="A47" s="12" t="s">
        <v>356</v>
      </c>
      <c r="B47" s="1" t="s">
        <v>89</v>
      </c>
      <c r="C47" s="33">
        <v>138960</v>
      </c>
      <c r="F47" s="51"/>
    </row>
  </sheetData>
  <sortState xmlns:xlrd2="http://schemas.microsoft.com/office/spreadsheetml/2017/richdata2" ref="A5:C36">
    <sortCondition ref="A5"/>
  </sortState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25"/>
  <dimension ref="A1:J5"/>
  <sheetViews>
    <sheetView workbookViewId="0">
      <selection activeCell="A4" sqref="A4"/>
    </sheetView>
  </sheetViews>
  <sheetFormatPr defaultColWidth="11.42578125" defaultRowHeight="15"/>
  <cols>
    <col min="1" max="16384" width="11.42578125" style="1"/>
  </cols>
  <sheetData>
    <row r="1" spans="1:10">
      <c r="A1" s="1" t="s">
        <v>446</v>
      </c>
    </row>
    <row r="2" spans="1:10">
      <c r="A2" s="1" t="s">
        <v>13</v>
      </c>
    </row>
    <row r="3" spans="1:10">
      <c r="A3" s="1" t="s">
        <v>399</v>
      </c>
    </row>
    <row r="5" spans="1:10">
      <c r="A5" s="1" t="s">
        <v>20</v>
      </c>
      <c r="B5" s="1" t="s">
        <v>26</v>
      </c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/>
  <dimension ref="A1:T42"/>
  <sheetViews>
    <sheetView zoomScaleNormal="100" workbookViewId="0">
      <pane xSplit="1" ySplit="5" topLeftCell="B7" activePane="bottomRight" state="frozen"/>
      <selection activeCell="D17" sqref="D17"/>
      <selection pane="topRight" activeCell="D17" sqref="D17"/>
      <selection pane="bottomLeft" activeCell="D17" sqref="D17"/>
      <selection pane="bottomRight" activeCell="B10" sqref="B10"/>
    </sheetView>
  </sheetViews>
  <sheetFormatPr defaultColWidth="11.42578125" defaultRowHeight="15"/>
  <cols>
    <col min="1" max="2" width="23.42578125" style="1" customWidth="1"/>
    <col min="3" max="8" width="17.140625" style="1" customWidth="1"/>
    <col min="9" max="21" width="17" style="1" customWidth="1"/>
    <col min="22" max="16384" width="11.42578125" style="1"/>
  </cols>
  <sheetData>
    <row r="1" spans="1:20">
      <c r="A1" s="1" t="s">
        <v>447</v>
      </c>
    </row>
    <row r="2" spans="1:20">
      <c r="A2" s="1" t="s">
        <v>381</v>
      </c>
    </row>
    <row r="3" spans="1:20">
      <c r="A3" s="1" t="s">
        <v>416</v>
      </c>
    </row>
    <row r="5" spans="1:20">
      <c r="A5" s="1" t="s">
        <v>26</v>
      </c>
      <c r="B5" s="1" t="s">
        <v>375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48</v>
      </c>
      <c r="O5" s="1" t="s">
        <v>49</v>
      </c>
      <c r="P5" s="1" t="s">
        <v>50</v>
      </c>
      <c r="Q5" s="1" t="s">
        <v>51</v>
      </c>
      <c r="R5" s="1" t="s">
        <v>52</v>
      </c>
      <c r="S5" s="1" t="s">
        <v>53</v>
      </c>
      <c r="T5" s="1" t="s">
        <v>54</v>
      </c>
    </row>
    <row r="6" spans="1:20">
      <c r="A6" s="24" t="s">
        <v>134</v>
      </c>
      <c r="B6" s="24">
        <v>1</v>
      </c>
      <c r="G6" s="1">
        <v>1</v>
      </c>
      <c r="S6" s="1">
        <v>1</v>
      </c>
    </row>
    <row r="7" spans="1:20">
      <c r="A7" s="24" t="s">
        <v>135</v>
      </c>
      <c r="B7" s="24">
        <v>1</v>
      </c>
      <c r="G7" s="1">
        <v>1</v>
      </c>
      <c r="M7" s="1">
        <v>1</v>
      </c>
    </row>
    <row r="8" spans="1:20">
      <c r="A8" s="24" t="s">
        <v>129</v>
      </c>
      <c r="B8" s="24">
        <v>1</v>
      </c>
      <c r="F8" s="1">
        <v>1</v>
      </c>
      <c r="L8" s="1">
        <v>1</v>
      </c>
    </row>
    <row r="9" spans="1:20">
      <c r="A9" s="24" t="s">
        <v>61</v>
      </c>
      <c r="B9" s="24">
        <v>1</v>
      </c>
      <c r="F9" s="1">
        <v>1</v>
      </c>
      <c r="L9" s="1">
        <v>1</v>
      </c>
    </row>
    <row r="10" spans="1:20">
      <c r="A10" s="24" t="s">
        <v>130</v>
      </c>
      <c r="B10" s="24">
        <v>1</v>
      </c>
      <c r="F10" s="1">
        <v>1</v>
      </c>
      <c r="R10" s="1">
        <v>1</v>
      </c>
    </row>
    <row r="11" spans="1:20">
      <c r="A11" s="24" t="s">
        <v>131</v>
      </c>
      <c r="B11" s="24">
        <v>1</v>
      </c>
      <c r="F11" s="1">
        <v>1</v>
      </c>
      <c r="R11" s="1">
        <v>1</v>
      </c>
    </row>
    <row r="12" spans="1:20">
      <c r="A12" s="24" t="s">
        <v>181</v>
      </c>
      <c r="B12" s="24">
        <v>1</v>
      </c>
      <c r="F12" s="1">
        <v>1</v>
      </c>
      <c r="L12" s="1">
        <v>1</v>
      </c>
    </row>
    <row r="13" spans="1:20">
      <c r="A13" s="24" t="s">
        <v>60</v>
      </c>
      <c r="B13" s="24">
        <v>1</v>
      </c>
      <c r="H13" s="1">
        <v>1</v>
      </c>
      <c r="N13" s="1">
        <v>1</v>
      </c>
    </row>
    <row r="14" spans="1:20">
      <c r="A14" s="24" t="s">
        <v>59</v>
      </c>
      <c r="B14" s="24">
        <v>1</v>
      </c>
      <c r="H14" s="1">
        <v>1</v>
      </c>
      <c r="T14" s="1">
        <v>1</v>
      </c>
    </row>
    <row r="15" spans="1:20">
      <c r="A15" s="24" t="s">
        <v>137</v>
      </c>
      <c r="B15" s="24">
        <v>1</v>
      </c>
      <c r="E15" s="1">
        <v>1</v>
      </c>
      <c r="K15" s="1">
        <v>1</v>
      </c>
    </row>
    <row r="16" spans="1:20">
      <c r="A16" s="24" t="s">
        <v>62</v>
      </c>
      <c r="B16" s="24">
        <v>1</v>
      </c>
      <c r="E16" s="1">
        <v>1</v>
      </c>
      <c r="P16" s="5">
        <v>0</v>
      </c>
      <c r="Q16" s="1">
        <v>1</v>
      </c>
    </row>
    <row r="17" spans="1:20">
      <c r="A17" s="24" t="s">
        <v>138</v>
      </c>
      <c r="B17" s="24">
        <v>1</v>
      </c>
      <c r="E17" s="1">
        <v>1</v>
      </c>
      <c r="J17" s="5"/>
      <c r="K17" s="1">
        <v>1</v>
      </c>
    </row>
    <row r="18" spans="1:20">
      <c r="A18" s="24" t="s">
        <v>132</v>
      </c>
      <c r="B18" s="24">
        <v>1</v>
      </c>
      <c r="D18" s="1">
        <v>1</v>
      </c>
      <c r="P18" s="1">
        <v>1</v>
      </c>
    </row>
    <row r="19" spans="1:20">
      <c r="A19" s="24" t="s">
        <v>133</v>
      </c>
      <c r="B19" s="24">
        <v>1</v>
      </c>
      <c r="D19" s="1">
        <v>1</v>
      </c>
      <c r="J19" s="1">
        <v>1</v>
      </c>
    </row>
    <row r="20" spans="1:20">
      <c r="A20" s="24" t="s">
        <v>64</v>
      </c>
      <c r="B20" s="24">
        <v>1</v>
      </c>
      <c r="C20" s="1">
        <v>1</v>
      </c>
      <c r="I20" s="1">
        <v>1</v>
      </c>
    </row>
    <row r="21" spans="1:20">
      <c r="A21" s="24" t="s">
        <v>127</v>
      </c>
      <c r="B21" s="24">
        <v>1</v>
      </c>
      <c r="C21" s="1">
        <v>1</v>
      </c>
      <c r="I21" s="1">
        <v>1</v>
      </c>
    </row>
    <row r="22" spans="1:20">
      <c r="A22" s="24" t="s">
        <v>63</v>
      </c>
      <c r="B22" s="24">
        <v>1</v>
      </c>
      <c r="C22" s="1">
        <v>1</v>
      </c>
      <c r="O22" s="1">
        <v>1</v>
      </c>
    </row>
    <row r="23" spans="1:20">
      <c r="A23" s="24" t="s">
        <v>128</v>
      </c>
      <c r="B23" s="24">
        <v>1</v>
      </c>
      <c r="C23" s="1">
        <v>1</v>
      </c>
      <c r="O23" s="1">
        <v>1</v>
      </c>
    </row>
    <row r="24" spans="1:20">
      <c r="A24" s="1" t="s">
        <v>183</v>
      </c>
      <c r="B24" s="24">
        <v>1</v>
      </c>
      <c r="C24" s="1">
        <v>1</v>
      </c>
      <c r="D24" s="1">
        <v>1</v>
      </c>
      <c r="E24" s="1">
        <v>1</v>
      </c>
      <c r="I24" s="1">
        <v>1</v>
      </c>
      <c r="J24" s="1">
        <v>1</v>
      </c>
      <c r="K24" s="1">
        <v>1</v>
      </c>
      <c r="O24" s="1">
        <v>1</v>
      </c>
      <c r="P24" s="1">
        <v>1</v>
      </c>
      <c r="Q24" s="1">
        <v>1</v>
      </c>
    </row>
    <row r="25" spans="1:20">
      <c r="A25" s="1" t="s">
        <v>184</v>
      </c>
      <c r="B25" s="24">
        <v>1</v>
      </c>
      <c r="F25" s="1">
        <v>1</v>
      </c>
      <c r="G25" s="1">
        <v>1</v>
      </c>
      <c r="H25" s="1">
        <v>1</v>
      </c>
      <c r="L25" s="1">
        <v>1</v>
      </c>
      <c r="M25" s="1">
        <v>1</v>
      </c>
      <c r="N25" s="1">
        <v>1</v>
      </c>
      <c r="R25" s="1">
        <v>1</v>
      </c>
      <c r="S25" s="1">
        <v>1</v>
      </c>
      <c r="T25" s="1">
        <v>1</v>
      </c>
    </row>
    <row r="26" spans="1:20">
      <c r="A26" s="24" t="s">
        <v>130</v>
      </c>
      <c r="B26" s="24">
        <v>2</v>
      </c>
      <c r="F26" s="1">
        <v>1</v>
      </c>
      <c r="L26" s="1">
        <v>1</v>
      </c>
    </row>
    <row r="27" spans="1:20">
      <c r="A27" s="24" t="s">
        <v>131</v>
      </c>
      <c r="B27" s="24">
        <v>2</v>
      </c>
      <c r="F27" s="1">
        <v>1</v>
      </c>
      <c r="L27" s="1">
        <v>1</v>
      </c>
    </row>
    <row r="28" spans="1:20">
      <c r="A28" s="24" t="s">
        <v>63</v>
      </c>
      <c r="B28" s="24">
        <v>2</v>
      </c>
      <c r="C28" s="1">
        <v>1</v>
      </c>
      <c r="I28" s="1">
        <v>1</v>
      </c>
    </row>
    <row r="29" spans="1:20">
      <c r="A29" s="24" t="s">
        <v>128</v>
      </c>
      <c r="B29" s="24">
        <v>2</v>
      </c>
      <c r="C29" s="1">
        <v>1</v>
      </c>
      <c r="I29" s="1">
        <v>1</v>
      </c>
    </row>
    <row r="30" spans="1:20">
      <c r="A30" s="24" t="s">
        <v>63</v>
      </c>
      <c r="B30" s="24">
        <v>3</v>
      </c>
      <c r="C30" s="1">
        <v>1</v>
      </c>
      <c r="I30" s="1">
        <v>1</v>
      </c>
    </row>
    <row r="31" spans="1:20">
      <c r="A31" s="24" t="s">
        <v>128</v>
      </c>
      <c r="B31" s="24">
        <v>3</v>
      </c>
      <c r="C31" s="1">
        <v>1</v>
      </c>
      <c r="I31" s="1">
        <v>1</v>
      </c>
    </row>
    <row r="32" spans="1:20">
      <c r="A32" s="24" t="s">
        <v>132</v>
      </c>
      <c r="B32" s="24">
        <v>2</v>
      </c>
      <c r="D32" s="1">
        <v>1</v>
      </c>
      <c r="J32" s="1">
        <v>1</v>
      </c>
    </row>
    <row r="33" spans="1:20">
      <c r="A33" s="24" t="s">
        <v>132</v>
      </c>
      <c r="B33" s="24">
        <v>3</v>
      </c>
      <c r="D33" s="1">
        <v>1</v>
      </c>
      <c r="J33" s="1">
        <v>1</v>
      </c>
    </row>
    <row r="34" spans="1:20">
      <c r="A34" s="24" t="s">
        <v>62</v>
      </c>
      <c r="B34" s="24">
        <v>2</v>
      </c>
      <c r="E34" s="1">
        <v>1</v>
      </c>
      <c r="P34" s="5">
        <v>0</v>
      </c>
      <c r="Q34" s="1">
        <v>1</v>
      </c>
    </row>
    <row r="35" spans="1:20">
      <c r="A35" s="24" t="s">
        <v>134</v>
      </c>
      <c r="B35" s="24">
        <v>2</v>
      </c>
      <c r="G35" s="1">
        <v>1</v>
      </c>
      <c r="M35" s="1">
        <v>1</v>
      </c>
    </row>
    <row r="36" spans="1:20">
      <c r="A36" s="24" t="s">
        <v>134</v>
      </c>
      <c r="B36" s="24">
        <v>3</v>
      </c>
      <c r="G36" s="1">
        <v>1</v>
      </c>
      <c r="M36" s="1">
        <v>1</v>
      </c>
    </row>
    <row r="37" spans="1:20">
      <c r="A37" s="24" t="s">
        <v>130</v>
      </c>
      <c r="B37" s="24">
        <v>3</v>
      </c>
      <c r="F37" s="1">
        <v>1</v>
      </c>
      <c r="L37" s="1">
        <v>1</v>
      </c>
    </row>
    <row r="38" spans="1:20">
      <c r="A38" s="24" t="s">
        <v>131</v>
      </c>
      <c r="B38" s="24">
        <v>3</v>
      </c>
      <c r="F38" s="1">
        <v>1</v>
      </c>
      <c r="L38" s="1">
        <v>1</v>
      </c>
    </row>
    <row r="39" spans="1:20">
      <c r="A39" s="24" t="s">
        <v>59</v>
      </c>
      <c r="B39" s="24">
        <v>2</v>
      </c>
      <c r="H39" s="1">
        <v>1</v>
      </c>
      <c r="N39" s="1">
        <v>1</v>
      </c>
    </row>
    <row r="40" spans="1:20">
      <c r="A40" s="24" t="s">
        <v>345</v>
      </c>
      <c r="B40" s="24">
        <v>1</v>
      </c>
      <c r="F40" s="1">
        <v>1</v>
      </c>
      <c r="L40" s="1">
        <v>1</v>
      </c>
      <c r="R40" s="1">
        <v>1</v>
      </c>
    </row>
    <row r="41" spans="1:20">
      <c r="A41" s="24" t="s">
        <v>346</v>
      </c>
      <c r="B41" s="24">
        <v>1</v>
      </c>
      <c r="H41" s="1">
        <v>1</v>
      </c>
      <c r="N41" s="1">
        <v>1</v>
      </c>
      <c r="T41" s="1">
        <v>1</v>
      </c>
    </row>
    <row r="42" spans="1:20">
      <c r="A42" s="24" t="s">
        <v>347</v>
      </c>
      <c r="B42" s="24">
        <v>1</v>
      </c>
      <c r="C42" s="1">
        <v>1</v>
      </c>
      <c r="I42" s="1">
        <v>1</v>
      </c>
      <c r="O42" s="1">
        <v>1</v>
      </c>
    </row>
  </sheetData>
  <dataValidations count="1">
    <dataValidation type="list" allowBlank="1" showInputMessage="1" showErrorMessage="1" sqref="A27 A11:A14 A38:A39 A41" xr:uid="{00000000-0002-0000-27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41"/>
  <sheetViews>
    <sheetView topLeftCell="A4" zoomScale="85" zoomScaleNormal="85" workbookViewId="0">
      <selection activeCell="B28" sqref="B28"/>
    </sheetView>
  </sheetViews>
  <sheetFormatPr defaultColWidth="11.42578125" defaultRowHeight="15"/>
  <cols>
    <col min="1" max="16384" width="11.42578125" style="46"/>
  </cols>
  <sheetData>
    <row r="1" spans="1:9">
      <c r="A1" s="56" t="s">
        <v>448</v>
      </c>
      <c r="B1" s="43"/>
      <c r="C1" s="43"/>
      <c r="D1" s="43"/>
      <c r="E1" s="43"/>
      <c r="F1" s="43"/>
      <c r="G1" s="43"/>
      <c r="H1" s="43"/>
      <c r="I1" s="43"/>
    </row>
    <row r="2" spans="1:9">
      <c r="A2" s="56" t="s">
        <v>382</v>
      </c>
      <c r="B2" s="43"/>
      <c r="C2" s="43"/>
      <c r="D2" s="43"/>
      <c r="E2" s="43"/>
      <c r="F2" s="43"/>
      <c r="G2" s="43"/>
      <c r="H2" s="43"/>
      <c r="I2" s="43"/>
    </row>
    <row r="3" spans="1:9">
      <c r="A3" s="56" t="s">
        <v>412</v>
      </c>
      <c r="B3" s="43"/>
      <c r="C3" s="43"/>
      <c r="D3" s="43"/>
      <c r="E3" s="43"/>
      <c r="F3" s="43"/>
      <c r="G3" s="43"/>
      <c r="H3" s="43"/>
      <c r="I3" s="43"/>
    </row>
    <row r="4" spans="1:9">
      <c r="A4" s="56"/>
      <c r="B4" s="43"/>
      <c r="C4" s="43"/>
      <c r="D4" s="43"/>
      <c r="E4" s="43"/>
      <c r="F4" s="43"/>
      <c r="G4" s="43"/>
      <c r="H4" s="43"/>
      <c r="I4" s="43"/>
    </row>
    <row r="5" spans="1:9">
      <c r="A5" s="46" t="s">
        <v>20</v>
      </c>
      <c r="B5" s="46" t="s">
        <v>35</v>
      </c>
      <c r="C5" s="43"/>
      <c r="D5" s="43"/>
      <c r="E5" s="43"/>
      <c r="F5" s="43"/>
      <c r="G5" s="43"/>
      <c r="H5" s="43"/>
      <c r="I5" s="43"/>
    </row>
    <row r="6" spans="1:9">
      <c r="A6" s="46" t="s">
        <v>277</v>
      </c>
      <c r="B6" s="46">
        <v>0</v>
      </c>
    </row>
    <row r="7" spans="1:9">
      <c r="A7" s="46" t="s">
        <v>278</v>
      </c>
      <c r="B7" s="46">
        <v>0</v>
      </c>
    </row>
    <row r="8" spans="1:9">
      <c r="A8" s="46" t="s">
        <v>279</v>
      </c>
      <c r="B8" s="46">
        <v>0</v>
      </c>
    </row>
    <row r="9" spans="1:9">
      <c r="A9" s="46" t="s">
        <v>280</v>
      </c>
      <c r="B9" s="46">
        <v>0</v>
      </c>
    </row>
    <row r="10" spans="1:9">
      <c r="A10" s="46" t="s">
        <v>281</v>
      </c>
      <c r="B10" s="46">
        <v>0</v>
      </c>
    </row>
    <row r="11" spans="1:9">
      <c r="A11" s="46" t="s">
        <v>282</v>
      </c>
      <c r="B11" s="46">
        <v>0</v>
      </c>
    </row>
    <row r="12" spans="1:9">
      <c r="A12" s="46" t="s">
        <v>283</v>
      </c>
      <c r="B12" s="46">
        <v>0</v>
      </c>
    </row>
    <row r="13" spans="1:9">
      <c r="A13" s="46" t="s">
        <v>284</v>
      </c>
      <c r="B13" s="46">
        <v>1200</v>
      </c>
    </row>
    <row r="14" spans="1:9">
      <c r="A14" s="46" t="s">
        <v>285</v>
      </c>
      <c r="B14" s="46">
        <v>2500</v>
      </c>
    </row>
    <row r="15" spans="1:9">
      <c r="A15" s="46" t="s">
        <v>286</v>
      </c>
      <c r="B15" s="46">
        <v>3500</v>
      </c>
    </row>
    <row r="16" spans="1:9">
      <c r="A16" s="46" t="s">
        <v>287</v>
      </c>
      <c r="B16" s="46">
        <v>0</v>
      </c>
    </row>
    <row r="17" spans="1:2">
      <c r="A17" s="46" t="s">
        <v>288</v>
      </c>
      <c r="B17" s="46">
        <v>0</v>
      </c>
    </row>
    <row r="18" spans="1:2">
      <c r="A18" s="46" t="s">
        <v>289</v>
      </c>
      <c r="B18" s="46">
        <v>0</v>
      </c>
    </row>
    <row r="19" spans="1:2">
      <c r="A19" s="46" t="s">
        <v>290</v>
      </c>
      <c r="B19" s="46">
        <v>0</v>
      </c>
    </row>
    <row r="20" spans="1:2">
      <c r="A20" s="46" t="s">
        <v>291</v>
      </c>
      <c r="B20" s="46">
        <v>0</v>
      </c>
    </row>
    <row r="21" spans="1:2">
      <c r="A21" s="46" t="s">
        <v>292</v>
      </c>
      <c r="B21" s="46">
        <v>1300</v>
      </c>
    </row>
    <row r="22" spans="1:2">
      <c r="A22" s="46" t="s">
        <v>293</v>
      </c>
      <c r="B22" s="46">
        <v>0</v>
      </c>
    </row>
    <row r="23" spans="1:2">
      <c r="A23" s="46" t="s">
        <v>294</v>
      </c>
      <c r="B23" s="46">
        <v>0</v>
      </c>
    </row>
    <row r="24" spans="1:2">
      <c r="A24" s="46" t="s">
        <v>295</v>
      </c>
      <c r="B24" s="46">
        <v>0</v>
      </c>
    </row>
    <row r="25" spans="1:2">
      <c r="A25" s="46" t="s">
        <v>296</v>
      </c>
      <c r="B25" s="46">
        <v>0</v>
      </c>
    </row>
    <row r="26" spans="1:2">
      <c r="A26" s="46" t="s">
        <v>297</v>
      </c>
      <c r="B26" s="46">
        <v>500</v>
      </c>
    </row>
    <row r="27" spans="1:2">
      <c r="A27" s="46" t="s">
        <v>298</v>
      </c>
      <c r="B27" s="46">
        <v>56800</v>
      </c>
    </row>
    <row r="28" spans="1:2">
      <c r="A28" s="46" t="s">
        <v>299</v>
      </c>
      <c r="B28" s="46">
        <v>3500</v>
      </c>
    </row>
    <row r="29" spans="1:2">
      <c r="A29" s="46" t="s">
        <v>300</v>
      </c>
      <c r="B29" s="46">
        <v>0</v>
      </c>
    </row>
    <row r="30" spans="1:2">
      <c r="A30" s="46" t="s">
        <v>301</v>
      </c>
      <c r="B30" s="46">
        <v>0</v>
      </c>
    </row>
    <row r="31" spans="1:2">
      <c r="A31" s="46" t="s">
        <v>302</v>
      </c>
      <c r="B31" s="46">
        <v>0</v>
      </c>
    </row>
    <row r="32" spans="1:2">
      <c r="A32" s="46" t="s">
        <v>303</v>
      </c>
      <c r="B32" s="46">
        <v>0</v>
      </c>
    </row>
    <row r="33" spans="1:2">
      <c r="A33" s="46" t="s">
        <v>304</v>
      </c>
      <c r="B33" s="46">
        <v>0</v>
      </c>
    </row>
    <row r="34" spans="1:2">
      <c r="A34" s="46" t="s">
        <v>305</v>
      </c>
      <c r="B34" s="46">
        <v>0</v>
      </c>
    </row>
    <row r="35" spans="1:2">
      <c r="A35" s="46" t="s">
        <v>306</v>
      </c>
      <c r="B35" s="46">
        <v>0</v>
      </c>
    </row>
    <row r="36" spans="1:2">
      <c r="A36" s="46" t="s">
        <v>307</v>
      </c>
      <c r="B36" s="46">
        <v>22000</v>
      </c>
    </row>
    <row r="37" spans="1:2">
      <c r="A37" s="46" t="s">
        <v>308</v>
      </c>
      <c r="B37" s="46">
        <v>0</v>
      </c>
    </row>
    <row r="38" spans="1:2">
      <c r="A38" s="46" t="s">
        <v>309</v>
      </c>
      <c r="B38" s="46">
        <v>1300</v>
      </c>
    </row>
    <row r="39" spans="1:2">
      <c r="A39" s="46" t="s">
        <v>310</v>
      </c>
      <c r="B39" s="46">
        <v>0</v>
      </c>
    </row>
    <row r="40" spans="1:2">
      <c r="A40" s="46" t="s">
        <v>311</v>
      </c>
      <c r="B40" s="46">
        <v>0</v>
      </c>
    </row>
    <row r="41" spans="1:2">
      <c r="A41" s="46" t="s">
        <v>312</v>
      </c>
      <c r="B41" s="46">
        <v>0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56"/>
  <dimension ref="A1:M967"/>
  <sheetViews>
    <sheetView topLeftCell="A184" zoomScaleNormal="100" workbookViewId="0">
      <selection activeCell="G200" sqref="G200"/>
    </sheetView>
  </sheetViews>
  <sheetFormatPr defaultColWidth="11.42578125" defaultRowHeight="15"/>
  <cols>
    <col min="1" max="1" width="24.140625" style="10" customWidth="1"/>
    <col min="2" max="2" width="24" style="10" customWidth="1"/>
    <col min="3" max="3" width="23.42578125" style="10" bestFit="1" customWidth="1"/>
    <col min="4" max="9" width="11.42578125" style="10"/>
    <col min="10" max="10" width="11.85546875" style="10" bestFit="1" customWidth="1"/>
    <col min="11" max="16384" width="11.42578125" style="10"/>
  </cols>
  <sheetData>
    <row r="1" spans="1:13">
      <c r="A1" s="10" t="s">
        <v>449</v>
      </c>
    </row>
    <row r="2" spans="1:13">
      <c r="A2" s="10" t="s">
        <v>383</v>
      </c>
    </row>
    <row r="3" spans="1:13">
      <c r="A3" s="10" t="s">
        <v>424</v>
      </c>
    </row>
    <row r="5" spans="1:13">
      <c r="A5" s="10" t="s">
        <v>20</v>
      </c>
      <c r="B5" s="10" t="s">
        <v>26</v>
      </c>
      <c r="C5" s="10" t="s">
        <v>21</v>
      </c>
      <c r="D5" s="10">
        <v>2018</v>
      </c>
    </row>
    <row r="6" spans="1:13">
      <c r="A6" s="10" t="s">
        <v>278</v>
      </c>
      <c r="B6" s="10" t="s">
        <v>206</v>
      </c>
      <c r="C6" s="10" t="s">
        <v>276</v>
      </c>
      <c r="D6" s="10">
        <v>71.694000000000003</v>
      </c>
      <c r="G6" s="10" t="s">
        <v>278</v>
      </c>
      <c r="H6" s="10">
        <f>SUMIFS(D:D,A:A,G6,C:C,"Heat_District")</f>
        <v>105.09099999999999</v>
      </c>
      <c r="I6" s="68"/>
      <c r="J6" s="69"/>
      <c r="K6" s="69"/>
      <c r="L6" s="69"/>
      <c r="M6" s="69"/>
    </row>
    <row r="7" spans="1:13">
      <c r="A7" s="10" t="s">
        <v>278</v>
      </c>
      <c r="B7" s="10" t="s">
        <v>207</v>
      </c>
      <c r="C7" s="10" t="s">
        <v>276</v>
      </c>
      <c r="D7" s="10">
        <v>2.794</v>
      </c>
      <c r="G7" s="10" t="s">
        <v>307</v>
      </c>
      <c r="H7" s="10">
        <f>SUMIFS(D:D,A:A,G7,C:C,"Heat_District")</f>
        <v>130.822</v>
      </c>
    </row>
    <row r="8" spans="1:13">
      <c r="A8" s="10" t="s">
        <v>278</v>
      </c>
      <c r="B8" s="10" t="s">
        <v>225</v>
      </c>
      <c r="C8" s="10" t="s">
        <v>276</v>
      </c>
      <c r="D8" s="10">
        <v>57.279000000000003</v>
      </c>
    </row>
    <row r="9" spans="1:13">
      <c r="A9" s="10" t="s">
        <v>278</v>
      </c>
      <c r="B9" s="10" t="s">
        <v>217</v>
      </c>
      <c r="C9" s="10" t="s">
        <v>212</v>
      </c>
      <c r="D9" s="10">
        <v>2.6589999999999998</v>
      </c>
    </row>
    <row r="10" spans="1:13">
      <c r="A10" s="10" t="s">
        <v>278</v>
      </c>
      <c r="B10" s="10" t="s">
        <v>219</v>
      </c>
      <c r="C10" s="10" t="s">
        <v>212</v>
      </c>
      <c r="D10" s="10">
        <v>0.27500000000000002</v>
      </c>
    </row>
    <row r="11" spans="1:13">
      <c r="A11" s="10" t="s">
        <v>278</v>
      </c>
      <c r="B11" s="10" t="s">
        <v>237</v>
      </c>
      <c r="C11" s="10" t="s">
        <v>212</v>
      </c>
      <c r="D11" s="10">
        <v>2.5999999999999999E-2</v>
      </c>
    </row>
    <row r="12" spans="1:13">
      <c r="A12" s="10" t="s">
        <v>278</v>
      </c>
      <c r="B12" s="10" t="s">
        <v>227</v>
      </c>
      <c r="C12" s="10" t="s">
        <v>212</v>
      </c>
      <c r="D12" s="10">
        <v>1.0720000000000001</v>
      </c>
    </row>
    <row r="13" spans="1:13">
      <c r="A13" s="10" t="s">
        <v>278</v>
      </c>
      <c r="B13" s="10" t="s">
        <v>469</v>
      </c>
      <c r="C13" s="10" t="s">
        <v>212</v>
      </c>
      <c r="D13" s="10">
        <v>0</v>
      </c>
    </row>
    <row r="14" spans="1:13">
      <c r="A14" s="10" t="s">
        <v>278</v>
      </c>
      <c r="B14" s="10" t="s">
        <v>470</v>
      </c>
      <c r="C14" s="10" t="s">
        <v>212</v>
      </c>
      <c r="D14" s="10">
        <v>4.6269999999999998</v>
      </c>
    </row>
    <row r="15" spans="1:13">
      <c r="A15" s="10" t="s">
        <v>278</v>
      </c>
      <c r="B15" s="10" t="s">
        <v>228</v>
      </c>
      <c r="C15" s="10" t="s">
        <v>213</v>
      </c>
      <c r="D15" s="10">
        <v>32.976999999999997</v>
      </c>
    </row>
    <row r="16" spans="1:13">
      <c r="A16" s="10" t="s">
        <v>278</v>
      </c>
      <c r="B16" s="10" t="s">
        <v>229</v>
      </c>
      <c r="C16" s="10" t="s">
        <v>213</v>
      </c>
      <c r="D16" s="10">
        <v>3.0830000000000002</v>
      </c>
    </row>
    <row r="17" spans="1:6">
      <c r="A17" s="10" t="s">
        <v>278</v>
      </c>
      <c r="B17" s="10" t="s">
        <v>240</v>
      </c>
      <c r="C17" s="10" t="s">
        <v>213</v>
      </c>
      <c r="D17" s="10">
        <v>0.26</v>
      </c>
    </row>
    <row r="18" spans="1:6">
      <c r="A18" s="10" t="s">
        <v>278</v>
      </c>
      <c r="B18" s="10" t="s">
        <v>231</v>
      </c>
      <c r="C18" s="10" t="s">
        <v>213</v>
      </c>
      <c r="D18" s="10">
        <v>15.055</v>
      </c>
    </row>
    <row r="19" spans="1:6">
      <c r="A19" s="10" t="s">
        <v>278</v>
      </c>
      <c r="B19" s="10" t="s">
        <v>471</v>
      </c>
      <c r="C19" s="10" t="s">
        <v>214</v>
      </c>
      <c r="D19" s="10">
        <v>28.904</v>
      </c>
    </row>
    <row r="20" spans="1:6">
      <c r="A20" s="10" t="s">
        <v>278</v>
      </c>
      <c r="B20" s="10" t="s">
        <v>248</v>
      </c>
      <c r="C20" s="10" t="s">
        <v>214</v>
      </c>
      <c r="D20" s="10">
        <v>4.3979999999999997</v>
      </c>
    </row>
    <row r="21" spans="1:6">
      <c r="A21" s="10" t="s">
        <v>278</v>
      </c>
      <c r="B21" s="10" t="s">
        <v>245</v>
      </c>
      <c r="C21" s="10" t="s">
        <v>214</v>
      </c>
      <c r="D21" s="10">
        <v>1.7549999999999999</v>
      </c>
    </row>
    <row r="22" spans="1:6">
      <c r="A22" s="10" t="s">
        <v>278</v>
      </c>
      <c r="B22" s="10" t="s">
        <v>244</v>
      </c>
      <c r="C22" s="10" t="s">
        <v>214</v>
      </c>
      <c r="D22" s="10">
        <v>33.348999999999997</v>
      </c>
    </row>
    <row r="23" spans="1:6">
      <c r="A23" s="10" t="s">
        <v>278</v>
      </c>
      <c r="B23" s="10" t="s">
        <v>488</v>
      </c>
      <c r="C23" s="10" t="s">
        <v>24</v>
      </c>
      <c r="D23" s="10">
        <v>19.582000000000001</v>
      </c>
    </row>
    <row r="24" spans="1:6">
      <c r="A24" s="10" t="s">
        <v>278</v>
      </c>
      <c r="B24" s="10" t="s">
        <v>489</v>
      </c>
      <c r="C24" s="10" t="s">
        <v>24</v>
      </c>
      <c r="D24" s="10">
        <v>0.995</v>
      </c>
    </row>
    <row r="25" spans="1:6">
      <c r="A25" s="10" t="s">
        <v>278</v>
      </c>
      <c r="B25" s="10" t="s">
        <v>163</v>
      </c>
      <c r="C25" s="10" t="s">
        <v>24</v>
      </c>
      <c r="D25" s="10">
        <v>15.478</v>
      </c>
    </row>
    <row r="26" spans="1:6">
      <c r="A26" s="10" t="s">
        <v>278</v>
      </c>
      <c r="B26" s="10" t="s">
        <v>107</v>
      </c>
      <c r="C26" s="10" t="s">
        <v>24</v>
      </c>
      <c r="D26" s="10">
        <v>4.6630000000000003</v>
      </c>
    </row>
    <row r="27" spans="1:6">
      <c r="A27" s="10" t="s">
        <v>278</v>
      </c>
      <c r="B27" s="10" t="s">
        <v>236</v>
      </c>
      <c r="C27" s="10" t="s">
        <v>276</v>
      </c>
      <c r="D27" s="10">
        <v>0.36099999999999999</v>
      </c>
    </row>
    <row r="28" spans="1:6">
      <c r="A28" s="10" t="s">
        <v>278</v>
      </c>
      <c r="B28" s="10" t="s">
        <v>233</v>
      </c>
      <c r="C28" s="10" t="s">
        <v>276</v>
      </c>
      <c r="D28" s="10">
        <v>13.863</v>
      </c>
    </row>
    <row r="29" spans="1:6">
      <c r="A29" s="10" t="s">
        <v>278</v>
      </c>
      <c r="B29" s="10" t="s">
        <v>108</v>
      </c>
      <c r="C29" s="10" t="s">
        <v>24</v>
      </c>
      <c r="D29" s="10">
        <v>2.597</v>
      </c>
      <c r="F29" s="10" t="s">
        <v>519</v>
      </c>
    </row>
    <row r="30" spans="1:6">
      <c r="A30" s="10" t="s">
        <v>278</v>
      </c>
      <c r="B30" s="10" t="s">
        <v>485</v>
      </c>
      <c r="C30" s="10" t="s">
        <v>24</v>
      </c>
      <c r="D30" s="10">
        <v>2.52</v>
      </c>
      <c r="F30" s="10" t="s">
        <v>519</v>
      </c>
    </row>
    <row r="31" spans="1:6">
      <c r="A31" s="10" t="s">
        <v>278</v>
      </c>
      <c r="B31" s="10" t="s">
        <v>481</v>
      </c>
      <c r="C31" s="10" t="s">
        <v>24</v>
      </c>
      <c r="D31" s="10">
        <v>13.122999999999999</v>
      </c>
      <c r="F31" s="10" t="s">
        <v>519</v>
      </c>
    </row>
    <row r="32" spans="1:6">
      <c r="A32" s="10" t="s">
        <v>278</v>
      </c>
      <c r="B32" s="10" t="s">
        <v>475</v>
      </c>
      <c r="C32" s="10" t="s">
        <v>24</v>
      </c>
      <c r="D32" s="10">
        <v>13.941000000000001</v>
      </c>
      <c r="F32" s="10" t="s">
        <v>519</v>
      </c>
    </row>
    <row r="33" spans="1:13">
      <c r="A33" s="10" t="s">
        <v>278</v>
      </c>
      <c r="B33" s="10" t="s">
        <v>108</v>
      </c>
      <c r="C33" s="10" t="s">
        <v>473</v>
      </c>
      <c r="D33" s="10">
        <v>8.4809999999999999</v>
      </c>
      <c r="F33" s="10" t="s">
        <v>519</v>
      </c>
    </row>
    <row r="34" spans="1:13">
      <c r="A34" s="10" t="s">
        <v>278</v>
      </c>
      <c r="B34" s="10" t="s">
        <v>485</v>
      </c>
      <c r="C34" s="10" t="s">
        <v>473</v>
      </c>
      <c r="D34" s="10">
        <v>8.2279999999999998</v>
      </c>
      <c r="F34" s="10" t="s">
        <v>519</v>
      </c>
    </row>
    <row r="35" spans="1:13">
      <c r="A35" s="10" t="s">
        <v>278</v>
      </c>
      <c r="B35" s="10" t="s">
        <v>481</v>
      </c>
      <c r="C35" s="10" t="s">
        <v>473</v>
      </c>
      <c r="D35" s="10">
        <v>42.854999999999997</v>
      </c>
      <c r="F35" s="10" t="s">
        <v>519</v>
      </c>
    </row>
    <row r="36" spans="1:13">
      <c r="A36" s="10" t="s">
        <v>278</v>
      </c>
      <c r="B36" s="10" t="s">
        <v>475</v>
      </c>
      <c r="C36" s="10" t="s">
        <v>473</v>
      </c>
      <c r="D36" s="10">
        <v>45.527000000000001</v>
      </c>
      <c r="F36" s="10" t="s">
        <v>519</v>
      </c>
    </row>
    <row r="37" spans="1:13">
      <c r="A37" s="10" t="s">
        <v>278</v>
      </c>
      <c r="B37" s="10" t="s">
        <v>490</v>
      </c>
      <c r="C37" s="10" t="s">
        <v>24</v>
      </c>
      <c r="D37" s="10">
        <v>2</v>
      </c>
    </row>
    <row r="38" spans="1:13">
      <c r="A38" s="10" t="s">
        <v>280</v>
      </c>
      <c r="B38" s="10" t="s">
        <v>206</v>
      </c>
      <c r="C38" s="10" t="s">
        <v>276</v>
      </c>
      <c r="D38" s="10">
        <v>22.24</v>
      </c>
      <c r="G38" s="10" t="s">
        <v>280</v>
      </c>
      <c r="H38" s="10">
        <f>SUMIFS(D:D,A:A,G38,C:C,"Heat_District")</f>
        <v>78.405000000000001</v>
      </c>
      <c r="I38" s="68"/>
      <c r="J38" s="69"/>
      <c r="K38" s="69"/>
      <c r="L38" s="69"/>
      <c r="M38" s="69"/>
    </row>
    <row r="39" spans="1:13">
      <c r="A39" s="10" t="s">
        <v>280</v>
      </c>
      <c r="B39" s="10" t="s">
        <v>207</v>
      </c>
      <c r="C39" s="10" t="s">
        <v>276</v>
      </c>
      <c r="D39" s="10">
        <v>6.2910000000000004</v>
      </c>
      <c r="G39" s="10" t="s">
        <v>357</v>
      </c>
      <c r="H39" s="10">
        <f>SUMIFS(D:D,A:A,G39,C:C,"Heat_District")</f>
        <v>0</v>
      </c>
    </row>
    <row r="40" spans="1:13">
      <c r="A40" s="10" t="s">
        <v>280</v>
      </c>
      <c r="B40" s="10" t="s">
        <v>225</v>
      </c>
      <c r="C40" s="10" t="s">
        <v>276</v>
      </c>
      <c r="D40" s="10">
        <v>121.22499999999999</v>
      </c>
    </row>
    <row r="41" spans="1:13">
      <c r="A41" s="10" t="s">
        <v>280</v>
      </c>
      <c r="B41" s="10" t="s">
        <v>217</v>
      </c>
      <c r="C41" s="10" t="s">
        <v>212</v>
      </c>
      <c r="D41" s="10">
        <v>2.0030000000000001</v>
      </c>
    </row>
    <row r="42" spans="1:13">
      <c r="A42" s="10" t="s">
        <v>280</v>
      </c>
      <c r="B42" s="10" t="s">
        <v>219</v>
      </c>
      <c r="C42" s="10" t="s">
        <v>212</v>
      </c>
      <c r="D42" s="10">
        <v>0.23100000000000001</v>
      </c>
    </row>
    <row r="43" spans="1:13">
      <c r="A43" s="10" t="s">
        <v>280</v>
      </c>
      <c r="B43" s="10" t="s">
        <v>237</v>
      </c>
      <c r="C43" s="10" t="s">
        <v>212</v>
      </c>
      <c r="D43" s="10">
        <v>0.121</v>
      </c>
    </row>
    <row r="44" spans="1:13">
      <c r="A44" s="10" t="s">
        <v>280</v>
      </c>
      <c r="B44" s="10" t="s">
        <v>227</v>
      </c>
      <c r="C44" s="10" t="s">
        <v>212</v>
      </c>
      <c r="D44" s="10">
        <v>0.35899999999999999</v>
      </c>
    </row>
    <row r="45" spans="1:13">
      <c r="A45" s="10" t="s">
        <v>280</v>
      </c>
      <c r="B45" s="10" t="s">
        <v>469</v>
      </c>
      <c r="C45" s="10" t="s">
        <v>212</v>
      </c>
      <c r="D45" s="10">
        <v>4.9489999999999998</v>
      </c>
    </row>
    <row r="46" spans="1:13">
      <c r="A46" s="10" t="s">
        <v>280</v>
      </c>
      <c r="B46" s="10" t="s">
        <v>470</v>
      </c>
      <c r="C46" s="10" t="s">
        <v>212</v>
      </c>
      <c r="D46" s="10">
        <v>13.590999999999999</v>
      </c>
    </row>
    <row r="47" spans="1:13">
      <c r="A47" s="10" t="s">
        <v>280</v>
      </c>
      <c r="B47" s="10" t="s">
        <v>228</v>
      </c>
      <c r="C47" s="10" t="s">
        <v>213</v>
      </c>
      <c r="D47" s="10">
        <v>14.66</v>
      </c>
    </row>
    <row r="48" spans="1:13">
      <c r="A48" s="10" t="s">
        <v>280</v>
      </c>
      <c r="B48" s="10" t="s">
        <v>229</v>
      </c>
      <c r="C48" s="10" t="s">
        <v>213</v>
      </c>
      <c r="D48" s="10">
        <v>3.7639999999999998</v>
      </c>
    </row>
    <row r="49" spans="1:6">
      <c r="A49" s="10" t="s">
        <v>280</v>
      </c>
      <c r="B49" s="10" t="s">
        <v>240</v>
      </c>
      <c r="C49" s="10" t="s">
        <v>213</v>
      </c>
      <c r="D49" s="10">
        <v>1.6439999999999999</v>
      </c>
    </row>
    <row r="50" spans="1:6">
      <c r="A50" s="10" t="s">
        <v>280</v>
      </c>
      <c r="B50" s="10" t="s">
        <v>231</v>
      </c>
      <c r="C50" s="10" t="s">
        <v>213</v>
      </c>
      <c r="D50" s="10">
        <v>9.5329999999999995</v>
      </c>
    </row>
    <row r="51" spans="1:6">
      <c r="A51" s="10" t="s">
        <v>280</v>
      </c>
      <c r="B51" s="10" t="s">
        <v>471</v>
      </c>
      <c r="C51" s="10" t="s">
        <v>214</v>
      </c>
      <c r="D51" s="10">
        <v>35.707000000000001</v>
      </c>
    </row>
    <row r="52" spans="1:6">
      <c r="A52" s="10" t="s">
        <v>280</v>
      </c>
      <c r="B52" s="10" t="s">
        <v>248</v>
      </c>
      <c r="C52" s="10" t="s">
        <v>214</v>
      </c>
      <c r="D52" s="10">
        <v>3.105</v>
      </c>
    </row>
    <row r="53" spans="1:6">
      <c r="A53" s="10" t="s">
        <v>280</v>
      </c>
      <c r="B53" s="10" t="s">
        <v>245</v>
      </c>
      <c r="C53" s="10" t="s">
        <v>214</v>
      </c>
      <c r="D53" s="10">
        <v>5.5010000000000003</v>
      </c>
    </row>
    <row r="54" spans="1:6">
      <c r="A54" s="10" t="s">
        <v>280</v>
      </c>
      <c r="B54" s="10" t="s">
        <v>244</v>
      </c>
      <c r="C54" s="10" t="s">
        <v>214</v>
      </c>
      <c r="D54" s="10">
        <v>58.685000000000002</v>
      </c>
    </row>
    <row r="55" spans="1:6">
      <c r="A55" s="10" t="s">
        <v>280</v>
      </c>
      <c r="B55" s="10" t="s">
        <v>488</v>
      </c>
      <c r="C55" s="10" t="s">
        <v>24</v>
      </c>
      <c r="D55" s="10">
        <v>24.018000000000008</v>
      </c>
    </row>
    <row r="56" spans="1:6">
      <c r="A56" s="10" t="s">
        <v>280</v>
      </c>
      <c r="B56" s="10" t="s">
        <v>490</v>
      </c>
      <c r="C56" s="10" t="s">
        <v>24</v>
      </c>
      <c r="D56" s="10">
        <v>35.109000000000002</v>
      </c>
    </row>
    <row r="57" spans="1:6">
      <c r="A57" s="10" t="s">
        <v>280</v>
      </c>
      <c r="B57" s="10" t="s">
        <v>163</v>
      </c>
      <c r="C57" s="10" t="s">
        <v>24</v>
      </c>
      <c r="D57" s="10">
        <v>11.615</v>
      </c>
    </row>
    <row r="58" spans="1:6">
      <c r="A58" s="10" t="s">
        <v>280</v>
      </c>
      <c r="B58" s="10" t="s">
        <v>58</v>
      </c>
      <c r="C58" s="10" t="s">
        <v>24</v>
      </c>
      <c r="D58" s="10">
        <v>0.32100000000000001</v>
      </c>
    </row>
    <row r="59" spans="1:6">
      <c r="A59" s="10" t="s">
        <v>280</v>
      </c>
      <c r="B59" s="10" t="s">
        <v>23</v>
      </c>
      <c r="C59" s="10" t="s">
        <v>24</v>
      </c>
      <c r="D59" s="10">
        <v>102.949</v>
      </c>
      <c r="F59" s="10" t="s">
        <v>520</v>
      </c>
    </row>
    <row r="60" spans="1:6">
      <c r="A60" s="10" t="s">
        <v>280</v>
      </c>
      <c r="B60" s="10" t="s">
        <v>235</v>
      </c>
      <c r="C60" s="10" t="s">
        <v>276</v>
      </c>
      <c r="D60" s="10">
        <v>1.0740000000000001</v>
      </c>
    </row>
    <row r="61" spans="1:6">
      <c r="A61" s="10" t="s">
        <v>280</v>
      </c>
      <c r="B61" s="10" t="s">
        <v>236</v>
      </c>
      <c r="C61" s="10" t="s">
        <v>276</v>
      </c>
      <c r="D61" s="10">
        <v>5.7000000000000002E-2</v>
      </c>
    </row>
    <row r="62" spans="1:6">
      <c r="A62" s="10" t="s">
        <v>280</v>
      </c>
      <c r="B62" s="10" t="s">
        <v>233</v>
      </c>
      <c r="C62" s="10" t="s">
        <v>276</v>
      </c>
      <c r="D62" s="10">
        <v>10.483000000000001</v>
      </c>
    </row>
    <row r="63" spans="1:6">
      <c r="A63" s="10" t="s">
        <v>280</v>
      </c>
      <c r="B63" s="10" t="s">
        <v>108</v>
      </c>
      <c r="C63" s="10" t="s">
        <v>24</v>
      </c>
      <c r="D63" s="10">
        <v>0.57299999999999995</v>
      </c>
      <c r="F63" s="10" t="s">
        <v>519</v>
      </c>
    </row>
    <row r="64" spans="1:6">
      <c r="A64" s="10" t="s">
        <v>280</v>
      </c>
      <c r="B64" s="10" t="s">
        <v>485</v>
      </c>
      <c r="C64" s="10" t="s">
        <v>24</v>
      </c>
      <c r="D64" s="10">
        <v>0.39700000000000002</v>
      </c>
      <c r="F64" s="10" t="s">
        <v>519</v>
      </c>
    </row>
    <row r="65" spans="1:13">
      <c r="A65" s="10" t="s">
        <v>280</v>
      </c>
      <c r="B65" s="10" t="s">
        <v>481</v>
      </c>
      <c r="C65" s="10" t="s">
        <v>24</v>
      </c>
      <c r="D65" s="10">
        <v>27.236999999999998</v>
      </c>
      <c r="F65" s="10" t="s">
        <v>519</v>
      </c>
    </row>
    <row r="66" spans="1:13">
      <c r="A66" s="10" t="s">
        <v>280</v>
      </c>
      <c r="B66" s="10" t="s">
        <v>475</v>
      </c>
      <c r="C66" s="10" t="s">
        <v>24</v>
      </c>
      <c r="D66" s="10">
        <v>7.6509999999999998</v>
      </c>
      <c r="F66" s="10" t="s">
        <v>519</v>
      </c>
    </row>
    <row r="67" spans="1:13">
      <c r="A67" s="10" t="s">
        <v>280</v>
      </c>
      <c r="B67" s="10" t="s">
        <v>108</v>
      </c>
      <c r="C67" s="10" t="s">
        <v>473</v>
      </c>
      <c r="D67" s="10">
        <v>1.252</v>
      </c>
      <c r="F67" s="10" t="s">
        <v>519</v>
      </c>
    </row>
    <row r="68" spans="1:13">
      <c r="A68" s="10" t="s">
        <v>280</v>
      </c>
      <c r="B68" s="10" t="s">
        <v>485</v>
      </c>
      <c r="C68" s="10" t="s">
        <v>473</v>
      </c>
      <c r="D68" s="10">
        <v>0.86799999999999999</v>
      </c>
      <c r="F68" s="10" t="s">
        <v>519</v>
      </c>
    </row>
    <row r="69" spans="1:13">
      <c r="A69" s="10" t="s">
        <v>280</v>
      </c>
      <c r="B69" s="10" t="s">
        <v>481</v>
      </c>
      <c r="C69" s="10" t="s">
        <v>473</v>
      </c>
      <c r="D69" s="10">
        <v>59.555999999999997</v>
      </c>
      <c r="F69" s="10" t="s">
        <v>519</v>
      </c>
    </row>
    <row r="70" spans="1:13">
      <c r="A70" s="10" t="s">
        <v>280</v>
      </c>
      <c r="B70" s="10" t="s">
        <v>475</v>
      </c>
      <c r="C70" s="10" t="s">
        <v>473</v>
      </c>
      <c r="D70" s="10">
        <v>16.728999999999999</v>
      </c>
      <c r="F70" s="10" t="s">
        <v>519</v>
      </c>
    </row>
    <row r="71" spans="1:13">
      <c r="A71" s="10" t="s">
        <v>280</v>
      </c>
      <c r="B71" s="10" t="s">
        <v>107</v>
      </c>
      <c r="C71" s="10" t="s">
        <v>24</v>
      </c>
      <c r="D71" s="10">
        <v>7.8689999999999998</v>
      </c>
      <c r="F71" s="10" t="s">
        <v>520</v>
      </c>
    </row>
    <row r="72" spans="1:13">
      <c r="A72" s="10" t="s">
        <v>280</v>
      </c>
      <c r="B72" s="10" t="s">
        <v>170</v>
      </c>
      <c r="C72" s="10" t="s">
        <v>24</v>
      </c>
      <c r="D72" s="10">
        <v>17</v>
      </c>
    </row>
    <row r="73" spans="1:13">
      <c r="A73" s="10" t="s">
        <v>280</v>
      </c>
      <c r="B73" s="10" t="s">
        <v>97</v>
      </c>
      <c r="C73" s="10" t="s">
        <v>24</v>
      </c>
      <c r="D73" s="10">
        <v>10</v>
      </c>
    </row>
    <row r="74" spans="1:13">
      <c r="A74" s="10" t="s">
        <v>281</v>
      </c>
      <c r="B74" s="10" t="s">
        <v>206</v>
      </c>
      <c r="C74" s="10" t="s">
        <v>276</v>
      </c>
      <c r="D74" s="10">
        <v>33.665999999999997</v>
      </c>
      <c r="G74" s="10" t="s">
        <v>281</v>
      </c>
      <c r="H74" s="10">
        <f>SUMIFS(D:D,A:A,G74,C:C,"Heat_District")</f>
        <v>34.506</v>
      </c>
      <c r="I74" s="68"/>
      <c r="J74" s="69"/>
      <c r="K74" s="69"/>
      <c r="L74" s="69"/>
      <c r="M74" s="69"/>
    </row>
    <row r="75" spans="1:13">
      <c r="A75" s="10" t="s">
        <v>281</v>
      </c>
      <c r="B75" s="10" t="s">
        <v>207</v>
      </c>
      <c r="C75" s="10" t="s">
        <v>276</v>
      </c>
      <c r="D75" s="10">
        <v>11.86</v>
      </c>
    </row>
    <row r="76" spans="1:13">
      <c r="A76" s="10" t="s">
        <v>281</v>
      </c>
      <c r="B76" s="10" t="s">
        <v>225</v>
      </c>
      <c r="C76" s="10" t="s">
        <v>276</v>
      </c>
      <c r="D76" s="10">
        <v>2.097</v>
      </c>
    </row>
    <row r="77" spans="1:13">
      <c r="A77" s="10" t="s">
        <v>281</v>
      </c>
      <c r="B77" s="10" t="s">
        <v>217</v>
      </c>
      <c r="C77" s="10" t="s">
        <v>212</v>
      </c>
      <c r="D77" s="10">
        <v>0.60599999999999998</v>
      </c>
    </row>
    <row r="78" spans="1:13">
      <c r="A78" s="10" t="s">
        <v>281</v>
      </c>
      <c r="B78" s="10" t="s">
        <v>219</v>
      </c>
      <c r="C78" s="10" t="s">
        <v>212</v>
      </c>
      <c r="D78" s="10">
        <v>0.29499999999999998</v>
      </c>
    </row>
    <row r="79" spans="1:13">
      <c r="A79" s="10" t="s">
        <v>281</v>
      </c>
      <c r="B79" s="10" t="s">
        <v>237</v>
      </c>
      <c r="C79" s="10" t="s">
        <v>212</v>
      </c>
      <c r="D79" s="10">
        <v>3.0000000000000001E-3</v>
      </c>
    </row>
    <row r="80" spans="1:13">
      <c r="A80" s="10" t="s">
        <v>281</v>
      </c>
      <c r="B80" s="10" t="s">
        <v>227</v>
      </c>
      <c r="C80" s="10" t="s">
        <v>212</v>
      </c>
      <c r="D80" s="10">
        <v>0.24</v>
      </c>
    </row>
    <row r="81" spans="1:6">
      <c r="A81" s="10" t="s">
        <v>281</v>
      </c>
      <c r="B81" s="10" t="s">
        <v>469</v>
      </c>
      <c r="C81" s="10" t="s">
        <v>212</v>
      </c>
      <c r="D81" s="10">
        <v>0.73799999999999999</v>
      </c>
    </row>
    <row r="82" spans="1:6">
      <c r="A82" s="10" t="s">
        <v>281</v>
      </c>
      <c r="B82" s="10" t="s">
        <v>470</v>
      </c>
      <c r="C82" s="10" t="s">
        <v>212</v>
      </c>
      <c r="D82" s="10">
        <v>13.882999999999999</v>
      </c>
    </row>
    <row r="83" spans="1:6">
      <c r="A83" s="10" t="s">
        <v>281</v>
      </c>
      <c r="B83" s="10" t="s">
        <v>228</v>
      </c>
      <c r="C83" s="10" t="s">
        <v>213</v>
      </c>
      <c r="D83" s="10">
        <v>5.6779999999999999</v>
      </c>
    </row>
    <row r="84" spans="1:6">
      <c r="A84" s="10" t="s">
        <v>281</v>
      </c>
      <c r="B84" s="10" t="s">
        <v>229</v>
      </c>
      <c r="C84" s="10" t="s">
        <v>213</v>
      </c>
      <c r="D84" s="10">
        <v>1.591</v>
      </c>
    </row>
    <row r="85" spans="1:6">
      <c r="A85" s="10" t="s">
        <v>281</v>
      </c>
      <c r="B85" s="10" t="s">
        <v>240</v>
      </c>
      <c r="C85" s="10" t="s">
        <v>213</v>
      </c>
      <c r="D85" s="10">
        <v>0.27600000000000002</v>
      </c>
    </row>
    <row r="86" spans="1:6">
      <c r="A86" s="10" t="s">
        <v>281</v>
      </c>
      <c r="B86" s="10" t="s">
        <v>231</v>
      </c>
      <c r="C86" s="10" t="s">
        <v>213</v>
      </c>
      <c r="D86" s="10">
        <v>1.851</v>
      </c>
    </row>
    <row r="87" spans="1:6">
      <c r="A87" s="10" t="s">
        <v>281</v>
      </c>
      <c r="B87" s="10" t="s">
        <v>471</v>
      </c>
      <c r="C87" s="10" t="s">
        <v>214</v>
      </c>
      <c r="D87" s="10">
        <v>3.5960000000000001</v>
      </c>
    </row>
    <row r="88" spans="1:6">
      <c r="A88" s="10" t="s">
        <v>281</v>
      </c>
      <c r="B88" s="10" t="s">
        <v>248</v>
      </c>
      <c r="C88" s="10" t="s">
        <v>214</v>
      </c>
      <c r="D88" s="10">
        <v>0.22700000000000001</v>
      </c>
    </row>
    <row r="89" spans="1:6">
      <c r="A89" s="10" t="s">
        <v>281</v>
      </c>
      <c r="B89" s="10" t="s">
        <v>245</v>
      </c>
      <c r="C89" s="10" t="s">
        <v>214</v>
      </c>
      <c r="D89" s="10">
        <v>1.27</v>
      </c>
    </row>
    <row r="90" spans="1:6">
      <c r="A90" s="10" t="s">
        <v>281</v>
      </c>
      <c r="B90" s="10" t="s">
        <v>244</v>
      </c>
      <c r="C90" s="10" t="s">
        <v>214</v>
      </c>
      <c r="D90" s="10">
        <v>11.746</v>
      </c>
    </row>
    <row r="91" spans="1:6">
      <c r="A91" s="10" t="s">
        <v>281</v>
      </c>
      <c r="B91" s="10" t="s">
        <v>163</v>
      </c>
      <c r="C91" s="10" t="s">
        <v>24</v>
      </c>
      <c r="D91" s="10">
        <v>3.4260000000000002</v>
      </c>
    </row>
    <row r="92" spans="1:6">
      <c r="A92" s="10" t="s">
        <v>281</v>
      </c>
      <c r="B92" s="10" t="s">
        <v>107</v>
      </c>
      <c r="C92" s="10" t="s">
        <v>24</v>
      </c>
      <c r="D92" s="10">
        <v>0.223</v>
      </c>
    </row>
    <row r="93" spans="1:6">
      <c r="A93" s="10" t="s">
        <v>281</v>
      </c>
      <c r="B93" s="10" t="s">
        <v>58</v>
      </c>
      <c r="C93" s="10" t="s">
        <v>24</v>
      </c>
      <c r="D93" s="10">
        <v>0.97299999999999998</v>
      </c>
    </row>
    <row r="94" spans="1:6">
      <c r="A94" s="10" t="s">
        <v>281</v>
      </c>
      <c r="B94" s="10" t="s">
        <v>23</v>
      </c>
      <c r="C94" s="10" t="s">
        <v>24</v>
      </c>
      <c r="D94" s="10">
        <v>58.05</v>
      </c>
      <c r="F94" s="10" t="s">
        <v>520</v>
      </c>
    </row>
    <row r="95" spans="1:6">
      <c r="A95" s="10" t="s">
        <v>281</v>
      </c>
      <c r="B95" s="10" t="s">
        <v>106</v>
      </c>
      <c r="C95" s="10" t="s">
        <v>24</v>
      </c>
      <c r="D95" s="10">
        <v>63.241</v>
      </c>
      <c r="F95" s="10" t="s">
        <v>520</v>
      </c>
    </row>
    <row r="96" spans="1:6">
      <c r="A96" s="10" t="s">
        <v>281</v>
      </c>
      <c r="B96" s="10" t="s">
        <v>235</v>
      </c>
      <c r="C96" s="10" t="s">
        <v>276</v>
      </c>
      <c r="D96" s="10">
        <v>4.7750000000000004</v>
      </c>
    </row>
    <row r="97" spans="1:13">
      <c r="A97" s="10" t="s">
        <v>281</v>
      </c>
      <c r="B97" s="10" t="s">
        <v>236</v>
      </c>
      <c r="C97" s="10" t="s">
        <v>276</v>
      </c>
      <c r="D97" s="10">
        <v>0.251</v>
      </c>
    </row>
    <row r="98" spans="1:13">
      <c r="A98" s="10" t="s">
        <v>281</v>
      </c>
      <c r="B98" s="10" t="s">
        <v>233</v>
      </c>
      <c r="C98" s="10" t="s">
        <v>276</v>
      </c>
      <c r="D98" s="10">
        <v>9.9390000000000001</v>
      </c>
    </row>
    <row r="99" spans="1:13">
      <c r="A99" s="10" t="s">
        <v>281</v>
      </c>
      <c r="B99" s="10" t="s">
        <v>108</v>
      </c>
      <c r="C99" s="10" t="s">
        <v>24</v>
      </c>
      <c r="D99" s="10">
        <v>3.6549999999999998</v>
      </c>
      <c r="F99" s="10" t="s">
        <v>519</v>
      </c>
    </row>
    <row r="100" spans="1:13">
      <c r="A100" s="10" t="s">
        <v>281</v>
      </c>
      <c r="B100" s="10" t="s">
        <v>485</v>
      </c>
      <c r="C100" s="10" t="s">
        <v>24</v>
      </c>
      <c r="D100" s="10">
        <v>0.13800000000000001</v>
      </c>
      <c r="F100" s="10" t="s">
        <v>519</v>
      </c>
    </row>
    <row r="101" spans="1:13">
      <c r="A101" s="10" t="s">
        <v>281</v>
      </c>
      <c r="B101" s="10" t="s">
        <v>481</v>
      </c>
      <c r="C101" s="10" t="s">
        <v>24</v>
      </c>
      <c r="D101" s="10">
        <v>5.0439999999999996</v>
      </c>
      <c r="F101" s="10" t="s">
        <v>519</v>
      </c>
    </row>
    <row r="102" spans="1:13">
      <c r="A102" s="10" t="s">
        <v>281</v>
      </c>
      <c r="B102" s="10" t="s">
        <v>475</v>
      </c>
      <c r="C102" s="10" t="s">
        <v>24</v>
      </c>
      <c r="D102" s="10">
        <v>2.4369999999999998</v>
      </c>
      <c r="F102" s="10" t="s">
        <v>519</v>
      </c>
    </row>
    <row r="103" spans="1:13">
      <c r="A103" s="10" t="s">
        <v>281</v>
      </c>
      <c r="B103" s="10" t="s">
        <v>108</v>
      </c>
      <c r="C103" s="10" t="s">
        <v>473</v>
      </c>
      <c r="D103" s="10">
        <v>11.186999999999999</v>
      </c>
      <c r="F103" s="10" t="s">
        <v>519</v>
      </c>
    </row>
    <row r="104" spans="1:13">
      <c r="A104" s="10" t="s">
        <v>281</v>
      </c>
      <c r="B104" s="10" t="s">
        <v>485</v>
      </c>
      <c r="C104" s="10" t="s">
        <v>473</v>
      </c>
      <c r="D104" s="10">
        <v>0.42399999999999999</v>
      </c>
      <c r="F104" s="10" t="s">
        <v>519</v>
      </c>
    </row>
    <row r="105" spans="1:13">
      <c r="A105" s="10" t="s">
        <v>281</v>
      </c>
      <c r="B105" s="10" t="s">
        <v>481</v>
      </c>
      <c r="C105" s="10" t="s">
        <v>473</v>
      </c>
      <c r="D105" s="10">
        <v>15.436</v>
      </c>
      <c r="F105" s="10" t="s">
        <v>519</v>
      </c>
    </row>
    <row r="106" spans="1:13">
      <c r="A106" s="10" t="s">
        <v>281</v>
      </c>
      <c r="B106" s="10" t="s">
        <v>475</v>
      </c>
      <c r="C106" s="10" t="s">
        <v>473</v>
      </c>
      <c r="D106" s="10">
        <v>7.4589999999999996</v>
      </c>
      <c r="F106" s="10" t="s">
        <v>519</v>
      </c>
    </row>
    <row r="107" spans="1:13">
      <c r="A107" s="10" t="s">
        <v>282</v>
      </c>
      <c r="B107" s="10" t="s">
        <v>206</v>
      </c>
      <c r="C107" s="10" t="s">
        <v>276</v>
      </c>
      <c r="D107" s="10">
        <v>16.786999999999999</v>
      </c>
      <c r="G107" s="10" t="s">
        <v>305</v>
      </c>
      <c r="H107" s="10">
        <f>SUMIFS(D:D,A:A,G107,C:C,"Heat_District")</f>
        <v>30.245999999999999</v>
      </c>
      <c r="I107" s="68"/>
      <c r="J107" s="69"/>
      <c r="K107" s="69"/>
      <c r="L107" s="69"/>
      <c r="M107" s="69"/>
    </row>
    <row r="108" spans="1:13">
      <c r="A108" s="10" t="s">
        <v>282</v>
      </c>
      <c r="B108" s="10" t="s">
        <v>207</v>
      </c>
      <c r="C108" s="10" t="s">
        <v>276</v>
      </c>
      <c r="D108" s="10">
        <v>0.35599999999999998</v>
      </c>
    </row>
    <row r="109" spans="1:13">
      <c r="A109" s="10" t="s">
        <v>282</v>
      </c>
      <c r="B109" s="10" t="s">
        <v>225</v>
      </c>
      <c r="C109" s="10" t="s">
        <v>276</v>
      </c>
      <c r="D109" s="10">
        <v>119.82599999999999</v>
      </c>
    </row>
    <row r="110" spans="1:13">
      <c r="A110" s="10" t="s">
        <v>282</v>
      </c>
      <c r="B110" s="10" t="s">
        <v>217</v>
      </c>
      <c r="C110" s="10" t="s">
        <v>212</v>
      </c>
      <c r="D110" s="10">
        <v>0.27500000000000002</v>
      </c>
    </row>
    <row r="111" spans="1:13">
      <c r="A111" s="10" t="s">
        <v>282</v>
      </c>
      <c r="B111" s="10" t="s">
        <v>219</v>
      </c>
      <c r="C111" s="10" t="s">
        <v>212</v>
      </c>
      <c r="D111" s="10">
        <v>8.8999999999999996E-2</v>
      </c>
    </row>
    <row r="112" spans="1:13">
      <c r="A112" s="10" t="s">
        <v>282</v>
      </c>
      <c r="B112" s="10" t="s">
        <v>237</v>
      </c>
      <c r="C112" s="10" t="s">
        <v>212</v>
      </c>
      <c r="D112" s="10">
        <v>7.5999999999999998E-2</v>
      </c>
    </row>
    <row r="113" spans="1:4">
      <c r="A113" s="10" t="s">
        <v>282</v>
      </c>
      <c r="B113" s="10" t="s">
        <v>227</v>
      </c>
      <c r="C113" s="10" t="s">
        <v>212</v>
      </c>
      <c r="D113" s="10">
        <v>0.86</v>
      </c>
    </row>
    <row r="114" spans="1:4">
      <c r="A114" s="10" t="s">
        <v>282</v>
      </c>
      <c r="B114" s="10" t="s">
        <v>469</v>
      </c>
      <c r="C114" s="10" t="s">
        <v>212</v>
      </c>
      <c r="D114" s="10">
        <v>4.1189999999999998</v>
      </c>
    </row>
    <row r="115" spans="1:4">
      <c r="A115" s="10" t="s">
        <v>282</v>
      </c>
      <c r="B115" s="10" t="s">
        <v>470</v>
      </c>
      <c r="C115" s="10" t="s">
        <v>212</v>
      </c>
      <c r="D115" s="10">
        <v>2.012</v>
      </c>
    </row>
    <row r="116" spans="1:4">
      <c r="A116" s="10" t="s">
        <v>282</v>
      </c>
      <c r="B116" s="10" t="s">
        <v>228</v>
      </c>
      <c r="C116" s="10" t="s">
        <v>213</v>
      </c>
      <c r="D116" s="10">
        <v>2.7149999999999999</v>
      </c>
    </row>
    <row r="117" spans="1:4">
      <c r="A117" s="10" t="s">
        <v>282</v>
      </c>
      <c r="B117" s="10" t="s">
        <v>229</v>
      </c>
      <c r="C117" s="10" t="s">
        <v>213</v>
      </c>
      <c r="D117" s="10">
        <v>0.82</v>
      </c>
    </row>
    <row r="118" spans="1:4">
      <c r="A118" s="10" t="s">
        <v>282</v>
      </c>
      <c r="B118" s="10" t="s">
        <v>240</v>
      </c>
      <c r="C118" s="10" t="s">
        <v>213</v>
      </c>
      <c r="D118" s="10">
        <v>0.625</v>
      </c>
    </row>
    <row r="119" spans="1:4">
      <c r="A119" s="10" t="s">
        <v>282</v>
      </c>
      <c r="B119" s="10" t="s">
        <v>231</v>
      </c>
      <c r="C119" s="10" t="s">
        <v>213</v>
      </c>
      <c r="D119" s="10">
        <v>6.2430000000000003</v>
      </c>
    </row>
    <row r="120" spans="1:4">
      <c r="A120" s="10" t="s">
        <v>282</v>
      </c>
      <c r="B120" s="10" t="s">
        <v>471</v>
      </c>
      <c r="C120" s="10" t="s">
        <v>214</v>
      </c>
      <c r="D120" s="10">
        <v>3.052</v>
      </c>
    </row>
    <row r="121" spans="1:4">
      <c r="A121" s="10" t="s">
        <v>282</v>
      </c>
      <c r="B121" s="10" t="s">
        <v>248</v>
      </c>
      <c r="C121" s="10" t="s">
        <v>214</v>
      </c>
      <c r="D121" s="10">
        <v>0.50800000000000001</v>
      </c>
    </row>
    <row r="122" spans="1:4">
      <c r="A122" s="10" t="s">
        <v>282</v>
      </c>
      <c r="B122" s="10" t="s">
        <v>245</v>
      </c>
      <c r="C122" s="10" t="s">
        <v>214</v>
      </c>
      <c r="D122" s="10">
        <v>2.4729999999999999</v>
      </c>
    </row>
    <row r="123" spans="1:4">
      <c r="A123" s="10" t="s">
        <v>282</v>
      </c>
      <c r="B123" s="10" t="s">
        <v>244</v>
      </c>
      <c r="C123" s="10" t="s">
        <v>214</v>
      </c>
      <c r="D123" s="10">
        <v>11.82</v>
      </c>
    </row>
    <row r="124" spans="1:4">
      <c r="A124" s="10" t="s">
        <v>282</v>
      </c>
      <c r="B124" s="10" t="s">
        <v>481</v>
      </c>
      <c r="C124" s="10" t="s">
        <v>24</v>
      </c>
      <c r="D124" s="10">
        <v>5.2510000000000003</v>
      </c>
    </row>
    <row r="125" spans="1:4">
      <c r="A125" s="10" t="s">
        <v>282</v>
      </c>
      <c r="B125" s="10" t="s">
        <v>488</v>
      </c>
      <c r="C125" s="10" t="s">
        <v>24</v>
      </c>
      <c r="D125" s="10">
        <v>0.01</v>
      </c>
    </row>
    <row r="126" spans="1:4">
      <c r="A126" s="10" t="s">
        <v>282</v>
      </c>
      <c r="B126" s="10" t="s">
        <v>23</v>
      </c>
      <c r="C126" s="10" t="s">
        <v>24</v>
      </c>
      <c r="D126" s="10">
        <v>91.846999999999994</v>
      </c>
    </row>
    <row r="127" spans="1:4">
      <c r="A127" s="10" t="s">
        <v>282</v>
      </c>
      <c r="B127" s="10" t="s">
        <v>235</v>
      </c>
      <c r="C127" s="10" t="s">
        <v>276</v>
      </c>
      <c r="D127" s="10">
        <v>10.007</v>
      </c>
    </row>
    <row r="128" spans="1:4">
      <c r="A128" s="10" t="s">
        <v>282</v>
      </c>
      <c r="B128" s="10" t="s">
        <v>236</v>
      </c>
      <c r="C128" s="10" t="s">
        <v>276</v>
      </c>
      <c r="D128" s="10">
        <v>0.52700000000000002</v>
      </c>
    </row>
    <row r="129" spans="1:13">
      <c r="A129" s="10" t="s">
        <v>282</v>
      </c>
      <c r="B129" s="10" t="s">
        <v>233</v>
      </c>
      <c r="C129" s="10" t="s">
        <v>276</v>
      </c>
      <c r="D129" s="10">
        <v>16.088000000000001</v>
      </c>
    </row>
    <row r="130" spans="1:13">
      <c r="A130" s="10" t="s">
        <v>282</v>
      </c>
      <c r="B130" s="10" t="s">
        <v>58</v>
      </c>
      <c r="C130" s="10" t="s">
        <v>24</v>
      </c>
      <c r="D130" s="10">
        <v>8.5999999999999993E-2</v>
      </c>
    </row>
    <row r="131" spans="1:13">
      <c r="A131" s="10" t="s">
        <v>283</v>
      </c>
      <c r="B131" s="10" t="s">
        <v>206</v>
      </c>
      <c r="C131" s="10" t="s">
        <v>276</v>
      </c>
      <c r="D131" s="10">
        <v>49.500999999999998</v>
      </c>
      <c r="G131" s="10" t="s">
        <v>283</v>
      </c>
      <c r="H131" s="10">
        <f>SUMIFS(D:D,A:A,G131,C:C,"Heat_District")</f>
        <v>99.659999999999982</v>
      </c>
      <c r="I131" s="68"/>
      <c r="J131" s="69"/>
      <c r="K131" s="69"/>
      <c r="L131" s="69"/>
      <c r="M131" s="69"/>
    </row>
    <row r="132" spans="1:13">
      <c r="A132" s="10" t="s">
        <v>283</v>
      </c>
      <c r="B132" s="10" t="s">
        <v>207</v>
      </c>
      <c r="C132" s="10" t="s">
        <v>276</v>
      </c>
      <c r="D132" s="10">
        <v>30.227</v>
      </c>
    </row>
    <row r="133" spans="1:13">
      <c r="A133" s="10" t="s">
        <v>283</v>
      </c>
      <c r="B133" s="10" t="s">
        <v>225</v>
      </c>
      <c r="C133" s="10" t="s">
        <v>276</v>
      </c>
      <c r="D133" s="10">
        <v>2.4820000000000002</v>
      </c>
    </row>
    <row r="134" spans="1:13">
      <c r="A134" s="10" t="s">
        <v>283</v>
      </c>
      <c r="B134" s="10" t="s">
        <v>217</v>
      </c>
      <c r="C134" s="10" t="s">
        <v>212</v>
      </c>
      <c r="D134" s="10">
        <v>0.75</v>
      </c>
    </row>
    <row r="135" spans="1:13">
      <c r="A135" s="10" t="s">
        <v>283</v>
      </c>
      <c r="B135" s="10" t="s">
        <v>219</v>
      </c>
      <c r="C135" s="10" t="s">
        <v>212</v>
      </c>
      <c r="D135" s="10">
        <v>1.3049999999999999</v>
      </c>
    </row>
    <row r="136" spans="1:13">
      <c r="A136" s="10" t="s">
        <v>283</v>
      </c>
      <c r="B136" s="10" t="s">
        <v>237</v>
      </c>
      <c r="C136" s="10" t="s">
        <v>212</v>
      </c>
      <c r="D136" s="10">
        <v>4.8000000000000001E-2</v>
      </c>
    </row>
    <row r="137" spans="1:13">
      <c r="A137" s="10" t="s">
        <v>283</v>
      </c>
      <c r="B137" s="10" t="s">
        <v>227</v>
      </c>
      <c r="C137" s="10" t="s">
        <v>212</v>
      </c>
      <c r="D137" s="10">
        <v>0.16700000000000001</v>
      </c>
    </row>
    <row r="138" spans="1:13">
      <c r="A138" s="10" t="s">
        <v>283</v>
      </c>
      <c r="B138" s="10" t="s">
        <v>469</v>
      </c>
      <c r="C138" s="10" t="s">
        <v>212</v>
      </c>
      <c r="D138" s="10">
        <v>0.97099999999999997</v>
      </c>
    </row>
    <row r="139" spans="1:13">
      <c r="A139" s="10" t="s">
        <v>283</v>
      </c>
      <c r="B139" s="10" t="s">
        <v>470</v>
      </c>
      <c r="C139" s="10" t="s">
        <v>212</v>
      </c>
      <c r="D139" s="10">
        <v>13.749000000000001</v>
      </c>
    </row>
    <row r="140" spans="1:13">
      <c r="A140" s="10" t="s">
        <v>283</v>
      </c>
      <c r="B140" s="10" t="s">
        <v>228</v>
      </c>
      <c r="C140" s="10" t="s">
        <v>213</v>
      </c>
      <c r="D140" s="10">
        <v>12.375</v>
      </c>
    </row>
    <row r="141" spans="1:13">
      <c r="A141" s="10" t="s">
        <v>283</v>
      </c>
      <c r="B141" s="10" t="s">
        <v>229</v>
      </c>
      <c r="C141" s="10" t="s">
        <v>213</v>
      </c>
      <c r="D141" s="10">
        <v>6.1580000000000004</v>
      </c>
    </row>
    <row r="142" spans="1:13">
      <c r="A142" s="10" t="s">
        <v>283</v>
      </c>
      <c r="B142" s="10" t="s">
        <v>240</v>
      </c>
      <c r="C142" s="10" t="s">
        <v>213</v>
      </c>
      <c r="D142" s="10">
        <v>0.372</v>
      </c>
    </row>
    <row r="143" spans="1:13">
      <c r="A143" s="10" t="s">
        <v>283</v>
      </c>
      <c r="B143" s="10" t="s">
        <v>231</v>
      </c>
      <c r="C143" s="10" t="s">
        <v>213</v>
      </c>
      <c r="D143" s="10">
        <v>4.0179999999999998</v>
      </c>
    </row>
    <row r="144" spans="1:13">
      <c r="A144" s="10" t="s">
        <v>283</v>
      </c>
      <c r="B144" s="10" t="s">
        <v>471</v>
      </c>
      <c r="C144" s="10" t="s">
        <v>214</v>
      </c>
      <c r="D144" s="10">
        <v>43.179000000000002</v>
      </c>
    </row>
    <row r="145" spans="1:6">
      <c r="A145" s="10" t="s">
        <v>283</v>
      </c>
      <c r="B145" s="10" t="s">
        <v>248</v>
      </c>
      <c r="C145" s="10" t="s">
        <v>214</v>
      </c>
      <c r="D145" s="10">
        <v>0.214</v>
      </c>
    </row>
    <row r="146" spans="1:6">
      <c r="A146" s="10" t="s">
        <v>283</v>
      </c>
      <c r="B146" s="10" t="s">
        <v>245</v>
      </c>
      <c r="C146" s="10" t="s">
        <v>214</v>
      </c>
      <c r="D146" s="10">
        <v>0.80600000000000005</v>
      </c>
    </row>
    <row r="147" spans="1:6">
      <c r="A147" s="10" t="s">
        <v>283</v>
      </c>
      <c r="B147" s="10" t="s">
        <v>244</v>
      </c>
      <c r="C147" s="10" t="s">
        <v>214</v>
      </c>
      <c r="D147" s="10">
        <v>22.257000000000001</v>
      </c>
    </row>
    <row r="148" spans="1:6">
      <c r="A148" s="10" t="s">
        <v>283</v>
      </c>
      <c r="B148" s="10" t="s">
        <v>488</v>
      </c>
      <c r="C148" s="10" t="s">
        <v>24</v>
      </c>
      <c r="D148" s="10">
        <v>7.237000000000001</v>
      </c>
    </row>
    <row r="149" spans="1:6">
      <c r="A149" s="10" t="s">
        <v>283</v>
      </c>
      <c r="B149" s="10" t="s">
        <v>489</v>
      </c>
      <c r="C149" s="10" t="s">
        <v>24</v>
      </c>
      <c r="D149" s="10">
        <v>0.83099999999999996</v>
      </c>
    </row>
    <row r="150" spans="1:6">
      <c r="A150" s="10" t="s">
        <v>283</v>
      </c>
      <c r="B150" s="10" t="s">
        <v>490</v>
      </c>
      <c r="C150" s="10" t="s">
        <v>24</v>
      </c>
      <c r="D150" s="10">
        <v>0.91400000000000003</v>
      </c>
    </row>
    <row r="151" spans="1:6">
      <c r="A151" s="10" t="s">
        <v>283</v>
      </c>
      <c r="B151" s="10" t="s">
        <v>163</v>
      </c>
      <c r="C151" s="10" t="s">
        <v>24</v>
      </c>
      <c r="D151" s="10">
        <v>13.646000000000001</v>
      </c>
    </row>
    <row r="152" spans="1:6">
      <c r="A152" s="10" t="s">
        <v>283</v>
      </c>
      <c r="B152" s="10" t="s">
        <v>107</v>
      </c>
      <c r="C152" s="10" t="s">
        <v>24</v>
      </c>
      <c r="D152" s="10">
        <v>10.483000000000001</v>
      </c>
    </row>
    <row r="153" spans="1:6">
      <c r="A153" s="10" t="s">
        <v>283</v>
      </c>
      <c r="B153" s="10" t="s">
        <v>23</v>
      </c>
      <c r="C153" s="10" t="s">
        <v>24</v>
      </c>
      <c r="D153" s="10">
        <v>102.047</v>
      </c>
    </row>
    <row r="154" spans="1:6">
      <c r="A154" s="10" t="s">
        <v>283</v>
      </c>
      <c r="B154" s="10" t="s">
        <v>106</v>
      </c>
      <c r="C154" s="10" t="s">
        <v>24</v>
      </c>
      <c r="D154" s="10">
        <v>116.598</v>
      </c>
    </row>
    <row r="155" spans="1:6">
      <c r="A155" s="10" t="s">
        <v>283</v>
      </c>
      <c r="B155" s="10" t="s">
        <v>235</v>
      </c>
      <c r="C155" s="10" t="s">
        <v>276</v>
      </c>
      <c r="D155" s="10">
        <v>3.4039999999999999</v>
      </c>
    </row>
    <row r="156" spans="1:6">
      <c r="A156" s="10" t="s">
        <v>283</v>
      </c>
      <c r="B156" s="10" t="s">
        <v>236</v>
      </c>
      <c r="C156" s="10" t="s">
        <v>276</v>
      </c>
      <c r="D156" s="10">
        <v>0.17899999999999999</v>
      </c>
    </row>
    <row r="157" spans="1:6">
      <c r="A157" s="10" t="s">
        <v>283</v>
      </c>
      <c r="B157" s="10" t="s">
        <v>233</v>
      </c>
      <c r="C157" s="10" t="s">
        <v>276</v>
      </c>
      <c r="D157" s="10">
        <v>12.458</v>
      </c>
    </row>
    <row r="158" spans="1:6">
      <c r="A158" s="10" t="s">
        <v>283</v>
      </c>
      <c r="B158" s="10" t="s">
        <v>108</v>
      </c>
      <c r="C158" s="10" t="s">
        <v>24</v>
      </c>
      <c r="D158" s="10">
        <v>3.8439999999999999</v>
      </c>
      <c r="F158" s="10" t="s">
        <v>519</v>
      </c>
    </row>
    <row r="159" spans="1:6">
      <c r="A159" s="10" t="s">
        <v>283</v>
      </c>
      <c r="B159" s="10" t="s">
        <v>109</v>
      </c>
      <c r="C159" s="10" t="s">
        <v>24</v>
      </c>
      <c r="D159" s="10">
        <v>18.015999999999998</v>
      </c>
      <c r="F159" s="10" t="s">
        <v>519</v>
      </c>
    </row>
    <row r="160" spans="1:6">
      <c r="A160" s="10" t="s">
        <v>283</v>
      </c>
      <c r="B160" s="10" t="s">
        <v>485</v>
      </c>
      <c r="C160" s="10" t="s">
        <v>24</v>
      </c>
      <c r="D160" s="10">
        <v>0.307</v>
      </c>
      <c r="F160" s="10" t="s">
        <v>519</v>
      </c>
    </row>
    <row r="161" spans="1:13">
      <c r="A161" s="10" t="s">
        <v>283</v>
      </c>
      <c r="B161" s="10" t="s">
        <v>481</v>
      </c>
      <c r="C161" s="10" t="s">
        <v>24</v>
      </c>
      <c r="D161" s="10">
        <v>4.5179999999999998</v>
      </c>
      <c r="F161" s="10" t="s">
        <v>519</v>
      </c>
    </row>
    <row r="162" spans="1:13">
      <c r="A162" s="10" t="s">
        <v>283</v>
      </c>
      <c r="B162" s="10" t="s">
        <v>475</v>
      </c>
      <c r="C162" s="10" t="s">
        <v>24</v>
      </c>
      <c r="D162" s="10">
        <v>8.5380000000000003</v>
      </c>
      <c r="F162" s="10" t="s">
        <v>519</v>
      </c>
    </row>
    <row r="163" spans="1:13">
      <c r="A163" s="10" t="s">
        <v>283</v>
      </c>
      <c r="B163" s="10" t="s">
        <v>108</v>
      </c>
      <c r="C163" s="10" t="s">
        <v>473</v>
      </c>
      <c r="D163" s="10">
        <v>10.875999999999999</v>
      </c>
      <c r="F163" s="10" t="s">
        <v>519</v>
      </c>
    </row>
    <row r="164" spans="1:13">
      <c r="A164" s="10" t="s">
        <v>283</v>
      </c>
      <c r="B164" s="10" t="s">
        <v>109</v>
      </c>
      <c r="C164" s="10" t="s">
        <v>473</v>
      </c>
      <c r="D164" s="10">
        <v>50.973999999999997</v>
      </c>
      <c r="F164" s="10" t="s">
        <v>519</v>
      </c>
    </row>
    <row r="165" spans="1:13">
      <c r="A165" s="10" t="s">
        <v>283</v>
      </c>
      <c r="B165" s="10" t="s">
        <v>485</v>
      </c>
      <c r="C165" s="10" t="s">
        <v>473</v>
      </c>
      <c r="D165" s="10">
        <v>0.87</v>
      </c>
      <c r="F165" s="10" t="s">
        <v>519</v>
      </c>
    </row>
    <row r="166" spans="1:13">
      <c r="A166" s="10" t="s">
        <v>283</v>
      </c>
      <c r="B166" s="10" t="s">
        <v>481</v>
      </c>
      <c r="C166" s="10" t="s">
        <v>473</v>
      </c>
      <c r="D166" s="10">
        <v>12.782999999999999</v>
      </c>
      <c r="F166" s="10" t="s">
        <v>519</v>
      </c>
    </row>
    <row r="167" spans="1:13">
      <c r="A167" s="10" t="s">
        <v>283</v>
      </c>
      <c r="B167" s="10" t="s">
        <v>475</v>
      </c>
      <c r="C167" s="10" t="s">
        <v>473</v>
      </c>
      <c r="D167" s="10">
        <v>24.157</v>
      </c>
      <c r="F167" s="10" t="s">
        <v>519</v>
      </c>
    </row>
    <row r="168" spans="1:13">
      <c r="A168" s="10" t="s">
        <v>284</v>
      </c>
      <c r="B168" s="10" t="s">
        <v>206</v>
      </c>
      <c r="C168" s="10" t="s">
        <v>276</v>
      </c>
      <c r="D168" s="10">
        <v>251.33199999999999</v>
      </c>
      <c r="G168" s="10" t="s">
        <v>287</v>
      </c>
      <c r="H168" s="10">
        <f>SUMIFS(D:D,A:A,G168,C:C,"Heat_District")</f>
        <v>236.25900000000001</v>
      </c>
      <c r="I168" s="68"/>
      <c r="J168" s="69"/>
      <c r="K168" s="69"/>
      <c r="L168" s="69"/>
      <c r="M168" s="69"/>
    </row>
    <row r="169" spans="1:13">
      <c r="A169" s="10" t="s">
        <v>284</v>
      </c>
      <c r="B169" s="10" t="s">
        <v>207</v>
      </c>
      <c r="C169" s="10" t="s">
        <v>276</v>
      </c>
      <c r="D169" s="10">
        <v>45.728000000000002</v>
      </c>
    </row>
    <row r="170" spans="1:13">
      <c r="A170" s="10" t="s">
        <v>284</v>
      </c>
      <c r="B170" s="10" t="s">
        <v>225</v>
      </c>
      <c r="C170" s="10" t="s">
        <v>276</v>
      </c>
      <c r="D170" s="10">
        <v>681.61699999999996</v>
      </c>
    </row>
    <row r="171" spans="1:13">
      <c r="A171" s="10" t="s">
        <v>284</v>
      </c>
      <c r="B171" s="10" t="s">
        <v>217</v>
      </c>
      <c r="C171" s="10" t="s">
        <v>212</v>
      </c>
      <c r="D171" s="10">
        <v>5.19</v>
      </c>
    </row>
    <row r="172" spans="1:13">
      <c r="A172" s="10" t="s">
        <v>284</v>
      </c>
      <c r="B172" s="10" t="s">
        <v>219</v>
      </c>
      <c r="C172" s="10" t="s">
        <v>212</v>
      </c>
      <c r="D172" s="10">
        <v>5.0759999999999996</v>
      </c>
    </row>
    <row r="173" spans="1:13">
      <c r="A173" s="10" t="s">
        <v>284</v>
      </c>
      <c r="B173" s="10" t="s">
        <v>237</v>
      </c>
      <c r="C173" s="10" t="s">
        <v>212</v>
      </c>
      <c r="D173" s="10">
        <v>1.06</v>
      </c>
    </row>
    <row r="174" spans="1:13">
      <c r="A174" s="10" t="s">
        <v>284</v>
      </c>
      <c r="B174" s="10" t="s">
        <v>227</v>
      </c>
      <c r="C174" s="10" t="s">
        <v>212</v>
      </c>
      <c r="D174" s="10">
        <v>3.7970000000000002</v>
      </c>
    </row>
    <row r="175" spans="1:13">
      <c r="A175" s="10" t="s">
        <v>284</v>
      </c>
      <c r="B175" s="10" t="s">
        <v>469</v>
      </c>
      <c r="C175" s="10" t="s">
        <v>212</v>
      </c>
      <c r="D175" s="10">
        <v>19.724</v>
      </c>
    </row>
    <row r="176" spans="1:13">
      <c r="A176" s="10" t="s">
        <v>284</v>
      </c>
      <c r="B176" s="10" t="s">
        <v>470</v>
      </c>
      <c r="C176" s="10" t="s">
        <v>212</v>
      </c>
      <c r="D176" s="10">
        <v>134.637</v>
      </c>
    </row>
    <row r="177" spans="1:4">
      <c r="A177" s="10" t="s">
        <v>284</v>
      </c>
      <c r="B177" s="10" t="s">
        <v>228</v>
      </c>
      <c r="C177" s="10" t="s">
        <v>213</v>
      </c>
      <c r="D177" s="10">
        <v>46.579000000000001</v>
      </c>
    </row>
    <row r="178" spans="1:4">
      <c r="A178" s="10" t="s">
        <v>284</v>
      </c>
      <c r="B178" s="10" t="s">
        <v>229</v>
      </c>
      <c r="C178" s="10" t="s">
        <v>213</v>
      </c>
      <c r="D178" s="10">
        <v>35.555</v>
      </c>
    </row>
    <row r="179" spans="1:4">
      <c r="A179" s="10" t="s">
        <v>284</v>
      </c>
      <c r="B179" s="10" t="s">
        <v>240</v>
      </c>
      <c r="C179" s="10" t="s">
        <v>213</v>
      </c>
      <c r="D179" s="10">
        <v>10.750999999999999</v>
      </c>
    </row>
    <row r="180" spans="1:4">
      <c r="A180" s="10" t="s">
        <v>284</v>
      </c>
      <c r="B180" s="10" t="s">
        <v>231</v>
      </c>
      <c r="C180" s="10" t="s">
        <v>213</v>
      </c>
      <c r="D180" s="10">
        <v>69.756</v>
      </c>
    </row>
    <row r="181" spans="1:4">
      <c r="A181" s="10" t="s">
        <v>284</v>
      </c>
      <c r="B181" s="10" t="s">
        <v>471</v>
      </c>
      <c r="C181" s="10" t="s">
        <v>214</v>
      </c>
      <c r="D181" s="10">
        <v>235.96700000000001</v>
      </c>
    </row>
    <row r="182" spans="1:4">
      <c r="A182" s="10" t="s">
        <v>284</v>
      </c>
      <c r="B182" s="10" t="s">
        <v>248</v>
      </c>
      <c r="C182" s="10" t="s">
        <v>214</v>
      </c>
      <c r="D182" s="10">
        <v>4.4009999999999998</v>
      </c>
    </row>
    <row r="183" spans="1:4">
      <c r="A183" s="10" t="s">
        <v>284</v>
      </c>
      <c r="B183" s="10" t="s">
        <v>245</v>
      </c>
      <c r="C183" s="10" t="s">
        <v>214</v>
      </c>
      <c r="D183" s="10">
        <v>28.600999999999999</v>
      </c>
    </row>
    <row r="184" spans="1:4">
      <c r="A184" s="10" t="s">
        <v>284</v>
      </c>
      <c r="B184" s="10" t="s">
        <v>244</v>
      </c>
      <c r="C184" s="10" t="s">
        <v>214</v>
      </c>
      <c r="D184" s="10">
        <v>272.76799999999997</v>
      </c>
    </row>
    <row r="185" spans="1:4">
      <c r="A185" s="10" t="s">
        <v>284</v>
      </c>
      <c r="B185" s="10" t="s">
        <v>488</v>
      </c>
      <c r="C185" s="10" t="s">
        <v>24</v>
      </c>
      <c r="D185" s="10">
        <v>106.98399999999995</v>
      </c>
    </row>
    <row r="186" spans="1:4">
      <c r="A186" s="10" t="s">
        <v>284</v>
      </c>
      <c r="B186" s="10" t="s">
        <v>489</v>
      </c>
      <c r="C186" s="10" t="s">
        <v>24</v>
      </c>
      <c r="D186" s="10">
        <v>10.266999999999999</v>
      </c>
    </row>
    <row r="187" spans="1:4">
      <c r="A187" s="10" t="s">
        <v>284</v>
      </c>
      <c r="B187" s="10" t="s">
        <v>490</v>
      </c>
      <c r="C187" s="10" t="s">
        <v>24</v>
      </c>
      <c r="D187" s="10">
        <v>30.236999999999998</v>
      </c>
    </row>
    <row r="188" spans="1:4">
      <c r="A188" s="10" t="s">
        <v>284</v>
      </c>
      <c r="B188" s="10" t="s">
        <v>163</v>
      </c>
      <c r="C188" s="10" t="s">
        <v>24</v>
      </c>
      <c r="D188" s="10">
        <v>145.48599999999999</v>
      </c>
    </row>
    <row r="189" spans="1:4">
      <c r="A189" s="10" t="s">
        <v>284</v>
      </c>
      <c r="B189" s="10" t="s">
        <v>107</v>
      </c>
      <c r="C189" s="10" t="s">
        <v>24</v>
      </c>
      <c r="D189" s="10">
        <v>233.77600000000001</v>
      </c>
    </row>
    <row r="190" spans="1:4">
      <c r="A190" s="10" t="s">
        <v>284</v>
      </c>
      <c r="B190" s="10" t="s">
        <v>58</v>
      </c>
      <c r="C190" s="10" t="s">
        <v>24</v>
      </c>
      <c r="D190" s="10">
        <v>8.1780000000000008</v>
      </c>
    </row>
    <row r="191" spans="1:4">
      <c r="A191" s="10" t="s">
        <v>284</v>
      </c>
      <c r="B191" s="10" t="s">
        <v>23</v>
      </c>
      <c r="C191" s="10" t="s">
        <v>24</v>
      </c>
      <c r="D191" s="10">
        <v>259.21699999999998</v>
      </c>
    </row>
    <row r="192" spans="1:4">
      <c r="A192" s="10" t="s">
        <v>284</v>
      </c>
      <c r="B192" s="10" t="s">
        <v>106</v>
      </c>
      <c r="C192" s="10" t="s">
        <v>24</v>
      </c>
      <c r="D192" s="10">
        <v>513.11900000000003</v>
      </c>
    </row>
    <row r="193" spans="1:13">
      <c r="A193" s="10" t="s">
        <v>284</v>
      </c>
      <c r="B193" s="10" t="s">
        <v>235</v>
      </c>
      <c r="C193" s="10" t="s">
        <v>276</v>
      </c>
      <c r="D193" s="10">
        <v>32.082000000000001</v>
      </c>
    </row>
    <row r="194" spans="1:13">
      <c r="A194" s="10" t="s">
        <v>284</v>
      </c>
      <c r="B194" s="10" t="s">
        <v>236</v>
      </c>
      <c r="C194" s="10" t="s">
        <v>276</v>
      </c>
      <c r="D194" s="10">
        <v>1.6890000000000001</v>
      </c>
    </row>
    <row r="195" spans="1:13">
      <c r="A195" s="10" t="s">
        <v>284</v>
      </c>
      <c r="B195" s="10" t="s">
        <v>233</v>
      </c>
      <c r="C195" s="10" t="s">
        <v>276</v>
      </c>
      <c r="D195" s="10">
        <v>46.072000000000003</v>
      </c>
    </row>
    <row r="196" spans="1:13">
      <c r="A196" s="10" t="s">
        <v>284</v>
      </c>
      <c r="B196" s="10" t="s">
        <v>108</v>
      </c>
      <c r="C196" s="10" t="s">
        <v>24</v>
      </c>
      <c r="D196" s="10">
        <v>63.923000000000002</v>
      </c>
      <c r="F196" s="10" t="s">
        <v>519</v>
      </c>
    </row>
    <row r="197" spans="1:13">
      <c r="A197" s="10" t="s">
        <v>284</v>
      </c>
      <c r="B197" s="10" t="s">
        <v>109</v>
      </c>
      <c r="C197" s="10" t="s">
        <v>24</v>
      </c>
      <c r="D197" s="10">
        <v>13.051</v>
      </c>
      <c r="F197" s="10" t="s">
        <v>519</v>
      </c>
    </row>
    <row r="198" spans="1:13">
      <c r="A198" s="10" t="s">
        <v>284</v>
      </c>
      <c r="B198" s="10" t="s">
        <v>485</v>
      </c>
      <c r="C198" s="10" t="s">
        <v>24</v>
      </c>
      <c r="D198" s="10">
        <v>6.5140000000000002</v>
      </c>
      <c r="F198" s="10" t="s">
        <v>519</v>
      </c>
    </row>
    <row r="199" spans="1:13">
      <c r="A199" s="10" t="s">
        <v>284</v>
      </c>
      <c r="B199" s="10" t="s">
        <v>481</v>
      </c>
      <c r="C199" s="10" t="s">
        <v>24</v>
      </c>
      <c r="D199" s="10">
        <v>152.84200000000001</v>
      </c>
      <c r="F199" s="10" t="s">
        <v>519</v>
      </c>
    </row>
    <row r="200" spans="1:13">
      <c r="A200" s="10" t="s">
        <v>284</v>
      </c>
      <c r="B200" s="10" t="s">
        <v>475</v>
      </c>
      <c r="C200" s="10" t="s">
        <v>24</v>
      </c>
      <c r="D200" s="10">
        <v>45.607999999999997</v>
      </c>
      <c r="F200" s="10" t="s">
        <v>519</v>
      </c>
    </row>
    <row r="201" spans="1:13">
      <c r="A201" s="10" t="s">
        <v>284</v>
      </c>
      <c r="B201" s="10" t="s">
        <v>108</v>
      </c>
      <c r="C201" s="10" t="s">
        <v>473</v>
      </c>
      <c r="D201" s="10">
        <v>135.708</v>
      </c>
      <c r="F201" s="10" t="s">
        <v>519</v>
      </c>
    </row>
    <row r="202" spans="1:13">
      <c r="A202" s="10" t="s">
        <v>284</v>
      </c>
      <c r="B202" s="10" t="s">
        <v>109</v>
      </c>
      <c r="C202" s="10" t="s">
        <v>473</v>
      </c>
      <c r="D202" s="10">
        <v>27.707000000000001</v>
      </c>
      <c r="F202" s="10" t="s">
        <v>519</v>
      </c>
    </row>
    <row r="203" spans="1:13">
      <c r="A203" s="10" t="s">
        <v>284</v>
      </c>
      <c r="B203" s="10" t="s">
        <v>485</v>
      </c>
      <c r="C203" s="10" t="s">
        <v>473</v>
      </c>
      <c r="D203" s="10">
        <v>13.83</v>
      </c>
      <c r="F203" s="10" t="s">
        <v>519</v>
      </c>
    </row>
    <row r="204" spans="1:13">
      <c r="A204" s="10" t="s">
        <v>284</v>
      </c>
      <c r="B204" s="10" t="s">
        <v>481</v>
      </c>
      <c r="C204" s="10" t="s">
        <v>473</v>
      </c>
      <c r="D204" s="10">
        <v>204.482</v>
      </c>
      <c r="F204" s="10" t="s">
        <v>522</v>
      </c>
    </row>
    <row r="205" spans="1:13">
      <c r="A205" s="10" t="s">
        <v>284</v>
      </c>
      <c r="B205" s="10" t="s">
        <v>475</v>
      </c>
      <c r="C205" s="10" t="s">
        <v>473</v>
      </c>
      <c r="D205" s="10">
        <v>96.825000000000003</v>
      </c>
      <c r="F205" s="10" t="s">
        <v>519</v>
      </c>
    </row>
    <row r="206" spans="1:13">
      <c r="A206" s="10" t="s">
        <v>285</v>
      </c>
      <c r="B206" s="10" t="s">
        <v>206</v>
      </c>
      <c r="C206" s="10" t="s">
        <v>276</v>
      </c>
      <c r="D206" s="10">
        <v>38.036999999999999</v>
      </c>
      <c r="G206" s="10" t="s">
        <v>284</v>
      </c>
      <c r="H206" s="10">
        <f>SUMIFS(D:D,A:A,G206,C:C,"Heat_District")</f>
        <v>478.55199999999996</v>
      </c>
      <c r="I206" s="68"/>
      <c r="J206" s="69"/>
      <c r="K206" s="69"/>
      <c r="L206" s="69"/>
      <c r="M206" s="69"/>
    </row>
    <row r="207" spans="1:13">
      <c r="A207" s="10" t="s">
        <v>285</v>
      </c>
      <c r="B207" s="10" t="s">
        <v>207</v>
      </c>
      <c r="C207" s="10" t="s">
        <v>276</v>
      </c>
      <c r="D207" s="10">
        <v>0.51700000000000002</v>
      </c>
    </row>
    <row r="208" spans="1:13">
      <c r="A208" s="10" t="s">
        <v>285</v>
      </c>
      <c r="B208" s="10" t="s">
        <v>225</v>
      </c>
      <c r="C208" s="10" t="s">
        <v>276</v>
      </c>
      <c r="D208" s="10">
        <v>17.887</v>
      </c>
    </row>
    <row r="209" spans="1:4">
      <c r="A209" s="10" t="s">
        <v>285</v>
      </c>
      <c r="B209" s="10" t="s">
        <v>217</v>
      </c>
      <c r="C209" s="10" t="s">
        <v>212</v>
      </c>
      <c r="D209" s="10">
        <v>0.57999999999999996</v>
      </c>
    </row>
    <row r="210" spans="1:4">
      <c r="A210" s="10" t="s">
        <v>285</v>
      </c>
      <c r="B210" s="10" t="s">
        <v>219</v>
      </c>
      <c r="C210" s="10" t="s">
        <v>212</v>
      </c>
      <c r="D210" s="10">
        <v>0.56100000000000005</v>
      </c>
    </row>
    <row r="211" spans="1:4">
      <c r="A211" s="10" t="s">
        <v>285</v>
      </c>
      <c r="B211" s="10" t="s">
        <v>237</v>
      </c>
      <c r="C211" s="10" t="s">
        <v>212</v>
      </c>
      <c r="D211" s="10">
        <v>9.1999999999999998E-2</v>
      </c>
    </row>
    <row r="212" spans="1:4">
      <c r="A212" s="10" t="s">
        <v>285</v>
      </c>
      <c r="B212" s="10" t="s">
        <v>227</v>
      </c>
      <c r="C212" s="10" t="s">
        <v>212</v>
      </c>
      <c r="D212" s="10">
        <v>1.51</v>
      </c>
    </row>
    <row r="213" spans="1:4">
      <c r="A213" s="10" t="s">
        <v>285</v>
      </c>
      <c r="B213" s="10" t="s">
        <v>469</v>
      </c>
      <c r="C213" s="10" t="s">
        <v>212</v>
      </c>
      <c r="D213" s="10">
        <v>3.4529999999999998</v>
      </c>
    </row>
    <row r="214" spans="1:4">
      <c r="A214" s="10" t="s">
        <v>285</v>
      </c>
      <c r="B214" s="10" t="s">
        <v>470</v>
      </c>
      <c r="C214" s="10" t="s">
        <v>212</v>
      </c>
      <c r="D214" s="10">
        <v>2.653</v>
      </c>
    </row>
    <row r="215" spans="1:4">
      <c r="A215" s="10" t="s">
        <v>285</v>
      </c>
      <c r="B215" s="10" t="s">
        <v>228</v>
      </c>
      <c r="C215" s="10" t="s">
        <v>213</v>
      </c>
      <c r="D215" s="10">
        <v>4.8310000000000004</v>
      </c>
    </row>
    <row r="216" spans="1:4">
      <c r="A216" s="10" t="s">
        <v>285</v>
      </c>
      <c r="B216" s="10" t="s">
        <v>229</v>
      </c>
      <c r="C216" s="10" t="s">
        <v>213</v>
      </c>
      <c r="D216" s="10">
        <v>0.81100000000000005</v>
      </c>
    </row>
    <row r="217" spans="1:4">
      <c r="A217" s="10" t="s">
        <v>285</v>
      </c>
      <c r="B217" s="10" t="s">
        <v>240</v>
      </c>
      <c r="C217" s="10" t="s">
        <v>213</v>
      </c>
      <c r="D217" s="10">
        <v>0.441</v>
      </c>
    </row>
    <row r="218" spans="1:4">
      <c r="A218" s="10" t="s">
        <v>285</v>
      </c>
      <c r="B218" s="10" t="s">
        <v>231</v>
      </c>
      <c r="C218" s="10" t="s">
        <v>213</v>
      </c>
      <c r="D218" s="10">
        <v>6.1669999999999998</v>
      </c>
    </row>
    <row r="219" spans="1:4">
      <c r="A219" s="10" t="s">
        <v>285</v>
      </c>
      <c r="B219" s="10" t="s">
        <v>471</v>
      </c>
      <c r="C219" s="10" t="s">
        <v>214</v>
      </c>
      <c r="D219" s="10">
        <v>1.113</v>
      </c>
    </row>
    <row r="220" spans="1:4">
      <c r="A220" s="10" t="s">
        <v>285</v>
      </c>
      <c r="B220" s="10" t="s">
        <v>248</v>
      </c>
      <c r="C220" s="10" t="s">
        <v>214</v>
      </c>
      <c r="D220" s="10">
        <v>8.8999999999999996E-2</v>
      </c>
    </row>
    <row r="221" spans="1:4">
      <c r="A221" s="10" t="s">
        <v>285</v>
      </c>
      <c r="B221" s="10" t="s">
        <v>245</v>
      </c>
      <c r="C221" s="10" t="s">
        <v>214</v>
      </c>
      <c r="D221" s="10">
        <v>3.9E-2</v>
      </c>
    </row>
    <row r="222" spans="1:4">
      <c r="A222" s="10" t="s">
        <v>285</v>
      </c>
      <c r="B222" s="10" t="s">
        <v>244</v>
      </c>
      <c r="C222" s="10" t="s">
        <v>214</v>
      </c>
      <c r="D222" s="10">
        <v>5.3310000000000004</v>
      </c>
    </row>
    <row r="223" spans="1:4">
      <c r="A223" s="10" t="s">
        <v>285</v>
      </c>
      <c r="B223" s="10" t="s">
        <v>490</v>
      </c>
      <c r="C223" s="10" t="s">
        <v>24</v>
      </c>
      <c r="D223" s="10">
        <v>0.28799999999999998</v>
      </c>
    </row>
    <row r="224" spans="1:4">
      <c r="A224" s="10" t="s">
        <v>285</v>
      </c>
      <c r="B224" s="10" t="s">
        <v>58</v>
      </c>
      <c r="C224" s="10" t="s">
        <v>24</v>
      </c>
      <c r="D224" s="10">
        <v>0.67800000000000005</v>
      </c>
    </row>
    <row r="225" spans="1:13">
      <c r="A225" s="10" t="s">
        <v>285</v>
      </c>
      <c r="B225" s="10" t="s">
        <v>235</v>
      </c>
      <c r="C225" s="10" t="s">
        <v>276</v>
      </c>
      <c r="D225" s="10">
        <v>5.5460000000000003</v>
      </c>
    </row>
    <row r="226" spans="1:13">
      <c r="A226" s="10" t="s">
        <v>285</v>
      </c>
      <c r="B226" s="10" t="s">
        <v>236</v>
      </c>
      <c r="C226" s="10" t="s">
        <v>276</v>
      </c>
      <c r="D226" s="10">
        <v>0.29199999999999998</v>
      </c>
    </row>
    <row r="227" spans="1:13">
      <c r="A227" s="10" t="s">
        <v>285</v>
      </c>
      <c r="B227" s="10" t="s">
        <v>233</v>
      </c>
      <c r="C227" s="10" t="s">
        <v>276</v>
      </c>
      <c r="D227" s="10">
        <v>6.4039999999999999</v>
      </c>
    </row>
    <row r="228" spans="1:13">
      <c r="A228" s="10" t="s">
        <v>285</v>
      </c>
      <c r="B228" s="10" t="s">
        <v>108</v>
      </c>
      <c r="C228" s="10" t="s">
        <v>24</v>
      </c>
      <c r="D228" s="10">
        <v>8.5030000000000001</v>
      </c>
      <c r="F228" s="10" t="s">
        <v>519</v>
      </c>
    </row>
    <row r="229" spans="1:13">
      <c r="A229" s="10" t="s">
        <v>285</v>
      </c>
      <c r="B229" s="10" t="s">
        <v>485</v>
      </c>
      <c r="C229" s="10" t="s">
        <v>24</v>
      </c>
      <c r="D229" s="10">
        <v>0.90100000000000002</v>
      </c>
      <c r="F229" s="10" t="s">
        <v>519</v>
      </c>
    </row>
    <row r="230" spans="1:13">
      <c r="A230" s="10" t="s">
        <v>285</v>
      </c>
      <c r="B230" s="10" t="s">
        <v>481</v>
      </c>
      <c r="C230" s="10" t="s">
        <v>24</v>
      </c>
      <c r="D230" s="10">
        <v>5.7080000000000002</v>
      </c>
      <c r="F230" s="10" t="s">
        <v>519</v>
      </c>
    </row>
    <row r="231" spans="1:13">
      <c r="A231" s="10" t="s">
        <v>285</v>
      </c>
      <c r="B231" s="10" t="s">
        <v>475</v>
      </c>
      <c r="C231" s="10" t="s">
        <v>24</v>
      </c>
      <c r="D231" s="10">
        <v>21.795999999999999</v>
      </c>
      <c r="F231" s="10" t="s">
        <v>519</v>
      </c>
    </row>
    <row r="232" spans="1:13">
      <c r="A232" s="10" t="s">
        <v>285</v>
      </c>
      <c r="B232" s="10" t="s">
        <v>108</v>
      </c>
      <c r="C232" s="10" t="s">
        <v>473</v>
      </c>
      <c r="D232" s="10">
        <v>19.698</v>
      </c>
      <c r="F232" s="10" t="s">
        <v>519</v>
      </c>
    </row>
    <row r="233" spans="1:13">
      <c r="A233" s="10" t="s">
        <v>285</v>
      </c>
      <c r="B233" s="10" t="s">
        <v>485</v>
      </c>
      <c r="C233" s="10" t="s">
        <v>473</v>
      </c>
      <c r="D233" s="10">
        <v>2.0859999999999999</v>
      </c>
      <c r="F233" s="10" t="s">
        <v>519</v>
      </c>
    </row>
    <row r="234" spans="1:13">
      <c r="A234" s="10" t="s">
        <v>285</v>
      </c>
      <c r="B234" s="10" t="s">
        <v>481</v>
      </c>
      <c r="C234" s="10" t="s">
        <v>473</v>
      </c>
      <c r="D234" s="10">
        <v>13.223000000000001</v>
      </c>
      <c r="F234" s="10" t="s">
        <v>519</v>
      </c>
    </row>
    <row r="235" spans="1:13">
      <c r="A235" s="10" t="s">
        <v>285</v>
      </c>
      <c r="B235" s="10" t="s">
        <v>475</v>
      </c>
      <c r="C235" s="10" t="s">
        <v>473</v>
      </c>
      <c r="D235" s="10">
        <v>50.49</v>
      </c>
      <c r="F235" s="10" t="s">
        <v>519</v>
      </c>
    </row>
    <row r="236" spans="1:13">
      <c r="A236" s="10" t="s">
        <v>285</v>
      </c>
      <c r="B236" s="10" t="s">
        <v>107</v>
      </c>
      <c r="C236" s="10" t="s">
        <v>24</v>
      </c>
      <c r="D236" s="10">
        <v>13</v>
      </c>
    </row>
    <row r="237" spans="1:13">
      <c r="A237" s="10" t="s">
        <v>308</v>
      </c>
      <c r="B237" s="10" t="s">
        <v>206</v>
      </c>
      <c r="C237" s="10" t="s">
        <v>276</v>
      </c>
      <c r="D237" s="10">
        <v>18.417000000000002</v>
      </c>
      <c r="G237" s="10" t="s">
        <v>285</v>
      </c>
      <c r="H237" s="10">
        <f>SUMIFS(D:D,A:A,G237,C:C,"Heat_District")</f>
        <v>85.497</v>
      </c>
      <c r="I237" s="68"/>
      <c r="J237" s="69"/>
      <c r="K237" s="69"/>
      <c r="L237" s="69"/>
      <c r="M237" s="69"/>
    </row>
    <row r="238" spans="1:13">
      <c r="A238" s="10" t="s">
        <v>308</v>
      </c>
      <c r="B238" s="10" t="s">
        <v>207</v>
      </c>
      <c r="C238" s="10" t="s">
        <v>276</v>
      </c>
      <c r="D238" s="10">
        <v>0.68100000000000005</v>
      </c>
    </row>
    <row r="239" spans="1:13">
      <c r="A239" s="10" t="s">
        <v>308</v>
      </c>
      <c r="B239" s="10" t="s">
        <v>225</v>
      </c>
      <c r="C239" s="10" t="s">
        <v>276</v>
      </c>
      <c r="D239" s="10">
        <v>3.1309999999999998</v>
      </c>
    </row>
    <row r="240" spans="1:13">
      <c r="A240" s="10" t="s">
        <v>308</v>
      </c>
      <c r="B240" s="10" t="s">
        <v>217</v>
      </c>
      <c r="C240" s="10" t="s">
        <v>212</v>
      </c>
      <c r="D240" s="10">
        <v>0.17399999999999999</v>
      </c>
    </row>
    <row r="241" spans="1:4">
      <c r="A241" s="10" t="s">
        <v>308</v>
      </c>
      <c r="B241" s="10" t="s">
        <v>219</v>
      </c>
      <c r="C241" s="10" t="s">
        <v>212</v>
      </c>
      <c r="D241" s="10">
        <v>0</v>
      </c>
    </row>
    <row r="242" spans="1:4">
      <c r="A242" s="10" t="s">
        <v>308</v>
      </c>
      <c r="B242" s="10" t="s">
        <v>237</v>
      </c>
      <c r="C242" s="10" t="s">
        <v>212</v>
      </c>
      <c r="D242" s="10">
        <v>7.0000000000000001E-3</v>
      </c>
    </row>
    <row r="243" spans="1:4">
      <c r="A243" s="10" t="s">
        <v>308</v>
      </c>
      <c r="B243" s="10" t="s">
        <v>227</v>
      </c>
      <c r="C243" s="10" t="s">
        <v>212</v>
      </c>
      <c r="D243" s="10">
        <v>0.23200000000000001</v>
      </c>
    </row>
    <row r="244" spans="1:4">
      <c r="A244" s="10" t="s">
        <v>308</v>
      </c>
      <c r="B244" s="10" t="s">
        <v>469</v>
      </c>
      <c r="C244" s="10" t="s">
        <v>212</v>
      </c>
      <c r="D244" s="10">
        <v>0</v>
      </c>
    </row>
    <row r="245" spans="1:4">
      <c r="A245" s="10" t="s">
        <v>308</v>
      </c>
      <c r="B245" s="10" t="s">
        <v>470</v>
      </c>
      <c r="C245" s="10" t="s">
        <v>212</v>
      </c>
      <c r="D245" s="10">
        <v>0.58499999999999996</v>
      </c>
    </row>
    <row r="246" spans="1:4">
      <c r="A246" s="10" t="s">
        <v>308</v>
      </c>
      <c r="B246" s="10" t="s">
        <v>228</v>
      </c>
      <c r="C246" s="10" t="s">
        <v>213</v>
      </c>
      <c r="D246" s="10">
        <v>1.921</v>
      </c>
    </row>
    <row r="247" spans="1:4">
      <c r="A247" s="10" t="s">
        <v>308</v>
      </c>
      <c r="B247" s="10" t="s">
        <v>229</v>
      </c>
      <c r="C247" s="10" t="s">
        <v>213</v>
      </c>
      <c r="D247" s="10">
        <v>0.27100000000000002</v>
      </c>
    </row>
    <row r="248" spans="1:4">
      <c r="A248" s="10" t="s">
        <v>308</v>
      </c>
      <c r="B248" s="10" t="s">
        <v>240</v>
      </c>
      <c r="C248" s="10" t="s">
        <v>213</v>
      </c>
      <c r="D248" s="10">
        <v>3.6999999999999998E-2</v>
      </c>
    </row>
    <row r="249" spans="1:4">
      <c r="A249" s="10" t="s">
        <v>308</v>
      </c>
      <c r="B249" s="10" t="s">
        <v>231</v>
      </c>
      <c r="C249" s="10" t="s">
        <v>213</v>
      </c>
      <c r="D249" s="10">
        <v>2.2629999999999999</v>
      </c>
    </row>
    <row r="250" spans="1:4">
      <c r="A250" s="10" t="s">
        <v>308</v>
      </c>
      <c r="B250" s="10" t="s">
        <v>471</v>
      </c>
      <c r="C250" s="10" t="s">
        <v>214</v>
      </c>
      <c r="D250" s="10">
        <v>0.59299999999999997</v>
      </c>
    </row>
    <row r="251" spans="1:4">
      <c r="A251" s="10" t="s">
        <v>308</v>
      </c>
      <c r="B251" s="10" t="s">
        <v>248</v>
      </c>
      <c r="C251" s="10" t="s">
        <v>214</v>
      </c>
      <c r="D251" s="10">
        <v>5.0000000000000001E-3</v>
      </c>
    </row>
    <row r="252" spans="1:4">
      <c r="A252" s="10" t="s">
        <v>308</v>
      </c>
      <c r="B252" s="10" t="s">
        <v>245</v>
      </c>
      <c r="C252" s="10" t="s">
        <v>214</v>
      </c>
      <c r="D252" s="10">
        <v>4.0000000000000001E-3</v>
      </c>
    </row>
    <row r="253" spans="1:4">
      <c r="A253" s="10" t="s">
        <v>308</v>
      </c>
      <c r="B253" s="10" t="s">
        <v>244</v>
      </c>
      <c r="C253" s="10" t="s">
        <v>214</v>
      </c>
      <c r="D253" s="10">
        <v>0.66800000000000004</v>
      </c>
    </row>
    <row r="254" spans="1:4">
      <c r="A254" s="10" t="s">
        <v>308</v>
      </c>
      <c r="B254" s="10" t="s">
        <v>490</v>
      </c>
      <c r="C254" s="10" t="s">
        <v>24</v>
      </c>
      <c r="D254" s="10">
        <v>0.20699999999999999</v>
      </c>
    </row>
    <row r="255" spans="1:4">
      <c r="A255" s="10" t="s">
        <v>308</v>
      </c>
      <c r="B255" s="10" t="s">
        <v>472</v>
      </c>
      <c r="C255" s="10" t="s">
        <v>24</v>
      </c>
      <c r="D255" s="10">
        <v>0.218</v>
      </c>
    </row>
    <row r="256" spans="1:4">
      <c r="A256" s="10" t="s">
        <v>308</v>
      </c>
      <c r="B256" s="10" t="s">
        <v>235</v>
      </c>
      <c r="C256" s="10" t="s">
        <v>276</v>
      </c>
      <c r="D256" s="10">
        <v>1.601</v>
      </c>
    </row>
    <row r="257" spans="1:13">
      <c r="A257" s="10" t="s">
        <v>308</v>
      </c>
      <c r="B257" s="10" t="s">
        <v>236</v>
      </c>
      <c r="C257" s="10" t="s">
        <v>276</v>
      </c>
      <c r="D257" s="10">
        <v>8.4000000000000005E-2</v>
      </c>
    </row>
    <row r="258" spans="1:13">
      <c r="A258" s="10" t="s">
        <v>308</v>
      </c>
      <c r="B258" s="10" t="s">
        <v>233</v>
      </c>
      <c r="C258" s="10" t="s">
        <v>276</v>
      </c>
      <c r="D258" s="10">
        <v>1.329</v>
      </c>
    </row>
    <row r="259" spans="1:13">
      <c r="A259" s="10" t="s">
        <v>308</v>
      </c>
      <c r="B259" s="10" t="s">
        <v>108</v>
      </c>
      <c r="C259" s="10" t="s">
        <v>24</v>
      </c>
      <c r="D259" s="10">
        <v>0.85099999999999998</v>
      </c>
      <c r="F259" s="10" t="s">
        <v>519</v>
      </c>
    </row>
    <row r="260" spans="1:13">
      <c r="A260" s="10" t="s">
        <v>308</v>
      </c>
      <c r="B260" s="10" t="s">
        <v>485</v>
      </c>
      <c r="C260" s="10" t="s">
        <v>24</v>
      </c>
      <c r="D260" s="10">
        <v>0.52800000000000002</v>
      </c>
      <c r="F260" s="10" t="s">
        <v>519</v>
      </c>
    </row>
    <row r="261" spans="1:13">
      <c r="A261" s="10" t="s">
        <v>308</v>
      </c>
      <c r="B261" s="10" t="s">
        <v>481</v>
      </c>
      <c r="C261" s="10" t="s">
        <v>24</v>
      </c>
      <c r="D261" s="10">
        <v>2E-3</v>
      </c>
      <c r="F261" s="10" t="s">
        <v>519</v>
      </c>
    </row>
    <row r="262" spans="1:13">
      <c r="A262" s="10" t="s">
        <v>308</v>
      </c>
      <c r="B262" s="10" t="s">
        <v>475</v>
      </c>
      <c r="C262" s="10" t="s">
        <v>24</v>
      </c>
      <c r="D262" s="10">
        <v>2.548</v>
      </c>
      <c r="F262" s="10" t="s">
        <v>519</v>
      </c>
    </row>
    <row r="263" spans="1:13">
      <c r="A263" s="10" t="s">
        <v>308</v>
      </c>
      <c r="B263" s="10" t="s">
        <v>108</v>
      </c>
      <c r="C263" s="10" t="s">
        <v>473</v>
      </c>
      <c r="D263" s="10">
        <v>0.75</v>
      </c>
      <c r="F263" s="10" t="s">
        <v>519</v>
      </c>
    </row>
    <row r="264" spans="1:13">
      <c r="A264" s="10" t="s">
        <v>308</v>
      </c>
      <c r="B264" s="10" t="s">
        <v>485</v>
      </c>
      <c r="C264" s="10" t="s">
        <v>473</v>
      </c>
      <c r="D264" s="10">
        <v>0.46500000000000002</v>
      </c>
      <c r="F264" s="10" t="s">
        <v>519</v>
      </c>
    </row>
    <row r="265" spans="1:13">
      <c r="A265" s="10" t="s">
        <v>308</v>
      </c>
      <c r="B265" s="10" t="s">
        <v>481</v>
      </c>
      <c r="C265" s="10" t="s">
        <v>473</v>
      </c>
      <c r="D265" s="10">
        <v>2E-3</v>
      </c>
      <c r="F265" s="10" t="s">
        <v>519</v>
      </c>
    </row>
    <row r="266" spans="1:13">
      <c r="A266" s="10" t="s">
        <v>308</v>
      </c>
      <c r="B266" s="10" t="s">
        <v>475</v>
      </c>
      <c r="C266" s="10" t="s">
        <v>473</v>
      </c>
      <c r="D266" s="10">
        <v>2.2480000000000002</v>
      </c>
      <c r="F266" s="10" t="s">
        <v>519</v>
      </c>
    </row>
    <row r="267" spans="1:13">
      <c r="A267" s="10" t="s">
        <v>308</v>
      </c>
      <c r="B267" s="10" t="s">
        <v>481</v>
      </c>
      <c r="C267" s="10" t="s">
        <v>473</v>
      </c>
      <c r="D267" s="10">
        <v>0</v>
      </c>
      <c r="F267" s="10" t="s">
        <v>519</v>
      </c>
    </row>
    <row r="268" spans="1:13">
      <c r="A268" s="10" t="s">
        <v>308</v>
      </c>
      <c r="B268" s="10" t="s">
        <v>107</v>
      </c>
      <c r="C268" s="10" t="s">
        <v>24</v>
      </c>
      <c r="D268" s="10">
        <v>35.646000000000001</v>
      </c>
    </row>
    <row r="269" spans="1:13">
      <c r="A269" s="10" t="s">
        <v>286</v>
      </c>
      <c r="B269" s="10" t="s">
        <v>206</v>
      </c>
      <c r="C269" s="10" t="s">
        <v>276</v>
      </c>
      <c r="D269" s="10">
        <v>115.264</v>
      </c>
      <c r="G269" s="10" t="s">
        <v>303</v>
      </c>
      <c r="H269" s="10">
        <f>SUMIFS(D:D,A:A,G269,C:C,"Heat_District")</f>
        <v>66.616</v>
      </c>
      <c r="I269" s="68"/>
      <c r="J269" s="69"/>
      <c r="K269" s="69"/>
      <c r="L269" s="69"/>
      <c r="M269" s="69"/>
    </row>
    <row r="270" spans="1:13">
      <c r="A270" s="10" t="s">
        <v>286</v>
      </c>
      <c r="B270" s="10" t="s">
        <v>207</v>
      </c>
      <c r="C270" s="10" t="s">
        <v>276</v>
      </c>
      <c r="D270" s="10">
        <v>6.08</v>
      </c>
    </row>
    <row r="271" spans="1:13">
      <c r="A271" s="10" t="s">
        <v>286</v>
      </c>
      <c r="B271" s="10" t="s">
        <v>225</v>
      </c>
      <c r="C271" s="10" t="s">
        <v>276</v>
      </c>
      <c r="D271" s="10">
        <v>125.505</v>
      </c>
    </row>
    <row r="272" spans="1:13">
      <c r="A272" s="10" t="s">
        <v>286</v>
      </c>
      <c r="B272" s="10" t="s">
        <v>217</v>
      </c>
      <c r="C272" s="10" t="s">
        <v>212</v>
      </c>
      <c r="D272" s="10">
        <v>5.8070000000000004</v>
      </c>
    </row>
    <row r="273" spans="1:4">
      <c r="A273" s="10" t="s">
        <v>286</v>
      </c>
      <c r="B273" s="10" t="s">
        <v>219</v>
      </c>
      <c r="C273" s="10" t="s">
        <v>212</v>
      </c>
      <c r="D273" s="10">
        <v>0.40500000000000003</v>
      </c>
    </row>
    <row r="274" spans="1:4">
      <c r="A274" s="10" t="s">
        <v>286</v>
      </c>
      <c r="B274" s="10" t="s">
        <v>237</v>
      </c>
      <c r="C274" s="10" t="s">
        <v>212</v>
      </c>
      <c r="D274" s="10">
        <v>0.33400000000000002</v>
      </c>
    </row>
    <row r="275" spans="1:4">
      <c r="A275" s="10" t="s">
        <v>286</v>
      </c>
      <c r="B275" s="10" t="s">
        <v>227</v>
      </c>
      <c r="C275" s="10" t="s">
        <v>212</v>
      </c>
      <c r="D275" s="10">
        <v>2.2410000000000001</v>
      </c>
    </row>
    <row r="276" spans="1:4">
      <c r="A276" s="10" t="s">
        <v>286</v>
      </c>
      <c r="B276" s="10" t="s">
        <v>469</v>
      </c>
      <c r="C276" s="10" t="s">
        <v>212</v>
      </c>
      <c r="D276" s="10">
        <v>0</v>
      </c>
    </row>
    <row r="277" spans="1:4">
      <c r="A277" s="10" t="s">
        <v>286</v>
      </c>
      <c r="B277" s="10" t="s">
        <v>470</v>
      </c>
      <c r="C277" s="10" t="s">
        <v>212</v>
      </c>
      <c r="D277" s="10">
        <v>0</v>
      </c>
    </row>
    <row r="278" spans="1:4">
      <c r="A278" s="10" t="s">
        <v>286</v>
      </c>
      <c r="B278" s="10" t="s">
        <v>228</v>
      </c>
      <c r="C278" s="10" t="s">
        <v>213</v>
      </c>
      <c r="D278" s="10">
        <v>30.279</v>
      </c>
    </row>
    <row r="279" spans="1:4">
      <c r="A279" s="10" t="s">
        <v>286</v>
      </c>
      <c r="B279" s="10" t="s">
        <v>229</v>
      </c>
      <c r="C279" s="10" t="s">
        <v>213</v>
      </c>
      <c r="D279" s="10">
        <v>2.1680000000000001</v>
      </c>
    </row>
    <row r="280" spans="1:4">
      <c r="A280" s="10" t="s">
        <v>286</v>
      </c>
      <c r="B280" s="10" t="s">
        <v>240</v>
      </c>
      <c r="C280" s="10" t="s">
        <v>213</v>
      </c>
      <c r="D280" s="10">
        <v>3.9529999999999998</v>
      </c>
    </row>
    <row r="281" spans="1:4">
      <c r="A281" s="10" t="s">
        <v>286</v>
      </c>
      <c r="B281" s="10" t="s">
        <v>231</v>
      </c>
      <c r="C281" s="10" t="s">
        <v>213</v>
      </c>
      <c r="D281" s="10">
        <v>33.24</v>
      </c>
    </row>
    <row r="282" spans="1:4">
      <c r="A282" s="10" t="s">
        <v>286</v>
      </c>
      <c r="B282" s="10" t="s">
        <v>471</v>
      </c>
      <c r="C282" s="10" t="s">
        <v>214</v>
      </c>
      <c r="D282" s="10">
        <v>29.376000000000001</v>
      </c>
    </row>
    <row r="283" spans="1:4">
      <c r="A283" s="10" t="s">
        <v>286</v>
      </c>
      <c r="B283" s="10" t="s">
        <v>248</v>
      </c>
      <c r="C283" s="10" t="s">
        <v>214</v>
      </c>
      <c r="D283" s="10">
        <v>5.2530000000000001</v>
      </c>
    </row>
    <row r="284" spans="1:4">
      <c r="A284" s="10" t="s">
        <v>286</v>
      </c>
      <c r="B284" s="10" t="s">
        <v>245</v>
      </c>
      <c r="C284" s="10" t="s">
        <v>214</v>
      </c>
      <c r="D284" s="10">
        <v>18.433</v>
      </c>
    </row>
    <row r="285" spans="1:4">
      <c r="A285" s="10" t="s">
        <v>286</v>
      </c>
      <c r="B285" s="10" t="s">
        <v>244</v>
      </c>
      <c r="C285" s="10" t="s">
        <v>214</v>
      </c>
      <c r="D285" s="10">
        <v>109.49</v>
      </c>
    </row>
    <row r="286" spans="1:4">
      <c r="A286" s="10" t="s">
        <v>286</v>
      </c>
      <c r="B286" s="10" t="s">
        <v>488</v>
      </c>
      <c r="C286" s="10" t="s">
        <v>24</v>
      </c>
      <c r="D286" s="10">
        <v>123.95200000000001</v>
      </c>
    </row>
    <row r="287" spans="1:4">
      <c r="A287" s="10" t="s">
        <v>286</v>
      </c>
      <c r="B287" s="10" t="s">
        <v>490</v>
      </c>
      <c r="C287" s="10" t="s">
        <v>24</v>
      </c>
      <c r="D287" s="10">
        <v>0.26200000000000001</v>
      </c>
    </row>
    <row r="288" spans="1:4">
      <c r="A288" s="10" t="s">
        <v>286</v>
      </c>
      <c r="B288" s="10" t="s">
        <v>163</v>
      </c>
      <c r="C288" s="10" t="s">
        <v>24</v>
      </c>
      <c r="D288" s="10">
        <v>19.266999999999999</v>
      </c>
    </row>
    <row r="289" spans="1:13">
      <c r="A289" s="10" t="s">
        <v>286</v>
      </c>
      <c r="B289" s="10" t="s">
        <v>107</v>
      </c>
      <c r="C289" s="10" t="s">
        <v>24</v>
      </c>
      <c r="D289" s="10">
        <v>136.98300000000003</v>
      </c>
    </row>
    <row r="290" spans="1:13">
      <c r="A290" s="10" t="s">
        <v>286</v>
      </c>
      <c r="B290" s="10" t="s">
        <v>58</v>
      </c>
      <c r="C290" s="10" t="s">
        <v>24</v>
      </c>
      <c r="D290" s="10">
        <v>41.753999999999998</v>
      </c>
    </row>
    <row r="291" spans="1:13">
      <c r="A291" s="10" t="s">
        <v>286</v>
      </c>
      <c r="B291" s="10" t="s">
        <v>23</v>
      </c>
      <c r="C291" s="10" t="s">
        <v>24</v>
      </c>
      <c r="D291" s="10">
        <v>190.191</v>
      </c>
    </row>
    <row r="292" spans="1:13">
      <c r="A292" s="10" t="s">
        <v>286</v>
      </c>
      <c r="B292" s="10" t="s">
        <v>106</v>
      </c>
      <c r="C292" s="10" t="s">
        <v>24</v>
      </c>
      <c r="D292" s="10">
        <v>0</v>
      </c>
    </row>
    <row r="293" spans="1:13">
      <c r="A293" s="10" t="s">
        <v>286</v>
      </c>
      <c r="B293" s="10" t="s">
        <v>235</v>
      </c>
      <c r="C293" s="10" t="s">
        <v>276</v>
      </c>
      <c r="D293" s="10">
        <v>3.4660000000000002</v>
      </c>
    </row>
    <row r="294" spans="1:13">
      <c r="A294" s="10" t="s">
        <v>286</v>
      </c>
      <c r="B294" s="10" t="s">
        <v>236</v>
      </c>
      <c r="C294" s="10" t="s">
        <v>276</v>
      </c>
      <c r="D294" s="10">
        <v>0.182</v>
      </c>
    </row>
    <row r="295" spans="1:13">
      <c r="A295" s="10" t="s">
        <v>286</v>
      </c>
      <c r="B295" s="10" t="s">
        <v>233</v>
      </c>
      <c r="C295" s="10" t="s">
        <v>276</v>
      </c>
      <c r="D295" s="10">
        <v>31.062999999999999</v>
      </c>
    </row>
    <row r="296" spans="1:13">
      <c r="A296" s="10" t="s">
        <v>286</v>
      </c>
      <c r="B296" s="10" t="s">
        <v>108</v>
      </c>
      <c r="C296" s="10" t="s">
        <v>24</v>
      </c>
      <c r="D296" s="10">
        <v>2.3370000000000002</v>
      </c>
      <c r="F296" s="10" t="s">
        <v>519</v>
      </c>
    </row>
    <row r="297" spans="1:13">
      <c r="A297" s="10" t="s">
        <v>286</v>
      </c>
      <c r="B297" s="10" t="s">
        <v>485</v>
      </c>
      <c r="C297" s="10" t="s">
        <v>24</v>
      </c>
      <c r="D297" s="10">
        <v>7.4740000000000002</v>
      </c>
      <c r="F297" s="10" t="s">
        <v>519</v>
      </c>
    </row>
    <row r="298" spans="1:13">
      <c r="A298" s="10" t="s">
        <v>286</v>
      </c>
      <c r="B298" s="10" t="s">
        <v>481</v>
      </c>
      <c r="C298" s="10" t="s">
        <v>24</v>
      </c>
      <c r="D298" s="10">
        <v>84.585999999999999</v>
      </c>
      <c r="F298" s="10" t="s">
        <v>519</v>
      </c>
    </row>
    <row r="299" spans="1:13">
      <c r="A299" s="10" t="s">
        <v>286</v>
      </c>
      <c r="B299" s="10" t="s">
        <v>475</v>
      </c>
      <c r="C299" s="10" t="s">
        <v>24</v>
      </c>
      <c r="D299" s="10">
        <v>9.2530000000000001</v>
      </c>
      <c r="F299" s="10" t="s">
        <v>519</v>
      </c>
    </row>
    <row r="300" spans="1:13">
      <c r="A300" s="10" t="s">
        <v>286</v>
      </c>
      <c r="B300" s="10" t="s">
        <v>108</v>
      </c>
      <c r="C300" s="10" t="s">
        <v>473</v>
      </c>
      <c r="D300" s="10">
        <v>3.177</v>
      </c>
      <c r="F300" s="10" t="s">
        <v>519</v>
      </c>
    </row>
    <row r="301" spans="1:13">
      <c r="A301" s="10" t="s">
        <v>286</v>
      </c>
      <c r="B301" s="10" t="s">
        <v>485</v>
      </c>
      <c r="C301" s="10" t="s">
        <v>473</v>
      </c>
      <c r="D301" s="10">
        <v>10.159000000000001</v>
      </c>
      <c r="F301" s="10" t="s">
        <v>519</v>
      </c>
    </row>
    <row r="302" spans="1:13">
      <c r="A302" s="10" t="s">
        <v>286</v>
      </c>
      <c r="B302" s="10" t="s">
        <v>481</v>
      </c>
      <c r="C302" s="10" t="s">
        <v>473</v>
      </c>
      <c r="D302" s="10">
        <v>114.96299999999999</v>
      </c>
      <c r="F302" s="10" t="s">
        <v>519</v>
      </c>
    </row>
    <row r="303" spans="1:13">
      <c r="A303" s="10" t="s">
        <v>286</v>
      </c>
      <c r="B303" s="10" t="s">
        <v>475</v>
      </c>
      <c r="C303" s="10" t="s">
        <v>473</v>
      </c>
      <c r="D303" s="10">
        <v>12.576000000000001</v>
      </c>
      <c r="F303" s="10" t="s">
        <v>519</v>
      </c>
    </row>
    <row r="304" spans="1:13">
      <c r="A304" s="10" t="s">
        <v>287</v>
      </c>
      <c r="B304" s="10" t="s">
        <v>206</v>
      </c>
      <c r="C304" s="10" t="s">
        <v>276</v>
      </c>
      <c r="D304" s="10">
        <v>57.170999999999999</v>
      </c>
      <c r="G304" s="10" t="s">
        <v>308</v>
      </c>
      <c r="H304" s="10">
        <f>SUMIFS(D:D,A:A,G304,C:C,"Heat_District")</f>
        <v>3.4650000000000003</v>
      </c>
      <c r="I304" s="68"/>
      <c r="J304" s="69"/>
      <c r="K304" s="69"/>
      <c r="L304" s="69"/>
      <c r="M304" s="69"/>
    </row>
    <row r="305" spans="1:4">
      <c r="A305" s="10" t="s">
        <v>287</v>
      </c>
      <c r="B305" s="10" t="s">
        <v>207</v>
      </c>
      <c r="C305" s="10" t="s">
        <v>276</v>
      </c>
      <c r="D305" s="10">
        <v>3.5859999999999999</v>
      </c>
    </row>
    <row r="306" spans="1:4">
      <c r="A306" s="10" t="s">
        <v>287</v>
      </c>
      <c r="B306" s="10" t="s">
        <v>225</v>
      </c>
      <c r="C306" s="10" t="s">
        <v>276</v>
      </c>
      <c r="D306" s="10">
        <v>47.33</v>
      </c>
    </row>
    <row r="307" spans="1:4">
      <c r="A307" s="10" t="s">
        <v>287</v>
      </c>
      <c r="B307" s="10" t="s">
        <v>217</v>
      </c>
      <c r="C307" s="10" t="s">
        <v>212</v>
      </c>
      <c r="D307" s="10">
        <v>2.5539999999999998</v>
      </c>
    </row>
    <row r="308" spans="1:4">
      <c r="A308" s="10" t="s">
        <v>287</v>
      </c>
      <c r="B308" s="10" t="s">
        <v>219</v>
      </c>
      <c r="C308" s="10" t="s">
        <v>212</v>
      </c>
      <c r="D308" s="10">
        <v>0.58099999999999996</v>
      </c>
    </row>
    <row r="309" spans="1:4">
      <c r="A309" s="10" t="s">
        <v>287</v>
      </c>
      <c r="B309" s="10" t="s">
        <v>237</v>
      </c>
      <c r="C309" s="10" t="s">
        <v>212</v>
      </c>
      <c r="D309" s="10">
        <v>0</v>
      </c>
    </row>
    <row r="310" spans="1:4">
      <c r="A310" s="10" t="s">
        <v>287</v>
      </c>
      <c r="B310" s="10" t="s">
        <v>227</v>
      </c>
      <c r="C310" s="10" t="s">
        <v>212</v>
      </c>
      <c r="D310" s="10">
        <v>0.66100000000000003</v>
      </c>
    </row>
    <row r="311" spans="1:4">
      <c r="A311" s="10" t="s">
        <v>287</v>
      </c>
      <c r="B311" s="10" t="s">
        <v>469</v>
      </c>
      <c r="C311" s="10" t="s">
        <v>212</v>
      </c>
      <c r="D311" s="10">
        <v>0</v>
      </c>
    </row>
    <row r="312" spans="1:4">
      <c r="A312" s="10" t="s">
        <v>287</v>
      </c>
      <c r="B312" s="10" t="s">
        <v>470</v>
      </c>
      <c r="C312" s="10" t="s">
        <v>212</v>
      </c>
      <c r="D312" s="10">
        <v>24.652000000000001</v>
      </c>
    </row>
    <row r="313" spans="1:4">
      <c r="A313" s="10" t="s">
        <v>287</v>
      </c>
      <c r="B313" s="10" t="s">
        <v>228</v>
      </c>
      <c r="C313" s="10" t="s">
        <v>213</v>
      </c>
      <c r="D313" s="10">
        <v>105.535</v>
      </c>
    </row>
    <row r="314" spans="1:4">
      <c r="A314" s="10" t="s">
        <v>287</v>
      </c>
      <c r="B314" s="10" t="s">
        <v>229</v>
      </c>
      <c r="C314" s="10" t="s">
        <v>213</v>
      </c>
      <c r="D314" s="10">
        <v>7.2350000000000003</v>
      </c>
    </row>
    <row r="315" spans="1:4">
      <c r="A315" s="10" t="s">
        <v>287</v>
      </c>
      <c r="B315" s="10" t="s">
        <v>240</v>
      </c>
      <c r="C315" s="10" t="s">
        <v>213</v>
      </c>
      <c r="D315" s="10">
        <v>0.42199999999999999</v>
      </c>
    </row>
    <row r="316" spans="1:4">
      <c r="A316" s="10" t="s">
        <v>287</v>
      </c>
      <c r="B316" s="10" t="s">
        <v>231</v>
      </c>
      <c r="C316" s="10" t="s">
        <v>213</v>
      </c>
      <c r="D316" s="10">
        <v>16.744</v>
      </c>
    </row>
    <row r="317" spans="1:4">
      <c r="A317" s="10" t="s">
        <v>287</v>
      </c>
      <c r="B317" s="10" t="s">
        <v>471</v>
      </c>
      <c r="C317" s="10" t="s">
        <v>214</v>
      </c>
      <c r="D317" s="10">
        <v>13.103999999999999</v>
      </c>
    </row>
    <row r="318" spans="1:4">
      <c r="A318" s="10" t="s">
        <v>287</v>
      </c>
      <c r="B318" s="10" t="s">
        <v>248</v>
      </c>
      <c r="C318" s="10" t="s">
        <v>214</v>
      </c>
      <c r="D318" s="10">
        <v>2.032</v>
      </c>
    </row>
    <row r="319" spans="1:4">
      <c r="A319" s="10" t="s">
        <v>287</v>
      </c>
      <c r="B319" s="10" t="s">
        <v>245</v>
      </c>
      <c r="C319" s="10" t="s">
        <v>214</v>
      </c>
      <c r="D319" s="10">
        <v>2.0089999999999999</v>
      </c>
    </row>
    <row r="320" spans="1:4">
      <c r="A320" s="10" t="s">
        <v>287</v>
      </c>
      <c r="B320" s="10" t="s">
        <v>244</v>
      </c>
      <c r="C320" s="10" t="s">
        <v>214</v>
      </c>
      <c r="D320" s="10">
        <v>0.58799999999999997</v>
      </c>
    </row>
    <row r="321" spans="1:6">
      <c r="A321" s="10" t="s">
        <v>287</v>
      </c>
      <c r="B321" s="10" t="s">
        <v>488</v>
      </c>
      <c r="C321" s="10" t="s">
        <v>24</v>
      </c>
      <c r="D321" s="10">
        <v>0.27900000000000003</v>
      </c>
    </row>
    <row r="322" spans="1:6">
      <c r="A322" s="10" t="s">
        <v>287</v>
      </c>
      <c r="B322" s="10" t="s">
        <v>490</v>
      </c>
      <c r="C322" s="10" t="s">
        <v>24</v>
      </c>
      <c r="D322" s="10">
        <v>7.085</v>
      </c>
    </row>
    <row r="323" spans="1:6">
      <c r="A323" s="10" t="s">
        <v>287</v>
      </c>
      <c r="B323" s="10" t="s">
        <v>163</v>
      </c>
      <c r="C323" s="10" t="s">
        <v>24</v>
      </c>
      <c r="D323" s="10">
        <v>8.5980000000000008</v>
      </c>
    </row>
    <row r="324" spans="1:6">
      <c r="A324" s="10" t="s">
        <v>287</v>
      </c>
      <c r="B324" s="10" t="s">
        <v>107</v>
      </c>
      <c r="C324" s="10" t="s">
        <v>24</v>
      </c>
      <c r="D324" s="10">
        <v>17.396999999999998</v>
      </c>
    </row>
    <row r="325" spans="1:6">
      <c r="A325" s="10" t="s">
        <v>287</v>
      </c>
      <c r="B325" s="10" t="s">
        <v>58</v>
      </c>
      <c r="C325" s="10" t="s">
        <v>24</v>
      </c>
      <c r="D325" s="10">
        <v>0.40300000000000002</v>
      </c>
    </row>
    <row r="326" spans="1:6">
      <c r="A326" s="10" t="s">
        <v>287</v>
      </c>
      <c r="B326" s="10" t="s">
        <v>23</v>
      </c>
      <c r="C326" s="10" t="s">
        <v>24</v>
      </c>
      <c r="D326" s="10">
        <v>77.736000000000004</v>
      </c>
    </row>
    <row r="327" spans="1:6">
      <c r="A327" s="10" t="s">
        <v>287</v>
      </c>
      <c r="B327" s="10" t="s">
        <v>235</v>
      </c>
      <c r="C327" s="10" t="s">
        <v>276</v>
      </c>
      <c r="D327" s="10">
        <v>15.029</v>
      </c>
    </row>
    <row r="328" spans="1:6">
      <c r="A328" s="10" t="s">
        <v>287</v>
      </c>
      <c r="B328" s="10" t="s">
        <v>236</v>
      </c>
      <c r="C328" s="10" t="s">
        <v>276</v>
      </c>
      <c r="D328" s="10">
        <v>0.79100000000000004</v>
      </c>
    </row>
    <row r="329" spans="1:6">
      <c r="A329" s="10" t="s">
        <v>287</v>
      </c>
      <c r="B329" s="10" t="s">
        <v>233</v>
      </c>
      <c r="C329" s="10" t="s">
        <v>276</v>
      </c>
      <c r="D329" s="10">
        <v>63.981000000000002</v>
      </c>
    </row>
    <row r="330" spans="1:6">
      <c r="A330" s="10" t="s">
        <v>287</v>
      </c>
      <c r="B330" s="10" t="s">
        <v>108</v>
      </c>
      <c r="C330" s="10" t="s">
        <v>24</v>
      </c>
      <c r="D330" s="10">
        <v>18.850999999999999</v>
      </c>
      <c r="F330" s="10" t="s">
        <v>519</v>
      </c>
    </row>
    <row r="331" spans="1:6">
      <c r="A331" s="10" t="s">
        <v>287</v>
      </c>
      <c r="B331" s="10" t="s">
        <v>485</v>
      </c>
      <c r="C331" s="10" t="s">
        <v>24</v>
      </c>
      <c r="D331" s="10">
        <v>0.42799999999999999</v>
      </c>
      <c r="F331" s="10" t="s">
        <v>519</v>
      </c>
    </row>
    <row r="332" spans="1:6">
      <c r="A332" s="10" t="s">
        <v>287</v>
      </c>
      <c r="B332" s="10" t="s">
        <v>481</v>
      </c>
      <c r="C332" s="10" t="s">
        <v>24</v>
      </c>
      <c r="D332" s="10">
        <v>8.0139999999999993</v>
      </c>
      <c r="F332" s="10" t="s">
        <v>519</v>
      </c>
    </row>
    <row r="333" spans="1:6">
      <c r="A333" s="10" t="s">
        <v>287</v>
      </c>
      <c r="B333" s="10" t="s">
        <v>475</v>
      </c>
      <c r="C333" s="10" t="s">
        <v>24</v>
      </c>
      <c r="D333" s="10">
        <v>51.691000000000003</v>
      </c>
      <c r="F333" s="10" t="s">
        <v>519</v>
      </c>
    </row>
    <row r="334" spans="1:6">
      <c r="A334" s="10" t="s">
        <v>287</v>
      </c>
      <c r="B334" s="10" t="s">
        <v>108</v>
      </c>
      <c r="C334" s="10" t="s">
        <v>473</v>
      </c>
      <c r="D334" s="10">
        <v>56.387999999999998</v>
      </c>
      <c r="F334" s="10" t="s">
        <v>519</v>
      </c>
    </row>
    <row r="335" spans="1:6">
      <c r="A335" s="10" t="s">
        <v>287</v>
      </c>
      <c r="B335" s="10" t="s">
        <v>485</v>
      </c>
      <c r="C335" s="10" t="s">
        <v>473</v>
      </c>
      <c r="D335" s="10">
        <v>1.28</v>
      </c>
      <c r="F335" s="10" t="s">
        <v>519</v>
      </c>
    </row>
    <row r="336" spans="1:6">
      <c r="A336" s="10" t="s">
        <v>287</v>
      </c>
      <c r="B336" s="10" t="s">
        <v>481</v>
      </c>
      <c r="C336" s="10" t="s">
        <v>473</v>
      </c>
      <c r="D336" s="10">
        <v>23.971</v>
      </c>
      <c r="F336" s="10" t="s">
        <v>519</v>
      </c>
    </row>
    <row r="337" spans="1:13">
      <c r="A337" s="10" t="s">
        <v>287</v>
      </c>
      <c r="B337" s="10" t="s">
        <v>475</v>
      </c>
      <c r="C337" s="10" t="s">
        <v>473</v>
      </c>
      <c r="D337" s="10">
        <v>154.62</v>
      </c>
      <c r="F337" s="10" t="s">
        <v>519</v>
      </c>
    </row>
    <row r="338" spans="1:13">
      <c r="A338" s="10" t="s">
        <v>288</v>
      </c>
      <c r="B338" s="10" t="s">
        <v>206</v>
      </c>
      <c r="C338" s="10" t="s">
        <v>276</v>
      </c>
      <c r="D338" s="10">
        <v>252.297</v>
      </c>
      <c r="G338" s="10" t="s">
        <v>286</v>
      </c>
      <c r="H338" s="10">
        <f>SUMIFS(D:D,A:A,G338,C:C,"Heat_District")</f>
        <v>140.875</v>
      </c>
      <c r="I338" s="68"/>
      <c r="J338" s="69"/>
      <c r="K338" s="69"/>
      <c r="L338" s="69"/>
      <c r="M338" s="69"/>
    </row>
    <row r="339" spans="1:13">
      <c r="A339" s="10" t="s">
        <v>288</v>
      </c>
      <c r="B339" s="10" t="s">
        <v>207</v>
      </c>
      <c r="C339" s="10" t="s">
        <v>276</v>
      </c>
      <c r="D339" s="10">
        <v>11.715</v>
      </c>
    </row>
    <row r="340" spans="1:13">
      <c r="A340" s="10" t="s">
        <v>288</v>
      </c>
      <c r="B340" s="10" t="s">
        <v>225</v>
      </c>
      <c r="C340" s="10" t="s">
        <v>276</v>
      </c>
      <c r="D340" s="10">
        <v>284.73200000000003</v>
      </c>
    </row>
    <row r="341" spans="1:13">
      <c r="A341" s="10" t="s">
        <v>288</v>
      </c>
      <c r="B341" s="10" t="s">
        <v>217</v>
      </c>
      <c r="C341" s="10" t="s">
        <v>212</v>
      </c>
      <c r="D341" s="10">
        <v>3.9470000000000001</v>
      </c>
    </row>
    <row r="342" spans="1:13">
      <c r="A342" s="10" t="s">
        <v>288</v>
      </c>
      <c r="B342" s="10" t="s">
        <v>219</v>
      </c>
      <c r="C342" s="10" t="s">
        <v>212</v>
      </c>
      <c r="D342" s="10">
        <v>3.2429999999999999</v>
      </c>
    </row>
    <row r="343" spans="1:13">
      <c r="A343" s="10" t="s">
        <v>288</v>
      </c>
      <c r="B343" s="10" t="s">
        <v>237</v>
      </c>
      <c r="C343" s="10" t="s">
        <v>212</v>
      </c>
      <c r="D343" s="10">
        <v>0.245</v>
      </c>
    </row>
    <row r="344" spans="1:13">
      <c r="A344" s="10" t="s">
        <v>288</v>
      </c>
      <c r="B344" s="10" t="s">
        <v>227</v>
      </c>
      <c r="C344" s="10" t="s">
        <v>212</v>
      </c>
      <c r="D344" s="10">
        <v>4.7990000000000004</v>
      </c>
    </row>
    <row r="345" spans="1:13">
      <c r="A345" s="10" t="s">
        <v>288</v>
      </c>
      <c r="B345" s="10" t="s">
        <v>469</v>
      </c>
      <c r="C345" s="10" t="s">
        <v>212</v>
      </c>
      <c r="D345" s="10">
        <v>13.217000000000001</v>
      </c>
    </row>
    <row r="346" spans="1:13">
      <c r="A346" s="10" t="s">
        <v>288</v>
      </c>
      <c r="B346" s="10" t="s">
        <v>470</v>
      </c>
      <c r="C346" s="10" t="s">
        <v>212</v>
      </c>
      <c r="D346" s="10">
        <v>3.1349999999999998</v>
      </c>
    </row>
    <row r="347" spans="1:13">
      <c r="A347" s="10" t="s">
        <v>288</v>
      </c>
      <c r="B347" s="10" t="s">
        <v>228</v>
      </c>
      <c r="C347" s="10" t="s">
        <v>213</v>
      </c>
      <c r="D347" s="10">
        <v>25.928000000000001</v>
      </c>
    </row>
    <row r="348" spans="1:13">
      <c r="A348" s="10" t="s">
        <v>288</v>
      </c>
      <c r="B348" s="10" t="s">
        <v>229</v>
      </c>
      <c r="C348" s="10" t="s">
        <v>213</v>
      </c>
      <c r="D348" s="10">
        <v>11.782</v>
      </c>
    </row>
    <row r="349" spans="1:13">
      <c r="A349" s="10" t="s">
        <v>288</v>
      </c>
      <c r="B349" s="10" t="s">
        <v>240</v>
      </c>
      <c r="C349" s="10" t="s">
        <v>213</v>
      </c>
      <c r="D349" s="10">
        <v>4.8600000000000003</v>
      </c>
    </row>
    <row r="350" spans="1:13">
      <c r="A350" s="10" t="s">
        <v>288</v>
      </c>
      <c r="B350" s="10" t="s">
        <v>231</v>
      </c>
      <c r="C350" s="10" t="s">
        <v>213</v>
      </c>
      <c r="D350" s="10">
        <v>34.853999999999999</v>
      </c>
    </row>
    <row r="351" spans="1:13">
      <c r="A351" s="10" t="s">
        <v>288</v>
      </c>
      <c r="B351" s="10" t="s">
        <v>471</v>
      </c>
      <c r="C351" s="10" t="s">
        <v>214</v>
      </c>
      <c r="D351" s="10">
        <v>98.391999999999996</v>
      </c>
    </row>
    <row r="352" spans="1:13">
      <c r="A352" s="10" t="s">
        <v>288</v>
      </c>
      <c r="B352" s="10" t="s">
        <v>248</v>
      </c>
      <c r="C352" s="10" t="s">
        <v>214</v>
      </c>
      <c r="D352" s="10">
        <v>6.0430000000000001</v>
      </c>
    </row>
    <row r="353" spans="1:6">
      <c r="A353" s="10" t="s">
        <v>288</v>
      </c>
      <c r="B353" s="10" t="s">
        <v>245</v>
      </c>
      <c r="C353" s="10" t="s">
        <v>214</v>
      </c>
      <c r="D353" s="10">
        <v>11.667</v>
      </c>
    </row>
    <row r="354" spans="1:6">
      <c r="A354" s="10" t="s">
        <v>288</v>
      </c>
      <c r="B354" s="10" t="s">
        <v>244</v>
      </c>
      <c r="C354" s="10" t="s">
        <v>214</v>
      </c>
      <c r="D354" s="10">
        <v>93.680999999999997</v>
      </c>
    </row>
    <row r="355" spans="1:6">
      <c r="A355" s="10" t="s">
        <v>288</v>
      </c>
      <c r="B355" s="10" t="s">
        <v>488</v>
      </c>
      <c r="C355" s="10" t="s">
        <v>24</v>
      </c>
      <c r="D355" s="10">
        <v>77</v>
      </c>
    </row>
    <row r="356" spans="1:6">
      <c r="A356" s="10" t="s">
        <v>288</v>
      </c>
      <c r="B356" s="10" t="s">
        <v>489</v>
      </c>
      <c r="C356" s="10" t="s">
        <v>24</v>
      </c>
      <c r="D356" s="10">
        <v>0.26500000000000001</v>
      </c>
      <c r="F356" s="10" t="s">
        <v>520</v>
      </c>
    </row>
    <row r="357" spans="1:6">
      <c r="A357" s="10" t="s">
        <v>288</v>
      </c>
      <c r="B357" s="10" t="s">
        <v>490</v>
      </c>
      <c r="C357" s="10" t="s">
        <v>24</v>
      </c>
      <c r="D357" s="10">
        <v>1.0069999999999999</v>
      </c>
    </row>
    <row r="358" spans="1:6">
      <c r="A358" s="10" t="s">
        <v>288</v>
      </c>
      <c r="B358" s="10" t="s">
        <v>163</v>
      </c>
      <c r="C358" s="10" t="s">
        <v>24</v>
      </c>
      <c r="D358" s="10">
        <v>29.951000000000001</v>
      </c>
    </row>
    <row r="359" spans="1:6">
      <c r="A359" s="10" t="s">
        <v>288</v>
      </c>
      <c r="B359" s="10" t="s">
        <v>107</v>
      </c>
      <c r="C359" s="10" t="s">
        <v>24</v>
      </c>
      <c r="D359" s="10">
        <v>35.412999999999997</v>
      </c>
      <c r="F359" s="10" t="s">
        <v>520</v>
      </c>
    </row>
    <row r="360" spans="1:6">
      <c r="A360" s="10" t="s">
        <v>288</v>
      </c>
      <c r="B360" s="10" t="s">
        <v>58</v>
      </c>
      <c r="C360" s="10" t="s">
        <v>24</v>
      </c>
      <c r="D360" s="10">
        <v>17.821000000000002</v>
      </c>
      <c r="F360" s="10" t="s">
        <v>520</v>
      </c>
    </row>
    <row r="361" spans="1:6">
      <c r="A361" s="10" t="s">
        <v>288</v>
      </c>
      <c r="B361" s="10" t="s">
        <v>23</v>
      </c>
      <c r="C361" s="10" t="s">
        <v>24</v>
      </c>
      <c r="D361" s="10">
        <v>1486.5909999999999</v>
      </c>
      <c r="F361" s="10" t="s">
        <v>520</v>
      </c>
    </row>
    <row r="362" spans="1:6">
      <c r="A362" s="10" t="s">
        <v>288</v>
      </c>
      <c r="B362" s="10" t="s">
        <v>235</v>
      </c>
      <c r="C362" s="10" t="s">
        <v>276</v>
      </c>
      <c r="D362" s="10">
        <v>70.061999999999998</v>
      </c>
    </row>
    <row r="363" spans="1:6">
      <c r="A363" s="10" t="s">
        <v>288</v>
      </c>
      <c r="B363" s="10" t="s">
        <v>236</v>
      </c>
      <c r="C363" s="10" t="s">
        <v>276</v>
      </c>
      <c r="D363" s="10">
        <v>3.6869999999999998</v>
      </c>
    </row>
    <row r="364" spans="1:6">
      <c r="A364" s="10" t="s">
        <v>288</v>
      </c>
      <c r="B364" s="10" t="s">
        <v>233</v>
      </c>
      <c r="C364" s="10" t="s">
        <v>276</v>
      </c>
      <c r="D364" s="10">
        <v>167.36799999999999</v>
      </c>
    </row>
    <row r="365" spans="1:6">
      <c r="A365" s="10" t="s">
        <v>288</v>
      </c>
      <c r="B365" s="10" t="s">
        <v>108</v>
      </c>
      <c r="C365" s="10" t="s">
        <v>24</v>
      </c>
      <c r="D365" s="10">
        <v>2.5409999999999999</v>
      </c>
      <c r="F365" s="10" t="s">
        <v>519</v>
      </c>
    </row>
    <row r="366" spans="1:6">
      <c r="A366" s="10" t="s">
        <v>288</v>
      </c>
      <c r="B366" s="10" t="s">
        <v>485</v>
      </c>
      <c r="C366" s="10" t="s">
        <v>24</v>
      </c>
      <c r="D366" s="10">
        <v>2.7629999999999999</v>
      </c>
      <c r="F366" s="10" t="s">
        <v>519</v>
      </c>
    </row>
    <row r="367" spans="1:6">
      <c r="A367" s="10" t="s">
        <v>288</v>
      </c>
      <c r="B367" s="10" t="s">
        <v>481</v>
      </c>
      <c r="C367" s="10" t="s">
        <v>24</v>
      </c>
      <c r="D367" s="10">
        <v>31.888000000000002</v>
      </c>
      <c r="F367" s="10" t="s">
        <v>519</v>
      </c>
    </row>
    <row r="368" spans="1:6">
      <c r="A368" s="10" t="s">
        <v>288</v>
      </c>
      <c r="B368" s="10" t="s">
        <v>475</v>
      </c>
      <c r="C368" s="10" t="s">
        <v>24</v>
      </c>
      <c r="D368" s="10">
        <v>18.716999999999999</v>
      </c>
      <c r="F368" s="10" t="s">
        <v>519</v>
      </c>
    </row>
    <row r="369" spans="1:13">
      <c r="A369" s="10" t="s">
        <v>288</v>
      </c>
      <c r="B369" s="10" t="s">
        <v>108</v>
      </c>
      <c r="C369" s="10" t="s">
        <v>473</v>
      </c>
      <c r="D369" s="10">
        <v>7.2069999999999999</v>
      </c>
      <c r="F369" s="10" t="s">
        <v>519</v>
      </c>
    </row>
    <row r="370" spans="1:13">
      <c r="A370" s="10" t="s">
        <v>288</v>
      </c>
      <c r="B370" s="10" t="s">
        <v>485</v>
      </c>
      <c r="C370" s="10" t="s">
        <v>473</v>
      </c>
      <c r="D370" s="10">
        <v>7.8360000000000003</v>
      </c>
      <c r="F370" s="10" t="s">
        <v>519</v>
      </c>
    </row>
    <row r="371" spans="1:13">
      <c r="A371" s="10" t="s">
        <v>288</v>
      </c>
      <c r="B371" s="10" t="s">
        <v>481</v>
      </c>
      <c r="C371" s="10" t="s">
        <v>473</v>
      </c>
      <c r="D371" s="10">
        <v>90.424999999999997</v>
      </c>
      <c r="F371" s="10" t="s">
        <v>519</v>
      </c>
    </row>
    <row r="372" spans="1:13">
      <c r="A372" s="10" t="s">
        <v>288</v>
      </c>
      <c r="B372" s="10" t="s">
        <v>475</v>
      </c>
      <c r="C372" s="10" t="s">
        <v>473</v>
      </c>
      <c r="D372" s="10">
        <v>53.076999999999998</v>
      </c>
      <c r="F372" s="10" t="s">
        <v>519</v>
      </c>
    </row>
    <row r="373" spans="1:13">
      <c r="A373" s="10" t="s">
        <v>289</v>
      </c>
      <c r="B373" s="10" t="s">
        <v>206</v>
      </c>
      <c r="C373" s="10" t="s">
        <v>276</v>
      </c>
      <c r="D373" s="10">
        <v>36.741</v>
      </c>
      <c r="G373" s="10" t="s">
        <v>288</v>
      </c>
      <c r="H373" s="10">
        <f>SUMIFS(D:D,A:A,G373,C:C,"Heat_District")</f>
        <v>158.54499999999999</v>
      </c>
      <c r="I373" s="68"/>
      <c r="J373" s="69"/>
      <c r="K373" s="69"/>
      <c r="L373" s="69"/>
      <c r="M373" s="69"/>
    </row>
    <row r="374" spans="1:13">
      <c r="A374" s="10" t="s">
        <v>289</v>
      </c>
      <c r="B374" s="10" t="s">
        <v>207</v>
      </c>
      <c r="C374" s="10" t="s">
        <v>276</v>
      </c>
      <c r="D374" s="10">
        <v>0.86199999999999999</v>
      </c>
    </row>
    <row r="375" spans="1:13">
      <c r="A375" s="10" t="s">
        <v>289</v>
      </c>
      <c r="B375" s="10" t="s">
        <v>225</v>
      </c>
      <c r="C375" s="10" t="s">
        <v>276</v>
      </c>
      <c r="D375" s="10">
        <v>70.959000000000003</v>
      </c>
    </row>
    <row r="376" spans="1:13">
      <c r="A376" s="10" t="s">
        <v>289</v>
      </c>
      <c r="B376" s="10" t="s">
        <v>217</v>
      </c>
      <c r="C376" s="10" t="s">
        <v>212</v>
      </c>
      <c r="D376" s="10">
        <v>2.8980000000000001</v>
      </c>
    </row>
    <row r="377" spans="1:13">
      <c r="A377" s="10" t="s">
        <v>289</v>
      </c>
      <c r="B377" s="10" t="s">
        <v>219</v>
      </c>
      <c r="C377" s="10" t="s">
        <v>212</v>
      </c>
      <c r="D377" s="10">
        <v>0.48799999999999999</v>
      </c>
    </row>
    <row r="378" spans="1:13">
      <c r="A378" s="10" t="s">
        <v>289</v>
      </c>
      <c r="B378" s="10" t="s">
        <v>237</v>
      </c>
      <c r="C378" s="10" t="s">
        <v>212</v>
      </c>
      <c r="D378" s="10">
        <v>4.0000000000000001E-3</v>
      </c>
    </row>
    <row r="379" spans="1:13">
      <c r="A379" s="10" t="s">
        <v>289</v>
      </c>
      <c r="B379" s="10" t="s">
        <v>227</v>
      </c>
      <c r="C379" s="10" t="s">
        <v>212</v>
      </c>
      <c r="D379" s="10">
        <v>1.2569999999999999</v>
      </c>
    </row>
    <row r="380" spans="1:13">
      <c r="A380" s="10" t="s">
        <v>289</v>
      </c>
      <c r="B380" s="10" t="s">
        <v>469</v>
      </c>
      <c r="C380" s="10" t="s">
        <v>212</v>
      </c>
      <c r="D380" s="10">
        <v>0.64300000000000002</v>
      </c>
    </row>
    <row r="381" spans="1:13">
      <c r="A381" s="10" t="s">
        <v>289</v>
      </c>
      <c r="B381" s="10" t="s">
        <v>470</v>
      </c>
      <c r="C381" s="10" t="s">
        <v>212</v>
      </c>
      <c r="D381" s="10">
        <v>0</v>
      </c>
    </row>
    <row r="382" spans="1:13">
      <c r="A382" s="10" t="s">
        <v>289</v>
      </c>
      <c r="B382" s="10" t="s">
        <v>228</v>
      </c>
      <c r="C382" s="10" t="s">
        <v>213</v>
      </c>
      <c r="D382" s="10">
        <v>2.5470000000000002</v>
      </c>
    </row>
    <row r="383" spans="1:13">
      <c r="A383" s="10" t="s">
        <v>289</v>
      </c>
      <c r="B383" s="10" t="s">
        <v>229</v>
      </c>
      <c r="C383" s="10" t="s">
        <v>213</v>
      </c>
      <c r="D383" s="10">
        <v>1.738</v>
      </c>
    </row>
    <row r="384" spans="1:13">
      <c r="A384" s="10" t="s">
        <v>289</v>
      </c>
      <c r="B384" s="10" t="s">
        <v>240</v>
      </c>
      <c r="C384" s="10" t="s">
        <v>213</v>
      </c>
      <c r="D384" s="10">
        <v>4.1000000000000002E-2</v>
      </c>
    </row>
    <row r="385" spans="1:6">
      <c r="A385" s="10" t="s">
        <v>289</v>
      </c>
      <c r="B385" s="10" t="s">
        <v>231</v>
      </c>
      <c r="C385" s="10" t="s">
        <v>213</v>
      </c>
      <c r="D385" s="10">
        <v>8.4600000000000009</v>
      </c>
    </row>
    <row r="386" spans="1:6">
      <c r="A386" s="10" t="s">
        <v>289</v>
      </c>
      <c r="B386" s="10" t="s">
        <v>471</v>
      </c>
      <c r="C386" s="10" t="s">
        <v>214</v>
      </c>
      <c r="D386" s="10">
        <v>3.7930000000000001</v>
      </c>
    </row>
    <row r="387" spans="1:6">
      <c r="A387" s="10" t="s">
        <v>289</v>
      </c>
      <c r="B387" s="10" t="s">
        <v>248</v>
      </c>
      <c r="C387" s="10" t="s">
        <v>214</v>
      </c>
      <c r="D387" s="10">
        <v>0.60199999999999998</v>
      </c>
    </row>
    <row r="388" spans="1:6">
      <c r="A388" s="10" t="s">
        <v>289</v>
      </c>
      <c r="B388" s="10" t="s">
        <v>245</v>
      </c>
      <c r="C388" s="10" t="s">
        <v>214</v>
      </c>
      <c r="D388" s="10">
        <v>2.1819999999999999</v>
      </c>
    </row>
    <row r="389" spans="1:6">
      <c r="A389" s="10" t="s">
        <v>289</v>
      </c>
      <c r="B389" s="10" t="s">
        <v>244</v>
      </c>
      <c r="C389" s="10" t="s">
        <v>214</v>
      </c>
      <c r="D389" s="10">
        <v>5.9240000000000004</v>
      </c>
    </row>
    <row r="390" spans="1:6">
      <c r="A390" s="10" t="s">
        <v>289</v>
      </c>
      <c r="B390" s="10" t="s">
        <v>488</v>
      </c>
      <c r="C390" s="10" t="s">
        <v>24</v>
      </c>
      <c r="D390" s="10">
        <v>45.577999999999996</v>
      </c>
    </row>
    <row r="391" spans="1:6">
      <c r="A391" s="10" t="s">
        <v>289</v>
      </c>
      <c r="B391" s="10" t="s">
        <v>490</v>
      </c>
      <c r="C391" s="10" t="s">
        <v>24</v>
      </c>
      <c r="D391" s="10">
        <v>0.85599999999999998</v>
      </c>
    </row>
    <row r="392" spans="1:6">
      <c r="A392" s="10" t="s">
        <v>289</v>
      </c>
      <c r="B392" s="10" t="s">
        <v>163</v>
      </c>
      <c r="C392" s="10" t="s">
        <v>24</v>
      </c>
      <c r="D392" s="10">
        <v>1.6679999999999999</v>
      </c>
    </row>
    <row r="393" spans="1:6">
      <c r="A393" s="10" t="s">
        <v>289</v>
      </c>
      <c r="B393" s="10" t="s">
        <v>58</v>
      </c>
      <c r="C393" s="10" t="s">
        <v>24</v>
      </c>
      <c r="D393" s="10">
        <v>15.974</v>
      </c>
    </row>
    <row r="394" spans="1:6">
      <c r="A394" s="10" t="s">
        <v>289</v>
      </c>
      <c r="B394" s="10" t="s">
        <v>106</v>
      </c>
      <c r="C394" s="10" t="s">
        <v>24</v>
      </c>
      <c r="D394" s="10">
        <v>60.476999999999997</v>
      </c>
    </row>
    <row r="395" spans="1:6">
      <c r="A395" s="10" t="s">
        <v>289</v>
      </c>
      <c r="B395" s="10" t="s">
        <v>235</v>
      </c>
      <c r="C395" s="10" t="s">
        <v>276</v>
      </c>
      <c r="D395" s="10">
        <v>4.72</v>
      </c>
    </row>
    <row r="396" spans="1:6">
      <c r="A396" s="10" t="s">
        <v>289</v>
      </c>
      <c r="B396" s="10" t="s">
        <v>236</v>
      </c>
      <c r="C396" s="10" t="s">
        <v>276</v>
      </c>
      <c r="D396" s="10">
        <v>0.248</v>
      </c>
    </row>
    <row r="397" spans="1:6">
      <c r="A397" s="10" t="s">
        <v>289</v>
      </c>
      <c r="B397" s="10" t="s">
        <v>233</v>
      </c>
      <c r="C397" s="10" t="s">
        <v>276</v>
      </c>
      <c r="D397" s="10">
        <v>2.734</v>
      </c>
    </row>
    <row r="398" spans="1:6">
      <c r="A398" s="10" t="s">
        <v>289</v>
      </c>
      <c r="B398" s="10" t="s">
        <v>108</v>
      </c>
      <c r="C398" s="10" t="s">
        <v>24</v>
      </c>
      <c r="D398" s="10">
        <v>1.0189999999999999</v>
      </c>
      <c r="F398" s="10" t="s">
        <v>519</v>
      </c>
    </row>
    <row r="399" spans="1:6">
      <c r="A399" s="10" t="s">
        <v>289</v>
      </c>
      <c r="B399" s="10" t="s">
        <v>485</v>
      </c>
      <c r="C399" s="10" t="s">
        <v>24</v>
      </c>
      <c r="D399" s="10">
        <v>2.669</v>
      </c>
      <c r="F399" s="10" t="s">
        <v>519</v>
      </c>
    </row>
    <row r="400" spans="1:6">
      <c r="A400" s="10" t="s">
        <v>289</v>
      </c>
      <c r="B400" s="10" t="s">
        <v>481</v>
      </c>
      <c r="C400" s="10" t="s">
        <v>24</v>
      </c>
      <c r="D400" s="10">
        <v>3.9660000000000002</v>
      </c>
      <c r="F400" s="10" t="s">
        <v>519</v>
      </c>
    </row>
    <row r="401" spans="1:13">
      <c r="A401" s="10" t="s">
        <v>289</v>
      </c>
      <c r="B401" s="10" t="s">
        <v>475</v>
      </c>
      <c r="C401" s="10" t="s">
        <v>24</v>
      </c>
      <c r="D401" s="10">
        <v>4.8000000000000001E-2</v>
      </c>
      <c r="F401" s="10" t="s">
        <v>519</v>
      </c>
    </row>
    <row r="402" spans="1:13">
      <c r="A402" s="10" t="s">
        <v>289</v>
      </c>
      <c r="B402" s="10" t="s">
        <v>108</v>
      </c>
      <c r="C402" s="10" t="s">
        <v>473</v>
      </c>
      <c r="D402" s="10">
        <v>2.0699999999999998</v>
      </c>
      <c r="F402" s="10" t="s">
        <v>519</v>
      </c>
    </row>
    <row r="403" spans="1:13">
      <c r="A403" s="10" t="s">
        <v>289</v>
      </c>
      <c r="B403" s="10" t="s">
        <v>485</v>
      </c>
      <c r="C403" s="10" t="s">
        <v>473</v>
      </c>
      <c r="D403" s="10">
        <v>5.4240000000000004</v>
      </c>
      <c r="F403" s="10" t="s">
        <v>519</v>
      </c>
    </row>
    <row r="404" spans="1:13">
      <c r="A404" s="10" t="s">
        <v>289</v>
      </c>
      <c r="B404" s="10" t="s">
        <v>481</v>
      </c>
      <c r="C404" s="10" t="s">
        <v>473</v>
      </c>
      <c r="D404" s="10">
        <v>8.0589999999999993</v>
      </c>
      <c r="F404" s="10" t="s">
        <v>519</v>
      </c>
    </row>
    <row r="405" spans="1:13">
      <c r="A405" s="10" t="s">
        <v>289</v>
      </c>
      <c r="B405" s="10" t="s">
        <v>475</v>
      </c>
      <c r="C405" s="10" t="s">
        <v>473</v>
      </c>
      <c r="D405" s="10">
        <v>9.8000000000000004E-2</v>
      </c>
      <c r="F405" s="10" t="s">
        <v>519</v>
      </c>
    </row>
    <row r="406" spans="1:13">
      <c r="A406" s="10" t="s">
        <v>290</v>
      </c>
      <c r="B406" s="10" t="s">
        <v>206</v>
      </c>
      <c r="C406" s="10" t="s">
        <v>276</v>
      </c>
      <c r="D406" s="10">
        <v>16.202000000000002</v>
      </c>
      <c r="G406" s="10" t="s">
        <v>282</v>
      </c>
      <c r="H406" s="10">
        <f>SUMIFS(D:D,A:A,G406,C:C,"Heat_District")</f>
        <v>0</v>
      </c>
      <c r="I406" s="68"/>
      <c r="J406" s="69"/>
      <c r="K406" s="69"/>
      <c r="L406" s="69"/>
      <c r="M406" s="69"/>
    </row>
    <row r="407" spans="1:13">
      <c r="A407" s="10" t="s">
        <v>290</v>
      </c>
      <c r="B407" s="10" t="s">
        <v>207</v>
      </c>
      <c r="C407" s="10" t="s">
        <v>276</v>
      </c>
      <c r="D407" s="10">
        <v>0.52300000000000002</v>
      </c>
    </row>
    <row r="408" spans="1:13">
      <c r="A408" s="10" t="s">
        <v>290</v>
      </c>
      <c r="B408" s="10" t="s">
        <v>225</v>
      </c>
      <c r="C408" s="10" t="s">
        <v>276</v>
      </c>
      <c r="D408" s="10">
        <v>7.6040000000000001</v>
      </c>
    </row>
    <row r="409" spans="1:13">
      <c r="A409" s="10" t="s">
        <v>290</v>
      </c>
      <c r="B409" s="10" t="s">
        <v>217</v>
      </c>
      <c r="C409" s="10" t="s">
        <v>212</v>
      </c>
      <c r="D409" s="10">
        <v>0.129</v>
      </c>
    </row>
    <row r="410" spans="1:13">
      <c r="A410" s="10" t="s">
        <v>290</v>
      </c>
      <c r="B410" s="10" t="s">
        <v>219</v>
      </c>
      <c r="C410" s="10" t="s">
        <v>212</v>
      </c>
      <c r="D410" s="10">
        <v>0.3</v>
      </c>
    </row>
    <row r="411" spans="1:13">
      <c r="A411" s="10" t="s">
        <v>290</v>
      </c>
      <c r="B411" s="10" t="s">
        <v>237</v>
      </c>
      <c r="C411" s="10" t="s">
        <v>212</v>
      </c>
      <c r="D411" s="10">
        <v>0.04</v>
      </c>
    </row>
    <row r="412" spans="1:13">
      <c r="A412" s="10" t="s">
        <v>290</v>
      </c>
      <c r="B412" s="10" t="s">
        <v>227</v>
      </c>
      <c r="C412" s="10" t="s">
        <v>212</v>
      </c>
      <c r="D412" s="10">
        <v>0.41499999999999998</v>
      </c>
    </row>
    <row r="413" spans="1:13">
      <c r="A413" s="10" t="s">
        <v>290</v>
      </c>
      <c r="B413" s="10" t="s">
        <v>469</v>
      </c>
      <c r="C413" s="10" t="s">
        <v>212</v>
      </c>
      <c r="D413" s="10">
        <v>1.3460000000000001</v>
      </c>
    </row>
    <row r="414" spans="1:13">
      <c r="A414" s="10" t="s">
        <v>290</v>
      </c>
      <c r="B414" s="10" t="s">
        <v>470</v>
      </c>
      <c r="C414" s="10" t="s">
        <v>212</v>
      </c>
      <c r="D414" s="10">
        <v>1.161</v>
      </c>
    </row>
    <row r="415" spans="1:13">
      <c r="A415" s="10" t="s">
        <v>290</v>
      </c>
      <c r="B415" s="10" t="s">
        <v>228</v>
      </c>
      <c r="C415" s="10" t="s">
        <v>213</v>
      </c>
      <c r="D415" s="10">
        <v>1.5980000000000001</v>
      </c>
    </row>
    <row r="416" spans="1:13">
      <c r="A416" s="10" t="s">
        <v>290</v>
      </c>
      <c r="B416" s="10" t="s">
        <v>229</v>
      </c>
      <c r="C416" s="10" t="s">
        <v>213</v>
      </c>
      <c r="D416" s="10">
        <v>1.079</v>
      </c>
    </row>
    <row r="417" spans="1:6">
      <c r="A417" s="10" t="s">
        <v>290</v>
      </c>
      <c r="B417" s="10" t="s">
        <v>240</v>
      </c>
      <c r="C417" s="10" t="s">
        <v>213</v>
      </c>
      <c r="D417" s="10">
        <v>0.13700000000000001</v>
      </c>
    </row>
    <row r="418" spans="1:6">
      <c r="A418" s="10" t="s">
        <v>290</v>
      </c>
      <c r="B418" s="10" t="s">
        <v>231</v>
      </c>
      <c r="C418" s="10" t="s">
        <v>213</v>
      </c>
      <c r="D418" s="10">
        <v>3.4689999999999999</v>
      </c>
    </row>
    <row r="419" spans="1:6">
      <c r="A419" s="10" t="s">
        <v>290</v>
      </c>
      <c r="B419" s="10" t="s">
        <v>471</v>
      </c>
      <c r="C419" s="10" t="s">
        <v>214</v>
      </c>
      <c r="D419" s="10">
        <v>2.61</v>
      </c>
    </row>
    <row r="420" spans="1:6">
      <c r="A420" s="10" t="s">
        <v>290</v>
      </c>
      <c r="B420" s="10" t="s">
        <v>248</v>
      </c>
      <c r="C420" s="10" t="s">
        <v>214</v>
      </c>
      <c r="D420" s="10">
        <v>2.3E-2</v>
      </c>
    </row>
    <row r="421" spans="1:6">
      <c r="A421" s="10" t="s">
        <v>290</v>
      </c>
      <c r="B421" s="10" t="s">
        <v>245</v>
      </c>
      <c r="C421" s="10" t="s">
        <v>214</v>
      </c>
      <c r="D421" s="10">
        <v>1.4999999999999999E-2</v>
      </c>
    </row>
    <row r="422" spans="1:6">
      <c r="A422" s="10" t="s">
        <v>290</v>
      </c>
      <c r="B422" s="10" t="s">
        <v>244</v>
      </c>
      <c r="C422" s="10" t="s">
        <v>214</v>
      </c>
      <c r="D422" s="10">
        <v>5.0720000000000001</v>
      </c>
    </row>
    <row r="423" spans="1:6">
      <c r="A423" s="10" t="s">
        <v>290</v>
      </c>
      <c r="B423" s="10" t="s">
        <v>488</v>
      </c>
      <c r="C423" s="10" t="s">
        <v>24</v>
      </c>
      <c r="D423" s="10">
        <v>2.7030000000000012</v>
      </c>
    </row>
    <row r="424" spans="1:6">
      <c r="A424" s="10" t="s">
        <v>290</v>
      </c>
      <c r="B424" s="10" t="s">
        <v>163</v>
      </c>
      <c r="C424" s="10" t="s">
        <v>24</v>
      </c>
      <c r="D424" s="10">
        <v>1.857</v>
      </c>
    </row>
    <row r="425" spans="1:6">
      <c r="A425" s="10" t="s">
        <v>290</v>
      </c>
      <c r="B425" s="10" t="s">
        <v>107</v>
      </c>
      <c r="C425" s="10" t="s">
        <v>24</v>
      </c>
      <c r="D425" s="10">
        <v>4.5369999999999999</v>
      </c>
    </row>
    <row r="426" spans="1:6">
      <c r="A426" s="10" t="s">
        <v>290</v>
      </c>
      <c r="B426" s="10" t="s">
        <v>58</v>
      </c>
      <c r="C426" s="10" t="s">
        <v>24</v>
      </c>
      <c r="D426" s="10">
        <v>0.17100000000000001</v>
      </c>
    </row>
    <row r="427" spans="1:6">
      <c r="A427" s="10" t="s">
        <v>290</v>
      </c>
      <c r="B427" s="10" t="s">
        <v>235</v>
      </c>
      <c r="C427" s="10" t="s">
        <v>276</v>
      </c>
      <c r="D427" s="10">
        <v>1E-3</v>
      </c>
    </row>
    <row r="428" spans="1:6">
      <c r="A428" s="10" t="s">
        <v>290</v>
      </c>
      <c r="B428" s="10" t="s">
        <v>236</v>
      </c>
      <c r="C428" s="10" t="s">
        <v>276</v>
      </c>
      <c r="D428" s="10">
        <v>0</v>
      </c>
    </row>
    <row r="429" spans="1:6">
      <c r="A429" s="10" t="s">
        <v>290</v>
      </c>
      <c r="B429" s="10" t="s">
        <v>233</v>
      </c>
      <c r="C429" s="10" t="s">
        <v>276</v>
      </c>
      <c r="D429" s="10">
        <v>2.6019999999999999</v>
      </c>
    </row>
    <row r="430" spans="1:6">
      <c r="A430" s="10" t="s">
        <v>290</v>
      </c>
      <c r="B430" s="10" t="s">
        <v>108</v>
      </c>
      <c r="C430" s="10" t="s">
        <v>24</v>
      </c>
      <c r="D430" s="10">
        <v>0.113</v>
      </c>
      <c r="F430" s="10" t="s">
        <v>519</v>
      </c>
    </row>
    <row r="431" spans="1:6">
      <c r="A431" s="10" t="s">
        <v>290</v>
      </c>
      <c r="B431" s="10" t="s">
        <v>485</v>
      </c>
      <c r="C431" s="10" t="s">
        <v>24</v>
      </c>
      <c r="D431" s="10">
        <v>0.56999999999999995</v>
      </c>
      <c r="F431" s="10" t="s">
        <v>519</v>
      </c>
    </row>
    <row r="432" spans="1:6">
      <c r="A432" s="10" t="s">
        <v>290</v>
      </c>
      <c r="B432" s="10" t="s">
        <v>481</v>
      </c>
      <c r="C432" s="10" t="s">
        <v>24</v>
      </c>
      <c r="D432" s="10">
        <v>5.3789999999999996</v>
      </c>
      <c r="F432" s="10" t="s">
        <v>519</v>
      </c>
    </row>
    <row r="433" spans="1:13">
      <c r="A433" s="10" t="s">
        <v>290</v>
      </c>
      <c r="B433" s="10" t="s">
        <v>475</v>
      </c>
      <c r="C433" s="10" t="s">
        <v>24</v>
      </c>
      <c r="D433" s="10">
        <v>1.115</v>
      </c>
      <c r="F433" s="10" t="s">
        <v>519</v>
      </c>
    </row>
    <row r="434" spans="1:13">
      <c r="A434" s="10" t="s">
        <v>290</v>
      </c>
      <c r="B434" s="10" t="s">
        <v>108</v>
      </c>
      <c r="C434" s="10" t="s">
        <v>473</v>
      </c>
      <c r="D434" s="10">
        <v>0.247</v>
      </c>
      <c r="F434" s="10" t="s">
        <v>519</v>
      </c>
    </row>
    <row r="435" spans="1:13">
      <c r="A435" s="10" t="s">
        <v>290</v>
      </c>
      <c r="B435" s="10" t="s">
        <v>485</v>
      </c>
      <c r="C435" s="10" t="s">
        <v>473</v>
      </c>
      <c r="D435" s="10">
        <v>1.2509999999999999</v>
      </c>
      <c r="F435" s="10" t="s">
        <v>519</v>
      </c>
    </row>
    <row r="436" spans="1:13">
      <c r="A436" s="10" t="s">
        <v>290</v>
      </c>
      <c r="B436" s="10" t="s">
        <v>481</v>
      </c>
      <c r="C436" s="10" t="s">
        <v>473</v>
      </c>
      <c r="D436" s="10">
        <v>11.808999999999999</v>
      </c>
      <c r="F436" s="10" t="s">
        <v>519</v>
      </c>
    </row>
    <row r="437" spans="1:13">
      <c r="A437" s="10" t="s">
        <v>290</v>
      </c>
      <c r="B437" s="10" t="s">
        <v>475</v>
      </c>
      <c r="C437" s="10" t="s">
        <v>473</v>
      </c>
      <c r="D437" s="10">
        <v>2.4470000000000001</v>
      </c>
      <c r="F437" s="10" t="s">
        <v>519</v>
      </c>
    </row>
    <row r="438" spans="1:13">
      <c r="A438" s="10" t="s">
        <v>291</v>
      </c>
      <c r="B438" s="10" t="s">
        <v>206</v>
      </c>
      <c r="C438" s="10" t="s">
        <v>276</v>
      </c>
      <c r="D438" s="10">
        <v>31.724</v>
      </c>
      <c r="G438" s="10" t="s">
        <v>289</v>
      </c>
      <c r="H438" s="10">
        <f>SUMIFS(D:D,A:A,G438,C:C,"Heat_District")</f>
        <v>15.651</v>
      </c>
      <c r="I438" s="68"/>
      <c r="J438" s="69"/>
      <c r="K438" s="69"/>
      <c r="L438" s="69"/>
      <c r="M438" s="69"/>
    </row>
    <row r="439" spans="1:13">
      <c r="A439" s="10" t="s">
        <v>291</v>
      </c>
      <c r="B439" s="10" t="s">
        <v>207</v>
      </c>
      <c r="C439" s="10" t="s">
        <v>276</v>
      </c>
      <c r="D439" s="10">
        <v>5.8979999999999997</v>
      </c>
    </row>
    <row r="440" spans="1:13">
      <c r="A440" s="10" t="s">
        <v>291</v>
      </c>
      <c r="B440" s="10" t="s">
        <v>225</v>
      </c>
      <c r="C440" s="10" t="s">
        <v>276</v>
      </c>
      <c r="D440" s="10">
        <v>0.39900000000000002</v>
      </c>
    </row>
    <row r="441" spans="1:13">
      <c r="A441" s="10" t="s">
        <v>291</v>
      </c>
      <c r="B441" s="10" t="s">
        <v>217</v>
      </c>
      <c r="C441" s="10" t="s">
        <v>212</v>
      </c>
      <c r="D441" s="10">
        <v>1.0049999999999999</v>
      </c>
    </row>
    <row r="442" spans="1:13">
      <c r="A442" s="10" t="s">
        <v>291</v>
      </c>
      <c r="B442" s="10" t="s">
        <v>219</v>
      </c>
      <c r="C442" s="10" t="s">
        <v>212</v>
      </c>
      <c r="D442" s="10">
        <v>0.16300000000000001</v>
      </c>
    </row>
    <row r="443" spans="1:13">
      <c r="A443" s="10" t="s">
        <v>291</v>
      </c>
      <c r="B443" s="10" t="s">
        <v>237</v>
      </c>
      <c r="C443" s="10" t="s">
        <v>212</v>
      </c>
      <c r="D443" s="10">
        <v>7.0999999999999994E-2</v>
      </c>
    </row>
    <row r="444" spans="1:13">
      <c r="A444" s="10" t="s">
        <v>291</v>
      </c>
      <c r="B444" s="10" t="s">
        <v>227</v>
      </c>
      <c r="C444" s="10" t="s">
        <v>212</v>
      </c>
      <c r="D444" s="10">
        <v>5.2999999999999999E-2</v>
      </c>
    </row>
    <row r="445" spans="1:13">
      <c r="A445" s="10" t="s">
        <v>291</v>
      </c>
      <c r="B445" s="10" t="s">
        <v>469</v>
      </c>
      <c r="C445" s="10" t="s">
        <v>212</v>
      </c>
      <c r="D445" s="10">
        <v>2.089</v>
      </c>
    </row>
    <row r="446" spans="1:13">
      <c r="A446" s="10" t="s">
        <v>291</v>
      </c>
      <c r="B446" s="10" t="s">
        <v>470</v>
      </c>
      <c r="C446" s="10" t="s">
        <v>212</v>
      </c>
      <c r="D446" s="10">
        <v>12.218999999999999</v>
      </c>
    </row>
    <row r="447" spans="1:13">
      <c r="A447" s="10" t="s">
        <v>291</v>
      </c>
      <c r="B447" s="10" t="s">
        <v>228</v>
      </c>
      <c r="C447" s="10" t="s">
        <v>213</v>
      </c>
      <c r="D447" s="10">
        <v>1.609</v>
      </c>
    </row>
    <row r="448" spans="1:13">
      <c r="A448" s="10" t="s">
        <v>291</v>
      </c>
      <c r="B448" s="10" t="s">
        <v>229</v>
      </c>
      <c r="C448" s="10" t="s">
        <v>213</v>
      </c>
      <c r="D448" s="10">
        <v>0.90800000000000003</v>
      </c>
    </row>
    <row r="449" spans="1:4">
      <c r="A449" s="10" t="s">
        <v>291</v>
      </c>
      <c r="B449" s="10" t="s">
        <v>240</v>
      </c>
      <c r="C449" s="10" t="s">
        <v>213</v>
      </c>
      <c r="D449" s="10">
        <v>0.36599999999999999</v>
      </c>
    </row>
    <row r="450" spans="1:4">
      <c r="A450" s="10" t="s">
        <v>291</v>
      </c>
      <c r="B450" s="10" t="s">
        <v>231</v>
      </c>
      <c r="C450" s="10" t="s">
        <v>213</v>
      </c>
      <c r="D450" s="10">
        <v>0.20499999999999999</v>
      </c>
    </row>
    <row r="451" spans="1:4">
      <c r="A451" s="10" t="s">
        <v>291</v>
      </c>
      <c r="B451" s="10" t="s">
        <v>471</v>
      </c>
      <c r="C451" s="10" t="s">
        <v>214</v>
      </c>
      <c r="D451" s="10">
        <v>14.435</v>
      </c>
    </row>
    <row r="452" spans="1:4">
      <c r="A452" s="10" t="s">
        <v>291</v>
      </c>
      <c r="B452" s="10" t="s">
        <v>248</v>
      </c>
      <c r="C452" s="10" t="s">
        <v>214</v>
      </c>
      <c r="D452" s="10">
        <v>0.252</v>
      </c>
    </row>
    <row r="453" spans="1:4">
      <c r="A453" s="10" t="s">
        <v>291</v>
      </c>
      <c r="B453" s="10" t="s">
        <v>245</v>
      </c>
      <c r="C453" s="10" t="s">
        <v>214</v>
      </c>
      <c r="D453" s="10">
        <v>0.24299999999999999</v>
      </c>
    </row>
    <row r="454" spans="1:4">
      <c r="A454" s="10" t="s">
        <v>291</v>
      </c>
      <c r="B454" s="10" t="s">
        <v>244</v>
      </c>
      <c r="C454" s="10" t="s">
        <v>214</v>
      </c>
      <c r="D454" s="10">
        <v>12.55</v>
      </c>
    </row>
    <row r="455" spans="1:4">
      <c r="A455" s="10" t="s">
        <v>291</v>
      </c>
      <c r="B455" s="10" t="s">
        <v>488</v>
      </c>
      <c r="C455" s="10" t="s">
        <v>24</v>
      </c>
      <c r="D455" s="10">
        <v>5.9999999999999982</v>
      </c>
    </row>
    <row r="456" spans="1:4">
      <c r="A456" s="10" t="s">
        <v>291</v>
      </c>
      <c r="B456" s="10" t="s">
        <v>489</v>
      </c>
      <c r="C456" s="10" t="s">
        <v>24</v>
      </c>
      <c r="D456" s="10">
        <v>2.8109999999999999</v>
      </c>
    </row>
    <row r="457" spans="1:4">
      <c r="A457" s="10" t="s">
        <v>291</v>
      </c>
      <c r="B457" s="10" t="s">
        <v>490</v>
      </c>
      <c r="C457" s="10" t="s">
        <v>24</v>
      </c>
      <c r="D457" s="10">
        <v>6.52</v>
      </c>
    </row>
    <row r="458" spans="1:4">
      <c r="A458" s="10" t="s">
        <v>291</v>
      </c>
      <c r="B458" s="10" t="s">
        <v>163</v>
      </c>
      <c r="C458" s="10" t="s">
        <v>24</v>
      </c>
      <c r="D458" s="10">
        <v>3.5790000000000002</v>
      </c>
    </row>
    <row r="459" spans="1:4">
      <c r="A459" s="10" t="s">
        <v>291</v>
      </c>
      <c r="B459" s="10" t="s">
        <v>58</v>
      </c>
      <c r="C459" s="10" t="s">
        <v>24</v>
      </c>
      <c r="D459" s="10">
        <v>0.25900000000000001</v>
      </c>
    </row>
    <row r="460" spans="1:4">
      <c r="A460" s="10" t="s">
        <v>291</v>
      </c>
      <c r="B460" s="10" t="s">
        <v>23</v>
      </c>
      <c r="C460" s="10" t="s">
        <v>24</v>
      </c>
      <c r="D460" s="10">
        <v>53.658000000000001</v>
      </c>
    </row>
    <row r="461" spans="1:4">
      <c r="A461" s="10" t="s">
        <v>291</v>
      </c>
      <c r="B461" s="10" t="s">
        <v>106</v>
      </c>
      <c r="C461" s="10" t="s">
        <v>24</v>
      </c>
      <c r="D461" s="10">
        <v>17.827999999999999</v>
      </c>
    </row>
    <row r="462" spans="1:4">
      <c r="A462" s="10" t="s">
        <v>291</v>
      </c>
      <c r="B462" s="10" t="s">
        <v>235</v>
      </c>
      <c r="C462" s="10" t="s">
        <v>276</v>
      </c>
      <c r="D462" s="10">
        <v>1E-3</v>
      </c>
    </row>
    <row r="463" spans="1:4">
      <c r="A463" s="10" t="s">
        <v>291</v>
      </c>
      <c r="B463" s="10" t="s">
        <v>236</v>
      </c>
      <c r="C463" s="10" t="s">
        <v>276</v>
      </c>
      <c r="D463" s="10">
        <v>0</v>
      </c>
    </row>
    <row r="464" spans="1:4">
      <c r="A464" s="10" t="s">
        <v>291</v>
      </c>
      <c r="B464" s="10" t="s">
        <v>233</v>
      </c>
      <c r="C464" s="10" t="s">
        <v>276</v>
      </c>
      <c r="D464" s="10">
        <v>5.6609999999999996</v>
      </c>
    </row>
    <row r="465" spans="1:13">
      <c r="A465" s="10" t="s">
        <v>291</v>
      </c>
      <c r="B465" s="10" t="s">
        <v>108</v>
      </c>
      <c r="C465" s="10" t="s">
        <v>24</v>
      </c>
      <c r="D465" s="10">
        <v>1.3029999999999999</v>
      </c>
      <c r="F465" s="10" t="s">
        <v>519</v>
      </c>
    </row>
    <row r="466" spans="1:13">
      <c r="A466" s="10" t="s">
        <v>291</v>
      </c>
      <c r="B466" s="10" t="s">
        <v>485</v>
      </c>
      <c r="C466" s="10" t="s">
        <v>24</v>
      </c>
      <c r="D466" s="10">
        <v>3.0000000000000001E-3</v>
      </c>
      <c r="F466" s="10" t="s">
        <v>519</v>
      </c>
    </row>
    <row r="467" spans="1:13">
      <c r="A467" s="10" t="s">
        <v>291</v>
      </c>
      <c r="B467" s="10" t="s">
        <v>481</v>
      </c>
      <c r="C467" s="10" t="s">
        <v>24</v>
      </c>
      <c r="D467" s="10">
        <v>10.787000000000001</v>
      </c>
      <c r="F467" s="10" t="s">
        <v>519</v>
      </c>
    </row>
    <row r="468" spans="1:13">
      <c r="A468" s="10" t="s">
        <v>291</v>
      </c>
      <c r="B468" s="10" t="s">
        <v>475</v>
      </c>
      <c r="C468" s="10" t="s">
        <v>24</v>
      </c>
      <c r="D468" s="10">
        <v>2.2320000000000002</v>
      </c>
      <c r="F468" s="10" t="s">
        <v>519</v>
      </c>
    </row>
    <row r="469" spans="1:13">
      <c r="A469" s="10" t="s">
        <v>291</v>
      </c>
      <c r="B469" s="10" t="s">
        <v>108</v>
      </c>
      <c r="C469" s="10" t="s">
        <v>473</v>
      </c>
      <c r="D469" s="10">
        <v>2.0819999999999999</v>
      </c>
      <c r="F469" s="10" t="s">
        <v>519</v>
      </c>
    </row>
    <row r="470" spans="1:13">
      <c r="A470" s="10" t="s">
        <v>291</v>
      </c>
      <c r="B470" s="10" t="s">
        <v>485</v>
      </c>
      <c r="C470" s="10" t="s">
        <v>473</v>
      </c>
      <c r="D470" s="10">
        <v>4.0000000000000001E-3</v>
      </c>
      <c r="F470" s="10" t="s">
        <v>519</v>
      </c>
    </row>
    <row r="471" spans="1:13">
      <c r="A471" s="10" t="s">
        <v>291</v>
      </c>
      <c r="B471" s="10" t="s">
        <v>481</v>
      </c>
      <c r="C471" s="10" t="s">
        <v>473</v>
      </c>
      <c r="D471" s="10">
        <v>17.239999999999998</v>
      </c>
      <c r="F471" s="10" t="s">
        <v>519</v>
      </c>
    </row>
    <row r="472" spans="1:13">
      <c r="A472" s="10" t="s">
        <v>291</v>
      </c>
      <c r="B472" s="10" t="s">
        <v>475</v>
      </c>
      <c r="C472" s="10" t="s">
        <v>473</v>
      </c>
      <c r="D472" s="10">
        <v>3.5659999999999998</v>
      </c>
      <c r="F472" s="10" t="s">
        <v>519</v>
      </c>
    </row>
    <row r="473" spans="1:13">
      <c r="A473" s="10" t="s">
        <v>291</v>
      </c>
      <c r="B473" s="10" t="s">
        <v>485</v>
      </c>
      <c r="C473" s="10" t="s">
        <v>473</v>
      </c>
      <c r="D473" s="10">
        <v>0</v>
      </c>
      <c r="F473" s="10" t="s">
        <v>519</v>
      </c>
    </row>
    <row r="474" spans="1:13">
      <c r="A474" s="10" t="s">
        <v>291</v>
      </c>
      <c r="B474" s="10" t="s">
        <v>485</v>
      </c>
      <c r="C474" s="10" t="s">
        <v>24</v>
      </c>
      <c r="D474" s="10">
        <v>0</v>
      </c>
      <c r="F474" s="10" t="s">
        <v>519</v>
      </c>
    </row>
    <row r="475" spans="1:13">
      <c r="A475" s="10" t="s">
        <v>292</v>
      </c>
      <c r="B475" s="10" t="s">
        <v>206</v>
      </c>
      <c r="C475" s="10" t="s">
        <v>276</v>
      </c>
      <c r="D475" s="10">
        <v>2.069</v>
      </c>
      <c r="G475" s="10" t="s">
        <v>290</v>
      </c>
      <c r="H475" s="10">
        <f>SUMIFS(D:D,A:A,G475,C:C,"Heat_District")</f>
        <v>15.753999999999998</v>
      </c>
      <c r="I475" s="68"/>
      <c r="J475" s="69"/>
      <c r="K475" s="69"/>
      <c r="L475" s="69"/>
      <c r="M475" s="69"/>
    </row>
    <row r="476" spans="1:13">
      <c r="A476" s="10" t="s">
        <v>292</v>
      </c>
      <c r="B476" s="10" t="s">
        <v>207</v>
      </c>
      <c r="C476" s="10" t="s">
        <v>276</v>
      </c>
      <c r="D476" s="10">
        <v>21.027999999999999</v>
      </c>
    </row>
    <row r="477" spans="1:13">
      <c r="A477" s="10" t="s">
        <v>292</v>
      </c>
      <c r="B477" s="10" t="s">
        <v>225</v>
      </c>
      <c r="C477" s="10" t="s">
        <v>276</v>
      </c>
      <c r="D477" s="10">
        <v>59.253999999999998</v>
      </c>
    </row>
    <row r="478" spans="1:13">
      <c r="A478" s="10" t="s">
        <v>292</v>
      </c>
      <c r="B478" s="10" t="s">
        <v>217</v>
      </c>
      <c r="C478" s="10" t="s">
        <v>212</v>
      </c>
      <c r="D478" s="10">
        <v>1.1870000000000001</v>
      </c>
    </row>
    <row r="479" spans="1:13">
      <c r="A479" s="10" t="s">
        <v>292</v>
      </c>
      <c r="B479" s="10" t="s">
        <v>219</v>
      </c>
      <c r="C479" s="10" t="s">
        <v>212</v>
      </c>
      <c r="D479" s="10">
        <v>3.3000000000000002E-2</v>
      </c>
    </row>
    <row r="480" spans="1:13">
      <c r="A480" s="10" t="s">
        <v>292</v>
      </c>
      <c r="B480" s="10" t="s">
        <v>237</v>
      </c>
      <c r="C480" s="10" t="s">
        <v>212</v>
      </c>
      <c r="D480" s="10">
        <v>4.2000000000000003E-2</v>
      </c>
    </row>
    <row r="481" spans="1:4">
      <c r="A481" s="10" t="s">
        <v>292</v>
      </c>
      <c r="B481" s="10" t="s">
        <v>227</v>
      </c>
      <c r="C481" s="10" t="s">
        <v>212</v>
      </c>
      <c r="D481" s="10">
        <v>1.125</v>
      </c>
    </row>
    <row r="482" spans="1:4">
      <c r="A482" s="10" t="s">
        <v>292</v>
      </c>
      <c r="B482" s="10" t="s">
        <v>469</v>
      </c>
      <c r="C482" s="10" t="s">
        <v>212</v>
      </c>
      <c r="D482" s="10">
        <v>1.8779999999999999</v>
      </c>
    </row>
    <row r="483" spans="1:4">
      <c r="A483" s="10" t="s">
        <v>292</v>
      </c>
      <c r="B483" s="10" t="s">
        <v>470</v>
      </c>
      <c r="C483" s="10" t="s">
        <v>212</v>
      </c>
      <c r="D483" s="10">
        <v>0</v>
      </c>
    </row>
    <row r="484" spans="1:4">
      <c r="A484" s="10" t="s">
        <v>292</v>
      </c>
      <c r="B484" s="10" t="s">
        <v>228</v>
      </c>
      <c r="C484" s="10" t="s">
        <v>213</v>
      </c>
      <c r="D484" s="10">
        <v>4.3310000000000004</v>
      </c>
    </row>
    <row r="485" spans="1:4">
      <c r="A485" s="10" t="s">
        <v>292</v>
      </c>
      <c r="B485" s="10" t="s">
        <v>229</v>
      </c>
      <c r="C485" s="10" t="s">
        <v>213</v>
      </c>
      <c r="D485" s="10">
        <v>1.0940000000000001</v>
      </c>
    </row>
    <row r="486" spans="1:4">
      <c r="A486" s="10" t="s">
        <v>292</v>
      </c>
      <c r="B486" s="10" t="s">
        <v>240</v>
      </c>
      <c r="C486" s="10" t="s">
        <v>213</v>
      </c>
      <c r="D486" s="10">
        <v>0.28499999999999998</v>
      </c>
    </row>
    <row r="487" spans="1:4">
      <c r="A487" s="10" t="s">
        <v>292</v>
      </c>
      <c r="B487" s="10" t="s">
        <v>231</v>
      </c>
      <c r="C487" s="10" t="s">
        <v>213</v>
      </c>
      <c r="D487" s="10">
        <v>9.5269999999999992</v>
      </c>
    </row>
    <row r="488" spans="1:4">
      <c r="A488" s="10" t="s">
        <v>292</v>
      </c>
      <c r="B488" s="10" t="s">
        <v>471</v>
      </c>
      <c r="C488" s="10" t="s">
        <v>214</v>
      </c>
      <c r="D488" s="10">
        <v>1.774</v>
      </c>
    </row>
    <row r="489" spans="1:4">
      <c r="A489" s="10" t="s">
        <v>292</v>
      </c>
      <c r="B489" s="10" t="s">
        <v>248</v>
      </c>
      <c r="C489" s="10" t="s">
        <v>214</v>
      </c>
      <c r="D489" s="10">
        <v>0.11700000000000001</v>
      </c>
    </row>
    <row r="490" spans="1:4">
      <c r="A490" s="10" t="s">
        <v>292</v>
      </c>
      <c r="B490" s="10" t="s">
        <v>245</v>
      </c>
      <c r="C490" s="10" t="s">
        <v>214</v>
      </c>
      <c r="D490" s="10">
        <v>0</v>
      </c>
    </row>
    <row r="491" spans="1:4">
      <c r="A491" s="10" t="s">
        <v>292</v>
      </c>
      <c r="B491" s="10" t="s">
        <v>244</v>
      </c>
      <c r="C491" s="10" t="s">
        <v>214</v>
      </c>
      <c r="D491" s="10">
        <v>8.9019999999999992</v>
      </c>
    </row>
    <row r="492" spans="1:4">
      <c r="A492" s="10" t="s">
        <v>292</v>
      </c>
      <c r="B492" s="10" t="s">
        <v>488</v>
      </c>
      <c r="C492" s="10" t="s">
        <v>24</v>
      </c>
      <c r="D492" s="10">
        <v>42.811999999999998</v>
      </c>
    </row>
    <row r="493" spans="1:4">
      <c r="A493" s="10" t="s">
        <v>292</v>
      </c>
      <c r="B493" s="10" t="s">
        <v>489</v>
      </c>
      <c r="C493" s="10" t="s">
        <v>24</v>
      </c>
      <c r="D493" s="10">
        <v>0.08</v>
      </c>
    </row>
    <row r="494" spans="1:4">
      <c r="A494" s="10" t="s">
        <v>292</v>
      </c>
      <c r="B494" s="10" t="s">
        <v>490</v>
      </c>
      <c r="C494" s="10" t="s">
        <v>24</v>
      </c>
      <c r="D494" s="10">
        <v>7.49</v>
      </c>
    </row>
    <row r="495" spans="1:4">
      <c r="A495" s="10" t="s">
        <v>292</v>
      </c>
      <c r="B495" s="10" t="s">
        <v>163</v>
      </c>
      <c r="C495" s="10" t="s">
        <v>24</v>
      </c>
      <c r="D495" s="10">
        <v>2.9049999999999998</v>
      </c>
    </row>
    <row r="496" spans="1:4">
      <c r="A496" s="10" t="s">
        <v>292</v>
      </c>
      <c r="B496" s="10" t="s">
        <v>107</v>
      </c>
      <c r="C496" s="10" t="s">
        <v>24</v>
      </c>
      <c r="D496" s="10">
        <v>13.784000000000001</v>
      </c>
    </row>
    <row r="497" spans="1:13">
      <c r="A497" s="10" t="s">
        <v>292</v>
      </c>
      <c r="B497" s="10" t="s">
        <v>58</v>
      </c>
      <c r="C497" s="10" t="s">
        <v>24</v>
      </c>
      <c r="D497" s="10">
        <v>0.40200000000000002</v>
      </c>
    </row>
    <row r="498" spans="1:13">
      <c r="A498" s="10" t="s">
        <v>292</v>
      </c>
      <c r="B498" s="10" t="s">
        <v>235</v>
      </c>
      <c r="C498" s="10" t="s">
        <v>276</v>
      </c>
      <c r="D498" s="10">
        <v>1.4419999999999999</v>
      </c>
    </row>
    <row r="499" spans="1:13">
      <c r="A499" s="10" t="s">
        <v>292</v>
      </c>
      <c r="B499" s="10" t="s">
        <v>236</v>
      </c>
      <c r="C499" s="10" t="s">
        <v>276</v>
      </c>
      <c r="D499" s="10">
        <v>7.5999999999999998E-2</v>
      </c>
    </row>
    <row r="500" spans="1:13">
      <c r="A500" s="10" t="s">
        <v>292</v>
      </c>
      <c r="B500" s="10" t="s">
        <v>233</v>
      </c>
      <c r="C500" s="10" t="s">
        <v>276</v>
      </c>
      <c r="D500" s="10">
        <v>5.7649999999999997</v>
      </c>
    </row>
    <row r="501" spans="1:13">
      <c r="A501" s="10" t="s">
        <v>292</v>
      </c>
      <c r="B501" s="10" t="s">
        <v>108</v>
      </c>
      <c r="C501" s="10" t="s">
        <v>24</v>
      </c>
      <c r="D501" s="10">
        <v>0.192</v>
      </c>
      <c r="F501" s="10" t="s">
        <v>519</v>
      </c>
    </row>
    <row r="502" spans="1:13">
      <c r="A502" s="10" t="s">
        <v>292</v>
      </c>
      <c r="B502" s="10" t="s">
        <v>481</v>
      </c>
      <c r="C502" s="10" t="s">
        <v>24</v>
      </c>
      <c r="D502" s="10">
        <v>7.218</v>
      </c>
      <c r="F502" s="10" t="s">
        <v>519</v>
      </c>
    </row>
    <row r="503" spans="1:13">
      <c r="A503" s="10" t="s">
        <v>292</v>
      </c>
      <c r="B503" s="10" t="s">
        <v>475</v>
      </c>
      <c r="C503" s="10" t="s">
        <v>24</v>
      </c>
      <c r="D503" s="10">
        <v>0.248</v>
      </c>
      <c r="F503" s="10" t="s">
        <v>519</v>
      </c>
    </row>
    <row r="504" spans="1:13">
      <c r="A504" s="10" t="s">
        <v>292</v>
      </c>
      <c r="B504" s="10" t="s">
        <v>108</v>
      </c>
      <c r="C504" s="10" t="s">
        <v>473</v>
      </c>
      <c r="D504" s="10">
        <v>0.28999999999999998</v>
      </c>
      <c r="F504" s="10" t="s">
        <v>519</v>
      </c>
    </row>
    <row r="505" spans="1:13">
      <c r="A505" s="10" t="s">
        <v>292</v>
      </c>
      <c r="B505" s="10" t="s">
        <v>481</v>
      </c>
      <c r="C505" s="10" t="s">
        <v>473</v>
      </c>
      <c r="D505" s="10">
        <v>10.936</v>
      </c>
      <c r="F505" s="10" t="s">
        <v>519</v>
      </c>
    </row>
    <row r="506" spans="1:13">
      <c r="A506" s="10" t="s">
        <v>292</v>
      </c>
      <c r="B506" s="10" t="s">
        <v>475</v>
      </c>
      <c r="C506" s="10" t="s">
        <v>473</v>
      </c>
      <c r="D506" s="10">
        <v>0.375</v>
      </c>
      <c r="F506" s="10" t="s">
        <v>519</v>
      </c>
    </row>
    <row r="507" spans="1:13">
      <c r="A507" s="10" t="s">
        <v>292</v>
      </c>
      <c r="B507" s="10" t="s">
        <v>485</v>
      </c>
      <c r="C507" s="10" t="s">
        <v>473</v>
      </c>
      <c r="D507" s="10">
        <v>0</v>
      </c>
      <c r="F507" s="10" t="s">
        <v>519</v>
      </c>
    </row>
    <row r="508" spans="1:13">
      <c r="A508" s="10" t="s">
        <v>292</v>
      </c>
      <c r="B508" s="10" t="s">
        <v>485</v>
      </c>
      <c r="C508" s="10" t="s">
        <v>24</v>
      </c>
      <c r="D508" s="10">
        <v>0</v>
      </c>
      <c r="F508" s="10" t="s">
        <v>519</v>
      </c>
    </row>
    <row r="509" spans="1:13">
      <c r="A509" s="10" t="s">
        <v>293</v>
      </c>
      <c r="B509" s="10" t="s">
        <v>206</v>
      </c>
      <c r="C509" s="10" t="s">
        <v>276</v>
      </c>
      <c r="D509" s="10">
        <v>297.14</v>
      </c>
      <c r="G509" s="10" t="s">
        <v>291</v>
      </c>
      <c r="H509" s="10">
        <f>SUMIFS(D:D,A:A,G509,C:C,"Heat_District")</f>
        <v>22.891999999999996</v>
      </c>
      <c r="I509" s="68"/>
      <c r="J509" s="69"/>
      <c r="K509" s="69"/>
      <c r="L509" s="69"/>
      <c r="M509" s="69"/>
    </row>
    <row r="510" spans="1:13">
      <c r="A510" s="10" t="s">
        <v>293</v>
      </c>
      <c r="B510" s="10" t="s">
        <v>207</v>
      </c>
      <c r="C510" s="10" t="s">
        <v>276</v>
      </c>
      <c r="D510" s="10">
        <v>3.1560000000000001</v>
      </c>
    </row>
    <row r="511" spans="1:13">
      <c r="A511" s="10" t="s">
        <v>293</v>
      </c>
      <c r="B511" s="10" t="s">
        <v>225</v>
      </c>
      <c r="C511" s="10" t="s">
        <v>276</v>
      </c>
      <c r="D511" s="10">
        <v>78.129000000000005</v>
      </c>
    </row>
    <row r="512" spans="1:13">
      <c r="A512" s="10" t="s">
        <v>293</v>
      </c>
      <c r="B512" s="10" t="s">
        <v>217</v>
      </c>
      <c r="C512" s="10" t="s">
        <v>212</v>
      </c>
      <c r="D512" s="10">
        <v>0.87</v>
      </c>
    </row>
    <row r="513" spans="1:4">
      <c r="A513" s="10" t="s">
        <v>293</v>
      </c>
      <c r="B513" s="10" t="s">
        <v>219</v>
      </c>
      <c r="C513" s="10" t="s">
        <v>212</v>
      </c>
      <c r="D513" s="10">
        <v>0.32700000000000001</v>
      </c>
    </row>
    <row r="514" spans="1:4">
      <c r="A514" s="10" t="s">
        <v>293</v>
      </c>
      <c r="B514" s="10" t="s">
        <v>237</v>
      </c>
      <c r="C514" s="10" t="s">
        <v>212</v>
      </c>
      <c r="D514" s="10">
        <v>0.53600000000000003</v>
      </c>
    </row>
    <row r="515" spans="1:4">
      <c r="A515" s="10" t="s">
        <v>293</v>
      </c>
      <c r="B515" s="10" t="s">
        <v>227</v>
      </c>
      <c r="C515" s="10" t="s">
        <v>212</v>
      </c>
      <c r="D515" s="10">
        <v>3.423</v>
      </c>
    </row>
    <row r="516" spans="1:4">
      <c r="A516" s="10" t="s">
        <v>293</v>
      </c>
      <c r="B516" s="10" t="s">
        <v>469</v>
      </c>
      <c r="C516" s="10" t="s">
        <v>212</v>
      </c>
      <c r="D516" s="10">
        <v>7.2320000000000002</v>
      </c>
    </row>
    <row r="517" spans="1:4">
      <c r="A517" s="10" t="s">
        <v>293</v>
      </c>
      <c r="B517" s="10" t="s">
        <v>470</v>
      </c>
      <c r="C517" s="10" t="s">
        <v>212</v>
      </c>
      <c r="D517" s="10">
        <v>60.231000000000002</v>
      </c>
    </row>
    <row r="518" spans="1:4">
      <c r="A518" s="10" t="s">
        <v>293</v>
      </c>
      <c r="B518" s="10" t="s">
        <v>228</v>
      </c>
      <c r="C518" s="10" t="s">
        <v>213</v>
      </c>
      <c r="D518" s="10">
        <v>4.6479999999999997</v>
      </c>
    </row>
    <row r="519" spans="1:4">
      <c r="A519" s="10" t="s">
        <v>293</v>
      </c>
      <c r="B519" s="10" t="s">
        <v>229</v>
      </c>
      <c r="C519" s="10" t="s">
        <v>213</v>
      </c>
      <c r="D519" s="10">
        <v>5.3460000000000001</v>
      </c>
    </row>
    <row r="520" spans="1:4">
      <c r="A520" s="10" t="s">
        <v>293</v>
      </c>
      <c r="B520" s="10" t="s">
        <v>240</v>
      </c>
      <c r="C520" s="10" t="s">
        <v>213</v>
      </c>
      <c r="D520" s="10">
        <v>5.968</v>
      </c>
    </row>
    <row r="521" spans="1:4">
      <c r="A521" s="10" t="s">
        <v>293</v>
      </c>
      <c r="B521" s="10" t="s">
        <v>231</v>
      </c>
      <c r="C521" s="10" t="s">
        <v>213</v>
      </c>
      <c r="D521" s="10">
        <v>32.71</v>
      </c>
    </row>
    <row r="522" spans="1:4">
      <c r="A522" s="10" t="s">
        <v>293</v>
      </c>
      <c r="B522" s="10" t="s">
        <v>471</v>
      </c>
      <c r="C522" s="10" t="s">
        <v>214</v>
      </c>
      <c r="D522" s="10">
        <v>91.599000000000004</v>
      </c>
    </row>
    <row r="523" spans="1:4">
      <c r="A523" s="10" t="s">
        <v>293</v>
      </c>
      <c r="B523" s="10" t="s">
        <v>248</v>
      </c>
      <c r="C523" s="10" t="s">
        <v>214</v>
      </c>
      <c r="D523" s="10">
        <v>2.12</v>
      </c>
    </row>
    <row r="524" spans="1:4">
      <c r="A524" s="10" t="s">
        <v>293</v>
      </c>
      <c r="B524" s="10" t="s">
        <v>245</v>
      </c>
      <c r="C524" s="10" t="s">
        <v>214</v>
      </c>
      <c r="D524" s="10">
        <v>28.709</v>
      </c>
    </row>
    <row r="525" spans="1:4">
      <c r="A525" s="10" t="s">
        <v>293</v>
      </c>
      <c r="B525" s="10" t="s">
        <v>244</v>
      </c>
      <c r="C525" s="10" t="s">
        <v>214</v>
      </c>
      <c r="D525" s="10">
        <v>108.04900000000001</v>
      </c>
    </row>
    <row r="526" spans="1:4">
      <c r="A526" s="10" t="s">
        <v>293</v>
      </c>
      <c r="B526" s="10" t="s">
        <v>488</v>
      </c>
      <c r="C526" s="10" t="s">
        <v>24</v>
      </c>
      <c r="D526" s="10">
        <v>327.94560000000001</v>
      </c>
    </row>
    <row r="527" spans="1:4">
      <c r="A527" s="10" t="s">
        <v>293</v>
      </c>
      <c r="B527" s="10" t="s">
        <v>489</v>
      </c>
      <c r="C527" s="10" t="s">
        <v>24</v>
      </c>
      <c r="D527" s="10">
        <v>1.2290000000000001</v>
      </c>
    </row>
    <row r="528" spans="1:4">
      <c r="A528" s="10" t="s">
        <v>293</v>
      </c>
      <c r="B528" s="10" t="s">
        <v>490</v>
      </c>
      <c r="C528" s="10" t="s">
        <v>24</v>
      </c>
      <c r="D528" s="10">
        <v>39.253999999999998</v>
      </c>
    </row>
    <row r="529" spans="1:13">
      <c r="A529" s="10" t="s">
        <v>293</v>
      </c>
      <c r="B529" s="10" t="s">
        <v>163</v>
      </c>
      <c r="C529" s="10" t="s">
        <v>24</v>
      </c>
      <c r="D529" s="10">
        <v>60.061</v>
      </c>
    </row>
    <row r="530" spans="1:13">
      <c r="A530" s="10" t="s">
        <v>293</v>
      </c>
      <c r="B530" s="10" t="s">
        <v>107</v>
      </c>
      <c r="C530" s="10" t="s">
        <v>24</v>
      </c>
      <c r="D530" s="10">
        <v>108.854</v>
      </c>
    </row>
    <row r="531" spans="1:13">
      <c r="A531" s="10" t="s">
        <v>293</v>
      </c>
      <c r="B531" s="10" t="s">
        <v>58</v>
      </c>
      <c r="C531" s="10" t="s">
        <v>24</v>
      </c>
      <c r="D531" s="10">
        <v>27.204000000000001</v>
      </c>
    </row>
    <row r="532" spans="1:13">
      <c r="A532" s="10" t="s">
        <v>293</v>
      </c>
      <c r="B532" s="10" t="s">
        <v>235</v>
      </c>
      <c r="C532" s="10" t="s">
        <v>276</v>
      </c>
      <c r="D532" s="10">
        <v>113.31399999999999</v>
      </c>
    </row>
    <row r="533" spans="1:13">
      <c r="A533" s="10" t="s">
        <v>293</v>
      </c>
      <c r="B533" s="10" t="s">
        <v>236</v>
      </c>
      <c r="C533" s="10" t="s">
        <v>276</v>
      </c>
      <c r="D533" s="10">
        <v>5.9640000000000004</v>
      </c>
    </row>
    <row r="534" spans="1:13">
      <c r="A534" s="10" t="s">
        <v>293</v>
      </c>
      <c r="B534" s="10" t="s">
        <v>233</v>
      </c>
      <c r="C534" s="10" t="s">
        <v>276</v>
      </c>
      <c r="D534" s="10">
        <v>49.945</v>
      </c>
    </row>
    <row r="535" spans="1:13">
      <c r="A535" s="10" t="s">
        <v>293</v>
      </c>
      <c r="B535" s="10" t="s">
        <v>108</v>
      </c>
      <c r="C535" s="10" t="s">
        <v>24</v>
      </c>
      <c r="D535" s="10">
        <v>2.5880000000000001</v>
      </c>
      <c r="F535" s="10" t="s">
        <v>519</v>
      </c>
    </row>
    <row r="536" spans="1:13">
      <c r="A536" s="10" t="s">
        <v>293</v>
      </c>
      <c r="B536" s="10" t="s">
        <v>485</v>
      </c>
      <c r="C536" s="10" t="s">
        <v>24</v>
      </c>
      <c r="D536" s="10">
        <v>12.5</v>
      </c>
      <c r="F536" s="10" t="s">
        <v>519</v>
      </c>
    </row>
    <row r="537" spans="1:13">
      <c r="A537" s="10" t="s">
        <v>293</v>
      </c>
      <c r="B537" s="10" t="s">
        <v>481</v>
      </c>
      <c r="C537" s="10" t="s">
        <v>24</v>
      </c>
      <c r="D537" s="10">
        <v>94.301000000000002</v>
      </c>
      <c r="F537" s="10" t="s">
        <v>519</v>
      </c>
    </row>
    <row r="538" spans="1:13">
      <c r="A538" s="10" t="s">
        <v>293</v>
      </c>
      <c r="B538" s="10" t="s">
        <v>475</v>
      </c>
      <c r="C538" s="10" t="s">
        <v>24</v>
      </c>
      <c r="D538" s="10">
        <v>23.001999999999999</v>
      </c>
      <c r="F538" s="10" t="s">
        <v>519</v>
      </c>
    </row>
    <row r="539" spans="1:13">
      <c r="A539" s="10" t="s">
        <v>293</v>
      </c>
      <c r="B539" s="10" t="s">
        <v>108</v>
      </c>
      <c r="C539" s="10" t="s">
        <v>473</v>
      </c>
      <c r="D539" s="10">
        <v>3.887</v>
      </c>
      <c r="F539" s="10" t="s">
        <v>519</v>
      </c>
    </row>
    <row r="540" spans="1:13">
      <c r="A540" s="10" t="s">
        <v>293</v>
      </c>
      <c r="B540" s="10" t="s">
        <v>485</v>
      </c>
      <c r="C540" s="10" t="s">
        <v>473</v>
      </c>
      <c r="D540" s="10">
        <v>18.774000000000001</v>
      </c>
      <c r="F540" s="10" t="s">
        <v>519</v>
      </c>
    </row>
    <row r="541" spans="1:13">
      <c r="A541" s="10" t="s">
        <v>293</v>
      </c>
      <c r="B541" s="10" t="s">
        <v>481</v>
      </c>
      <c r="C541" s="10" t="s">
        <v>473</v>
      </c>
      <c r="D541" s="10">
        <v>141.62799999999999</v>
      </c>
      <c r="F541" s="10" t="s">
        <v>519</v>
      </c>
    </row>
    <row r="542" spans="1:13">
      <c r="A542" s="10" t="s">
        <v>293</v>
      </c>
      <c r="B542" s="10" t="s">
        <v>475</v>
      </c>
      <c r="C542" s="10" t="s">
        <v>473</v>
      </c>
      <c r="D542" s="10">
        <v>34.545999999999999</v>
      </c>
      <c r="F542" s="10" t="s">
        <v>519</v>
      </c>
    </row>
    <row r="543" spans="1:13">
      <c r="A543" s="10" t="s">
        <v>309</v>
      </c>
      <c r="B543" s="10" t="s">
        <v>206</v>
      </c>
      <c r="C543" s="10" t="s">
        <v>276</v>
      </c>
      <c r="D543" s="10">
        <v>25.738</v>
      </c>
      <c r="G543" s="10" t="s">
        <v>293</v>
      </c>
      <c r="H543" s="10">
        <f>SUMIFS(D:D,A:A,G543,C:C,"Heat_District")</f>
        <v>198.83499999999998</v>
      </c>
      <c r="I543" s="68"/>
      <c r="J543" s="69"/>
      <c r="K543" s="69"/>
      <c r="L543" s="69"/>
      <c r="M543" s="69"/>
    </row>
    <row r="544" spans="1:13">
      <c r="A544" s="10" t="s">
        <v>309</v>
      </c>
      <c r="B544" s="10" t="s">
        <v>207</v>
      </c>
      <c r="C544" s="10" t="s">
        <v>276</v>
      </c>
      <c r="D544" s="10">
        <v>5.0860000000000003</v>
      </c>
    </row>
    <row r="545" spans="1:4">
      <c r="A545" s="10" t="s">
        <v>309</v>
      </c>
      <c r="B545" s="10" t="s">
        <v>225</v>
      </c>
      <c r="C545" s="10" t="s">
        <v>276</v>
      </c>
      <c r="D545" s="10">
        <v>0.92300000000000004</v>
      </c>
    </row>
    <row r="546" spans="1:4">
      <c r="A546" s="10" t="s">
        <v>309</v>
      </c>
      <c r="B546" s="10" t="s">
        <v>217</v>
      </c>
      <c r="C546" s="10" t="s">
        <v>212</v>
      </c>
      <c r="D546" s="10">
        <v>0.27700000000000002</v>
      </c>
    </row>
    <row r="547" spans="1:4">
      <c r="A547" s="10" t="s">
        <v>309</v>
      </c>
      <c r="B547" s="10" t="s">
        <v>219</v>
      </c>
      <c r="C547" s="10" t="s">
        <v>212</v>
      </c>
      <c r="D547" s="10">
        <v>0.114</v>
      </c>
    </row>
    <row r="548" spans="1:4">
      <c r="A548" s="10" t="s">
        <v>309</v>
      </c>
      <c r="B548" s="10" t="s">
        <v>237</v>
      </c>
      <c r="C548" s="10" t="s">
        <v>212</v>
      </c>
      <c r="D548" s="10">
        <v>1.2E-2</v>
      </c>
    </row>
    <row r="549" spans="1:4">
      <c r="A549" s="10" t="s">
        <v>309</v>
      </c>
      <c r="B549" s="10" t="s">
        <v>227</v>
      </c>
      <c r="C549" s="10" t="s">
        <v>212</v>
      </c>
      <c r="D549" s="10">
        <v>0.13100000000000001</v>
      </c>
    </row>
    <row r="550" spans="1:4">
      <c r="A550" s="10" t="s">
        <v>309</v>
      </c>
      <c r="B550" s="10" t="s">
        <v>469</v>
      </c>
      <c r="C550" s="10" t="s">
        <v>212</v>
      </c>
      <c r="D550" s="10">
        <v>0.48699999999999999</v>
      </c>
    </row>
    <row r="551" spans="1:4">
      <c r="A551" s="10" t="s">
        <v>309</v>
      </c>
      <c r="B551" s="10" t="s">
        <v>470</v>
      </c>
      <c r="C551" s="10" t="s">
        <v>212</v>
      </c>
      <c r="D551" s="10">
        <v>6.3929999999999998</v>
      </c>
    </row>
    <row r="552" spans="1:4">
      <c r="A552" s="10" t="s">
        <v>309</v>
      </c>
      <c r="B552" s="10" t="s">
        <v>228</v>
      </c>
      <c r="C552" s="10" t="s">
        <v>213</v>
      </c>
      <c r="D552" s="10">
        <v>2.343</v>
      </c>
    </row>
    <row r="553" spans="1:4">
      <c r="A553" s="10" t="s">
        <v>309</v>
      </c>
      <c r="B553" s="10" t="s">
        <v>229</v>
      </c>
      <c r="C553" s="10" t="s">
        <v>213</v>
      </c>
      <c r="D553" s="10">
        <v>1.2729999999999999</v>
      </c>
    </row>
    <row r="554" spans="1:4">
      <c r="A554" s="10" t="s">
        <v>309</v>
      </c>
      <c r="B554" s="10" t="s">
        <v>240</v>
      </c>
      <c r="C554" s="10" t="s">
        <v>213</v>
      </c>
      <c r="D554" s="10">
        <v>9.0999999999999998E-2</v>
      </c>
    </row>
    <row r="555" spans="1:4">
      <c r="A555" s="10" t="s">
        <v>309</v>
      </c>
      <c r="B555" s="10" t="s">
        <v>231</v>
      </c>
      <c r="C555" s="10" t="s">
        <v>213</v>
      </c>
      <c r="D555" s="10">
        <v>0.433</v>
      </c>
    </row>
    <row r="556" spans="1:4">
      <c r="A556" s="10" t="s">
        <v>309</v>
      </c>
      <c r="B556" s="10" t="s">
        <v>471</v>
      </c>
      <c r="C556" s="10" t="s">
        <v>214</v>
      </c>
      <c r="D556" s="10">
        <v>2.3820000000000001</v>
      </c>
    </row>
    <row r="557" spans="1:4">
      <c r="A557" s="10" t="s">
        <v>309</v>
      </c>
      <c r="B557" s="10" t="s">
        <v>248</v>
      </c>
      <c r="C557" s="10" t="s">
        <v>214</v>
      </c>
      <c r="D557" s="10">
        <v>0.26800000000000002</v>
      </c>
    </row>
    <row r="558" spans="1:4">
      <c r="A558" s="10" t="s">
        <v>309</v>
      </c>
      <c r="B558" s="10" t="s">
        <v>245</v>
      </c>
      <c r="C558" s="10" t="s">
        <v>214</v>
      </c>
      <c r="D558" s="10">
        <v>2E-3</v>
      </c>
    </row>
    <row r="559" spans="1:4">
      <c r="A559" s="10" t="s">
        <v>309</v>
      </c>
      <c r="B559" s="10" t="s">
        <v>244</v>
      </c>
      <c r="C559" s="10" t="s">
        <v>214</v>
      </c>
      <c r="D559" s="10">
        <v>3.6309999999999998</v>
      </c>
    </row>
    <row r="560" spans="1:4">
      <c r="A560" s="10" t="s">
        <v>309</v>
      </c>
      <c r="B560" s="10" t="s">
        <v>488</v>
      </c>
      <c r="C560" s="10" t="s">
        <v>24</v>
      </c>
      <c r="D560" s="10">
        <v>0.17699999999999999</v>
      </c>
    </row>
    <row r="561" spans="1:13">
      <c r="A561" s="10" t="s">
        <v>309</v>
      </c>
      <c r="B561" s="10" t="s">
        <v>489</v>
      </c>
      <c r="C561" s="10" t="s">
        <v>24</v>
      </c>
      <c r="D561" s="10">
        <v>0.23300000000000001</v>
      </c>
    </row>
    <row r="562" spans="1:13">
      <c r="A562" s="10" t="s">
        <v>309</v>
      </c>
      <c r="B562" s="10" t="s">
        <v>58</v>
      </c>
      <c r="C562" s="10" t="s">
        <v>24</v>
      </c>
      <c r="D562" s="10">
        <v>0.378</v>
      </c>
    </row>
    <row r="563" spans="1:13">
      <c r="A563" s="10" t="s">
        <v>309</v>
      </c>
      <c r="B563" s="10" t="s">
        <v>235</v>
      </c>
      <c r="C563" s="10" t="s">
        <v>276</v>
      </c>
      <c r="D563" s="10">
        <v>1E-3</v>
      </c>
    </row>
    <row r="564" spans="1:13">
      <c r="A564" s="10" t="s">
        <v>309</v>
      </c>
      <c r="B564" s="10" t="s">
        <v>236</v>
      </c>
      <c r="C564" s="10" t="s">
        <v>276</v>
      </c>
      <c r="D564" s="10">
        <v>0</v>
      </c>
    </row>
    <row r="565" spans="1:13">
      <c r="A565" s="10" t="s">
        <v>309</v>
      </c>
      <c r="B565" s="10" t="s">
        <v>233</v>
      </c>
      <c r="C565" s="10" t="s">
        <v>276</v>
      </c>
      <c r="D565" s="10">
        <v>0.40300000000000002</v>
      </c>
    </row>
    <row r="566" spans="1:13">
      <c r="A566" s="10" t="s">
        <v>309</v>
      </c>
      <c r="B566" s="10" t="s">
        <v>485</v>
      </c>
      <c r="C566" s="10" t="s">
        <v>24</v>
      </c>
      <c r="D566" s="10">
        <v>0.496</v>
      </c>
      <c r="F566" s="10" t="s">
        <v>519</v>
      </c>
    </row>
    <row r="567" spans="1:13">
      <c r="A567" s="10" t="s">
        <v>309</v>
      </c>
      <c r="B567" s="10" t="s">
        <v>481</v>
      </c>
      <c r="C567" s="10" t="s">
        <v>24</v>
      </c>
      <c r="D567" s="10">
        <v>0.71299999999999997</v>
      </c>
      <c r="F567" s="10" t="s">
        <v>519</v>
      </c>
    </row>
    <row r="568" spans="1:13">
      <c r="A568" s="10" t="s">
        <v>309</v>
      </c>
      <c r="B568" s="10" t="s">
        <v>475</v>
      </c>
      <c r="C568" s="10" t="s">
        <v>24</v>
      </c>
      <c r="D568" s="10">
        <v>1.7310000000000001</v>
      </c>
      <c r="F568" s="10" t="s">
        <v>519</v>
      </c>
    </row>
    <row r="569" spans="1:13">
      <c r="A569" s="10" t="s">
        <v>309</v>
      </c>
      <c r="B569" s="10" t="s">
        <v>485</v>
      </c>
      <c r="C569" s="10" t="s">
        <v>473</v>
      </c>
      <c r="D569" s="10">
        <v>1.524</v>
      </c>
      <c r="F569" s="10" t="s">
        <v>519</v>
      </c>
    </row>
    <row r="570" spans="1:13">
      <c r="A570" s="10" t="s">
        <v>309</v>
      </c>
      <c r="B570" s="10" t="s">
        <v>481</v>
      </c>
      <c r="C570" s="10" t="s">
        <v>473</v>
      </c>
      <c r="D570" s="10">
        <v>2.1880000000000002</v>
      </c>
      <c r="F570" s="10" t="s">
        <v>519</v>
      </c>
    </row>
    <row r="571" spans="1:13">
      <c r="A571" s="10" t="s">
        <v>309</v>
      </c>
      <c r="B571" s="10" t="s">
        <v>475</v>
      </c>
      <c r="C571" s="10" t="s">
        <v>473</v>
      </c>
      <c r="D571" s="10">
        <v>5.3140000000000001</v>
      </c>
      <c r="F571" s="10" t="s">
        <v>519</v>
      </c>
    </row>
    <row r="572" spans="1:13">
      <c r="A572" s="10" t="s">
        <v>309</v>
      </c>
      <c r="B572" s="10" t="s">
        <v>108</v>
      </c>
      <c r="C572" s="10" t="s">
        <v>473</v>
      </c>
      <c r="D572" s="10">
        <v>0</v>
      </c>
      <c r="F572" s="10" t="s">
        <v>519</v>
      </c>
    </row>
    <row r="573" spans="1:13">
      <c r="A573" s="10" t="s">
        <v>309</v>
      </c>
      <c r="B573" s="10" t="s">
        <v>108</v>
      </c>
      <c r="C573" s="10" t="s">
        <v>24</v>
      </c>
      <c r="D573" s="10">
        <v>0</v>
      </c>
      <c r="F573" s="10" t="s">
        <v>519</v>
      </c>
    </row>
    <row r="574" spans="1:13">
      <c r="A574" s="10" t="s">
        <v>294</v>
      </c>
      <c r="B574" s="10" t="s">
        <v>206</v>
      </c>
      <c r="C574" s="10" t="s">
        <v>276</v>
      </c>
      <c r="D574" s="10">
        <v>0.97399999999999998</v>
      </c>
      <c r="G574" s="10" t="s">
        <v>309</v>
      </c>
      <c r="H574" s="10">
        <f>SUMIFS(D:D,A:A,G574,C:C,"Heat_District")</f>
        <v>9.0259999999999998</v>
      </c>
      <c r="I574" s="68"/>
      <c r="J574" s="69"/>
      <c r="K574" s="69"/>
      <c r="L574" s="69"/>
      <c r="M574" s="69"/>
    </row>
    <row r="575" spans="1:13">
      <c r="A575" s="10" t="s">
        <v>294</v>
      </c>
      <c r="B575" s="10" t="s">
        <v>207</v>
      </c>
      <c r="C575" s="10" t="s">
        <v>276</v>
      </c>
      <c r="D575" s="10">
        <v>2.5999999999999999E-2</v>
      </c>
    </row>
    <row r="576" spans="1:13">
      <c r="A576" s="10" t="s">
        <v>294</v>
      </c>
      <c r="B576" s="10" t="s">
        <v>225</v>
      </c>
      <c r="C576" s="10" t="s">
        <v>276</v>
      </c>
      <c r="D576" s="10">
        <v>11.416</v>
      </c>
    </row>
    <row r="577" spans="1:4">
      <c r="A577" s="10" t="s">
        <v>294</v>
      </c>
      <c r="B577" s="10" t="s">
        <v>217</v>
      </c>
      <c r="C577" s="10" t="s">
        <v>212</v>
      </c>
      <c r="D577" s="10">
        <v>0.04</v>
      </c>
    </row>
    <row r="578" spans="1:4">
      <c r="A578" s="10" t="s">
        <v>294</v>
      </c>
      <c r="B578" s="10" t="s">
        <v>219</v>
      </c>
      <c r="C578" s="10" t="s">
        <v>212</v>
      </c>
      <c r="D578" s="10">
        <v>0.01</v>
      </c>
    </row>
    <row r="579" spans="1:4">
      <c r="A579" s="10" t="s">
        <v>294</v>
      </c>
      <c r="B579" s="10" t="s">
        <v>237</v>
      </c>
      <c r="C579" s="10" t="s">
        <v>212</v>
      </c>
      <c r="D579" s="10">
        <v>0.02</v>
      </c>
    </row>
    <row r="580" spans="1:4">
      <c r="A580" s="10" t="s">
        <v>294</v>
      </c>
      <c r="B580" s="10" t="s">
        <v>227</v>
      </c>
      <c r="C580" s="10" t="s">
        <v>212</v>
      </c>
      <c r="D580" s="10">
        <v>2.3E-2</v>
      </c>
    </row>
    <row r="581" spans="1:4">
      <c r="A581" s="10" t="s">
        <v>294</v>
      </c>
      <c r="B581" s="10" t="s">
        <v>469</v>
      </c>
      <c r="C581" s="10" t="s">
        <v>212</v>
      </c>
      <c r="D581" s="10">
        <v>4.2999999999999997E-2</v>
      </c>
    </row>
    <row r="582" spans="1:4">
      <c r="A582" s="10" t="s">
        <v>294</v>
      </c>
      <c r="B582" s="10" t="s">
        <v>470</v>
      </c>
      <c r="C582" s="10" t="s">
        <v>212</v>
      </c>
      <c r="D582" s="10">
        <v>6.4000000000000001E-2</v>
      </c>
    </row>
    <row r="583" spans="1:4">
      <c r="A583" s="10" t="s">
        <v>294</v>
      </c>
      <c r="B583" s="10" t="s">
        <v>228</v>
      </c>
      <c r="C583" s="10" t="s">
        <v>213</v>
      </c>
      <c r="D583" s="10">
        <v>0.54200000000000004</v>
      </c>
    </row>
    <row r="584" spans="1:4">
      <c r="A584" s="10" t="s">
        <v>294</v>
      </c>
      <c r="B584" s="10" t="s">
        <v>229</v>
      </c>
      <c r="C584" s="10" t="s">
        <v>213</v>
      </c>
      <c r="D584" s="10">
        <v>0.68200000000000005</v>
      </c>
    </row>
    <row r="585" spans="1:4">
      <c r="A585" s="10" t="s">
        <v>294</v>
      </c>
      <c r="B585" s="10" t="s">
        <v>240</v>
      </c>
      <c r="C585" s="10" t="s">
        <v>213</v>
      </c>
      <c r="D585" s="10">
        <v>0.22900000000000001</v>
      </c>
    </row>
    <row r="586" spans="1:4">
      <c r="A586" s="10" t="s">
        <v>294</v>
      </c>
      <c r="B586" s="10" t="s">
        <v>231</v>
      </c>
      <c r="C586" s="10" t="s">
        <v>213</v>
      </c>
      <c r="D586" s="10">
        <v>0.188</v>
      </c>
    </row>
    <row r="587" spans="1:4">
      <c r="A587" s="10" t="s">
        <v>294</v>
      </c>
      <c r="B587" s="10" t="s">
        <v>471</v>
      </c>
      <c r="C587" s="10" t="s">
        <v>214</v>
      </c>
      <c r="D587" s="10">
        <v>0.90800000000000003</v>
      </c>
    </row>
    <row r="588" spans="1:4">
      <c r="A588" s="10" t="s">
        <v>294</v>
      </c>
      <c r="B588" s="10" t="s">
        <v>248</v>
      </c>
      <c r="C588" s="10" t="s">
        <v>214</v>
      </c>
      <c r="D588" s="10">
        <v>0.10299999999999999</v>
      </c>
    </row>
    <row r="589" spans="1:4">
      <c r="A589" s="10" t="s">
        <v>294</v>
      </c>
      <c r="B589" s="10" t="s">
        <v>245</v>
      </c>
      <c r="C589" s="10" t="s">
        <v>214</v>
      </c>
      <c r="D589" s="10">
        <v>3.677</v>
      </c>
    </row>
    <row r="590" spans="1:4">
      <c r="A590" s="10" t="s">
        <v>294</v>
      </c>
      <c r="B590" s="10" t="s">
        <v>244</v>
      </c>
      <c r="C590" s="10" t="s">
        <v>214</v>
      </c>
      <c r="D590" s="10">
        <v>5.1029999999999998</v>
      </c>
    </row>
    <row r="591" spans="1:4">
      <c r="A591" s="10" t="s">
        <v>294</v>
      </c>
      <c r="B591" s="10" t="s">
        <v>163</v>
      </c>
      <c r="C591" s="10" t="s">
        <v>24</v>
      </c>
      <c r="D591" s="10">
        <v>0.81799999999999995</v>
      </c>
    </row>
    <row r="592" spans="1:4">
      <c r="A592" s="10" t="s">
        <v>294</v>
      </c>
      <c r="B592" s="10" t="s">
        <v>235</v>
      </c>
      <c r="C592" s="10" t="s">
        <v>276</v>
      </c>
      <c r="D592" s="10">
        <v>6.3E-2</v>
      </c>
    </row>
    <row r="593" spans="1:13">
      <c r="A593" s="10" t="s">
        <v>294</v>
      </c>
      <c r="B593" s="10" t="s">
        <v>236</v>
      </c>
      <c r="C593" s="10" t="s">
        <v>276</v>
      </c>
      <c r="D593" s="10">
        <v>3.0000000000000001E-3</v>
      </c>
    </row>
    <row r="594" spans="1:13">
      <c r="A594" s="10" t="s">
        <v>294</v>
      </c>
      <c r="B594" s="10" t="s">
        <v>233</v>
      </c>
      <c r="C594" s="10" t="s">
        <v>276</v>
      </c>
      <c r="D594" s="10">
        <v>0.95599999999999996</v>
      </c>
    </row>
    <row r="595" spans="1:13">
      <c r="A595" s="10" t="s">
        <v>294</v>
      </c>
      <c r="B595" s="10" t="s">
        <v>481</v>
      </c>
      <c r="C595" s="10" t="s">
        <v>24</v>
      </c>
      <c r="D595" s="10">
        <v>0.63100000000000001</v>
      </c>
      <c r="F595" s="10" t="s">
        <v>519</v>
      </c>
    </row>
    <row r="596" spans="1:13">
      <c r="A596" s="10" t="s">
        <v>294</v>
      </c>
      <c r="B596" s="10" t="s">
        <v>475</v>
      </c>
      <c r="C596" s="10" t="s">
        <v>24</v>
      </c>
      <c r="D596" s="10">
        <v>0.68600000000000005</v>
      </c>
      <c r="F596" s="10" t="s">
        <v>519</v>
      </c>
    </row>
    <row r="597" spans="1:13">
      <c r="A597" s="10" t="s">
        <v>294</v>
      </c>
      <c r="B597" s="10" t="s">
        <v>481</v>
      </c>
      <c r="C597" s="10" t="s">
        <v>473</v>
      </c>
      <c r="D597" s="10">
        <v>1.397</v>
      </c>
      <c r="F597" s="10" t="s">
        <v>519</v>
      </c>
    </row>
    <row r="598" spans="1:13">
      <c r="A598" s="10" t="s">
        <v>294</v>
      </c>
      <c r="B598" s="10" t="s">
        <v>475</v>
      </c>
      <c r="C598" s="10" t="s">
        <v>473</v>
      </c>
      <c r="D598" s="10">
        <v>1.5189999999999999</v>
      </c>
      <c r="F598" s="10" t="s">
        <v>519</v>
      </c>
    </row>
    <row r="599" spans="1:13">
      <c r="A599" s="10" t="s">
        <v>294</v>
      </c>
      <c r="B599" s="10" t="s">
        <v>485</v>
      </c>
      <c r="C599" s="10" t="s">
        <v>473</v>
      </c>
      <c r="D599" s="10">
        <v>0</v>
      </c>
      <c r="F599" s="10" t="s">
        <v>519</v>
      </c>
    </row>
    <row r="600" spans="1:13">
      <c r="A600" s="10" t="s">
        <v>294</v>
      </c>
      <c r="B600" s="10" t="s">
        <v>485</v>
      </c>
      <c r="C600" s="10" t="s">
        <v>24</v>
      </c>
      <c r="D600" s="10">
        <v>0</v>
      </c>
      <c r="F600" s="10" t="s">
        <v>519</v>
      </c>
    </row>
    <row r="601" spans="1:13">
      <c r="A601" s="10" t="s">
        <v>294</v>
      </c>
      <c r="B601" s="10" t="s">
        <v>108</v>
      </c>
      <c r="C601" s="10" t="s">
        <v>473</v>
      </c>
      <c r="D601" s="10">
        <v>0</v>
      </c>
      <c r="F601" s="10" t="s">
        <v>519</v>
      </c>
    </row>
    <row r="602" spans="1:13">
      <c r="A602" s="10" t="s">
        <v>294</v>
      </c>
      <c r="B602" s="10" t="s">
        <v>108</v>
      </c>
      <c r="C602" s="10" t="s">
        <v>24</v>
      </c>
      <c r="D602" s="10">
        <v>0</v>
      </c>
      <c r="F602" s="10" t="s">
        <v>519</v>
      </c>
    </row>
    <row r="603" spans="1:13">
      <c r="A603" s="10" t="s">
        <v>310</v>
      </c>
      <c r="B603" s="10" t="s">
        <v>206</v>
      </c>
      <c r="C603" s="10" t="s">
        <v>276</v>
      </c>
      <c r="D603" s="10">
        <v>28.486000000000001</v>
      </c>
      <c r="G603" s="10" t="s">
        <v>292</v>
      </c>
      <c r="H603" s="10">
        <f>SUMIFS(D:D,A:A,G603,C:C,"Heat_District")</f>
        <v>11.600999999999999</v>
      </c>
      <c r="I603" s="68"/>
      <c r="J603" s="69"/>
      <c r="K603" s="69"/>
      <c r="L603" s="69"/>
      <c r="M603" s="69"/>
    </row>
    <row r="604" spans="1:13">
      <c r="A604" s="10" t="s">
        <v>310</v>
      </c>
      <c r="B604" s="10" t="s">
        <v>207</v>
      </c>
      <c r="C604" s="10" t="s">
        <v>276</v>
      </c>
      <c r="D604" s="10">
        <v>1.0609999999999999</v>
      </c>
    </row>
    <row r="605" spans="1:13">
      <c r="A605" s="10" t="s">
        <v>310</v>
      </c>
      <c r="B605" s="10" t="s">
        <v>225</v>
      </c>
      <c r="C605" s="10" t="s">
        <v>276</v>
      </c>
      <c r="D605" s="10">
        <v>3.254</v>
      </c>
    </row>
    <row r="606" spans="1:13">
      <c r="A606" s="10" t="s">
        <v>310</v>
      </c>
      <c r="B606" s="10" t="s">
        <v>217</v>
      </c>
      <c r="C606" s="10" t="s">
        <v>212</v>
      </c>
      <c r="D606" s="10">
        <v>1.044</v>
      </c>
    </row>
    <row r="607" spans="1:13">
      <c r="A607" s="10" t="s">
        <v>310</v>
      </c>
      <c r="B607" s="10" t="s">
        <v>219</v>
      </c>
      <c r="C607" s="10" t="s">
        <v>212</v>
      </c>
      <c r="D607" s="10">
        <v>1.2999999999999999E-2</v>
      </c>
    </row>
    <row r="608" spans="1:13">
      <c r="A608" s="10" t="s">
        <v>310</v>
      </c>
      <c r="B608" s="10" t="s">
        <v>237</v>
      </c>
      <c r="C608" s="10" t="s">
        <v>212</v>
      </c>
      <c r="D608" s="10">
        <v>6.0000000000000001E-3</v>
      </c>
    </row>
    <row r="609" spans="1:6">
      <c r="A609" s="10" t="s">
        <v>310</v>
      </c>
      <c r="B609" s="10" t="s">
        <v>227</v>
      </c>
      <c r="C609" s="10" t="s">
        <v>212</v>
      </c>
      <c r="D609" s="10">
        <v>8.7999999999999995E-2</v>
      </c>
    </row>
    <row r="610" spans="1:6">
      <c r="A610" s="10" t="s">
        <v>310</v>
      </c>
      <c r="B610" s="10" t="s">
        <v>469</v>
      </c>
      <c r="C610" s="10" t="s">
        <v>212</v>
      </c>
      <c r="D610" s="10">
        <v>1.4999999999999999E-2</v>
      </c>
    </row>
    <row r="611" spans="1:6">
      <c r="A611" s="10" t="s">
        <v>310</v>
      </c>
      <c r="B611" s="10" t="s">
        <v>470</v>
      </c>
      <c r="C611" s="10" t="s">
        <v>212</v>
      </c>
      <c r="D611" s="10">
        <v>4.7E-2</v>
      </c>
    </row>
    <row r="612" spans="1:6">
      <c r="A612" s="10" t="s">
        <v>310</v>
      </c>
      <c r="B612" s="10" t="s">
        <v>228</v>
      </c>
      <c r="C612" s="10" t="s">
        <v>213</v>
      </c>
      <c r="D612" s="10">
        <v>9.1530000000000005</v>
      </c>
    </row>
    <row r="613" spans="1:6">
      <c r="A613" s="10" t="s">
        <v>310</v>
      </c>
      <c r="B613" s="10" t="s">
        <v>229</v>
      </c>
      <c r="C613" s="10" t="s">
        <v>213</v>
      </c>
      <c r="D613" s="10">
        <v>0.34100000000000003</v>
      </c>
    </row>
    <row r="614" spans="1:6">
      <c r="A614" s="10" t="s">
        <v>310</v>
      </c>
      <c r="B614" s="10" t="s">
        <v>240</v>
      </c>
      <c r="C614" s="10" t="s">
        <v>213</v>
      </c>
      <c r="D614" s="10">
        <v>7.9000000000000001E-2</v>
      </c>
    </row>
    <row r="615" spans="1:6">
      <c r="A615" s="10" t="s">
        <v>310</v>
      </c>
      <c r="B615" s="10" t="s">
        <v>231</v>
      </c>
      <c r="C615" s="10" t="s">
        <v>213</v>
      </c>
      <c r="D615" s="10">
        <v>0.90900000000000003</v>
      </c>
    </row>
    <row r="616" spans="1:6">
      <c r="A616" s="10" t="s">
        <v>310</v>
      </c>
      <c r="B616" s="10" t="s">
        <v>471</v>
      </c>
      <c r="C616" s="10" t="s">
        <v>214</v>
      </c>
      <c r="D616" s="10">
        <v>1.351</v>
      </c>
    </row>
    <row r="617" spans="1:6">
      <c r="A617" s="10" t="s">
        <v>310</v>
      </c>
      <c r="B617" s="10" t="s">
        <v>248</v>
      </c>
      <c r="C617" s="10" t="s">
        <v>214</v>
      </c>
      <c r="D617" s="10">
        <v>0.185</v>
      </c>
    </row>
    <row r="618" spans="1:6">
      <c r="A618" s="10" t="s">
        <v>310</v>
      </c>
      <c r="B618" s="10" t="s">
        <v>245</v>
      </c>
      <c r="C618" s="10" t="s">
        <v>214</v>
      </c>
      <c r="D618" s="10">
        <v>1.484</v>
      </c>
    </row>
    <row r="619" spans="1:6">
      <c r="A619" s="10" t="s">
        <v>310</v>
      </c>
      <c r="B619" s="10" t="s">
        <v>244</v>
      </c>
      <c r="C619" s="10" t="s">
        <v>214</v>
      </c>
      <c r="D619" s="10">
        <v>2.0659999999999998</v>
      </c>
    </row>
    <row r="620" spans="1:6">
      <c r="A620" s="10" t="s">
        <v>310</v>
      </c>
      <c r="B620" s="10" t="s">
        <v>235</v>
      </c>
      <c r="C620" s="10" t="s">
        <v>276</v>
      </c>
      <c r="D620" s="10">
        <v>1E-3</v>
      </c>
    </row>
    <row r="621" spans="1:6">
      <c r="A621" s="10" t="s">
        <v>310</v>
      </c>
      <c r="B621" s="10" t="s">
        <v>236</v>
      </c>
      <c r="C621" s="10" t="s">
        <v>276</v>
      </c>
      <c r="D621" s="10">
        <v>0</v>
      </c>
    </row>
    <row r="622" spans="1:6">
      <c r="A622" s="10" t="s">
        <v>310</v>
      </c>
      <c r="B622" s="10" t="s">
        <v>233</v>
      </c>
      <c r="C622" s="10" t="s">
        <v>276</v>
      </c>
      <c r="D622" s="10">
        <v>0.47499999999999998</v>
      </c>
    </row>
    <row r="623" spans="1:6">
      <c r="A623" s="10" t="s">
        <v>310</v>
      </c>
      <c r="B623" s="10" t="s">
        <v>108</v>
      </c>
      <c r="C623" s="10" t="s">
        <v>24</v>
      </c>
      <c r="D623" s="10">
        <v>5.6000000000000001E-2</v>
      </c>
      <c r="F623" s="10" t="s">
        <v>519</v>
      </c>
    </row>
    <row r="624" spans="1:6">
      <c r="A624" s="10" t="s">
        <v>310</v>
      </c>
      <c r="B624" s="10" t="s">
        <v>481</v>
      </c>
      <c r="C624" s="10" t="s">
        <v>24</v>
      </c>
      <c r="D624" s="10">
        <v>6.1680000000000001</v>
      </c>
      <c r="F624" s="10" t="s">
        <v>519</v>
      </c>
    </row>
    <row r="625" spans="1:13">
      <c r="A625" s="10" t="s">
        <v>310</v>
      </c>
      <c r="B625" s="10" t="s">
        <v>475</v>
      </c>
      <c r="C625" s="10" t="s">
        <v>24</v>
      </c>
      <c r="D625" s="10">
        <v>4.8380000000000001</v>
      </c>
      <c r="F625" s="10" t="s">
        <v>519</v>
      </c>
    </row>
    <row r="626" spans="1:13">
      <c r="A626" s="10" t="s">
        <v>310</v>
      </c>
      <c r="B626" s="10" t="s">
        <v>108</v>
      </c>
      <c r="C626" s="10" t="s">
        <v>473</v>
      </c>
      <c r="D626" s="10">
        <v>7.6999999999999999E-2</v>
      </c>
      <c r="F626" s="10" t="s">
        <v>519</v>
      </c>
    </row>
    <row r="627" spans="1:13">
      <c r="A627" s="10" t="s">
        <v>310</v>
      </c>
      <c r="B627" s="10" t="s">
        <v>481</v>
      </c>
      <c r="C627" s="10" t="s">
        <v>473</v>
      </c>
      <c r="D627" s="10">
        <v>8.4429999999999996</v>
      </c>
      <c r="F627" s="10" t="s">
        <v>519</v>
      </c>
    </row>
    <row r="628" spans="1:13">
      <c r="A628" s="10" t="s">
        <v>310</v>
      </c>
      <c r="B628" s="10" t="s">
        <v>475</v>
      </c>
      <c r="C628" s="10" t="s">
        <v>473</v>
      </c>
      <c r="D628" s="10">
        <v>6.6219999999999999</v>
      </c>
      <c r="F628" s="10" t="s">
        <v>519</v>
      </c>
    </row>
    <row r="629" spans="1:13">
      <c r="A629" s="10" t="s">
        <v>310</v>
      </c>
      <c r="B629" s="10" t="s">
        <v>488</v>
      </c>
      <c r="C629" s="10" t="s">
        <v>24</v>
      </c>
      <c r="D629" s="10">
        <v>5.4480000000000004</v>
      </c>
      <c r="F629" s="10" t="s">
        <v>520</v>
      </c>
    </row>
    <row r="630" spans="1:13">
      <c r="A630" s="10" t="s">
        <v>297</v>
      </c>
      <c r="B630" s="10" t="s">
        <v>206</v>
      </c>
      <c r="C630" s="10" t="s">
        <v>276</v>
      </c>
      <c r="D630" s="10">
        <v>13.843</v>
      </c>
      <c r="G630" s="10" t="s">
        <v>294</v>
      </c>
      <c r="H630" s="10">
        <f>SUMIFS(D:D,A:A,G630,C:C,"Heat_District")</f>
        <v>2.9159999999999999</v>
      </c>
      <c r="I630" s="68"/>
      <c r="J630" s="69"/>
      <c r="K630" s="69"/>
      <c r="L630" s="69"/>
      <c r="M630" s="69"/>
    </row>
    <row r="631" spans="1:13">
      <c r="A631" s="10" t="s">
        <v>297</v>
      </c>
      <c r="B631" s="10" t="s">
        <v>207</v>
      </c>
      <c r="C631" s="10" t="s">
        <v>276</v>
      </c>
      <c r="D631" s="10">
        <v>0.97899999999999998</v>
      </c>
    </row>
    <row r="632" spans="1:13">
      <c r="A632" s="10" t="s">
        <v>297</v>
      </c>
      <c r="B632" s="10" t="s">
        <v>225</v>
      </c>
      <c r="C632" s="10" t="s">
        <v>276</v>
      </c>
      <c r="D632" s="10">
        <v>11.44</v>
      </c>
    </row>
    <row r="633" spans="1:13">
      <c r="A633" s="10" t="s">
        <v>297</v>
      </c>
      <c r="B633" s="10" t="s">
        <v>217</v>
      </c>
      <c r="C633" s="10" t="s">
        <v>212</v>
      </c>
      <c r="D633" s="10">
        <v>0.44800000000000001</v>
      </c>
    </row>
    <row r="634" spans="1:13">
      <c r="A634" s="10" t="s">
        <v>297</v>
      </c>
      <c r="B634" s="10" t="s">
        <v>219</v>
      </c>
      <c r="C634" s="10" t="s">
        <v>212</v>
      </c>
      <c r="D634" s="10">
        <v>0.42299999999999999</v>
      </c>
    </row>
    <row r="635" spans="1:13">
      <c r="A635" s="10" t="s">
        <v>297</v>
      </c>
      <c r="B635" s="10" t="s">
        <v>237</v>
      </c>
      <c r="C635" s="10" t="s">
        <v>212</v>
      </c>
      <c r="D635" s="10">
        <v>9.8000000000000004E-2</v>
      </c>
    </row>
    <row r="636" spans="1:13">
      <c r="A636" s="10" t="s">
        <v>297</v>
      </c>
      <c r="B636" s="10" t="s">
        <v>227</v>
      </c>
      <c r="C636" s="10" t="s">
        <v>212</v>
      </c>
      <c r="D636" s="10">
        <v>0.128</v>
      </c>
    </row>
    <row r="637" spans="1:13">
      <c r="A637" s="10" t="s">
        <v>297</v>
      </c>
      <c r="B637" s="10" t="s">
        <v>469</v>
      </c>
      <c r="C637" s="10" t="s">
        <v>212</v>
      </c>
      <c r="D637" s="10">
        <v>10.336</v>
      </c>
    </row>
    <row r="638" spans="1:13">
      <c r="A638" s="10" t="s">
        <v>297</v>
      </c>
      <c r="B638" s="10" t="s">
        <v>470</v>
      </c>
      <c r="C638" s="10" t="s">
        <v>212</v>
      </c>
      <c r="D638" s="10">
        <v>30.762</v>
      </c>
    </row>
    <row r="639" spans="1:13">
      <c r="A639" s="10" t="s">
        <v>297</v>
      </c>
      <c r="B639" s="10" t="s">
        <v>228</v>
      </c>
      <c r="C639" s="10" t="s">
        <v>213</v>
      </c>
      <c r="D639" s="10">
        <v>2.294</v>
      </c>
    </row>
    <row r="640" spans="1:13">
      <c r="A640" s="10" t="s">
        <v>297</v>
      </c>
      <c r="B640" s="10" t="s">
        <v>229</v>
      </c>
      <c r="C640" s="10" t="s">
        <v>213</v>
      </c>
      <c r="D640" s="10">
        <v>2.4900000000000002</v>
      </c>
    </row>
    <row r="641" spans="1:6">
      <c r="A641" s="10" t="s">
        <v>297</v>
      </c>
      <c r="B641" s="10" t="s">
        <v>240</v>
      </c>
      <c r="C641" s="10" t="s">
        <v>213</v>
      </c>
      <c r="D641" s="10">
        <v>1.641</v>
      </c>
    </row>
    <row r="642" spans="1:6">
      <c r="A642" s="10" t="s">
        <v>297</v>
      </c>
      <c r="B642" s="10" t="s">
        <v>231</v>
      </c>
      <c r="C642" s="10" t="s">
        <v>213</v>
      </c>
      <c r="D642" s="10">
        <v>9.4320000000000004</v>
      </c>
    </row>
    <row r="643" spans="1:6">
      <c r="A643" s="10" t="s">
        <v>297</v>
      </c>
      <c r="B643" s="10" t="s">
        <v>471</v>
      </c>
      <c r="C643" s="10" t="s">
        <v>214</v>
      </c>
      <c r="D643" s="10">
        <v>46</v>
      </c>
    </row>
    <row r="644" spans="1:6">
      <c r="A644" s="10" t="s">
        <v>297</v>
      </c>
      <c r="B644" s="10" t="s">
        <v>248</v>
      </c>
      <c r="C644" s="10" t="s">
        <v>214</v>
      </c>
      <c r="D644" s="10">
        <v>6.8000000000000005E-2</v>
      </c>
    </row>
    <row r="645" spans="1:6">
      <c r="A645" s="10" t="s">
        <v>297</v>
      </c>
      <c r="B645" s="10" t="s">
        <v>245</v>
      </c>
      <c r="C645" s="10" t="s">
        <v>214</v>
      </c>
      <c r="D645" s="10">
        <v>0.82799999999999996</v>
      </c>
    </row>
    <row r="646" spans="1:6">
      <c r="A646" s="10" t="s">
        <v>297</v>
      </c>
      <c r="B646" s="10" t="s">
        <v>244</v>
      </c>
      <c r="C646" s="10" t="s">
        <v>214</v>
      </c>
      <c r="D646" s="10">
        <v>66.14</v>
      </c>
    </row>
    <row r="647" spans="1:6">
      <c r="A647" s="10" t="s">
        <v>297</v>
      </c>
      <c r="B647" s="10" t="s">
        <v>488</v>
      </c>
      <c r="C647" s="10" t="s">
        <v>24</v>
      </c>
      <c r="D647" s="10">
        <v>109.99979999999999</v>
      </c>
    </row>
    <row r="648" spans="1:6">
      <c r="A648" s="10" t="s">
        <v>297</v>
      </c>
      <c r="B648" s="10" t="s">
        <v>489</v>
      </c>
      <c r="C648" s="10" t="s">
        <v>24</v>
      </c>
      <c r="D648" s="10">
        <v>1.51</v>
      </c>
    </row>
    <row r="649" spans="1:6">
      <c r="A649" s="10" t="s">
        <v>297</v>
      </c>
      <c r="B649" s="10" t="s">
        <v>163</v>
      </c>
      <c r="C649" s="10" t="s">
        <v>24</v>
      </c>
      <c r="D649" s="10">
        <v>18.280999999999999</v>
      </c>
    </row>
    <row r="650" spans="1:6">
      <c r="A650" s="10" t="s">
        <v>297</v>
      </c>
      <c r="B650" s="10" t="s">
        <v>107</v>
      </c>
      <c r="C650" s="10" t="s">
        <v>24</v>
      </c>
      <c r="D650" s="10">
        <v>105.84099999999999</v>
      </c>
    </row>
    <row r="651" spans="1:6">
      <c r="A651" s="10" t="s">
        <v>297</v>
      </c>
      <c r="B651" s="10" t="s">
        <v>23</v>
      </c>
      <c r="C651" s="10" t="s">
        <v>24</v>
      </c>
      <c r="D651" s="10">
        <v>11.987</v>
      </c>
    </row>
    <row r="652" spans="1:6">
      <c r="A652" s="10" t="s">
        <v>297</v>
      </c>
      <c r="B652" s="10" t="s">
        <v>235</v>
      </c>
      <c r="C652" s="10" t="s">
        <v>276</v>
      </c>
      <c r="D652" s="10">
        <v>6.141</v>
      </c>
    </row>
    <row r="653" spans="1:6">
      <c r="A653" s="10" t="s">
        <v>297</v>
      </c>
      <c r="B653" s="10" t="s">
        <v>236</v>
      </c>
      <c r="C653" s="10" t="s">
        <v>276</v>
      </c>
      <c r="D653" s="10">
        <v>0.32300000000000001</v>
      </c>
    </row>
    <row r="654" spans="1:6">
      <c r="A654" s="10" t="s">
        <v>297</v>
      </c>
      <c r="B654" s="10" t="s">
        <v>233</v>
      </c>
      <c r="C654" s="10" t="s">
        <v>276</v>
      </c>
      <c r="D654" s="10">
        <v>7.3650000000000002</v>
      </c>
    </row>
    <row r="655" spans="1:6">
      <c r="A655" s="10" t="s">
        <v>297</v>
      </c>
      <c r="B655" s="10" t="s">
        <v>108</v>
      </c>
      <c r="C655" s="10" t="s">
        <v>24</v>
      </c>
      <c r="D655" s="10">
        <v>3.2320000000000002</v>
      </c>
      <c r="F655" s="10" t="s">
        <v>519</v>
      </c>
    </row>
    <row r="656" spans="1:6">
      <c r="A656" s="10" t="s">
        <v>297</v>
      </c>
      <c r="B656" s="10" t="s">
        <v>485</v>
      </c>
      <c r="C656" s="10" t="s">
        <v>24</v>
      </c>
      <c r="D656" s="10">
        <v>4.4610000000000003</v>
      </c>
      <c r="F656" s="10" t="s">
        <v>519</v>
      </c>
    </row>
    <row r="657" spans="1:13">
      <c r="A657" s="10" t="s">
        <v>297</v>
      </c>
      <c r="B657" s="10" t="s">
        <v>481</v>
      </c>
      <c r="C657" s="10" t="s">
        <v>24</v>
      </c>
      <c r="D657" s="10">
        <v>90.465000000000003</v>
      </c>
      <c r="F657" s="10" t="s">
        <v>519</v>
      </c>
    </row>
    <row r="658" spans="1:13">
      <c r="A658" s="10" t="s">
        <v>297</v>
      </c>
      <c r="B658" s="10" t="s">
        <v>475</v>
      </c>
      <c r="C658" s="10" t="s">
        <v>24</v>
      </c>
      <c r="D658" s="10">
        <v>9.8729999999999993</v>
      </c>
      <c r="F658" s="10" t="s">
        <v>519</v>
      </c>
    </row>
    <row r="659" spans="1:13">
      <c r="A659" s="10" t="s">
        <v>297</v>
      </c>
      <c r="B659" s="10" t="s">
        <v>108</v>
      </c>
      <c r="C659" s="10" t="s">
        <v>473</v>
      </c>
      <c r="D659" s="10">
        <v>5.0039999999999996</v>
      </c>
      <c r="F659" s="10" t="s">
        <v>519</v>
      </c>
    </row>
    <row r="660" spans="1:13">
      <c r="A660" s="10" t="s">
        <v>297</v>
      </c>
      <c r="B660" s="10" t="s">
        <v>485</v>
      </c>
      <c r="C660" s="10" t="s">
        <v>473</v>
      </c>
      <c r="D660" s="10">
        <v>6.9050000000000002</v>
      </c>
      <c r="F660" s="10" t="s">
        <v>519</v>
      </c>
    </row>
    <row r="661" spans="1:13">
      <c r="A661" s="10" t="s">
        <v>297</v>
      </c>
      <c r="B661" s="10" t="s">
        <v>481</v>
      </c>
      <c r="C661" s="10" t="s">
        <v>473</v>
      </c>
      <c r="D661" s="10">
        <v>140.04400000000001</v>
      </c>
      <c r="F661" s="10" t="s">
        <v>519</v>
      </c>
    </row>
    <row r="662" spans="1:13">
      <c r="A662" s="10" t="s">
        <v>297</v>
      </c>
      <c r="B662" s="10" t="s">
        <v>475</v>
      </c>
      <c r="C662" s="10" t="s">
        <v>473</v>
      </c>
      <c r="D662" s="10">
        <v>15.284000000000001</v>
      </c>
      <c r="F662" s="10" t="s">
        <v>519</v>
      </c>
    </row>
    <row r="663" spans="1:13">
      <c r="A663" s="10" t="s">
        <v>297</v>
      </c>
      <c r="B663" s="10" t="s">
        <v>490</v>
      </c>
      <c r="C663" s="10" t="s">
        <v>24</v>
      </c>
      <c r="D663" s="10">
        <v>5</v>
      </c>
    </row>
    <row r="664" spans="1:13">
      <c r="A664" s="10" t="s">
        <v>298</v>
      </c>
      <c r="B664" s="10" t="s">
        <v>206</v>
      </c>
      <c r="C664" s="10" t="s">
        <v>276</v>
      </c>
      <c r="D664" s="10">
        <v>30.173999999999999</v>
      </c>
      <c r="G664" s="10" t="s">
        <v>310</v>
      </c>
      <c r="H664" s="10">
        <f>SUMIFS(D:D,A:A,G664,C:C,"Heat_District")</f>
        <v>15.141999999999999</v>
      </c>
      <c r="I664" s="68"/>
      <c r="J664" s="69"/>
      <c r="K664" s="69"/>
      <c r="L664" s="69"/>
      <c r="M664" s="69"/>
    </row>
    <row r="665" spans="1:13">
      <c r="A665" s="10" t="s">
        <v>298</v>
      </c>
      <c r="B665" s="10" t="s">
        <v>207</v>
      </c>
      <c r="C665" s="10" t="s">
        <v>276</v>
      </c>
      <c r="D665" s="10">
        <v>0</v>
      </c>
    </row>
    <row r="666" spans="1:13">
      <c r="A666" s="10" t="s">
        <v>298</v>
      </c>
      <c r="B666" s="10" t="s">
        <v>225</v>
      </c>
      <c r="C666" s="10" t="s">
        <v>276</v>
      </c>
      <c r="D666" s="10">
        <v>2.6924999999999999</v>
      </c>
    </row>
    <row r="667" spans="1:13">
      <c r="A667" s="10" t="s">
        <v>298</v>
      </c>
      <c r="B667" s="10" t="s">
        <v>217</v>
      </c>
      <c r="C667" s="10" t="s">
        <v>212</v>
      </c>
      <c r="D667" s="10">
        <v>15.1</v>
      </c>
    </row>
    <row r="668" spans="1:13">
      <c r="A668" s="10" t="s">
        <v>298</v>
      </c>
      <c r="B668" s="10" t="s">
        <v>219</v>
      </c>
      <c r="C668" s="10" t="s">
        <v>212</v>
      </c>
      <c r="D668" s="10">
        <v>0</v>
      </c>
    </row>
    <row r="669" spans="1:13">
      <c r="A669" s="10" t="s">
        <v>298</v>
      </c>
      <c r="B669" s="10" t="s">
        <v>237</v>
      </c>
      <c r="C669" s="10" t="s">
        <v>212</v>
      </c>
      <c r="D669" s="10">
        <v>27.36</v>
      </c>
    </row>
    <row r="670" spans="1:13">
      <c r="A670" s="10" t="s">
        <v>298</v>
      </c>
      <c r="B670" s="10" t="s">
        <v>227</v>
      </c>
      <c r="C670" s="10" t="s">
        <v>212</v>
      </c>
      <c r="D670" s="10">
        <v>13.68</v>
      </c>
    </row>
    <row r="671" spans="1:13">
      <c r="A671" s="10" t="s">
        <v>298</v>
      </c>
      <c r="B671" s="10" t="s">
        <v>226</v>
      </c>
      <c r="C671" s="10" t="s">
        <v>212</v>
      </c>
      <c r="D671" s="10">
        <v>12.58</v>
      </c>
    </row>
    <row r="672" spans="1:13">
      <c r="A672" s="10" t="s">
        <v>298</v>
      </c>
      <c r="B672" s="10" t="s">
        <v>470</v>
      </c>
      <c r="C672" s="10" t="s">
        <v>212</v>
      </c>
      <c r="D672" s="10">
        <v>0.60299999999999998</v>
      </c>
    </row>
    <row r="673" spans="1:4">
      <c r="A673" s="10" t="s">
        <v>298</v>
      </c>
      <c r="B673" s="10" t="s">
        <v>228</v>
      </c>
      <c r="C673" s="10" t="s">
        <v>213</v>
      </c>
      <c r="D673" s="10">
        <v>8.9909999999999997</v>
      </c>
    </row>
    <row r="674" spans="1:4">
      <c r="A674" s="10" t="s">
        <v>298</v>
      </c>
      <c r="B674" s="10" t="s">
        <v>229</v>
      </c>
      <c r="C674" s="10" t="s">
        <v>213</v>
      </c>
      <c r="D674" s="10">
        <v>1.367</v>
      </c>
    </row>
    <row r="675" spans="1:4">
      <c r="A675" s="10" t="s">
        <v>298</v>
      </c>
      <c r="B675" s="10" t="s">
        <v>240</v>
      </c>
      <c r="C675" s="10" t="s">
        <v>213</v>
      </c>
      <c r="D675" s="10">
        <v>0.2</v>
      </c>
    </row>
    <row r="676" spans="1:4">
      <c r="A676" s="10" t="s">
        <v>298</v>
      </c>
      <c r="B676" s="10" t="s">
        <v>231</v>
      </c>
      <c r="C676" s="10" t="s">
        <v>213</v>
      </c>
      <c r="D676" s="10">
        <v>9.4550000000000001</v>
      </c>
    </row>
    <row r="677" spans="1:4">
      <c r="A677" s="10" t="s">
        <v>298</v>
      </c>
      <c r="B677" s="10" t="s">
        <v>471</v>
      </c>
      <c r="C677" s="10" t="s">
        <v>214</v>
      </c>
      <c r="D677" s="10">
        <v>17.765999999999998</v>
      </c>
    </row>
    <row r="678" spans="1:4">
      <c r="A678" s="10" t="s">
        <v>298</v>
      </c>
      <c r="B678" s="10" t="s">
        <v>248</v>
      </c>
      <c r="C678" s="10" t="s">
        <v>214</v>
      </c>
      <c r="D678" s="10">
        <v>1.4350000000000001</v>
      </c>
    </row>
    <row r="679" spans="1:4">
      <c r="A679" s="10" t="s">
        <v>298</v>
      </c>
      <c r="B679" s="10" t="s">
        <v>245</v>
      </c>
      <c r="C679" s="10" t="s">
        <v>214</v>
      </c>
      <c r="D679" s="10">
        <v>3.669</v>
      </c>
    </row>
    <row r="680" spans="1:4">
      <c r="A680" s="10" t="s">
        <v>298</v>
      </c>
      <c r="B680" s="10" t="s">
        <v>244</v>
      </c>
      <c r="C680" s="10" t="s">
        <v>214</v>
      </c>
      <c r="D680" s="10">
        <v>4.2930000000000001</v>
      </c>
    </row>
    <row r="681" spans="1:4">
      <c r="A681" s="10" t="s">
        <v>298</v>
      </c>
      <c r="B681" s="10" t="s">
        <v>481</v>
      </c>
      <c r="C681" s="10" t="s">
        <v>24</v>
      </c>
      <c r="D681" s="10">
        <v>8.375</v>
      </c>
    </row>
    <row r="682" spans="1:4">
      <c r="A682" s="10" t="s">
        <v>298</v>
      </c>
      <c r="B682" s="10" t="s">
        <v>490</v>
      </c>
      <c r="C682" s="10" t="s">
        <v>24</v>
      </c>
      <c r="D682" s="10">
        <v>3.395</v>
      </c>
    </row>
    <row r="683" spans="1:4">
      <c r="A683" s="10" t="s">
        <v>298</v>
      </c>
      <c r="B683" s="10" t="s">
        <v>475</v>
      </c>
      <c r="C683" s="10" t="s">
        <v>24</v>
      </c>
      <c r="D683" s="10">
        <v>0.85599999999999998</v>
      </c>
    </row>
    <row r="684" spans="1:4">
      <c r="A684" s="10" t="s">
        <v>298</v>
      </c>
      <c r="B684" s="10" t="s">
        <v>235</v>
      </c>
      <c r="C684" s="10" t="s">
        <v>276</v>
      </c>
      <c r="D684" s="10">
        <v>15.367000000000001</v>
      </c>
    </row>
    <row r="685" spans="1:4">
      <c r="A685" s="10" t="s">
        <v>298</v>
      </c>
      <c r="B685" s="10" t="s">
        <v>236</v>
      </c>
      <c r="C685" s="10" t="s">
        <v>276</v>
      </c>
      <c r="D685" s="10">
        <v>0.80900000000000005</v>
      </c>
    </row>
    <row r="686" spans="1:4">
      <c r="A686" s="10" t="s">
        <v>298</v>
      </c>
      <c r="B686" s="10" t="s">
        <v>233</v>
      </c>
      <c r="C686" s="10" t="s">
        <v>276</v>
      </c>
      <c r="D686" s="10">
        <f>161.76-D684-D685</f>
        <v>145.584</v>
      </c>
    </row>
    <row r="687" spans="1:4">
      <c r="A687" s="10" t="s">
        <v>357</v>
      </c>
      <c r="B687" s="10" t="s">
        <v>106</v>
      </c>
      <c r="C687" s="10" t="s">
        <v>24</v>
      </c>
      <c r="D687" s="10">
        <v>172.494</v>
      </c>
    </row>
    <row r="688" spans="1:4">
      <c r="A688" s="10" t="s">
        <v>357</v>
      </c>
      <c r="B688" s="10" t="s">
        <v>235</v>
      </c>
      <c r="C688" s="10" t="s">
        <v>276</v>
      </c>
      <c r="D688" s="10">
        <v>1E-3</v>
      </c>
    </row>
    <row r="689" spans="1:4">
      <c r="A689" s="10" t="s">
        <v>357</v>
      </c>
      <c r="B689" s="10" t="s">
        <v>236</v>
      </c>
      <c r="C689" s="10" t="s">
        <v>276</v>
      </c>
      <c r="D689" s="10">
        <v>0</v>
      </c>
    </row>
    <row r="690" spans="1:4">
      <c r="A690" s="10" t="s">
        <v>357</v>
      </c>
      <c r="B690" s="10" t="s">
        <v>106</v>
      </c>
      <c r="C690" s="10" t="s">
        <v>24</v>
      </c>
      <c r="D690" s="10">
        <v>172.494</v>
      </c>
    </row>
    <row r="691" spans="1:4">
      <c r="A691" s="10" t="s">
        <v>357</v>
      </c>
      <c r="B691" s="10" t="s">
        <v>22</v>
      </c>
      <c r="C691" s="10" t="s">
        <v>24</v>
      </c>
      <c r="D691" s="10">
        <v>0.65900000000000003</v>
      </c>
    </row>
    <row r="692" spans="1:4">
      <c r="A692" s="10" t="s">
        <v>357</v>
      </c>
      <c r="B692" s="10" t="s">
        <v>207</v>
      </c>
      <c r="C692" s="10" t="s">
        <v>276</v>
      </c>
      <c r="D692" s="10">
        <v>13.534000000000001</v>
      </c>
    </row>
    <row r="693" spans="1:4">
      <c r="A693" s="10" t="s">
        <v>357</v>
      </c>
      <c r="B693" s="10" t="s">
        <v>225</v>
      </c>
      <c r="C693" s="10" t="s">
        <v>276</v>
      </c>
      <c r="D693" s="10">
        <v>15.19</v>
      </c>
    </row>
    <row r="694" spans="1:4">
      <c r="A694" s="10" t="s">
        <v>357</v>
      </c>
      <c r="B694" s="10" t="s">
        <v>206</v>
      </c>
      <c r="C694" s="10" t="s">
        <v>276</v>
      </c>
      <c r="D694" s="10">
        <v>69.275999999999996</v>
      </c>
    </row>
    <row r="695" spans="1:4">
      <c r="A695" s="10" t="s">
        <v>357</v>
      </c>
      <c r="B695" s="10" t="s">
        <v>244</v>
      </c>
      <c r="C695" s="10" t="s">
        <v>214</v>
      </c>
      <c r="D695" s="10">
        <v>1.36</v>
      </c>
    </row>
    <row r="696" spans="1:4">
      <c r="A696" s="10" t="s">
        <v>357</v>
      </c>
      <c r="B696" s="10" t="s">
        <v>245</v>
      </c>
      <c r="C696" s="10" t="s">
        <v>214</v>
      </c>
      <c r="D696" s="10">
        <v>1.7999999999999999E-2</v>
      </c>
    </row>
    <row r="697" spans="1:4">
      <c r="A697" s="10" t="s">
        <v>357</v>
      </c>
      <c r="B697" s="10" t="s">
        <v>217</v>
      </c>
      <c r="C697" s="10" t="s">
        <v>212</v>
      </c>
      <c r="D697" s="10">
        <v>1.8120000000000001</v>
      </c>
    </row>
    <row r="698" spans="1:4">
      <c r="A698" s="10" t="s">
        <v>357</v>
      </c>
      <c r="B698" s="10" t="s">
        <v>237</v>
      </c>
      <c r="C698" s="10" t="s">
        <v>212</v>
      </c>
      <c r="D698" s="10">
        <v>0.34100000000000003</v>
      </c>
    </row>
    <row r="699" spans="1:4">
      <c r="A699" s="10" t="s">
        <v>357</v>
      </c>
      <c r="B699" s="10" t="s">
        <v>219</v>
      </c>
      <c r="C699" s="10" t="s">
        <v>212</v>
      </c>
      <c r="D699" s="10">
        <v>0.255</v>
      </c>
    </row>
    <row r="700" spans="1:4">
      <c r="A700" s="10" t="s">
        <v>357</v>
      </c>
      <c r="B700" s="10" t="s">
        <v>220</v>
      </c>
      <c r="C700" s="10" t="s">
        <v>212</v>
      </c>
      <c r="D700" s="10">
        <v>0.997</v>
      </c>
    </row>
    <row r="701" spans="1:4">
      <c r="A701" s="10" t="s">
        <v>357</v>
      </c>
      <c r="B701" s="10" t="s">
        <v>227</v>
      </c>
      <c r="C701" s="10" t="s">
        <v>212</v>
      </c>
      <c r="D701" s="10">
        <v>3.5950000000000002</v>
      </c>
    </row>
    <row r="702" spans="1:4">
      <c r="A702" s="10" t="s">
        <v>357</v>
      </c>
      <c r="B702" s="10" t="s">
        <v>228</v>
      </c>
      <c r="C702" s="10" t="s">
        <v>213</v>
      </c>
      <c r="D702" s="10">
        <v>1.978</v>
      </c>
    </row>
    <row r="703" spans="1:4">
      <c r="A703" s="10" t="s">
        <v>357</v>
      </c>
      <c r="B703" s="10" t="s">
        <v>229</v>
      </c>
      <c r="C703" s="10" t="s">
        <v>213</v>
      </c>
      <c r="D703" s="10">
        <v>2.6240000000000001</v>
      </c>
    </row>
    <row r="704" spans="1:4">
      <c r="A704" s="10" t="s">
        <v>357</v>
      </c>
      <c r="B704" s="10" t="s">
        <v>231</v>
      </c>
      <c r="C704" s="10" t="s">
        <v>213</v>
      </c>
      <c r="D704" s="10">
        <v>7.6580000000000004</v>
      </c>
    </row>
    <row r="705" spans="1:13">
      <c r="A705" s="10" t="s">
        <v>357</v>
      </c>
      <c r="B705" s="10" t="s">
        <v>240</v>
      </c>
      <c r="C705" s="10" t="s">
        <v>213</v>
      </c>
      <c r="D705" s="10">
        <v>0.41799999999999998</v>
      </c>
    </row>
    <row r="706" spans="1:13">
      <c r="A706" s="10" t="s">
        <v>299</v>
      </c>
      <c r="B706" s="10" t="s">
        <v>206</v>
      </c>
      <c r="C706" s="10" t="s">
        <v>276</v>
      </c>
      <c r="D706" s="10">
        <v>90.222999999999999</v>
      </c>
      <c r="G706" s="10" t="s">
        <v>297</v>
      </c>
      <c r="H706" s="10">
        <f>SUMIFS(D:D,A:A,G706,C:C,"Heat_District")</f>
        <v>167.23699999999999</v>
      </c>
      <c r="I706" s="68"/>
      <c r="J706" s="69"/>
      <c r="K706" s="69"/>
      <c r="L706" s="69"/>
      <c r="M706" s="69"/>
    </row>
    <row r="707" spans="1:13">
      <c r="A707" s="10" t="s">
        <v>299</v>
      </c>
      <c r="B707" s="10" t="s">
        <v>207</v>
      </c>
      <c r="C707" s="10" t="s">
        <v>276</v>
      </c>
      <c r="D707" s="10">
        <v>326.25400000000002</v>
      </c>
    </row>
    <row r="708" spans="1:13">
      <c r="A708" s="10" t="s">
        <v>299</v>
      </c>
      <c r="B708" s="10" t="s">
        <v>225</v>
      </c>
      <c r="C708" s="10" t="s">
        <v>276</v>
      </c>
      <c r="D708" s="10">
        <v>22.446000000000002</v>
      </c>
    </row>
    <row r="709" spans="1:13">
      <c r="A709" s="10" t="s">
        <v>299</v>
      </c>
      <c r="B709" s="10" t="s">
        <v>217</v>
      </c>
      <c r="C709" s="10" t="s">
        <v>212</v>
      </c>
      <c r="D709" s="10">
        <v>2.7370000000000001</v>
      </c>
    </row>
    <row r="710" spans="1:13">
      <c r="A710" s="10" t="s">
        <v>299</v>
      </c>
      <c r="B710" s="10" t="s">
        <v>219</v>
      </c>
      <c r="C710" s="10" t="s">
        <v>212</v>
      </c>
      <c r="D710" s="10">
        <v>14.157</v>
      </c>
    </row>
    <row r="711" spans="1:13">
      <c r="A711" s="10" t="s">
        <v>299</v>
      </c>
      <c r="B711" s="10" t="s">
        <v>237</v>
      </c>
      <c r="C711" s="10" t="s">
        <v>212</v>
      </c>
      <c r="D711" s="10">
        <v>0.313</v>
      </c>
    </row>
    <row r="712" spans="1:13">
      <c r="A712" s="10" t="s">
        <v>299</v>
      </c>
      <c r="B712" s="10" t="s">
        <v>227</v>
      </c>
      <c r="C712" s="10" t="s">
        <v>212</v>
      </c>
      <c r="D712" s="10">
        <v>2.464</v>
      </c>
    </row>
    <row r="713" spans="1:13">
      <c r="A713" s="10" t="s">
        <v>299</v>
      </c>
      <c r="B713" s="10" t="s">
        <v>469</v>
      </c>
      <c r="C713" s="10" t="s">
        <v>212</v>
      </c>
      <c r="D713" s="10">
        <v>12.039</v>
      </c>
    </row>
    <row r="714" spans="1:13">
      <c r="A714" s="10" t="s">
        <v>299</v>
      </c>
      <c r="B714" s="10" t="s">
        <v>470</v>
      </c>
      <c r="C714" s="10" t="s">
        <v>212</v>
      </c>
      <c r="D714" s="10">
        <v>20.045000000000002</v>
      </c>
    </row>
    <row r="715" spans="1:13">
      <c r="A715" s="10" t="s">
        <v>299</v>
      </c>
      <c r="B715" s="10" t="s">
        <v>228</v>
      </c>
      <c r="C715" s="10" t="s">
        <v>213</v>
      </c>
      <c r="D715" s="10">
        <v>35.697000000000003</v>
      </c>
    </row>
    <row r="716" spans="1:13">
      <c r="A716" s="10" t="s">
        <v>299</v>
      </c>
      <c r="B716" s="10" t="s">
        <v>229</v>
      </c>
      <c r="C716" s="10" t="s">
        <v>213</v>
      </c>
      <c r="D716" s="10">
        <v>37.768000000000001</v>
      </c>
    </row>
    <row r="717" spans="1:13">
      <c r="A717" s="10" t="s">
        <v>299</v>
      </c>
      <c r="B717" s="10" t="s">
        <v>240</v>
      </c>
      <c r="C717" s="10" t="s">
        <v>213</v>
      </c>
      <c r="D717" s="10">
        <v>2.0510000000000002</v>
      </c>
    </row>
    <row r="718" spans="1:13">
      <c r="A718" s="10" t="s">
        <v>299</v>
      </c>
      <c r="B718" s="10" t="s">
        <v>231</v>
      </c>
      <c r="C718" s="10" t="s">
        <v>213</v>
      </c>
      <c r="D718" s="10">
        <v>14.977</v>
      </c>
    </row>
    <row r="719" spans="1:13">
      <c r="A719" s="10" t="s">
        <v>299</v>
      </c>
      <c r="B719" s="10" t="s">
        <v>471</v>
      </c>
      <c r="C719" s="10" t="s">
        <v>214</v>
      </c>
      <c r="D719" s="10">
        <v>93.400999999999996</v>
      </c>
    </row>
    <row r="720" spans="1:13">
      <c r="A720" s="10" t="s">
        <v>299</v>
      </c>
      <c r="B720" s="10" t="s">
        <v>248</v>
      </c>
      <c r="C720" s="10" t="s">
        <v>214</v>
      </c>
      <c r="D720" s="10">
        <v>0.72399999999999998</v>
      </c>
    </row>
    <row r="721" spans="1:6">
      <c r="A721" s="10" t="s">
        <v>299</v>
      </c>
      <c r="B721" s="10" t="s">
        <v>245</v>
      </c>
      <c r="C721" s="10" t="s">
        <v>214</v>
      </c>
      <c r="D721" s="10">
        <v>9.0239999999999991</v>
      </c>
    </row>
    <row r="722" spans="1:6">
      <c r="A722" s="10" t="s">
        <v>299</v>
      </c>
      <c r="B722" s="10" t="s">
        <v>244</v>
      </c>
      <c r="C722" s="10" t="s">
        <v>214</v>
      </c>
      <c r="D722" s="10">
        <v>56.753</v>
      </c>
    </row>
    <row r="723" spans="1:6">
      <c r="A723" s="10" t="s">
        <v>299</v>
      </c>
      <c r="B723" s="10" t="s">
        <v>163</v>
      </c>
      <c r="C723" s="10" t="s">
        <v>24</v>
      </c>
      <c r="D723" s="10">
        <v>18.262</v>
      </c>
    </row>
    <row r="724" spans="1:6">
      <c r="A724" s="10" t="s">
        <v>299</v>
      </c>
      <c r="B724" s="10" t="s">
        <v>107</v>
      </c>
      <c r="C724" s="10" t="s">
        <v>24</v>
      </c>
      <c r="D724" s="10">
        <v>218.84399999999999</v>
      </c>
    </row>
    <row r="725" spans="1:6">
      <c r="A725" s="10" t="s">
        <v>299</v>
      </c>
      <c r="B725" s="10" t="s">
        <v>106</v>
      </c>
      <c r="C725" s="10" t="s">
        <v>24</v>
      </c>
      <c r="D725" s="10">
        <v>177.114</v>
      </c>
    </row>
    <row r="726" spans="1:6">
      <c r="A726" s="10" t="s">
        <v>299</v>
      </c>
      <c r="B726" s="10" t="s">
        <v>235</v>
      </c>
      <c r="C726" s="10" t="s">
        <v>276</v>
      </c>
      <c r="D726" s="10">
        <v>0.40899999999999997</v>
      </c>
    </row>
    <row r="727" spans="1:6">
      <c r="A727" s="10" t="s">
        <v>299</v>
      </c>
      <c r="B727" s="10" t="s">
        <v>236</v>
      </c>
      <c r="C727" s="10" t="s">
        <v>276</v>
      </c>
      <c r="D727" s="10">
        <v>2.1999999999999999E-2</v>
      </c>
    </row>
    <row r="728" spans="1:6">
      <c r="A728" s="10" t="s">
        <v>299</v>
      </c>
      <c r="B728" s="10" t="s">
        <v>233</v>
      </c>
      <c r="C728" s="10" t="s">
        <v>276</v>
      </c>
      <c r="D728" s="10">
        <v>9.6010000000000009</v>
      </c>
    </row>
    <row r="729" spans="1:6">
      <c r="A729" s="10" t="s">
        <v>299</v>
      </c>
      <c r="B729" s="10" t="s">
        <v>108</v>
      </c>
      <c r="C729" s="10" t="s">
        <v>24</v>
      </c>
      <c r="D729" s="10">
        <v>68.933999999999997</v>
      </c>
      <c r="F729" s="10" t="s">
        <v>519</v>
      </c>
    </row>
    <row r="730" spans="1:6">
      <c r="A730" s="10" t="s">
        <v>299</v>
      </c>
      <c r="B730" s="10" t="s">
        <v>485</v>
      </c>
      <c r="C730" s="10" t="s">
        <v>24</v>
      </c>
      <c r="D730" s="10">
        <v>7.2670000000000003</v>
      </c>
      <c r="F730" s="10" t="s">
        <v>519</v>
      </c>
    </row>
    <row r="731" spans="1:6">
      <c r="A731" s="10" t="s">
        <v>299</v>
      </c>
      <c r="B731" s="10" t="s">
        <v>481</v>
      </c>
      <c r="C731" s="10" t="s">
        <v>24</v>
      </c>
      <c r="D731" s="10">
        <v>12.769</v>
      </c>
      <c r="F731" s="10" t="s">
        <v>519</v>
      </c>
    </row>
    <row r="732" spans="1:6">
      <c r="A732" s="10" t="s">
        <v>299</v>
      </c>
      <c r="B732" s="10" t="s">
        <v>475</v>
      </c>
      <c r="C732" s="10" t="s">
        <v>24</v>
      </c>
      <c r="D732" s="10">
        <v>13.391999999999999</v>
      </c>
      <c r="F732" s="10" t="s">
        <v>519</v>
      </c>
    </row>
    <row r="733" spans="1:6">
      <c r="A733" s="10" t="s">
        <v>299</v>
      </c>
      <c r="B733" s="10" t="s">
        <v>108</v>
      </c>
      <c r="C733" s="10" t="s">
        <v>473</v>
      </c>
      <c r="D733" s="10">
        <v>164.05199999999999</v>
      </c>
      <c r="F733" s="10" t="s">
        <v>519</v>
      </c>
    </row>
    <row r="734" spans="1:6">
      <c r="A734" s="10" t="s">
        <v>299</v>
      </c>
      <c r="B734" s="10" t="s">
        <v>485</v>
      </c>
      <c r="C734" s="10" t="s">
        <v>473</v>
      </c>
      <c r="D734" s="10">
        <v>17.295000000000002</v>
      </c>
      <c r="F734" s="10" t="s">
        <v>519</v>
      </c>
    </row>
    <row r="735" spans="1:6">
      <c r="A735" s="10" t="s">
        <v>299</v>
      </c>
      <c r="B735" s="10" t="s">
        <v>481</v>
      </c>
      <c r="C735" s="10" t="s">
        <v>473</v>
      </c>
      <c r="D735" s="10">
        <v>30.388999999999999</v>
      </c>
      <c r="F735" s="10" t="s">
        <v>519</v>
      </c>
    </row>
    <row r="736" spans="1:6">
      <c r="A736" s="10" t="s">
        <v>299</v>
      </c>
      <c r="B736" s="10" t="s">
        <v>475</v>
      </c>
      <c r="C736" s="10" t="s">
        <v>473</v>
      </c>
      <c r="D736" s="10">
        <v>31.872</v>
      </c>
      <c r="F736" s="10" t="s">
        <v>519</v>
      </c>
    </row>
    <row r="737" spans="1:13">
      <c r="A737" s="10" t="s">
        <v>300</v>
      </c>
      <c r="B737" s="10" t="s">
        <v>206</v>
      </c>
      <c r="C737" s="10" t="s">
        <v>276</v>
      </c>
      <c r="D737" s="10">
        <v>21.96</v>
      </c>
      <c r="G737" s="10" t="s">
        <v>298</v>
      </c>
      <c r="H737" s="10">
        <f>SUMIFS(D:D,A:A,G737,C:C,"Heat_District")</f>
        <v>0</v>
      </c>
      <c r="I737" s="68"/>
      <c r="J737" s="69"/>
      <c r="K737" s="69"/>
      <c r="L737" s="69"/>
      <c r="M737" s="69"/>
    </row>
    <row r="738" spans="1:13">
      <c r="A738" s="10" t="s">
        <v>300</v>
      </c>
      <c r="B738" s="10" t="s">
        <v>207</v>
      </c>
      <c r="C738" s="10" t="s">
        <v>276</v>
      </c>
      <c r="D738" s="10">
        <v>8.6999999999999994E-2</v>
      </c>
    </row>
    <row r="739" spans="1:13">
      <c r="A739" s="10" t="s">
        <v>300</v>
      </c>
      <c r="B739" s="10" t="s">
        <v>225</v>
      </c>
      <c r="C739" s="10" t="s">
        <v>276</v>
      </c>
      <c r="D739" s="10">
        <v>10.823</v>
      </c>
    </row>
    <row r="740" spans="1:13">
      <c r="A740" s="10" t="s">
        <v>300</v>
      </c>
      <c r="B740" s="10" t="s">
        <v>217</v>
      </c>
      <c r="C740" s="10" t="s">
        <v>212</v>
      </c>
      <c r="D740" s="10">
        <v>1.3029999999999999</v>
      </c>
    </row>
    <row r="741" spans="1:13">
      <c r="A741" s="10" t="s">
        <v>300</v>
      </c>
      <c r="B741" s="10" t="s">
        <v>219</v>
      </c>
      <c r="C741" s="10" t="s">
        <v>212</v>
      </c>
      <c r="D741" s="10">
        <v>1E-3</v>
      </c>
    </row>
    <row r="742" spans="1:13">
      <c r="A742" s="10" t="s">
        <v>300</v>
      </c>
      <c r="B742" s="10" t="s">
        <v>237</v>
      </c>
      <c r="C742" s="10" t="s">
        <v>212</v>
      </c>
      <c r="D742" s="10">
        <v>1.4E-2</v>
      </c>
    </row>
    <row r="743" spans="1:13">
      <c r="A743" s="10" t="s">
        <v>300</v>
      </c>
      <c r="B743" s="10" t="s">
        <v>227</v>
      </c>
      <c r="C743" s="10" t="s">
        <v>212</v>
      </c>
      <c r="D743" s="10">
        <v>1.054</v>
      </c>
    </row>
    <row r="744" spans="1:13">
      <c r="A744" s="10" t="s">
        <v>300</v>
      </c>
      <c r="B744" s="10" t="s">
        <v>469</v>
      </c>
      <c r="C744" s="10" t="s">
        <v>212</v>
      </c>
      <c r="D744" s="10">
        <v>0</v>
      </c>
    </row>
    <row r="745" spans="1:13">
      <c r="A745" s="10" t="s">
        <v>300</v>
      </c>
      <c r="B745" s="10" t="s">
        <v>470</v>
      </c>
      <c r="C745" s="10" t="s">
        <v>212</v>
      </c>
      <c r="D745" s="10">
        <v>7.101</v>
      </c>
    </row>
    <row r="746" spans="1:13">
      <c r="A746" s="10" t="s">
        <v>300</v>
      </c>
      <c r="B746" s="10" t="s">
        <v>228</v>
      </c>
      <c r="C746" s="10" t="s">
        <v>213</v>
      </c>
      <c r="D746" s="10">
        <v>30.54</v>
      </c>
    </row>
    <row r="747" spans="1:13">
      <c r="A747" s="10" t="s">
        <v>300</v>
      </c>
      <c r="B747" s="10" t="s">
        <v>229</v>
      </c>
      <c r="C747" s="10" t="s">
        <v>213</v>
      </c>
      <c r="D747" s="10">
        <v>0.05</v>
      </c>
    </row>
    <row r="748" spans="1:13">
      <c r="A748" s="10" t="s">
        <v>300</v>
      </c>
      <c r="B748" s="10" t="s">
        <v>240</v>
      </c>
      <c r="C748" s="10" t="s">
        <v>213</v>
      </c>
      <c r="D748" s="10">
        <v>0.308</v>
      </c>
    </row>
    <row r="749" spans="1:13">
      <c r="A749" s="10" t="s">
        <v>300</v>
      </c>
      <c r="B749" s="10" t="s">
        <v>231</v>
      </c>
      <c r="C749" s="10" t="s">
        <v>213</v>
      </c>
      <c r="D749" s="10">
        <v>5.8959999999999999</v>
      </c>
    </row>
    <row r="750" spans="1:13">
      <c r="A750" s="10" t="s">
        <v>300</v>
      </c>
      <c r="B750" s="10" t="s">
        <v>471</v>
      </c>
      <c r="C750" s="10" t="s">
        <v>214</v>
      </c>
      <c r="D750" s="10">
        <v>0.54400000000000004</v>
      </c>
    </row>
    <row r="751" spans="1:13">
      <c r="A751" s="10" t="s">
        <v>300</v>
      </c>
      <c r="B751" s="10" t="s">
        <v>248</v>
      </c>
      <c r="C751" s="10" t="s">
        <v>214</v>
      </c>
      <c r="D751" s="10">
        <v>3.798</v>
      </c>
    </row>
    <row r="752" spans="1:13">
      <c r="A752" s="10" t="s">
        <v>300</v>
      </c>
      <c r="B752" s="10" t="s">
        <v>245</v>
      </c>
      <c r="C752" s="10" t="s">
        <v>214</v>
      </c>
      <c r="D752" s="10">
        <v>3.2919999999999998</v>
      </c>
    </row>
    <row r="753" spans="1:6">
      <c r="A753" s="10" t="s">
        <v>300</v>
      </c>
      <c r="B753" s="10" t="s">
        <v>244</v>
      </c>
      <c r="C753" s="10" t="s">
        <v>214</v>
      </c>
      <c r="D753" s="10">
        <v>16.387</v>
      </c>
    </row>
    <row r="754" spans="1:6">
      <c r="A754" s="10" t="s">
        <v>300</v>
      </c>
      <c r="B754" s="10" t="s">
        <v>488</v>
      </c>
      <c r="C754" s="10" t="s">
        <v>24</v>
      </c>
      <c r="D754" s="10">
        <v>46.006200000000007</v>
      </c>
    </row>
    <row r="755" spans="1:6">
      <c r="A755" s="10" t="s">
        <v>300</v>
      </c>
      <c r="B755" s="10" t="s">
        <v>163</v>
      </c>
      <c r="C755" s="10" t="s">
        <v>24</v>
      </c>
      <c r="D755" s="10">
        <v>9.4930000000000003</v>
      </c>
    </row>
    <row r="756" spans="1:6">
      <c r="A756" s="10" t="s">
        <v>300</v>
      </c>
      <c r="B756" s="10" t="s">
        <v>107</v>
      </c>
      <c r="C756" s="10" t="s">
        <v>24</v>
      </c>
      <c r="D756" s="10">
        <v>43.856999999999999</v>
      </c>
    </row>
    <row r="757" spans="1:6">
      <c r="A757" s="10" t="s">
        <v>300</v>
      </c>
      <c r="B757" s="10" t="s">
        <v>235</v>
      </c>
      <c r="C757" s="10" t="s">
        <v>276</v>
      </c>
      <c r="D757" s="10">
        <v>1E-3</v>
      </c>
    </row>
    <row r="758" spans="1:6">
      <c r="A758" s="10" t="s">
        <v>300</v>
      </c>
      <c r="B758" s="10" t="s">
        <v>236</v>
      </c>
      <c r="C758" s="10" t="s">
        <v>276</v>
      </c>
      <c r="D758" s="10">
        <v>0</v>
      </c>
    </row>
    <row r="759" spans="1:6">
      <c r="A759" s="10" t="s">
        <v>300</v>
      </c>
      <c r="B759" s="10" t="s">
        <v>233</v>
      </c>
      <c r="C759" s="10" t="s">
        <v>276</v>
      </c>
      <c r="D759" s="10">
        <v>7.0039999999999996</v>
      </c>
    </row>
    <row r="760" spans="1:6">
      <c r="A760" s="10" t="s">
        <v>300</v>
      </c>
      <c r="B760" s="10" t="s">
        <v>485</v>
      </c>
      <c r="C760" s="10" t="s">
        <v>24</v>
      </c>
      <c r="D760" s="10">
        <v>1.56</v>
      </c>
      <c r="F760" s="10" t="s">
        <v>519</v>
      </c>
    </row>
    <row r="761" spans="1:6">
      <c r="A761" s="10" t="s">
        <v>300</v>
      </c>
      <c r="B761" s="10" t="s">
        <v>481</v>
      </c>
      <c r="C761" s="10" t="s">
        <v>24</v>
      </c>
      <c r="D761" s="10">
        <v>10.196999999999999</v>
      </c>
      <c r="F761" s="10" t="s">
        <v>519</v>
      </c>
    </row>
    <row r="762" spans="1:6">
      <c r="A762" s="10" t="s">
        <v>300</v>
      </c>
      <c r="B762" s="10" t="s">
        <v>475</v>
      </c>
      <c r="C762" s="10" t="s">
        <v>24</v>
      </c>
      <c r="D762" s="10">
        <v>10.234</v>
      </c>
      <c r="F762" s="10" t="s">
        <v>519</v>
      </c>
    </row>
    <row r="763" spans="1:6">
      <c r="A763" s="10" t="s">
        <v>300</v>
      </c>
      <c r="B763" s="10" t="s">
        <v>485</v>
      </c>
      <c r="C763" s="10" t="s">
        <v>473</v>
      </c>
      <c r="D763" s="10">
        <v>4.2069999999999999</v>
      </c>
      <c r="F763" s="10" t="s">
        <v>519</v>
      </c>
    </row>
    <row r="764" spans="1:6">
      <c r="A764" s="10" t="s">
        <v>300</v>
      </c>
      <c r="B764" s="10" t="s">
        <v>481</v>
      </c>
      <c r="C764" s="10" t="s">
        <v>473</v>
      </c>
      <c r="D764" s="10">
        <v>27.489000000000001</v>
      </c>
      <c r="F764" s="10" t="s">
        <v>519</v>
      </c>
    </row>
    <row r="765" spans="1:6">
      <c r="A765" s="10" t="s">
        <v>300</v>
      </c>
      <c r="B765" s="10" t="s">
        <v>475</v>
      </c>
      <c r="C765" s="10" t="s">
        <v>473</v>
      </c>
      <c r="D765" s="10">
        <v>27.59</v>
      </c>
      <c r="F765" s="10" t="s">
        <v>519</v>
      </c>
    </row>
    <row r="766" spans="1:6">
      <c r="A766" s="10" t="s">
        <v>300</v>
      </c>
      <c r="B766" s="10" t="s">
        <v>108</v>
      </c>
      <c r="C766" s="10" t="s">
        <v>473</v>
      </c>
      <c r="D766" s="10">
        <v>0</v>
      </c>
      <c r="F766" s="10" t="s">
        <v>519</v>
      </c>
    </row>
    <row r="767" spans="1:6">
      <c r="A767" s="10" t="s">
        <v>300</v>
      </c>
      <c r="B767" s="10" t="s">
        <v>108</v>
      </c>
      <c r="C767" s="10" t="s">
        <v>24</v>
      </c>
      <c r="D767" s="10">
        <v>0</v>
      </c>
      <c r="F767" s="10" t="s">
        <v>519</v>
      </c>
    </row>
    <row r="768" spans="1:6">
      <c r="A768" s="10" t="s">
        <v>300</v>
      </c>
      <c r="B768" s="10" t="s">
        <v>58</v>
      </c>
      <c r="C768" s="10" t="s">
        <v>24</v>
      </c>
      <c r="D768" s="10">
        <v>2.4790000000000001</v>
      </c>
      <c r="F768" s="10" t="s">
        <v>520</v>
      </c>
    </row>
    <row r="769" spans="1:13">
      <c r="A769" s="10" t="s">
        <v>301</v>
      </c>
      <c r="B769" s="10" t="s">
        <v>206</v>
      </c>
      <c r="C769" s="10" t="s">
        <v>276</v>
      </c>
      <c r="D769" s="10">
        <v>141.58500000000001</v>
      </c>
      <c r="G769" s="10" t="s">
        <v>299</v>
      </c>
      <c r="H769" s="10">
        <f>SUMIFS(D:D,A:A,G769,C:C,"Heat_District")</f>
        <v>243.608</v>
      </c>
      <c r="I769" s="68"/>
      <c r="J769" s="69"/>
      <c r="K769" s="69"/>
      <c r="L769" s="69"/>
      <c r="M769" s="69"/>
    </row>
    <row r="770" spans="1:13">
      <c r="A770" s="10" t="s">
        <v>301</v>
      </c>
      <c r="B770" s="10" t="s">
        <v>207</v>
      </c>
      <c r="C770" s="10" t="s">
        <v>276</v>
      </c>
      <c r="D770" s="10">
        <v>2.2970000000000002</v>
      </c>
    </row>
    <row r="771" spans="1:13">
      <c r="A771" s="10" t="s">
        <v>301</v>
      </c>
      <c r="B771" s="10" t="s">
        <v>225</v>
      </c>
      <c r="C771" s="10" t="s">
        <v>276</v>
      </c>
      <c r="D771" s="10">
        <v>11.797000000000001</v>
      </c>
    </row>
    <row r="772" spans="1:13">
      <c r="A772" s="10" t="s">
        <v>301</v>
      </c>
      <c r="B772" s="10" t="s">
        <v>217</v>
      </c>
      <c r="C772" s="10" t="s">
        <v>212</v>
      </c>
      <c r="D772" s="10">
        <v>1.0129999999999999</v>
      </c>
    </row>
    <row r="773" spans="1:13">
      <c r="A773" s="10" t="s">
        <v>301</v>
      </c>
      <c r="B773" s="10" t="s">
        <v>219</v>
      </c>
      <c r="C773" s="10" t="s">
        <v>212</v>
      </c>
      <c r="D773" s="10">
        <v>0.318</v>
      </c>
    </row>
    <row r="774" spans="1:13">
      <c r="A774" s="10" t="s">
        <v>301</v>
      </c>
      <c r="B774" s="10" t="s">
        <v>237</v>
      </c>
      <c r="C774" s="10" t="s">
        <v>212</v>
      </c>
      <c r="D774" s="10">
        <v>3.5999999999999997E-2</v>
      </c>
    </row>
    <row r="775" spans="1:13">
      <c r="A775" s="10" t="s">
        <v>301</v>
      </c>
      <c r="B775" s="10" t="s">
        <v>227</v>
      </c>
      <c r="C775" s="10" t="s">
        <v>212</v>
      </c>
      <c r="D775" s="10">
        <v>0.45600000000000002</v>
      </c>
    </row>
    <row r="776" spans="1:13">
      <c r="A776" s="10" t="s">
        <v>301</v>
      </c>
      <c r="B776" s="10" t="s">
        <v>469</v>
      </c>
      <c r="C776" s="10" t="s">
        <v>212</v>
      </c>
      <c r="D776" s="10">
        <v>0.82299999999999995</v>
      </c>
    </row>
    <row r="777" spans="1:13">
      <c r="A777" s="10" t="s">
        <v>301</v>
      </c>
      <c r="B777" s="10" t="s">
        <v>470</v>
      </c>
      <c r="C777" s="10" t="s">
        <v>212</v>
      </c>
      <c r="D777" s="10">
        <v>6.6619999999999999</v>
      </c>
    </row>
    <row r="778" spans="1:13">
      <c r="A778" s="10" t="s">
        <v>301</v>
      </c>
      <c r="B778" s="10" t="s">
        <v>228</v>
      </c>
      <c r="C778" s="10" t="s">
        <v>213</v>
      </c>
      <c r="D778" s="10">
        <v>5.65</v>
      </c>
    </row>
    <row r="779" spans="1:13">
      <c r="A779" s="10" t="s">
        <v>301</v>
      </c>
      <c r="B779" s="10" t="s">
        <v>229</v>
      </c>
      <c r="C779" s="10" t="s">
        <v>213</v>
      </c>
      <c r="D779" s="10">
        <v>2.1280000000000001</v>
      </c>
    </row>
    <row r="780" spans="1:13">
      <c r="A780" s="10" t="s">
        <v>301</v>
      </c>
      <c r="B780" s="10" t="s">
        <v>240</v>
      </c>
      <c r="C780" s="10" t="s">
        <v>213</v>
      </c>
      <c r="D780" s="10">
        <v>0.52800000000000002</v>
      </c>
    </row>
    <row r="781" spans="1:13">
      <c r="A781" s="10" t="s">
        <v>301</v>
      </c>
      <c r="B781" s="10" t="s">
        <v>231</v>
      </c>
      <c r="C781" s="10" t="s">
        <v>213</v>
      </c>
      <c r="D781" s="10">
        <v>4.5049999999999999</v>
      </c>
    </row>
    <row r="782" spans="1:13">
      <c r="A782" s="10" t="s">
        <v>301</v>
      </c>
      <c r="B782" s="10" t="s">
        <v>471</v>
      </c>
      <c r="C782" s="10" t="s">
        <v>214</v>
      </c>
      <c r="D782" s="10">
        <v>21.125</v>
      </c>
    </row>
    <row r="783" spans="1:13">
      <c r="A783" s="10" t="s">
        <v>301</v>
      </c>
      <c r="B783" s="10" t="s">
        <v>248</v>
      </c>
      <c r="C783" s="10" t="s">
        <v>214</v>
      </c>
      <c r="D783" s="10">
        <v>1.657</v>
      </c>
    </row>
    <row r="784" spans="1:13">
      <c r="A784" s="10" t="s">
        <v>301</v>
      </c>
      <c r="B784" s="10" t="s">
        <v>245</v>
      </c>
      <c r="C784" s="10" t="s">
        <v>214</v>
      </c>
      <c r="D784" s="10">
        <v>3.0310000000000001</v>
      </c>
    </row>
    <row r="785" spans="1:6">
      <c r="A785" s="10" t="s">
        <v>301</v>
      </c>
      <c r="B785" s="10" t="s">
        <v>244</v>
      </c>
      <c r="C785" s="10" t="s">
        <v>214</v>
      </c>
      <c r="D785" s="10">
        <v>45.387</v>
      </c>
    </row>
    <row r="786" spans="1:6">
      <c r="A786" s="10" t="s">
        <v>301</v>
      </c>
      <c r="B786" s="10" t="s">
        <v>488</v>
      </c>
      <c r="C786" s="10" t="s">
        <v>24</v>
      </c>
      <c r="D786" s="10">
        <v>21.088999999999999</v>
      </c>
    </row>
    <row r="787" spans="1:6">
      <c r="A787" s="10" t="s">
        <v>301</v>
      </c>
      <c r="B787" s="10" t="s">
        <v>489</v>
      </c>
      <c r="C787" s="10" t="s">
        <v>24</v>
      </c>
      <c r="D787" s="10">
        <v>4.6040000000000001</v>
      </c>
    </row>
    <row r="788" spans="1:6">
      <c r="A788" s="10" t="s">
        <v>301</v>
      </c>
      <c r="B788" s="10" t="s">
        <v>163</v>
      </c>
      <c r="C788" s="10" t="s">
        <v>24</v>
      </c>
      <c r="D788" s="10">
        <v>1.2150000000000001</v>
      </c>
    </row>
    <row r="789" spans="1:6">
      <c r="A789" s="10" t="s">
        <v>301</v>
      </c>
      <c r="B789" s="10" t="s">
        <v>23</v>
      </c>
      <c r="C789" s="10" t="s">
        <v>24</v>
      </c>
      <c r="D789" s="10">
        <v>38.030999999999999</v>
      </c>
    </row>
    <row r="790" spans="1:6">
      <c r="A790" s="10" t="s">
        <v>301</v>
      </c>
      <c r="B790" s="10" t="s">
        <v>106</v>
      </c>
      <c r="C790" s="10" t="s">
        <v>24</v>
      </c>
      <c r="D790" s="10">
        <v>52.04</v>
      </c>
    </row>
    <row r="791" spans="1:6">
      <c r="A791" s="10" t="s">
        <v>301</v>
      </c>
      <c r="B791" s="10" t="s">
        <v>235</v>
      </c>
      <c r="C791" s="10" t="s">
        <v>276</v>
      </c>
      <c r="D791" s="10">
        <v>1E-3</v>
      </c>
    </row>
    <row r="792" spans="1:6">
      <c r="A792" s="10" t="s">
        <v>301</v>
      </c>
      <c r="B792" s="10" t="s">
        <v>236</v>
      </c>
      <c r="C792" s="10" t="s">
        <v>276</v>
      </c>
      <c r="D792" s="10">
        <v>0</v>
      </c>
    </row>
    <row r="793" spans="1:6">
      <c r="A793" s="10" t="s">
        <v>301</v>
      </c>
      <c r="B793" s="10" t="s">
        <v>233</v>
      </c>
      <c r="C793" s="10" t="s">
        <v>276</v>
      </c>
      <c r="D793" s="10">
        <v>3.0150000000000001</v>
      </c>
    </row>
    <row r="794" spans="1:6">
      <c r="A794" s="10" t="s">
        <v>301</v>
      </c>
      <c r="B794" s="10" t="s">
        <v>109</v>
      </c>
      <c r="C794" s="10" t="s">
        <v>24</v>
      </c>
      <c r="D794" s="10">
        <v>4.5519999999999996</v>
      </c>
      <c r="F794" s="10" t="s">
        <v>519</v>
      </c>
    </row>
    <row r="795" spans="1:6">
      <c r="A795" s="10" t="s">
        <v>301</v>
      </c>
      <c r="B795" s="10" t="s">
        <v>485</v>
      </c>
      <c r="C795" s="10" t="s">
        <v>24</v>
      </c>
      <c r="D795" s="10">
        <v>0.59199999999999997</v>
      </c>
      <c r="F795" s="10" t="s">
        <v>519</v>
      </c>
    </row>
    <row r="796" spans="1:6">
      <c r="A796" s="10" t="s">
        <v>301</v>
      </c>
      <c r="B796" s="10" t="s">
        <v>481</v>
      </c>
      <c r="C796" s="10" t="s">
        <v>24</v>
      </c>
      <c r="D796" s="10">
        <v>13.106999999999999</v>
      </c>
      <c r="F796" s="10" t="s">
        <v>519</v>
      </c>
    </row>
    <row r="797" spans="1:6">
      <c r="A797" s="10" t="s">
        <v>301</v>
      </c>
      <c r="B797" s="10" t="s">
        <v>475</v>
      </c>
      <c r="C797" s="10" t="s">
        <v>24</v>
      </c>
      <c r="D797" s="10">
        <v>1.0980000000000001</v>
      </c>
      <c r="F797" s="10" t="s">
        <v>519</v>
      </c>
    </row>
    <row r="798" spans="1:6">
      <c r="A798" s="10" t="s">
        <v>301</v>
      </c>
      <c r="B798" s="10" t="s">
        <v>109</v>
      </c>
      <c r="C798" s="10" t="s">
        <v>473</v>
      </c>
      <c r="D798" s="10">
        <v>9.8930000000000007</v>
      </c>
      <c r="F798" s="10" t="s">
        <v>519</v>
      </c>
    </row>
    <row r="799" spans="1:6">
      <c r="A799" s="10" t="s">
        <v>301</v>
      </c>
      <c r="B799" s="10" t="s">
        <v>485</v>
      </c>
      <c r="C799" s="10" t="s">
        <v>473</v>
      </c>
      <c r="D799" s="10">
        <v>1.286</v>
      </c>
      <c r="F799" s="10" t="s">
        <v>519</v>
      </c>
    </row>
    <row r="800" spans="1:6">
      <c r="A800" s="10" t="s">
        <v>301</v>
      </c>
      <c r="B800" s="10" t="s">
        <v>481</v>
      </c>
      <c r="C800" s="10" t="s">
        <v>473</v>
      </c>
      <c r="D800" s="10">
        <v>28.484999999999999</v>
      </c>
      <c r="F800" s="10" t="s">
        <v>519</v>
      </c>
    </row>
    <row r="801" spans="1:13">
      <c r="A801" s="10" t="s">
        <v>301</v>
      </c>
      <c r="B801" s="10" t="s">
        <v>475</v>
      </c>
      <c r="C801" s="10" t="s">
        <v>473</v>
      </c>
      <c r="D801" s="10">
        <v>2.387</v>
      </c>
      <c r="F801" s="10" t="s">
        <v>519</v>
      </c>
    </row>
    <row r="802" spans="1:13">
      <c r="A802" s="10" t="s">
        <v>303</v>
      </c>
      <c r="B802" s="10" t="s">
        <v>206</v>
      </c>
      <c r="C802" s="10" t="s">
        <v>276</v>
      </c>
      <c r="D802" s="10">
        <v>47.070999999999998</v>
      </c>
      <c r="G802" s="10" t="s">
        <v>304</v>
      </c>
      <c r="H802" s="10">
        <f>SUMIFS(D:D,A:A,G802,C:C,"Heat_District")</f>
        <v>11.058000000000002</v>
      </c>
      <c r="I802" s="68"/>
      <c r="J802" s="69"/>
      <c r="K802" s="69"/>
      <c r="L802" s="69"/>
      <c r="M802" s="69"/>
    </row>
    <row r="803" spans="1:13">
      <c r="A803" s="10" t="s">
        <v>303</v>
      </c>
      <c r="B803" s="10" t="s">
        <v>207</v>
      </c>
      <c r="C803" s="10" t="s">
        <v>276</v>
      </c>
      <c r="D803" s="10">
        <v>4.2220000000000004</v>
      </c>
    </row>
    <row r="804" spans="1:13">
      <c r="A804" s="10" t="s">
        <v>303</v>
      </c>
      <c r="B804" s="10" t="s">
        <v>225</v>
      </c>
      <c r="C804" s="10" t="s">
        <v>276</v>
      </c>
      <c r="D804" s="10">
        <v>19.209</v>
      </c>
    </row>
    <row r="805" spans="1:13">
      <c r="A805" s="10" t="s">
        <v>303</v>
      </c>
      <c r="B805" s="10" t="s">
        <v>217</v>
      </c>
      <c r="C805" s="10" t="s">
        <v>212</v>
      </c>
      <c r="D805" s="10">
        <v>2.468</v>
      </c>
    </row>
    <row r="806" spans="1:13">
      <c r="A806" s="10" t="s">
        <v>303</v>
      </c>
      <c r="B806" s="10" t="s">
        <v>219</v>
      </c>
      <c r="C806" s="10" t="s">
        <v>212</v>
      </c>
      <c r="D806" s="10">
        <v>0.114</v>
      </c>
    </row>
    <row r="807" spans="1:13">
      <c r="A807" s="10" t="s">
        <v>303</v>
      </c>
      <c r="B807" s="10" t="s">
        <v>237</v>
      </c>
      <c r="C807" s="10" t="s">
        <v>212</v>
      </c>
      <c r="D807" s="10">
        <v>1.4E-2</v>
      </c>
    </row>
    <row r="808" spans="1:13">
      <c r="A808" s="10" t="s">
        <v>303</v>
      </c>
      <c r="B808" s="10" t="s">
        <v>227</v>
      </c>
      <c r="C808" s="10" t="s">
        <v>212</v>
      </c>
      <c r="D808" s="10">
        <v>0.58799999999999997</v>
      </c>
    </row>
    <row r="809" spans="1:13">
      <c r="A809" s="10" t="s">
        <v>303</v>
      </c>
      <c r="B809" s="10" t="s">
        <v>469</v>
      </c>
      <c r="C809" s="10" t="s">
        <v>212</v>
      </c>
      <c r="D809" s="10">
        <v>0</v>
      </c>
    </row>
    <row r="810" spans="1:13">
      <c r="A810" s="10" t="s">
        <v>303</v>
      </c>
      <c r="B810" s="10" t="s">
        <v>470</v>
      </c>
      <c r="C810" s="10" t="s">
        <v>212</v>
      </c>
      <c r="D810" s="10">
        <v>9.8330000000000002</v>
      </c>
    </row>
    <row r="811" spans="1:13">
      <c r="A811" s="10" t="s">
        <v>303</v>
      </c>
      <c r="B811" s="10" t="s">
        <v>228</v>
      </c>
      <c r="C811" s="10" t="s">
        <v>213</v>
      </c>
      <c r="D811" s="10">
        <v>124.405</v>
      </c>
    </row>
    <row r="812" spans="1:13">
      <c r="A812" s="10" t="s">
        <v>303</v>
      </c>
      <c r="B812" s="10" t="s">
        <v>229</v>
      </c>
      <c r="C812" s="10" t="s">
        <v>213</v>
      </c>
      <c r="D812" s="10">
        <v>9.2479999999999993</v>
      </c>
    </row>
    <row r="813" spans="1:13">
      <c r="A813" s="10" t="s">
        <v>303</v>
      </c>
      <c r="B813" s="10" t="s">
        <v>240</v>
      </c>
      <c r="C813" s="10" t="s">
        <v>213</v>
      </c>
      <c r="D813" s="10">
        <v>0.82</v>
      </c>
    </row>
    <row r="814" spans="1:13">
      <c r="A814" s="10" t="s">
        <v>303</v>
      </c>
      <c r="B814" s="10" t="s">
        <v>231</v>
      </c>
      <c r="C814" s="10" t="s">
        <v>213</v>
      </c>
      <c r="D814" s="10">
        <v>17.117000000000001</v>
      </c>
    </row>
    <row r="815" spans="1:13">
      <c r="A815" s="10" t="s">
        <v>303</v>
      </c>
      <c r="B815" s="10" t="s">
        <v>471</v>
      </c>
      <c r="C815" s="10" t="s">
        <v>214</v>
      </c>
      <c r="D815" s="10">
        <v>20.693000000000001</v>
      </c>
    </row>
    <row r="816" spans="1:13">
      <c r="A816" s="10" t="s">
        <v>303</v>
      </c>
      <c r="B816" s="10" t="s">
        <v>248</v>
      </c>
      <c r="C816" s="10" t="s">
        <v>214</v>
      </c>
      <c r="D816" s="10">
        <v>1.1890000000000001</v>
      </c>
    </row>
    <row r="817" spans="1:6">
      <c r="A817" s="10" t="s">
        <v>303</v>
      </c>
      <c r="B817" s="10" t="s">
        <v>245</v>
      </c>
      <c r="C817" s="10" t="s">
        <v>214</v>
      </c>
      <c r="D817" s="10">
        <v>2.89</v>
      </c>
    </row>
    <row r="818" spans="1:6">
      <c r="A818" s="10" t="s">
        <v>303</v>
      </c>
      <c r="B818" s="10" t="s">
        <v>244</v>
      </c>
      <c r="C818" s="10" t="s">
        <v>214</v>
      </c>
      <c r="D818" s="10">
        <v>3.472</v>
      </c>
    </row>
    <row r="819" spans="1:6">
      <c r="A819" s="10" t="s">
        <v>303</v>
      </c>
      <c r="B819" s="10" t="s">
        <v>107</v>
      </c>
      <c r="C819" s="10" t="s">
        <v>24</v>
      </c>
      <c r="D819" s="10">
        <v>0.50700000000000001</v>
      </c>
    </row>
    <row r="820" spans="1:6">
      <c r="A820" s="10" t="s">
        <v>303</v>
      </c>
      <c r="B820" s="10" t="s">
        <v>107</v>
      </c>
      <c r="C820" s="10" t="s">
        <v>24</v>
      </c>
      <c r="D820" s="10">
        <v>0.50700000000000001</v>
      </c>
    </row>
    <row r="821" spans="1:6">
      <c r="A821" s="10" t="s">
        <v>303</v>
      </c>
      <c r="B821" s="10" t="s">
        <v>58</v>
      </c>
      <c r="C821" s="10" t="s">
        <v>24</v>
      </c>
      <c r="D821" s="10">
        <v>0.69799999999999995</v>
      </c>
    </row>
    <row r="822" spans="1:6">
      <c r="A822" s="10" t="s">
        <v>303</v>
      </c>
      <c r="B822" s="10" t="s">
        <v>58</v>
      </c>
      <c r="C822" s="10" t="s">
        <v>24</v>
      </c>
      <c r="D822" s="10">
        <v>0.69799999999999995</v>
      </c>
    </row>
    <row r="823" spans="1:6">
      <c r="A823" s="10" t="s">
        <v>303</v>
      </c>
      <c r="B823" s="10" t="s">
        <v>23</v>
      </c>
      <c r="C823" s="10" t="s">
        <v>24</v>
      </c>
      <c r="D823" s="10">
        <v>233.78800000000001</v>
      </c>
    </row>
    <row r="824" spans="1:6">
      <c r="A824" s="10" t="s">
        <v>303</v>
      </c>
      <c r="B824" s="10" t="s">
        <v>23</v>
      </c>
      <c r="C824" s="10" t="s">
        <v>24</v>
      </c>
      <c r="D824" s="10">
        <v>233.78800000000001</v>
      </c>
    </row>
    <row r="825" spans="1:6">
      <c r="A825" s="10" t="s">
        <v>303</v>
      </c>
      <c r="B825" s="10" t="s">
        <v>235</v>
      </c>
      <c r="C825" s="10" t="s">
        <v>276</v>
      </c>
      <c r="D825" s="10">
        <v>54.972999999999999</v>
      </c>
    </row>
    <row r="826" spans="1:6">
      <c r="A826" s="10" t="s">
        <v>303</v>
      </c>
      <c r="B826" s="10" t="s">
        <v>236</v>
      </c>
      <c r="C826" s="10" t="s">
        <v>276</v>
      </c>
      <c r="D826" s="10">
        <v>2.8929999999999998</v>
      </c>
    </row>
    <row r="827" spans="1:6">
      <c r="A827" s="10" t="s">
        <v>303</v>
      </c>
      <c r="B827" s="10" t="s">
        <v>233</v>
      </c>
      <c r="C827" s="10" t="s">
        <v>276</v>
      </c>
      <c r="D827" s="10">
        <v>65.337999999999994</v>
      </c>
    </row>
    <row r="828" spans="1:6">
      <c r="A828" s="10" t="s">
        <v>303</v>
      </c>
      <c r="B828" s="10" t="s">
        <v>108</v>
      </c>
      <c r="C828" s="10" t="s">
        <v>24</v>
      </c>
      <c r="D828" s="10">
        <v>3.3769999999999998</v>
      </c>
      <c r="F828" s="10" t="s">
        <v>519</v>
      </c>
    </row>
    <row r="829" spans="1:6">
      <c r="A829" s="10" t="s">
        <v>303</v>
      </c>
      <c r="B829" s="10" t="s">
        <v>485</v>
      </c>
      <c r="C829" s="10" t="s">
        <v>24</v>
      </c>
      <c r="D829" s="10">
        <v>0.16600000000000001</v>
      </c>
      <c r="F829" s="10" t="s">
        <v>519</v>
      </c>
    </row>
    <row r="830" spans="1:6">
      <c r="A830" s="10" t="s">
        <v>303</v>
      </c>
      <c r="B830" s="10" t="s">
        <v>481</v>
      </c>
      <c r="C830" s="10" t="s">
        <v>24</v>
      </c>
      <c r="D830" s="10">
        <v>1.423</v>
      </c>
      <c r="F830" s="10" t="s">
        <v>519</v>
      </c>
    </row>
    <row r="831" spans="1:6">
      <c r="A831" s="10" t="s">
        <v>303</v>
      </c>
      <c r="B831" s="10" t="s">
        <v>475</v>
      </c>
      <c r="C831" s="10" t="s">
        <v>24</v>
      </c>
      <c r="D831" s="10">
        <v>19.100000000000001</v>
      </c>
      <c r="F831" s="10" t="s">
        <v>519</v>
      </c>
    </row>
    <row r="832" spans="1:6">
      <c r="A832" s="10" t="s">
        <v>303</v>
      </c>
      <c r="B832" s="10" t="s">
        <v>108</v>
      </c>
      <c r="C832" s="10" t="s">
        <v>473</v>
      </c>
      <c r="D832" s="10">
        <v>9.3490000000000002</v>
      </c>
      <c r="F832" s="10" t="s">
        <v>519</v>
      </c>
    </row>
    <row r="833" spans="1:13">
      <c r="A833" s="10" t="s">
        <v>303</v>
      </c>
      <c r="B833" s="10" t="s">
        <v>485</v>
      </c>
      <c r="C833" s="10" t="s">
        <v>473</v>
      </c>
      <c r="D833" s="10">
        <v>0.45800000000000002</v>
      </c>
      <c r="F833" s="10" t="s">
        <v>519</v>
      </c>
    </row>
    <row r="834" spans="1:13">
      <c r="A834" s="10" t="s">
        <v>303</v>
      </c>
      <c r="B834" s="10" t="s">
        <v>481</v>
      </c>
      <c r="C834" s="10" t="s">
        <v>473</v>
      </c>
      <c r="D834" s="10">
        <v>3.9380000000000002</v>
      </c>
      <c r="F834" s="10" t="s">
        <v>519</v>
      </c>
    </row>
    <row r="835" spans="1:13">
      <c r="A835" s="10" t="s">
        <v>303</v>
      </c>
      <c r="B835" s="10" t="s">
        <v>475</v>
      </c>
      <c r="C835" s="10" t="s">
        <v>473</v>
      </c>
      <c r="D835" s="10">
        <v>52.871000000000002</v>
      </c>
      <c r="F835" s="10" t="s">
        <v>519</v>
      </c>
    </row>
    <row r="836" spans="1:13">
      <c r="A836" s="10" t="s">
        <v>304</v>
      </c>
      <c r="B836" s="10" t="s">
        <v>206</v>
      </c>
      <c r="C836" s="10" t="s">
        <v>276</v>
      </c>
      <c r="D836" s="10">
        <v>14.808999999999999</v>
      </c>
      <c r="G836" s="10" t="s">
        <v>301</v>
      </c>
      <c r="H836" s="10">
        <f>SUMIFS(D:D,A:A,G836,C:C,"Heat_District")</f>
        <v>42.051000000000002</v>
      </c>
      <c r="I836" s="68"/>
      <c r="J836" s="69"/>
      <c r="K836" s="69"/>
      <c r="L836" s="69"/>
      <c r="M836" s="69"/>
    </row>
    <row r="837" spans="1:13">
      <c r="A837" s="10" t="s">
        <v>304</v>
      </c>
      <c r="B837" s="10" t="s">
        <v>207</v>
      </c>
      <c r="C837" s="10" t="s">
        <v>276</v>
      </c>
      <c r="D837" s="10">
        <v>8.5000000000000006E-2</v>
      </c>
    </row>
    <row r="838" spans="1:13">
      <c r="A838" s="10" t="s">
        <v>304</v>
      </c>
      <c r="B838" s="10" t="s">
        <v>225</v>
      </c>
      <c r="C838" s="10" t="s">
        <v>276</v>
      </c>
      <c r="D838" s="10">
        <v>9.7089999999999996</v>
      </c>
    </row>
    <row r="839" spans="1:13">
      <c r="A839" s="10" t="s">
        <v>304</v>
      </c>
      <c r="B839" s="10" t="s">
        <v>217</v>
      </c>
      <c r="C839" s="10" t="s">
        <v>212</v>
      </c>
      <c r="D839" s="10">
        <v>0.11700000000000001</v>
      </c>
    </row>
    <row r="840" spans="1:13">
      <c r="A840" s="10" t="s">
        <v>304</v>
      </c>
      <c r="B840" s="10" t="s">
        <v>219</v>
      </c>
      <c r="C840" s="10" t="s">
        <v>212</v>
      </c>
      <c r="D840" s="10">
        <v>1.2E-2</v>
      </c>
    </row>
    <row r="841" spans="1:13">
      <c r="A841" s="10" t="s">
        <v>304</v>
      </c>
      <c r="B841" s="10" t="s">
        <v>237</v>
      </c>
      <c r="C841" s="10" t="s">
        <v>212</v>
      </c>
      <c r="D841" s="10">
        <v>1.4999999999999999E-2</v>
      </c>
    </row>
    <row r="842" spans="1:13">
      <c r="A842" s="10" t="s">
        <v>304</v>
      </c>
      <c r="B842" s="10" t="s">
        <v>227</v>
      </c>
      <c r="C842" s="10" t="s">
        <v>212</v>
      </c>
      <c r="D842" s="10">
        <v>6.3E-2</v>
      </c>
    </row>
    <row r="843" spans="1:13">
      <c r="A843" s="10" t="s">
        <v>304</v>
      </c>
      <c r="B843" s="10" t="s">
        <v>469</v>
      </c>
      <c r="C843" s="10" t="s">
        <v>212</v>
      </c>
      <c r="D843" s="10">
        <v>0.14399999999999999</v>
      </c>
    </row>
    <row r="844" spans="1:13">
      <c r="A844" s="10" t="s">
        <v>304</v>
      </c>
      <c r="B844" s="10" t="s">
        <v>470</v>
      </c>
      <c r="C844" s="10" t="s">
        <v>212</v>
      </c>
      <c r="D844" s="10">
        <v>1.456</v>
      </c>
    </row>
    <row r="845" spans="1:13">
      <c r="A845" s="10" t="s">
        <v>304</v>
      </c>
      <c r="B845" s="10" t="s">
        <v>228</v>
      </c>
      <c r="C845" s="10" t="s">
        <v>213</v>
      </c>
      <c r="D845" s="10">
        <v>1.18</v>
      </c>
    </row>
    <row r="846" spans="1:13">
      <c r="A846" s="10" t="s">
        <v>304</v>
      </c>
      <c r="B846" s="10" t="s">
        <v>229</v>
      </c>
      <c r="C846" s="10" t="s">
        <v>213</v>
      </c>
      <c r="D846" s="10">
        <v>0.77600000000000002</v>
      </c>
    </row>
    <row r="847" spans="1:13">
      <c r="A847" s="10" t="s">
        <v>304</v>
      </c>
      <c r="B847" s="10" t="s">
        <v>240</v>
      </c>
      <c r="C847" s="10" t="s">
        <v>213</v>
      </c>
      <c r="D847" s="10">
        <v>8.2000000000000003E-2</v>
      </c>
    </row>
    <row r="848" spans="1:13">
      <c r="A848" s="10" t="s">
        <v>304</v>
      </c>
      <c r="B848" s="10" t="s">
        <v>231</v>
      </c>
      <c r="C848" s="10" t="s">
        <v>213</v>
      </c>
      <c r="D848" s="10">
        <v>1.425</v>
      </c>
    </row>
    <row r="849" spans="1:6">
      <c r="A849" s="10" t="s">
        <v>304</v>
      </c>
      <c r="B849" s="10" t="s">
        <v>471</v>
      </c>
      <c r="C849" s="10" t="s">
        <v>214</v>
      </c>
      <c r="D849" s="10">
        <v>0.90500000000000003</v>
      </c>
    </row>
    <row r="850" spans="1:6">
      <c r="A850" s="10" t="s">
        <v>304</v>
      </c>
      <c r="B850" s="10" t="s">
        <v>248</v>
      </c>
      <c r="C850" s="10" t="s">
        <v>214</v>
      </c>
      <c r="D850" s="10">
        <v>0.32700000000000001</v>
      </c>
    </row>
    <row r="851" spans="1:6">
      <c r="A851" s="10" t="s">
        <v>304</v>
      </c>
      <c r="B851" s="10" t="s">
        <v>245</v>
      </c>
      <c r="C851" s="10" t="s">
        <v>214</v>
      </c>
      <c r="D851" s="10">
        <v>1.276</v>
      </c>
    </row>
    <row r="852" spans="1:6">
      <c r="A852" s="10" t="s">
        <v>304</v>
      </c>
      <c r="B852" s="10" t="s">
        <v>244</v>
      </c>
      <c r="C852" s="10" t="s">
        <v>214</v>
      </c>
      <c r="D852" s="10">
        <v>6.4059999999999997</v>
      </c>
    </row>
    <row r="853" spans="1:6">
      <c r="A853" s="10" t="s">
        <v>304</v>
      </c>
      <c r="B853" s="10" t="s">
        <v>490</v>
      </c>
      <c r="C853" s="10" t="s">
        <v>24</v>
      </c>
      <c r="D853" s="10">
        <v>0.91600000000000004</v>
      </c>
    </row>
    <row r="854" spans="1:6">
      <c r="A854" s="10" t="s">
        <v>304</v>
      </c>
      <c r="B854" s="10" t="s">
        <v>163</v>
      </c>
      <c r="C854" s="10" t="s">
        <v>24</v>
      </c>
      <c r="D854" s="10">
        <v>0.77200000000000002</v>
      </c>
    </row>
    <row r="855" spans="1:6">
      <c r="A855" s="10" t="s">
        <v>304</v>
      </c>
      <c r="B855" s="10" t="s">
        <v>23</v>
      </c>
      <c r="C855" s="10" t="s">
        <v>24</v>
      </c>
      <c r="D855" s="10">
        <v>19.701000000000001</v>
      </c>
    </row>
    <row r="856" spans="1:6">
      <c r="A856" s="10" t="s">
        <v>304</v>
      </c>
      <c r="B856" s="10" t="s">
        <v>106</v>
      </c>
      <c r="C856" s="10" t="s">
        <v>24</v>
      </c>
      <c r="D856" s="10">
        <v>15.19</v>
      </c>
    </row>
    <row r="857" spans="1:6">
      <c r="A857" s="10" t="s">
        <v>304</v>
      </c>
      <c r="B857" s="10" t="s">
        <v>235</v>
      </c>
      <c r="C857" s="10" t="s">
        <v>276</v>
      </c>
      <c r="D857" s="10">
        <v>1E-3</v>
      </c>
    </row>
    <row r="858" spans="1:6">
      <c r="A858" s="10" t="s">
        <v>304</v>
      </c>
      <c r="B858" s="10" t="s">
        <v>236</v>
      </c>
      <c r="C858" s="10" t="s">
        <v>276</v>
      </c>
      <c r="D858" s="10">
        <v>0</v>
      </c>
    </row>
    <row r="859" spans="1:6">
      <c r="A859" s="10" t="s">
        <v>304</v>
      </c>
      <c r="B859" s="10" t="s">
        <v>233</v>
      </c>
      <c r="C859" s="10" t="s">
        <v>276</v>
      </c>
      <c r="D859" s="10">
        <v>1.7</v>
      </c>
    </row>
    <row r="860" spans="1:6">
      <c r="A860" s="10" t="s">
        <v>304</v>
      </c>
      <c r="B860" s="10" t="s">
        <v>108</v>
      </c>
      <c r="C860" s="10" t="s">
        <v>24</v>
      </c>
      <c r="D860" s="10">
        <v>2.254</v>
      </c>
      <c r="F860" s="10" t="s">
        <v>519</v>
      </c>
    </row>
    <row r="861" spans="1:6">
      <c r="A861" s="10" t="s">
        <v>304</v>
      </c>
      <c r="B861" s="10" t="s">
        <v>485</v>
      </c>
      <c r="C861" s="10" t="s">
        <v>24</v>
      </c>
      <c r="D861" s="10">
        <v>1.4999999999999999E-2</v>
      </c>
      <c r="F861" s="10" t="s">
        <v>519</v>
      </c>
    </row>
    <row r="862" spans="1:6">
      <c r="A862" s="10" t="s">
        <v>304</v>
      </c>
      <c r="B862" s="10" t="s">
        <v>481</v>
      </c>
      <c r="C862" s="10" t="s">
        <v>24</v>
      </c>
      <c r="D862" s="10">
        <v>1.391</v>
      </c>
      <c r="F862" s="10" t="s">
        <v>519</v>
      </c>
    </row>
    <row r="863" spans="1:6">
      <c r="A863" s="10" t="s">
        <v>304</v>
      </c>
      <c r="B863" s="10" t="s">
        <v>475</v>
      </c>
      <c r="C863" s="10" t="s">
        <v>24</v>
      </c>
      <c r="D863" s="10">
        <v>0.91500000000000004</v>
      </c>
      <c r="F863" s="10" t="s">
        <v>519</v>
      </c>
    </row>
    <row r="864" spans="1:6">
      <c r="A864" s="10" t="s">
        <v>304</v>
      </c>
      <c r="B864" s="10" t="s">
        <v>108</v>
      </c>
      <c r="C864" s="10" t="s">
        <v>473</v>
      </c>
      <c r="D864" s="10">
        <v>5.45</v>
      </c>
      <c r="F864" s="10" t="s">
        <v>519</v>
      </c>
    </row>
    <row r="865" spans="1:13">
      <c r="A865" s="10" t="s">
        <v>304</v>
      </c>
      <c r="B865" s="10" t="s">
        <v>485</v>
      </c>
      <c r="C865" s="10" t="s">
        <v>473</v>
      </c>
      <c r="D865" s="10">
        <v>3.5000000000000003E-2</v>
      </c>
      <c r="F865" s="10" t="s">
        <v>519</v>
      </c>
    </row>
    <row r="866" spans="1:13">
      <c r="A866" s="10" t="s">
        <v>304</v>
      </c>
      <c r="B866" s="10" t="s">
        <v>481</v>
      </c>
      <c r="C866" s="10" t="s">
        <v>473</v>
      </c>
      <c r="D866" s="10">
        <v>3.3620000000000001</v>
      </c>
      <c r="F866" s="10" t="s">
        <v>519</v>
      </c>
    </row>
    <row r="867" spans="1:13">
      <c r="A867" s="10" t="s">
        <v>304</v>
      </c>
      <c r="B867" s="10" t="s">
        <v>475</v>
      </c>
      <c r="C867" s="10" t="s">
        <v>473</v>
      </c>
      <c r="D867" s="10">
        <v>2.2109999999999999</v>
      </c>
      <c r="F867" s="10" t="s">
        <v>519</v>
      </c>
    </row>
    <row r="868" spans="1:13">
      <c r="A868" s="10" t="s">
        <v>305</v>
      </c>
      <c r="B868" s="10" t="s">
        <v>206</v>
      </c>
      <c r="C868" s="10" t="s">
        <v>276</v>
      </c>
      <c r="D868" s="10">
        <v>1.931</v>
      </c>
      <c r="G868" s="10" t="s">
        <v>300</v>
      </c>
      <c r="H868" s="10">
        <f>SUMIFS(D:D,A:A,G868,C:C,"Heat_District")</f>
        <v>59.286000000000001</v>
      </c>
      <c r="I868" s="68"/>
      <c r="J868" s="69"/>
      <c r="K868" s="69"/>
      <c r="L868" s="69"/>
      <c r="M868" s="69"/>
    </row>
    <row r="869" spans="1:13">
      <c r="A869" s="10" t="s">
        <v>305</v>
      </c>
      <c r="B869" s="10" t="s">
        <v>207</v>
      </c>
      <c r="C869" s="10" t="s">
        <v>276</v>
      </c>
      <c r="D869" s="10">
        <v>6.7569999999999997</v>
      </c>
    </row>
    <row r="870" spans="1:13">
      <c r="A870" s="10" t="s">
        <v>305</v>
      </c>
      <c r="B870" s="10" t="s">
        <v>225</v>
      </c>
      <c r="C870" s="10" t="s">
        <v>276</v>
      </c>
      <c r="D870" s="10">
        <v>0.92800000000000005</v>
      </c>
    </row>
    <row r="871" spans="1:13">
      <c r="A871" s="10" t="s">
        <v>305</v>
      </c>
      <c r="B871" s="10" t="s">
        <v>217</v>
      </c>
      <c r="C871" s="10" t="s">
        <v>212</v>
      </c>
      <c r="D871" s="10">
        <v>0.42499999999999999</v>
      </c>
    </row>
    <row r="872" spans="1:13">
      <c r="A872" s="10" t="s">
        <v>305</v>
      </c>
      <c r="B872" s="10" t="s">
        <v>219</v>
      </c>
      <c r="C872" s="10" t="s">
        <v>212</v>
      </c>
      <c r="D872" s="10">
        <v>0.35099999999999998</v>
      </c>
    </row>
    <row r="873" spans="1:13">
      <c r="A873" s="10" t="s">
        <v>305</v>
      </c>
      <c r="B873" s="10" t="s">
        <v>237</v>
      </c>
      <c r="C873" s="10" t="s">
        <v>212</v>
      </c>
      <c r="D873" s="10">
        <v>0</v>
      </c>
    </row>
    <row r="874" spans="1:13">
      <c r="A874" s="10" t="s">
        <v>305</v>
      </c>
      <c r="B874" s="10" t="s">
        <v>227</v>
      </c>
      <c r="C874" s="10" t="s">
        <v>212</v>
      </c>
      <c r="D874" s="10">
        <v>8.6999999999999994E-2</v>
      </c>
    </row>
    <row r="875" spans="1:13">
      <c r="A875" s="10" t="s">
        <v>305</v>
      </c>
      <c r="B875" s="10" t="s">
        <v>469</v>
      </c>
      <c r="C875" s="10" t="s">
        <v>212</v>
      </c>
      <c r="D875" s="10">
        <v>0</v>
      </c>
    </row>
    <row r="876" spans="1:13">
      <c r="A876" s="10" t="s">
        <v>305</v>
      </c>
      <c r="B876" s="10" t="s">
        <v>470</v>
      </c>
      <c r="C876" s="10" t="s">
        <v>212</v>
      </c>
      <c r="D876" s="10">
        <v>3.2250000000000001</v>
      </c>
    </row>
    <row r="877" spans="1:13">
      <c r="A877" s="10" t="s">
        <v>305</v>
      </c>
      <c r="B877" s="10" t="s">
        <v>228</v>
      </c>
      <c r="C877" s="10" t="s">
        <v>213</v>
      </c>
      <c r="D877" s="10">
        <v>9.2910000000000004</v>
      </c>
    </row>
    <row r="878" spans="1:13">
      <c r="A878" s="10" t="s">
        <v>305</v>
      </c>
      <c r="B878" s="10" t="s">
        <v>229</v>
      </c>
      <c r="C878" s="10" t="s">
        <v>213</v>
      </c>
      <c r="D878" s="10">
        <v>1.4590000000000001</v>
      </c>
    </row>
    <row r="879" spans="1:13">
      <c r="A879" s="10" t="s">
        <v>305</v>
      </c>
      <c r="B879" s="10" t="s">
        <v>240</v>
      </c>
      <c r="C879" s="10" t="s">
        <v>213</v>
      </c>
      <c r="D879" s="10">
        <v>0.111</v>
      </c>
    </row>
    <row r="880" spans="1:13">
      <c r="A880" s="10" t="s">
        <v>305</v>
      </c>
      <c r="B880" s="10" t="s">
        <v>231</v>
      </c>
      <c r="C880" s="10" t="s">
        <v>213</v>
      </c>
      <c r="D880" s="10">
        <v>3.407</v>
      </c>
    </row>
    <row r="881" spans="1:4">
      <c r="A881" s="10" t="s">
        <v>305</v>
      </c>
      <c r="B881" s="10" t="s">
        <v>471</v>
      </c>
      <c r="C881" s="10" t="s">
        <v>214</v>
      </c>
      <c r="D881" s="10">
        <v>43.02</v>
      </c>
    </row>
    <row r="882" spans="1:4">
      <c r="A882" s="10" t="s">
        <v>305</v>
      </c>
      <c r="B882" s="10" t="s">
        <v>248</v>
      </c>
      <c r="C882" s="10" t="s">
        <v>214</v>
      </c>
      <c r="D882" s="10">
        <v>0.224</v>
      </c>
    </row>
    <row r="883" spans="1:4">
      <c r="A883" s="10" t="s">
        <v>305</v>
      </c>
      <c r="B883" s="10" t="s">
        <v>245</v>
      </c>
      <c r="C883" s="10" t="s">
        <v>214</v>
      </c>
      <c r="D883" s="10">
        <v>1.7969999999999999</v>
      </c>
    </row>
    <row r="884" spans="1:4">
      <c r="A884" s="10" t="s">
        <v>305</v>
      </c>
      <c r="B884" s="10" t="s">
        <v>244</v>
      </c>
      <c r="C884" s="10" t="s">
        <v>214</v>
      </c>
      <c r="D884" s="10">
        <v>11.667999999999999</v>
      </c>
    </row>
    <row r="885" spans="1:4">
      <c r="A885" s="10" t="s">
        <v>305</v>
      </c>
      <c r="B885" s="10" t="s">
        <v>488</v>
      </c>
      <c r="C885" s="10" t="s">
        <v>24</v>
      </c>
      <c r="D885" s="10">
        <v>2.9260000000000006</v>
      </c>
    </row>
    <row r="886" spans="1:4">
      <c r="A886" s="10" t="s">
        <v>305</v>
      </c>
      <c r="B886" s="10" t="s">
        <v>490</v>
      </c>
      <c r="C886" s="10" t="s">
        <v>24</v>
      </c>
      <c r="D886" s="10">
        <v>0.56100000000000005</v>
      </c>
    </row>
    <row r="887" spans="1:4">
      <c r="A887" s="10" t="s">
        <v>305</v>
      </c>
      <c r="B887" s="10" t="s">
        <v>163</v>
      </c>
      <c r="C887" s="10" t="s">
        <v>24</v>
      </c>
      <c r="D887" s="10">
        <v>4.5640000000000001</v>
      </c>
    </row>
    <row r="888" spans="1:4">
      <c r="A888" s="10" t="s">
        <v>305</v>
      </c>
      <c r="B888" s="10" t="s">
        <v>163</v>
      </c>
      <c r="C888" s="10" t="s">
        <v>24</v>
      </c>
      <c r="D888" s="10">
        <v>4.5640000000000001</v>
      </c>
    </row>
    <row r="889" spans="1:4">
      <c r="A889" s="10" t="s">
        <v>305</v>
      </c>
      <c r="B889" s="10" t="s">
        <v>107</v>
      </c>
      <c r="C889" s="10" t="s">
        <v>24</v>
      </c>
      <c r="D889" s="10">
        <v>2.7869999999999999</v>
      </c>
    </row>
    <row r="890" spans="1:4">
      <c r="A890" s="10" t="s">
        <v>305</v>
      </c>
      <c r="B890" s="10" t="s">
        <v>107</v>
      </c>
      <c r="C890" s="10" t="s">
        <v>24</v>
      </c>
      <c r="D890" s="10">
        <v>2.7869999999999999</v>
      </c>
    </row>
    <row r="891" spans="1:4">
      <c r="A891" s="10" t="s">
        <v>305</v>
      </c>
      <c r="B891" s="10" t="s">
        <v>23</v>
      </c>
      <c r="C891" s="10" t="s">
        <v>24</v>
      </c>
      <c r="D891" s="10">
        <v>50.622</v>
      </c>
    </row>
    <row r="892" spans="1:4">
      <c r="A892" s="10" t="s">
        <v>305</v>
      </c>
      <c r="B892" s="10" t="s">
        <v>23</v>
      </c>
      <c r="C892" s="10" t="s">
        <v>24</v>
      </c>
      <c r="D892" s="10">
        <v>50.622</v>
      </c>
    </row>
    <row r="893" spans="1:4">
      <c r="A893" s="10" t="s">
        <v>305</v>
      </c>
      <c r="B893" s="10" t="s">
        <v>106</v>
      </c>
      <c r="C893" s="10" t="s">
        <v>24</v>
      </c>
      <c r="D893" s="10">
        <v>0</v>
      </c>
    </row>
    <row r="894" spans="1:4">
      <c r="A894" s="10" t="s">
        <v>305</v>
      </c>
      <c r="B894" s="10" t="s">
        <v>106</v>
      </c>
      <c r="C894" s="10" t="s">
        <v>24</v>
      </c>
      <c r="D894" s="10">
        <v>5.0709999999999997</v>
      </c>
    </row>
    <row r="895" spans="1:4">
      <c r="A895" s="10" t="s">
        <v>305</v>
      </c>
      <c r="B895" s="10" t="s">
        <v>235</v>
      </c>
      <c r="C895" s="10" t="s">
        <v>276</v>
      </c>
      <c r="D895" s="10">
        <v>1E-3</v>
      </c>
    </row>
    <row r="896" spans="1:4">
      <c r="A896" s="10" t="s">
        <v>305</v>
      </c>
      <c r="B896" s="10" t="s">
        <v>236</v>
      </c>
      <c r="C896" s="10" t="s">
        <v>276</v>
      </c>
      <c r="D896" s="10">
        <v>0</v>
      </c>
    </row>
    <row r="897" spans="1:13">
      <c r="A897" s="10" t="s">
        <v>305</v>
      </c>
      <c r="B897" s="10" t="s">
        <v>233</v>
      </c>
      <c r="C897" s="10" t="s">
        <v>276</v>
      </c>
      <c r="D897" s="10">
        <v>3.5030000000000001</v>
      </c>
    </row>
    <row r="898" spans="1:13">
      <c r="A898" s="10" t="s">
        <v>305</v>
      </c>
      <c r="B898" s="10" t="s">
        <v>108</v>
      </c>
      <c r="C898" s="10" t="s">
        <v>24</v>
      </c>
      <c r="D898" s="10">
        <v>2.306</v>
      </c>
      <c r="F898" s="10" t="s">
        <v>519</v>
      </c>
    </row>
    <row r="899" spans="1:13">
      <c r="A899" s="10" t="s">
        <v>305</v>
      </c>
      <c r="B899" s="10" t="s">
        <v>485</v>
      </c>
      <c r="C899" s="10" t="s">
        <v>24</v>
      </c>
      <c r="D899" s="10">
        <v>1.5249999999999999</v>
      </c>
      <c r="F899" s="10" t="s">
        <v>519</v>
      </c>
    </row>
    <row r="900" spans="1:13">
      <c r="A900" s="10" t="s">
        <v>305</v>
      </c>
      <c r="B900" s="10" t="s">
        <v>481</v>
      </c>
      <c r="C900" s="10" t="s">
        <v>24</v>
      </c>
      <c r="D900" s="10">
        <v>2.9929999999999999</v>
      </c>
      <c r="F900" s="10" t="s">
        <v>519</v>
      </c>
    </row>
    <row r="901" spans="1:13">
      <c r="A901" s="10" t="s">
        <v>305</v>
      </c>
      <c r="B901" s="10" t="s">
        <v>475</v>
      </c>
      <c r="C901" s="10" t="s">
        <v>24</v>
      </c>
      <c r="D901" s="10">
        <v>3.383</v>
      </c>
      <c r="F901" s="10" t="s">
        <v>519</v>
      </c>
    </row>
    <row r="902" spans="1:13">
      <c r="A902" s="10" t="s">
        <v>305</v>
      </c>
      <c r="B902" s="10" t="s">
        <v>108</v>
      </c>
      <c r="C902" s="10" t="s">
        <v>473</v>
      </c>
      <c r="D902" s="10">
        <v>6.8330000000000002</v>
      </c>
      <c r="F902" s="10" t="s">
        <v>519</v>
      </c>
    </row>
    <row r="903" spans="1:13">
      <c r="A903" s="10" t="s">
        <v>305</v>
      </c>
      <c r="B903" s="10" t="s">
        <v>485</v>
      </c>
      <c r="C903" s="10" t="s">
        <v>473</v>
      </c>
      <c r="D903" s="10">
        <v>4.5190000000000001</v>
      </c>
      <c r="F903" s="10" t="s">
        <v>519</v>
      </c>
    </row>
    <row r="904" spans="1:13">
      <c r="A904" s="10" t="s">
        <v>305</v>
      </c>
      <c r="B904" s="10" t="s">
        <v>481</v>
      </c>
      <c r="C904" s="10" t="s">
        <v>473</v>
      </c>
      <c r="D904" s="10">
        <v>8.8680000000000003</v>
      </c>
      <c r="F904" s="10" t="s">
        <v>519</v>
      </c>
    </row>
    <row r="905" spans="1:13">
      <c r="A905" s="10" t="s">
        <v>305</v>
      </c>
      <c r="B905" s="10" t="s">
        <v>475</v>
      </c>
      <c r="C905" s="10" t="s">
        <v>473</v>
      </c>
      <c r="D905" s="10">
        <v>10.026</v>
      </c>
      <c r="F905" s="10" t="s">
        <v>519</v>
      </c>
    </row>
    <row r="906" spans="1:13">
      <c r="A906" s="10" t="s">
        <v>356</v>
      </c>
      <c r="B906" s="10" t="s">
        <v>107</v>
      </c>
      <c r="C906" s="10" t="s">
        <v>24</v>
      </c>
      <c r="D906" s="10">
        <v>244.08</v>
      </c>
    </row>
    <row r="907" spans="1:13">
      <c r="A907" s="10" t="s">
        <v>356</v>
      </c>
      <c r="B907" s="10" t="s">
        <v>106</v>
      </c>
      <c r="C907" s="10" t="s">
        <v>24</v>
      </c>
      <c r="D907" s="10">
        <v>162.36000000000001</v>
      </c>
    </row>
    <row r="908" spans="1:13">
      <c r="A908" s="10" t="s">
        <v>356</v>
      </c>
      <c r="B908" s="10" t="s">
        <v>58</v>
      </c>
      <c r="C908" s="10" t="s">
        <v>24</v>
      </c>
      <c r="D908" s="10">
        <v>1.1839999999999999</v>
      </c>
    </row>
    <row r="909" spans="1:13">
      <c r="A909" s="10" t="s">
        <v>356</v>
      </c>
      <c r="B909" s="10" t="s">
        <v>488</v>
      </c>
      <c r="C909" s="10" t="s">
        <v>24</v>
      </c>
      <c r="D909" s="10">
        <v>332.93900000000002</v>
      </c>
    </row>
    <row r="910" spans="1:13">
      <c r="A910" s="10" t="s">
        <v>307</v>
      </c>
      <c r="B910" s="10" t="s">
        <v>206</v>
      </c>
      <c r="C910" s="10" t="s">
        <v>276</v>
      </c>
      <c r="D910" s="10">
        <v>17.007999999999999</v>
      </c>
      <c r="G910" s="10" t="s">
        <v>356</v>
      </c>
      <c r="H910" s="10">
        <f>SUMIFS(D:D,A:A,G910,C:C,"Heat_District")</f>
        <v>0</v>
      </c>
      <c r="I910" s="68"/>
      <c r="J910" s="69"/>
      <c r="K910" s="69"/>
      <c r="L910" s="69"/>
      <c r="M910" s="69"/>
    </row>
    <row r="911" spans="1:13">
      <c r="A911" s="10" t="s">
        <v>307</v>
      </c>
      <c r="B911" s="10" t="s">
        <v>207</v>
      </c>
      <c r="C911" s="10" t="s">
        <v>276</v>
      </c>
      <c r="D911" s="10">
        <v>35.348999999999997</v>
      </c>
    </row>
    <row r="912" spans="1:13">
      <c r="A912" s="10" t="s">
        <v>307</v>
      </c>
      <c r="B912" s="10" t="s">
        <v>225</v>
      </c>
      <c r="C912" s="10" t="s">
        <v>276</v>
      </c>
      <c r="D912" s="10">
        <v>139.69300000000001</v>
      </c>
    </row>
    <row r="913" spans="1:4">
      <c r="A913" s="10" t="s">
        <v>307</v>
      </c>
      <c r="B913" s="10" t="s">
        <v>217</v>
      </c>
      <c r="C913" s="10" t="s">
        <v>212</v>
      </c>
      <c r="D913" s="10">
        <v>0.871</v>
      </c>
    </row>
    <row r="914" spans="1:4">
      <c r="A914" s="10" t="s">
        <v>307</v>
      </c>
      <c r="B914" s="10" t="s">
        <v>219</v>
      </c>
      <c r="C914" s="10" t="s">
        <v>212</v>
      </c>
      <c r="D914" s="10">
        <v>0.41099999999999998</v>
      </c>
    </row>
    <row r="915" spans="1:4">
      <c r="A915" s="10" t="s">
        <v>307</v>
      </c>
      <c r="B915" s="10" t="s">
        <v>237</v>
      </c>
      <c r="C915" s="10" t="s">
        <v>212</v>
      </c>
      <c r="D915" s="10">
        <v>8.0000000000000002E-3</v>
      </c>
    </row>
    <row r="916" spans="1:4">
      <c r="A916" s="10" t="s">
        <v>307</v>
      </c>
      <c r="B916" s="10" t="s">
        <v>227</v>
      </c>
      <c r="C916" s="10" t="s">
        <v>212</v>
      </c>
      <c r="D916" s="10">
        <v>1.9910000000000001</v>
      </c>
    </row>
    <row r="917" spans="1:4">
      <c r="A917" s="10" t="s">
        <v>307</v>
      </c>
      <c r="B917" s="10" t="s">
        <v>469</v>
      </c>
      <c r="C917" s="10" t="s">
        <v>212</v>
      </c>
      <c r="D917" s="10">
        <v>3.7290000000000001</v>
      </c>
    </row>
    <row r="918" spans="1:4">
      <c r="A918" s="10" t="s">
        <v>307</v>
      </c>
      <c r="B918" s="10" t="s">
        <v>470</v>
      </c>
      <c r="C918" s="10" t="s">
        <v>212</v>
      </c>
      <c r="D918" s="10">
        <v>18.998000000000001</v>
      </c>
    </row>
    <row r="919" spans="1:4">
      <c r="A919" s="10" t="s">
        <v>307</v>
      </c>
      <c r="B919" s="10" t="s">
        <v>228</v>
      </c>
      <c r="C919" s="10" t="s">
        <v>213</v>
      </c>
      <c r="D919" s="10">
        <v>9.3239999999999998</v>
      </c>
    </row>
    <row r="920" spans="1:4">
      <c r="A920" s="10" t="s">
        <v>307</v>
      </c>
      <c r="B920" s="10" t="s">
        <v>229</v>
      </c>
      <c r="C920" s="10" t="s">
        <v>213</v>
      </c>
      <c r="D920" s="10">
        <v>12.952</v>
      </c>
    </row>
    <row r="921" spans="1:4">
      <c r="A921" s="10" t="s">
        <v>307</v>
      </c>
      <c r="B921" s="10" t="s">
        <v>240</v>
      </c>
      <c r="C921" s="10" t="s">
        <v>213</v>
      </c>
      <c r="D921" s="10">
        <v>2.4740000000000002</v>
      </c>
    </row>
    <row r="922" spans="1:4">
      <c r="A922" s="10" t="s">
        <v>307</v>
      </c>
      <c r="B922" s="10" t="s">
        <v>231</v>
      </c>
      <c r="C922" s="10" t="s">
        <v>213</v>
      </c>
      <c r="D922" s="10">
        <v>88.772000000000006</v>
      </c>
    </row>
    <row r="923" spans="1:4">
      <c r="A923" s="10" t="s">
        <v>307</v>
      </c>
      <c r="B923" s="10" t="s">
        <v>471</v>
      </c>
      <c r="C923" s="10" t="s">
        <v>214</v>
      </c>
      <c r="D923" s="10">
        <v>74.941999999999993</v>
      </c>
    </row>
    <row r="924" spans="1:4">
      <c r="A924" s="10" t="s">
        <v>307</v>
      </c>
      <c r="B924" s="10" t="s">
        <v>248</v>
      </c>
      <c r="C924" s="10" t="s">
        <v>214</v>
      </c>
      <c r="D924" s="10">
        <v>0</v>
      </c>
    </row>
    <row r="925" spans="1:4">
      <c r="A925" s="10" t="s">
        <v>307</v>
      </c>
      <c r="B925" s="10" t="s">
        <v>245</v>
      </c>
      <c r="C925" s="10" t="s">
        <v>214</v>
      </c>
      <c r="D925" s="10">
        <v>3.7280000000000002</v>
      </c>
    </row>
    <row r="926" spans="1:4">
      <c r="A926" s="10" t="s">
        <v>307</v>
      </c>
      <c r="B926" s="10" t="s">
        <v>244</v>
      </c>
      <c r="C926" s="10" t="s">
        <v>214</v>
      </c>
      <c r="D926" s="10">
        <v>69.820999999999998</v>
      </c>
    </row>
    <row r="927" spans="1:4">
      <c r="A927" s="10" t="s">
        <v>307</v>
      </c>
      <c r="B927" s="10" t="s">
        <v>488</v>
      </c>
      <c r="C927" s="10" t="s">
        <v>24</v>
      </c>
      <c r="D927" s="10">
        <v>378.68799999999999</v>
      </c>
    </row>
    <row r="928" spans="1:4">
      <c r="A928" s="10" t="s">
        <v>307</v>
      </c>
      <c r="B928" s="10" t="s">
        <v>489</v>
      </c>
      <c r="C928" s="10" t="s">
        <v>24</v>
      </c>
      <c r="D928" s="10">
        <v>3.5409999999999999</v>
      </c>
    </row>
    <row r="929" spans="1:6">
      <c r="A929" s="10" t="s">
        <v>307</v>
      </c>
      <c r="B929" s="10" t="s">
        <v>490</v>
      </c>
      <c r="C929" s="10" t="s">
        <v>24</v>
      </c>
      <c r="D929" s="10">
        <v>11.715</v>
      </c>
    </row>
    <row r="930" spans="1:6">
      <c r="A930" s="10" t="s">
        <v>307</v>
      </c>
      <c r="B930" s="10" t="s">
        <v>163</v>
      </c>
      <c r="C930" s="10" t="s">
        <v>24</v>
      </c>
      <c r="D930" s="10">
        <v>105.00700000000001</v>
      </c>
      <c r="E930" s="10">
        <f>D930/3.6</f>
        <v>29.168611111111112</v>
      </c>
    </row>
    <row r="931" spans="1:6">
      <c r="A931" s="10" t="s">
        <v>307</v>
      </c>
      <c r="B931" s="10" t="s">
        <v>107</v>
      </c>
      <c r="C931" s="10" t="s">
        <v>24</v>
      </c>
      <c r="D931" s="10">
        <v>53.070999999999998</v>
      </c>
    </row>
    <row r="932" spans="1:6">
      <c r="A932" s="10" t="s">
        <v>307</v>
      </c>
      <c r="B932" s="10" t="s">
        <v>58</v>
      </c>
      <c r="C932" s="10" t="s">
        <v>24</v>
      </c>
      <c r="D932" s="10">
        <v>2.9329999999999998</v>
      </c>
    </row>
    <row r="933" spans="1:6">
      <c r="A933" s="10" t="s">
        <v>307</v>
      </c>
      <c r="B933" s="10" t="s">
        <v>23</v>
      </c>
      <c r="C933" s="10" t="s">
        <v>24</v>
      </c>
      <c r="D933" s="10">
        <v>234.23</v>
      </c>
    </row>
    <row r="934" spans="1:6">
      <c r="A934" s="10" t="s">
        <v>307</v>
      </c>
      <c r="B934" s="10" t="s">
        <v>235</v>
      </c>
      <c r="C934" s="10" t="s">
        <v>276</v>
      </c>
      <c r="D934" s="10">
        <v>3.1629999999999998</v>
      </c>
    </row>
    <row r="935" spans="1:6">
      <c r="A935" s="10" t="s">
        <v>307</v>
      </c>
      <c r="B935" s="10" t="s">
        <v>236</v>
      </c>
      <c r="C935" s="10" t="s">
        <v>276</v>
      </c>
      <c r="D935" s="10">
        <v>0.16600000000000001</v>
      </c>
    </row>
    <row r="936" spans="1:6">
      <c r="A936" s="10" t="s">
        <v>307</v>
      </c>
      <c r="B936" s="10" t="s">
        <v>233</v>
      </c>
      <c r="C936" s="10" t="s">
        <v>276</v>
      </c>
      <c r="D936" s="10">
        <v>100.79300000000001</v>
      </c>
    </row>
    <row r="937" spans="1:6">
      <c r="A937" s="10" t="s">
        <v>307</v>
      </c>
      <c r="B937" s="10" t="s">
        <v>108</v>
      </c>
      <c r="C937" s="10" t="s">
        <v>24</v>
      </c>
      <c r="D937" s="10">
        <v>1.7490000000000001</v>
      </c>
      <c r="F937" s="10" t="s">
        <v>519</v>
      </c>
    </row>
    <row r="938" spans="1:6">
      <c r="A938" s="10" t="s">
        <v>307</v>
      </c>
      <c r="B938" s="10" t="s">
        <v>485</v>
      </c>
      <c r="C938" s="10" t="s">
        <v>24</v>
      </c>
      <c r="D938" s="10">
        <v>8.9830000000000005</v>
      </c>
      <c r="F938" s="10" t="s">
        <v>519</v>
      </c>
    </row>
    <row r="939" spans="1:6">
      <c r="A939" s="10" t="s">
        <v>307</v>
      </c>
      <c r="B939" s="10" t="s">
        <v>481</v>
      </c>
      <c r="C939" s="10" t="s">
        <v>24</v>
      </c>
      <c r="D939" s="10">
        <v>58.68</v>
      </c>
      <c r="F939" s="10" t="s">
        <v>519</v>
      </c>
    </row>
    <row r="940" spans="1:6">
      <c r="A940" s="10" t="s">
        <v>307</v>
      </c>
      <c r="B940" s="10" t="s">
        <v>475</v>
      </c>
      <c r="C940" s="10" t="s">
        <v>24</v>
      </c>
      <c r="D940" s="10">
        <v>7.8440000000000003</v>
      </c>
      <c r="F940" s="10" t="s">
        <v>519</v>
      </c>
    </row>
    <row r="941" spans="1:6">
      <c r="A941" s="10" t="s">
        <v>307</v>
      </c>
      <c r="B941" s="10" t="s">
        <v>108</v>
      </c>
      <c r="C941" s="10" t="s">
        <v>473</v>
      </c>
      <c r="D941" s="10">
        <v>2.9609999999999999</v>
      </c>
      <c r="F941" s="10" t="s">
        <v>519</v>
      </c>
    </row>
    <row r="942" spans="1:6">
      <c r="A942" s="10" t="s">
        <v>307</v>
      </c>
      <c r="B942" s="10" t="s">
        <v>485</v>
      </c>
      <c r="C942" s="10" t="s">
        <v>473</v>
      </c>
      <c r="D942" s="10">
        <v>15.211</v>
      </c>
      <c r="F942" s="10" t="s">
        <v>519</v>
      </c>
    </row>
    <row r="943" spans="1:6">
      <c r="A943" s="10" t="s">
        <v>307</v>
      </c>
      <c r="B943" s="10" t="s">
        <v>481</v>
      </c>
      <c r="C943" s="10" t="s">
        <v>473</v>
      </c>
      <c r="D943" s="10">
        <v>99.367000000000004</v>
      </c>
      <c r="F943" s="10" t="s">
        <v>519</v>
      </c>
    </row>
    <row r="944" spans="1:6">
      <c r="A944" s="10" t="s">
        <v>307</v>
      </c>
      <c r="B944" s="10" t="s">
        <v>475</v>
      </c>
      <c r="C944" s="10" t="s">
        <v>473</v>
      </c>
      <c r="D944" s="10">
        <v>13.282999999999999</v>
      </c>
      <c r="F944" s="10" t="s">
        <v>519</v>
      </c>
    </row>
    <row r="953" spans="1:4">
      <c r="A953" s="10" t="s">
        <v>303</v>
      </c>
      <c r="B953" s="10" t="s">
        <v>488</v>
      </c>
      <c r="C953" s="10" t="s">
        <v>24</v>
      </c>
      <c r="D953" s="10">
        <v>0.1</v>
      </c>
    </row>
    <row r="954" spans="1:4">
      <c r="A954" s="10" t="s">
        <v>299</v>
      </c>
      <c r="B954" s="10" t="s">
        <v>488</v>
      </c>
      <c r="C954" s="10" t="s">
        <v>24</v>
      </c>
      <c r="D954" s="10">
        <v>18.420000000000002</v>
      </c>
    </row>
    <row r="955" spans="1:4">
      <c r="A955" s="10" t="s">
        <v>299</v>
      </c>
      <c r="B955" s="10" t="s">
        <v>490</v>
      </c>
      <c r="C955" s="10" t="s">
        <v>24</v>
      </c>
      <c r="D955" s="10">
        <v>2.96</v>
      </c>
    </row>
    <row r="956" spans="1:4">
      <c r="A956" s="10" t="s">
        <v>281</v>
      </c>
      <c r="B956" s="10" t="s">
        <v>488</v>
      </c>
      <c r="C956" s="10" t="s">
        <v>24</v>
      </c>
      <c r="D956" s="10">
        <v>2.1920000000000002</v>
      </c>
    </row>
    <row r="963" spans="9:11">
      <c r="I963" s="76" t="s">
        <v>281</v>
      </c>
      <c r="J963" s="10" t="s">
        <v>488</v>
      </c>
      <c r="K963" s="10">
        <v>0.10199999999999999</v>
      </c>
    </row>
    <row r="964" spans="9:11">
      <c r="I964" s="76" t="s">
        <v>310</v>
      </c>
      <c r="J964" s="10" t="s">
        <v>488</v>
      </c>
      <c r="K964" s="10">
        <v>1.024</v>
      </c>
    </row>
    <row r="965" spans="9:11">
      <c r="I965" s="77" t="s">
        <v>299</v>
      </c>
      <c r="J965" s="10" t="s">
        <v>488</v>
      </c>
      <c r="K965" s="10">
        <v>0.74129999999999996</v>
      </c>
    </row>
    <row r="966" spans="9:11">
      <c r="I966" s="76" t="s">
        <v>303</v>
      </c>
      <c r="J966" s="10" t="s">
        <v>488</v>
      </c>
      <c r="K966" s="10">
        <v>1.488</v>
      </c>
    </row>
    <row r="967" spans="9:11">
      <c r="I967" s="78" t="s">
        <v>356</v>
      </c>
      <c r="J967" s="10" t="s">
        <v>488</v>
      </c>
      <c r="K967" s="10">
        <v>23.545866999999998</v>
      </c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57"/>
  <dimension ref="A1:J51"/>
  <sheetViews>
    <sheetView workbookViewId="0">
      <selection activeCell="E7" sqref="E7"/>
    </sheetView>
  </sheetViews>
  <sheetFormatPr defaultColWidth="11.42578125" defaultRowHeight="15"/>
  <cols>
    <col min="1" max="1" width="20.85546875" style="34" customWidth="1"/>
    <col min="2" max="2" width="23.42578125" style="1" bestFit="1" customWidth="1"/>
    <col min="3" max="16384" width="11.42578125" style="1"/>
  </cols>
  <sheetData>
    <row r="1" spans="1:10">
      <c r="A1" s="34" t="s">
        <v>450</v>
      </c>
      <c r="C1" s="43"/>
      <c r="D1" s="43"/>
      <c r="E1" s="43"/>
      <c r="F1" s="43"/>
      <c r="G1" s="43"/>
      <c r="H1" s="43"/>
      <c r="I1" s="43"/>
      <c r="J1" s="43"/>
    </row>
    <row r="2" spans="1:10">
      <c r="A2" s="34" t="s">
        <v>384</v>
      </c>
      <c r="C2" s="43"/>
      <c r="D2" s="43"/>
      <c r="E2" s="43"/>
      <c r="F2" s="43"/>
      <c r="G2" s="43"/>
      <c r="H2" s="43"/>
      <c r="I2" s="43"/>
      <c r="J2" s="43"/>
    </row>
    <row r="3" spans="1:10">
      <c r="A3" s="34" t="s">
        <v>424</v>
      </c>
      <c r="C3" s="43"/>
      <c r="D3" s="43"/>
      <c r="E3" s="43"/>
      <c r="F3" s="43"/>
      <c r="G3" s="43"/>
      <c r="H3" s="43"/>
      <c r="I3" s="43"/>
      <c r="J3" s="43"/>
    </row>
    <row r="4" spans="1:10">
      <c r="C4" s="43"/>
      <c r="D4" s="43"/>
      <c r="E4" s="43"/>
      <c r="F4" s="43"/>
      <c r="G4" s="43"/>
      <c r="H4" s="43"/>
      <c r="I4" s="43"/>
      <c r="J4" s="43"/>
    </row>
    <row r="5" spans="1:10">
      <c r="A5" s="1" t="s">
        <v>26</v>
      </c>
      <c r="B5" s="1" t="s">
        <v>21</v>
      </c>
      <c r="C5" s="1" t="s">
        <v>35</v>
      </c>
      <c r="D5" s="43"/>
      <c r="E5" s="43"/>
      <c r="F5" s="43"/>
      <c r="G5" s="43"/>
      <c r="H5" s="43"/>
      <c r="I5" s="43"/>
      <c r="J5" s="43"/>
    </row>
    <row r="6" spans="1:10">
      <c r="A6" s="11" t="s">
        <v>355</v>
      </c>
      <c r="B6" s="11" t="s">
        <v>24</v>
      </c>
      <c r="C6" s="36">
        <v>102.83449699879952</v>
      </c>
    </row>
    <row r="7" spans="1:10">
      <c r="A7" s="35"/>
      <c r="B7" s="11"/>
      <c r="C7" s="36"/>
    </row>
    <row r="8" spans="1:10">
      <c r="A8" s="35"/>
      <c r="B8" s="11"/>
      <c r="C8" s="36"/>
    </row>
    <row r="9" spans="1:10">
      <c r="A9" s="35"/>
      <c r="B9" s="11"/>
      <c r="C9" s="36"/>
    </row>
    <row r="10" spans="1:10">
      <c r="A10" s="35"/>
      <c r="B10" s="11"/>
      <c r="C10" s="36"/>
    </row>
    <row r="11" spans="1:10">
      <c r="A11" s="35"/>
      <c r="B11" s="11"/>
      <c r="C11" s="36"/>
    </row>
    <row r="12" spans="1:10">
      <c r="A12" s="35"/>
      <c r="B12" s="11"/>
      <c r="C12" s="36"/>
    </row>
    <row r="13" spans="1:10">
      <c r="A13" s="35"/>
      <c r="B13" s="11"/>
      <c r="C13" s="36"/>
    </row>
    <row r="14" spans="1:10">
      <c r="A14" s="35"/>
      <c r="B14" s="11"/>
      <c r="C14" s="36"/>
    </row>
    <row r="15" spans="1:10">
      <c r="A15" s="35"/>
      <c r="B15" s="11"/>
      <c r="C15" s="36"/>
    </row>
    <row r="16" spans="1:10">
      <c r="A16" s="35"/>
      <c r="B16" s="11"/>
      <c r="C16" s="36"/>
    </row>
    <row r="17" spans="1:3">
      <c r="A17" s="35"/>
      <c r="B17" s="11"/>
      <c r="C17" s="36"/>
    </row>
    <row r="18" spans="1:3">
      <c r="A18" s="35"/>
      <c r="B18" s="11"/>
      <c r="C18" s="36"/>
    </row>
    <row r="19" spans="1:3">
      <c r="A19" s="35"/>
      <c r="B19" s="11"/>
      <c r="C19" s="36"/>
    </row>
    <row r="20" spans="1:3">
      <c r="A20" s="35"/>
      <c r="B20" s="11"/>
      <c r="C20" s="36"/>
    </row>
    <row r="21" spans="1:3">
      <c r="A21" s="35"/>
      <c r="B21" s="11"/>
      <c r="C21" s="36"/>
    </row>
    <row r="22" spans="1:3">
      <c r="A22" s="35"/>
      <c r="B22" s="11"/>
      <c r="C22" s="36"/>
    </row>
    <row r="23" spans="1:3">
      <c r="A23" s="35"/>
      <c r="B23" s="11"/>
      <c r="C23" s="36"/>
    </row>
    <row r="24" spans="1:3">
      <c r="A24" s="35"/>
      <c r="B24" s="11"/>
      <c r="C24" s="36"/>
    </row>
    <row r="25" spans="1:3">
      <c r="A25" s="35"/>
      <c r="B25" s="11"/>
      <c r="C25" s="36"/>
    </row>
    <row r="26" spans="1:3">
      <c r="A26" s="35"/>
      <c r="B26" s="11"/>
      <c r="C26" s="36"/>
    </row>
    <row r="27" spans="1:3">
      <c r="A27" s="35"/>
      <c r="B27" s="11"/>
      <c r="C27" s="36"/>
    </row>
    <row r="28" spans="1:3">
      <c r="A28" s="35"/>
      <c r="B28" s="11"/>
      <c r="C28" s="36"/>
    </row>
    <row r="29" spans="1:3">
      <c r="A29" s="35"/>
      <c r="B29" s="11"/>
      <c r="C29" s="36"/>
    </row>
    <row r="30" spans="1:3">
      <c r="A30" s="35"/>
      <c r="B30" s="11"/>
      <c r="C30" s="36"/>
    </row>
    <row r="31" spans="1:3">
      <c r="A31" s="35"/>
      <c r="B31" s="11"/>
      <c r="C31" s="36"/>
    </row>
    <row r="32" spans="1:3">
      <c r="A32" s="35"/>
      <c r="B32" s="11"/>
      <c r="C32" s="36"/>
    </row>
    <row r="33" spans="1:3">
      <c r="A33" s="35"/>
      <c r="B33" s="11"/>
      <c r="C33" s="36"/>
    </row>
    <row r="34" spans="1:3">
      <c r="A34" s="1"/>
    </row>
    <row r="35" spans="1:3">
      <c r="A35" s="1"/>
    </row>
    <row r="36" spans="1:3">
      <c r="A36" s="1"/>
    </row>
    <row r="37" spans="1:3">
      <c r="A37" s="1"/>
    </row>
    <row r="38" spans="1:3">
      <c r="A38" s="1"/>
    </row>
    <row r="39" spans="1:3">
      <c r="B39" s="13"/>
    </row>
    <row r="40" spans="1:3">
      <c r="B40" s="13"/>
    </row>
    <row r="41" spans="1:3">
      <c r="B41" s="13"/>
    </row>
    <row r="42" spans="1:3">
      <c r="B42" s="13"/>
    </row>
    <row r="43" spans="1:3">
      <c r="B43" s="13"/>
    </row>
    <row r="44" spans="1:3">
      <c r="B44" s="13"/>
    </row>
    <row r="45" spans="1:3">
      <c r="B45" s="13"/>
    </row>
    <row r="46" spans="1:3">
      <c r="B46" s="13"/>
    </row>
    <row r="47" spans="1:3">
      <c r="B47" s="13"/>
    </row>
    <row r="48" spans="1:3">
      <c r="B48" s="13"/>
    </row>
    <row r="49" spans="2:2">
      <c r="B49" s="13"/>
    </row>
    <row r="50" spans="2:2">
      <c r="B50" s="13"/>
    </row>
    <row r="51" spans="2:2">
      <c r="B51" s="13"/>
    </row>
  </sheetData>
  <pageMargins left="0.7" right="0.7" top="0.78740157499999996" bottom="0.78740157499999996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2"/>
  <dimension ref="A1:U495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24" sqref="H24"/>
    </sheetView>
  </sheetViews>
  <sheetFormatPr defaultColWidth="9.140625" defaultRowHeight="15"/>
  <cols>
    <col min="1" max="1" width="12" style="10" customWidth="1"/>
    <col min="2" max="2" width="18.42578125" style="10" bestFit="1" customWidth="1"/>
    <col min="3" max="3" width="12" style="10" customWidth="1"/>
    <col min="4" max="8" width="15.42578125" style="10" customWidth="1"/>
    <col min="9" max="9" width="12.85546875" style="10" bestFit="1" customWidth="1"/>
    <col min="10" max="10" width="19" style="10" bestFit="1" customWidth="1"/>
    <col min="11" max="11" width="17.5703125" style="10" bestFit="1" customWidth="1"/>
    <col min="12" max="12" width="16.85546875" style="10" bestFit="1" customWidth="1"/>
    <col min="13" max="13" width="17.42578125" style="10" bestFit="1" customWidth="1"/>
    <col min="14" max="14" width="15.85546875" style="10" bestFit="1" customWidth="1"/>
    <col min="15" max="15" width="16.140625" style="10" bestFit="1" customWidth="1"/>
    <col min="16" max="16" width="22.42578125" style="10" bestFit="1" customWidth="1"/>
    <col min="17" max="17" width="20.85546875" style="10" bestFit="1" customWidth="1"/>
    <col min="18" max="18" width="20" style="10" bestFit="1" customWidth="1"/>
    <col min="19" max="19" width="20.42578125" style="10" bestFit="1" customWidth="1"/>
    <col min="20" max="20" width="19.140625" style="10" bestFit="1" customWidth="1"/>
    <col min="21" max="21" width="19.42578125" style="10" bestFit="1" customWidth="1"/>
    <col min="22" max="16384" width="9.140625" style="10"/>
  </cols>
  <sheetData>
    <row r="1" spans="1:21">
      <c r="A1" s="10" t="s">
        <v>451</v>
      </c>
    </row>
    <row r="2" spans="1:21">
      <c r="A2" s="10" t="s">
        <v>385</v>
      </c>
    </row>
    <row r="3" spans="1:21">
      <c r="A3" s="79" t="s">
        <v>417</v>
      </c>
      <c r="B3" s="80"/>
      <c r="C3" s="80"/>
      <c r="D3" s="80"/>
      <c r="E3" s="80"/>
      <c r="F3" s="80"/>
      <c r="G3" s="80"/>
      <c r="H3" s="80"/>
      <c r="I3" s="80"/>
    </row>
    <row r="4" spans="1:21">
      <c r="A4" s="62"/>
      <c r="B4" s="62"/>
      <c r="C4" s="62"/>
      <c r="D4" s="62"/>
      <c r="E4" s="62"/>
      <c r="F4" s="62"/>
      <c r="G4" s="62"/>
      <c r="H4" s="62"/>
      <c r="I4" s="62"/>
    </row>
    <row r="5" spans="1:21">
      <c r="A5" s="10" t="s">
        <v>20</v>
      </c>
      <c r="B5" s="10" t="s">
        <v>21</v>
      </c>
      <c r="C5" s="10" t="s">
        <v>27</v>
      </c>
      <c r="D5" s="10" t="s">
        <v>37</v>
      </c>
      <c r="E5" s="10" t="s">
        <v>38</v>
      </c>
      <c r="F5" s="10" t="s">
        <v>39</v>
      </c>
      <c r="G5" s="10" t="s">
        <v>40</v>
      </c>
      <c r="H5" s="10" t="s">
        <v>41</v>
      </c>
      <c r="I5" s="10" t="s">
        <v>42</v>
      </c>
      <c r="J5" s="10" t="s">
        <v>43</v>
      </c>
      <c r="K5" s="10" t="s">
        <v>44</v>
      </c>
      <c r="L5" s="10" t="s">
        <v>45</v>
      </c>
      <c r="M5" s="10" t="s">
        <v>46</v>
      </c>
      <c r="N5" s="10" t="s">
        <v>47</v>
      </c>
      <c r="O5" s="10" t="s">
        <v>48</v>
      </c>
      <c r="P5" s="10" t="s">
        <v>49</v>
      </c>
      <c r="Q5" s="10" t="s">
        <v>50</v>
      </c>
      <c r="R5" s="10" t="s">
        <v>51</v>
      </c>
      <c r="S5" s="10" t="s">
        <v>52</v>
      </c>
      <c r="T5" s="10" t="s">
        <v>53</v>
      </c>
      <c r="U5" s="10" t="s">
        <v>54</v>
      </c>
    </row>
    <row r="6" spans="1:21">
      <c r="A6" s="10" t="s">
        <v>278</v>
      </c>
      <c r="B6" s="10" t="s">
        <v>150</v>
      </c>
      <c r="C6" s="10">
        <v>2018</v>
      </c>
      <c r="D6" s="10">
        <v>0</v>
      </c>
      <c r="E6" s="10">
        <v>0</v>
      </c>
      <c r="F6" s="10">
        <v>0</v>
      </c>
      <c r="G6" s="10">
        <v>0.66</v>
      </c>
      <c r="H6" s="10">
        <v>0.31</v>
      </c>
      <c r="I6" s="10">
        <v>0.02</v>
      </c>
      <c r="J6" s="10">
        <v>0</v>
      </c>
      <c r="K6" s="10">
        <v>0</v>
      </c>
      <c r="L6" s="10">
        <v>0</v>
      </c>
      <c r="M6" s="10">
        <v>0</v>
      </c>
      <c r="N6" s="10">
        <v>0.22</v>
      </c>
      <c r="O6" s="10">
        <v>0</v>
      </c>
      <c r="P6" s="10">
        <v>0</v>
      </c>
      <c r="Q6" s="10">
        <v>0</v>
      </c>
      <c r="R6" s="10">
        <v>0</v>
      </c>
      <c r="S6" s="10">
        <v>0.64</v>
      </c>
      <c r="T6" s="10">
        <v>0.09</v>
      </c>
      <c r="U6" s="10">
        <v>0.02</v>
      </c>
    </row>
    <row r="7" spans="1:21">
      <c r="A7" s="10" t="s">
        <v>278</v>
      </c>
      <c r="B7" s="10" t="s">
        <v>150</v>
      </c>
      <c r="C7" s="10">
        <v>2020</v>
      </c>
      <c r="D7" s="10">
        <v>0</v>
      </c>
      <c r="E7" s="10">
        <v>0</v>
      </c>
      <c r="F7" s="10">
        <v>0</v>
      </c>
      <c r="G7" s="10">
        <v>0.65</v>
      </c>
      <c r="H7" s="10">
        <v>0.31</v>
      </c>
      <c r="I7" s="10">
        <v>0.02</v>
      </c>
      <c r="J7" s="10">
        <v>0</v>
      </c>
      <c r="K7" s="10">
        <v>0</v>
      </c>
      <c r="L7" s="10">
        <v>0</v>
      </c>
      <c r="M7" s="10">
        <v>0</v>
      </c>
      <c r="N7" s="10">
        <v>0.21</v>
      </c>
      <c r="O7" s="10">
        <v>0</v>
      </c>
      <c r="P7" s="10">
        <v>0</v>
      </c>
      <c r="Q7" s="10">
        <v>0</v>
      </c>
      <c r="R7" s="10">
        <v>0</v>
      </c>
      <c r="S7" s="10">
        <v>0.61</v>
      </c>
      <c r="T7" s="10">
        <v>7.0000000000000007E-2</v>
      </c>
      <c r="U7" s="10">
        <v>0.02</v>
      </c>
    </row>
    <row r="8" spans="1:21">
      <c r="A8" s="10" t="s">
        <v>278</v>
      </c>
      <c r="B8" s="10" t="s">
        <v>150</v>
      </c>
      <c r="C8" s="10">
        <v>2025</v>
      </c>
      <c r="D8" s="10">
        <v>0</v>
      </c>
      <c r="E8" s="10">
        <v>0</v>
      </c>
      <c r="F8" s="10">
        <v>0</v>
      </c>
      <c r="G8" s="10">
        <v>0.64</v>
      </c>
      <c r="H8" s="10">
        <v>0.3</v>
      </c>
      <c r="I8" s="10">
        <v>0.02</v>
      </c>
      <c r="J8" s="10">
        <v>0</v>
      </c>
      <c r="K8" s="10">
        <v>0</v>
      </c>
      <c r="L8" s="10">
        <v>0</v>
      </c>
      <c r="M8" s="10">
        <v>0</v>
      </c>
      <c r="N8" s="10">
        <v>0.21</v>
      </c>
      <c r="O8" s="10">
        <v>0</v>
      </c>
      <c r="P8" s="10">
        <v>0</v>
      </c>
      <c r="Q8" s="10">
        <v>0</v>
      </c>
      <c r="R8" s="10">
        <v>0</v>
      </c>
      <c r="S8" s="10">
        <v>0.48</v>
      </c>
      <c r="T8" s="10">
        <v>0</v>
      </c>
      <c r="U8" s="10">
        <v>0.01</v>
      </c>
    </row>
    <row r="9" spans="1:21">
      <c r="A9" s="10" t="s">
        <v>278</v>
      </c>
      <c r="B9" s="10" t="s">
        <v>150</v>
      </c>
      <c r="C9" s="10">
        <v>2030</v>
      </c>
      <c r="D9" s="10">
        <v>0</v>
      </c>
      <c r="E9" s="10">
        <v>0</v>
      </c>
      <c r="F9" s="10">
        <v>0</v>
      </c>
      <c r="G9" s="10">
        <v>0.61</v>
      </c>
      <c r="H9" s="10">
        <v>0.28999999999999998</v>
      </c>
      <c r="I9" s="10">
        <v>0.01</v>
      </c>
      <c r="J9" s="10">
        <v>0</v>
      </c>
      <c r="K9" s="10">
        <v>0</v>
      </c>
      <c r="L9" s="10">
        <v>0</v>
      </c>
      <c r="M9" s="10">
        <v>0</v>
      </c>
      <c r="N9" s="10">
        <v>0.2</v>
      </c>
      <c r="O9" s="10">
        <v>0</v>
      </c>
      <c r="P9" s="10">
        <v>0</v>
      </c>
      <c r="Q9" s="10">
        <v>0</v>
      </c>
      <c r="R9" s="10">
        <v>0</v>
      </c>
      <c r="S9" s="10">
        <v>0.3</v>
      </c>
      <c r="T9" s="10">
        <v>0</v>
      </c>
      <c r="U9" s="10">
        <v>0</v>
      </c>
    </row>
    <row r="10" spans="1:21">
      <c r="A10" s="10" t="s">
        <v>278</v>
      </c>
      <c r="B10" s="10" t="s">
        <v>150</v>
      </c>
      <c r="C10" s="10">
        <v>2035</v>
      </c>
      <c r="D10" s="10">
        <v>0</v>
      </c>
      <c r="E10" s="10">
        <v>0</v>
      </c>
      <c r="F10" s="10">
        <v>0</v>
      </c>
      <c r="G10" s="10">
        <v>0.6</v>
      </c>
      <c r="H10" s="10">
        <v>0.28000000000000003</v>
      </c>
      <c r="I10" s="10">
        <v>0.01</v>
      </c>
      <c r="J10" s="10">
        <v>0</v>
      </c>
      <c r="K10" s="10">
        <v>0</v>
      </c>
      <c r="L10" s="10">
        <v>0</v>
      </c>
      <c r="M10" s="10">
        <v>0</v>
      </c>
      <c r="N10" s="10">
        <v>0.19</v>
      </c>
      <c r="O10" s="10">
        <v>0</v>
      </c>
      <c r="P10" s="10">
        <v>0</v>
      </c>
      <c r="Q10" s="10">
        <v>0</v>
      </c>
      <c r="R10" s="10">
        <v>0</v>
      </c>
      <c r="S10" s="10">
        <v>0.03</v>
      </c>
      <c r="T10" s="10">
        <v>0</v>
      </c>
      <c r="U10" s="10">
        <v>0</v>
      </c>
    </row>
    <row r="11" spans="1:21">
      <c r="A11" s="10" t="s">
        <v>278</v>
      </c>
      <c r="B11" s="10" t="s">
        <v>150</v>
      </c>
      <c r="C11" s="10">
        <v>2040</v>
      </c>
      <c r="D11" s="10">
        <v>0</v>
      </c>
      <c r="E11" s="10">
        <v>0</v>
      </c>
      <c r="F11" s="10">
        <v>0</v>
      </c>
      <c r="G11" s="10">
        <v>0.56999999999999995</v>
      </c>
      <c r="H11" s="10">
        <v>0.27</v>
      </c>
      <c r="I11" s="10">
        <v>0.01</v>
      </c>
      <c r="J11" s="10">
        <v>0</v>
      </c>
      <c r="K11" s="10">
        <v>0</v>
      </c>
      <c r="L11" s="10">
        <v>0</v>
      </c>
      <c r="M11" s="10">
        <v>0</v>
      </c>
      <c r="N11" s="10">
        <v>0.19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</row>
    <row r="12" spans="1:21">
      <c r="A12" s="10" t="s">
        <v>278</v>
      </c>
      <c r="B12" s="10" t="s">
        <v>150</v>
      </c>
      <c r="C12" s="10">
        <v>2045</v>
      </c>
      <c r="D12" s="10">
        <v>0</v>
      </c>
      <c r="E12" s="10">
        <v>0</v>
      </c>
      <c r="F12" s="10">
        <v>0</v>
      </c>
      <c r="G12" s="10">
        <v>0.55000000000000004</v>
      </c>
      <c r="H12" s="10">
        <v>0.26</v>
      </c>
      <c r="I12" s="10">
        <v>0.01</v>
      </c>
      <c r="J12" s="10">
        <v>0</v>
      </c>
      <c r="K12" s="10">
        <v>0</v>
      </c>
      <c r="L12" s="10">
        <v>0</v>
      </c>
      <c r="M12" s="10">
        <v>0</v>
      </c>
      <c r="N12" s="10">
        <v>0.18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</row>
    <row r="13" spans="1:21">
      <c r="A13" s="10" t="s">
        <v>278</v>
      </c>
      <c r="B13" s="10" t="s">
        <v>150</v>
      </c>
      <c r="C13" s="10">
        <v>2050</v>
      </c>
      <c r="D13" s="10">
        <v>0</v>
      </c>
      <c r="E13" s="10">
        <v>0</v>
      </c>
      <c r="F13" s="10">
        <v>0</v>
      </c>
      <c r="G13" s="10">
        <v>0.53</v>
      </c>
      <c r="H13" s="10">
        <v>0.25</v>
      </c>
      <c r="I13" s="10">
        <v>0.01</v>
      </c>
      <c r="J13" s="10">
        <v>0</v>
      </c>
      <c r="K13" s="10">
        <v>0</v>
      </c>
      <c r="L13" s="10">
        <v>0</v>
      </c>
      <c r="M13" s="10">
        <v>0</v>
      </c>
      <c r="N13" s="10">
        <v>0.17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</row>
    <row r="14" spans="1:21">
      <c r="A14" s="10" t="s">
        <v>280</v>
      </c>
      <c r="B14" s="10" t="s">
        <v>150</v>
      </c>
      <c r="C14" s="10">
        <v>2018</v>
      </c>
      <c r="D14" s="10">
        <v>0</v>
      </c>
      <c r="E14" s="10">
        <v>0</v>
      </c>
      <c r="F14" s="10">
        <v>0</v>
      </c>
      <c r="G14" s="10">
        <v>0.73</v>
      </c>
      <c r="H14" s="10">
        <v>0.1</v>
      </c>
      <c r="I14" s="10">
        <v>0.16</v>
      </c>
      <c r="J14" s="10">
        <v>0</v>
      </c>
      <c r="K14" s="10">
        <v>0</v>
      </c>
      <c r="L14" s="10">
        <v>0</v>
      </c>
      <c r="M14" s="10">
        <v>0</v>
      </c>
      <c r="N14" s="10">
        <v>7.0000000000000007E-2</v>
      </c>
      <c r="O14" s="10">
        <v>0</v>
      </c>
      <c r="P14" s="10">
        <v>0</v>
      </c>
      <c r="Q14" s="10">
        <v>0</v>
      </c>
      <c r="R14" s="10">
        <v>0</v>
      </c>
      <c r="S14" s="10">
        <v>0.7</v>
      </c>
      <c r="T14" s="10">
        <v>0.03</v>
      </c>
      <c r="U14" s="10">
        <v>0.16</v>
      </c>
    </row>
    <row r="15" spans="1:21">
      <c r="A15" s="10" t="s">
        <v>280</v>
      </c>
      <c r="B15" s="10" t="s">
        <v>150</v>
      </c>
      <c r="C15" s="10">
        <v>2020</v>
      </c>
      <c r="D15" s="10">
        <v>0</v>
      </c>
      <c r="E15" s="10">
        <v>0</v>
      </c>
      <c r="F15" s="10">
        <v>0</v>
      </c>
      <c r="G15" s="10">
        <v>0.72</v>
      </c>
      <c r="H15" s="10">
        <v>0.1</v>
      </c>
      <c r="I15" s="10">
        <v>0.16</v>
      </c>
      <c r="J15" s="10">
        <v>0</v>
      </c>
      <c r="K15" s="10">
        <v>0</v>
      </c>
      <c r="L15" s="10">
        <v>0</v>
      </c>
      <c r="M15" s="10">
        <v>0</v>
      </c>
      <c r="N15" s="10">
        <v>7.0000000000000007E-2</v>
      </c>
      <c r="O15" s="10">
        <v>0</v>
      </c>
      <c r="P15" s="10">
        <v>0</v>
      </c>
      <c r="Q15" s="10">
        <v>0</v>
      </c>
      <c r="R15" s="10">
        <v>0</v>
      </c>
      <c r="S15" s="10">
        <v>0.67</v>
      </c>
      <c r="T15" s="10">
        <v>0.02</v>
      </c>
      <c r="U15" s="10">
        <v>0.15</v>
      </c>
    </row>
    <row r="16" spans="1:21">
      <c r="A16" s="10" t="s">
        <v>280</v>
      </c>
      <c r="B16" s="10" t="s">
        <v>150</v>
      </c>
      <c r="C16" s="10">
        <v>2025</v>
      </c>
      <c r="D16" s="10">
        <v>0</v>
      </c>
      <c r="E16" s="10">
        <v>0</v>
      </c>
      <c r="F16" s="10">
        <v>0</v>
      </c>
      <c r="G16" s="10">
        <v>0.7</v>
      </c>
      <c r="H16" s="10">
        <v>0.1</v>
      </c>
      <c r="I16" s="10">
        <v>0.15</v>
      </c>
      <c r="J16" s="10">
        <v>0</v>
      </c>
      <c r="K16" s="10">
        <v>0</v>
      </c>
      <c r="L16" s="10">
        <v>0</v>
      </c>
      <c r="M16" s="10">
        <v>0</v>
      </c>
      <c r="N16" s="10">
        <v>7.0000000000000007E-2</v>
      </c>
      <c r="O16" s="10">
        <v>0</v>
      </c>
      <c r="P16" s="10">
        <v>0</v>
      </c>
      <c r="Q16" s="10">
        <v>0</v>
      </c>
      <c r="R16" s="10">
        <v>0</v>
      </c>
      <c r="S16" s="10">
        <v>0.52</v>
      </c>
      <c r="T16" s="10">
        <v>0</v>
      </c>
      <c r="U16" s="10">
        <v>0.12</v>
      </c>
    </row>
    <row r="17" spans="1:21">
      <c r="A17" s="10" t="s">
        <v>280</v>
      </c>
      <c r="B17" s="10" t="s">
        <v>150</v>
      </c>
      <c r="C17" s="10">
        <v>2030</v>
      </c>
      <c r="D17" s="10">
        <v>0</v>
      </c>
      <c r="E17" s="10">
        <v>0</v>
      </c>
      <c r="F17" s="10">
        <v>0</v>
      </c>
      <c r="G17" s="10">
        <v>0.68</v>
      </c>
      <c r="H17" s="10">
        <v>0.09</v>
      </c>
      <c r="I17" s="10">
        <v>0.15</v>
      </c>
      <c r="J17" s="10">
        <v>0</v>
      </c>
      <c r="K17" s="10">
        <v>0</v>
      </c>
      <c r="L17" s="10">
        <v>0</v>
      </c>
      <c r="M17" s="10">
        <v>0</v>
      </c>
      <c r="N17" s="10">
        <v>0.06</v>
      </c>
      <c r="O17" s="10">
        <v>0</v>
      </c>
      <c r="P17" s="10">
        <v>0</v>
      </c>
      <c r="Q17" s="10">
        <v>0</v>
      </c>
      <c r="R17" s="10">
        <v>0</v>
      </c>
      <c r="S17" s="10">
        <v>0.34</v>
      </c>
      <c r="T17" s="10">
        <v>0</v>
      </c>
      <c r="U17" s="10">
        <v>0.06</v>
      </c>
    </row>
    <row r="18" spans="1:21">
      <c r="A18" s="10" t="s">
        <v>280</v>
      </c>
      <c r="B18" s="10" t="s">
        <v>150</v>
      </c>
      <c r="C18" s="10">
        <v>2035</v>
      </c>
      <c r="D18" s="10">
        <v>0</v>
      </c>
      <c r="E18" s="10">
        <v>0</v>
      </c>
      <c r="F18" s="10">
        <v>0</v>
      </c>
      <c r="G18" s="10">
        <v>0.66</v>
      </c>
      <c r="H18" s="10">
        <v>0.09</v>
      </c>
      <c r="I18" s="10">
        <v>0.14000000000000001</v>
      </c>
      <c r="J18" s="10">
        <v>0</v>
      </c>
      <c r="K18" s="10">
        <v>0</v>
      </c>
      <c r="L18" s="10">
        <v>0</v>
      </c>
      <c r="M18" s="10">
        <v>0</v>
      </c>
      <c r="N18" s="10">
        <v>0.06</v>
      </c>
      <c r="O18" s="10">
        <v>0</v>
      </c>
      <c r="P18" s="10">
        <v>0</v>
      </c>
      <c r="Q18" s="10">
        <v>0</v>
      </c>
      <c r="R18" s="10">
        <v>0</v>
      </c>
      <c r="S18" s="10">
        <v>0.03</v>
      </c>
      <c r="T18" s="10">
        <v>0</v>
      </c>
      <c r="U18" s="10">
        <v>0.02</v>
      </c>
    </row>
    <row r="19" spans="1:21">
      <c r="A19" s="10" t="s">
        <v>280</v>
      </c>
      <c r="B19" s="10" t="s">
        <v>150</v>
      </c>
      <c r="C19" s="10">
        <v>2040</v>
      </c>
      <c r="D19" s="10">
        <v>0</v>
      </c>
      <c r="E19" s="10">
        <v>0</v>
      </c>
      <c r="F19" s="10">
        <v>0</v>
      </c>
      <c r="G19" s="10">
        <v>0.63</v>
      </c>
      <c r="H19" s="10">
        <v>0.09</v>
      </c>
      <c r="I19" s="10">
        <v>0.14000000000000001</v>
      </c>
      <c r="J19" s="10">
        <v>0</v>
      </c>
      <c r="K19" s="10">
        <v>0</v>
      </c>
      <c r="L19" s="10">
        <v>0</v>
      </c>
      <c r="M19" s="10">
        <v>0</v>
      </c>
      <c r="N19" s="10">
        <v>0.06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</row>
    <row r="20" spans="1:21">
      <c r="A20" s="10" t="s">
        <v>280</v>
      </c>
      <c r="B20" s="10" t="s">
        <v>150</v>
      </c>
      <c r="C20" s="10">
        <v>2045</v>
      </c>
      <c r="D20" s="10">
        <v>0</v>
      </c>
      <c r="E20" s="10">
        <v>0</v>
      </c>
      <c r="F20" s="10">
        <v>0</v>
      </c>
      <c r="G20" s="10">
        <v>0.61</v>
      </c>
      <c r="H20" s="10">
        <v>0.08</v>
      </c>
      <c r="I20" s="10">
        <v>0.13</v>
      </c>
      <c r="J20" s="10">
        <v>0</v>
      </c>
      <c r="K20" s="10">
        <v>0</v>
      </c>
      <c r="L20" s="10">
        <v>0</v>
      </c>
      <c r="M20" s="10">
        <v>0</v>
      </c>
      <c r="N20" s="10">
        <v>0.06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</row>
    <row r="21" spans="1:21">
      <c r="A21" s="10" t="s">
        <v>280</v>
      </c>
      <c r="B21" s="10" t="s">
        <v>150</v>
      </c>
      <c r="C21" s="10">
        <v>2050</v>
      </c>
      <c r="D21" s="10">
        <v>0</v>
      </c>
      <c r="E21" s="10">
        <v>0</v>
      </c>
      <c r="F21" s="10">
        <v>0</v>
      </c>
      <c r="G21" s="10">
        <v>0.57999999999999996</v>
      </c>
      <c r="H21" s="10">
        <v>0.08</v>
      </c>
      <c r="I21" s="10">
        <v>0.13</v>
      </c>
      <c r="J21" s="10">
        <v>0</v>
      </c>
      <c r="K21" s="10">
        <v>0</v>
      </c>
      <c r="L21" s="10">
        <v>0</v>
      </c>
      <c r="M21" s="10">
        <v>0</v>
      </c>
      <c r="N21" s="10">
        <v>0.05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</row>
    <row r="22" spans="1:21">
      <c r="A22" s="10" t="s">
        <v>281</v>
      </c>
      <c r="B22" s="10" t="s">
        <v>150</v>
      </c>
      <c r="C22" s="10">
        <v>2018</v>
      </c>
      <c r="D22" s="10">
        <v>0</v>
      </c>
      <c r="E22" s="10">
        <v>0</v>
      </c>
      <c r="F22" s="10">
        <v>0</v>
      </c>
      <c r="G22" s="10">
        <v>0.56000000000000005</v>
      </c>
      <c r="H22" s="10">
        <v>0.19</v>
      </c>
      <c r="I22" s="10">
        <v>0.24</v>
      </c>
      <c r="J22" s="10">
        <v>0</v>
      </c>
      <c r="K22" s="10">
        <v>0</v>
      </c>
      <c r="L22" s="10">
        <v>0</v>
      </c>
      <c r="M22" s="10">
        <v>0</v>
      </c>
      <c r="N22" s="10">
        <v>0.13</v>
      </c>
      <c r="O22" s="10">
        <v>0</v>
      </c>
      <c r="P22" s="10">
        <v>0</v>
      </c>
      <c r="Q22" s="10">
        <v>0</v>
      </c>
      <c r="R22" s="10">
        <v>0</v>
      </c>
      <c r="S22" s="10">
        <v>0.54</v>
      </c>
      <c r="T22" s="10">
        <v>0.05</v>
      </c>
      <c r="U22" s="10">
        <v>0.24</v>
      </c>
    </row>
    <row r="23" spans="1:21">
      <c r="A23" s="10" t="s">
        <v>281</v>
      </c>
      <c r="B23" s="10" t="s">
        <v>150</v>
      </c>
      <c r="C23" s="10">
        <v>2020</v>
      </c>
      <c r="D23" s="10">
        <v>0</v>
      </c>
      <c r="E23" s="10">
        <v>0</v>
      </c>
      <c r="F23" s="10">
        <v>0</v>
      </c>
      <c r="G23" s="10">
        <v>0.55000000000000004</v>
      </c>
      <c r="H23" s="10">
        <v>0.19</v>
      </c>
      <c r="I23" s="10">
        <v>0.24</v>
      </c>
      <c r="J23" s="10">
        <v>0</v>
      </c>
      <c r="K23" s="10">
        <v>0</v>
      </c>
      <c r="L23" s="10">
        <v>0</v>
      </c>
      <c r="M23" s="10">
        <v>0</v>
      </c>
      <c r="N23" s="10">
        <v>0.13</v>
      </c>
      <c r="O23" s="10">
        <v>0</v>
      </c>
      <c r="P23" s="10">
        <v>0</v>
      </c>
      <c r="Q23" s="10">
        <v>0</v>
      </c>
      <c r="R23" s="10">
        <v>0</v>
      </c>
      <c r="S23" s="10">
        <v>0.52</v>
      </c>
      <c r="T23" s="10">
        <v>0.04</v>
      </c>
      <c r="U23" s="10">
        <v>0.23</v>
      </c>
    </row>
    <row r="24" spans="1:21">
      <c r="A24" s="10" t="s">
        <v>281</v>
      </c>
      <c r="B24" s="10" t="s">
        <v>150</v>
      </c>
      <c r="C24" s="10">
        <v>2025</v>
      </c>
      <c r="D24" s="10">
        <v>0</v>
      </c>
      <c r="E24" s="10">
        <v>0</v>
      </c>
      <c r="F24" s="10">
        <v>0</v>
      </c>
      <c r="G24" s="10">
        <v>0.54</v>
      </c>
      <c r="H24" s="10">
        <v>0.18</v>
      </c>
      <c r="I24" s="10">
        <v>0.23</v>
      </c>
      <c r="J24" s="10">
        <v>0</v>
      </c>
      <c r="K24" s="10">
        <v>0</v>
      </c>
      <c r="L24" s="10">
        <v>0</v>
      </c>
      <c r="M24" s="10">
        <v>0</v>
      </c>
      <c r="N24" s="10">
        <v>0.13</v>
      </c>
      <c r="O24" s="10">
        <v>0</v>
      </c>
      <c r="P24" s="10">
        <v>0</v>
      </c>
      <c r="Q24" s="10">
        <v>0</v>
      </c>
      <c r="R24" s="10">
        <v>0</v>
      </c>
      <c r="S24" s="10">
        <v>0.4</v>
      </c>
      <c r="T24" s="10">
        <v>0</v>
      </c>
      <c r="U24" s="10">
        <v>0.18</v>
      </c>
    </row>
    <row r="25" spans="1:21">
      <c r="A25" s="10" t="s">
        <v>281</v>
      </c>
      <c r="B25" s="10" t="s">
        <v>150</v>
      </c>
      <c r="C25" s="10">
        <v>2030</v>
      </c>
      <c r="D25" s="10">
        <v>0</v>
      </c>
      <c r="E25" s="10">
        <v>0</v>
      </c>
      <c r="F25" s="10">
        <v>0</v>
      </c>
      <c r="G25" s="10">
        <v>0.52</v>
      </c>
      <c r="H25" s="10">
        <v>0.17</v>
      </c>
      <c r="I25" s="10">
        <v>0.22</v>
      </c>
      <c r="J25" s="10">
        <v>0</v>
      </c>
      <c r="K25" s="10">
        <v>0</v>
      </c>
      <c r="L25" s="10">
        <v>0</v>
      </c>
      <c r="M25" s="10">
        <v>0</v>
      </c>
      <c r="N25" s="10">
        <v>0.12</v>
      </c>
      <c r="O25" s="10">
        <v>0</v>
      </c>
      <c r="P25" s="10">
        <v>0</v>
      </c>
      <c r="Q25" s="10">
        <v>0</v>
      </c>
      <c r="R25" s="10">
        <v>0</v>
      </c>
      <c r="S25" s="10">
        <v>0.26</v>
      </c>
      <c r="T25" s="10">
        <v>0</v>
      </c>
      <c r="U25" s="10">
        <v>0.09</v>
      </c>
    </row>
    <row r="26" spans="1:21">
      <c r="A26" s="10" t="s">
        <v>281</v>
      </c>
      <c r="B26" s="10" t="s">
        <v>150</v>
      </c>
      <c r="C26" s="10">
        <v>2035</v>
      </c>
      <c r="D26" s="10">
        <v>0</v>
      </c>
      <c r="E26" s="10">
        <v>0</v>
      </c>
      <c r="F26" s="10">
        <v>0</v>
      </c>
      <c r="G26" s="10">
        <v>0.5</v>
      </c>
      <c r="H26" s="10">
        <v>0.17</v>
      </c>
      <c r="I26" s="10">
        <v>0.22</v>
      </c>
      <c r="J26" s="10">
        <v>0</v>
      </c>
      <c r="K26" s="10">
        <v>0</v>
      </c>
      <c r="L26" s="10">
        <v>0</v>
      </c>
      <c r="M26" s="10">
        <v>0</v>
      </c>
      <c r="N26" s="10">
        <v>0.12</v>
      </c>
      <c r="O26" s="10">
        <v>0</v>
      </c>
      <c r="P26" s="10">
        <v>0</v>
      </c>
      <c r="Q26" s="10">
        <v>0</v>
      </c>
      <c r="R26" s="10">
        <v>0</v>
      </c>
      <c r="S26" s="10">
        <v>0.02</v>
      </c>
      <c r="T26" s="10">
        <v>0</v>
      </c>
      <c r="U26" s="10">
        <v>0.03</v>
      </c>
    </row>
    <row r="27" spans="1:21">
      <c r="A27" s="10" t="s">
        <v>281</v>
      </c>
      <c r="B27" s="10" t="s">
        <v>150</v>
      </c>
      <c r="C27" s="10">
        <v>2040</v>
      </c>
      <c r="D27" s="10">
        <v>0</v>
      </c>
      <c r="E27" s="10">
        <v>0</v>
      </c>
      <c r="F27" s="10">
        <v>0</v>
      </c>
      <c r="G27" s="10">
        <v>0.48</v>
      </c>
      <c r="H27" s="10">
        <v>0.16</v>
      </c>
      <c r="I27" s="10">
        <v>0.21</v>
      </c>
      <c r="J27" s="10">
        <v>0</v>
      </c>
      <c r="K27" s="10">
        <v>0</v>
      </c>
      <c r="L27" s="10">
        <v>0</v>
      </c>
      <c r="M27" s="10">
        <v>0</v>
      </c>
      <c r="N27" s="10">
        <v>0.11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</row>
    <row r="28" spans="1:21">
      <c r="A28" s="10" t="s">
        <v>281</v>
      </c>
      <c r="B28" s="10" t="s">
        <v>150</v>
      </c>
      <c r="C28" s="10">
        <v>2045</v>
      </c>
      <c r="D28" s="10">
        <v>0</v>
      </c>
      <c r="E28" s="10">
        <v>0</v>
      </c>
      <c r="F28" s="10">
        <v>0</v>
      </c>
      <c r="G28" s="10">
        <v>0.47</v>
      </c>
      <c r="H28" s="10">
        <v>0.16</v>
      </c>
      <c r="I28" s="10">
        <v>0.2</v>
      </c>
      <c r="J28" s="10">
        <v>0</v>
      </c>
      <c r="K28" s="10">
        <v>0</v>
      </c>
      <c r="L28" s="10">
        <v>0</v>
      </c>
      <c r="M28" s="10">
        <v>0</v>
      </c>
      <c r="N28" s="10">
        <v>0.11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</row>
    <row r="29" spans="1:21">
      <c r="A29" s="10" t="s">
        <v>281</v>
      </c>
      <c r="B29" s="10" t="s">
        <v>150</v>
      </c>
      <c r="C29" s="10">
        <v>2050</v>
      </c>
      <c r="D29" s="10">
        <v>0</v>
      </c>
      <c r="E29" s="10">
        <v>0</v>
      </c>
      <c r="F29" s="10">
        <v>0</v>
      </c>
      <c r="G29" s="10">
        <v>0.44</v>
      </c>
      <c r="H29" s="10">
        <v>0.15</v>
      </c>
      <c r="I29" s="10">
        <v>0.19</v>
      </c>
      <c r="J29" s="10">
        <v>0</v>
      </c>
      <c r="K29" s="10">
        <v>0</v>
      </c>
      <c r="L29" s="10">
        <v>0</v>
      </c>
      <c r="M29" s="10">
        <v>0</v>
      </c>
      <c r="N29" s="10">
        <v>0.1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</row>
    <row r="30" spans="1:21">
      <c r="A30" s="10" t="s">
        <v>282</v>
      </c>
      <c r="B30" s="10" t="s">
        <v>150</v>
      </c>
      <c r="C30" s="10">
        <v>2018</v>
      </c>
      <c r="D30" s="10">
        <v>0</v>
      </c>
      <c r="E30" s="10">
        <v>0</v>
      </c>
      <c r="F30" s="10">
        <v>0</v>
      </c>
      <c r="G30" s="10">
        <v>0.65</v>
      </c>
      <c r="H30" s="10">
        <v>0.34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0.24</v>
      </c>
      <c r="O30" s="10">
        <v>0</v>
      </c>
      <c r="P30" s="10">
        <v>0</v>
      </c>
      <c r="Q30" s="10">
        <v>0</v>
      </c>
      <c r="R30" s="10">
        <v>0</v>
      </c>
      <c r="S30" s="10">
        <v>0.63</v>
      </c>
      <c r="T30" s="10">
        <v>0.1</v>
      </c>
      <c r="U30" s="10">
        <v>0</v>
      </c>
    </row>
    <row r="31" spans="1:21">
      <c r="A31" s="10" t="s">
        <v>282</v>
      </c>
      <c r="B31" s="10" t="s">
        <v>150</v>
      </c>
      <c r="C31" s="10">
        <v>2020</v>
      </c>
      <c r="D31" s="10">
        <v>0</v>
      </c>
      <c r="E31" s="10">
        <v>0</v>
      </c>
      <c r="F31" s="10">
        <v>0</v>
      </c>
      <c r="G31" s="10">
        <v>0.64</v>
      </c>
      <c r="H31" s="10">
        <v>0.34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0.24</v>
      </c>
      <c r="O31" s="10">
        <v>0</v>
      </c>
      <c r="P31" s="10">
        <v>0</v>
      </c>
      <c r="Q31" s="10">
        <v>0</v>
      </c>
      <c r="R31" s="10">
        <v>0</v>
      </c>
      <c r="S31" s="10">
        <v>0.6</v>
      </c>
      <c r="T31" s="10">
        <v>0.08</v>
      </c>
      <c r="U31" s="10">
        <v>0</v>
      </c>
    </row>
    <row r="32" spans="1:21">
      <c r="A32" s="10" t="s">
        <v>282</v>
      </c>
      <c r="B32" s="10" t="s">
        <v>150</v>
      </c>
      <c r="C32" s="10">
        <v>2025</v>
      </c>
      <c r="D32" s="10">
        <v>0</v>
      </c>
      <c r="E32" s="10">
        <v>0</v>
      </c>
      <c r="F32" s="10">
        <v>0</v>
      </c>
      <c r="G32" s="10">
        <v>0.62</v>
      </c>
      <c r="H32" s="10">
        <v>0.33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0.23</v>
      </c>
      <c r="O32" s="10">
        <v>0</v>
      </c>
      <c r="P32" s="10">
        <v>0</v>
      </c>
      <c r="Q32" s="10">
        <v>0</v>
      </c>
      <c r="R32" s="10">
        <v>0</v>
      </c>
      <c r="S32" s="10">
        <v>0.47</v>
      </c>
      <c r="T32" s="10">
        <v>0</v>
      </c>
      <c r="U32" s="10">
        <v>0</v>
      </c>
    </row>
    <row r="33" spans="1:21">
      <c r="A33" s="10" t="s">
        <v>282</v>
      </c>
      <c r="B33" s="10" t="s">
        <v>150</v>
      </c>
      <c r="C33" s="10">
        <v>2030</v>
      </c>
      <c r="D33" s="10">
        <v>0</v>
      </c>
      <c r="E33" s="10">
        <v>0</v>
      </c>
      <c r="F33" s="10">
        <v>0</v>
      </c>
      <c r="G33" s="10">
        <v>0.6</v>
      </c>
      <c r="H33" s="10">
        <v>0.32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0.22</v>
      </c>
      <c r="O33" s="10">
        <v>0</v>
      </c>
      <c r="P33" s="10">
        <v>0</v>
      </c>
      <c r="Q33" s="10">
        <v>0</v>
      </c>
      <c r="R33" s="10">
        <v>0</v>
      </c>
      <c r="S33" s="10">
        <v>0.3</v>
      </c>
      <c r="T33" s="10">
        <v>0</v>
      </c>
      <c r="U33" s="10">
        <v>0</v>
      </c>
    </row>
    <row r="34" spans="1:21">
      <c r="A34" s="10" t="s">
        <v>282</v>
      </c>
      <c r="B34" s="10" t="s">
        <v>150</v>
      </c>
      <c r="C34" s="10">
        <v>2035</v>
      </c>
      <c r="D34" s="10">
        <v>0</v>
      </c>
      <c r="E34" s="10">
        <v>0</v>
      </c>
      <c r="F34" s="10">
        <v>0</v>
      </c>
      <c r="G34" s="10">
        <v>0.57999999999999996</v>
      </c>
      <c r="H34" s="10">
        <v>0.31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0.22</v>
      </c>
      <c r="O34" s="10">
        <v>0</v>
      </c>
      <c r="P34" s="10">
        <v>0</v>
      </c>
      <c r="Q34" s="10">
        <v>0</v>
      </c>
      <c r="R34" s="10">
        <v>0</v>
      </c>
      <c r="S34" s="10">
        <v>0.02</v>
      </c>
      <c r="T34" s="10">
        <v>0</v>
      </c>
      <c r="U34" s="10">
        <v>0</v>
      </c>
    </row>
    <row r="35" spans="1:21">
      <c r="A35" s="10" t="s">
        <v>282</v>
      </c>
      <c r="B35" s="10" t="s">
        <v>150</v>
      </c>
      <c r="C35" s="10">
        <v>2040</v>
      </c>
      <c r="D35" s="10">
        <v>0</v>
      </c>
      <c r="E35" s="10">
        <v>0</v>
      </c>
      <c r="F35" s="10">
        <v>0</v>
      </c>
      <c r="G35" s="10">
        <v>0.56000000000000005</v>
      </c>
      <c r="H35" s="10">
        <v>0.3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0.21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</row>
    <row r="36" spans="1:21">
      <c r="A36" s="10" t="s">
        <v>282</v>
      </c>
      <c r="B36" s="10" t="s">
        <v>150</v>
      </c>
      <c r="C36" s="10">
        <v>2045</v>
      </c>
      <c r="D36" s="10">
        <v>0</v>
      </c>
      <c r="E36" s="10">
        <v>0</v>
      </c>
      <c r="F36" s="10">
        <v>0</v>
      </c>
      <c r="G36" s="10">
        <v>0.54</v>
      </c>
      <c r="H36" s="10">
        <v>0.28999999999999998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0.2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</row>
    <row r="37" spans="1:21">
      <c r="A37" s="10" t="s">
        <v>282</v>
      </c>
      <c r="B37" s="10" t="s">
        <v>150</v>
      </c>
      <c r="C37" s="10">
        <v>2050</v>
      </c>
      <c r="D37" s="10">
        <v>0</v>
      </c>
      <c r="E37" s="10">
        <v>0</v>
      </c>
      <c r="F37" s="10">
        <v>0</v>
      </c>
      <c r="G37" s="10">
        <v>0.52</v>
      </c>
      <c r="H37" s="10">
        <v>0.27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0.19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</row>
    <row r="38" spans="1:21">
      <c r="A38" s="10" t="s">
        <v>283</v>
      </c>
      <c r="B38" s="10" t="s">
        <v>150</v>
      </c>
      <c r="C38" s="10">
        <v>2018</v>
      </c>
      <c r="D38" s="10">
        <v>0</v>
      </c>
      <c r="E38" s="10">
        <v>0</v>
      </c>
      <c r="F38" s="10">
        <v>0</v>
      </c>
      <c r="G38" s="10">
        <v>0.72</v>
      </c>
      <c r="H38" s="10">
        <v>0.27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0.19</v>
      </c>
      <c r="O38" s="10">
        <v>0</v>
      </c>
      <c r="P38" s="10">
        <v>0</v>
      </c>
      <c r="Q38" s="10">
        <v>0</v>
      </c>
      <c r="R38" s="10">
        <v>0</v>
      </c>
      <c r="S38" s="10">
        <v>0.7</v>
      </c>
      <c r="T38" s="10">
        <v>0.08</v>
      </c>
      <c r="U38" s="10">
        <v>0</v>
      </c>
    </row>
    <row r="39" spans="1:21">
      <c r="A39" s="10" t="s">
        <v>283</v>
      </c>
      <c r="B39" s="10" t="s">
        <v>150</v>
      </c>
      <c r="C39" s="10">
        <v>2020</v>
      </c>
      <c r="D39" s="10">
        <v>0</v>
      </c>
      <c r="E39" s="10">
        <v>0</v>
      </c>
      <c r="F39" s="10">
        <v>0</v>
      </c>
      <c r="G39" s="10">
        <v>0.71</v>
      </c>
      <c r="H39" s="10">
        <v>0.27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0.19</v>
      </c>
      <c r="O39" s="10">
        <v>0</v>
      </c>
      <c r="P39" s="10">
        <v>0</v>
      </c>
      <c r="Q39" s="10">
        <v>0</v>
      </c>
      <c r="R39" s="10">
        <v>0</v>
      </c>
      <c r="S39" s="10">
        <v>0.66</v>
      </c>
      <c r="T39" s="10">
        <v>0.06</v>
      </c>
      <c r="U39" s="10">
        <v>0</v>
      </c>
    </row>
    <row r="40" spans="1:21">
      <c r="A40" s="10" t="s">
        <v>283</v>
      </c>
      <c r="B40" s="10" t="s">
        <v>150</v>
      </c>
      <c r="C40" s="10">
        <v>2025</v>
      </c>
      <c r="D40" s="10">
        <v>0</v>
      </c>
      <c r="E40" s="10">
        <v>0</v>
      </c>
      <c r="F40" s="10">
        <v>0</v>
      </c>
      <c r="G40" s="10">
        <v>0.69</v>
      </c>
      <c r="H40" s="10">
        <v>0.26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0.18</v>
      </c>
      <c r="O40" s="10">
        <v>0</v>
      </c>
      <c r="P40" s="10">
        <v>0</v>
      </c>
      <c r="Q40" s="10">
        <v>0</v>
      </c>
      <c r="R40" s="10">
        <v>0</v>
      </c>
      <c r="S40" s="10">
        <v>0.52</v>
      </c>
      <c r="T40" s="10">
        <v>0</v>
      </c>
      <c r="U40" s="10">
        <v>0</v>
      </c>
    </row>
    <row r="41" spans="1:21">
      <c r="A41" s="10" t="s">
        <v>283</v>
      </c>
      <c r="B41" s="10" t="s">
        <v>150</v>
      </c>
      <c r="C41" s="10">
        <v>2030</v>
      </c>
      <c r="D41" s="10">
        <v>0</v>
      </c>
      <c r="E41" s="10">
        <v>0</v>
      </c>
      <c r="F41" s="10">
        <v>0</v>
      </c>
      <c r="G41" s="10">
        <v>0.67</v>
      </c>
      <c r="H41" s="10">
        <v>0.25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0.17</v>
      </c>
      <c r="O41" s="10">
        <v>0</v>
      </c>
      <c r="P41" s="10">
        <v>0</v>
      </c>
      <c r="Q41" s="10">
        <v>0</v>
      </c>
      <c r="R41" s="10">
        <v>0</v>
      </c>
      <c r="S41" s="10">
        <v>0.33</v>
      </c>
      <c r="T41" s="10">
        <v>0</v>
      </c>
      <c r="U41" s="10">
        <v>0</v>
      </c>
    </row>
    <row r="42" spans="1:21">
      <c r="A42" s="10" t="s">
        <v>283</v>
      </c>
      <c r="B42" s="10" t="s">
        <v>150</v>
      </c>
      <c r="C42" s="10">
        <v>2035</v>
      </c>
      <c r="D42" s="10">
        <v>0</v>
      </c>
      <c r="E42" s="10">
        <v>0</v>
      </c>
      <c r="F42" s="10">
        <v>0</v>
      </c>
      <c r="G42" s="10">
        <v>0.65</v>
      </c>
      <c r="H42" s="10">
        <v>0.25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0.17</v>
      </c>
      <c r="O42" s="10">
        <v>0</v>
      </c>
      <c r="P42" s="10">
        <v>0</v>
      </c>
      <c r="Q42" s="10">
        <v>0</v>
      </c>
      <c r="R42" s="10">
        <v>0</v>
      </c>
      <c r="S42" s="10">
        <v>0.03</v>
      </c>
      <c r="T42" s="10">
        <v>0</v>
      </c>
      <c r="U42" s="10">
        <v>0</v>
      </c>
    </row>
    <row r="43" spans="1:21">
      <c r="A43" s="10" t="s">
        <v>283</v>
      </c>
      <c r="B43" s="10" t="s">
        <v>150</v>
      </c>
      <c r="C43" s="10">
        <v>2040</v>
      </c>
      <c r="D43" s="10">
        <v>0</v>
      </c>
      <c r="E43" s="10">
        <v>0</v>
      </c>
      <c r="F43" s="10">
        <v>0</v>
      </c>
      <c r="G43" s="10">
        <v>0.62</v>
      </c>
      <c r="H43" s="10">
        <v>0.24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0.16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</row>
    <row r="44" spans="1:21">
      <c r="A44" s="10" t="s">
        <v>283</v>
      </c>
      <c r="B44" s="10" t="s">
        <v>150</v>
      </c>
      <c r="C44" s="10">
        <v>2045</v>
      </c>
      <c r="D44" s="10">
        <v>0</v>
      </c>
      <c r="E44" s="10">
        <v>0</v>
      </c>
      <c r="F44" s="10">
        <v>0</v>
      </c>
      <c r="G44" s="10">
        <v>0.6</v>
      </c>
      <c r="H44" s="10">
        <v>0.23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0.16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</row>
    <row r="45" spans="1:21">
      <c r="A45" s="10" t="s">
        <v>283</v>
      </c>
      <c r="B45" s="10" t="s">
        <v>150</v>
      </c>
      <c r="C45" s="10">
        <v>2050</v>
      </c>
      <c r="D45" s="10">
        <v>0</v>
      </c>
      <c r="E45" s="10">
        <v>0</v>
      </c>
      <c r="F45" s="10">
        <v>0</v>
      </c>
      <c r="G45" s="10">
        <v>0.56999999999999995</v>
      </c>
      <c r="H45" s="10">
        <v>0.22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0.15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</row>
    <row r="46" spans="1:21">
      <c r="A46" s="10" t="s">
        <v>284</v>
      </c>
      <c r="B46" s="10" t="s">
        <v>150</v>
      </c>
      <c r="C46" s="10">
        <v>2018</v>
      </c>
      <c r="D46" s="10">
        <v>0</v>
      </c>
      <c r="E46" s="10">
        <v>0</v>
      </c>
      <c r="F46" s="10">
        <v>0</v>
      </c>
      <c r="G46" s="10">
        <v>0.72</v>
      </c>
      <c r="H46" s="10">
        <v>0.19</v>
      </c>
      <c r="I46" s="10">
        <v>7.0000000000000007E-2</v>
      </c>
      <c r="J46" s="10">
        <v>0</v>
      </c>
      <c r="K46" s="10">
        <v>0</v>
      </c>
      <c r="L46" s="10">
        <v>0</v>
      </c>
      <c r="M46" s="10">
        <v>0</v>
      </c>
      <c r="N46" s="10">
        <v>0.13</v>
      </c>
      <c r="O46" s="10">
        <v>0</v>
      </c>
      <c r="P46" s="10">
        <v>0</v>
      </c>
      <c r="Q46" s="10">
        <v>0</v>
      </c>
      <c r="R46" s="10">
        <v>0</v>
      </c>
      <c r="S46" s="10">
        <v>0.7</v>
      </c>
      <c r="T46" s="10">
        <v>0.05</v>
      </c>
      <c r="U46" s="10">
        <v>7.0000000000000007E-2</v>
      </c>
    </row>
    <row r="47" spans="1:21">
      <c r="A47" s="10" t="s">
        <v>284</v>
      </c>
      <c r="B47" s="10" t="s">
        <v>150</v>
      </c>
      <c r="C47" s="10">
        <v>2020</v>
      </c>
      <c r="D47" s="10">
        <v>0</v>
      </c>
      <c r="E47" s="10">
        <v>0</v>
      </c>
      <c r="F47" s="10">
        <v>0</v>
      </c>
      <c r="G47" s="10">
        <v>0.72</v>
      </c>
      <c r="H47" s="10">
        <v>0.19</v>
      </c>
      <c r="I47" s="10">
        <v>7.0000000000000007E-2</v>
      </c>
      <c r="J47" s="10">
        <v>0</v>
      </c>
      <c r="K47" s="10">
        <v>0</v>
      </c>
      <c r="L47" s="10">
        <v>0</v>
      </c>
      <c r="M47" s="10">
        <v>0</v>
      </c>
      <c r="N47" s="10">
        <v>0.13</v>
      </c>
      <c r="O47" s="10">
        <v>0</v>
      </c>
      <c r="P47" s="10">
        <v>0</v>
      </c>
      <c r="Q47" s="10">
        <v>0</v>
      </c>
      <c r="R47" s="10">
        <v>0</v>
      </c>
      <c r="S47" s="10">
        <v>0.67</v>
      </c>
      <c r="T47" s="10">
        <v>0.04</v>
      </c>
      <c r="U47" s="10">
        <v>0.06</v>
      </c>
    </row>
    <row r="48" spans="1:21">
      <c r="A48" s="10" t="s">
        <v>284</v>
      </c>
      <c r="B48" s="10" t="s">
        <v>150</v>
      </c>
      <c r="C48" s="10">
        <v>2025</v>
      </c>
      <c r="D48" s="10">
        <v>0</v>
      </c>
      <c r="E48" s="10">
        <v>0</v>
      </c>
      <c r="F48" s="10">
        <v>0</v>
      </c>
      <c r="G48" s="10">
        <v>0.7</v>
      </c>
      <c r="H48" s="10">
        <v>0.19</v>
      </c>
      <c r="I48" s="10">
        <v>7.0000000000000007E-2</v>
      </c>
      <c r="J48" s="10">
        <v>0</v>
      </c>
      <c r="K48" s="10">
        <v>0</v>
      </c>
      <c r="L48" s="10">
        <v>0</v>
      </c>
      <c r="M48" s="10">
        <v>0</v>
      </c>
      <c r="N48" s="10">
        <v>0.13</v>
      </c>
      <c r="O48" s="10">
        <v>0</v>
      </c>
      <c r="P48" s="10">
        <v>0</v>
      </c>
      <c r="Q48" s="10">
        <v>0</v>
      </c>
      <c r="R48" s="10">
        <v>0</v>
      </c>
      <c r="S48" s="10">
        <v>0.52</v>
      </c>
      <c r="T48" s="10">
        <v>0</v>
      </c>
      <c r="U48" s="10">
        <v>0.05</v>
      </c>
    </row>
    <row r="49" spans="1:21">
      <c r="A49" s="10" t="s">
        <v>284</v>
      </c>
      <c r="B49" s="10" t="s">
        <v>150</v>
      </c>
      <c r="C49" s="10">
        <v>2030</v>
      </c>
      <c r="D49" s="10">
        <v>0</v>
      </c>
      <c r="E49" s="10">
        <v>0</v>
      </c>
      <c r="F49" s="10">
        <v>0</v>
      </c>
      <c r="G49" s="10">
        <v>0.67</v>
      </c>
      <c r="H49" s="10">
        <v>0.18</v>
      </c>
      <c r="I49" s="10">
        <v>0.06</v>
      </c>
      <c r="J49" s="10">
        <v>0</v>
      </c>
      <c r="K49" s="10">
        <v>0</v>
      </c>
      <c r="L49" s="10">
        <v>0</v>
      </c>
      <c r="M49" s="10">
        <v>0</v>
      </c>
      <c r="N49" s="10">
        <v>0.12</v>
      </c>
      <c r="O49" s="10">
        <v>0</v>
      </c>
      <c r="P49" s="10">
        <v>0</v>
      </c>
      <c r="Q49" s="10">
        <v>0</v>
      </c>
      <c r="R49" s="10">
        <v>0</v>
      </c>
      <c r="S49" s="10">
        <v>0.33</v>
      </c>
      <c r="T49" s="10">
        <v>0</v>
      </c>
      <c r="U49" s="10">
        <v>0.02</v>
      </c>
    </row>
    <row r="50" spans="1:21">
      <c r="A50" s="10" t="s">
        <v>284</v>
      </c>
      <c r="B50" s="10" t="s">
        <v>150</v>
      </c>
      <c r="C50" s="10">
        <v>2035</v>
      </c>
      <c r="D50" s="10">
        <v>0</v>
      </c>
      <c r="E50" s="10">
        <v>0</v>
      </c>
      <c r="F50" s="10">
        <v>0</v>
      </c>
      <c r="G50" s="10">
        <v>0.65</v>
      </c>
      <c r="H50" s="10">
        <v>0.17</v>
      </c>
      <c r="I50" s="10">
        <v>0.06</v>
      </c>
      <c r="J50" s="10">
        <v>0</v>
      </c>
      <c r="K50" s="10">
        <v>0</v>
      </c>
      <c r="L50" s="10">
        <v>0</v>
      </c>
      <c r="M50" s="10">
        <v>0</v>
      </c>
      <c r="N50" s="10">
        <v>0.12</v>
      </c>
      <c r="O50" s="10">
        <v>0</v>
      </c>
      <c r="P50" s="10">
        <v>0</v>
      </c>
      <c r="Q50" s="10">
        <v>0</v>
      </c>
      <c r="R50" s="10">
        <v>0</v>
      </c>
      <c r="S50" s="10">
        <v>0.03</v>
      </c>
      <c r="T50" s="10">
        <v>0</v>
      </c>
      <c r="U50" s="10">
        <v>0.01</v>
      </c>
    </row>
    <row r="51" spans="1:21">
      <c r="A51" s="10" t="s">
        <v>284</v>
      </c>
      <c r="B51" s="10" t="s">
        <v>150</v>
      </c>
      <c r="C51" s="10">
        <v>2040</v>
      </c>
      <c r="D51" s="10">
        <v>0</v>
      </c>
      <c r="E51" s="10">
        <v>0</v>
      </c>
      <c r="F51" s="10">
        <v>0</v>
      </c>
      <c r="G51" s="10">
        <v>0.63</v>
      </c>
      <c r="H51" s="10">
        <v>0.17</v>
      </c>
      <c r="I51" s="10">
        <v>0.06</v>
      </c>
      <c r="J51" s="10">
        <v>0</v>
      </c>
      <c r="K51" s="10">
        <v>0</v>
      </c>
      <c r="L51" s="10">
        <v>0</v>
      </c>
      <c r="M51" s="10">
        <v>0</v>
      </c>
      <c r="N51" s="10">
        <v>0.12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</row>
    <row r="52" spans="1:21">
      <c r="A52" s="10" t="s">
        <v>284</v>
      </c>
      <c r="B52" s="10" t="s">
        <v>150</v>
      </c>
      <c r="C52" s="10">
        <v>2045</v>
      </c>
      <c r="D52" s="10">
        <v>0</v>
      </c>
      <c r="E52" s="10">
        <v>0</v>
      </c>
      <c r="F52" s="10">
        <v>0</v>
      </c>
      <c r="G52" s="10">
        <v>0.61</v>
      </c>
      <c r="H52" s="10">
        <v>0.16</v>
      </c>
      <c r="I52" s="10">
        <v>0.06</v>
      </c>
      <c r="J52" s="10">
        <v>0</v>
      </c>
      <c r="K52" s="10">
        <v>0</v>
      </c>
      <c r="L52" s="10">
        <v>0</v>
      </c>
      <c r="M52" s="10">
        <v>0</v>
      </c>
      <c r="N52" s="10">
        <v>0.11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</row>
    <row r="53" spans="1:21">
      <c r="A53" s="10" t="s">
        <v>284</v>
      </c>
      <c r="B53" s="10" t="s">
        <v>150</v>
      </c>
      <c r="C53" s="10">
        <v>2050</v>
      </c>
      <c r="D53" s="10">
        <v>0</v>
      </c>
      <c r="E53" s="10">
        <v>0</v>
      </c>
      <c r="F53" s="10">
        <v>0</v>
      </c>
      <c r="G53" s="10">
        <v>0.57999999999999996</v>
      </c>
      <c r="H53" s="10">
        <v>0.15</v>
      </c>
      <c r="I53" s="10">
        <v>0.05</v>
      </c>
      <c r="J53" s="10">
        <v>0</v>
      </c>
      <c r="K53" s="10">
        <v>0</v>
      </c>
      <c r="L53" s="10">
        <v>0</v>
      </c>
      <c r="M53" s="10">
        <v>0</v>
      </c>
      <c r="N53" s="10">
        <v>0.11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</row>
    <row r="54" spans="1:21">
      <c r="A54" s="10" t="s">
        <v>285</v>
      </c>
      <c r="B54" s="10" t="s">
        <v>150</v>
      </c>
      <c r="C54" s="10">
        <v>2018</v>
      </c>
      <c r="D54" s="10">
        <v>0</v>
      </c>
      <c r="E54" s="10">
        <v>0</v>
      </c>
      <c r="F54" s="10">
        <v>0</v>
      </c>
      <c r="G54" s="10">
        <v>0.88</v>
      </c>
      <c r="H54" s="10">
        <v>0.11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0.08</v>
      </c>
      <c r="O54" s="10">
        <v>0</v>
      </c>
      <c r="P54" s="10">
        <v>0</v>
      </c>
      <c r="Q54" s="10">
        <v>0</v>
      </c>
      <c r="R54" s="10">
        <v>0</v>
      </c>
      <c r="S54" s="10">
        <v>0.85</v>
      </c>
      <c r="T54" s="10">
        <v>0.03</v>
      </c>
      <c r="U54" s="10">
        <v>0</v>
      </c>
    </row>
    <row r="55" spans="1:21">
      <c r="A55" s="10" t="s">
        <v>285</v>
      </c>
      <c r="B55" s="10" t="s">
        <v>150</v>
      </c>
      <c r="C55" s="10">
        <v>2020</v>
      </c>
      <c r="D55" s="10">
        <v>0</v>
      </c>
      <c r="E55" s="10">
        <v>0</v>
      </c>
      <c r="F55" s="10">
        <v>0</v>
      </c>
      <c r="G55" s="10">
        <v>0.87</v>
      </c>
      <c r="H55" s="10">
        <v>0.11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0.08</v>
      </c>
      <c r="O55" s="10">
        <v>0</v>
      </c>
      <c r="P55" s="10">
        <v>0</v>
      </c>
      <c r="Q55" s="10">
        <v>0</v>
      </c>
      <c r="R55" s="10">
        <v>0</v>
      </c>
      <c r="S55" s="10">
        <v>0.81</v>
      </c>
      <c r="T55" s="10">
        <v>0.02</v>
      </c>
      <c r="U55" s="10">
        <v>0</v>
      </c>
    </row>
    <row r="56" spans="1:21">
      <c r="A56" s="10" t="s">
        <v>285</v>
      </c>
      <c r="B56" s="10" t="s">
        <v>150</v>
      </c>
      <c r="C56" s="10">
        <v>2025</v>
      </c>
      <c r="D56" s="10">
        <v>0</v>
      </c>
      <c r="E56" s="10">
        <v>0</v>
      </c>
      <c r="F56" s="10">
        <v>0</v>
      </c>
      <c r="G56" s="10">
        <v>0.85</v>
      </c>
      <c r="H56" s="10">
        <v>0.11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0.08</v>
      </c>
      <c r="O56" s="10">
        <v>0</v>
      </c>
      <c r="P56" s="10">
        <v>0</v>
      </c>
      <c r="Q56" s="10">
        <v>0</v>
      </c>
      <c r="R56" s="10">
        <v>0</v>
      </c>
      <c r="S56" s="10">
        <v>0.63</v>
      </c>
      <c r="T56" s="10">
        <v>0</v>
      </c>
      <c r="U56" s="10">
        <v>0</v>
      </c>
    </row>
    <row r="57" spans="1:21">
      <c r="A57" s="10" t="s">
        <v>285</v>
      </c>
      <c r="B57" s="10" t="s">
        <v>150</v>
      </c>
      <c r="C57" s="10">
        <v>2030</v>
      </c>
      <c r="D57" s="10">
        <v>0</v>
      </c>
      <c r="E57" s="10">
        <v>0</v>
      </c>
      <c r="F57" s="10">
        <v>0</v>
      </c>
      <c r="G57" s="10">
        <v>0.81</v>
      </c>
      <c r="H57" s="10">
        <v>0.11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7.0000000000000007E-2</v>
      </c>
      <c r="O57" s="10">
        <v>0</v>
      </c>
      <c r="P57" s="10">
        <v>0</v>
      </c>
      <c r="Q57" s="10">
        <v>0</v>
      </c>
      <c r="R57" s="10">
        <v>0</v>
      </c>
      <c r="S57" s="10">
        <v>0.4</v>
      </c>
      <c r="T57" s="10">
        <v>0</v>
      </c>
      <c r="U57" s="10">
        <v>0</v>
      </c>
    </row>
    <row r="58" spans="1:21">
      <c r="A58" s="10" t="s">
        <v>285</v>
      </c>
      <c r="B58" s="10" t="s">
        <v>150</v>
      </c>
      <c r="C58" s="10">
        <v>2035</v>
      </c>
      <c r="D58" s="10">
        <v>0</v>
      </c>
      <c r="E58" s="10">
        <v>0</v>
      </c>
      <c r="F58" s="10">
        <v>0</v>
      </c>
      <c r="G58" s="10">
        <v>0.79</v>
      </c>
      <c r="H58" s="10">
        <v>0.1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7.0000000000000007E-2</v>
      </c>
      <c r="O58" s="10">
        <v>0</v>
      </c>
      <c r="P58" s="10">
        <v>0</v>
      </c>
      <c r="Q58" s="10">
        <v>0</v>
      </c>
      <c r="R58" s="10">
        <v>0</v>
      </c>
      <c r="S58" s="10">
        <v>0.03</v>
      </c>
      <c r="T58" s="10">
        <v>0</v>
      </c>
      <c r="U58" s="10">
        <v>0</v>
      </c>
    </row>
    <row r="59" spans="1:21">
      <c r="A59" s="10" t="s">
        <v>285</v>
      </c>
      <c r="B59" s="10" t="s">
        <v>150</v>
      </c>
      <c r="C59" s="10">
        <v>2040</v>
      </c>
      <c r="D59" s="10">
        <v>0</v>
      </c>
      <c r="E59" s="10">
        <v>0</v>
      </c>
      <c r="F59" s="10">
        <v>0</v>
      </c>
      <c r="G59" s="10">
        <v>0.76</v>
      </c>
      <c r="H59" s="10">
        <v>0.1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7.0000000000000007E-2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</row>
    <row r="60" spans="1:21">
      <c r="A60" s="10" t="s">
        <v>285</v>
      </c>
      <c r="B60" s="10" t="s">
        <v>150</v>
      </c>
      <c r="C60" s="10">
        <v>2045</v>
      </c>
      <c r="D60" s="10">
        <v>0</v>
      </c>
      <c r="E60" s="10">
        <v>0</v>
      </c>
      <c r="F60" s="10">
        <v>0</v>
      </c>
      <c r="G60" s="10">
        <v>0.74</v>
      </c>
      <c r="H60" s="10">
        <v>0.09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0.06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</row>
    <row r="61" spans="1:21">
      <c r="A61" s="10" t="s">
        <v>285</v>
      </c>
      <c r="B61" s="10" t="s">
        <v>150</v>
      </c>
      <c r="C61" s="10">
        <v>2050</v>
      </c>
      <c r="D61" s="10">
        <v>0</v>
      </c>
      <c r="E61" s="10">
        <v>0</v>
      </c>
      <c r="F61" s="10">
        <v>0</v>
      </c>
      <c r="G61" s="10">
        <v>0.7</v>
      </c>
      <c r="H61" s="10">
        <v>0.09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0.06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</row>
    <row r="62" spans="1:21">
      <c r="A62" s="10" t="s">
        <v>308</v>
      </c>
      <c r="B62" s="10" t="s">
        <v>150</v>
      </c>
      <c r="C62" s="10">
        <v>2018</v>
      </c>
      <c r="D62" s="10">
        <v>0</v>
      </c>
      <c r="E62" s="10">
        <v>0</v>
      </c>
      <c r="F62" s="10">
        <v>0</v>
      </c>
      <c r="G62" s="10">
        <v>0.53</v>
      </c>
      <c r="H62" s="10">
        <v>0.46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0.32</v>
      </c>
      <c r="O62" s="10">
        <v>0</v>
      </c>
      <c r="P62" s="10">
        <v>0</v>
      </c>
      <c r="Q62" s="10">
        <v>0</v>
      </c>
      <c r="R62" s="10">
        <v>0</v>
      </c>
      <c r="S62" s="10">
        <v>0.52</v>
      </c>
      <c r="T62" s="10">
        <v>0.13</v>
      </c>
      <c r="U62" s="10">
        <v>0</v>
      </c>
    </row>
    <row r="63" spans="1:21">
      <c r="A63" s="10" t="s">
        <v>308</v>
      </c>
      <c r="B63" s="10" t="s">
        <v>150</v>
      </c>
      <c r="C63" s="10">
        <v>2020</v>
      </c>
      <c r="D63" s="10">
        <v>0</v>
      </c>
      <c r="E63" s="10">
        <v>0</v>
      </c>
      <c r="F63" s="10">
        <v>0</v>
      </c>
      <c r="G63" s="10">
        <v>0.53</v>
      </c>
      <c r="H63" s="10">
        <v>0.45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0.32</v>
      </c>
      <c r="O63" s="10">
        <v>0</v>
      </c>
      <c r="P63" s="10">
        <v>0</v>
      </c>
      <c r="Q63" s="10">
        <v>0</v>
      </c>
      <c r="R63" s="10">
        <v>0</v>
      </c>
      <c r="S63" s="10">
        <v>0.49</v>
      </c>
      <c r="T63" s="10">
        <v>0.11</v>
      </c>
      <c r="U63" s="10">
        <v>0</v>
      </c>
    </row>
    <row r="64" spans="1:21">
      <c r="A64" s="10" t="s">
        <v>308</v>
      </c>
      <c r="B64" s="10" t="s">
        <v>150</v>
      </c>
      <c r="C64" s="10">
        <v>2025</v>
      </c>
      <c r="D64" s="10">
        <v>0</v>
      </c>
      <c r="E64" s="10">
        <v>0</v>
      </c>
      <c r="F64" s="10">
        <v>0</v>
      </c>
      <c r="G64" s="10">
        <v>0.51</v>
      </c>
      <c r="H64" s="10">
        <v>0.44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0.31</v>
      </c>
      <c r="O64" s="10">
        <v>0</v>
      </c>
      <c r="P64" s="10">
        <v>0</v>
      </c>
      <c r="Q64" s="10">
        <v>0</v>
      </c>
      <c r="R64" s="10">
        <v>0</v>
      </c>
      <c r="S64" s="10">
        <v>0.38</v>
      </c>
      <c r="T64" s="10">
        <v>0</v>
      </c>
      <c r="U64" s="10">
        <v>0</v>
      </c>
    </row>
    <row r="65" spans="1:21">
      <c r="A65" s="10" t="s">
        <v>308</v>
      </c>
      <c r="B65" s="10" t="s">
        <v>150</v>
      </c>
      <c r="C65" s="10">
        <v>2030</v>
      </c>
      <c r="D65" s="10">
        <v>0</v>
      </c>
      <c r="E65" s="10">
        <v>0</v>
      </c>
      <c r="F65" s="10">
        <v>0</v>
      </c>
      <c r="G65" s="10">
        <v>0.5</v>
      </c>
      <c r="H65" s="10">
        <v>0.42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0.3</v>
      </c>
      <c r="O65" s="10">
        <v>0</v>
      </c>
      <c r="P65" s="10">
        <v>0</v>
      </c>
      <c r="Q65" s="10">
        <v>0</v>
      </c>
      <c r="R65" s="10">
        <v>0</v>
      </c>
      <c r="S65" s="10">
        <v>0.25</v>
      </c>
      <c r="T65" s="10">
        <v>0</v>
      </c>
      <c r="U65" s="10">
        <v>0</v>
      </c>
    </row>
    <row r="66" spans="1:21">
      <c r="A66" s="10" t="s">
        <v>308</v>
      </c>
      <c r="B66" s="10" t="s">
        <v>150</v>
      </c>
      <c r="C66" s="10">
        <v>2035</v>
      </c>
      <c r="D66" s="10">
        <v>0</v>
      </c>
      <c r="E66" s="10">
        <v>0</v>
      </c>
      <c r="F66" s="10">
        <v>0</v>
      </c>
      <c r="G66" s="10">
        <v>0.48</v>
      </c>
      <c r="H66" s="10">
        <v>0.41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0.28999999999999998</v>
      </c>
      <c r="O66" s="10">
        <v>0</v>
      </c>
      <c r="P66" s="10">
        <v>0</v>
      </c>
      <c r="Q66" s="10">
        <v>0</v>
      </c>
      <c r="R66" s="10">
        <v>0</v>
      </c>
      <c r="S66" s="10">
        <v>0.02</v>
      </c>
      <c r="T66" s="10">
        <v>0</v>
      </c>
      <c r="U66" s="10">
        <v>0</v>
      </c>
    </row>
    <row r="67" spans="1:21">
      <c r="A67" s="10" t="s">
        <v>308</v>
      </c>
      <c r="B67" s="10" t="s">
        <v>150</v>
      </c>
      <c r="C67" s="10">
        <v>2040</v>
      </c>
      <c r="D67" s="10">
        <v>0</v>
      </c>
      <c r="E67" s="10">
        <v>0</v>
      </c>
      <c r="F67" s="10">
        <v>0</v>
      </c>
      <c r="G67" s="10">
        <v>0.46</v>
      </c>
      <c r="H67" s="10">
        <v>0.4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0.28000000000000003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</row>
    <row r="68" spans="1:21">
      <c r="A68" s="10" t="s">
        <v>308</v>
      </c>
      <c r="B68" s="10" t="s">
        <v>150</v>
      </c>
      <c r="C68" s="10">
        <v>2045</v>
      </c>
      <c r="D68" s="10">
        <v>0</v>
      </c>
      <c r="E68" s="10">
        <v>0</v>
      </c>
      <c r="F68" s="10">
        <v>0</v>
      </c>
      <c r="G68" s="10">
        <v>0.45</v>
      </c>
      <c r="H68" s="10">
        <v>0.38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0.27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</row>
    <row r="69" spans="1:21">
      <c r="A69" s="10" t="s">
        <v>308</v>
      </c>
      <c r="B69" s="10" t="s">
        <v>150</v>
      </c>
      <c r="C69" s="10">
        <v>2050</v>
      </c>
      <c r="D69" s="10">
        <v>0</v>
      </c>
      <c r="E69" s="10">
        <v>0</v>
      </c>
      <c r="F69" s="10">
        <v>0</v>
      </c>
      <c r="G69" s="10">
        <v>0.43</v>
      </c>
      <c r="H69" s="10">
        <v>0.36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0.25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</row>
    <row r="70" spans="1:21">
      <c r="A70" s="10" t="s">
        <v>286</v>
      </c>
      <c r="B70" s="10" t="s">
        <v>150</v>
      </c>
      <c r="C70" s="10">
        <v>2018</v>
      </c>
      <c r="D70" s="10">
        <v>0</v>
      </c>
      <c r="E70" s="10">
        <v>0</v>
      </c>
      <c r="F70" s="10">
        <v>0</v>
      </c>
      <c r="G70" s="10">
        <v>0.95</v>
      </c>
      <c r="H70" s="10">
        <v>0.04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0.03</v>
      </c>
      <c r="O70" s="10">
        <v>0</v>
      </c>
      <c r="P70" s="10">
        <v>0</v>
      </c>
      <c r="Q70" s="10">
        <v>0</v>
      </c>
      <c r="R70" s="10">
        <v>0</v>
      </c>
      <c r="S70" s="10">
        <v>0.92</v>
      </c>
      <c r="T70" s="10">
        <v>0.01</v>
      </c>
      <c r="U70" s="10">
        <v>0</v>
      </c>
    </row>
    <row r="71" spans="1:21">
      <c r="A71" s="10" t="s">
        <v>286</v>
      </c>
      <c r="B71" s="10" t="s">
        <v>150</v>
      </c>
      <c r="C71" s="10">
        <v>2020</v>
      </c>
      <c r="D71" s="10">
        <v>0</v>
      </c>
      <c r="E71" s="10">
        <v>0</v>
      </c>
      <c r="F71" s="10">
        <v>0</v>
      </c>
      <c r="G71" s="10">
        <v>0.94</v>
      </c>
      <c r="H71" s="10">
        <v>0.04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0.03</v>
      </c>
      <c r="O71" s="10">
        <v>0</v>
      </c>
      <c r="P71" s="10">
        <v>0</v>
      </c>
      <c r="Q71" s="10">
        <v>0</v>
      </c>
      <c r="R71" s="10">
        <v>0</v>
      </c>
      <c r="S71" s="10">
        <v>0.87</v>
      </c>
      <c r="T71" s="10">
        <v>0.01</v>
      </c>
      <c r="U71" s="10">
        <v>0</v>
      </c>
    </row>
    <row r="72" spans="1:21">
      <c r="A72" s="10" t="s">
        <v>286</v>
      </c>
      <c r="B72" s="10" t="s">
        <v>150</v>
      </c>
      <c r="C72" s="10">
        <v>2025</v>
      </c>
      <c r="D72" s="10">
        <v>0</v>
      </c>
      <c r="E72" s="10">
        <v>0</v>
      </c>
      <c r="F72" s="10">
        <v>0</v>
      </c>
      <c r="G72" s="10">
        <v>0.91</v>
      </c>
      <c r="H72" s="10">
        <v>0.04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0.03</v>
      </c>
      <c r="O72" s="10">
        <v>0</v>
      </c>
      <c r="P72" s="10">
        <v>0</v>
      </c>
      <c r="Q72" s="10">
        <v>0</v>
      </c>
      <c r="R72" s="10">
        <v>0</v>
      </c>
      <c r="S72" s="10">
        <v>0.68</v>
      </c>
      <c r="T72" s="10">
        <v>0</v>
      </c>
      <c r="U72" s="10">
        <v>0</v>
      </c>
    </row>
    <row r="73" spans="1:21">
      <c r="A73" s="10" t="s">
        <v>286</v>
      </c>
      <c r="B73" s="10" t="s">
        <v>150</v>
      </c>
      <c r="C73" s="10">
        <v>2030</v>
      </c>
      <c r="D73" s="10">
        <v>0</v>
      </c>
      <c r="E73" s="10">
        <v>0</v>
      </c>
      <c r="F73" s="10">
        <v>0</v>
      </c>
      <c r="G73" s="10">
        <v>0.88</v>
      </c>
      <c r="H73" s="10">
        <v>0.04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0.03</v>
      </c>
      <c r="O73" s="10">
        <v>0</v>
      </c>
      <c r="P73" s="10">
        <v>0</v>
      </c>
      <c r="Q73" s="10">
        <v>0</v>
      </c>
      <c r="R73" s="10">
        <v>0</v>
      </c>
      <c r="S73" s="10">
        <v>0.44</v>
      </c>
      <c r="T73" s="10">
        <v>0</v>
      </c>
      <c r="U73" s="10">
        <v>0</v>
      </c>
    </row>
    <row r="74" spans="1:21">
      <c r="A74" s="10" t="s">
        <v>286</v>
      </c>
      <c r="B74" s="10" t="s">
        <v>150</v>
      </c>
      <c r="C74" s="10">
        <v>2035</v>
      </c>
      <c r="D74" s="10">
        <v>0</v>
      </c>
      <c r="E74" s="10">
        <v>0</v>
      </c>
      <c r="F74" s="10">
        <v>0</v>
      </c>
      <c r="G74" s="10">
        <v>0.86</v>
      </c>
      <c r="H74" s="10">
        <v>0.04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0.03</v>
      </c>
      <c r="O74" s="10">
        <v>0</v>
      </c>
      <c r="P74" s="10">
        <v>0</v>
      </c>
      <c r="Q74" s="10">
        <v>0</v>
      </c>
      <c r="R74" s="10">
        <v>0</v>
      </c>
      <c r="S74" s="10">
        <v>0.04</v>
      </c>
      <c r="T74" s="10">
        <v>0</v>
      </c>
      <c r="U74" s="10">
        <v>0</v>
      </c>
    </row>
    <row r="75" spans="1:21">
      <c r="A75" s="10" t="s">
        <v>286</v>
      </c>
      <c r="B75" s="10" t="s">
        <v>150</v>
      </c>
      <c r="C75" s="10">
        <v>2040</v>
      </c>
      <c r="D75" s="10">
        <v>0</v>
      </c>
      <c r="E75" s="10">
        <v>0</v>
      </c>
      <c r="F75" s="10">
        <v>0</v>
      </c>
      <c r="G75" s="10">
        <v>0.82</v>
      </c>
      <c r="H75" s="10">
        <v>0.04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0.02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</row>
    <row r="76" spans="1:21">
      <c r="A76" s="10" t="s">
        <v>286</v>
      </c>
      <c r="B76" s="10" t="s">
        <v>150</v>
      </c>
      <c r="C76" s="10">
        <v>2045</v>
      </c>
      <c r="D76" s="10">
        <v>0</v>
      </c>
      <c r="E76" s="10">
        <v>0</v>
      </c>
      <c r="F76" s="10">
        <v>0</v>
      </c>
      <c r="G76" s="10">
        <v>0.79</v>
      </c>
      <c r="H76" s="10">
        <v>0.04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0.02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</row>
    <row r="77" spans="1:21">
      <c r="A77" s="10" t="s">
        <v>286</v>
      </c>
      <c r="B77" s="10" t="s">
        <v>150</v>
      </c>
      <c r="C77" s="10">
        <v>2050</v>
      </c>
      <c r="D77" s="10">
        <v>0</v>
      </c>
      <c r="E77" s="10">
        <v>0</v>
      </c>
      <c r="F77" s="10">
        <v>0</v>
      </c>
      <c r="G77" s="10">
        <v>0.76</v>
      </c>
      <c r="H77" s="10">
        <v>0.03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0.02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</row>
    <row r="78" spans="1:21">
      <c r="A78" s="10" t="s">
        <v>287</v>
      </c>
      <c r="B78" s="10" t="s">
        <v>150</v>
      </c>
      <c r="C78" s="10">
        <v>2018</v>
      </c>
      <c r="D78" s="10">
        <v>0</v>
      </c>
      <c r="E78" s="10">
        <v>0</v>
      </c>
      <c r="F78" s="10">
        <v>0</v>
      </c>
      <c r="G78" s="10">
        <v>0.7</v>
      </c>
      <c r="H78" s="10">
        <v>0.28999999999999998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0.2</v>
      </c>
      <c r="O78" s="10">
        <v>0</v>
      </c>
      <c r="P78" s="10">
        <v>0</v>
      </c>
      <c r="Q78" s="10">
        <v>0</v>
      </c>
      <c r="R78" s="10">
        <v>0</v>
      </c>
      <c r="S78" s="10">
        <v>0.68</v>
      </c>
      <c r="T78" s="10">
        <v>0.08</v>
      </c>
      <c r="U78" s="10">
        <v>0</v>
      </c>
    </row>
    <row r="79" spans="1:21">
      <c r="A79" s="10" t="s">
        <v>287</v>
      </c>
      <c r="B79" s="10" t="s">
        <v>150</v>
      </c>
      <c r="C79" s="10">
        <v>2020</v>
      </c>
      <c r="D79" s="10">
        <v>0</v>
      </c>
      <c r="E79" s="10">
        <v>0</v>
      </c>
      <c r="F79" s="10">
        <v>0</v>
      </c>
      <c r="G79" s="10">
        <v>0.7</v>
      </c>
      <c r="H79" s="10">
        <v>0.28000000000000003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0.2</v>
      </c>
      <c r="O79" s="10">
        <v>0</v>
      </c>
      <c r="P79" s="10">
        <v>0</v>
      </c>
      <c r="Q79" s="10">
        <v>0</v>
      </c>
      <c r="R79" s="10">
        <v>0</v>
      </c>
      <c r="S79" s="10">
        <v>0.65</v>
      </c>
      <c r="T79" s="10">
        <v>0.06</v>
      </c>
      <c r="U79" s="10">
        <v>0</v>
      </c>
    </row>
    <row r="80" spans="1:21">
      <c r="A80" s="10" t="s">
        <v>287</v>
      </c>
      <c r="B80" s="10" t="s">
        <v>150</v>
      </c>
      <c r="C80" s="10">
        <v>2025</v>
      </c>
      <c r="D80" s="10">
        <v>0</v>
      </c>
      <c r="E80" s="10">
        <v>0</v>
      </c>
      <c r="F80" s="10">
        <v>0</v>
      </c>
      <c r="G80" s="10">
        <v>0.68</v>
      </c>
      <c r="H80" s="10">
        <v>0.27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0.19</v>
      </c>
      <c r="O80" s="10">
        <v>0</v>
      </c>
      <c r="P80" s="10">
        <v>0</v>
      </c>
      <c r="Q80" s="10">
        <v>0</v>
      </c>
      <c r="R80" s="10">
        <v>0</v>
      </c>
      <c r="S80" s="10">
        <v>0.51</v>
      </c>
      <c r="T80" s="10">
        <v>0</v>
      </c>
      <c r="U80" s="10">
        <v>0</v>
      </c>
    </row>
    <row r="81" spans="1:21">
      <c r="A81" s="10" t="s">
        <v>287</v>
      </c>
      <c r="B81" s="10" t="s">
        <v>150</v>
      </c>
      <c r="C81" s="10">
        <v>2030</v>
      </c>
      <c r="D81" s="10">
        <v>0</v>
      </c>
      <c r="E81" s="10">
        <v>0</v>
      </c>
      <c r="F81" s="10">
        <v>0</v>
      </c>
      <c r="G81" s="10">
        <v>0.65</v>
      </c>
      <c r="H81" s="10">
        <v>0.26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0.18</v>
      </c>
      <c r="O81" s="10">
        <v>0</v>
      </c>
      <c r="P81" s="10">
        <v>0</v>
      </c>
      <c r="Q81" s="10">
        <v>0</v>
      </c>
      <c r="R81" s="10">
        <v>0</v>
      </c>
      <c r="S81" s="10">
        <v>0.32</v>
      </c>
      <c r="T81" s="10">
        <v>0</v>
      </c>
      <c r="U81" s="10">
        <v>0</v>
      </c>
    </row>
    <row r="82" spans="1:21">
      <c r="A82" s="10" t="s">
        <v>287</v>
      </c>
      <c r="B82" s="10" t="s">
        <v>150</v>
      </c>
      <c r="C82" s="10">
        <v>2035</v>
      </c>
      <c r="D82" s="10">
        <v>0</v>
      </c>
      <c r="E82" s="10">
        <v>0</v>
      </c>
      <c r="F82" s="10">
        <v>0</v>
      </c>
      <c r="G82" s="10">
        <v>0.63</v>
      </c>
      <c r="H82" s="10">
        <v>0.26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0.18</v>
      </c>
      <c r="O82" s="10">
        <v>0</v>
      </c>
      <c r="P82" s="10">
        <v>0</v>
      </c>
      <c r="Q82" s="10">
        <v>0</v>
      </c>
      <c r="R82" s="10">
        <v>0</v>
      </c>
      <c r="S82" s="10">
        <v>0.03</v>
      </c>
      <c r="T82" s="10">
        <v>0</v>
      </c>
      <c r="U82" s="10">
        <v>0</v>
      </c>
    </row>
    <row r="83" spans="1:21">
      <c r="A83" s="10" t="s">
        <v>287</v>
      </c>
      <c r="B83" s="10" t="s">
        <v>150</v>
      </c>
      <c r="C83" s="10">
        <v>2040</v>
      </c>
      <c r="D83" s="10">
        <v>0</v>
      </c>
      <c r="E83" s="10">
        <v>0</v>
      </c>
      <c r="F83" s="10">
        <v>0</v>
      </c>
      <c r="G83" s="10">
        <v>0.61</v>
      </c>
      <c r="H83" s="10">
        <v>0.25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0.17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</row>
    <row r="84" spans="1:21">
      <c r="A84" s="10" t="s">
        <v>287</v>
      </c>
      <c r="B84" s="10" t="s">
        <v>150</v>
      </c>
      <c r="C84" s="10">
        <v>2045</v>
      </c>
      <c r="D84" s="10">
        <v>0</v>
      </c>
      <c r="E84" s="10">
        <v>0</v>
      </c>
      <c r="F84" s="10">
        <v>0</v>
      </c>
      <c r="G84" s="10">
        <v>0.59</v>
      </c>
      <c r="H84" s="10">
        <v>0.24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0.17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</row>
    <row r="85" spans="1:21">
      <c r="A85" s="10" t="s">
        <v>287</v>
      </c>
      <c r="B85" s="10" t="s">
        <v>150</v>
      </c>
      <c r="C85" s="10">
        <v>2050</v>
      </c>
      <c r="D85" s="10">
        <v>0</v>
      </c>
      <c r="E85" s="10">
        <v>0</v>
      </c>
      <c r="F85" s="10">
        <v>0</v>
      </c>
      <c r="G85" s="10">
        <v>0.56000000000000005</v>
      </c>
      <c r="H85" s="10">
        <v>0.23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0.16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</row>
    <row r="86" spans="1:21">
      <c r="A86" s="10" t="s">
        <v>288</v>
      </c>
      <c r="B86" s="10" t="s">
        <v>150</v>
      </c>
      <c r="C86" s="10">
        <v>2018</v>
      </c>
      <c r="D86" s="10">
        <v>0</v>
      </c>
      <c r="E86" s="10">
        <v>0</v>
      </c>
      <c r="F86" s="10">
        <v>0</v>
      </c>
      <c r="G86" s="10">
        <v>0.87</v>
      </c>
      <c r="H86" s="10">
        <v>0.09</v>
      </c>
      <c r="I86" s="10">
        <v>0.02</v>
      </c>
      <c r="J86" s="10">
        <v>0</v>
      </c>
      <c r="K86" s="10">
        <v>0</v>
      </c>
      <c r="L86" s="10">
        <v>0</v>
      </c>
      <c r="M86" s="10">
        <v>0</v>
      </c>
      <c r="N86" s="10">
        <v>0.06</v>
      </c>
      <c r="O86" s="10">
        <v>0</v>
      </c>
      <c r="P86" s="10">
        <v>0</v>
      </c>
      <c r="Q86" s="10">
        <v>0</v>
      </c>
      <c r="R86" s="10">
        <v>0</v>
      </c>
      <c r="S86" s="10">
        <v>0.85</v>
      </c>
      <c r="T86" s="10">
        <v>0.02</v>
      </c>
      <c r="U86" s="10">
        <v>0.02</v>
      </c>
    </row>
    <row r="87" spans="1:21">
      <c r="A87" s="10" t="s">
        <v>288</v>
      </c>
      <c r="B87" s="10" t="s">
        <v>150</v>
      </c>
      <c r="C87" s="10">
        <v>2020</v>
      </c>
      <c r="D87" s="10">
        <v>0</v>
      </c>
      <c r="E87" s="10">
        <v>0</v>
      </c>
      <c r="F87" s="10">
        <v>0</v>
      </c>
      <c r="G87" s="10">
        <v>0.87</v>
      </c>
      <c r="H87" s="10">
        <v>0.09</v>
      </c>
      <c r="I87" s="10">
        <v>0.02</v>
      </c>
      <c r="J87" s="10">
        <v>0</v>
      </c>
      <c r="K87" s="10">
        <v>0</v>
      </c>
      <c r="L87" s="10">
        <v>0</v>
      </c>
      <c r="M87" s="10">
        <v>0</v>
      </c>
      <c r="N87" s="10">
        <v>0.06</v>
      </c>
      <c r="O87" s="10">
        <v>0</v>
      </c>
      <c r="P87" s="10">
        <v>0</v>
      </c>
      <c r="Q87" s="10">
        <v>0</v>
      </c>
      <c r="R87" s="10">
        <v>0</v>
      </c>
      <c r="S87" s="10">
        <v>0.81</v>
      </c>
      <c r="T87" s="10">
        <v>0.02</v>
      </c>
      <c r="U87" s="10">
        <v>0.02</v>
      </c>
    </row>
    <row r="88" spans="1:21">
      <c r="A88" s="10" t="s">
        <v>288</v>
      </c>
      <c r="B88" s="10" t="s">
        <v>150</v>
      </c>
      <c r="C88" s="10">
        <v>2025</v>
      </c>
      <c r="D88" s="10">
        <v>0</v>
      </c>
      <c r="E88" s="10">
        <v>0</v>
      </c>
      <c r="F88" s="10">
        <v>0</v>
      </c>
      <c r="G88" s="10">
        <v>0.84</v>
      </c>
      <c r="H88" s="10">
        <v>0.09</v>
      </c>
      <c r="I88" s="10">
        <v>0.02</v>
      </c>
      <c r="J88" s="10">
        <v>0</v>
      </c>
      <c r="K88" s="10">
        <v>0</v>
      </c>
      <c r="L88" s="10">
        <v>0</v>
      </c>
      <c r="M88" s="10">
        <v>0</v>
      </c>
      <c r="N88" s="10">
        <v>0.06</v>
      </c>
      <c r="O88" s="10">
        <v>0</v>
      </c>
      <c r="P88" s="10">
        <v>0</v>
      </c>
      <c r="Q88" s="10">
        <v>0</v>
      </c>
      <c r="R88" s="10">
        <v>0</v>
      </c>
      <c r="S88" s="10">
        <v>0.63</v>
      </c>
      <c r="T88" s="10">
        <v>0</v>
      </c>
      <c r="U88" s="10">
        <v>0.01</v>
      </c>
    </row>
    <row r="89" spans="1:21">
      <c r="A89" s="10" t="s">
        <v>288</v>
      </c>
      <c r="B89" s="10" t="s">
        <v>150</v>
      </c>
      <c r="C89" s="10">
        <v>2030</v>
      </c>
      <c r="D89" s="10">
        <v>0</v>
      </c>
      <c r="E89" s="10">
        <v>0</v>
      </c>
      <c r="F89" s="10">
        <v>0</v>
      </c>
      <c r="G89" s="10">
        <v>0.81</v>
      </c>
      <c r="H89" s="10">
        <v>0.09</v>
      </c>
      <c r="I89" s="10">
        <v>0.02</v>
      </c>
      <c r="J89" s="10">
        <v>0</v>
      </c>
      <c r="K89" s="10">
        <v>0</v>
      </c>
      <c r="L89" s="10">
        <v>0</v>
      </c>
      <c r="M89" s="10">
        <v>0</v>
      </c>
      <c r="N89" s="10">
        <v>0.06</v>
      </c>
      <c r="O89" s="10">
        <v>0</v>
      </c>
      <c r="P89" s="10">
        <v>0</v>
      </c>
      <c r="Q89" s="10">
        <v>0</v>
      </c>
      <c r="R89" s="10">
        <v>0</v>
      </c>
      <c r="S89" s="10">
        <v>0.4</v>
      </c>
      <c r="T89" s="10">
        <v>0</v>
      </c>
      <c r="U89" s="10">
        <v>0</v>
      </c>
    </row>
    <row r="90" spans="1:21">
      <c r="A90" s="10" t="s">
        <v>288</v>
      </c>
      <c r="B90" s="10" t="s">
        <v>150</v>
      </c>
      <c r="C90" s="10">
        <v>2035</v>
      </c>
      <c r="D90" s="10">
        <v>0</v>
      </c>
      <c r="E90" s="10">
        <v>0</v>
      </c>
      <c r="F90" s="10">
        <v>0</v>
      </c>
      <c r="G90" s="10">
        <v>0.79</v>
      </c>
      <c r="H90" s="10">
        <v>0.09</v>
      </c>
      <c r="I90" s="10">
        <v>0.02</v>
      </c>
      <c r="J90" s="10">
        <v>0</v>
      </c>
      <c r="K90" s="10">
        <v>0</v>
      </c>
      <c r="L90" s="10">
        <v>0</v>
      </c>
      <c r="M90" s="10">
        <v>0</v>
      </c>
      <c r="N90" s="10">
        <v>0.06</v>
      </c>
      <c r="O90" s="10">
        <v>0</v>
      </c>
      <c r="P90" s="10">
        <v>0</v>
      </c>
      <c r="Q90" s="10">
        <v>0</v>
      </c>
      <c r="R90" s="10">
        <v>0</v>
      </c>
      <c r="S90" s="10">
        <v>0.03</v>
      </c>
      <c r="T90" s="10">
        <v>0</v>
      </c>
      <c r="U90" s="10">
        <v>0</v>
      </c>
    </row>
    <row r="91" spans="1:21">
      <c r="A91" s="10" t="s">
        <v>288</v>
      </c>
      <c r="B91" s="10" t="s">
        <v>150</v>
      </c>
      <c r="C91" s="10">
        <v>2040</v>
      </c>
      <c r="D91" s="10">
        <v>0</v>
      </c>
      <c r="E91" s="10">
        <v>0</v>
      </c>
      <c r="F91" s="10">
        <v>0</v>
      </c>
      <c r="G91" s="10">
        <v>0.76</v>
      </c>
      <c r="H91" s="10">
        <v>0.08</v>
      </c>
      <c r="I91" s="10">
        <v>0.01</v>
      </c>
      <c r="J91" s="10">
        <v>0</v>
      </c>
      <c r="K91" s="10">
        <v>0</v>
      </c>
      <c r="L91" s="10">
        <v>0</v>
      </c>
      <c r="M91" s="10">
        <v>0</v>
      </c>
      <c r="N91" s="10">
        <v>0.06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</row>
    <row r="92" spans="1:21">
      <c r="A92" s="10" t="s">
        <v>288</v>
      </c>
      <c r="B92" s="10" t="s">
        <v>150</v>
      </c>
      <c r="C92" s="10">
        <v>2045</v>
      </c>
      <c r="D92" s="10">
        <v>0</v>
      </c>
      <c r="E92" s="10">
        <v>0</v>
      </c>
      <c r="F92" s="10">
        <v>0</v>
      </c>
      <c r="G92" s="10">
        <v>0.73</v>
      </c>
      <c r="H92" s="10">
        <v>0.08</v>
      </c>
      <c r="I92" s="10">
        <v>0.01</v>
      </c>
      <c r="J92" s="10">
        <v>0</v>
      </c>
      <c r="K92" s="10">
        <v>0</v>
      </c>
      <c r="L92" s="10">
        <v>0</v>
      </c>
      <c r="M92" s="10">
        <v>0</v>
      </c>
      <c r="N92" s="10">
        <v>0.05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</row>
    <row r="93" spans="1:21">
      <c r="A93" s="10" t="s">
        <v>288</v>
      </c>
      <c r="B93" s="10" t="s">
        <v>150</v>
      </c>
      <c r="C93" s="10">
        <v>2050</v>
      </c>
      <c r="D93" s="10">
        <v>0</v>
      </c>
      <c r="E93" s="10">
        <v>0</v>
      </c>
      <c r="F93" s="10">
        <v>0</v>
      </c>
      <c r="G93" s="10">
        <v>0.7</v>
      </c>
      <c r="H93" s="10">
        <v>7.0000000000000007E-2</v>
      </c>
      <c r="I93" s="10">
        <v>0.01</v>
      </c>
      <c r="J93" s="10">
        <v>0</v>
      </c>
      <c r="K93" s="10">
        <v>0</v>
      </c>
      <c r="L93" s="10">
        <v>0</v>
      </c>
      <c r="M93" s="10">
        <v>0</v>
      </c>
      <c r="N93" s="10">
        <v>0.05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</row>
    <row r="94" spans="1:21">
      <c r="A94" s="10" t="s">
        <v>289</v>
      </c>
      <c r="B94" s="10" t="s">
        <v>150</v>
      </c>
      <c r="C94" s="10">
        <v>2018</v>
      </c>
      <c r="D94" s="10">
        <v>0</v>
      </c>
      <c r="E94" s="10">
        <v>0</v>
      </c>
      <c r="F94" s="10">
        <v>0</v>
      </c>
      <c r="G94" s="10">
        <v>0.97</v>
      </c>
      <c r="H94" s="10">
        <v>0.02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0.01</v>
      </c>
      <c r="O94" s="10">
        <v>0</v>
      </c>
      <c r="P94" s="10">
        <v>0</v>
      </c>
      <c r="Q94" s="10">
        <v>0</v>
      </c>
      <c r="R94" s="10">
        <v>0</v>
      </c>
      <c r="S94" s="10">
        <v>0.94</v>
      </c>
      <c r="T94" s="10">
        <v>0</v>
      </c>
      <c r="U94" s="10">
        <v>0</v>
      </c>
    </row>
    <row r="95" spans="1:21">
      <c r="A95" s="10" t="s">
        <v>289</v>
      </c>
      <c r="B95" s="10" t="s">
        <v>150</v>
      </c>
      <c r="C95" s="10">
        <v>2020</v>
      </c>
      <c r="D95" s="10">
        <v>0</v>
      </c>
      <c r="E95" s="10">
        <v>0</v>
      </c>
      <c r="F95" s="10">
        <v>0</v>
      </c>
      <c r="G95" s="10">
        <v>0.97</v>
      </c>
      <c r="H95" s="10">
        <v>0.02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0.01</v>
      </c>
      <c r="O95" s="10">
        <v>0</v>
      </c>
      <c r="P95" s="10">
        <v>0</v>
      </c>
      <c r="Q95" s="10">
        <v>0</v>
      </c>
      <c r="R95" s="10">
        <v>0</v>
      </c>
      <c r="S95" s="10">
        <v>0.9</v>
      </c>
      <c r="T95" s="10">
        <v>0</v>
      </c>
      <c r="U95" s="10">
        <v>0</v>
      </c>
    </row>
    <row r="96" spans="1:21">
      <c r="A96" s="10" t="s">
        <v>289</v>
      </c>
      <c r="B96" s="10" t="s">
        <v>150</v>
      </c>
      <c r="C96" s="10">
        <v>2025</v>
      </c>
      <c r="D96" s="10">
        <v>0</v>
      </c>
      <c r="E96" s="10">
        <v>0</v>
      </c>
      <c r="F96" s="10">
        <v>0</v>
      </c>
      <c r="G96" s="10">
        <v>0.94</v>
      </c>
      <c r="H96" s="10">
        <v>0.02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0.01</v>
      </c>
      <c r="O96" s="10">
        <v>0</v>
      </c>
      <c r="P96" s="10">
        <v>0</v>
      </c>
      <c r="Q96" s="10">
        <v>0</v>
      </c>
      <c r="R96" s="10">
        <v>0</v>
      </c>
      <c r="S96" s="10">
        <v>0.7</v>
      </c>
      <c r="T96" s="10">
        <v>0</v>
      </c>
      <c r="U96" s="10">
        <v>0</v>
      </c>
    </row>
    <row r="97" spans="1:21">
      <c r="A97" s="10" t="s">
        <v>289</v>
      </c>
      <c r="B97" s="10" t="s">
        <v>150</v>
      </c>
      <c r="C97" s="10">
        <v>2030</v>
      </c>
      <c r="D97" s="10">
        <v>0</v>
      </c>
      <c r="E97" s="10">
        <v>0</v>
      </c>
      <c r="F97" s="10">
        <v>0</v>
      </c>
      <c r="G97" s="10">
        <v>0.91</v>
      </c>
      <c r="H97" s="10">
        <v>0.01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0.01</v>
      </c>
      <c r="O97" s="10">
        <v>0</v>
      </c>
      <c r="P97" s="10">
        <v>0</v>
      </c>
      <c r="Q97" s="10">
        <v>0</v>
      </c>
      <c r="R97" s="10">
        <v>0</v>
      </c>
      <c r="S97" s="10">
        <v>0.45</v>
      </c>
      <c r="T97" s="10">
        <v>0</v>
      </c>
      <c r="U97" s="10">
        <v>0</v>
      </c>
    </row>
    <row r="98" spans="1:21">
      <c r="A98" s="10" t="s">
        <v>289</v>
      </c>
      <c r="B98" s="10" t="s">
        <v>150</v>
      </c>
      <c r="C98" s="10">
        <v>2035</v>
      </c>
      <c r="D98" s="10">
        <v>0</v>
      </c>
      <c r="E98" s="10">
        <v>0</v>
      </c>
      <c r="F98" s="10">
        <v>0</v>
      </c>
      <c r="G98" s="10">
        <v>0.88</v>
      </c>
      <c r="H98" s="10">
        <v>0.01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0.01</v>
      </c>
      <c r="O98" s="10">
        <v>0</v>
      </c>
      <c r="P98" s="10">
        <v>0</v>
      </c>
      <c r="Q98" s="10">
        <v>0</v>
      </c>
      <c r="R98" s="10">
        <v>0</v>
      </c>
      <c r="S98" s="10">
        <v>0.04</v>
      </c>
      <c r="T98" s="10">
        <v>0</v>
      </c>
      <c r="U98" s="10">
        <v>0</v>
      </c>
    </row>
    <row r="99" spans="1:21">
      <c r="A99" s="10" t="s">
        <v>289</v>
      </c>
      <c r="B99" s="10" t="s">
        <v>150</v>
      </c>
      <c r="C99" s="10">
        <v>2040</v>
      </c>
      <c r="D99" s="10">
        <v>0</v>
      </c>
      <c r="E99" s="10">
        <v>0</v>
      </c>
      <c r="F99" s="10">
        <v>0</v>
      </c>
      <c r="G99" s="10">
        <v>0.85</v>
      </c>
      <c r="H99" s="10">
        <v>0.01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0.01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</row>
    <row r="100" spans="1:21">
      <c r="A100" s="10" t="s">
        <v>289</v>
      </c>
      <c r="B100" s="10" t="s">
        <v>150</v>
      </c>
      <c r="C100" s="10">
        <v>2045</v>
      </c>
      <c r="D100" s="10">
        <v>0</v>
      </c>
      <c r="E100" s="10">
        <v>0</v>
      </c>
      <c r="F100" s="10">
        <v>0</v>
      </c>
      <c r="G100" s="10">
        <v>0.82</v>
      </c>
      <c r="H100" s="10">
        <v>0.01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0.01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 spans="1:21">
      <c r="A101" s="10" t="s">
        <v>289</v>
      </c>
      <c r="B101" s="10" t="s">
        <v>150</v>
      </c>
      <c r="C101" s="10">
        <v>2050</v>
      </c>
      <c r="D101" s="10">
        <v>0</v>
      </c>
      <c r="E101" s="10">
        <v>0</v>
      </c>
      <c r="F101" s="10">
        <v>0</v>
      </c>
      <c r="G101" s="10">
        <v>0.78</v>
      </c>
      <c r="H101" s="10">
        <v>0.01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0.01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</row>
    <row r="102" spans="1:21">
      <c r="A102" s="10" t="s">
        <v>290</v>
      </c>
      <c r="B102" s="10" t="s">
        <v>150</v>
      </c>
      <c r="C102" s="10">
        <v>2018</v>
      </c>
      <c r="D102" s="10">
        <v>0</v>
      </c>
      <c r="E102" s="10">
        <v>0</v>
      </c>
      <c r="F102" s="10">
        <v>0</v>
      </c>
      <c r="G102" s="10">
        <v>0.73</v>
      </c>
      <c r="H102" s="10">
        <v>0.21</v>
      </c>
      <c r="I102" s="10">
        <v>0.05</v>
      </c>
      <c r="J102" s="10">
        <v>0</v>
      </c>
      <c r="K102" s="10">
        <v>0</v>
      </c>
      <c r="L102" s="10">
        <v>0</v>
      </c>
      <c r="M102" s="10">
        <v>0</v>
      </c>
      <c r="N102" s="10">
        <v>0.14000000000000001</v>
      </c>
      <c r="O102" s="10">
        <v>0</v>
      </c>
      <c r="P102" s="10">
        <v>0</v>
      </c>
      <c r="Q102" s="10">
        <v>0</v>
      </c>
      <c r="R102" s="10">
        <v>0</v>
      </c>
      <c r="S102" s="10">
        <v>0.71</v>
      </c>
      <c r="T102" s="10">
        <v>0.06</v>
      </c>
      <c r="U102" s="10">
        <v>0.05</v>
      </c>
    </row>
    <row r="103" spans="1:21">
      <c r="A103" s="10" t="s">
        <v>290</v>
      </c>
      <c r="B103" s="10" t="s">
        <v>150</v>
      </c>
      <c r="C103" s="10">
        <v>2020</v>
      </c>
      <c r="D103" s="10">
        <v>0</v>
      </c>
      <c r="E103" s="10">
        <v>0</v>
      </c>
      <c r="F103" s="10">
        <v>0</v>
      </c>
      <c r="G103" s="10">
        <v>0.73</v>
      </c>
      <c r="H103" s="10">
        <v>0.21</v>
      </c>
      <c r="I103" s="10">
        <v>0.05</v>
      </c>
      <c r="J103" s="10">
        <v>0</v>
      </c>
      <c r="K103" s="10">
        <v>0</v>
      </c>
      <c r="L103" s="10">
        <v>0</v>
      </c>
      <c r="M103" s="10">
        <v>0</v>
      </c>
      <c r="N103" s="10">
        <v>0.14000000000000001</v>
      </c>
      <c r="O103" s="10">
        <v>0</v>
      </c>
      <c r="P103" s="10">
        <v>0</v>
      </c>
      <c r="Q103" s="10">
        <v>0</v>
      </c>
      <c r="R103" s="10">
        <v>0</v>
      </c>
      <c r="S103" s="10">
        <v>0.68</v>
      </c>
      <c r="T103" s="10">
        <v>0.05</v>
      </c>
      <c r="U103" s="10">
        <v>0.04</v>
      </c>
    </row>
    <row r="104" spans="1:21">
      <c r="A104" s="10" t="s">
        <v>290</v>
      </c>
      <c r="B104" s="10" t="s">
        <v>150</v>
      </c>
      <c r="C104" s="10">
        <v>2025</v>
      </c>
      <c r="D104" s="10">
        <v>0</v>
      </c>
      <c r="E104" s="10">
        <v>0</v>
      </c>
      <c r="F104" s="10">
        <v>0</v>
      </c>
      <c r="G104" s="10">
        <v>0.71</v>
      </c>
      <c r="H104" s="10">
        <v>0.2</v>
      </c>
      <c r="I104" s="10">
        <v>0.05</v>
      </c>
      <c r="J104" s="10">
        <v>0</v>
      </c>
      <c r="K104" s="10">
        <v>0</v>
      </c>
      <c r="L104" s="10">
        <v>0</v>
      </c>
      <c r="M104" s="10">
        <v>0</v>
      </c>
      <c r="N104" s="10">
        <v>0.14000000000000001</v>
      </c>
      <c r="O104" s="10">
        <v>0</v>
      </c>
      <c r="P104" s="10">
        <v>0</v>
      </c>
      <c r="Q104" s="10">
        <v>0</v>
      </c>
      <c r="R104" s="10">
        <v>0</v>
      </c>
      <c r="S104" s="10">
        <v>0.53</v>
      </c>
      <c r="T104" s="10">
        <v>0</v>
      </c>
      <c r="U104" s="10">
        <v>0.04</v>
      </c>
    </row>
    <row r="105" spans="1:21">
      <c r="A105" s="10" t="s">
        <v>290</v>
      </c>
      <c r="B105" s="10" t="s">
        <v>150</v>
      </c>
      <c r="C105" s="10">
        <v>2030</v>
      </c>
      <c r="D105" s="10">
        <v>0</v>
      </c>
      <c r="E105" s="10">
        <v>0</v>
      </c>
      <c r="F105" s="10">
        <v>0</v>
      </c>
      <c r="G105" s="10">
        <v>0.68</v>
      </c>
      <c r="H105" s="10">
        <v>0.19</v>
      </c>
      <c r="I105" s="10">
        <v>0.04</v>
      </c>
      <c r="J105" s="10">
        <v>0</v>
      </c>
      <c r="K105" s="10">
        <v>0</v>
      </c>
      <c r="L105" s="10">
        <v>0</v>
      </c>
      <c r="M105" s="10">
        <v>0</v>
      </c>
      <c r="N105" s="10">
        <v>0.13</v>
      </c>
      <c r="O105" s="10">
        <v>0</v>
      </c>
      <c r="P105" s="10">
        <v>0</v>
      </c>
      <c r="Q105" s="10">
        <v>0</v>
      </c>
      <c r="R105" s="10">
        <v>0</v>
      </c>
      <c r="S105" s="10">
        <v>0.34</v>
      </c>
      <c r="T105" s="10">
        <v>0</v>
      </c>
      <c r="U105" s="10">
        <v>0.01</v>
      </c>
    </row>
    <row r="106" spans="1:21">
      <c r="A106" s="10" t="s">
        <v>290</v>
      </c>
      <c r="B106" s="10" t="s">
        <v>150</v>
      </c>
      <c r="C106" s="10">
        <v>2035</v>
      </c>
      <c r="D106" s="10">
        <v>0</v>
      </c>
      <c r="E106" s="10">
        <v>0</v>
      </c>
      <c r="F106" s="10">
        <v>0</v>
      </c>
      <c r="G106" s="10">
        <v>0.66</v>
      </c>
      <c r="H106" s="10">
        <v>0.19</v>
      </c>
      <c r="I106" s="10">
        <v>0.04</v>
      </c>
      <c r="J106" s="10">
        <v>0</v>
      </c>
      <c r="K106" s="10">
        <v>0</v>
      </c>
      <c r="L106" s="10">
        <v>0</v>
      </c>
      <c r="M106" s="10">
        <v>0</v>
      </c>
      <c r="N106" s="10">
        <v>0.13</v>
      </c>
      <c r="O106" s="10">
        <v>0</v>
      </c>
      <c r="P106" s="10">
        <v>0</v>
      </c>
      <c r="Q106" s="10">
        <v>0</v>
      </c>
      <c r="R106" s="10">
        <v>0</v>
      </c>
      <c r="S106" s="10">
        <v>0.03</v>
      </c>
      <c r="T106" s="10">
        <v>0</v>
      </c>
      <c r="U106" s="10">
        <v>0</v>
      </c>
    </row>
    <row r="107" spans="1:21">
      <c r="A107" s="10" t="s">
        <v>290</v>
      </c>
      <c r="B107" s="10" t="s">
        <v>150</v>
      </c>
      <c r="C107" s="10">
        <v>2040</v>
      </c>
      <c r="D107" s="10">
        <v>0</v>
      </c>
      <c r="E107" s="10">
        <v>0</v>
      </c>
      <c r="F107" s="10">
        <v>0</v>
      </c>
      <c r="G107" s="10">
        <v>0.64</v>
      </c>
      <c r="H107" s="10">
        <v>0.18</v>
      </c>
      <c r="I107" s="10">
        <v>0.04</v>
      </c>
      <c r="J107" s="10">
        <v>0</v>
      </c>
      <c r="K107" s="10">
        <v>0</v>
      </c>
      <c r="L107" s="10">
        <v>0</v>
      </c>
      <c r="M107" s="10">
        <v>0</v>
      </c>
      <c r="N107" s="10">
        <v>0.12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</row>
    <row r="108" spans="1:21">
      <c r="A108" s="10" t="s">
        <v>290</v>
      </c>
      <c r="B108" s="10" t="s">
        <v>150</v>
      </c>
      <c r="C108" s="10">
        <v>2045</v>
      </c>
      <c r="D108" s="10">
        <v>0</v>
      </c>
      <c r="E108" s="10">
        <v>0</v>
      </c>
      <c r="F108" s="10">
        <v>0</v>
      </c>
      <c r="G108" s="10">
        <v>0.61</v>
      </c>
      <c r="H108" s="10">
        <v>0.17</v>
      </c>
      <c r="I108" s="10">
        <v>0.04</v>
      </c>
      <c r="J108" s="10">
        <v>0</v>
      </c>
      <c r="K108" s="10">
        <v>0</v>
      </c>
      <c r="L108" s="10">
        <v>0</v>
      </c>
      <c r="M108" s="10">
        <v>0</v>
      </c>
      <c r="N108" s="10">
        <v>0.12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</row>
    <row r="109" spans="1:21">
      <c r="A109" s="10" t="s">
        <v>290</v>
      </c>
      <c r="B109" s="10" t="s">
        <v>150</v>
      </c>
      <c r="C109" s="10">
        <v>2050</v>
      </c>
      <c r="D109" s="10">
        <v>0</v>
      </c>
      <c r="E109" s="10">
        <v>0</v>
      </c>
      <c r="F109" s="10">
        <v>0</v>
      </c>
      <c r="G109" s="10">
        <v>0.57999999999999996</v>
      </c>
      <c r="H109" s="10">
        <v>0.16</v>
      </c>
      <c r="I109" s="10">
        <v>0.04</v>
      </c>
      <c r="J109" s="10">
        <v>0</v>
      </c>
      <c r="K109" s="10">
        <v>0</v>
      </c>
      <c r="L109" s="10">
        <v>0</v>
      </c>
      <c r="M109" s="10">
        <v>0</v>
      </c>
      <c r="N109" s="10">
        <v>0.11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</row>
    <row r="110" spans="1:21">
      <c r="A110" s="10" t="s">
        <v>291</v>
      </c>
      <c r="B110" s="10" t="s">
        <v>150</v>
      </c>
      <c r="C110" s="10">
        <v>2018</v>
      </c>
      <c r="D110" s="10">
        <v>0</v>
      </c>
      <c r="E110" s="10">
        <v>0</v>
      </c>
      <c r="F110" s="10">
        <v>0</v>
      </c>
      <c r="G110" s="10">
        <v>0.68</v>
      </c>
      <c r="H110" s="10">
        <v>0.26</v>
      </c>
      <c r="I110" s="10">
        <v>0.04</v>
      </c>
      <c r="J110" s="10">
        <v>0</v>
      </c>
      <c r="K110" s="10">
        <v>0</v>
      </c>
      <c r="L110" s="10">
        <v>0</v>
      </c>
      <c r="M110" s="10">
        <v>0</v>
      </c>
      <c r="N110" s="10">
        <v>0.18</v>
      </c>
      <c r="O110" s="10">
        <v>0</v>
      </c>
      <c r="P110" s="10">
        <v>0</v>
      </c>
      <c r="Q110" s="10">
        <v>0</v>
      </c>
      <c r="R110" s="10">
        <v>0</v>
      </c>
      <c r="S110" s="10">
        <v>0.66</v>
      </c>
      <c r="T110" s="10">
        <v>0.08</v>
      </c>
      <c r="U110" s="10">
        <v>0.04</v>
      </c>
    </row>
    <row r="111" spans="1:21">
      <c r="A111" s="10" t="s">
        <v>291</v>
      </c>
      <c r="B111" s="10" t="s">
        <v>150</v>
      </c>
      <c r="C111" s="10">
        <v>2020</v>
      </c>
      <c r="D111" s="10">
        <v>0</v>
      </c>
      <c r="E111" s="10">
        <v>0</v>
      </c>
      <c r="F111" s="10">
        <v>0</v>
      </c>
      <c r="G111" s="10">
        <v>0.68</v>
      </c>
      <c r="H111" s="10">
        <v>0.26</v>
      </c>
      <c r="I111" s="10">
        <v>0.04</v>
      </c>
      <c r="J111" s="10">
        <v>0</v>
      </c>
      <c r="K111" s="10">
        <v>0</v>
      </c>
      <c r="L111" s="10">
        <v>0</v>
      </c>
      <c r="M111" s="10">
        <v>0</v>
      </c>
      <c r="N111" s="10">
        <v>0.18</v>
      </c>
      <c r="O111" s="10">
        <v>0</v>
      </c>
      <c r="P111" s="10">
        <v>0</v>
      </c>
      <c r="Q111" s="10">
        <v>0</v>
      </c>
      <c r="R111" s="10">
        <v>0</v>
      </c>
      <c r="S111" s="10">
        <v>0.63</v>
      </c>
      <c r="T111" s="10">
        <v>0.06</v>
      </c>
      <c r="U111" s="10">
        <v>0.03</v>
      </c>
    </row>
    <row r="112" spans="1:21">
      <c r="A112" s="10" t="s">
        <v>291</v>
      </c>
      <c r="B112" s="10" t="s">
        <v>150</v>
      </c>
      <c r="C112" s="10">
        <v>2025</v>
      </c>
      <c r="D112" s="10">
        <v>0</v>
      </c>
      <c r="E112" s="10">
        <v>0</v>
      </c>
      <c r="F112" s="10">
        <v>0</v>
      </c>
      <c r="G112" s="10">
        <v>0.66</v>
      </c>
      <c r="H112" s="10">
        <v>0.26</v>
      </c>
      <c r="I112" s="10">
        <v>0.03</v>
      </c>
      <c r="J112" s="10">
        <v>0</v>
      </c>
      <c r="K112" s="10">
        <v>0</v>
      </c>
      <c r="L112" s="10">
        <v>0</v>
      </c>
      <c r="M112" s="10">
        <v>0</v>
      </c>
      <c r="N112" s="10">
        <v>0.18</v>
      </c>
      <c r="O112" s="10">
        <v>0</v>
      </c>
      <c r="P112" s="10">
        <v>0</v>
      </c>
      <c r="Q112" s="10">
        <v>0</v>
      </c>
      <c r="R112" s="10">
        <v>0</v>
      </c>
      <c r="S112" s="10">
        <v>0.49</v>
      </c>
      <c r="T112" s="10">
        <v>0</v>
      </c>
      <c r="U112" s="10">
        <v>0.03</v>
      </c>
    </row>
    <row r="113" spans="1:21">
      <c r="A113" s="10" t="s">
        <v>291</v>
      </c>
      <c r="B113" s="10" t="s">
        <v>150</v>
      </c>
      <c r="C113" s="10">
        <v>2030</v>
      </c>
      <c r="D113" s="10">
        <v>0</v>
      </c>
      <c r="E113" s="10">
        <v>0</v>
      </c>
      <c r="F113" s="10">
        <v>0</v>
      </c>
      <c r="G113" s="10">
        <v>0.64</v>
      </c>
      <c r="H113" s="10">
        <v>0.25</v>
      </c>
      <c r="I113" s="10">
        <v>0.03</v>
      </c>
      <c r="J113" s="10">
        <v>0</v>
      </c>
      <c r="K113" s="10">
        <v>0</v>
      </c>
      <c r="L113" s="10">
        <v>0</v>
      </c>
      <c r="M113" s="10">
        <v>0</v>
      </c>
      <c r="N113" s="10">
        <v>0.17</v>
      </c>
      <c r="O113" s="10">
        <v>0</v>
      </c>
      <c r="P113" s="10">
        <v>0</v>
      </c>
      <c r="Q113" s="10">
        <v>0</v>
      </c>
      <c r="R113" s="10">
        <v>0</v>
      </c>
      <c r="S113" s="10">
        <v>0.32</v>
      </c>
      <c r="T113" s="10">
        <v>0</v>
      </c>
      <c r="U113" s="10">
        <v>0.01</v>
      </c>
    </row>
    <row r="114" spans="1:21">
      <c r="A114" s="10" t="s">
        <v>291</v>
      </c>
      <c r="B114" s="10" t="s">
        <v>150</v>
      </c>
      <c r="C114" s="10">
        <v>2035</v>
      </c>
      <c r="D114" s="10">
        <v>0</v>
      </c>
      <c r="E114" s="10">
        <v>0</v>
      </c>
      <c r="F114" s="10">
        <v>0</v>
      </c>
      <c r="G114" s="10">
        <v>0.62</v>
      </c>
      <c r="H114" s="10">
        <v>0.24</v>
      </c>
      <c r="I114" s="10">
        <v>0.03</v>
      </c>
      <c r="J114" s="10">
        <v>0</v>
      </c>
      <c r="K114" s="10">
        <v>0</v>
      </c>
      <c r="L114" s="10">
        <v>0</v>
      </c>
      <c r="M114" s="10">
        <v>0</v>
      </c>
      <c r="N114" s="10">
        <v>0.17</v>
      </c>
      <c r="O114" s="10">
        <v>0</v>
      </c>
      <c r="P114" s="10">
        <v>0</v>
      </c>
      <c r="Q114" s="10">
        <v>0</v>
      </c>
      <c r="R114" s="10">
        <v>0</v>
      </c>
      <c r="S114" s="10">
        <v>0.03</v>
      </c>
      <c r="T114" s="10">
        <v>0</v>
      </c>
      <c r="U114" s="10">
        <v>0</v>
      </c>
    </row>
    <row r="115" spans="1:21">
      <c r="A115" s="10" t="s">
        <v>291</v>
      </c>
      <c r="B115" s="10" t="s">
        <v>150</v>
      </c>
      <c r="C115" s="10">
        <v>2040</v>
      </c>
      <c r="D115" s="10">
        <v>0</v>
      </c>
      <c r="E115" s="10">
        <v>0</v>
      </c>
      <c r="F115" s="10">
        <v>0</v>
      </c>
      <c r="G115" s="10">
        <v>0.59</v>
      </c>
      <c r="H115" s="10">
        <v>0.23</v>
      </c>
      <c r="I115" s="10">
        <v>0.03</v>
      </c>
      <c r="J115" s="10">
        <v>0</v>
      </c>
      <c r="K115" s="10">
        <v>0</v>
      </c>
      <c r="L115" s="10">
        <v>0</v>
      </c>
      <c r="M115" s="10">
        <v>0</v>
      </c>
      <c r="N115" s="10">
        <v>0.16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</row>
    <row r="116" spans="1:21">
      <c r="A116" s="10" t="s">
        <v>291</v>
      </c>
      <c r="B116" s="10" t="s">
        <v>150</v>
      </c>
      <c r="C116" s="10">
        <v>2045</v>
      </c>
      <c r="D116" s="10">
        <v>0</v>
      </c>
      <c r="E116" s="10">
        <v>0</v>
      </c>
      <c r="F116" s="10">
        <v>0</v>
      </c>
      <c r="G116" s="10">
        <v>0.56999999999999995</v>
      </c>
      <c r="H116" s="10">
        <v>0.22</v>
      </c>
      <c r="I116" s="10">
        <v>0.03</v>
      </c>
      <c r="J116" s="10">
        <v>0</v>
      </c>
      <c r="K116" s="10">
        <v>0</v>
      </c>
      <c r="L116" s="10">
        <v>0</v>
      </c>
      <c r="M116" s="10">
        <v>0</v>
      </c>
      <c r="N116" s="10">
        <v>0.15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</row>
    <row r="117" spans="1:21">
      <c r="A117" s="10" t="s">
        <v>291</v>
      </c>
      <c r="B117" s="10" t="s">
        <v>150</v>
      </c>
      <c r="C117" s="10">
        <v>2050</v>
      </c>
      <c r="D117" s="10">
        <v>0</v>
      </c>
      <c r="E117" s="10">
        <v>0</v>
      </c>
      <c r="F117" s="10">
        <v>0</v>
      </c>
      <c r="G117" s="10">
        <v>0.55000000000000004</v>
      </c>
      <c r="H117" s="10">
        <v>0.21</v>
      </c>
      <c r="I117" s="10">
        <v>0.03</v>
      </c>
      <c r="J117" s="10">
        <v>0</v>
      </c>
      <c r="K117" s="10">
        <v>0</v>
      </c>
      <c r="L117" s="10">
        <v>0</v>
      </c>
      <c r="M117" s="10">
        <v>0</v>
      </c>
      <c r="N117" s="10">
        <v>0.15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</row>
    <row r="118" spans="1:21">
      <c r="A118" s="10" t="s">
        <v>292</v>
      </c>
      <c r="B118" s="10" t="s">
        <v>150</v>
      </c>
      <c r="C118" s="10">
        <v>2018</v>
      </c>
      <c r="D118" s="10">
        <v>0</v>
      </c>
      <c r="E118" s="10">
        <v>0</v>
      </c>
      <c r="F118" s="10">
        <v>0</v>
      </c>
      <c r="G118" s="10">
        <v>0.99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0.96</v>
      </c>
      <c r="T118" s="10">
        <v>0</v>
      </c>
      <c r="U118" s="10">
        <v>0</v>
      </c>
    </row>
    <row r="119" spans="1:21">
      <c r="A119" s="10" t="s">
        <v>292</v>
      </c>
      <c r="B119" s="10" t="s">
        <v>150</v>
      </c>
      <c r="C119" s="10">
        <v>2020</v>
      </c>
      <c r="D119" s="10">
        <v>0</v>
      </c>
      <c r="E119" s="10">
        <v>0</v>
      </c>
      <c r="F119" s="10">
        <v>0</v>
      </c>
      <c r="G119" s="10">
        <v>0.98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0.91</v>
      </c>
      <c r="T119" s="10">
        <v>0</v>
      </c>
      <c r="U119" s="10">
        <v>0</v>
      </c>
    </row>
    <row r="120" spans="1:21">
      <c r="A120" s="10" t="s">
        <v>292</v>
      </c>
      <c r="B120" s="10" t="s">
        <v>150</v>
      </c>
      <c r="C120" s="10">
        <v>2025</v>
      </c>
      <c r="D120" s="10">
        <v>0</v>
      </c>
      <c r="E120" s="10">
        <v>0</v>
      </c>
      <c r="F120" s="10">
        <v>0</v>
      </c>
      <c r="G120" s="10">
        <v>0.95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0.71</v>
      </c>
      <c r="T120" s="10">
        <v>0</v>
      </c>
      <c r="U120" s="10">
        <v>0</v>
      </c>
    </row>
    <row r="121" spans="1:21">
      <c r="A121" s="10" t="s">
        <v>292</v>
      </c>
      <c r="B121" s="10" t="s">
        <v>150</v>
      </c>
      <c r="C121" s="10">
        <v>2030</v>
      </c>
      <c r="D121" s="10">
        <v>0</v>
      </c>
      <c r="E121" s="10">
        <v>0</v>
      </c>
      <c r="F121" s="10">
        <v>0</v>
      </c>
      <c r="G121" s="10">
        <v>0.92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0.46</v>
      </c>
      <c r="T121" s="10">
        <v>0</v>
      </c>
      <c r="U121" s="10">
        <v>0</v>
      </c>
    </row>
    <row r="122" spans="1:21">
      <c r="A122" s="10" t="s">
        <v>292</v>
      </c>
      <c r="B122" s="10" t="s">
        <v>150</v>
      </c>
      <c r="C122" s="10">
        <v>2035</v>
      </c>
      <c r="D122" s="10">
        <v>0</v>
      </c>
      <c r="E122" s="10">
        <v>0</v>
      </c>
      <c r="F122" s="10">
        <v>0</v>
      </c>
      <c r="G122" s="10">
        <v>0.89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0.04</v>
      </c>
      <c r="T122" s="10">
        <v>0</v>
      </c>
      <c r="U122" s="10">
        <v>0</v>
      </c>
    </row>
    <row r="123" spans="1:21">
      <c r="A123" s="10" t="s">
        <v>292</v>
      </c>
      <c r="B123" s="10" t="s">
        <v>150</v>
      </c>
      <c r="C123" s="10">
        <v>2040</v>
      </c>
      <c r="D123" s="10">
        <v>0</v>
      </c>
      <c r="E123" s="10">
        <v>0</v>
      </c>
      <c r="F123" s="10">
        <v>0</v>
      </c>
      <c r="G123" s="10">
        <v>0.86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</row>
    <row r="124" spans="1:21">
      <c r="A124" s="10" t="s">
        <v>292</v>
      </c>
      <c r="B124" s="10" t="s">
        <v>150</v>
      </c>
      <c r="C124" s="10">
        <v>2045</v>
      </c>
      <c r="D124" s="10">
        <v>0</v>
      </c>
      <c r="E124" s="10">
        <v>0</v>
      </c>
      <c r="F124" s="10">
        <v>0</v>
      </c>
      <c r="G124" s="10">
        <v>0.83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</row>
    <row r="125" spans="1:21">
      <c r="A125" s="10" t="s">
        <v>292</v>
      </c>
      <c r="B125" s="10" t="s">
        <v>150</v>
      </c>
      <c r="C125" s="10">
        <v>2050</v>
      </c>
      <c r="D125" s="10">
        <v>0</v>
      </c>
      <c r="E125" s="10">
        <v>0</v>
      </c>
      <c r="F125" s="10">
        <v>0</v>
      </c>
      <c r="G125" s="10">
        <v>0.79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</row>
    <row r="126" spans="1:21">
      <c r="A126" s="10" t="s">
        <v>293</v>
      </c>
      <c r="B126" s="10" t="s">
        <v>150</v>
      </c>
      <c r="C126" s="10">
        <v>2018</v>
      </c>
      <c r="D126" s="10">
        <v>0</v>
      </c>
      <c r="E126" s="10">
        <v>0</v>
      </c>
      <c r="F126" s="10">
        <v>0</v>
      </c>
      <c r="G126" s="10">
        <v>0.86</v>
      </c>
      <c r="H126" s="10">
        <v>0.13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0.09</v>
      </c>
      <c r="O126" s="10">
        <v>0</v>
      </c>
      <c r="P126" s="10">
        <v>0</v>
      </c>
      <c r="Q126" s="10">
        <v>0</v>
      </c>
      <c r="R126" s="10">
        <v>0</v>
      </c>
      <c r="S126" s="10">
        <v>0.84</v>
      </c>
      <c r="T126" s="10">
        <v>0.03</v>
      </c>
      <c r="U126" s="10">
        <v>0</v>
      </c>
    </row>
    <row r="127" spans="1:21">
      <c r="A127" s="10" t="s">
        <v>293</v>
      </c>
      <c r="B127" s="10" t="s">
        <v>150</v>
      </c>
      <c r="C127" s="10">
        <v>2020</v>
      </c>
      <c r="D127" s="10">
        <v>0</v>
      </c>
      <c r="E127" s="10">
        <v>0</v>
      </c>
      <c r="F127" s="10">
        <v>0</v>
      </c>
      <c r="G127" s="10">
        <v>0.86</v>
      </c>
      <c r="H127" s="10">
        <v>0.13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0.09</v>
      </c>
      <c r="O127" s="10">
        <v>0</v>
      </c>
      <c r="P127" s="10">
        <v>0</v>
      </c>
      <c r="Q127" s="10">
        <v>0</v>
      </c>
      <c r="R127" s="10">
        <v>0</v>
      </c>
      <c r="S127" s="10">
        <v>0.8</v>
      </c>
      <c r="T127" s="10">
        <v>0.03</v>
      </c>
      <c r="U127" s="10">
        <v>0</v>
      </c>
    </row>
    <row r="128" spans="1:21">
      <c r="A128" s="10" t="s">
        <v>293</v>
      </c>
      <c r="B128" s="10" t="s">
        <v>150</v>
      </c>
      <c r="C128" s="10">
        <v>2025</v>
      </c>
      <c r="D128" s="10">
        <v>0</v>
      </c>
      <c r="E128" s="10">
        <v>0</v>
      </c>
      <c r="F128" s="10">
        <v>0</v>
      </c>
      <c r="G128" s="10">
        <v>0.83</v>
      </c>
      <c r="H128" s="10">
        <v>0.12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0.08</v>
      </c>
      <c r="O128" s="10">
        <v>0</v>
      </c>
      <c r="P128" s="10">
        <v>0</v>
      </c>
      <c r="Q128" s="10">
        <v>0</v>
      </c>
      <c r="R128" s="10">
        <v>0</v>
      </c>
      <c r="S128" s="10">
        <v>0.62</v>
      </c>
      <c r="T128" s="10">
        <v>0</v>
      </c>
      <c r="U128" s="10">
        <v>0</v>
      </c>
    </row>
    <row r="129" spans="1:21">
      <c r="A129" s="10" t="s">
        <v>293</v>
      </c>
      <c r="B129" s="10" t="s">
        <v>150</v>
      </c>
      <c r="C129" s="10">
        <v>2030</v>
      </c>
      <c r="D129" s="10">
        <v>0</v>
      </c>
      <c r="E129" s="10">
        <v>0</v>
      </c>
      <c r="F129" s="10">
        <v>0</v>
      </c>
      <c r="G129" s="10">
        <v>0.8</v>
      </c>
      <c r="H129" s="10">
        <v>0.12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0.08</v>
      </c>
      <c r="O129" s="10">
        <v>0</v>
      </c>
      <c r="P129" s="10">
        <v>0</v>
      </c>
      <c r="Q129" s="10">
        <v>0</v>
      </c>
      <c r="R129" s="10">
        <v>0</v>
      </c>
      <c r="S129" s="10">
        <v>0.4</v>
      </c>
      <c r="T129" s="10">
        <v>0</v>
      </c>
      <c r="U129" s="10">
        <v>0</v>
      </c>
    </row>
    <row r="130" spans="1:21">
      <c r="A130" s="10" t="s">
        <v>293</v>
      </c>
      <c r="B130" s="10" t="s">
        <v>150</v>
      </c>
      <c r="C130" s="10">
        <v>2035</v>
      </c>
      <c r="D130" s="10">
        <v>0</v>
      </c>
      <c r="E130" s="10">
        <v>0</v>
      </c>
      <c r="F130" s="10">
        <v>0</v>
      </c>
      <c r="G130" s="10">
        <v>0.78</v>
      </c>
      <c r="H130" s="10">
        <v>0.11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0.08</v>
      </c>
      <c r="O130" s="10">
        <v>0</v>
      </c>
      <c r="P130" s="10">
        <v>0</v>
      </c>
      <c r="Q130" s="10">
        <v>0</v>
      </c>
      <c r="R130" s="10">
        <v>0</v>
      </c>
      <c r="S130" s="10">
        <v>0.03</v>
      </c>
      <c r="T130" s="10">
        <v>0</v>
      </c>
      <c r="U130" s="10">
        <v>0</v>
      </c>
    </row>
    <row r="131" spans="1:21">
      <c r="A131" s="10" t="s">
        <v>293</v>
      </c>
      <c r="B131" s="10" t="s">
        <v>150</v>
      </c>
      <c r="C131" s="10">
        <v>2040</v>
      </c>
      <c r="D131" s="10">
        <v>0</v>
      </c>
      <c r="E131" s="10">
        <v>0</v>
      </c>
      <c r="F131" s="10">
        <v>0</v>
      </c>
      <c r="G131" s="10">
        <v>0.75</v>
      </c>
      <c r="H131" s="10">
        <v>0.11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0.08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</row>
    <row r="132" spans="1:21">
      <c r="A132" s="10" t="s">
        <v>293</v>
      </c>
      <c r="B132" s="10" t="s">
        <v>150</v>
      </c>
      <c r="C132" s="10">
        <v>2045</v>
      </c>
      <c r="D132" s="10">
        <v>0</v>
      </c>
      <c r="E132" s="10">
        <v>0</v>
      </c>
      <c r="F132" s="10">
        <v>0</v>
      </c>
      <c r="G132" s="10">
        <v>0.72</v>
      </c>
      <c r="H132" s="10">
        <v>0.11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7.0000000000000007E-2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</row>
    <row r="133" spans="1:21">
      <c r="A133" s="10" t="s">
        <v>293</v>
      </c>
      <c r="B133" s="10" t="s">
        <v>150</v>
      </c>
      <c r="C133" s="10">
        <v>2050</v>
      </c>
      <c r="D133" s="10">
        <v>0</v>
      </c>
      <c r="E133" s="10">
        <v>0</v>
      </c>
      <c r="F133" s="10">
        <v>0</v>
      </c>
      <c r="G133" s="10">
        <v>0.69</v>
      </c>
      <c r="H133" s="10">
        <v>0.1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7.0000000000000007E-2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</row>
    <row r="134" spans="1:21">
      <c r="A134" s="10" t="s">
        <v>309</v>
      </c>
      <c r="B134" s="10" t="s">
        <v>150</v>
      </c>
      <c r="C134" s="10">
        <v>2018</v>
      </c>
      <c r="D134" s="10">
        <v>0</v>
      </c>
      <c r="E134" s="10">
        <v>0</v>
      </c>
      <c r="F134" s="10">
        <v>0</v>
      </c>
      <c r="G134" s="10">
        <v>0.32</v>
      </c>
      <c r="H134" s="10">
        <v>0.67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0.47</v>
      </c>
      <c r="O134" s="10">
        <v>0</v>
      </c>
      <c r="P134" s="10">
        <v>0</v>
      </c>
      <c r="Q134" s="10">
        <v>0</v>
      </c>
      <c r="R134" s="10">
        <v>0</v>
      </c>
      <c r="S134" s="10">
        <v>0.31</v>
      </c>
      <c r="T134" s="10">
        <v>0.2</v>
      </c>
      <c r="U134" s="10">
        <v>0</v>
      </c>
    </row>
    <row r="135" spans="1:21">
      <c r="A135" s="10" t="s">
        <v>309</v>
      </c>
      <c r="B135" s="10" t="s">
        <v>150</v>
      </c>
      <c r="C135" s="10">
        <v>2020</v>
      </c>
      <c r="D135" s="10">
        <v>0</v>
      </c>
      <c r="E135" s="10">
        <v>0</v>
      </c>
      <c r="F135" s="10">
        <v>0</v>
      </c>
      <c r="G135" s="10">
        <v>0.31</v>
      </c>
      <c r="H135" s="10">
        <v>0.67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0.47</v>
      </c>
      <c r="O135" s="10">
        <v>0</v>
      </c>
      <c r="P135" s="10">
        <v>0</v>
      </c>
      <c r="Q135" s="10">
        <v>0</v>
      </c>
      <c r="R135" s="10">
        <v>0</v>
      </c>
      <c r="S135" s="10">
        <v>0.28999999999999998</v>
      </c>
      <c r="T135" s="10">
        <v>0.16</v>
      </c>
      <c r="U135" s="10">
        <v>0</v>
      </c>
    </row>
    <row r="136" spans="1:21">
      <c r="A136" s="10" t="s">
        <v>309</v>
      </c>
      <c r="B136" s="10" t="s">
        <v>150</v>
      </c>
      <c r="C136" s="10">
        <v>2025</v>
      </c>
      <c r="D136" s="10">
        <v>0</v>
      </c>
      <c r="E136" s="10">
        <v>0</v>
      </c>
      <c r="F136" s="10">
        <v>0</v>
      </c>
      <c r="G136" s="10">
        <v>0.3</v>
      </c>
      <c r="H136" s="10">
        <v>0.65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0.45</v>
      </c>
      <c r="O136" s="10">
        <v>0</v>
      </c>
      <c r="P136" s="10">
        <v>0</v>
      </c>
      <c r="Q136" s="10">
        <v>0</v>
      </c>
      <c r="R136" s="10">
        <v>0</v>
      </c>
      <c r="S136" s="10">
        <v>0.23</v>
      </c>
      <c r="T136" s="10">
        <v>0</v>
      </c>
      <c r="U136" s="10">
        <v>0</v>
      </c>
    </row>
    <row r="137" spans="1:21">
      <c r="A137" s="10" t="s">
        <v>309</v>
      </c>
      <c r="B137" s="10" t="s">
        <v>150</v>
      </c>
      <c r="C137" s="10">
        <v>2030</v>
      </c>
      <c r="D137" s="10">
        <v>0</v>
      </c>
      <c r="E137" s="10">
        <v>0</v>
      </c>
      <c r="F137" s="10">
        <v>0</v>
      </c>
      <c r="G137" s="10">
        <v>0.28999999999999998</v>
      </c>
      <c r="H137" s="10">
        <v>0.63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0.44</v>
      </c>
      <c r="O137" s="10">
        <v>0</v>
      </c>
      <c r="P137" s="10">
        <v>0</v>
      </c>
      <c r="Q137" s="10">
        <v>0</v>
      </c>
      <c r="R137" s="10">
        <v>0</v>
      </c>
      <c r="S137" s="10">
        <v>0.14000000000000001</v>
      </c>
      <c r="T137" s="10">
        <v>0</v>
      </c>
      <c r="U137" s="10">
        <v>0</v>
      </c>
    </row>
    <row r="138" spans="1:21">
      <c r="A138" s="10" t="s">
        <v>309</v>
      </c>
      <c r="B138" s="10" t="s">
        <v>150</v>
      </c>
      <c r="C138" s="10">
        <v>2035</v>
      </c>
      <c r="D138" s="10">
        <v>0</v>
      </c>
      <c r="E138" s="10">
        <v>0</v>
      </c>
      <c r="F138" s="10">
        <v>0</v>
      </c>
      <c r="G138" s="10">
        <v>0.28999999999999998</v>
      </c>
      <c r="H138" s="10">
        <v>0.61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0.43</v>
      </c>
      <c r="O138" s="10">
        <v>0</v>
      </c>
      <c r="P138" s="10">
        <v>0</v>
      </c>
      <c r="Q138" s="10">
        <v>0</v>
      </c>
      <c r="R138" s="10">
        <v>0</v>
      </c>
      <c r="S138" s="10">
        <v>0.01</v>
      </c>
      <c r="T138" s="10">
        <v>0</v>
      </c>
      <c r="U138" s="10">
        <v>0</v>
      </c>
    </row>
    <row r="139" spans="1:21">
      <c r="A139" s="10" t="s">
        <v>309</v>
      </c>
      <c r="B139" s="10" t="s">
        <v>150</v>
      </c>
      <c r="C139" s="10">
        <v>2040</v>
      </c>
      <c r="D139" s="10">
        <v>0</v>
      </c>
      <c r="E139" s="10">
        <v>0</v>
      </c>
      <c r="F139" s="10">
        <v>0</v>
      </c>
      <c r="G139" s="10">
        <v>0.27</v>
      </c>
      <c r="H139" s="10">
        <v>0.59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0.41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</row>
    <row r="140" spans="1:21">
      <c r="A140" s="10" t="s">
        <v>309</v>
      </c>
      <c r="B140" s="10" t="s">
        <v>150</v>
      </c>
      <c r="C140" s="10">
        <v>2045</v>
      </c>
      <c r="D140" s="10">
        <v>0</v>
      </c>
      <c r="E140" s="10">
        <v>0</v>
      </c>
      <c r="F140" s="10">
        <v>0</v>
      </c>
      <c r="G140" s="10">
        <v>0.26</v>
      </c>
      <c r="H140" s="10">
        <v>0.56999999999999995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0.39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</row>
    <row r="141" spans="1:21">
      <c r="A141" s="10" t="s">
        <v>309</v>
      </c>
      <c r="B141" s="10" t="s">
        <v>150</v>
      </c>
      <c r="C141" s="10">
        <v>2050</v>
      </c>
      <c r="D141" s="10">
        <v>0</v>
      </c>
      <c r="E141" s="10">
        <v>0</v>
      </c>
      <c r="F141" s="10">
        <v>0</v>
      </c>
      <c r="G141" s="10">
        <v>0.25</v>
      </c>
      <c r="H141" s="10">
        <v>0.54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0.38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</row>
    <row r="142" spans="1:21">
      <c r="A142" s="10" t="s">
        <v>294</v>
      </c>
      <c r="B142" s="10" t="s">
        <v>150</v>
      </c>
      <c r="C142" s="10">
        <v>2018</v>
      </c>
      <c r="D142" s="10">
        <v>0</v>
      </c>
      <c r="E142" s="10">
        <v>0</v>
      </c>
      <c r="F142" s="10">
        <v>0</v>
      </c>
      <c r="G142" s="10">
        <v>0.84</v>
      </c>
      <c r="H142" s="10">
        <v>0.08</v>
      </c>
      <c r="I142" s="10">
        <v>7.0000000000000007E-2</v>
      </c>
      <c r="J142" s="10">
        <v>0</v>
      </c>
      <c r="K142" s="10">
        <v>0</v>
      </c>
      <c r="L142" s="10">
        <v>0</v>
      </c>
      <c r="M142" s="10">
        <v>0</v>
      </c>
      <c r="N142" s="10">
        <v>0.05</v>
      </c>
      <c r="O142" s="10">
        <v>0</v>
      </c>
      <c r="P142" s="10">
        <v>0</v>
      </c>
      <c r="Q142" s="10">
        <v>0</v>
      </c>
      <c r="R142" s="10">
        <v>0</v>
      </c>
      <c r="S142" s="10">
        <v>0.81</v>
      </c>
      <c r="T142" s="10">
        <v>0.02</v>
      </c>
      <c r="U142" s="10">
        <v>7.0000000000000007E-2</v>
      </c>
    </row>
    <row r="143" spans="1:21">
      <c r="A143" s="10" t="s">
        <v>294</v>
      </c>
      <c r="B143" s="10" t="s">
        <v>150</v>
      </c>
      <c r="C143" s="10">
        <v>2020</v>
      </c>
      <c r="D143" s="10">
        <v>0</v>
      </c>
      <c r="E143" s="10">
        <v>0</v>
      </c>
      <c r="F143" s="10">
        <v>0</v>
      </c>
      <c r="G143" s="10">
        <v>0.83</v>
      </c>
      <c r="H143" s="10">
        <v>0.08</v>
      </c>
      <c r="I143" s="10">
        <v>7.0000000000000007E-2</v>
      </c>
      <c r="J143" s="10">
        <v>0</v>
      </c>
      <c r="K143" s="10">
        <v>0</v>
      </c>
      <c r="L143" s="10">
        <v>0</v>
      </c>
      <c r="M143" s="10">
        <v>0</v>
      </c>
      <c r="N143" s="10">
        <v>0.05</v>
      </c>
      <c r="O143" s="10">
        <v>0</v>
      </c>
      <c r="P143" s="10">
        <v>0</v>
      </c>
      <c r="Q143" s="10">
        <v>0</v>
      </c>
      <c r="R143" s="10">
        <v>0</v>
      </c>
      <c r="S143" s="10">
        <v>0.78</v>
      </c>
      <c r="T143" s="10">
        <v>0.01</v>
      </c>
      <c r="U143" s="10">
        <v>7.0000000000000007E-2</v>
      </c>
    </row>
    <row r="144" spans="1:21">
      <c r="A144" s="10" t="s">
        <v>294</v>
      </c>
      <c r="B144" s="10" t="s">
        <v>150</v>
      </c>
      <c r="C144" s="10">
        <v>2025</v>
      </c>
      <c r="D144" s="10">
        <v>0</v>
      </c>
      <c r="E144" s="10">
        <v>0</v>
      </c>
      <c r="F144" s="10">
        <v>0</v>
      </c>
      <c r="G144" s="10">
        <v>0.81</v>
      </c>
      <c r="H144" s="10">
        <v>7.0000000000000007E-2</v>
      </c>
      <c r="I144" s="10">
        <v>7.0000000000000007E-2</v>
      </c>
      <c r="J144" s="10">
        <v>0</v>
      </c>
      <c r="K144" s="10">
        <v>0</v>
      </c>
      <c r="L144" s="10">
        <v>0</v>
      </c>
      <c r="M144" s="10">
        <v>0</v>
      </c>
      <c r="N144" s="10">
        <v>0.05</v>
      </c>
      <c r="O144" s="10">
        <v>0</v>
      </c>
      <c r="P144" s="10">
        <v>0</v>
      </c>
      <c r="Q144" s="10">
        <v>0</v>
      </c>
      <c r="R144" s="10">
        <v>0</v>
      </c>
      <c r="S144" s="10">
        <v>0.61</v>
      </c>
      <c r="T144" s="10">
        <v>0</v>
      </c>
      <c r="U144" s="10">
        <v>0.05</v>
      </c>
    </row>
    <row r="145" spans="1:21">
      <c r="A145" s="10" t="s">
        <v>294</v>
      </c>
      <c r="B145" s="10" t="s">
        <v>150</v>
      </c>
      <c r="C145" s="10">
        <v>2030</v>
      </c>
      <c r="D145" s="10">
        <v>0</v>
      </c>
      <c r="E145" s="10">
        <v>0</v>
      </c>
      <c r="F145" s="10">
        <v>0</v>
      </c>
      <c r="G145" s="10">
        <v>0.78</v>
      </c>
      <c r="H145" s="10">
        <v>7.0000000000000007E-2</v>
      </c>
      <c r="I145" s="10">
        <v>0.06</v>
      </c>
      <c r="J145" s="10">
        <v>0</v>
      </c>
      <c r="K145" s="10">
        <v>0</v>
      </c>
      <c r="L145" s="10">
        <v>0</v>
      </c>
      <c r="M145" s="10">
        <v>0</v>
      </c>
      <c r="N145" s="10">
        <v>0.05</v>
      </c>
      <c r="O145" s="10">
        <v>0</v>
      </c>
      <c r="P145" s="10">
        <v>0</v>
      </c>
      <c r="Q145" s="10">
        <v>0</v>
      </c>
      <c r="R145" s="10">
        <v>0</v>
      </c>
      <c r="S145" s="10">
        <v>0.39</v>
      </c>
      <c r="T145" s="10">
        <v>0</v>
      </c>
      <c r="U145" s="10">
        <v>0.02</v>
      </c>
    </row>
    <row r="146" spans="1:21">
      <c r="A146" s="10" t="s">
        <v>294</v>
      </c>
      <c r="B146" s="10" t="s">
        <v>150</v>
      </c>
      <c r="C146" s="10">
        <v>2035</v>
      </c>
      <c r="D146" s="10">
        <v>0</v>
      </c>
      <c r="E146" s="10">
        <v>0</v>
      </c>
      <c r="F146" s="10">
        <v>0</v>
      </c>
      <c r="G146" s="10">
        <v>0.76</v>
      </c>
      <c r="H146" s="10">
        <v>7.0000000000000007E-2</v>
      </c>
      <c r="I146" s="10">
        <v>0.06</v>
      </c>
      <c r="J146" s="10">
        <v>0</v>
      </c>
      <c r="K146" s="10">
        <v>0</v>
      </c>
      <c r="L146" s="10">
        <v>0</v>
      </c>
      <c r="M146" s="10">
        <v>0</v>
      </c>
      <c r="N146" s="10">
        <v>0.05</v>
      </c>
      <c r="O146" s="10">
        <v>0</v>
      </c>
      <c r="P146" s="10">
        <v>0</v>
      </c>
      <c r="Q146" s="10">
        <v>0</v>
      </c>
      <c r="R146" s="10">
        <v>0</v>
      </c>
      <c r="S146" s="10">
        <v>0.03</v>
      </c>
      <c r="T146" s="10">
        <v>0</v>
      </c>
      <c r="U146" s="10">
        <v>0.01</v>
      </c>
    </row>
    <row r="147" spans="1:21">
      <c r="A147" s="10" t="s">
        <v>294</v>
      </c>
      <c r="B147" s="10" t="s">
        <v>150</v>
      </c>
      <c r="C147" s="10">
        <v>2040</v>
      </c>
      <c r="D147" s="10">
        <v>0</v>
      </c>
      <c r="E147" s="10">
        <v>0</v>
      </c>
      <c r="F147" s="10">
        <v>0</v>
      </c>
      <c r="G147" s="10">
        <v>0.73</v>
      </c>
      <c r="H147" s="10">
        <v>7.0000000000000007E-2</v>
      </c>
      <c r="I147" s="10">
        <v>0.06</v>
      </c>
      <c r="J147" s="10">
        <v>0</v>
      </c>
      <c r="K147" s="10">
        <v>0</v>
      </c>
      <c r="L147" s="10">
        <v>0</v>
      </c>
      <c r="M147" s="10">
        <v>0</v>
      </c>
      <c r="N147" s="10">
        <v>0.04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</row>
    <row r="148" spans="1:21">
      <c r="A148" s="10" t="s">
        <v>294</v>
      </c>
      <c r="B148" s="10" t="s">
        <v>150</v>
      </c>
      <c r="C148" s="10">
        <v>2045</v>
      </c>
      <c r="D148" s="10">
        <v>0</v>
      </c>
      <c r="E148" s="10">
        <v>0</v>
      </c>
      <c r="F148" s="10">
        <v>0</v>
      </c>
      <c r="G148" s="10">
        <v>0.7</v>
      </c>
      <c r="H148" s="10">
        <v>0.06</v>
      </c>
      <c r="I148" s="10">
        <v>0.06</v>
      </c>
      <c r="J148" s="10">
        <v>0</v>
      </c>
      <c r="K148" s="10">
        <v>0</v>
      </c>
      <c r="L148" s="10">
        <v>0</v>
      </c>
      <c r="M148" s="10">
        <v>0</v>
      </c>
      <c r="N148" s="10">
        <v>0.04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</row>
    <row r="149" spans="1:21">
      <c r="A149" s="10" t="s">
        <v>294</v>
      </c>
      <c r="B149" s="10" t="s">
        <v>150</v>
      </c>
      <c r="C149" s="10">
        <v>2050</v>
      </c>
      <c r="D149" s="10">
        <v>0</v>
      </c>
      <c r="E149" s="10">
        <v>0</v>
      </c>
      <c r="F149" s="10">
        <v>0</v>
      </c>
      <c r="G149" s="10">
        <v>0.67</v>
      </c>
      <c r="H149" s="10">
        <v>0.06</v>
      </c>
      <c r="I149" s="10">
        <v>0.06</v>
      </c>
      <c r="J149" s="10">
        <v>0</v>
      </c>
      <c r="K149" s="10">
        <v>0</v>
      </c>
      <c r="L149" s="10">
        <v>0</v>
      </c>
      <c r="M149" s="10">
        <v>0</v>
      </c>
      <c r="N149" s="10">
        <v>0.04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</row>
    <row r="150" spans="1:21">
      <c r="A150" s="10" t="s">
        <v>310</v>
      </c>
      <c r="B150" s="10" t="s">
        <v>150</v>
      </c>
      <c r="C150" s="10">
        <v>2018</v>
      </c>
      <c r="D150" s="10">
        <v>0</v>
      </c>
      <c r="E150" s="10">
        <v>0</v>
      </c>
      <c r="F150" s="10">
        <v>0</v>
      </c>
      <c r="G150" s="10">
        <v>0.24</v>
      </c>
      <c r="H150" s="10">
        <v>0.75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0.53</v>
      </c>
      <c r="O150" s="10">
        <v>0</v>
      </c>
      <c r="P150" s="10">
        <v>0</v>
      </c>
      <c r="Q150" s="10">
        <v>0</v>
      </c>
      <c r="R150" s="10">
        <v>0</v>
      </c>
      <c r="S150" s="10">
        <v>0.23</v>
      </c>
      <c r="T150" s="10">
        <v>0.22</v>
      </c>
      <c r="U150" s="10">
        <v>0</v>
      </c>
    </row>
    <row r="151" spans="1:21">
      <c r="A151" s="10" t="s">
        <v>310</v>
      </c>
      <c r="B151" s="10" t="s">
        <v>150</v>
      </c>
      <c r="C151" s="10">
        <v>2020</v>
      </c>
      <c r="D151" s="10">
        <v>0</v>
      </c>
      <c r="E151" s="10">
        <v>0</v>
      </c>
      <c r="F151" s="10">
        <v>0</v>
      </c>
      <c r="G151" s="10">
        <v>0.24</v>
      </c>
      <c r="H151" s="10">
        <v>0.75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0.52</v>
      </c>
      <c r="O151" s="10">
        <v>0</v>
      </c>
      <c r="P151" s="10">
        <v>0</v>
      </c>
      <c r="Q151" s="10">
        <v>0</v>
      </c>
      <c r="R151" s="10">
        <v>0</v>
      </c>
      <c r="S151" s="10">
        <v>0.22</v>
      </c>
      <c r="T151" s="10">
        <v>0.18</v>
      </c>
      <c r="U151" s="10">
        <v>0</v>
      </c>
    </row>
    <row r="152" spans="1:21">
      <c r="A152" s="10" t="s">
        <v>310</v>
      </c>
      <c r="B152" s="10" t="s">
        <v>150</v>
      </c>
      <c r="C152" s="10">
        <v>2025</v>
      </c>
      <c r="D152" s="10">
        <v>0</v>
      </c>
      <c r="E152" s="10">
        <v>0</v>
      </c>
      <c r="F152" s="10">
        <v>0</v>
      </c>
      <c r="G152" s="10">
        <v>0.23</v>
      </c>
      <c r="H152" s="10">
        <v>0.73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0.51</v>
      </c>
      <c r="O152" s="10">
        <v>0</v>
      </c>
      <c r="P152" s="10">
        <v>0</v>
      </c>
      <c r="Q152" s="10">
        <v>0</v>
      </c>
      <c r="R152" s="10">
        <v>0</v>
      </c>
      <c r="S152" s="10">
        <v>0.17</v>
      </c>
      <c r="T152" s="10">
        <v>0</v>
      </c>
      <c r="U152" s="10">
        <v>0</v>
      </c>
    </row>
    <row r="153" spans="1:21">
      <c r="A153" s="10" t="s">
        <v>310</v>
      </c>
      <c r="B153" s="10" t="s">
        <v>150</v>
      </c>
      <c r="C153" s="10">
        <v>2030</v>
      </c>
      <c r="D153" s="10">
        <v>0</v>
      </c>
      <c r="E153" s="10">
        <v>0</v>
      </c>
      <c r="F153" s="10">
        <v>0</v>
      </c>
      <c r="G153" s="10">
        <v>0.22</v>
      </c>
      <c r="H153" s="10">
        <v>0.7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0.49</v>
      </c>
      <c r="O153" s="10">
        <v>0</v>
      </c>
      <c r="P153" s="10">
        <v>0</v>
      </c>
      <c r="Q153" s="10">
        <v>0</v>
      </c>
      <c r="R153" s="10">
        <v>0</v>
      </c>
      <c r="S153" s="10">
        <v>0.11</v>
      </c>
      <c r="T153" s="10">
        <v>0</v>
      </c>
      <c r="U153" s="10">
        <v>0</v>
      </c>
    </row>
    <row r="154" spans="1:21">
      <c r="A154" s="10" t="s">
        <v>310</v>
      </c>
      <c r="B154" s="10" t="s">
        <v>150</v>
      </c>
      <c r="C154" s="10">
        <v>2035</v>
      </c>
      <c r="D154" s="10">
        <v>0</v>
      </c>
      <c r="E154" s="10">
        <v>0</v>
      </c>
      <c r="F154" s="10">
        <v>0</v>
      </c>
      <c r="G154" s="10">
        <v>0.21</v>
      </c>
      <c r="H154" s="10">
        <v>0.68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0.48</v>
      </c>
      <c r="O154" s="10">
        <v>0</v>
      </c>
      <c r="P154" s="10">
        <v>0</v>
      </c>
      <c r="Q154" s="10">
        <v>0</v>
      </c>
      <c r="R154" s="10">
        <v>0</v>
      </c>
      <c r="S154" s="10">
        <v>0.01</v>
      </c>
      <c r="T154" s="10">
        <v>0</v>
      </c>
      <c r="U154" s="10">
        <v>0</v>
      </c>
    </row>
    <row r="155" spans="1:21">
      <c r="A155" s="10" t="s">
        <v>310</v>
      </c>
      <c r="B155" s="10" t="s">
        <v>150</v>
      </c>
      <c r="C155" s="10">
        <v>2040</v>
      </c>
      <c r="D155" s="10">
        <v>0</v>
      </c>
      <c r="E155" s="10">
        <v>0</v>
      </c>
      <c r="F155" s="10">
        <v>0</v>
      </c>
      <c r="G155" s="10">
        <v>0.21</v>
      </c>
      <c r="H155" s="10">
        <v>0.65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0.46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</row>
    <row r="156" spans="1:21">
      <c r="A156" s="10" t="s">
        <v>310</v>
      </c>
      <c r="B156" s="10" t="s">
        <v>150</v>
      </c>
      <c r="C156" s="10">
        <v>2045</v>
      </c>
      <c r="D156" s="10">
        <v>0</v>
      </c>
      <c r="E156" s="10">
        <v>0</v>
      </c>
      <c r="F156" s="10">
        <v>0</v>
      </c>
      <c r="G156" s="10">
        <v>0.2</v>
      </c>
      <c r="H156" s="10">
        <v>0.63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0.44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</row>
    <row r="157" spans="1:21">
      <c r="A157" s="10" t="s">
        <v>310</v>
      </c>
      <c r="B157" s="10" t="s">
        <v>150</v>
      </c>
      <c r="C157" s="10">
        <v>2050</v>
      </c>
      <c r="D157" s="10">
        <v>0</v>
      </c>
      <c r="E157" s="10">
        <v>0</v>
      </c>
      <c r="F157" s="10">
        <v>0</v>
      </c>
      <c r="G157" s="10">
        <v>0.19</v>
      </c>
      <c r="H157" s="10">
        <v>0.6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0.42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</row>
    <row r="158" spans="1:21">
      <c r="A158" s="10" t="s">
        <v>297</v>
      </c>
      <c r="B158" s="10" t="s">
        <v>150</v>
      </c>
      <c r="C158" s="10">
        <v>2018</v>
      </c>
      <c r="D158" s="10">
        <v>0</v>
      </c>
      <c r="E158" s="10">
        <v>0</v>
      </c>
      <c r="F158" s="10">
        <v>0</v>
      </c>
      <c r="G158" s="10">
        <v>0.56000000000000005</v>
      </c>
      <c r="H158" s="10">
        <v>7.0000000000000007E-2</v>
      </c>
      <c r="I158" s="10">
        <v>0.36</v>
      </c>
      <c r="J158" s="10">
        <v>0</v>
      </c>
      <c r="K158" s="10">
        <v>0</v>
      </c>
      <c r="L158" s="10">
        <v>0</v>
      </c>
      <c r="M158" s="10">
        <v>0</v>
      </c>
      <c r="N158" s="10">
        <v>0.05</v>
      </c>
      <c r="O158" s="10">
        <v>0</v>
      </c>
      <c r="P158" s="10">
        <v>0</v>
      </c>
      <c r="Q158" s="10">
        <v>0</v>
      </c>
      <c r="R158" s="10">
        <v>0</v>
      </c>
      <c r="S158" s="10">
        <v>0.54</v>
      </c>
      <c r="T158" s="10">
        <v>0.02</v>
      </c>
      <c r="U158" s="10">
        <v>0.36</v>
      </c>
    </row>
    <row r="159" spans="1:21">
      <c r="A159" s="10" t="s">
        <v>297</v>
      </c>
      <c r="B159" s="10" t="s">
        <v>150</v>
      </c>
      <c r="C159" s="10">
        <v>2020</v>
      </c>
      <c r="D159" s="10">
        <v>0</v>
      </c>
      <c r="E159" s="10">
        <v>0</v>
      </c>
      <c r="F159" s="10">
        <v>0</v>
      </c>
      <c r="G159" s="10">
        <v>0.56000000000000005</v>
      </c>
      <c r="H159" s="10">
        <v>7.0000000000000007E-2</v>
      </c>
      <c r="I159" s="10">
        <v>0.36</v>
      </c>
      <c r="J159" s="10">
        <v>0</v>
      </c>
      <c r="K159" s="10">
        <v>0</v>
      </c>
      <c r="L159" s="10">
        <v>0</v>
      </c>
      <c r="M159" s="10">
        <v>0</v>
      </c>
      <c r="N159" s="10">
        <v>0.04</v>
      </c>
      <c r="O159" s="10">
        <v>0</v>
      </c>
      <c r="P159" s="10">
        <v>0</v>
      </c>
      <c r="Q159" s="10">
        <v>0</v>
      </c>
      <c r="R159" s="10">
        <v>0</v>
      </c>
      <c r="S159" s="10">
        <v>0.52</v>
      </c>
      <c r="T159" s="10">
        <v>0.01</v>
      </c>
      <c r="U159" s="10">
        <v>0.34</v>
      </c>
    </row>
    <row r="160" spans="1:21">
      <c r="A160" s="10" t="s">
        <v>297</v>
      </c>
      <c r="B160" s="10" t="s">
        <v>150</v>
      </c>
      <c r="C160" s="10">
        <v>2025</v>
      </c>
      <c r="D160" s="10">
        <v>0</v>
      </c>
      <c r="E160" s="10">
        <v>0</v>
      </c>
      <c r="F160" s="10">
        <v>0</v>
      </c>
      <c r="G160" s="10">
        <v>0.54</v>
      </c>
      <c r="H160" s="10">
        <v>0.06</v>
      </c>
      <c r="I160" s="10">
        <v>0.35</v>
      </c>
      <c r="J160" s="10">
        <v>0</v>
      </c>
      <c r="K160" s="10">
        <v>0</v>
      </c>
      <c r="L160" s="10">
        <v>0</v>
      </c>
      <c r="M160" s="10">
        <v>0</v>
      </c>
      <c r="N160" s="10">
        <v>0.04</v>
      </c>
      <c r="O160" s="10">
        <v>0</v>
      </c>
      <c r="P160" s="10">
        <v>0</v>
      </c>
      <c r="Q160" s="10">
        <v>0</v>
      </c>
      <c r="R160" s="10">
        <v>0</v>
      </c>
      <c r="S160" s="10">
        <v>0.4</v>
      </c>
      <c r="T160" s="10">
        <v>0</v>
      </c>
      <c r="U160" s="10">
        <v>0.28000000000000003</v>
      </c>
    </row>
    <row r="161" spans="1:21">
      <c r="A161" s="10" t="s">
        <v>297</v>
      </c>
      <c r="B161" s="10" t="s">
        <v>150</v>
      </c>
      <c r="C161" s="10">
        <v>2030</v>
      </c>
      <c r="D161" s="10">
        <v>0</v>
      </c>
      <c r="E161" s="10">
        <v>0</v>
      </c>
      <c r="F161" s="10">
        <v>0</v>
      </c>
      <c r="G161" s="10">
        <v>0.52</v>
      </c>
      <c r="H161" s="10">
        <v>0.06</v>
      </c>
      <c r="I161" s="10">
        <v>0.33</v>
      </c>
      <c r="J161" s="10">
        <v>0</v>
      </c>
      <c r="K161" s="10">
        <v>0</v>
      </c>
      <c r="L161" s="10">
        <v>0</v>
      </c>
      <c r="M161" s="10">
        <v>0</v>
      </c>
      <c r="N161" s="10">
        <v>0.04</v>
      </c>
      <c r="O161" s="10">
        <v>0</v>
      </c>
      <c r="P161" s="10">
        <v>0</v>
      </c>
      <c r="Q161" s="10">
        <v>0</v>
      </c>
      <c r="R161" s="10">
        <v>0</v>
      </c>
      <c r="S161" s="10">
        <v>0.26</v>
      </c>
      <c r="T161" s="10">
        <v>0</v>
      </c>
      <c r="U161" s="10">
        <v>0.13</v>
      </c>
    </row>
    <row r="162" spans="1:21">
      <c r="A162" s="10" t="s">
        <v>297</v>
      </c>
      <c r="B162" s="10" t="s">
        <v>150</v>
      </c>
      <c r="C162" s="10">
        <v>2035</v>
      </c>
      <c r="D162" s="10">
        <v>0</v>
      </c>
      <c r="E162" s="10">
        <v>0</v>
      </c>
      <c r="F162" s="10">
        <v>0</v>
      </c>
      <c r="G162" s="10">
        <v>0.5</v>
      </c>
      <c r="H162" s="10">
        <v>0.06</v>
      </c>
      <c r="I162" s="10">
        <v>0.33</v>
      </c>
      <c r="J162" s="10">
        <v>0</v>
      </c>
      <c r="K162" s="10">
        <v>0</v>
      </c>
      <c r="L162" s="10">
        <v>0</v>
      </c>
      <c r="M162" s="10">
        <v>0</v>
      </c>
      <c r="N162" s="10">
        <v>0.04</v>
      </c>
      <c r="O162" s="10">
        <v>0</v>
      </c>
      <c r="P162" s="10">
        <v>0</v>
      </c>
      <c r="Q162" s="10">
        <v>0</v>
      </c>
      <c r="R162" s="10">
        <v>0</v>
      </c>
      <c r="S162" s="10">
        <v>0.02</v>
      </c>
      <c r="T162" s="10">
        <v>0</v>
      </c>
      <c r="U162" s="10">
        <v>0.04</v>
      </c>
    </row>
    <row r="163" spans="1:21">
      <c r="A163" s="10" t="s">
        <v>297</v>
      </c>
      <c r="B163" s="10" t="s">
        <v>150</v>
      </c>
      <c r="C163" s="10">
        <v>2040</v>
      </c>
      <c r="D163" s="10">
        <v>0</v>
      </c>
      <c r="E163" s="10">
        <v>0</v>
      </c>
      <c r="F163" s="10">
        <v>0</v>
      </c>
      <c r="G163" s="10">
        <v>0.49</v>
      </c>
      <c r="H163" s="10">
        <v>0.06</v>
      </c>
      <c r="I163" s="10">
        <v>0.31</v>
      </c>
      <c r="J163" s="10">
        <v>0</v>
      </c>
      <c r="K163" s="10">
        <v>0</v>
      </c>
      <c r="L163" s="10">
        <v>0</v>
      </c>
      <c r="M163" s="10">
        <v>0</v>
      </c>
      <c r="N163" s="10">
        <v>0.04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</row>
    <row r="164" spans="1:21">
      <c r="A164" s="10" t="s">
        <v>297</v>
      </c>
      <c r="B164" s="10" t="s">
        <v>150</v>
      </c>
      <c r="C164" s="10">
        <v>2045</v>
      </c>
      <c r="D164" s="10">
        <v>0</v>
      </c>
      <c r="E164" s="10">
        <v>0</v>
      </c>
      <c r="F164" s="10">
        <v>0</v>
      </c>
      <c r="G164" s="10">
        <v>0.47</v>
      </c>
      <c r="H164" s="10">
        <v>0.06</v>
      </c>
      <c r="I164" s="10">
        <v>0.3</v>
      </c>
      <c r="J164" s="10">
        <v>0</v>
      </c>
      <c r="K164" s="10">
        <v>0</v>
      </c>
      <c r="L164" s="10">
        <v>0</v>
      </c>
      <c r="M164" s="10">
        <v>0</v>
      </c>
      <c r="N164" s="10">
        <v>0.04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</row>
    <row r="165" spans="1:21">
      <c r="A165" s="10" t="s">
        <v>297</v>
      </c>
      <c r="B165" s="10" t="s">
        <v>150</v>
      </c>
      <c r="C165" s="10">
        <v>2050</v>
      </c>
      <c r="D165" s="10">
        <v>0</v>
      </c>
      <c r="E165" s="10">
        <v>0</v>
      </c>
      <c r="F165" s="10">
        <v>0</v>
      </c>
      <c r="G165" s="10">
        <v>0.45</v>
      </c>
      <c r="H165" s="10">
        <v>0.05</v>
      </c>
      <c r="I165" s="10">
        <v>0.28999999999999998</v>
      </c>
      <c r="J165" s="10">
        <v>0</v>
      </c>
      <c r="K165" s="10">
        <v>0</v>
      </c>
      <c r="L165" s="10">
        <v>0</v>
      </c>
      <c r="M165" s="10">
        <v>0</v>
      </c>
      <c r="N165" s="10">
        <v>0.04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</row>
    <row r="166" spans="1:21">
      <c r="A166" s="10" t="s">
        <v>298</v>
      </c>
      <c r="B166" s="10" t="s">
        <v>150</v>
      </c>
      <c r="C166" s="10">
        <v>2018</v>
      </c>
      <c r="D166" s="10">
        <v>0</v>
      </c>
      <c r="E166" s="10">
        <v>0</v>
      </c>
      <c r="F166" s="10">
        <v>0</v>
      </c>
      <c r="G166" s="10">
        <v>0.84</v>
      </c>
      <c r="H166" s="10">
        <v>0.15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0.1</v>
      </c>
      <c r="O166" s="10">
        <v>0</v>
      </c>
      <c r="P166" s="10">
        <v>0</v>
      </c>
      <c r="Q166" s="10">
        <v>0</v>
      </c>
      <c r="R166" s="10">
        <v>0</v>
      </c>
      <c r="S166" s="10">
        <v>0.82</v>
      </c>
      <c r="T166" s="10">
        <v>0.04</v>
      </c>
      <c r="U166" s="10">
        <v>0</v>
      </c>
    </row>
    <row r="167" spans="1:21">
      <c r="A167" s="10" t="s">
        <v>298</v>
      </c>
      <c r="B167" s="10" t="s">
        <v>150</v>
      </c>
      <c r="C167" s="10">
        <v>2020</v>
      </c>
      <c r="D167" s="10">
        <v>0</v>
      </c>
      <c r="E167" s="10">
        <v>0</v>
      </c>
      <c r="F167" s="10">
        <v>0</v>
      </c>
      <c r="G167" s="10">
        <v>0.84</v>
      </c>
      <c r="H167" s="10">
        <v>0.14000000000000001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0.1</v>
      </c>
      <c r="O167" s="10">
        <v>0</v>
      </c>
      <c r="P167" s="10">
        <v>0</v>
      </c>
      <c r="Q167" s="10">
        <v>0</v>
      </c>
      <c r="R167" s="10">
        <v>0</v>
      </c>
      <c r="S167" s="10">
        <v>0.78</v>
      </c>
      <c r="T167" s="10">
        <v>0.03</v>
      </c>
      <c r="U167" s="10">
        <v>0</v>
      </c>
    </row>
    <row r="168" spans="1:21">
      <c r="A168" s="10" t="s">
        <v>298</v>
      </c>
      <c r="B168" s="10" t="s">
        <v>150</v>
      </c>
      <c r="C168" s="10">
        <v>2025</v>
      </c>
      <c r="D168" s="10">
        <v>0</v>
      </c>
      <c r="E168" s="10">
        <v>0</v>
      </c>
      <c r="F168" s="10">
        <v>0</v>
      </c>
      <c r="G168" s="10">
        <v>0.81</v>
      </c>
      <c r="H168" s="10">
        <v>0.14000000000000001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0.1</v>
      </c>
      <c r="O168" s="10">
        <v>0</v>
      </c>
      <c r="P168" s="10">
        <v>0</v>
      </c>
      <c r="Q168" s="10">
        <v>0</v>
      </c>
      <c r="R168" s="10">
        <v>0</v>
      </c>
      <c r="S168" s="10">
        <v>0.61</v>
      </c>
      <c r="T168" s="10">
        <v>0</v>
      </c>
      <c r="U168" s="10">
        <v>0</v>
      </c>
    </row>
    <row r="169" spans="1:21">
      <c r="A169" s="10" t="s">
        <v>298</v>
      </c>
      <c r="B169" s="10" t="s">
        <v>150</v>
      </c>
      <c r="C169" s="10">
        <v>2030</v>
      </c>
      <c r="D169" s="10">
        <v>0</v>
      </c>
      <c r="E169" s="10">
        <v>0</v>
      </c>
      <c r="F169" s="10">
        <v>0</v>
      </c>
      <c r="G169" s="10">
        <v>0.79</v>
      </c>
      <c r="H169" s="10">
        <v>0.13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0.09</v>
      </c>
      <c r="O169" s="10">
        <v>0</v>
      </c>
      <c r="P169" s="10">
        <v>0</v>
      </c>
      <c r="Q169" s="10">
        <v>0</v>
      </c>
      <c r="R169" s="10">
        <v>0</v>
      </c>
      <c r="S169" s="10">
        <v>0.39</v>
      </c>
      <c r="T169" s="10">
        <v>0</v>
      </c>
      <c r="U169" s="10">
        <v>0</v>
      </c>
    </row>
    <row r="170" spans="1:21">
      <c r="A170" s="10" t="s">
        <v>298</v>
      </c>
      <c r="B170" s="10" t="s">
        <v>150</v>
      </c>
      <c r="C170" s="10">
        <v>2035</v>
      </c>
      <c r="D170" s="10">
        <v>0</v>
      </c>
      <c r="E170" s="10">
        <v>0</v>
      </c>
      <c r="F170" s="10">
        <v>0</v>
      </c>
      <c r="G170" s="10">
        <v>0.76</v>
      </c>
      <c r="H170" s="10">
        <v>0.13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0.09</v>
      </c>
      <c r="O170" s="10">
        <v>0</v>
      </c>
      <c r="P170" s="10">
        <v>0</v>
      </c>
      <c r="Q170" s="10">
        <v>0</v>
      </c>
      <c r="R170" s="10">
        <v>0</v>
      </c>
      <c r="S170" s="10">
        <v>0.03</v>
      </c>
      <c r="T170" s="10">
        <v>0</v>
      </c>
      <c r="U170" s="10">
        <v>0</v>
      </c>
    </row>
    <row r="171" spans="1:21">
      <c r="A171" s="10" t="s">
        <v>298</v>
      </c>
      <c r="B171" s="10" t="s">
        <v>150</v>
      </c>
      <c r="C171" s="10">
        <v>2040</v>
      </c>
      <c r="D171" s="10">
        <v>0</v>
      </c>
      <c r="E171" s="10">
        <v>0</v>
      </c>
      <c r="F171" s="10">
        <v>0</v>
      </c>
      <c r="G171" s="10">
        <v>0.73</v>
      </c>
      <c r="H171" s="10">
        <v>0.13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0.09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</row>
    <row r="172" spans="1:21">
      <c r="A172" s="10" t="s">
        <v>298</v>
      </c>
      <c r="B172" s="10" t="s">
        <v>150</v>
      </c>
      <c r="C172" s="10">
        <v>2045</v>
      </c>
      <c r="D172" s="10">
        <v>0</v>
      </c>
      <c r="E172" s="10">
        <v>0</v>
      </c>
      <c r="F172" s="10">
        <v>0</v>
      </c>
      <c r="G172" s="10">
        <v>0.71</v>
      </c>
      <c r="H172" s="10">
        <v>0.12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0.08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</row>
    <row r="173" spans="1:21">
      <c r="A173" s="10" t="s">
        <v>298</v>
      </c>
      <c r="B173" s="10" t="s">
        <v>150</v>
      </c>
      <c r="C173" s="10">
        <v>2050</v>
      </c>
      <c r="D173" s="10">
        <v>0</v>
      </c>
      <c r="E173" s="10">
        <v>0</v>
      </c>
      <c r="F173" s="10">
        <v>0</v>
      </c>
      <c r="G173" s="10">
        <v>0.67</v>
      </c>
      <c r="H173" s="10">
        <v>0.12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0.08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</row>
    <row r="174" spans="1:21">
      <c r="A174" s="10" t="s">
        <v>357</v>
      </c>
      <c r="B174" s="10" t="s">
        <v>150</v>
      </c>
      <c r="C174" s="10">
        <v>2018</v>
      </c>
      <c r="D174" s="10">
        <v>0</v>
      </c>
      <c r="E174" s="10">
        <v>0</v>
      </c>
      <c r="F174" s="10">
        <v>0</v>
      </c>
      <c r="G174" s="10">
        <v>0.75</v>
      </c>
      <c r="H174" s="10">
        <v>0.19</v>
      </c>
      <c r="I174" s="10">
        <v>0.06</v>
      </c>
      <c r="J174" s="10">
        <v>0</v>
      </c>
      <c r="K174" s="10">
        <v>0</v>
      </c>
      <c r="L174" s="10">
        <v>0</v>
      </c>
      <c r="M174" s="10">
        <v>0</v>
      </c>
      <c r="N174" s="10">
        <v>0.13</v>
      </c>
      <c r="O174" s="10">
        <v>0</v>
      </c>
      <c r="P174" s="10">
        <v>0</v>
      </c>
      <c r="Q174" s="10">
        <v>0</v>
      </c>
      <c r="R174" s="10">
        <v>0</v>
      </c>
      <c r="S174" s="10">
        <v>0.72</v>
      </c>
      <c r="T174" s="10">
        <v>0.05</v>
      </c>
      <c r="U174" s="10">
        <v>0.06</v>
      </c>
    </row>
    <row r="175" spans="1:21">
      <c r="A175" s="10" t="s">
        <v>357</v>
      </c>
      <c r="B175" s="10" t="s">
        <v>150</v>
      </c>
      <c r="C175" s="10">
        <v>2020</v>
      </c>
      <c r="D175" s="10">
        <v>0</v>
      </c>
      <c r="E175" s="10">
        <v>0</v>
      </c>
      <c r="F175" s="10">
        <v>0</v>
      </c>
      <c r="G175" s="10">
        <v>0.74</v>
      </c>
      <c r="H175" s="10">
        <v>0.18</v>
      </c>
      <c r="I175" s="10">
        <v>0.05</v>
      </c>
      <c r="J175" s="10">
        <v>0</v>
      </c>
      <c r="K175" s="10">
        <v>0</v>
      </c>
      <c r="L175" s="10">
        <v>0</v>
      </c>
      <c r="M175" s="10">
        <v>0</v>
      </c>
      <c r="N175" s="10">
        <v>0.13</v>
      </c>
      <c r="O175" s="10">
        <v>0</v>
      </c>
      <c r="P175" s="10">
        <v>0</v>
      </c>
      <c r="Q175" s="10">
        <v>0</v>
      </c>
      <c r="R175" s="10">
        <v>0</v>
      </c>
      <c r="S175" s="10">
        <v>0.69</v>
      </c>
      <c r="T175" s="10">
        <v>0.04</v>
      </c>
      <c r="U175" s="10">
        <v>0.05</v>
      </c>
    </row>
    <row r="176" spans="1:21">
      <c r="A176" s="10" t="s">
        <v>357</v>
      </c>
      <c r="B176" s="10" t="s">
        <v>150</v>
      </c>
      <c r="C176" s="10">
        <v>2025</v>
      </c>
      <c r="D176" s="10">
        <v>0</v>
      </c>
      <c r="E176" s="10">
        <v>0</v>
      </c>
      <c r="F176" s="10">
        <v>0</v>
      </c>
      <c r="G176" s="10">
        <v>0.72</v>
      </c>
      <c r="H176" s="10">
        <v>0.18</v>
      </c>
      <c r="I176" s="10">
        <v>0.05</v>
      </c>
      <c r="J176" s="10">
        <v>0</v>
      </c>
      <c r="K176" s="10">
        <v>0</v>
      </c>
      <c r="L176" s="10">
        <v>0</v>
      </c>
      <c r="M176" s="10">
        <v>0</v>
      </c>
      <c r="N176" s="10">
        <v>0.12</v>
      </c>
      <c r="O176" s="10">
        <v>0</v>
      </c>
      <c r="P176" s="10">
        <v>0</v>
      </c>
      <c r="Q176" s="10">
        <v>0</v>
      </c>
      <c r="R176" s="10">
        <v>0</v>
      </c>
      <c r="S176" s="10">
        <v>0.54</v>
      </c>
      <c r="T176" s="10">
        <v>0</v>
      </c>
      <c r="U176" s="10">
        <v>0.04</v>
      </c>
    </row>
    <row r="177" spans="1:21">
      <c r="A177" s="10" t="s">
        <v>357</v>
      </c>
      <c r="B177" s="10" t="s">
        <v>150</v>
      </c>
      <c r="C177" s="10">
        <v>2030</v>
      </c>
      <c r="D177" s="10">
        <v>0</v>
      </c>
      <c r="E177" s="10">
        <v>0</v>
      </c>
      <c r="F177" s="10">
        <v>0</v>
      </c>
      <c r="G177" s="10">
        <v>0.69</v>
      </c>
      <c r="H177" s="10">
        <v>0.17</v>
      </c>
      <c r="I177" s="10">
        <v>0.05</v>
      </c>
      <c r="J177" s="10">
        <v>0</v>
      </c>
      <c r="K177" s="10">
        <v>0</v>
      </c>
      <c r="L177" s="10">
        <v>0</v>
      </c>
      <c r="M177" s="10">
        <v>0</v>
      </c>
      <c r="N177" s="10">
        <v>0.12</v>
      </c>
      <c r="O177" s="10">
        <v>0</v>
      </c>
      <c r="P177" s="10">
        <v>0</v>
      </c>
      <c r="Q177" s="10">
        <v>0</v>
      </c>
      <c r="R177" s="10">
        <v>0</v>
      </c>
      <c r="S177" s="10">
        <v>0.34</v>
      </c>
      <c r="T177" s="10">
        <v>0</v>
      </c>
      <c r="U177" s="10">
        <v>0.02</v>
      </c>
    </row>
    <row r="178" spans="1:21">
      <c r="A178" s="10" t="s">
        <v>357</v>
      </c>
      <c r="B178" s="10" t="s">
        <v>150</v>
      </c>
      <c r="C178" s="10">
        <v>2035</v>
      </c>
      <c r="D178" s="10">
        <v>0</v>
      </c>
      <c r="E178" s="10">
        <v>0</v>
      </c>
      <c r="F178" s="10">
        <v>0</v>
      </c>
      <c r="G178" s="10">
        <v>0.67</v>
      </c>
      <c r="H178" s="10">
        <v>0.17</v>
      </c>
      <c r="I178" s="10">
        <v>0.05</v>
      </c>
      <c r="J178" s="10">
        <v>0</v>
      </c>
      <c r="K178" s="10">
        <v>0</v>
      </c>
      <c r="L178" s="10">
        <v>0</v>
      </c>
      <c r="M178" s="10">
        <v>0</v>
      </c>
      <c r="N178" s="10">
        <v>0.12</v>
      </c>
      <c r="O178" s="10">
        <v>0</v>
      </c>
      <c r="P178" s="10">
        <v>0</v>
      </c>
      <c r="Q178" s="10">
        <v>0</v>
      </c>
      <c r="R178" s="10">
        <v>0</v>
      </c>
      <c r="S178" s="10">
        <v>0.03</v>
      </c>
      <c r="T178" s="10">
        <v>0</v>
      </c>
      <c r="U178" s="10">
        <v>0</v>
      </c>
    </row>
    <row r="179" spans="1:21">
      <c r="A179" s="10" t="s">
        <v>357</v>
      </c>
      <c r="B179" s="10" t="s">
        <v>150</v>
      </c>
      <c r="C179" s="10">
        <v>2040</v>
      </c>
      <c r="D179" s="10">
        <v>0</v>
      </c>
      <c r="E179" s="10">
        <v>0</v>
      </c>
      <c r="F179" s="10">
        <v>0</v>
      </c>
      <c r="G179" s="10">
        <v>0.65</v>
      </c>
      <c r="H179" s="10">
        <v>0.16</v>
      </c>
      <c r="I179" s="10">
        <v>0.05</v>
      </c>
      <c r="J179" s="10">
        <v>0</v>
      </c>
      <c r="K179" s="10">
        <v>0</v>
      </c>
      <c r="L179" s="10">
        <v>0</v>
      </c>
      <c r="M179" s="10">
        <v>0</v>
      </c>
      <c r="N179" s="10">
        <v>0.11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</row>
    <row r="180" spans="1:21">
      <c r="A180" s="10" t="s">
        <v>357</v>
      </c>
      <c r="B180" s="10" t="s">
        <v>150</v>
      </c>
      <c r="C180" s="10">
        <v>2045</v>
      </c>
      <c r="D180" s="10">
        <v>0</v>
      </c>
      <c r="E180" s="10">
        <v>0</v>
      </c>
      <c r="F180" s="10">
        <v>0</v>
      </c>
      <c r="G180" s="10">
        <v>0.63</v>
      </c>
      <c r="H180" s="10">
        <v>0.15</v>
      </c>
      <c r="I180" s="10">
        <v>0.05</v>
      </c>
      <c r="J180" s="10">
        <v>0</v>
      </c>
      <c r="K180" s="10">
        <v>0</v>
      </c>
      <c r="L180" s="10">
        <v>0</v>
      </c>
      <c r="M180" s="10">
        <v>0</v>
      </c>
      <c r="N180" s="10">
        <v>0.11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</row>
    <row r="181" spans="1:21">
      <c r="A181" s="10" t="s">
        <v>357</v>
      </c>
      <c r="B181" s="10" t="s">
        <v>150</v>
      </c>
      <c r="C181" s="10">
        <v>2050</v>
      </c>
      <c r="D181" s="10">
        <v>0</v>
      </c>
      <c r="E181" s="10">
        <v>0</v>
      </c>
      <c r="F181" s="10">
        <v>0</v>
      </c>
      <c r="G181" s="10">
        <v>0.6</v>
      </c>
      <c r="H181" s="10">
        <v>0.15</v>
      </c>
      <c r="I181" s="10">
        <v>0.04</v>
      </c>
      <c r="J181" s="10">
        <v>0</v>
      </c>
      <c r="K181" s="10">
        <v>0</v>
      </c>
      <c r="L181" s="10">
        <v>0</v>
      </c>
      <c r="M181" s="10">
        <v>0</v>
      </c>
      <c r="N181" s="10">
        <v>0.1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</row>
    <row r="182" spans="1:21">
      <c r="A182" s="10" t="s">
        <v>299</v>
      </c>
      <c r="B182" s="10" t="s">
        <v>150</v>
      </c>
      <c r="C182" s="10">
        <v>2018</v>
      </c>
      <c r="D182" s="10">
        <v>0</v>
      </c>
      <c r="E182" s="10">
        <v>0</v>
      </c>
      <c r="F182" s="10">
        <v>0</v>
      </c>
      <c r="G182" s="10">
        <v>0.73</v>
      </c>
      <c r="H182" s="10">
        <v>0.26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0.18</v>
      </c>
      <c r="O182" s="10">
        <v>0</v>
      </c>
      <c r="P182" s="10">
        <v>0</v>
      </c>
      <c r="Q182" s="10">
        <v>0</v>
      </c>
      <c r="R182" s="10">
        <v>0</v>
      </c>
      <c r="S182" s="10">
        <v>0.7</v>
      </c>
      <c r="T182" s="10">
        <v>0.08</v>
      </c>
      <c r="U182" s="10">
        <v>0</v>
      </c>
    </row>
    <row r="183" spans="1:21">
      <c r="A183" s="10" t="s">
        <v>299</v>
      </c>
      <c r="B183" s="10" t="s">
        <v>150</v>
      </c>
      <c r="C183" s="10">
        <v>2020</v>
      </c>
      <c r="D183" s="10">
        <v>0</v>
      </c>
      <c r="E183" s="10">
        <v>0</v>
      </c>
      <c r="F183" s="10">
        <v>0</v>
      </c>
      <c r="G183" s="10">
        <v>0.72</v>
      </c>
      <c r="H183" s="10">
        <v>0.26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0.18</v>
      </c>
      <c r="O183" s="10">
        <v>0</v>
      </c>
      <c r="P183" s="10">
        <v>0</v>
      </c>
      <c r="Q183" s="10">
        <v>0</v>
      </c>
      <c r="R183" s="10">
        <v>0</v>
      </c>
      <c r="S183" s="10">
        <v>0.67</v>
      </c>
      <c r="T183" s="10">
        <v>0.06</v>
      </c>
      <c r="U183" s="10">
        <v>0</v>
      </c>
    </row>
    <row r="184" spans="1:21">
      <c r="A184" s="10" t="s">
        <v>299</v>
      </c>
      <c r="B184" s="10" t="s">
        <v>150</v>
      </c>
      <c r="C184" s="10">
        <v>2025</v>
      </c>
      <c r="D184" s="10">
        <v>0</v>
      </c>
      <c r="E184" s="10">
        <v>0</v>
      </c>
      <c r="F184" s="10">
        <v>0</v>
      </c>
      <c r="G184" s="10">
        <v>0.7</v>
      </c>
      <c r="H184" s="10">
        <v>0.25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0.18</v>
      </c>
      <c r="O184" s="10">
        <v>0</v>
      </c>
      <c r="P184" s="10">
        <v>0</v>
      </c>
      <c r="Q184" s="10">
        <v>0</v>
      </c>
      <c r="R184" s="10">
        <v>0</v>
      </c>
      <c r="S184" s="10">
        <v>0.52</v>
      </c>
      <c r="T184" s="10">
        <v>0</v>
      </c>
      <c r="U184" s="10">
        <v>0</v>
      </c>
    </row>
    <row r="185" spans="1:21">
      <c r="A185" s="10" t="s">
        <v>299</v>
      </c>
      <c r="B185" s="10" t="s">
        <v>150</v>
      </c>
      <c r="C185" s="10">
        <v>2030</v>
      </c>
      <c r="D185" s="10">
        <v>0</v>
      </c>
      <c r="E185" s="10">
        <v>0</v>
      </c>
      <c r="F185" s="10">
        <v>0</v>
      </c>
      <c r="G185" s="10">
        <v>0.67</v>
      </c>
      <c r="H185" s="10">
        <v>0.24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0.17</v>
      </c>
      <c r="O185" s="10">
        <v>0</v>
      </c>
      <c r="P185" s="10">
        <v>0</v>
      </c>
      <c r="Q185" s="10">
        <v>0</v>
      </c>
      <c r="R185" s="10">
        <v>0</v>
      </c>
      <c r="S185" s="10">
        <v>0.33</v>
      </c>
      <c r="T185" s="10">
        <v>0</v>
      </c>
      <c r="U185" s="10">
        <v>0</v>
      </c>
    </row>
    <row r="186" spans="1:21">
      <c r="A186" s="10" t="s">
        <v>299</v>
      </c>
      <c r="B186" s="10" t="s">
        <v>150</v>
      </c>
      <c r="C186" s="10">
        <v>2035</v>
      </c>
      <c r="D186" s="10">
        <v>0</v>
      </c>
      <c r="E186" s="10">
        <v>0</v>
      </c>
      <c r="F186" s="10">
        <v>0</v>
      </c>
      <c r="G186" s="10">
        <v>0.66</v>
      </c>
      <c r="H186" s="10">
        <v>0.24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0.16</v>
      </c>
      <c r="O186" s="10">
        <v>0</v>
      </c>
      <c r="P186" s="10">
        <v>0</v>
      </c>
      <c r="Q186" s="10">
        <v>0</v>
      </c>
      <c r="R186" s="10">
        <v>0</v>
      </c>
      <c r="S186" s="10">
        <v>0.03</v>
      </c>
      <c r="T186" s="10">
        <v>0</v>
      </c>
      <c r="U186" s="10">
        <v>0</v>
      </c>
    </row>
    <row r="187" spans="1:21">
      <c r="A187" s="10" t="s">
        <v>299</v>
      </c>
      <c r="B187" s="10" t="s">
        <v>150</v>
      </c>
      <c r="C187" s="10">
        <v>2040</v>
      </c>
      <c r="D187" s="10">
        <v>0</v>
      </c>
      <c r="E187" s="10">
        <v>0</v>
      </c>
      <c r="F187" s="10">
        <v>0</v>
      </c>
      <c r="G187" s="10">
        <v>0.63</v>
      </c>
      <c r="H187" s="10">
        <v>0.23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0.16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</row>
    <row r="188" spans="1:21">
      <c r="A188" s="10" t="s">
        <v>299</v>
      </c>
      <c r="B188" s="10" t="s">
        <v>150</v>
      </c>
      <c r="C188" s="10">
        <v>2045</v>
      </c>
      <c r="D188" s="10">
        <v>0</v>
      </c>
      <c r="E188" s="10">
        <v>0</v>
      </c>
      <c r="F188" s="10">
        <v>0</v>
      </c>
      <c r="G188" s="10">
        <v>0.61</v>
      </c>
      <c r="H188" s="10">
        <v>0.22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0.15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</row>
    <row r="189" spans="1:21">
      <c r="A189" s="10" t="s">
        <v>299</v>
      </c>
      <c r="B189" s="10" t="s">
        <v>150</v>
      </c>
      <c r="C189" s="10">
        <v>2050</v>
      </c>
      <c r="D189" s="10">
        <v>0</v>
      </c>
      <c r="E189" s="10">
        <v>0</v>
      </c>
      <c r="F189" s="10">
        <v>0</v>
      </c>
      <c r="G189" s="10">
        <v>0.57999999999999996</v>
      </c>
      <c r="H189" s="10">
        <v>0.21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0.15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</row>
    <row r="190" spans="1:21">
      <c r="A190" s="10" t="s">
        <v>300</v>
      </c>
      <c r="B190" s="10" t="s">
        <v>150</v>
      </c>
      <c r="C190" s="10">
        <v>2018</v>
      </c>
      <c r="D190" s="10">
        <v>0</v>
      </c>
      <c r="E190" s="10">
        <v>0</v>
      </c>
      <c r="F190" s="10">
        <v>0</v>
      </c>
      <c r="G190" s="10">
        <v>0.85</v>
      </c>
      <c r="H190" s="10">
        <v>0.14000000000000001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0.09</v>
      </c>
      <c r="O190" s="10">
        <v>0</v>
      </c>
      <c r="P190" s="10">
        <v>0</v>
      </c>
      <c r="Q190" s="10">
        <v>0</v>
      </c>
      <c r="R190" s="10">
        <v>0</v>
      </c>
      <c r="S190" s="10">
        <v>0.83</v>
      </c>
      <c r="T190" s="10">
        <v>0.04</v>
      </c>
      <c r="U190" s="10">
        <v>0</v>
      </c>
    </row>
    <row r="191" spans="1:21">
      <c r="A191" s="10" t="s">
        <v>300</v>
      </c>
      <c r="B191" s="10" t="s">
        <v>150</v>
      </c>
      <c r="C191" s="10">
        <v>2020</v>
      </c>
      <c r="D191" s="10">
        <v>0</v>
      </c>
      <c r="E191" s="10">
        <v>0</v>
      </c>
      <c r="F191" s="10">
        <v>0</v>
      </c>
      <c r="G191" s="10">
        <v>0.85</v>
      </c>
      <c r="H191" s="10">
        <v>0.14000000000000001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0.09</v>
      </c>
      <c r="O191" s="10">
        <v>0</v>
      </c>
      <c r="P191" s="10">
        <v>0</v>
      </c>
      <c r="Q191" s="10">
        <v>0</v>
      </c>
      <c r="R191" s="10">
        <v>0</v>
      </c>
      <c r="S191" s="10">
        <v>0.79</v>
      </c>
      <c r="T191" s="10">
        <v>0.03</v>
      </c>
      <c r="U191" s="10">
        <v>0</v>
      </c>
    </row>
    <row r="192" spans="1:21">
      <c r="A192" s="10" t="s">
        <v>300</v>
      </c>
      <c r="B192" s="10" t="s">
        <v>150</v>
      </c>
      <c r="C192" s="10">
        <v>2025</v>
      </c>
      <c r="D192" s="10">
        <v>0</v>
      </c>
      <c r="E192" s="10">
        <v>0</v>
      </c>
      <c r="F192" s="10">
        <v>0</v>
      </c>
      <c r="G192" s="10">
        <v>0.82</v>
      </c>
      <c r="H192" s="10">
        <v>0.13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0.09</v>
      </c>
      <c r="O192" s="10">
        <v>0</v>
      </c>
      <c r="P192" s="10">
        <v>0</v>
      </c>
      <c r="Q192" s="10">
        <v>0</v>
      </c>
      <c r="R192" s="10">
        <v>0</v>
      </c>
      <c r="S192" s="10">
        <v>0.62</v>
      </c>
      <c r="T192" s="10">
        <v>0</v>
      </c>
      <c r="U192" s="10">
        <v>0</v>
      </c>
    </row>
    <row r="193" spans="1:21">
      <c r="A193" s="10" t="s">
        <v>300</v>
      </c>
      <c r="B193" s="10" t="s">
        <v>150</v>
      </c>
      <c r="C193" s="10">
        <v>2030</v>
      </c>
      <c r="D193" s="10">
        <v>0</v>
      </c>
      <c r="E193" s="10">
        <v>0</v>
      </c>
      <c r="F193" s="10">
        <v>0</v>
      </c>
      <c r="G193" s="10">
        <v>0.79</v>
      </c>
      <c r="H193" s="10">
        <v>0.13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0.09</v>
      </c>
      <c r="O193" s="10">
        <v>0</v>
      </c>
      <c r="P193" s="10">
        <v>0</v>
      </c>
      <c r="Q193" s="10">
        <v>0</v>
      </c>
      <c r="R193" s="10">
        <v>0</v>
      </c>
      <c r="S193" s="10">
        <v>0.39</v>
      </c>
      <c r="T193" s="10">
        <v>0</v>
      </c>
      <c r="U193" s="10">
        <v>0</v>
      </c>
    </row>
    <row r="194" spans="1:21">
      <c r="A194" s="10" t="s">
        <v>300</v>
      </c>
      <c r="B194" s="10" t="s">
        <v>150</v>
      </c>
      <c r="C194" s="10">
        <v>2035</v>
      </c>
      <c r="D194" s="10">
        <v>0</v>
      </c>
      <c r="E194" s="10">
        <v>0</v>
      </c>
      <c r="F194" s="10">
        <v>0</v>
      </c>
      <c r="G194" s="10">
        <v>0.77</v>
      </c>
      <c r="H194" s="10">
        <v>0.12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0.09</v>
      </c>
      <c r="O194" s="10">
        <v>0</v>
      </c>
      <c r="P194" s="10">
        <v>0</v>
      </c>
      <c r="Q194" s="10">
        <v>0</v>
      </c>
      <c r="R194" s="10">
        <v>0</v>
      </c>
      <c r="S194" s="10">
        <v>0.03</v>
      </c>
      <c r="T194" s="10">
        <v>0</v>
      </c>
      <c r="U194" s="10">
        <v>0</v>
      </c>
    </row>
    <row r="195" spans="1:21">
      <c r="A195" s="10" t="s">
        <v>300</v>
      </c>
      <c r="B195" s="10" t="s">
        <v>150</v>
      </c>
      <c r="C195" s="10">
        <v>2040</v>
      </c>
      <c r="D195" s="10">
        <v>0</v>
      </c>
      <c r="E195" s="10">
        <v>0</v>
      </c>
      <c r="F195" s="10">
        <v>0</v>
      </c>
      <c r="G195" s="10">
        <v>0.74</v>
      </c>
      <c r="H195" s="10">
        <v>0.12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0.08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</row>
    <row r="196" spans="1:21">
      <c r="A196" s="10" t="s">
        <v>300</v>
      </c>
      <c r="B196" s="10" t="s">
        <v>150</v>
      </c>
      <c r="C196" s="10">
        <v>2045</v>
      </c>
      <c r="D196" s="10">
        <v>0</v>
      </c>
      <c r="E196" s="10">
        <v>0</v>
      </c>
      <c r="F196" s="10">
        <v>0</v>
      </c>
      <c r="G196" s="10">
        <v>0.72</v>
      </c>
      <c r="H196" s="10">
        <v>0.11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0.08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</row>
    <row r="197" spans="1:21">
      <c r="A197" s="10" t="s">
        <v>300</v>
      </c>
      <c r="B197" s="10" t="s">
        <v>150</v>
      </c>
      <c r="C197" s="10">
        <v>2050</v>
      </c>
      <c r="D197" s="10">
        <v>0</v>
      </c>
      <c r="E197" s="10">
        <v>0</v>
      </c>
      <c r="F197" s="10">
        <v>0</v>
      </c>
      <c r="G197" s="10">
        <v>0.68</v>
      </c>
      <c r="H197" s="10">
        <v>0.11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7.0000000000000007E-2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</row>
    <row r="198" spans="1:21">
      <c r="A198" s="10" t="s">
        <v>301</v>
      </c>
      <c r="B198" s="10" t="s">
        <v>150</v>
      </c>
      <c r="C198" s="10">
        <v>2018</v>
      </c>
      <c r="D198" s="10">
        <v>0</v>
      </c>
      <c r="E198" s="10">
        <v>0</v>
      </c>
      <c r="F198" s="10">
        <v>0</v>
      </c>
      <c r="G198" s="10">
        <v>0.44</v>
      </c>
      <c r="H198" s="10">
        <v>0.28000000000000003</v>
      </c>
      <c r="I198" s="10">
        <v>0.27</v>
      </c>
      <c r="J198" s="10">
        <v>0</v>
      </c>
      <c r="K198" s="10">
        <v>0</v>
      </c>
      <c r="L198" s="10">
        <v>0</v>
      </c>
      <c r="M198" s="10">
        <v>0</v>
      </c>
      <c r="N198" s="10">
        <v>0.2</v>
      </c>
      <c r="O198" s="10">
        <v>0</v>
      </c>
      <c r="P198" s="10">
        <v>0</v>
      </c>
      <c r="Q198" s="10">
        <v>0</v>
      </c>
      <c r="R198" s="10">
        <v>0</v>
      </c>
      <c r="S198" s="10">
        <v>0.42</v>
      </c>
      <c r="T198" s="10">
        <v>0.08</v>
      </c>
      <c r="U198" s="10">
        <v>0.27</v>
      </c>
    </row>
    <row r="199" spans="1:21">
      <c r="A199" s="10" t="s">
        <v>301</v>
      </c>
      <c r="B199" s="10" t="s">
        <v>150</v>
      </c>
      <c r="C199" s="10">
        <v>2020</v>
      </c>
      <c r="D199" s="10">
        <v>0</v>
      </c>
      <c r="E199" s="10">
        <v>0</v>
      </c>
      <c r="F199" s="10">
        <v>0</v>
      </c>
      <c r="G199" s="10">
        <v>0.43</v>
      </c>
      <c r="H199" s="10">
        <v>0.28000000000000003</v>
      </c>
      <c r="I199" s="10">
        <v>0.26</v>
      </c>
      <c r="J199" s="10">
        <v>0</v>
      </c>
      <c r="K199" s="10">
        <v>0</v>
      </c>
      <c r="L199" s="10">
        <v>0</v>
      </c>
      <c r="M199" s="10">
        <v>0</v>
      </c>
      <c r="N199" s="10">
        <v>0.2</v>
      </c>
      <c r="O199" s="10">
        <v>0</v>
      </c>
      <c r="P199" s="10">
        <v>0</v>
      </c>
      <c r="Q199" s="10">
        <v>0</v>
      </c>
      <c r="R199" s="10">
        <v>0</v>
      </c>
      <c r="S199" s="10">
        <v>0.4</v>
      </c>
      <c r="T199" s="10">
        <v>0.06</v>
      </c>
      <c r="U199" s="10">
        <v>0.25</v>
      </c>
    </row>
    <row r="200" spans="1:21">
      <c r="A200" s="10" t="s">
        <v>301</v>
      </c>
      <c r="B200" s="10" t="s">
        <v>150</v>
      </c>
      <c r="C200" s="10">
        <v>2025</v>
      </c>
      <c r="D200" s="10">
        <v>0</v>
      </c>
      <c r="E200" s="10">
        <v>0</v>
      </c>
      <c r="F200" s="10">
        <v>0</v>
      </c>
      <c r="G200" s="10">
        <v>0.42</v>
      </c>
      <c r="H200" s="10">
        <v>0.27</v>
      </c>
      <c r="I200" s="10">
        <v>0.26</v>
      </c>
      <c r="J200" s="10">
        <v>0</v>
      </c>
      <c r="K200" s="10">
        <v>0</v>
      </c>
      <c r="L200" s="10">
        <v>0</v>
      </c>
      <c r="M200" s="10">
        <v>0</v>
      </c>
      <c r="N200" s="10">
        <v>0.19</v>
      </c>
      <c r="O200" s="10">
        <v>0</v>
      </c>
      <c r="P200" s="10">
        <v>0</v>
      </c>
      <c r="Q200" s="10">
        <v>0</v>
      </c>
      <c r="R200" s="10">
        <v>0</v>
      </c>
      <c r="S200" s="10">
        <v>0.31</v>
      </c>
      <c r="T200" s="10">
        <v>0</v>
      </c>
      <c r="U200" s="10">
        <v>0.2</v>
      </c>
    </row>
    <row r="201" spans="1:21">
      <c r="A201" s="10" t="s">
        <v>301</v>
      </c>
      <c r="B201" s="10" t="s">
        <v>150</v>
      </c>
      <c r="C201" s="10">
        <v>2030</v>
      </c>
      <c r="D201" s="10">
        <v>0</v>
      </c>
      <c r="E201" s="10">
        <v>0</v>
      </c>
      <c r="F201" s="10">
        <v>0</v>
      </c>
      <c r="G201" s="10">
        <v>0.4</v>
      </c>
      <c r="H201" s="10">
        <v>0.26</v>
      </c>
      <c r="I201" s="10">
        <v>0.25</v>
      </c>
      <c r="J201" s="10">
        <v>0</v>
      </c>
      <c r="K201" s="10">
        <v>0</v>
      </c>
      <c r="L201" s="10">
        <v>0</v>
      </c>
      <c r="M201" s="10">
        <v>0</v>
      </c>
      <c r="N201" s="10">
        <v>0.18</v>
      </c>
      <c r="O201" s="10">
        <v>0</v>
      </c>
      <c r="P201" s="10">
        <v>0</v>
      </c>
      <c r="Q201" s="10">
        <v>0</v>
      </c>
      <c r="R201" s="10">
        <v>0</v>
      </c>
      <c r="S201" s="10">
        <v>0.2</v>
      </c>
      <c r="T201" s="10">
        <v>0</v>
      </c>
      <c r="U201" s="10">
        <v>0.1</v>
      </c>
    </row>
    <row r="202" spans="1:21">
      <c r="A202" s="10" t="s">
        <v>301</v>
      </c>
      <c r="B202" s="10" t="s">
        <v>150</v>
      </c>
      <c r="C202" s="10">
        <v>2035</v>
      </c>
      <c r="D202" s="10">
        <v>0</v>
      </c>
      <c r="E202" s="10">
        <v>0</v>
      </c>
      <c r="F202" s="10">
        <v>0</v>
      </c>
      <c r="G202" s="10">
        <v>0.39</v>
      </c>
      <c r="H202" s="10">
        <v>0.26</v>
      </c>
      <c r="I202" s="10">
        <v>0.24</v>
      </c>
      <c r="J202" s="10">
        <v>0</v>
      </c>
      <c r="K202" s="10">
        <v>0</v>
      </c>
      <c r="L202" s="10">
        <v>0</v>
      </c>
      <c r="M202" s="10">
        <v>0</v>
      </c>
      <c r="N202" s="10">
        <v>0.18</v>
      </c>
      <c r="O202" s="10">
        <v>0</v>
      </c>
      <c r="P202" s="10">
        <v>0</v>
      </c>
      <c r="Q202" s="10">
        <v>0</v>
      </c>
      <c r="R202" s="10">
        <v>0</v>
      </c>
      <c r="S202" s="10">
        <v>0.01</v>
      </c>
      <c r="T202" s="10">
        <v>0</v>
      </c>
      <c r="U202" s="10">
        <v>0.03</v>
      </c>
    </row>
    <row r="203" spans="1:21">
      <c r="A203" s="10" t="s">
        <v>301</v>
      </c>
      <c r="B203" s="10" t="s">
        <v>150</v>
      </c>
      <c r="C203" s="10">
        <v>2040</v>
      </c>
      <c r="D203" s="10">
        <v>0</v>
      </c>
      <c r="E203" s="10">
        <v>0</v>
      </c>
      <c r="F203" s="10">
        <v>0</v>
      </c>
      <c r="G203" s="10">
        <v>0.38</v>
      </c>
      <c r="H203" s="10">
        <v>0.25</v>
      </c>
      <c r="I203" s="10">
        <v>0.23</v>
      </c>
      <c r="J203" s="10">
        <v>0</v>
      </c>
      <c r="K203" s="10">
        <v>0</v>
      </c>
      <c r="L203" s="10">
        <v>0</v>
      </c>
      <c r="M203" s="10">
        <v>0</v>
      </c>
      <c r="N203" s="10">
        <v>0.17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</row>
    <row r="204" spans="1:21">
      <c r="A204" s="10" t="s">
        <v>301</v>
      </c>
      <c r="B204" s="10" t="s">
        <v>150</v>
      </c>
      <c r="C204" s="10">
        <v>2045</v>
      </c>
      <c r="D204" s="10">
        <v>0</v>
      </c>
      <c r="E204" s="10">
        <v>0</v>
      </c>
      <c r="F204" s="10">
        <v>0</v>
      </c>
      <c r="G204" s="10">
        <v>0.37</v>
      </c>
      <c r="H204" s="10">
        <v>0.24</v>
      </c>
      <c r="I204" s="10">
        <v>0.22</v>
      </c>
      <c r="J204" s="10">
        <v>0</v>
      </c>
      <c r="K204" s="10">
        <v>0</v>
      </c>
      <c r="L204" s="10">
        <v>0</v>
      </c>
      <c r="M204" s="10">
        <v>0</v>
      </c>
      <c r="N204" s="10">
        <v>0.16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</row>
    <row r="205" spans="1:21">
      <c r="A205" s="10" t="s">
        <v>301</v>
      </c>
      <c r="B205" s="10" t="s">
        <v>150</v>
      </c>
      <c r="C205" s="10">
        <v>2050</v>
      </c>
      <c r="D205" s="10">
        <v>0</v>
      </c>
      <c r="E205" s="10">
        <v>0</v>
      </c>
      <c r="F205" s="10">
        <v>0</v>
      </c>
      <c r="G205" s="10">
        <v>0.35</v>
      </c>
      <c r="H205" s="10">
        <v>0.23</v>
      </c>
      <c r="I205" s="10">
        <v>0.21</v>
      </c>
      <c r="J205" s="10">
        <v>0</v>
      </c>
      <c r="K205" s="10">
        <v>0</v>
      </c>
      <c r="L205" s="10">
        <v>0</v>
      </c>
      <c r="M205" s="10">
        <v>0</v>
      </c>
      <c r="N205" s="10">
        <v>0.16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</row>
    <row r="206" spans="1:21">
      <c r="A206" s="10" t="s">
        <v>303</v>
      </c>
      <c r="B206" s="10" t="s">
        <v>150</v>
      </c>
      <c r="C206" s="10">
        <v>2018</v>
      </c>
      <c r="D206" s="10">
        <v>0</v>
      </c>
      <c r="E206" s="10">
        <v>0</v>
      </c>
      <c r="F206" s="10">
        <v>0</v>
      </c>
      <c r="G206" s="10">
        <v>0.69</v>
      </c>
      <c r="H206" s="10">
        <v>0.3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0.21</v>
      </c>
      <c r="O206" s="10">
        <v>0</v>
      </c>
      <c r="P206" s="10">
        <v>0</v>
      </c>
      <c r="Q206" s="10">
        <v>0</v>
      </c>
      <c r="R206" s="10">
        <v>0</v>
      </c>
      <c r="S206" s="10">
        <v>0.67</v>
      </c>
      <c r="T206" s="10">
        <v>0.09</v>
      </c>
      <c r="U206" s="10">
        <v>0</v>
      </c>
    </row>
    <row r="207" spans="1:21">
      <c r="A207" s="10" t="s">
        <v>303</v>
      </c>
      <c r="B207" s="10" t="s">
        <v>150</v>
      </c>
      <c r="C207" s="10">
        <v>2020</v>
      </c>
      <c r="D207" s="10">
        <v>0</v>
      </c>
      <c r="E207" s="10">
        <v>0</v>
      </c>
      <c r="F207" s="10">
        <v>0</v>
      </c>
      <c r="G207" s="10">
        <v>0.68</v>
      </c>
      <c r="H207" s="10">
        <v>0.3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0.21</v>
      </c>
      <c r="O207" s="10">
        <v>0</v>
      </c>
      <c r="P207" s="10">
        <v>0</v>
      </c>
      <c r="Q207" s="10">
        <v>0</v>
      </c>
      <c r="R207" s="10">
        <v>0</v>
      </c>
      <c r="S207" s="10">
        <v>0.64</v>
      </c>
      <c r="T207" s="10">
        <v>7.0000000000000007E-2</v>
      </c>
      <c r="U207" s="10">
        <v>0</v>
      </c>
    </row>
    <row r="208" spans="1:21">
      <c r="A208" s="10" t="s">
        <v>303</v>
      </c>
      <c r="B208" s="10" t="s">
        <v>150</v>
      </c>
      <c r="C208" s="10">
        <v>2025</v>
      </c>
      <c r="D208" s="10">
        <v>0</v>
      </c>
      <c r="E208" s="10">
        <v>0</v>
      </c>
      <c r="F208" s="10">
        <v>0</v>
      </c>
      <c r="G208" s="10">
        <v>0.66</v>
      </c>
      <c r="H208" s="10">
        <v>0.28999999999999998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0.2</v>
      </c>
      <c r="O208" s="10">
        <v>0</v>
      </c>
      <c r="P208" s="10">
        <v>0</v>
      </c>
      <c r="Q208" s="10">
        <v>0</v>
      </c>
      <c r="R208" s="10">
        <v>0</v>
      </c>
      <c r="S208" s="10">
        <v>0.5</v>
      </c>
      <c r="T208" s="10">
        <v>0</v>
      </c>
      <c r="U208" s="10">
        <v>0</v>
      </c>
    </row>
    <row r="209" spans="1:21">
      <c r="A209" s="10" t="s">
        <v>303</v>
      </c>
      <c r="B209" s="10" t="s">
        <v>150</v>
      </c>
      <c r="C209" s="10">
        <v>2030</v>
      </c>
      <c r="D209" s="10">
        <v>0</v>
      </c>
      <c r="E209" s="10">
        <v>0</v>
      </c>
      <c r="F209" s="10">
        <v>0</v>
      </c>
      <c r="G209" s="10">
        <v>0.64</v>
      </c>
      <c r="H209" s="10">
        <v>0.28000000000000003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0.19</v>
      </c>
      <c r="O209" s="10">
        <v>0</v>
      </c>
      <c r="P209" s="10">
        <v>0</v>
      </c>
      <c r="Q209" s="10">
        <v>0</v>
      </c>
      <c r="R209" s="10">
        <v>0</v>
      </c>
      <c r="S209" s="10">
        <v>0.32</v>
      </c>
      <c r="T209" s="10">
        <v>0</v>
      </c>
      <c r="U209" s="10">
        <v>0</v>
      </c>
    </row>
    <row r="210" spans="1:21">
      <c r="A210" s="10" t="s">
        <v>303</v>
      </c>
      <c r="B210" s="10" t="s">
        <v>150</v>
      </c>
      <c r="C210" s="10">
        <v>2035</v>
      </c>
      <c r="D210" s="10">
        <v>0</v>
      </c>
      <c r="E210" s="10">
        <v>0</v>
      </c>
      <c r="F210" s="10">
        <v>0</v>
      </c>
      <c r="G210" s="10">
        <v>0.62</v>
      </c>
      <c r="H210" s="10">
        <v>0.27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0.19</v>
      </c>
      <c r="O210" s="10">
        <v>0</v>
      </c>
      <c r="P210" s="10">
        <v>0</v>
      </c>
      <c r="Q210" s="10">
        <v>0</v>
      </c>
      <c r="R210" s="10">
        <v>0</v>
      </c>
      <c r="S210" s="10">
        <v>0.03</v>
      </c>
      <c r="T210" s="10">
        <v>0</v>
      </c>
      <c r="U210" s="10">
        <v>0</v>
      </c>
    </row>
    <row r="211" spans="1:21">
      <c r="A211" s="10" t="s">
        <v>303</v>
      </c>
      <c r="B211" s="10" t="s">
        <v>150</v>
      </c>
      <c r="C211" s="10">
        <v>2040</v>
      </c>
      <c r="D211" s="10">
        <v>0</v>
      </c>
      <c r="E211" s="10">
        <v>0</v>
      </c>
      <c r="F211" s="10">
        <v>0</v>
      </c>
      <c r="G211" s="10">
        <v>0.6</v>
      </c>
      <c r="H211" s="10">
        <v>0.26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0.18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</row>
    <row r="212" spans="1:21">
      <c r="A212" s="10" t="s">
        <v>303</v>
      </c>
      <c r="B212" s="10" t="s">
        <v>150</v>
      </c>
      <c r="C212" s="10">
        <v>2045</v>
      </c>
      <c r="D212" s="10">
        <v>0</v>
      </c>
      <c r="E212" s="10">
        <v>0</v>
      </c>
      <c r="F212" s="10">
        <v>0</v>
      </c>
      <c r="G212" s="10">
        <v>0.57999999999999996</v>
      </c>
      <c r="H212" s="10">
        <v>0.25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0.18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</row>
    <row r="213" spans="1:21">
      <c r="A213" s="10" t="s">
        <v>303</v>
      </c>
      <c r="B213" s="10" t="s">
        <v>150</v>
      </c>
      <c r="C213" s="10">
        <v>2050</v>
      </c>
      <c r="D213" s="10">
        <v>0</v>
      </c>
      <c r="E213" s="10">
        <v>0</v>
      </c>
      <c r="F213" s="10">
        <v>0</v>
      </c>
      <c r="G213" s="10">
        <v>0.55000000000000004</v>
      </c>
      <c r="H213" s="10">
        <v>0.24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0.17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</row>
    <row r="214" spans="1:21">
      <c r="A214" s="72" t="s">
        <v>304</v>
      </c>
      <c r="B214" s="10" t="s">
        <v>150</v>
      </c>
      <c r="C214" s="10">
        <v>2018</v>
      </c>
      <c r="D214" s="10">
        <v>0</v>
      </c>
      <c r="E214" s="10">
        <v>0</v>
      </c>
      <c r="F214" s="10">
        <v>0</v>
      </c>
      <c r="G214" s="10">
        <v>0.64</v>
      </c>
      <c r="H214" s="10">
        <v>0.35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0.24</v>
      </c>
      <c r="O214" s="10">
        <v>0</v>
      </c>
      <c r="P214" s="10">
        <v>0</v>
      </c>
      <c r="Q214" s="10">
        <v>0</v>
      </c>
      <c r="R214" s="10">
        <v>0</v>
      </c>
      <c r="S214" s="10">
        <v>0.62</v>
      </c>
      <c r="T214" s="10">
        <v>0.1</v>
      </c>
      <c r="U214" s="10">
        <v>0</v>
      </c>
    </row>
    <row r="215" spans="1:21">
      <c r="A215" s="72" t="s">
        <v>304</v>
      </c>
      <c r="B215" s="10" t="s">
        <v>150</v>
      </c>
      <c r="C215" s="10">
        <v>2020</v>
      </c>
      <c r="D215" s="10">
        <v>0</v>
      </c>
      <c r="E215" s="10">
        <v>0</v>
      </c>
      <c r="F215" s="10">
        <v>0</v>
      </c>
      <c r="G215" s="10">
        <v>0.64</v>
      </c>
      <c r="H215" s="10">
        <v>0.35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0.24</v>
      </c>
      <c r="O215" s="10">
        <v>0</v>
      </c>
      <c r="P215" s="10">
        <v>0</v>
      </c>
      <c r="Q215" s="10">
        <v>0</v>
      </c>
      <c r="R215" s="10">
        <v>0</v>
      </c>
      <c r="S215" s="10">
        <v>0.59</v>
      </c>
      <c r="T215" s="10">
        <v>0.08</v>
      </c>
      <c r="U215" s="10">
        <v>0</v>
      </c>
    </row>
    <row r="216" spans="1:21">
      <c r="A216" s="72" t="s">
        <v>304</v>
      </c>
      <c r="B216" s="10" t="s">
        <v>150</v>
      </c>
      <c r="C216" s="10">
        <v>2025</v>
      </c>
      <c r="D216" s="10">
        <v>0</v>
      </c>
      <c r="E216" s="10">
        <v>0</v>
      </c>
      <c r="F216" s="10">
        <v>0</v>
      </c>
      <c r="G216" s="10">
        <v>0.62</v>
      </c>
      <c r="H216" s="10">
        <v>0.34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0.23</v>
      </c>
      <c r="O216" s="10">
        <v>0</v>
      </c>
      <c r="P216" s="10">
        <v>0</v>
      </c>
      <c r="Q216" s="10">
        <v>0</v>
      </c>
      <c r="R216" s="10">
        <v>0</v>
      </c>
      <c r="S216" s="10">
        <v>0.46</v>
      </c>
      <c r="T216" s="10">
        <v>0</v>
      </c>
      <c r="U216" s="10">
        <v>0</v>
      </c>
    </row>
    <row r="217" spans="1:21">
      <c r="A217" s="72" t="s">
        <v>304</v>
      </c>
      <c r="B217" s="10" t="s">
        <v>150</v>
      </c>
      <c r="C217" s="10">
        <v>2030</v>
      </c>
      <c r="D217" s="10">
        <v>0</v>
      </c>
      <c r="E217" s="10">
        <v>0</v>
      </c>
      <c r="F217" s="10">
        <v>0</v>
      </c>
      <c r="G217" s="10">
        <v>0.6</v>
      </c>
      <c r="H217" s="10">
        <v>0.32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0.22</v>
      </c>
      <c r="O217" s="10">
        <v>0</v>
      </c>
      <c r="P217" s="10">
        <v>0</v>
      </c>
      <c r="Q217" s="10">
        <v>0</v>
      </c>
      <c r="R217" s="10">
        <v>0</v>
      </c>
      <c r="S217" s="10">
        <v>0.3</v>
      </c>
      <c r="T217" s="10">
        <v>0</v>
      </c>
      <c r="U217" s="10">
        <v>0</v>
      </c>
    </row>
    <row r="218" spans="1:21">
      <c r="A218" s="72" t="s">
        <v>304</v>
      </c>
      <c r="B218" s="10" t="s">
        <v>150</v>
      </c>
      <c r="C218" s="10">
        <v>2035</v>
      </c>
      <c r="D218" s="10">
        <v>0</v>
      </c>
      <c r="E218" s="10">
        <v>0</v>
      </c>
      <c r="F218" s="10">
        <v>0</v>
      </c>
      <c r="G218" s="10">
        <v>0.57999999999999996</v>
      </c>
      <c r="H218" s="10">
        <v>0.31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0.22</v>
      </c>
      <c r="O218" s="10">
        <v>0</v>
      </c>
      <c r="P218" s="10">
        <v>0</v>
      </c>
      <c r="Q218" s="10">
        <v>0</v>
      </c>
      <c r="R218" s="10">
        <v>0</v>
      </c>
      <c r="S218" s="10">
        <v>0.02</v>
      </c>
      <c r="T218" s="10">
        <v>0</v>
      </c>
      <c r="U218" s="10">
        <v>0</v>
      </c>
    </row>
    <row r="219" spans="1:21">
      <c r="A219" s="72" t="s">
        <v>304</v>
      </c>
      <c r="B219" s="10" t="s">
        <v>150</v>
      </c>
      <c r="C219" s="10">
        <v>2040</v>
      </c>
      <c r="D219" s="10">
        <v>0</v>
      </c>
      <c r="E219" s="10">
        <v>0</v>
      </c>
      <c r="F219" s="10">
        <v>0</v>
      </c>
      <c r="G219" s="10">
        <v>0.56000000000000005</v>
      </c>
      <c r="H219" s="10">
        <v>0.3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0.21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</row>
    <row r="220" spans="1:21">
      <c r="A220" s="72" t="s">
        <v>304</v>
      </c>
      <c r="B220" s="10" t="s">
        <v>150</v>
      </c>
      <c r="C220" s="10">
        <v>2045</v>
      </c>
      <c r="D220" s="10">
        <v>0</v>
      </c>
      <c r="E220" s="10">
        <v>0</v>
      </c>
      <c r="F220" s="10">
        <v>0</v>
      </c>
      <c r="G220" s="10">
        <v>0.54</v>
      </c>
      <c r="H220" s="10">
        <v>0.28999999999999998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0.2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</row>
    <row r="221" spans="1:21">
      <c r="A221" s="72" t="s">
        <v>304</v>
      </c>
      <c r="B221" s="10" t="s">
        <v>150</v>
      </c>
      <c r="C221" s="10">
        <v>2050</v>
      </c>
      <c r="D221" s="10">
        <v>0</v>
      </c>
      <c r="E221" s="10">
        <v>0</v>
      </c>
      <c r="F221" s="10">
        <v>0</v>
      </c>
      <c r="G221" s="10">
        <v>0.51</v>
      </c>
      <c r="H221" s="10">
        <v>0.28000000000000003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0.19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</row>
    <row r="222" spans="1:21">
      <c r="A222" s="72" t="s">
        <v>305</v>
      </c>
      <c r="B222" s="10" t="s">
        <v>150</v>
      </c>
      <c r="C222" s="10">
        <v>2018</v>
      </c>
      <c r="D222" s="10">
        <v>0</v>
      </c>
      <c r="E222" s="10">
        <v>0</v>
      </c>
      <c r="F222" s="10">
        <v>0</v>
      </c>
      <c r="G222" s="10">
        <v>0.64</v>
      </c>
      <c r="H222" s="10">
        <v>0.32</v>
      </c>
      <c r="I222" s="10">
        <v>0.03</v>
      </c>
      <c r="J222" s="10">
        <v>0</v>
      </c>
      <c r="K222" s="10">
        <v>0</v>
      </c>
      <c r="L222" s="10">
        <v>0</v>
      </c>
      <c r="M222" s="10">
        <v>0</v>
      </c>
      <c r="N222" s="10">
        <v>0.22</v>
      </c>
      <c r="O222" s="10">
        <v>0</v>
      </c>
      <c r="P222" s="10">
        <v>0</v>
      </c>
      <c r="Q222" s="10">
        <v>0</v>
      </c>
      <c r="R222" s="10">
        <v>0</v>
      </c>
      <c r="S222" s="10">
        <v>0.62</v>
      </c>
      <c r="T222" s="10">
        <v>0.09</v>
      </c>
      <c r="U222" s="10">
        <v>0.03</v>
      </c>
    </row>
    <row r="223" spans="1:21">
      <c r="A223" s="72" t="s">
        <v>305</v>
      </c>
      <c r="B223" s="10" t="s">
        <v>150</v>
      </c>
      <c r="C223" s="10">
        <v>2020</v>
      </c>
      <c r="D223" s="10">
        <v>0</v>
      </c>
      <c r="E223" s="10">
        <v>0</v>
      </c>
      <c r="F223" s="10">
        <v>0</v>
      </c>
      <c r="G223" s="10">
        <v>0.63</v>
      </c>
      <c r="H223" s="10">
        <v>0.32</v>
      </c>
      <c r="I223" s="10">
        <v>0.03</v>
      </c>
      <c r="J223" s="10">
        <v>0</v>
      </c>
      <c r="K223" s="10">
        <v>0</v>
      </c>
      <c r="L223" s="10">
        <v>0</v>
      </c>
      <c r="M223" s="10">
        <v>0</v>
      </c>
      <c r="N223" s="10">
        <v>0.22</v>
      </c>
      <c r="O223" s="10">
        <v>0</v>
      </c>
      <c r="P223" s="10">
        <v>0</v>
      </c>
      <c r="Q223" s="10">
        <v>0</v>
      </c>
      <c r="R223" s="10">
        <v>0</v>
      </c>
      <c r="S223" s="10">
        <v>0.59</v>
      </c>
      <c r="T223" s="10">
        <v>7.0000000000000007E-2</v>
      </c>
      <c r="U223" s="10">
        <v>0.02</v>
      </c>
    </row>
    <row r="224" spans="1:21">
      <c r="A224" s="72" t="s">
        <v>305</v>
      </c>
      <c r="B224" s="10" t="s">
        <v>150</v>
      </c>
      <c r="C224" s="10">
        <v>2025</v>
      </c>
      <c r="D224" s="10">
        <v>0</v>
      </c>
      <c r="E224" s="10">
        <v>0</v>
      </c>
      <c r="F224" s="10">
        <v>0</v>
      </c>
      <c r="G224" s="10">
        <v>0.62</v>
      </c>
      <c r="H224" s="10">
        <v>0.31</v>
      </c>
      <c r="I224" s="10">
        <v>0.02</v>
      </c>
      <c r="J224" s="10">
        <v>0</v>
      </c>
      <c r="K224" s="10">
        <v>0</v>
      </c>
      <c r="L224" s="10">
        <v>0</v>
      </c>
      <c r="M224" s="10">
        <v>0</v>
      </c>
      <c r="N224" s="10">
        <v>0.22</v>
      </c>
      <c r="O224" s="10">
        <v>0</v>
      </c>
      <c r="P224" s="10">
        <v>0</v>
      </c>
      <c r="Q224" s="10">
        <v>0</v>
      </c>
      <c r="R224" s="10">
        <v>0</v>
      </c>
      <c r="S224" s="10">
        <v>0.46</v>
      </c>
      <c r="T224" s="10">
        <v>0</v>
      </c>
      <c r="U224" s="10">
        <v>0.02</v>
      </c>
    </row>
    <row r="225" spans="1:21">
      <c r="A225" s="72" t="s">
        <v>305</v>
      </c>
      <c r="B225" s="10" t="s">
        <v>150</v>
      </c>
      <c r="C225" s="10">
        <v>2030</v>
      </c>
      <c r="D225" s="10">
        <v>0</v>
      </c>
      <c r="E225" s="10">
        <v>0</v>
      </c>
      <c r="F225" s="10">
        <v>0</v>
      </c>
      <c r="G225" s="10">
        <v>0.59</v>
      </c>
      <c r="H225" s="10">
        <v>0.3</v>
      </c>
      <c r="I225" s="10">
        <v>0.02</v>
      </c>
      <c r="J225" s="10">
        <v>0</v>
      </c>
      <c r="K225" s="10">
        <v>0</v>
      </c>
      <c r="L225" s="10">
        <v>0</v>
      </c>
      <c r="M225" s="10">
        <v>0</v>
      </c>
      <c r="N225" s="10">
        <v>0.21</v>
      </c>
      <c r="O225" s="10">
        <v>0</v>
      </c>
      <c r="P225" s="10">
        <v>0</v>
      </c>
      <c r="Q225" s="10">
        <v>0</v>
      </c>
      <c r="R225" s="10">
        <v>0</v>
      </c>
      <c r="S225" s="10">
        <v>0.28999999999999998</v>
      </c>
      <c r="T225" s="10">
        <v>0</v>
      </c>
      <c r="U225" s="10">
        <v>0.01</v>
      </c>
    </row>
    <row r="226" spans="1:21">
      <c r="A226" s="72" t="s">
        <v>305</v>
      </c>
      <c r="B226" s="10" t="s">
        <v>150</v>
      </c>
      <c r="C226" s="10">
        <v>2035</v>
      </c>
      <c r="D226" s="10">
        <v>0</v>
      </c>
      <c r="E226" s="10">
        <v>0</v>
      </c>
      <c r="F226" s="10">
        <v>0</v>
      </c>
      <c r="G226" s="10">
        <v>0.57999999999999996</v>
      </c>
      <c r="H226" s="10">
        <v>0.28999999999999998</v>
      </c>
      <c r="I226" s="10">
        <v>0.02</v>
      </c>
      <c r="J226" s="10">
        <v>0</v>
      </c>
      <c r="K226" s="10">
        <v>0</v>
      </c>
      <c r="L226" s="10">
        <v>0</v>
      </c>
      <c r="M226" s="10">
        <v>0</v>
      </c>
      <c r="N226" s="10">
        <v>0.2</v>
      </c>
      <c r="O226" s="10">
        <v>0</v>
      </c>
      <c r="P226" s="10">
        <v>0</v>
      </c>
      <c r="Q226" s="10">
        <v>0</v>
      </c>
      <c r="R226" s="10">
        <v>0</v>
      </c>
      <c r="S226" s="10">
        <v>0.02</v>
      </c>
      <c r="T226" s="10">
        <v>0</v>
      </c>
      <c r="U226" s="10">
        <v>0</v>
      </c>
    </row>
    <row r="227" spans="1:21">
      <c r="A227" s="72" t="s">
        <v>305</v>
      </c>
      <c r="B227" s="10" t="s">
        <v>150</v>
      </c>
      <c r="C227" s="10">
        <v>2040</v>
      </c>
      <c r="D227" s="10">
        <v>0</v>
      </c>
      <c r="E227" s="10">
        <v>0</v>
      </c>
      <c r="F227" s="10">
        <v>0</v>
      </c>
      <c r="G227" s="10">
        <v>0.55000000000000004</v>
      </c>
      <c r="H227" s="10">
        <v>0.28000000000000003</v>
      </c>
      <c r="I227" s="10">
        <v>0.02</v>
      </c>
      <c r="J227" s="10">
        <v>0</v>
      </c>
      <c r="K227" s="10">
        <v>0</v>
      </c>
      <c r="L227" s="10">
        <v>0</v>
      </c>
      <c r="M227" s="10">
        <v>0</v>
      </c>
      <c r="N227" s="10">
        <v>0.19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</row>
    <row r="228" spans="1:21">
      <c r="A228" s="72" t="s">
        <v>305</v>
      </c>
      <c r="B228" s="10" t="s">
        <v>150</v>
      </c>
      <c r="C228" s="10">
        <v>2045</v>
      </c>
      <c r="D228" s="10">
        <v>0</v>
      </c>
      <c r="E228" s="10">
        <v>0</v>
      </c>
      <c r="F228" s="10">
        <v>0</v>
      </c>
      <c r="G228" s="10">
        <v>0.54</v>
      </c>
      <c r="H228" s="10">
        <v>0.27</v>
      </c>
      <c r="I228" s="10">
        <v>0.02</v>
      </c>
      <c r="J228" s="10">
        <v>0</v>
      </c>
      <c r="K228" s="10">
        <v>0</v>
      </c>
      <c r="L228" s="10">
        <v>0</v>
      </c>
      <c r="M228" s="10">
        <v>0</v>
      </c>
      <c r="N228" s="10">
        <v>0.19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</row>
    <row r="229" spans="1:21">
      <c r="A229" s="72" t="s">
        <v>305</v>
      </c>
      <c r="B229" s="10" t="s">
        <v>150</v>
      </c>
      <c r="C229" s="10">
        <v>2050</v>
      </c>
      <c r="D229" s="10">
        <v>0</v>
      </c>
      <c r="E229" s="10">
        <v>0</v>
      </c>
      <c r="F229" s="10">
        <v>0</v>
      </c>
      <c r="G229" s="10">
        <v>0.51</v>
      </c>
      <c r="H229" s="10">
        <v>0.26</v>
      </c>
      <c r="I229" s="10">
        <v>0.02</v>
      </c>
      <c r="J229" s="10">
        <v>0</v>
      </c>
      <c r="K229" s="10">
        <v>0</v>
      </c>
      <c r="L229" s="10">
        <v>0</v>
      </c>
      <c r="M229" s="10">
        <v>0</v>
      </c>
      <c r="N229" s="10">
        <v>0.18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</row>
    <row r="230" spans="1:21">
      <c r="A230" s="72" t="s">
        <v>356</v>
      </c>
      <c r="B230" s="10" t="s">
        <v>150</v>
      </c>
      <c r="C230" s="10">
        <v>2018</v>
      </c>
      <c r="D230" s="10">
        <v>0</v>
      </c>
      <c r="E230" s="10">
        <v>0</v>
      </c>
      <c r="F230" s="10">
        <v>0</v>
      </c>
      <c r="G230" s="10">
        <v>0.75</v>
      </c>
      <c r="H230" s="10">
        <v>0.19</v>
      </c>
      <c r="I230" s="10">
        <v>0.06</v>
      </c>
      <c r="J230" s="10">
        <v>0</v>
      </c>
      <c r="K230" s="10">
        <v>0</v>
      </c>
      <c r="L230" s="10">
        <v>0</v>
      </c>
      <c r="M230" s="10">
        <v>0</v>
      </c>
      <c r="N230" s="10">
        <v>0.13</v>
      </c>
      <c r="O230" s="10">
        <v>0</v>
      </c>
      <c r="P230" s="10">
        <v>0</v>
      </c>
      <c r="Q230" s="10">
        <v>0</v>
      </c>
      <c r="R230" s="10">
        <v>0</v>
      </c>
      <c r="S230" s="10">
        <v>0.72</v>
      </c>
      <c r="T230" s="10">
        <v>0.05</v>
      </c>
      <c r="U230" s="10">
        <v>0.06</v>
      </c>
    </row>
    <row r="231" spans="1:21">
      <c r="A231" s="72" t="s">
        <v>356</v>
      </c>
      <c r="B231" s="10" t="s">
        <v>150</v>
      </c>
      <c r="C231" s="10">
        <v>2020</v>
      </c>
      <c r="D231" s="10">
        <v>0</v>
      </c>
      <c r="E231" s="10">
        <v>0</v>
      </c>
      <c r="F231" s="10">
        <v>0</v>
      </c>
      <c r="G231" s="10">
        <v>0.74</v>
      </c>
      <c r="H231" s="10">
        <v>0.18</v>
      </c>
      <c r="I231" s="10">
        <v>0.05</v>
      </c>
      <c r="J231" s="10">
        <v>0</v>
      </c>
      <c r="K231" s="10">
        <v>0</v>
      </c>
      <c r="L231" s="10">
        <v>0</v>
      </c>
      <c r="M231" s="10">
        <v>0</v>
      </c>
      <c r="N231" s="10">
        <v>0.13</v>
      </c>
      <c r="O231" s="10">
        <v>0</v>
      </c>
      <c r="P231" s="10">
        <v>0</v>
      </c>
      <c r="Q231" s="10">
        <v>0</v>
      </c>
      <c r="R231" s="10">
        <v>0</v>
      </c>
      <c r="S231" s="10">
        <v>0.69</v>
      </c>
      <c r="T231" s="10">
        <v>0.04</v>
      </c>
      <c r="U231" s="10">
        <v>0.05</v>
      </c>
    </row>
    <row r="232" spans="1:21">
      <c r="A232" s="72" t="s">
        <v>356</v>
      </c>
      <c r="B232" s="10" t="s">
        <v>150</v>
      </c>
      <c r="C232" s="10">
        <v>2025</v>
      </c>
      <c r="D232" s="10">
        <v>0</v>
      </c>
      <c r="E232" s="10">
        <v>0</v>
      </c>
      <c r="F232" s="10">
        <v>0</v>
      </c>
      <c r="G232" s="10">
        <v>0.72</v>
      </c>
      <c r="H232" s="10">
        <v>0.18</v>
      </c>
      <c r="I232" s="10">
        <v>0.05</v>
      </c>
      <c r="J232" s="10">
        <v>0</v>
      </c>
      <c r="K232" s="10">
        <v>0</v>
      </c>
      <c r="L232" s="10">
        <v>0</v>
      </c>
      <c r="M232" s="10">
        <v>0</v>
      </c>
      <c r="N232" s="10">
        <v>0.12</v>
      </c>
      <c r="O232" s="10">
        <v>0</v>
      </c>
      <c r="P232" s="10">
        <v>0</v>
      </c>
      <c r="Q232" s="10">
        <v>0</v>
      </c>
      <c r="R232" s="10">
        <v>0</v>
      </c>
      <c r="S232" s="10">
        <v>0.54</v>
      </c>
      <c r="T232" s="10">
        <v>0</v>
      </c>
      <c r="U232" s="10">
        <v>0.04</v>
      </c>
    </row>
    <row r="233" spans="1:21">
      <c r="A233" s="72" t="s">
        <v>356</v>
      </c>
      <c r="B233" s="10" t="s">
        <v>150</v>
      </c>
      <c r="C233" s="10">
        <v>2030</v>
      </c>
      <c r="D233" s="10">
        <v>0</v>
      </c>
      <c r="E233" s="10">
        <v>0</v>
      </c>
      <c r="F233" s="10">
        <v>0</v>
      </c>
      <c r="G233" s="10">
        <v>0.69</v>
      </c>
      <c r="H233" s="10">
        <v>0.17</v>
      </c>
      <c r="I233" s="10">
        <v>0.05</v>
      </c>
      <c r="J233" s="10">
        <v>0</v>
      </c>
      <c r="K233" s="10">
        <v>0</v>
      </c>
      <c r="L233" s="10">
        <v>0</v>
      </c>
      <c r="M233" s="10">
        <v>0</v>
      </c>
      <c r="N233" s="10">
        <v>0.12</v>
      </c>
      <c r="O233" s="10">
        <v>0</v>
      </c>
      <c r="P233" s="10">
        <v>0</v>
      </c>
      <c r="Q233" s="10">
        <v>0</v>
      </c>
      <c r="R233" s="10">
        <v>0</v>
      </c>
      <c r="S233" s="10">
        <v>0.34</v>
      </c>
      <c r="T233" s="10">
        <v>0</v>
      </c>
      <c r="U233" s="10">
        <v>0.02</v>
      </c>
    </row>
    <row r="234" spans="1:21">
      <c r="A234" s="72" t="s">
        <v>356</v>
      </c>
      <c r="B234" s="10" t="s">
        <v>150</v>
      </c>
      <c r="C234" s="10">
        <v>2035</v>
      </c>
      <c r="D234" s="10">
        <v>0</v>
      </c>
      <c r="E234" s="10">
        <v>0</v>
      </c>
      <c r="F234" s="10">
        <v>0</v>
      </c>
      <c r="G234" s="10">
        <v>0.67</v>
      </c>
      <c r="H234" s="10">
        <v>0.17</v>
      </c>
      <c r="I234" s="10">
        <v>0.05</v>
      </c>
      <c r="J234" s="10">
        <v>0</v>
      </c>
      <c r="K234" s="10">
        <v>0</v>
      </c>
      <c r="L234" s="10">
        <v>0</v>
      </c>
      <c r="M234" s="10">
        <v>0</v>
      </c>
      <c r="N234" s="10">
        <v>0.12</v>
      </c>
      <c r="O234" s="10">
        <v>0</v>
      </c>
      <c r="P234" s="10">
        <v>0</v>
      </c>
      <c r="Q234" s="10">
        <v>0</v>
      </c>
      <c r="R234" s="10">
        <v>0</v>
      </c>
      <c r="S234" s="10">
        <v>0.03</v>
      </c>
      <c r="T234" s="10">
        <v>0</v>
      </c>
      <c r="U234" s="10">
        <v>0</v>
      </c>
    </row>
    <row r="235" spans="1:21">
      <c r="A235" s="72" t="s">
        <v>356</v>
      </c>
      <c r="B235" s="10" t="s">
        <v>150</v>
      </c>
      <c r="C235" s="10">
        <v>2040</v>
      </c>
      <c r="D235" s="10">
        <v>0</v>
      </c>
      <c r="E235" s="10">
        <v>0</v>
      </c>
      <c r="F235" s="10">
        <v>0</v>
      </c>
      <c r="G235" s="10">
        <v>0.65</v>
      </c>
      <c r="H235" s="10">
        <v>0.16</v>
      </c>
      <c r="I235" s="10">
        <v>0.05</v>
      </c>
      <c r="J235" s="10">
        <v>0</v>
      </c>
      <c r="K235" s="10">
        <v>0</v>
      </c>
      <c r="L235" s="10">
        <v>0</v>
      </c>
      <c r="M235" s="10">
        <v>0</v>
      </c>
      <c r="N235" s="10">
        <v>0.11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</row>
    <row r="236" spans="1:21">
      <c r="A236" s="72" t="s">
        <v>356</v>
      </c>
      <c r="B236" s="10" t="s">
        <v>150</v>
      </c>
      <c r="C236" s="10">
        <v>2045</v>
      </c>
      <c r="D236" s="10">
        <v>0</v>
      </c>
      <c r="E236" s="10">
        <v>0</v>
      </c>
      <c r="F236" s="10">
        <v>0</v>
      </c>
      <c r="G236" s="10">
        <v>0.63</v>
      </c>
      <c r="H236" s="10">
        <v>0.15</v>
      </c>
      <c r="I236" s="10">
        <v>0.05</v>
      </c>
      <c r="J236" s="10">
        <v>0</v>
      </c>
      <c r="K236" s="10">
        <v>0</v>
      </c>
      <c r="L236" s="10">
        <v>0</v>
      </c>
      <c r="M236" s="10">
        <v>0</v>
      </c>
      <c r="N236" s="10">
        <v>0.11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</row>
    <row r="237" spans="1:21">
      <c r="A237" s="72" t="s">
        <v>356</v>
      </c>
      <c r="B237" s="10" t="s">
        <v>150</v>
      </c>
      <c r="C237" s="10">
        <v>2050</v>
      </c>
      <c r="D237" s="10">
        <v>0</v>
      </c>
      <c r="E237" s="10">
        <v>0</v>
      </c>
      <c r="F237" s="10">
        <v>0</v>
      </c>
      <c r="G237" s="10">
        <v>0.6</v>
      </c>
      <c r="H237" s="10">
        <v>0.15</v>
      </c>
      <c r="I237" s="10">
        <v>0.04</v>
      </c>
      <c r="J237" s="10">
        <v>0</v>
      </c>
      <c r="K237" s="10">
        <v>0</v>
      </c>
      <c r="L237" s="10">
        <v>0</v>
      </c>
      <c r="M237" s="10">
        <v>0</v>
      </c>
      <c r="N237" s="10">
        <v>0.1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</row>
    <row r="238" spans="1:21">
      <c r="A238" s="72" t="s">
        <v>307</v>
      </c>
      <c r="B238" s="10" t="s">
        <v>150</v>
      </c>
      <c r="C238" s="10">
        <v>2018</v>
      </c>
      <c r="D238" s="10">
        <v>0</v>
      </c>
      <c r="E238" s="10">
        <v>0</v>
      </c>
      <c r="F238" s="10">
        <v>0</v>
      </c>
      <c r="G238" s="10">
        <v>0.9</v>
      </c>
      <c r="H238" s="10">
        <v>0.09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0.06</v>
      </c>
      <c r="O238" s="10">
        <v>0</v>
      </c>
      <c r="P238" s="10">
        <v>0</v>
      </c>
      <c r="Q238" s="10">
        <v>0</v>
      </c>
      <c r="R238" s="10">
        <v>0</v>
      </c>
      <c r="S238" s="10">
        <v>0.87</v>
      </c>
      <c r="T238" s="10">
        <v>0.02</v>
      </c>
      <c r="U238" s="10">
        <v>0</v>
      </c>
    </row>
    <row r="239" spans="1:21">
      <c r="A239" s="72" t="s">
        <v>307</v>
      </c>
      <c r="B239" s="10" t="s">
        <v>150</v>
      </c>
      <c r="C239" s="10">
        <v>2020</v>
      </c>
      <c r="D239" s="10">
        <v>0</v>
      </c>
      <c r="E239" s="10">
        <v>0</v>
      </c>
      <c r="F239" s="10">
        <v>0</v>
      </c>
      <c r="G239" s="10">
        <v>0.9</v>
      </c>
      <c r="H239" s="10">
        <v>0.09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0.06</v>
      </c>
      <c r="O239" s="10">
        <v>0</v>
      </c>
      <c r="P239" s="10">
        <v>0</v>
      </c>
      <c r="Q239" s="10">
        <v>0</v>
      </c>
      <c r="R239" s="10">
        <v>0</v>
      </c>
      <c r="S239" s="10">
        <v>0.83</v>
      </c>
      <c r="T239" s="10">
        <v>0.02</v>
      </c>
      <c r="U239" s="10">
        <v>0</v>
      </c>
    </row>
    <row r="240" spans="1:21">
      <c r="A240" s="72" t="s">
        <v>307</v>
      </c>
      <c r="B240" s="10" t="s">
        <v>150</v>
      </c>
      <c r="C240" s="10">
        <v>2025</v>
      </c>
      <c r="D240" s="10">
        <v>0</v>
      </c>
      <c r="E240" s="10">
        <v>0</v>
      </c>
      <c r="F240" s="10">
        <v>0</v>
      </c>
      <c r="G240" s="10">
        <v>0.87</v>
      </c>
      <c r="H240" s="10">
        <v>0.09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0.06</v>
      </c>
      <c r="O240" s="10">
        <v>0</v>
      </c>
      <c r="P240" s="10">
        <v>0</v>
      </c>
      <c r="Q240" s="10">
        <v>0</v>
      </c>
      <c r="R240" s="10">
        <v>0</v>
      </c>
      <c r="S240" s="10">
        <v>0.65</v>
      </c>
      <c r="T240" s="10">
        <v>0</v>
      </c>
      <c r="U240" s="10">
        <v>0</v>
      </c>
    </row>
    <row r="241" spans="1:21">
      <c r="A241" s="72" t="s">
        <v>307</v>
      </c>
      <c r="B241" s="10" t="s">
        <v>150</v>
      </c>
      <c r="C241" s="10">
        <v>2030</v>
      </c>
      <c r="D241" s="10">
        <v>0</v>
      </c>
      <c r="E241" s="10">
        <v>0</v>
      </c>
      <c r="F241" s="10">
        <v>0</v>
      </c>
      <c r="G241" s="10">
        <v>0.84</v>
      </c>
      <c r="H241" s="10">
        <v>0.08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0.06</v>
      </c>
      <c r="O241" s="10">
        <v>0</v>
      </c>
      <c r="P241" s="10">
        <v>0</v>
      </c>
      <c r="Q241" s="10">
        <v>0</v>
      </c>
      <c r="R241" s="10">
        <v>0</v>
      </c>
      <c r="S241" s="10">
        <v>0.42</v>
      </c>
      <c r="T241" s="10">
        <v>0</v>
      </c>
      <c r="U241" s="10">
        <v>0</v>
      </c>
    </row>
    <row r="242" spans="1:21">
      <c r="A242" s="72" t="s">
        <v>307</v>
      </c>
      <c r="B242" s="10" t="s">
        <v>150</v>
      </c>
      <c r="C242" s="10">
        <v>2035</v>
      </c>
      <c r="D242" s="10">
        <v>0</v>
      </c>
      <c r="E242" s="10">
        <v>0</v>
      </c>
      <c r="F242" s="10">
        <v>0</v>
      </c>
      <c r="G242" s="10">
        <v>0.81</v>
      </c>
      <c r="H242" s="10">
        <v>0.08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0.05</v>
      </c>
      <c r="O242" s="10">
        <v>0</v>
      </c>
      <c r="P242" s="10">
        <v>0</v>
      </c>
      <c r="Q242" s="10">
        <v>0</v>
      </c>
      <c r="R242" s="10">
        <v>0</v>
      </c>
      <c r="S242" s="10">
        <v>0.04</v>
      </c>
      <c r="T242" s="10">
        <v>0</v>
      </c>
      <c r="U242" s="10">
        <v>0</v>
      </c>
    </row>
    <row r="243" spans="1:21">
      <c r="A243" s="72" t="s">
        <v>307</v>
      </c>
      <c r="B243" s="10" t="s">
        <v>150</v>
      </c>
      <c r="C243" s="10">
        <v>2040</v>
      </c>
      <c r="D243" s="10">
        <v>0</v>
      </c>
      <c r="E243" s="10">
        <v>0</v>
      </c>
      <c r="F243" s="10">
        <v>0</v>
      </c>
      <c r="G243" s="10">
        <v>0.78</v>
      </c>
      <c r="H243" s="10">
        <v>0.08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0.05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</row>
    <row r="244" spans="1:21">
      <c r="A244" s="72" t="s">
        <v>307</v>
      </c>
      <c r="B244" s="10" t="s">
        <v>150</v>
      </c>
      <c r="C244" s="10">
        <v>2045</v>
      </c>
      <c r="D244" s="10">
        <v>0</v>
      </c>
      <c r="E244" s="10">
        <v>0</v>
      </c>
      <c r="F244" s="10">
        <v>0</v>
      </c>
      <c r="G244" s="10">
        <v>0.76</v>
      </c>
      <c r="H244" s="10">
        <v>7.0000000000000007E-2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0.05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</row>
    <row r="245" spans="1:21">
      <c r="A245" s="72" t="s">
        <v>307</v>
      </c>
      <c r="B245" s="10" t="s">
        <v>150</v>
      </c>
      <c r="C245" s="10">
        <v>2050</v>
      </c>
      <c r="D245" s="10">
        <v>0</v>
      </c>
      <c r="E245" s="10">
        <v>0</v>
      </c>
      <c r="F245" s="10">
        <v>0</v>
      </c>
      <c r="G245" s="10">
        <v>0.72</v>
      </c>
      <c r="H245" s="10">
        <v>7.0000000000000007E-2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0.05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</row>
    <row r="246" spans="1:21">
      <c r="A246" s="72" t="s">
        <v>278</v>
      </c>
      <c r="B246" s="10" t="s">
        <v>151</v>
      </c>
      <c r="C246" s="10">
        <v>2018</v>
      </c>
      <c r="D246" s="10">
        <v>0.71</v>
      </c>
      <c r="E246" s="10">
        <v>0.18</v>
      </c>
      <c r="F246" s="10">
        <v>0.09</v>
      </c>
      <c r="G246" s="10">
        <v>0</v>
      </c>
      <c r="H246" s="10">
        <v>0</v>
      </c>
      <c r="I246" s="10">
        <v>0</v>
      </c>
      <c r="J246" s="10">
        <v>0</v>
      </c>
      <c r="K246" s="10">
        <v>0.13</v>
      </c>
      <c r="L246" s="10">
        <v>0</v>
      </c>
      <c r="M246" s="10">
        <v>0</v>
      </c>
      <c r="N246" s="10">
        <v>0</v>
      </c>
      <c r="O246" s="10">
        <v>0</v>
      </c>
      <c r="P246" s="10">
        <f>D246-J246</f>
        <v>0.71</v>
      </c>
      <c r="Q246" s="10">
        <v>0.05</v>
      </c>
      <c r="R246" s="10">
        <v>0.09</v>
      </c>
      <c r="S246" s="10">
        <v>0</v>
      </c>
      <c r="T246" s="10">
        <v>0</v>
      </c>
      <c r="U246" s="10">
        <v>0</v>
      </c>
    </row>
    <row r="247" spans="1:21">
      <c r="A247" s="72" t="s">
        <v>278</v>
      </c>
      <c r="B247" s="10" t="s">
        <v>151</v>
      </c>
      <c r="C247" s="10">
        <v>2020</v>
      </c>
      <c r="D247" s="10">
        <v>0.71</v>
      </c>
      <c r="E247" s="10">
        <v>0.18</v>
      </c>
      <c r="F247" s="10">
        <v>0.09</v>
      </c>
      <c r="G247" s="10">
        <v>0</v>
      </c>
      <c r="H247" s="10">
        <v>0</v>
      </c>
      <c r="I247" s="10">
        <v>0</v>
      </c>
      <c r="J247" s="10">
        <v>0</v>
      </c>
      <c r="K247" s="10">
        <v>0.13</v>
      </c>
      <c r="L247" s="10">
        <v>0</v>
      </c>
      <c r="M247" s="10">
        <v>0</v>
      </c>
      <c r="N247" s="10">
        <v>0</v>
      </c>
      <c r="O247" s="10">
        <v>0</v>
      </c>
      <c r="P247" s="10">
        <v>0.66</v>
      </c>
      <c r="Q247" s="10">
        <v>0.04</v>
      </c>
      <c r="R247" s="10">
        <v>0.09</v>
      </c>
      <c r="S247" s="10">
        <v>0</v>
      </c>
      <c r="T247" s="10">
        <v>0</v>
      </c>
      <c r="U247" s="10">
        <v>0</v>
      </c>
    </row>
    <row r="248" spans="1:21">
      <c r="A248" s="72" t="s">
        <v>278</v>
      </c>
      <c r="B248" s="10" t="s">
        <v>151</v>
      </c>
      <c r="C248" s="10">
        <v>2025</v>
      </c>
      <c r="D248" s="10">
        <v>0.69</v>
      </c>
      <c r="E248" s="10">
        <v>0.18</v>
      </c>
      <c r="F248" s="10">
        <v>0.09</v>
      </c>
      <c r="G248" s="10">
        <v>0</v>
      </c>
      <c r="H248" s="10">
        <v>0</v>
      </c>
      <c r="I248" s="10">
        <v>0</v>
      </c>
      <c r="J248" s="10">
        <v>0</v>
      </c>
      <c r="K248" s="10">
        <v>0.12</v>
      </c>
      <c r="L248" s="10">
        <v>0</v>
      </c>
      <c r="M248" s="10">
        <v>0</v>
      </c>
      <c r="N248" s="10">
        <v>0</v>
      </c>
      <c r="O248" s="10">
        <v>0</v>
      </c>
      <c r="P248" s="10">
        <v>0.5</v>
      </c>
      <c r="Q248" s="10">
        <v>0</v>
      </c>
      <c r="R248" s="10">
        <v>7.0000000000000007E-2</v>
      </c>
      <c r="S248" s="10">
        <v>0</v>
      </c>
      <c r="T248" s="10">
        <v>0</v>
      </c>
      <c r="U248" s="10">
        <v>0</v>
      </c>
    </row>
    <row r="249" spans="1:21">
      <c r="A249" s="72" t="s">
        <v>278</v>
      </c>
      <c r="B249" s="10" t="s">
        <v>151</v>
      </c>
      <c r="C249" s="10">
        <v>2030</v>
      </c>
      <c r="D249" s="10">
        <v>0.66</v>
      </c>
      <c r="E249" s="10">
        <v>0.17</v>
      </c>
      <c r="F249" s="10">
        <v>0.08</v>
      </c>
      <c r="G249" s="10">
        <v>0</v>
      </c>
      <c r="H249" s="10">
        <v>0</v>
      </c>
      <c r="I249" s="10">
        <v>0</v>
      </c>
      <c r="J249" s="10">
        <v>0</v>
      </c>
      <c r="K249" s="10">
        <v>0.12</v>
      </c>
      <c r="L249" s="10">
        <v>0</v>
      </c>
      <c r="M249" s="10">
        <v>0</v>
      </c>
      <c r="N249" s="10">
        <v>0</v>
      </c>
      <c r="O249" s="10">
        <v>0</v>
      </c>
      <c r="P249" s="10">
        <v>0.33</v>
      </c>
      <c r="Q249" s="10">
        <v>0</v>
      </c>
      <c r="R249" s="10">
        <v>0.03</v>
      </c>
      <c r="S249" s="10">
        <v>0</v>
      </c>
      <c r="T249" s="10">
        <v>0</v>
      </c>
      <c r="U249" s="10">
        <v>0</v>
      </c>
    </row>
    <row r="250" spans="1:21">
      <c r="A250" s="72" t="s">
        <v>278</v>
      </c>
      <c r="B250" s="10" t="s">
        <v>151</v>
      </c>
      <c r="C250" s="10">
        <v>2035</v>
      </c>
      <c r="D250" s="10">
        <v>0.64</v>
      </c>
      <c r="E250" s="10">
        <v>0.16</v>
      </c>
      <c r="F250" s="10">
        <v>0.08</v>
      </c>
      <c r="G250" s="10">
        <v>0</v>
      </c>
      <c r="H250" s="10">
        <v>0</v>
      </c>
      <c r="I250" s="10">
        <v>0</v>
      </c>
      <c r="J250" s="10">
        <v>0</v>
      </c>
      <c r="K250" s="10">
        <v>0.11</v>
      </c>
      <c r="L250" s="10">
        <v>0</v>
      </c>
      <c r="M250" s="10">
        <v>0</v>
      </c>
      <c r="N250" s="10">
        <v>0</v>
      </c>
      <c r="O250" s="10">
        <v>0</v>
      </c>
      <c r="P250" s="10">
        <v>0.03</v>
      </c>
      <c r="Q250" s="10">
        <v>0</v>
      </c>
      <c r="R250" s="10">
        <v>0.01</v>
      </c>
      <c r="S250" s="10">
        <v>0</v>
      </c>
      <c r="T250" s="10">
        <v>0</v>
      </c>
      <c r="U250" s="10">
        <v>0</v>
      </c>
    </row>
    <row r="251" spans="1:21">
      <c r="A251" s="72" t="s">
        <v>278</v>
      </c>
      <c r="B251" s="10" t="s">
        <v>151</v>
      </c>
      <c r="C251" s="10">
        <v>2040</v>
      </c>
      <c r="D251" s="10">
        <v>0.62</v>
      </c>
      <c r="E251" s="10">
        <v>0.16</v>
      </c>
      <c r="F251" s="10">
        <v>0.08</v>
      </c>
      <c r="G251" s="10">
        <v>0</v>
      </c>
      <c r="H251" s="10">
        <v>0</v>
      </c>
      <c r="I251" s="10">
        <v>0</v>
      </c>
      <c r="J251" s="10">
        <v>0</v>
      </c>
      <c r="K251" s="10">
        <v>0.11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</row>
    <row r="252" spans="1:21">
      <c r="A252" s="72" t="s">
        <v>278</v>
      </c>
      <c r="B252" s="10" t="s">
        <v>151</v>
      </c>
      <c r="C252" s="10">
        <v>2045</v>
      </c>
      <c r="D252" s="10">
        <v>0.6</v>
      </c>
      <c r="E252" s="10">
        <v>0.15</v>
      </c>
      <c r="F252" s="10">
        <v>0.08</v>
      </c>
      <c r="G252" s="10">
        <v>0</v>
      </c>
      <c r="H252" s="10">
        <v>0</v>
      </c>
      <c r="I252" s="10">
        <v>0</v>
      </c>
      <c r="J252" s="10">
        <v>0</v>
      </c>
      <c r="K252" s="10">
        <v>0.1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</row>
    <row r="253" spans="1:21">
      <c r="A253" s="72" t="s">
        <v>278</v>
      </c>
      <c r="B253" s="10" t="s">
        <v>151</v>
      </c>
      <c r="C253" s="10">
        <v>2050</v>
      </c>
      <c r="D253" s="10">
        <v>0.56999999999999995</v>
      </c>
      <c r="E253" s="10">
        <v>0.14000000000000001</v>
      </c>
      <c r="F253" s="10">
        <v>7.0000000000000007E-2</v>
      </c>
      <c r="G253" s="10">
        <v>0</v>
      </c>
      <c r="H253" s="10">
        <v>0</v>
      </c>
      <c r="I253" s="10">
        <v>0</v>
      </c>
      <c r="J253" s="10">
        <v>0</v>
      </c>
      <c r="K253" s="10">
        <v>0.1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</row>
    <row r="254" spans="1:21">
      <c r="A254" s="72" t="s">
        <v>280</v>
      </c>
      <c r="B254" s="10" t="s">
        <v>151</v>
      </c>
      <c r="C254" s="10">
        <v>2018</v>
      </c>
      <c r="D254" s="10">
        <v>0.81</v>
      </c>
      <c r="E254" s="10">
        <v>0.09</v>
      </c>
      <c r="F254" s="10">
        <v>0.09</v>
      </c>
      <c r="G254" s="10">
        <v>0</v>
      </c>
      <c r="H254" s="10">
        <v>0</v>
      </c>
      <c r="I254" s="10">
        <v>0</v>
      </c>
      <c r="J254" s="10">
        <v>0</v>
      </c>
      <c r="K254" s="10">
        <v>0.06</v>
      </c>
      <c r="L254" s="10">
        <v>0</v>
      </c>
      <c r="M254" s="10">
        <v>0</v>
      </c>
      <c r="N254" s="10">
        <v>0</v>
      </c>
      <c r="O254" s="10">
        <v>0</v>
      </c>
      <c r="P254" s="10">
        <f>D254-J254</f>
        <v>0.81</v>
      </c>
      <c r="Q254" s="10">
        <v>0.02</v>
      </c>
      <c r="R254" s="10">
        <v>0.09</v>
      </c>
      <c r="S254" s="10">
        <v>0</v>
      </c>
      <c r="T254" s="10">
        <v>0</v>
      </c>
      <c r="U254" s="10">
        <v>0</v>
      </c>
    </row>
    <row r="255" spans="1:21">
      <c r="A255" s="72" t="s">
        <v>280</v>
      </c>
      <c r="B255" s="10" t="s">
        <v>151</v>
      </c>
      <c r="C255" s="10">
        <v>2020</v>
      </c>
      <c r="D255" s="10">
        <v>0.8</v>
      </c>
      <c r="E255" s="10">
        <v>0.09</v>
      </c>
      <c r="F255" s="10">
        <v>0.09</v>
      </c>
      <c r="G255" s="10">
        <v>0</v>
      </c>
      <c r="H255" s="10">
        <v>0</v>
      </c>
      <c r="I255" s="10">
        <v>0</v>
      </c>
      <c r="J255" s="10">
        <v>0</v>
      </c>
      <c r="K255" s="10">
        <v>0.06</v>
      </c>
      <c r="L255" s="10">
        <v>0</v>
      </c>
      <c r="M255" s="10">
        <v>0</v>
      </c>
      <c r="N255" s="10">
        <v>0</v>
      </c>
      <c r="O255" s="10">
        <v>0</v>
      </c>
      <c r="P255" s="10">
        <v>0.75</v>
      </c>
      <c r="Q255" s="10">
        <v>0.02</v>
      </c>
      <c r="R255" s="10">
        <v>0.09</v>
      </c>
      <c r="S255" s="10">
        <v>0</v>
      </c>
      <c r="T255" s="10">
        <v>0</v>
      </c>
      <c r="U255" s="10">
        <v>0</v>
      </c>
    </row>
    <row r="256" spans="1:21">
      <c r="A256" s="72" t="s">
        <v>280</v>
      </c>
      <c r="B256" s="10" t="s">
        <v>151</v>
      </c>
      <c r="C256" s="10">
        <v>2025</v>
      </c>
      <c r="D256" s="10">
        <v>0.78</v>
      </c>
      <c r="E256" s="10">
        <v>0.08</v>
      </c>
      <c r="F256" s="10">
        <v>0.09</v>
      </c>
      <c r="G256" s="10">
        <v>0</v>
      </c>
      <c r="H256" s="10">
        <v>0</v>
      </c>
      <c r="I256" s="10">
        <v>0</v>
      </c>
      <c r="J256" s="10">
        <v>0</v>
      </c>
      <c r="K256" s="10">
        <v>0.06</v>
      </c>
      <c r="L256" s="10">
        <v>0</v>
      </c>
      <c r="M256" s="10">
        <v>0</v>
      </c>
      <c r="N256" s="10">
        <v>0</v>
      </c>
      <c r="O256" s="10">
        <v>0</v>
      </c>
      <c r="P256" s="10">
        <v>0.56999999999999995</v>
      </c>
      <c r="Q256" s="10">
        <v>0</v>
      </c>
      <c r="R256" s="10">
        <v>7.0000000000000007E-2</v>
      </c>
      <c r="S256" s="10">
        <v>0</v>
      </c>
      <c r="T256" s="10">
        <v>0</v>
      </c>
      <c r="U256" s="10">
        <v>0</v>
      </c>
    </row>
    <row r="257" spans="1:21">
      <c r="A257" s="72" t="s">
        <v>280</v>
      </c>
      <c r="B257" s="10" t="s">
        <v>151</v>
      </c>
      <c r="C257" s="10">
        <v>2030</v>
      </c>
      <c r="D257" s="10">
        <v>0.75</v>
      </c>
      <c r="E257" s="10">
        <v>0.08</v>
      </c>
      <c r="F257" s="10">
        <v>0.08</v>
      </c>
      <c r="G257" s="10">
        <v>0</v>
      </c>
      <c r="H257" s="10">
        <v>0</v>
      </c>
      <c r="I257" s="10">
        <v>0</v>
      </c>
      <c r="J257" s="10">
        <v>0</v>
      </c>
      <c r="K257" s="10">
        <v>0.05</v>
      </c>
      <c r="L257" s="10">
        <v>0</v>
      </c>
      <c r="M257" s="10">
        <v>0</v>
      </c>
      <c r="N257" s="10">
        <v>0</v>
      </c>
      <c r="O257" s="10">
        <v>0</v>
      </c>
      <c r="P257" s="10">
        <v>0.37</v>
      </c>
      <c r="Q257" s="10">
        <v>0</v>
      </c>
      <c r="R257" s="10">
        <v>0.03</v>
      </c>
      <c r="S257" s="10">
        <v>0</v>
      </c>
      <c r="T257" s="10">
        <v>0</v>
      </c>
      <c r="U257" s="10">
        <v>0</v>
      </c>
    </row>
    <row r="258" spans="1:21">
      <c r="A258" s="72" t="s">
        <v>280</v>
      </c>
      <c r="B258" s="10" t="s">
        <v>151</v>
      </c>
      <c r="C258" s="10">
        <v>2035</v>
      </c>
      <c r="D258" s="10">
        <v>0.73</v>
      </c>
      <c r="E258" s="10">
        <v>0.08</v>
      </c>
      <c r="F258" s="10">
        <v>0.08</v>
      </c>
      <c r="G258" s="10">
        <v>0</v>
      </c>
      <c r="H258" s="10">
        <v>0</v>
      </c>
      <c r="I258" s="10">
        <v>0</v>
      </c>
      <c r="J258" s="10">
        <v>0</v>
      </c>
      <c r="K258" s="10">
        <v>0.05</v>
      </c>
      <c r="L258" s="10">
        <v>0</v>
      </c>
      <c r="M258" s="10">
        <v>0</v>
      </c>
      <c r="N258" s="10">
        <v>0</v>
      </c>
      <c r="O258" s="10">
        <v>0</v>
      </c>
      <c r="P258" s="10">
        <v>0.03</v>
      </c>
      <c r="Q258" s="10">
        <v>0</v>
      </c>
      <c r="R258" s="10">
        <v>0.01</v>
      </c>
      <c r="S258" s="10">
        <v>0</v>
      </c>
      <c r="T258" s="10">
        <v>0</v>
      </c>
      <c r="U258" s="10">
        <v>0</v>
      </c>
    </row>
    <row r="259" spans="1:21">
      <c r="A259" s="72" t="s">
        <v>280</v>
      </c>
      <c r="B259" s="10" t="s">
        <v>151</v>
      </c>
      <c r="C259" s="10">
        <v>2040</v>
      </c>
      <c r="D259" s="10">
        <v>0.7</v>
      </c>
      <c r="E259" s="10">
        <v>0.08</v>
      </c>
      <c r="F259" s="10">
        <v>0.08</v>
      </c>
      <c r="G259" s="10">
        <v>0</v>
      </c>
      <c r="H259" s="10">
        <v>0</v>
      </c>
      <c r="I259" s="10">
        <v>0</v>
      </c>
      <c r="J259" s="10">
        <v>0</v>
      </c>
      <c r="K259" s="10">
        <v>0.05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</row>
    <row r="260" spans="1:21">
      <c r="A260" s="72" t="s">
        <v>280</v>
      </c>
      <c r="B260" s="10" t="s">
        <v>151</v>
      </c>
      <c r="C260" s="10">
        <v>2045</v>
      </c>
      <c r="D260" s="10">
        <v>0.68</v>
      </c>
      <c r="E260" s="10">
        <v>7.0000000000000007E-2</v>
      </c>
      <c r="F260" s="10">
        <v>0.08</v>
      </c>
      <c r="G260" s="10">
        <v>0</v>
      </c>
      <c r="H260" s="10">
        <v>0</v>
      </c>
      <c r="I260" s="10">
        <v>0</v>
      </c>
      <c r="J260" s="10">
        <v>0</v>
      </c>
      <c r="K260" s="10">
        <v>0.05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</row>
    <row r="261" spans="1:21">
      <c r="A261" s="72" t="s">
        <v>280</v>
      </c>
      <c r="B261" s="10" t="s">
        <v>151</v>
      </c>
      <c r="C261" s="10">
        <v>2050</v>
      </c>
      <c r="D261" s="10">
        <v>0.64</v>
      </c>
      <c r="E261" s="10">
        <v>7.0000000000000007E-2</v>
      </c>
      <c r="F261" s="10">
        <v>7.0000000000000007E-2</v>
      </c>
      <c r="G261" s="10">
        <v>0</v>
      </c>
      <c r="H261" s="10">
        <v>0</v>
      </c>
      <c r="I261" s="10">
        <v>0</v>
      </c>
      <c r="J261" s="10">
        <v>0</v>
      </c>
      <c r="K261" s="10">
        <v>0.05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</row>
    <row r="262" spans="1:21">
      <c r="A262" s="72" t="s">
        <v>281</v>
      </c>
      <c r="B262" s="10" t="s">
        <v>151</v>
      </c>
      <c r="C262" s="10">
        <v>2018</v>
      </c>
      <c r="D262" s="10">
        <v>0.86</v>
      </c>
      <c r="E262" s="10">
        <v>0.03</v>
      </c>
      <c r="F262" s="10">
        <v>0.09</v>
      </c>
      <c r="G262" s="10">
        <v>0</v>
      </c>
      <c r="H262" s="10">
        <v>0</v>
      </c>
      <c r="I262" s="10">
        <v>0</v>
      </c>
      <c r="J262" s="10">
        <v>0</v>
      </c>
      <c r="K262" s="10">
        <v>0.02</v>
      </c>
      <c r="L262" s="10">
        <v>0</v>
      </c>
      <c r="M262" s="10">
        <v>0</v>
      </c>
      <c r="N262" s="10">
        <v>0</v>
      </c>
      <c r="O262" s="10">
        <v>0</v>
      </c>
      <c r="P262" s="10">
        <f>D262-J262</f>
        <v>0.86</v>
      </c>
      <c r="Q262" s="10">
        <v>0.01</v>
      </c>
      <c r="R262" s="10">
        <v>0.09</v>
      </c>
      <c r="S262" s="10">
        <v>0</v>
      </c>
      <c r="T262" s="10">
        <v>0</v>
      </c>
      <c r="U262" s="10">
        <v>0</v>
      </c>
    </row>
    <row r="263" spans="1:21">
      <c r="A263" s="72" t="s">
        <v>281</v>
      </c>
      <c r="B263" s="10" t="s">
        <v>151</v>
      </c>
      <c r="C263" s="10">
        <v>2020</v>
      </c>
      <c r="D263" s="10">
        <v>0.86</v>
      </c>
      <c r="E263" s="10">
        <v>0.03</v>
      </c>
      <c r="F263" s="10">
        <v>0.09</v>
      </c>
      <c r="G263" s="10">
        <v>0</v>
      </c>
      <c r="H263" s="10">
        <v>0</v>
      </c>
      <c r="I263" s="10">
        <v>0</v>
      </c>
      <c r="J263" s="10">
        <v>0</v>
      </c>
      <c r="K263" s="10">
        <v>0.02</v>
      </c>
      <c r="L263" s="10">
        <v>0</v>
      </c>
      <c r="M263" s="10">
        <v>0</v>
      </c>
      <c r="N263" s="10">
        <v>0</v>
      </c>
      <c r="O263" s="10">
        <v>0</v>
      </c>
      <c r="P263" s="10">
        <v>0.8</v>
      </c>
      <c r="Q263" s="10">
        <v>0</v>
      </c>
      <c r="R263" s="10">
        <v>0.09</v>
      </c>
      <c r="S263" s="10">
        <v>0</v>
      </c>
      <c r="T263" s="10">
        <v>0</v>
      </c>
      <c r="U263" s="10">
        <v>0</v>
      </c>
    </row>
    <row r="264" spans="1:21">
      <c r="A264" s="72" t="s">
        <v>281</v>
      </c>
      <c r="B264" s="10" t="s">
        <v>151</v>
      </c>
      <c r="C264" s="10">
        <v>2025</v>
      </c>
      <c r="D264" s="10">
        <v>0.83</v>
      </c>
      <c r="E264" s="10">
        <v>0.03</v>
      </c>
      <c r="F264" s="10">
        <v>0.09</v>
      </c>
      <c r="G264" s="10">
        <v>0</v>
      </c>
      <c r="H264" s="10">
        <v>0</v>
      </c>
      <c r="I264" s="10">
        <v>0</v>
      </c>
      <c r="J264" s="10">
        <v>0</v>
      </c>
      <c r="K264" s="10">
        <v>0.02</v>
      </c>
      <c r="L264" s="10">
        <v>0</v>
      </c>
      <c r="M264" s="10">
        <v>0</v>
      </c>
      <c r="N264" s="10">
        <v>0</v>
      </c>
      <c r="O264" s="10">
        <v>0</v>
      </c>
      <c r="P264" s="10">
        <v>0.61</v>
      </c>
      <c r="Q264" s="10">
        <v>0</v>
      </c>
      <c r="R264" s="10">
        <v>7.0000000000000007E-2</v>
      </c>
      <c r="S264" s="10">
        <v>0</v>
      </c>
      <c r="T264" s="10">
        <v>0</v>
      </c>
      <c r="U264" s="10">
        <v>0</v>
      </c>
    </row>
    <row r="265" spans="1:21">
      <c r="A265" s="72" t="s">
        <v>281</v>
      </c>
      <c r="B265" s="10" t="s">
        <v>151</v>
      </c>
      <c r="C265" s="10">
        <v>2030</v>
      </c>
      <c r="D265" s="10">
        <v>0.8</v>
      </c>
      <c r="E265" s="10">
        <v>0.03</v>
      </c>
      <c r="F265" s="10">
        <v>0.08</v>
      </c>
      <c r="G265" s="10">
        <v>0</v>
      </c>
      <c r="H265" s="10">
        <v>0</v>
      </c>
      <c r="I265" s="10">
        <v>0</v>
      </c>
      <c r="J265" s="10">
        <v>0</v>
      </c>
      <c r="K265" s="10">
        <v>0.02</v>
      </c>
      <c r="L265" s="10">
        <v>0</v>
      </c>
      <c r="M265" s="10">
        <v>0</v>
      </c>
      <c r="N265" s="10">
        <v>0</v>
      </c>
      <c r="O265" s="10">
        <v>0</v>
      </c>
      <c r="P265" s="10">
        <v>0.4</v>
      </c>
      <c r="Q265" s="10">
        <v>0</v>
      </c>
      <c r="R265" s="10">
        <v>0.03</v>
      </c>
      <c r="S265" s="10">
        <v>0</v>
      </c>
      <c r="T265" s="10">
        <v>0</v>
      </c>
      <c r="U265" s="10">
        <v>0</v>
      </c>
    </row>
    <row r="266" spans="1:21">
      <c r="A266" s="72" t="s">
        <v>281</v>
      </c>
      <c r="B266" s="10" t="s">
        <v>151</v>
      </c>
      <c r="C266" s="10">
        <v>2035</v>
      </c>
      <c r="D266" s="10">
        <v>0.78</v>
      </c>
      <c r="E266" s="10">
        <v>0.03</v>
      </c>
      <c r="F266" s="10">
        <v>0.08</v>
      </c>
      <c r="G266" s="10">
        <v>0</v>
      </c>
      <c r="H266" s="10">
        <v>0</v>
      </c>
      <c r="I266" s="10">
        <v>0</v>
      </c>
      <c r="J266" s="10">
        <v>0</v>
      </c>
      <c r="K266" s="10">
        <v>0.02</v>
      </c>
      <c r="L266" s="10">
        <v>0</v>
      </c>
      <c r="M266" s="10">
        <v>0</v>
      </c>
      <c r="N266" s="10">
        <v>0</v>
      </c>
      <c r="O266" s="10">
        <v>0</v>
      </c>
      <c r="P266" s="10">
        <v>0.03</v>
      </c>
      <c r="Q266" s="10">
        <v>0</v>
      </c>
      <c r="R266" s="10">
        <v>0.01</v>
      </c>
      <c r="S266" s="10">
        <v>0</v>
      </c>
      <c r="T266" s="10">
        <v>0</v>
      </c>
      <c r="U266" s="10">
        <v>0</v>
      </c>
    </row>
    <row r="267" spans="1:21">
      <c r="A267" s="72" t="s">
        <v>281</v>
      </c>
      <c r="B267" s="10" t="s">
        <v>151</v>
      </c>
      <c r="C267" s="10">
        <v>2040</v>
      </c>
      <c r="D267" s="10">
        <v>0.75</v>
      </c>
      <c r="E267" s="10">
        <v>0.03</v>
      </c>
      <c r="F267" s="10">
        <v>0.08</v>
      </c>
      <c r="G267" s="10">
        <v>0</v>
      </c>
      <c r="H267" s="10">
        <v>0</v>
      </c>
      <c r="I267" s="10">
        <v>0</v>
      </c>
      <c r="J267" s="10">
        <v>0</v>
      </c>
      <c r="K267" s="10">
        <v>0.02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</row>
    <row r="268" spans="1:21">
      <c r="A268" s="72" t="s">
        <v>281</v>
      </c>
      <c r="B268" s="10" t="s">
        <v>151</v>
      </c>
      <c r="C268" s="10">
        <v>2045</v>
      </c>
      <c r="D268" s="10">
        <v>0.72</v>
      </c>
      <c r="E268" s="10">
        <v>0.03</v>
      </c>
      <c r="F268" s="10">
        <v>0.08</v>
      </c>
      <c r="G268" s="10">
        <v>0</v>
      </c>
      <c r="H268" s="10">
        <v>0</v>
      </c>
      <c r="I268" s="10">
        <v>0</v>
      </c>
      <c r="J268" s="10">
        <v>0</v>
      </c>
      <c r="K268" s="10">
        <v>0.02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</row>
    <row r="269" spans="1:21">
      <c r="A269" s="72" t="s">
        <v>281</v>
      </c>
      <c r="B269" s="10" t="s">
        <v>151</v>
      </c>
      <c r="C269" s="10">
        <v>2050</v>
      </c>
      <c r="D269" s="10">
        <v>0.69</v>
      </c>
      <c r="E269" s="10">
        <v>0.02</v>
      </c>
      <c r="F269" s="10">
        <v>7.0000000000000007E-2</v>
      </c>
      <c r="G269" s="10">
        <v>0</v>
      </c>
      <c r="H269" s="10">
        <v>0</v>
      </c>
      <c r="I269" s="10">
        <v>0</v>
      </c>
      <c r="J269" s="10">
        <v>0</v>
      </c>
      <c r="K269" s="10">
        <v>0.02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</row>
    <row r="270" spans="1:21">
      <c r="A270" s="72" t="s">
        <v>282</v>
      </c>
      <c r="B270" s="10" t="s">
        <v>151</v>
      </c>
      <c r="C270" s="10">
        <v>2018</v>
      </c>
      <c r="D270" s="10">
        <v>0.73</v>
      </c>
      <c r="E270" s="10">
        <v>0.17</v>
      </c>
      <c r="F270" s="10">
        <v>0.09</v>
      </c>
      <c r="G270" s="10">
        <v>0</v>
      </c>
      <c r="H270" s="10">
        <v>0</v>
      </c>
      <c r="I270" s="10">
        <v>0</v>
      </c>
      <c r="J270" s="10">
        <v>0</v>
      </c>
      <c r="K270" s="10">
        <v>0.12</v>
      </c>
      <c r="L270" s="10">
        <v>0</v>
      </c>
      <c r="M270" s="10">
        <v>0</v>
      </c>
      <c r="N270" s="10">
        <v>0</v>
      </c>
      <c r="O270" s="10">
        <v>0</v>
      </c>
      <c r="P270" s="10">
        <f>D270-J270</f>
        <v>0.73</v>
      </c>
      <c r="Q270" s="10">
        <v>0.05</v>
      </c>
      <c r="R270" s="10">
        <v>0.09</v>
      </c>
      <c r="S270" s="10">
        <v>0</v>
      </c>
      <c r="T270" s="10">
        <v>0</v>
      </c>
      <c r="U270" s="10">
        <v>0</v>
      </c>
    </row>
    <row r="271" spans="1:21">
      <c r="A271" s="72" t="s">
        <v>282</v>
      </c>
      <c r="B271" s="10" t="s">
        <v>151</v>
      </c>
      <c r="C271" s="10">
        <v>2020</v>
      </c>
      <c r="D271" s="10">
        <v>0.72</v>
      </c>
      <c r="E271" s="10">
        <v>0.17</v>
      </c>
      <c r="F271" s="10">
        <v>0.09</v>
      </c>
      <c r="G271" s="10">
        <v>0</v>
      </c>
      <c r="H271" s="10">
        <v>0</v>
      </c>
      <c r="I271" s="10">
        <v>0</v>
      </c>
      <c r="J271" s="10">
        <v>0</v>
      </c>
      <c r="K271" s="10">
        <v>0.12</v>
      </c>
      <c r="L271" s="10">
        <v>0</v>
      </c>
      <c r="M271" s="10">
        <v>0</v>
      </c>
      <c r="N271" s="10">
        <v>0</v>
      </c>
      <c r="O271" s="10">
        <v>0</v>
      </c>
      <c r="P271" s="10">
        <v>0.67</v>
      </c>
      <c r="Q271" s="10">
        <v>0.04</v>
      </c>
      <c r="R271" s="10">
        <v>0.09</v>
      </c>
      <c r="S271" s="10">
        <v>0</v>
      </c>
      <c r="T271" s="10">
        <v>0</v>
      </c>
      <c r="U271" s="10">
        <v>0</v>
      </c>
    </row>
    <row r="272" spans="1:21">
      <c r="A272" s="72" t="s">
        <v>282</v>
      </c>
      <c r="B272" s="10" t="s">
        <v>151</v>
      </c>
      <c r="C272" s="10">
        <v>2025</v>
      </c>
      <c r="D272" s="10">
        <v>0.7</v>
      </c>
      <c r="E272" s="10">
        <v>0.16</v>
      </c>
      <c r="F272" s="10">
        <v>0.09</v>
      </c>
      <c r="G272" s="10">
        <v>0</v>
      </c>
      <c r="H272" s="10">
        <v>0</v>
      </c>
      <c r="I272" s="10">
        <v>0</v>
      </c>
      <c r="J272" s="10">
        <v>0</v>
      </c>
      <c r="K272" s="10">
        <v>0.11</v>
      </c>
      <c r="L272" s="10">
        <v>0</v>
      </c>
      <c r="M272" s="10">
        <v>0</v>
      </c>
      <c r="N272" s="10">
        <v>0</v>
      </c>
      <c r="O272" s="10">
        <v>0</v>
      </c>
      <c r="P272" s="10">
        <v>0.51</v>
      </c>
      <c r="Q272" s="10">
        <v>0</v>
      </c>
      <c r="R272" s="10">
        <v>7.0000000000000007E-2</v>
      </c>
      <c r="S272" s="10">
        <v>0</v>
      </c>
      <c r="T272" s="10">
        <v>0</v>
      </c>
      <c r="U272" s="10">
        <v>0</v>
      </c>
    </row>
    <row r="273" spans="1:21">
      <c r="A273" s="72" t="s">
        <v>282</v>
      </c>
      <c r="B273" s="10" t="s">
        <v>151</v>
      </c>
      <c r="C273" s="10">
        <v>2030</v>
      </c>
      <c r="D273" s="10">
        <v>0.67</v>
      </c>
      <c r="E273" s="10">
        <v>0.16</v>
      </c>
      <c r="F273" s="10">
        <v>0.08</v>
      </c>
      <c r="G273" s="10">
        <v>0</v>
      </c>
      <c r="H273" s="10">
        <v>0</v>
      </c>
      <c r="I273" s="10">
        <v>0</v>
      </c>
      <c r="J273" s="10">
        <v>0</v>
      </c>
      <c r="K273" s="10">
        <v>0.11</v>
      </c>
      <c r="L273" s="10">
        <v>0</v>
      </c>
      <c r="M273" s="10">
        <v>0</v>
      </c>
      <c r="N273" s="10">
        <v>0</v>
      </c>
      <c r="O273" s="10">
        <v>0</v>
      </c>
      <c r="P273" s="10">
        <v>0.33</v>
      </c>
      <c r="Q273" s="10">
        <v>0</v>
      </c>
      <c r="R273" s="10">
        <v>0.03</v>
      </c>
      <c r="S273" s="10">
        <v>0</v>
      </c>
      <c r="T273" s="10">
        <v>0</v>
      </c>
      <c r="U273" s="10">
        <v>0</v>
      </c>
    </row>
    <row r="274" spans="1:21">
      <c r="A274" s="72" t="s">
        <v>282</v>
      </c>
      <c r="B274" s="10" t="s">
        <v>151</v>
      </c>
      <c r="C274" s="10">
        <v>2035</v>
      </c>
      <c r="D274" s="10">
        <v>0.66</v>
      </c>
      <c r="E274" s="10">
        <v>0.15</v>
      </c>
      <c r="F274" s="10">
        <v>0.08</v>
      </c>
      <c r="G274" s="10">
        <v>0</v>
      </c>
      <c r="H274" s="10">
        <v>0</v>
      </c>
      <c r="I274" s="10">
        <v>0</v>
      </c>
      <c r="J274" s="10">
        <v>0</v>
      </c>
      <c r="K274" s="10">
        <v>0.11</v>
      </c>
      <c r="L274" s="10">
        <v>0</v>
      </c>
      <c r="M274" s="10">
        <v>0</v>
      </c>
      <c r="N274" s="10">
        <v>0</v>
      </c>
      <c r="O274" s="10">
        <v>0</v>
      </c>
      <c r="P274" s="10">
        <v>0.03</v>
      </c>
      <c r="Q274" s="10">
        <v>0</v>
      </c>
      <c r="R274" s="10">
        <v>0.01</v>
      </c>
      <c r="S274" s="10">
        <v>0</v>
      </c>
      <c r="T274" s="10">
        <v>0</v>
      </c>
      <c r="U274" s="10">
        <v>0</v>
      </c>
    </row>
    <row r="275" spans="1:21">
      <c r="A275" s="72" t="s">
        <v>282</v>
      </c>
      <c r="B275" s="10" t="s">
        <v>151</v>
      </c>
      <c r="C275" s="10">
        <v>2040</v>
      </c>
      <c r="D275" s="10">
        <v>0.63</v>
      </c>
      <c r="E275" s="10">
        <v>0.15</v>
      </c>
      <c r="F275" s="10">
        <v>0.08</v>
      </c>
      <c r="G275" s="10">
        <v>0</v>
      </c>
      <c r="H275" s="10">
        <v>0</v>
      </c>
      <c r="I275" s="10">
        <v>0</v>
      </c>
      <c r="J275" s="10">
        <v>0</v>
      </c>
      <c r="K275" s="10">
        <v>0.1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</row>
    <row r="276" spans="1:21">
      <c r="A276" s="72" t="s">
        <v>282</v>
      </c>
      <c r="B276" s="10" t="s">
        <v>151</v>
      </c>
      <c r="C276" s="10">
        <v>2045</v>
      </c>
      <c r="D276" s="10">
        <v>0.61</v>
      </c>
      <c r="E276" s="10">
        <v>0.14000000000000001</v>
      </c>
      <c r="F276" s="10">
        <v>0.08</v>
      </c>
      <c r="G276" s="10">
        <v>0</v>
      </c>
      <c r="H276" s="10">
        <v>0</v>
      </c>
      <c r="I276" s="10">
        <v>0</v>
      </c>
      <c r="J276" s="10">
        <v>0</v>
      </c>
      <c r="K276" s="10">
        <v>0.1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</row>
    <row r="277" spans="1:21">
      <c r="A277" s="72" t="s">
        <v>282</v>
      </c>
      <c r="B277" s="10" t="s">
        <v>151</v>
      </c>
      <c r="C277" s="10">
        <v>2050</v>
      </c>
      <c r="D277" s="10">
        <v>0.57999999999999996</v>
      </c>
      <c r="E277" s="10">
        <v>0.13</v>
      </c>
      <c r="F277" s="10">
        <v>7.0000000000000007E-2</v>
      </c>
      <c r="G277" s="10">
        <v>0</v>
      </c>
      <c r="H277" s="10">
        <v>0</v>
      </c>
      <c r="I277" s="10">
        <v>0</v>
      </c>
      <c r="J277" s="10">
        <v>0</v>
      </c>
      <c r="K277" s="10">
        <v>0.09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</row>
    <row r="278" spans="1:21">
      <c r="A278" s="72" t="s">
        <v>283</v>
      </c>
      <c r="B278" s="10" t="s">
        <v>151</v>
      </c>
      <c r="C278" s="10">
        <v>2018</v>
      </c>
      <c r="D278" s="10">
        <v>0.72</v>
      </c>
      <c r="E278" s="10">
        <v>0.17</v>
      </c>
      <c r="F278" s="10">
        <v>0.09</v>
      </c>
      <c r="G278" s="10">
        <v>0</v>
      </c>
      <c r="H278" s="10">
        <v>0</v>
      </c>
      <c r="I278" s="10">
        <v>0</v>
      </c>
      <c r="J278" s="10">
        <v>0</v>
      </c>
      <c r="K278" s="10">
        <v>0.12</v>
      </c>
      <c r="L278" s="10">
        <v>0</v>
      </c>
      <c r="M278" s="10">
        <v>0</v>
      </c>
      <c r="N278" s="10">
        <v>0</v>
      </c>
      <c r="O278" s="10">
        <v>0</v>
      </c>
      <c r="P278" s="10">
        <f>D278-J278</f>
        <v>0.72</v>
      </c>
      <c r="Q278" s="10">
        <v>0.05</v>
      </c>
      <c r="R278" s="10">
        <v>0.09</v>
      </c>
      <c r="S278" s="10">
        <v>0</v>
      </c>
      <c r="T278" s="10">
        <v>0</v>
      </c>
      <c r="U278" s="10">
        <v>0</v>
      </c>
    </row>
    <row r="279" spans="1:21">
      <c r="A279" s="72" t="s">
        <v>283</v>
      </c>
      <c r="B279" s="10" t="s">
        <v>151</v>
      </c>
      <c r="C279" s="10">
        <v>2020</v>
      </c>
      <c r="D279" s="10">
        <v>0.72</v>
      </c>
      <c r="E279" s="10">
        <v>0.17</v>
      </c>
      <c r="F279" s="10">
        <v>0.09</v>
      </c>
      <c r="G279" s="10">
        <v>0</v>
      </c>
      <c r="H279" s="10">
        <v>0</v>
      </c>
      <c r="I279" s="10">
        <v>0</v>
      </c>
      <c r="J279" s="10">
        <v>0</v>
      </c>
      <c r="K279" s="10">
        <v>0.12</v>
      </c>
      <c r="L279" s="10">
        <v>0</v>
      </c>
      <c r="M279" s="10">
        <v>0</v>
      </c>
      <c r="N279" s="10">
        <v>0</v>
      </c>
      <c r="O279" s="10">
        <v>0</v>
      </c>
      <c r="P279" s="10">
        <v>0.67</v>
      </c>
      <c r="Q279" s="10">
        <v>0.04</v>
      </c>
      <c r="R279" s="10">
        <v>0.09</v>
      </c>
      <c r="S279" s="10">
        <v>0</v>
      </c>
      <c r="T279" s="10">
        <v>0</v>
      </c>
      <c r="U279" s="10">
        <v>0</v>
      </c>
    </row>
    <row r="280" spans="1:21">
      <c r="A280" s="72" t="s">
        <v>283</v>
      </c>
      <c r="B280" s="10" t="s">
        <v>151</v>
      </c>
      <c r="C280" s="10">
        <v>2025</v>
      </c>
      <c r="D280" s="10">
        <v>0.69</v>
      </c>
      <c r="E280" s="10">
        <v>0.17</v>
      </c>
      <c r="F280" s="10">
        <v>0.09</v>
      </c>
      <c r="G280" s="10">
        <v>0</v>
      </c>
      <c r="H280" s="10">
        <v>0</v>
      </c>
      <c r="I280" s="10">
        <v>0</v>
      </c>
      <c r="J280" s="10">
        <v>0</v>
      </c>
      <c r="K280" s="10">
        <v>0.12</v>
      </c>
      <c r="L280" s="10">
        <v>0</v>
      </c>
      <c r="M280" s="10">
        <v>0</v>
      </c>
      <c r="N280" s="10">
        <v>0</v>
      </c>
      <c r="O280" s="10">
        <v>0</v>
      </c>
      <c r="P280" s="10">
        <v>0.51</v>
      </c>
      <c r="Q280" s="10">
        <v>0</v>
      </c>
      <c r="R280" s="10">
        <v>7.0000000000000007E-2</v>
      </c>
      <c r="S280" s="10">
        <v>0</v>
      </c>
      <c r="T280" s="10">
        <v>0</v>
      </c>
      <c r="U280" s="10">
        <v>0</v>
      </c>
    </row>
    <row r="281" spans="1:21">
      <c r="A281" s="72" t="s">
        <v>283</v>
      </c>
      <c r="B281" s="10" t="s">
        <v>151</v>
      </c>
      <c r="C281" s="10">
        <v>2030</v>
      </c>
      <c r="D281" s="10">
        <v>0.67</v>
      </c>
      <c r="E281" s="10">
        <v>0.16</v>
      </c>
      <c r="F281" s="10">
        <v>0.08</v>
      </c>
      <c r="G281" s="10">
        <v>0</v>
      </c>
      <c r="H281" s="10">
        <v>0</v>
      </c>
      <c r="I281" s="10">
        <v>0</v>
      </c>
      <c r="J281" s="10">
        <v>0</v>
      </c>
      <c r="K281" s="10">
        <v>0.11</v>
      </c>
      <c r="L281" s="10">
        <v>0</v>
      </c>
      <c r="M281" s="10">
        <v>0</v>
      </c>
      <c r="N281" s="10">
        <v>0</v>
      </c>
      <c r="O281" s="10">
        <v>0</v>
      </c>
      <c r="P281" s="10">
        <v>0.33</v>
      </c>
      <c r="Q281" s="10">
        <v>0</v>
      </c>
      <c r="R281" s="10">
        <v>0.03</v>
      </c>
      <c r="S281" s="10">
        <v>0</v>
      </c>
      <c r="T281" s="10">
        <v>0</v>
      </c>
      <c r="U281" s="10">
        <v>0</v>
      </c>
    </row>
    <row r="282" spans="1:21">
      <c r="A282" s="72" t="s">
        <v>283</v>
      </c>
      <c r="B282" s="10" t="s">
        <v>151</v>
      </c>
      <c r="C282" s="10">
        <v>2035</v>
      </c>
      <c r="D282" s="10">
        <v>0.65</v>
      </c>
      <c r="E282" s="10">
        <v>0.16</v>
      </c>
      <c r="F282" s="10">
        <v>0.08</v>
      </c>
      <c r="G282" s="10">
        <v>0</v>
      </c>
      <c r="H282" s="10">
        <v>0</v>
      </c>
      <c r="I282" s="10">
        <v>0</v>
      </c>
      <c r="J282" s="10">
        <v>0</v>
      </c>
      <c r="K282" s="10">
        <v>0.11</v>
      </c>
      <c r="L282" s="10">
        <v>0</v>
      </c>
      <c r="M282" s="10">
        <v>0</v>
      </c>
      <c r="N282" s="10">
        <v>0</v>
      </c>
      <c r="O282" s="10">
        <v>0</v>
      </c>
      <c r="P282" s="10">
        <v>0.03</v>
      </c>
      <c r="Q282" s="10">
        <v>0</v>
      </c>
      <c r="R282" s="10">
        <v>0.01</v>
      </c>
      <c r="S282" s="10">
        <v>0</v>
      </c>
      <c r="T282" s="10">
        <v>0</v>
      </c>
      <c r="U282" s="10">
        <v>0</v>
      </c>
    </row>
    <row r="283" spans="1:21">
      <c r="A283" s="72" t="s">
        <v>283</v>
      </c>
      <c r="B283" s="10" t="s">
        <v>151</v>
      </c>
      <c r="C283" s="10">
        <v>2040</v>
      </c>
      <c r="D283" s="10">
        <v>0.63</v>
      </c>
      <c r="E283" s="10">
        <v>0.15</v>
      </c>
      <c r="F283" s="10">
        <v>0.08</v>
      </c>
      <c r="G283" s="10">
        <v>0</v>
      </c>
      <c r="H283" s="10">
        <v>0</v>
      </c>
      <c r="I283" s="10">
        <v>0</v>
      </c>
      <c r="J283" s="10">
        <v>0</v>
      </c>
      <c r="K283" s="10">
        <v>0.1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</row>
    <row r="284" spans="1:21">
      <c r="A284" s="72" t="s">
        <v>283</v>
      </c>
      <c r="B284" s="10" t="s">
        <v>151</v>
      </c>
      <c r="C284" s="10">
        <v>2045</v>
      </c>
      <c r="D284" s="10">
        <v>0.6</v>
      </c>
      <c r="E284" s="10">
        <v>0.15</v>
      </c>
      <c r="F284" s="10">
        <v>0.08</v>
      </c>
      <c r="G284" s="10">
        <v>0</v>
      </c>
      <c r="H284" s="10">
        <v>0</v>
      </c>
      <c r="I284" s="10">
        <v>0</v>
      </c>
      <c r="J284" s="10">
        <v>0</v>
      </c>
      <c r="K284" s="10">
        <v>0.1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</row>
    <row r="285" spans="1:21">
      <c r="A285" s="72" t="s">
        <v>283</v>
      </c>
      <c r="B285" s="10" t="s">
        <v>151</v>
      </c>
      <c r="C285" s="10">
        <v>2050</v>
      </c>
      <c r="D285" s="10">
        <v>0.57999999999999996</v>
      </c>
      <c r="E285" s="10">
        <v>0.14000000000000001</v>
      </c>
      <c r="F285" s="10">
        <v>7.0000000000000007E-2</v>
      </c>
      <c r="G285" s="10">
        <v>0</v>
      </c>
      <c r="H285" s="10">
        <v>0</v>
      </c>
      <c r="I285" s="10">
        <v>0</v>
      </c>
      <c r="J285" s="10">
        <v>0</v>
      </c>
      <c r="K285" s="10">
        <v>0.1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</row>
    <row r="286" spans="1:21">
      <c r="A286" s="72" t="s">
        <v>284</v>
      </c>
      <c r="B286" s="10" t="s">
        <v>151</v>
      </c>
      <c r="C286" s="10">
        <v>2018</v>
      </c>
      <c r="D286" s="10">
        <v>0.79</v>
      </c>
      <c r="E286" s="10">
        <v>0.1</v>
      </c>
      <c r="F286" s="10">
        <v>0.09</v>
      </c>
      <c r="G286" s="10">
        <v>0</v>
      </c>
      <c r="H286" s="10">
        <v>0</v>
      </c>
      <c r="I286" s="10">
        <v>0</v>
      </c>
      <c r="J286" s="10">
        <v>0.01</v>
      </c>
      <c r="K286" s="10">
        <v>7.0000000000000007E-2</v>
      </c>
      <c r="L286" s="10">
        <v>0</v>
      </c>
      <c r="M286" s="10">
        <v>0</v>
      </c>
      <c r="N286" s="10">
        <v>0</v>
      </c>
      <c r="O286" s="10">
        <v>0</v>
      </c>
      <c r="P286" s="10">
        <f>D286-J286</f>
        <v>0.78</v>
      </c>
      <c r="Q286" s="10">
        <v>0.03</v>
      </c>
      <c r="R286" s="10">
        <v>0.09</v>
      </c>
      <c r="S286" s="10">
        <v>0</v>
      </c>
      <c r="T286" s="10">
        <v>0</v>
      </c>
      <c r="U286" s="10">
        <v>0</v>
      </c>
    </row>
    <row r="287" spans="1:21">
      <c r="A287" s="72" t="s">
        <v>284</v>
      </c>
      <c r="B287" s="10" t="s">
        <v>151</v>
      </c>
      <c r="C287" s="10">
        <v>2020</v>
      </c>
      <c r="D287" s="10">
        <v>0.79</v>
      </c>
      <c r="E287" s="10">
        <v>0.1</v>
      </c>
      <c r="F287" s="10">
        <v>0.09</v>
      </c>
      <c r="G287" s="10">
        <v>0</v>
      </c>
      <c r="H287" s="10">
        <v>0</v>
      </c>
      <c r="I287" s="10">
        <v>0</v>
      </c>
      <c r="J287" s="10">
        <v>0.01</v>
      </c>
      <c r="K287" s="10">
        <v>7.0000000000000007E-2</v>
      </c>
      <c r="L287" s="10">
        <v>0</v>
      </c>
      <c r="M287" s="10">
        <v>0</v>
      </c>
      <c r="N287" s="10">
        <v>0</v>
      </c>
      <c r="O287" s="10">
        <v>0</v>
      </c>
      <c r="P287" s="10">
        <v>0.73</v>
      </c>
      <c r="Q287" s="10">
        <v>0.02</v>
      </c>
      <c r="R287" s="10">
        <v>0.09</v>
      </c>
      <c r="S287" s="10">
        <v>0</v>
      </c>
      <c r="T287" s="10">
        <v>0</v>
      </c>
      <c r="U287" s="10">
        <v>0</v>
      </c>
    </row>
    <row r="288" spans="1:21">
      <c r="A288" s="72" t="s">
        <v>284</v>
      </c>
      <c r="B288" s="10" t="s">
        <v>151</v>
      </c>
      <c r="C288" s="10">
        <v>2025</v>
      </c>
      <c r="D288" s="10">
        <v>0.77</v>
      </c>
      <c r="E288" s="10">
        <v>0.1</v>
      </c>
      <c r="F288" s="10">
        <v>0.09</v>
      </c>
      <c r="G288" s="10">
        <v>0</v>
      </c>
      <c r="H288" s="10">
        <v>0</v>
      </c>
      <c r="I288" s="10">
        <v>0</v>
      </c>
      <c r="J288" s="10">
        <v>0.01</v>
      </c>
      <c r="K288" s="10">
        <v>7.0000000000000007E-2</v>
      </c>
      <c r="L288" s="10">
        <v>0</v>
      </c>
      <c r="M288" s="10">
        <v>0</v>
      </c>
      <c r="N288" s="10">
        <v>0</v>
      </c>
      <c r="O288" s="10">
        <v>0</v>
      </c>
      <c r="P288" s="10">
        <v>0.56000000000000005</v>
      </c>
      <c r="Q288" s="10">
        <v>0</v>
      </c>
      <c r="R288" s="10">
        <v>7.0000000000000007E-2</v>
      </c>
      <c r="S288" s="10">
        <v>0</v>
      </c>
      <c r="T288" s="10">
        <v>0</v>
      </c>
      <c r="U288" s="10">
        <v>0</v>
      </c>
    </row>
    <row r="289" spans="1:21">
      <c r="A289" s="72" t="s">
        <v>284</v>
      </c>
      <c r="B289" s="10" t="s">
        <v>151</v>
      </c>
      <c r="C289" s="10">
        <v>2030</v>
      </c>
      <c r="D289" s="10">
        <v>0.74</v>
      </c>
      <c r="E289" s="10">
        <v>0.09</v>
      </c>
      <c r="F289" s="10">
        <v>0.08</v>
      </c>
      <c r="G289" s="10">
        <v>0</v>
      </c>
      <c r="H289" s="10">
        <v>0</v>
      </c>
      <c r="I289" s="10">
        <v>0</v>
      </c>
      <c r="J289" s="10">
        <v>0.01</v>
      </c>
      <c r="K289" s="10">
        <v>0.06</v>
      </c>
      <c r="L289" s="10">
        <v>0</v>
      </c>
      <c r="M289" s="10">
        <v>0</v>
      </c>
      <c r="N289" s="10">
        <v>0</v>
      </c>
      <c r="O289" s="10">
        <v>0</v>
      </c>
      <c r="P289" s="10">
        <v>0.37</v>
      </c>
      <c r="Q289" s="10">
        <v>0</v>
      </c>
      <c r="R289" s="10">
        <v>0.03</v>
      </c>
      <c r="S289" s="10">
        <v>0</v>
      </c>
      <c r="T289" s="10">
        <v>0</v>
      </c>
      <c r="U289" s="10">
        <v>0</v>
      </c>
    </row>
    <row r="290" spans="1:21">
      <c r="A290" s="72" t="s">
        <v>284</v>
      </c>
      <c r="B290" s="10" t="s">
        <v>151</v>
      </c>
      <c r="C290" s="10">
        <v>2035</v>
      </c>
      <c r="D290" s="10">
        <v>0.72</v>
      </c>
      <c r="E290" s="10">
        <v>0.09</v>
      </c>
      <c r="F290" s="10">
        <v>0.08</v>
      </c>
      <c r="G290" s="10">
        <v>0</v>
      </c>
      <c r="H290" s="10">
        <v>0</v>
      </c>
      <c r="I290" s="10">
        <v>0</v>
      </c>
      <c r="J290" s="10">
        <v>0.01</v>
      </c>
      <c r="K290" s="10">
        <v>0.06</v>
      </c>
      <c r="L290" s="10">
        <v>0</v>
      </c>
      <c r="M290" s="10">
        <v>0</v>
      </c>
      <c r="N290" s="10">
        <v>0</v>
      </c>
      <c r="O290" s="10">
        <v>0</v>
      </c>
      <c r="P290" s="10">
        <v>0.03</v>
      </c>
      <c r="Q290" s="10">
        <v>0</v>
      </c>
      <c r="R290" s="10">
        <v>0.01</v>
      </c>
      <c r="S290" s="10">
        <v>0</v>
      </c>
      <c r="T290" s="10">
        <v>0</v>
      </c>
      <c r="U290" s="10">
        <v>0</v>
      </c>
    </row>
    <row r="291" spans="1:21">
      <c r="A291" s="72" t="s">
        <v>284</v>
      </c>
      <c r="B291" s="10" t="s">
        <v>151</v>
      </c>
      <c r="C291" s="10">
        <v>2040</v>
      </c>
      <c r="D291" s="10">
        <v>0.69</v>
      </c>
      <c r="E291" s="10">
        <v>0.09</v>
      </c>
      <c r="F291" s="10">
        <v>0.08</v>
      </c>
      <c r="G291" s="10">
        <v>0</v>
      </c>
      <c r="H291" s="10">
        <v>0</v>
      </c>
      <c r="I291" s="10">
        <v>0</v>
      </c>
      <c r="J291" s="10">
        <v>0.01</v>
      </c>
      <c r="K291" s="10">
        <v>0.06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</row>
    <row r="292" spans="1:21">
      <c r="A292" s="72" t="s">
        <v>284</v>
      </c>
      <c r="B292" s="10" t="s">
        <v>151</v>
      </c>
      <c r="C292" s="10">
        <v>2045</v>
      </c>
      <c r="D292" s="10">
        <v>0.67</v>
      </c>
      <c r="E292" s="10">
        <v>0.08</v>
      </c>
      <c r="F292" s="10">
        <v>0.08</v>
      </c>
      <c r="G292" s="10">
        <v>0</v>
      </c>
      <c r="H292" s="10">
        <v>0</v>
      </c>
      <c r="I292" s="10">
        <v>0</v>
      </c>
      <c r="J292" s="10">
        <v>0.01</v>
      </c>
      <c r="K292" s="10">
        <v>0.06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</row>
    <row r="293" spans="1:21">
      <c r="A293" s="72" t="s">
        <v>284</v>
      </c>
      <c r="B293" s="10" t="s">
        <v>151</v>
      </c>
      <c r="C293" s="10">
        <v>2050</v>
      </c>
      <c r="D293" s="10">
        <v>0.63</v>
      </c>
      <c r="E293" s="10">
        <v>0.08</v>
      </c>
      <c r="F293" s="10">
        <v>7.0000000000000007E-2</v>
      </c>
      <c r="G293" s="10">
        <v>0</v>
      </c>
      <c r="H293" s="10">
        <v>0</v>
      </c>
      <c r="I293" s="10">
        <v>0</v>
      </c>
      <c r="J293" s="10">
        <v>0.01</v>
      </c>
      <c r="K293" s="10">
        <v>0.05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</row>
    <row r="294" spans="1:21">
      <c r="A294" s="72" t="s">
        <v>285</v>
      </c>
      <c r="B294" s="10" t="s">
        <v>151</v>
      </c>
      <c r="C294" s="10">
        <v>2018</v>
      </c>
      <c r="D294" s="10">
        <v>0.81</v>
      </c>
      <c r="E294" s="10">
        <v>0.08</v>
      </c>
      <c r="F294" s="10">
        <v>0.09</v>
      </c>
      <c r="G294" s="10">
        <v>0</v>
      </c>
      <c r="H294" s="10">
        <v>0</v>
      </c>
      <c r="I294" s="10">
        <v>0</v>
      </c>
      <c r="J294" s="10">
        <v>0.03</v>
      </c>
      <c r="K294" s="10">
        <v>0.06</v>
      </c>
      <c r="L294" s="10">
        <v>0</v>
      </c>
      <c r="M294" s="10">
        <v>0</v>
      </c>
      <c r="N294" s="10">
        <v>0</v>
      </c>
      <c r="O294" s="10">
        <v>0</v>
      </c>
      <c r="P294" s="10">
        <f>D294-J294</f>
        <v>0.78</v>
      </c>
      <c r="Q294" s="10">
        <v>0.02</v>
      </c>
      <c r="R294" s="10">
        <v>0.09</v>
      </c>
      <c r="S294" s="10">
        <v>0</v>
      </c>
      <c r="T294" s="10">
        <v>0</v>
      </c>
      <c r="U294" s="10">
        <v>0</v>
      </c>
    </row>
    <row r="295" spans="1:21">
      <c r="A295" s="72" t="s">
        <v>285</v>
      </c>
      <c r="B295" s="10" t="s">
        <v>151</v>
      </c>
      <c r="C295" s="10">
        <v>2020</v>
      </c>
      <c r="D295" s="10">
        <v>0.81</v>
      </c>
      <c r="E295" s="10">
        <v>0.08</v>
      </c>
      <c r="F295" s="10">
        <v>0.09</v>
      </c>
      <c r="G295" s="10">
        <v>0</v>
      </c>
      <c r="H295" s="10">
        <v>0</v>
      </c>
      <c r="I295" s="10">
        <v>0</v>
      </c>
      <c r="J295" s="10">
        <v>0.03</v>
      </c>
      <c r="K295" s="10">
        <v>0.06</v>
      </c>
      <c r="L295" s="10">
        <v>0</v>
      </c>
      <c r="M295" s="10">
        <v>0</v>
      </c>
      <c r="N295" s="10">
        <v>0</v>
      </c>
      <c r="O295" s="10">
        <v>0</v>
      </c>
      <c r="P295" s="10">
        <v>0.75</v>
      </c>
      <c r="Q295" s="10">
        <v>0.02</v>
      </c>
      <c r="R295" s="10">
        <v>0.09</v>
      </c>
      <c r="S295" s="10">
        <v>0</v>
      </c>
      <c r="T295" s="10">
        <v>0</v>
      </c>
      <c r="U295" s="10">
        <v>0</v>
      </c>
    </row>
    <row r="296" spans="1:21">
      <c r="A296" s="72" t="s">
        <v>285</v>
      </c>
      <c r="B296" s="10" t="s">
        <v>151</v>
      </c>
      <c r="C296" s="10">
        <v>2025</v>
      </c>
      <c r="D296" s="10">
        <v>0.78</v>
      </c>
      <c r="E296" s="10">
        <v>0.08</v>
      </c>
      <c r="F296" s="10">
        <v>0.09</v>
      </c>
      <c r="G296" s="10">
        <v>0</v>
      </c>
      <c r="H296" s="10">
        <v>0</v>
      </c>
      <c r="I296" s="10">
        <v>0</v>
      </c>
      <c r="J296" s="10">
        <v>0.03</v>
      </c>
      <c r="K296" s="10">
        <v>0.05</v>
      </c>
      <c r="L296" s="10">
        <v>0</v>
      </c>
      <c r="M296" s="10">
        <v>0</v>
      </c>
      <c r="N296" s="10">
        <v>0</v>
      </c>
      <c r="O296" s="10">
        <v>0</v>
      </c>
      <c r="P296" s="10">
        <v>0.56999999999999995</v>
      </c>
      <c r="Q296" s="10">
        <v>0</v>
      </c>
      <c r="R296" s="10">
        <v>7.0000000000000007E-2</v>
      </c>
      <c r="S296" s="10">
        <v>0</v>
      </c>
      <c r="T296" s="10">
        <v>0</v>
      </c>
      <c r="U296" s="10">
        <v>0</v>
      </c>
    </row>
    <row r="297" spans="1:21">
      <c r="A297" s="72" t="s">
        <v>285</v>
      </c>
      <c r="B297" s="10" t="s">
        <v>151</v>
      </c>
      <c r="C297" s="10">
        <v>2030</v>
      </c>
      <c r="D297" s="10">
        <v>0.75</v>
      </c>
      <c r="E297" s="10">
        <v>0.08</v>
      </c>
      <c r="F297" s="10">
        <v>0.08</v>
      </c>
      <c r="G297" s="10">
        <v>0</v>
      </c>
      <c r="H297" s="10">
        <v>0</v>
      </c>
      <c r="I297" s="10">
        <v>0</v>
      </c>
      <c r="J297" s="10">
        <v>0.03</v>
      </c>
      <c r="K297" s="10">
        <v>0.05</v>
      </c>
      <c r="L297" s="10">
        <v>0</v>
      </c>
      <c r="M297" s="10">
        <v>0</v>
      </c>
      <c r="N297" s="10">
        <v>0</v>
      </c>
      <c r="O297" s="10">
        <v>0</v>
      </c>
      <c r="P297" s="10">
        <v>0.37</v>
      </c>
      <c r="Q297" s="10">
        <v>0</v>
      </c>
      <c r="R297" s="10">
        <v>0.03</v>
      </c>
      <c r="S297" s="10">
        <v>0</v>
      </c>
      <c r="T297" s="10">
        <v>0</v>
      </c>
      <c r="U297" s="10">
        <v>0</v>
      </c>
    </row>
    <row r="298" spans="1:21">
      <c r="A298" s="72" t="s">
        <v>285</v>
      </c>
      <c r="B298" s="10" t="s">
        <v>151</v>
      </c>
      <c r="C298" s="10">
        <v>2035</v>
      </c>
      <c r="D298" s="10">
        <v>0.73</v>
      </c>
      <c r="E298" s="10">
        <v>7.0000000000000007E-2</v>
      </c>
      <c r="F298" s="10">
        <v>0.08</v>
      </c>
      <c r="G298" s="10">
        <v>0</v>
      </c>
      <c r="H298" s="10">
        <v>0</v>
      </c>
      <c r="I298" s="10">
        <v>0</v>
      </c>
      <c r="J298" s="10">
        <v>0.03</v>
      </c>
      <c r="K298" s="10">
        <v>0.05</v>
      </c>
      <c r="L298" s="10">
        <v>0</v>
      </c>
      <c r="M298" s="10">
        <v>0</v>
      </c>
      <c r="N298" s="10">
        <v>0</v>
      </c>
      <c r="O298" s="10">
        <v>0</v>
      </c>
      <c r="P298" s="10">
        <v>0.03</v>
      </c>
      <c r="Q298" s="10">
        <v>0</v>
      </c>
      <c r="R298" s="10">
        <v>0.01</v>
      </c>
      <c r="S298" s="10">
        <v>0</v>
      </c>
      <c r="T298" s="10">
        <v>0</v>
      </c>
      <c r="U298" s="10">
        <v>0</v>
      </c>
    </row>
    <row r="299" spans="1:21">
      <c r="A299" s="72" t="s">
        <v>285</v>
      </c>
      <c r="B299" s="10" t="s">
        <v>151</v>
      </c>
      <c r="C299" s="10">
        <v>2040</v>
      </c>
      <c r="D299" s="10">
        <v>0.7</v>
      </c>
      <c r="E299" s="10">
        <v>7.0000000000000007E-2</v>
      </c>
      <c r="F299" s="10">
        <v>0.08</v>
      </c>
      <c r="G299" s="10">
        <v>0</v>
      </c>
      <c r="H299" s="10">
        <v>0</v>
      </c>
      <c r="I299" s="10">
        <v>0</v>
      </c>
      <c r="J299" s="10">
        <v>0.03</v>
      </c>
      <c r="K299" s="10">
        <v>0.05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</row>
    <row r="300" spans="1:21">
      <c r="A300" s="72" t="s">
        <v>285</v>
      </c>
      <c r="B300" s="10" t="s">
        <v>151</v>
      </c>
      <c r="C300" s="10">
        <v>2045</v>
      </c>
      <c r="D300" s="10">
        <v>0.68</v>
      </c>
      <c r="E300" s="10">
        <v>7.0000000000000007E-2</v>
      </c>
      <c r="F300" s="10">
        <v>0.08</v>
      </c>
      <c r="G300" s="10">
        <v>0</v>
      </c>
      <c r="H300" s="10">
        <v>0</v>
      </c>
      <c r="I300" s="10">
        <v>0</v>
      </c>
      <c r="J300" s="10">
        <v>0.03</v>
      </c>
      <c r="K300" s="10">
        <v>0.05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</row>
    <row r="301" spans="1:21">
      <c r="A301" s="72" t="s">
        <v>285</v>
      </c>
      <c r="B301" s="10" t="s">
        <v>151</v>
      </c>
      <c r="C301" s="10">
        <v>2050</v>
      </c>
      <c r="D301" s="10">
        <v>0.65</v>
      </c>
      <c r="E301" s="10">
        <v>7.0000000000000007E-2</v>
      </c>
      <c r="F301" s="10">
        <v>7.0000000000000007E-2</v>
      </c>
      <c r="G301" s="10">
        <v>0</v>
      </c>
      <c r="H301" s="10">
        <v>0</v>
      </c>
      <c r="I301" s="10">
        <v>0</v>
      </c>
      <c r="J301" s="10">
        <v>0.03</v>
      </c>
      <c r="K301" s="10">
        <v>0.04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</row>
    <row r="302" spans="1:21">
      <c r="A302" s="72" t="s">
        <v>308</v>
      </c>
      <c r="B302" s="10" t="s">
        <v>151</v>
      </c>
      <c r="C302" s="10">
        <v>2018</v>
      </c>
      <c r="D302" s="10">
        <v>0.87</v>
      </c>
      <c r="E302" s="10">
        <v>0.03</v>
      </c>
      <c r="F302" s="10">
        <v>0.09</v>
      </c>
      <c r="G302" s="10">
        <v>0</v>
      </c>
      <c r="H302" s="10">
        <v>0</v>
      </c>
      <c r="I302" s="10">
        <v>0</v>
      </c>
      <c r="J302" s="10">
        <v>0</v>
      </c>
      <c r="K302" s="10">
        <v>0.02</v>
      </c>
      <c r="L302" s="10">
        <v>0</v>
      </c>
      <c r="M302" s="10">
        <v>0</v>
      </c>
      <c r="N302" s="10">
        <v>0</v>
      </c>
      <c r="O302" s="10">
        <v>0</v>
      </c>
      <c r="P302" s="10">
        <f>D302-J302</f>
        <v>0.87</v>
      </c>
      <c r="Q302" s="10">
        <v>0</v>
      </c>
      <c r="R302" s="10">
        <v>0.09</v>
      </c>
      <c r="S302" s="10">
        <v>0</v>
      </c>
      <c r="T302" s="10">
        <v>0</v>
      </c>
      <c r="U302" s="10">
        <v>0</v>
      </c>
    </row>
    <row r="303" spans="1:21">
      <c r="A303" s="72" t="s">
        <v>308</v>
      </c>
      <c r="B303" s="10" t="s">
        <v>151</v>
      </c>
      <c r="C303" s="10">
        <v>2020</v>
      </c>
      <c r="D303" s="10">
        <v>0.86</v>
      </c>
      <c r="E303" s="10">
        <v>0.03</v>
      </c>
      <c r="F303" s="10">
        <v>0.09</v>
      </c>
      <c r="G303" s="10">
        <v>0</v>
      </c>
      <c r="H303" s="10">
        <v>0</v>
      </c>
      <c r="I303" s="10">
        <v>0</v>
      </c>
      <c r="J303" s="10">
        <v>0</v>
      </c>
      <c r="K303" s="10">
        <v>0.02</v>
      </c>
      <c r="L303" s="10">
        <v>0</v>
      </c>
      <c r="M303" s="10">
        <v>0</v>
      </c>
      <c r="N303" s="10">
        <v>0</v>
      </c>
      <c r="O303" s="10">
        <v>0</v>
      </c>
      <c r="P303" s="10">
        <v>0.8</v>
      </c>
      <c r="Q303" s="10">
        <v>0</v>
      </c>
      <c r="R303" s="10">
        <v>0.09</v>
      </c>
      <c r="S303" s="10">
        <v>0</v>
      </c>
      <c r="T303" s="10">
        <v>0</v>
      </c>
      <c r="U303" s="10">
        <v>0</v>
      </c>
    </row>
    <row r="304" spans="1:21">
      <c r="A304" s="72" t="s">
        <v>308</v>
      </c>
      <c r="B304" s="10" t="s">
        <v>151</v>
      </c>
      <c r="C304" s="10">
        <v>2025</v>
      </c>
      <c r="D304" s="10">
        <v>0.84</v>
      </c>
      <c r="E304" s="10">
        <v>0.03</v>
      </c>
      <c r="F304" s="10">
        <v>0.09</v>
      </c>
      <c r="G304" s="10">
        <v>0</v>
      </c>
      <c r="H304" s="10">
        <v>0</v>
      </c>
      <c r="I304" s="10">
        <v>0</v>
      </c>
      <c r="J304" s="10">
        <v>0</v>
      </c>
      <c r="K304" s="10">
        <v>0.02</v>
      </c>
      <c r="L304" s="10">
        <v>0</v>
      </c>
      <c r="M304" s="10">
        <v>0</v>
      </c>
      <c r="N304" s="10">
        <v>0</v>
      </c>
      <c r="O304" s="10">
        <v>0</v>
      </c>
      <c r="P304" s="10">
        <v>0.61</v>
      </c>
      <c r="Q304" s="10">
        <v>0</v>
      </c>
      <c r="R304" s="10">
        <v>7.0000000000000007E-2</v>
      </c>
      <c r="S304" s="10">
        <v>0</v>
      </c>
      <c r="T304" s="10">
        <v>0</v>
      </c>
      <c r="U304" s="10">
        <v>0</v>
      </c>
    </row>
    <row r="305" spans="1:21">
      <c r="A305" s="72" t="s">
        <v>308</v>
      </c>
      <c r="B305" s="10" t="s">
        <v>151</v>
      </c>
      <c r="C305" s="10">
        <v>2030</v>
      </c>
      <c r="D305" s="10">
        <v>0.81</v>
      </c>
      <c r="E305" s="10">
        <v>0.03</v>
      </c>
      <c r="F305" s="10">
        <v>0.08</v>
      </c>
      <c r="G305" s="10">
        <v>0</v>
      </c>
      <c r="H305" s="10">
        <v>0</v>
      </c>
      <c r="I305" s="10">
        <v>0</v>
      </c>
      <c r="J305" s="10">
        <v>0</v>
      </c>
      <c r="K305" s="10">
        <v>0.02</v>
      </c>
      <c r="L305" s="10">
        <v>0</v>
      </c>
      <c r="M305" s="10">
        <v>0</v>
      </c>
      <c r="N305" s="10">
        <v>0</v>
      </c>
      <c r="O305" s="10">
        <v>0</v>
      </c>
      <c r="P305" s="10">
        <v>0.4</v>
      </c>
      <c r="Q305" s="10">
        <v>0</v>
      </c>
      <c r="R305" s="10">
        <v>0.03</v>
      </c>
      <c r="S305" s="10">
        <v>0</v>
      </c>
      <c r="T305" s="10">
        <v>0</v>
      </c>
      <c r="U305" s="10">
        <v>0</v>
      </c>
    </row>
    <row r="306" spans="1:21">
      <c r="A306" s="72" t="s">
        <v>308</v>
      </c>
      <c r="B306" s="10" t="s">
        <v>151</v>
      </c>
      <c r="C306" s="10">
        <v>2035</v>
      </c>
      <c r="D306" s="10">
        <v>0.78</v>
      </c>
      <c r="E306" s="10">
        <v>0.02</v>
      </c>
      <c r="F306" s="10">
        <v>0.08</v>
      </c>
      <c r="G306" s="10">
        <v>0</v>
      </c>
      <c r="H306" s="10">
        <v>0</v>
      </c>
      <c r="I306" s="10">
        <v>0</v>
      </c>
      <c r="J306" s="10">
        <v>0</v>
      </c>
      <c r="K306" s="10">
        <v>0.02</v>
      </c>
      <c r="L306" s="10">
        <v>0</v>
      </c>
      <c r="M306" s="10">
        <v>0</v>
      </c>
      <c r="N306" s="10">
        <v>0</v>
      </c>
      <c r="O306" s="10">
        <v>0</v>
      </c>
      <c r="P306" s="10">
        <v>0.03</v>
      </c>
      <c r="Q306" s="10">
        <v>0</v>
      </c>
      <c r="R306" s="10">
        <v>0.01</v>
      </c>
      <c r="S306" s="10">
        <v>0</v>
      </c>
      <c r="T306" s="10">
        <v>0</v>
      </c>
      <c r="U306" s="10">
        <v>0</v>
      </c>
    </row>
    <row r="307" spans="1:21">
      <c r="A307" s="72" t="s">
        <v>308</v>
      </c>
      <c r="B307" s="10" t="s">
        <v>151</v>
      </c>
      <c r="C307" s="10">
        <v>2040</v>
      </c>
      <c r="D307" s="10">
        <v>0.75</v>
      </c>
      <c r="E307" s="10">
        <v>0.02</v>
      </c>
      <c r="F307" s="10">
        <v>0.08</v>
      </c>
      <c r="G307" s="10">
        <v>0</v>
      </c>
      <c r="H307" s="10">
        <v>0</v>
      </c>
      <c r="I307" s="10">
        <v>0</v>
      </c>
      <c r="J307" s="10">
        <v>0</v>
      </c>
      <c r="K307" s="10">
        <v>0.02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</row>
    <row r="308" spans="1:21">
      <c r="A308" s="72" t="s">
        <v>308</v>
      </c>
      <c r="B308" s="10" t="s">
        <v>151</v>
      </c>
      <c r="C308" s="10">
        <v>2045</v>
      </c>
      <c r="D308" s="10">
        <v>0.73</v>
      </c>
      <c r="E308" s="10">
        <v>0.02</v>
      </c>
      <c r="F308" s="10">
        <v>0.08</v>
      </c>
      <c r="G308" s="10">
        <v>0</v>
      </c>
      <c r="H308" s="10">
        <v>0</v>
      </c>
      <c r="I308" s="10">
        <v>0</v>
      </c>
      <c r="J308" s="10">
        <v>0</v>
      </c>
      <c r="K308" s="10">
        <v>0.01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</row>
    <row r="309" spans="1:21">
      <c r="A309" s="72" t="s">
        <v>308</v>
      </c>
      <c r="B309" s="10" t="s">
        <v>151</v>
      </c>
      <c r="C309" s="10">
        <v>2050</v>
      </c>
      <c r="D309" s="10">
        <v>0.69</v>
      </c>
      <c r="E309" s="10">
        <v>0.02</v>
      </c>
      <c r="F309" s="10">
        <v>7.0000000000000007E-2</v>
      </c>
      <c r="G309" s="10">
        <v>0</v>
      </c>
      <c r="H309" s="10">
        <v>0</v>
      </c>
      <c r="I309" s="10">
        <v>0</v>
      </c>
      <c r="J309" s="10">
        <v>0</v>
      </c>
      <c r="K309" s="10">
        <v>0.01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</row>
    <row r="310" spans="1:21">
      <c r="A310" s="72" t="s">
        <v>286</v>
      </c>
      <c r="B310" s="10" t="s">
        <v>151</v>
      </c>
      <c r="C310" s="10">
        <v>2018</v>
      </c>
      <c r="D310" s="10">
        <v>0.81</v>
      </c>
      <c r="E310" s="10">
        <v>0.09</v>
      </c>
      <c r="F310" s="10">
        <v>0.09</v>
      </c>
      <c r="G310" s="10">
        <v>0</v>
      </c>
      <c r="H310" s="10">
        <v>0</v>
      </c>
      <c r="I310" s="10">
        <v>0</v>
      </c>
      <c r="J310" s="10">
        <v>0</v>
      </c>
      <c r="K310" s="10">
        <v>0.06</v>
      </c>
      <c r="L310" s="10">
        <v>0</v>
      </c>
      <c r="M310" s="10">
        <v>0</v>
      </c>
      <c r="N310" s="10">
        <v>0</v>
      </c>
      <c r="O310" s="10">
        <v>0</v>
      </c>
      <c r="P310" s="10">
        <f>D310-J310</f>
        <v>0.81</v>
      </c>
      <c r="Q310" s="10">
        <v>0.02</v>
      </c>
      <c r="R310" s="10">
        <v>0.09</v>
      </c>
      <c r="S310" s="10">
        <v>0</v>
      </c>
      <c r="T310" s="10">
        <v>0</v>
      </c>
      <c r="U310" s="10">
        <v>0</v>
      </c>
    </row>
    <row r="311" spans="1:21">
      <c r="A311" s="72" t="s">
        <v>286</v>
      </c>
      <c r="B311" s="10" t="s">
        <v>151</v>
      </c>
      <c r="C311" s="10">
        <v>2020</v>
      </c>
      <c r="D311" s="10">
        <v>0.8</v>
      </c>
      <c r="E311" s="10">
        <v>0.08</v>
      </c>
      <c r="F311" s="10">
        <v>0.09</v>
      </c>
      <c r="G311" s="10">
        <v>0</v>
      </c>
      <c r="H311" s="10">
        <v>0</v>
      </c>
      <c r="I311" s="10">
        <v>0</v>
      </c>
      <c r="J311" s="10">
        <v>0</v>
      </c>
      <c r="K311" s="10">
        <v>0.06</v>
      </c>
      <c r="L311" s="10">
        <v>0</v>
      </c>
      <c r="M311" s="10">
        <v>0</v>
      </c>
      <c r="N311" s="10">
        <v>0</v>
      </c>
      <c r="O311" s="10">
        <v>0</v>
      </c>
      <c r="P311" s="10">
        <v>0.75</v>
      </c>
      <c r="Q311" s="10">
        <v>0.02</v>
      </c>
      <c r="R311" s="10">
        <v>0.09</v>
      </c>
      <c r="S311" s="10">
        <v>0</v>
      </c>
      <c r="T311" s="10">
        <v>0</v>
      </c>
      <c r="U311" s="10">
        <v>0</v>
      </c>
    </row>
    <row r="312" spans="1:21">
      <c r="A312" s="72" t="s">
        <v>286</v>
      </c>
      <c r="B312" s="10" t="s">
        <v>151</v>
      </c>
      <c r="C312" s="10">
        <v>2025</v>
      </c>
      <c r="D312" s="10">
        <v>0.78</v>
      </c>
      <c r="E312" s="10">
        <v>0.08</v>
      </c>
      <c r="F312" s="10">
        <v>0.09</v>
      </c>
      <c r="G312" s="10">
        <v>0</v>
      </c>
      <c r="H312" s="10">
        <v>0</v>
      </c>
      <c r="I312" s="10">
        <v>0</v>
      </c>
      <c r="J312" s="10">
        <v>0</v>
      </c>
      <c r="K312" s="10">
        <v>0.06</v>
      </c>
      <c r="L312" s="10">
        <v>0</v>
      </c>
      <c r="M312" s="10">
        <v>0</v>
      </c>
      <c r="N312" s="10">
        <v>0</v>
      </c>
      <c r="O312" s="10">
        <v>0</v>
      </c>
      <c r="P312" s="10">
        <v>0.56999999999999995</v>
      </c>
      <c r="Q312" s="10">
        <v>0</v>
      </c>
      <c r="R312" s="10">
        <v>7.0000000000000007E-2</v>
      </c>
      <c r="S312" s="10">
        <v>0</v>
      </c>
      <c r="T312" s="10">
        <v>0</v>
      </c>
      <c r="U312" s="10">
        <v>0</v>
      </c>
    </row>
    <row r="313" spans="1:21">
      <c r="A313" s="72" t="s">
        <v>286</v>
      </c>
      <c r="B313" s="10" t="s">
        <v>151</v>
      </c>
      <c r="C313" s="10">
        <v>2030</v>
      </c>
      <c r="D313" s="10">
        <v>0.75</v>
      </c>
      <c r="E313" s="10">
        <v>0.08</v>
      </c>
      <c r="F313" s="10">
        <v>0.08</v>
      </c>
      <c r="G313" s="10">
        <v>0</v>
      </c>
      <c r="H313" s="10">
        <v>0</v>
      </c>
      <c r="I313" s="10">
        <v>0</v>
      </c>
      <c r="J313" s="10">
        <v>0</v>
      </c>
      <c r="K313" s="10">
        <v>0.05</v>
      </c>
      <c r="L313" s="10">
        <v>0</v>
      </c>
      <c r="M313" s="10">
        <v>0</v>
      </c>
      <c r="N313" s="10">
        <v>0</v>
      </c>
      <c r="O313" s="10">
        <v>0</v>
      </c>
      <c r="P313" s="10">
        <v>0.37</v>
      </c>
      <c r="Q313" s="10">
        <v>0</v>
      </c>
      <c r="R313" s="10">
        <v>0.03</v>
      </c>
      <c r="S313" s="10">
        <v>0</v>
      </c>
      <c r="T313" s="10">
        <v>0</v>
      </c>
      <c r="U313" s="10">
        <v>0</v>
      </c>
    </row>
    <row r="314" spans="1:21">
      <c r="A314" s="72" t="s">
        <v>286</v>
      </c>
      <c r="B314" s="10" t="s">
        <v>151</v>
      </c>
      <c r="C314" s="10">
        <v>2035</v>
      </c>
      <c r="D314" s="10">
        <v>0.73</v>
      </c>
      <c r="E314" s="10">
        <v>0.08</v>
      </c>
      <c r="F314" s="10">
        <v>0.08</v>
      </c>
      <c r="G314" s="10">
        <v>0</v>
      </c>
      <c r="H314" s="10">
        <v>0</v>
      </c>
      <c r="I314" s="10">
        <v>0</v>
      </c>
      <c r="J314" s="10">
        <v>0</v>
      </c>
      <c r="K314" s="10">
        <v>0.05</v>
      </c>
      <c r="L314" s="10">
        <v>0</v>
      </c>
      <c r="M314" s="10">
        <v>0</v>
      </c>
      <c r="N314" s="10">
        <v>0</v>
      </c>
      <c r="O314" s="10">
        <v>0</v>
      </c>
      <c r="P314" s="10">
        <v>0.03</v>
      </c>
      <c r="Q314" s="10">
        <v>0</v>
      </c>
      <c r="R314" s="10">
        <v>0.01</v>
      </c>
      <c r="S314" s="10">
        <v>0</v>
      </c>
      <c r="T314" s="10">
        <v>0</v>
      </c>
      <c r="U314" s="10">
        <v>0</v>
      </c>
    </row>
    <row r="315" spans="1:21">
      <c r="A315" s="72" t="s">
        <v>286</v>
      </c>
      <c r="B315" s="10" t="s">
        <v>151</v>
      </c>
      <c r="C315" s="10">
        <v>2040</v>
      </c>
      <c r="D315" s="10">
        <v>0.7</v>
      </c>
      <c r="E315" s="10">
        <v>7.0000000000000007E-2</v>
      </c>
      <c r="F315" s="10">
        <v>0.08</v>
      </c>
      <c r="G315" s="10">
        <v>0</v>
      </c>
      <c r="H315" s="10">
        <v>0</v>
      </c>
      <c r="I315" s="10">
        <v>0</v>
      </c>
      <c r="J315" s="10">
        <v>0</v>
      </c>
      <c r="K315" s="10">
        <v>0.05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</row>
    <row r="316" spans="1:21">
      <c r="A316" s="72" t="s">
        <v>286</v>
      </c>
      <c r="B316" s="10" t="s">
        <v>151</v>
      </c>
      <c r="C316" s="10">
        <v>2045</v>
      </c>
      <c r="D316" s="10">
        <v>0.68</v>
      </c>
      <c r="E316" s="10">
        <v>7.0000000000000007E-2</v>
      </c>
      <c r="F316" s="10">
        <v>0.08</v>
      </c>
      <c r="G316" s="10">
        <v>0</v>
      </c>
      <c r="H316" s="10">
        <v>0</v>
      </c>
      <c r="I316" s="10">
        <v>0</v>
      </c>
      <c r="J316" s="10">
        <v>0</v>
      </c>
      <c r="K316" s="10">
        <v>0.05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</row>
    <row r="317" spans="1:21">
      <c r="A317" s="72" t="s">
        <v>286</v>
      </c>
      <c r="B317" s="10" t="s">
        <v>151</v>
      </c>
      <c r="C317" s="10">
        <v>2050</v>
      </c>
      <c r="D317" s="10">
        <v>0.65</v>
      </c>
      <c r="E317" s="10">
        <v>7.0000000000000007E-2</v>
      </c>
      <c r="F317" s="10">
        <v>7.0000000000000007E-2</v>
      </c>
      <c r="G317" s="10">
        <v>0</v>
      </c>
      <c r="H317" s="10">
        <v>0</v>
      </c>
      <c r="I317" s="10">
        <v>0</v>
      </c>
      <c r="J317" s="10">
        <v>0</v>
      </c>
      <c r="K317" s="10">
        <v>0.05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</row>
    <row r="318" spans="1:21">
      <c r="A318" s="72" t="s">
        <v>287</v>
      </c>
      <c r="B318" s="10" t="s">
        <v>151</v>
      </c>
      <c r="C318" s="10">
        <v>2018</v>
      </c>
      <c r="D318" s="10">
        <v>0.83</v>
      </c>
      <c r="E318" s="10">
        <v>0.06</v>
      </c>
      <c r="F318" s="10">
        <v>0.09</v>
      </c>
      <c r="G318" s="10">
        <v>0</v>
      </c>
      <c r="H318" s="10">
        <v>0</v>
      </c>
      <c r="I318" s="10">
        <v>0</v>
      </c>
      <c r="J318" s="10">
        <v>0</v>
      </c>
      <c r="K318" s="10">
        <v>0.04</v>
      </c>
      <c r="L318" s="10">
        <v>0</v>
      </c>
      <c r="M318" s="10">
        <v>0</v>
      </c>
      <c r="N318" s="10">
        <v>0</v>
      </c>
      <c r="O318" s="10">
        <v>0</v>
      </c>
      <c r="P318" s="10">
        <f>D318-J318</f>
        <v>0.83</v>
      </c>
      <c r="Q318" s="10">
        <v>0.01</v>
      </c>
      <c r="R318" s="10">
        <v>0.09</v>
      </c>
      <c r="S318" s="10">
        <v>0</v>
      </c>
      <c r="T318" s="10">
        <v>0</v>
      </c>
      <c r="U318" s="10">
        <v>0</v>
      </c>
    </row>
    <row r="319" spans="1:21">
      <c r="A319" s="72" t="s">
        <v>287</v>
      </c>
      <c r="B319" s="10" t="s">
        <v>151</v>
      </c>
      <c r="C319" s="10">
        <v>2020</v>
      </c>
      <c r="D319" s="10">
        <v>0.83</v>
      </c>
      <c r="E319" s="10">
        <v>0.06</v>
      </c>
      <c r="F319" s="10">
        <v>0.09</v>
      </c>
      <c r="G319" s="10">
        <v>0</v>
      </c>
      <c r="H319" s="10">
        <v>0</v>
      </c>
      <c r="I319" s="10">
        <v>0</v>
      </c>
      <c r="J319" s="10">
        <v>0</v>
      </c>
      <c r="K319" s="10">
        <v>0.04</v>
      </c>
      <c r="L319" s="10">
        <v>0</v>
      </c>
      <c r="M319" s="10">
        <v>0</v>
      </c>
      <c r="N319" s="10">
        <v>0</v>
      </c>
      <c r="O319" s="10">
        <v>0</v>
      </c>
      <c r="P319" s="10">
        <v>0.77</v>
      </c>
      <c r="Q319" s="10">
        <v>0.01</v>
      </c>
      <c r="R319" s="10">
        <v>0.09</v>
      </c>
      <c r="S319" s="10">
        <v>0</v>
      </c>
      <c r="T319" s="10">
        <v>0</v>
      </c>
      <c r="U319" s="10">
        <v>0</v>
      </c>
    </row>
    <row r="320" spans="1:21">
      <c r="A320" s="72" t="s">
        <v>287</v>
      </c>
      <c r="B320" s="10" t="s">
        <v>151</v>
      </c>
      <c r="C320" s="10">
        <v>2025</v>
      </c>
      <c r="D320" s="10">
        <v>0.8</v>
      </c>
      <c r="E320" s="10">
        <v>0.06</v>
      </c>
      <c r="F320" s="10">
        <v>0.09</v>
      </c>
      <c r="G320" s="10">
        <v>0</v>
      </c>
      <c r="H320" s="10">
        <v>0</v>
      </c>
      <c r="I320" s="10">
        <v>0</v>
      </c>
      <c r="J320" s="10">
        <v>0</v>
      </c>
      <c r="K320" s="10">
        <v>0.04</v>
      </c>
      <c r="L320" s="10">
        <v>0</v>
      </c>
      <c r="M320" s="10">
        <v>0</v>
      </c>
      <c r="N320" s="10">
        <v>0</v>
      </c>
      <c r="O320" s="10">
        <v>0</v>
      </c>
      <c r="P320" s="10">
        <v>0.59</v>
      </c>
      <c r="Q320" s="10">
        <v>0</v>
      </c>
      <c r="R320" s="10">
        <v>7.0000000000000007E-2</v>
      </c>
      <c r="S320" s="10">
        <v>0</v>
      </c>
      <c r="T320" s="10">
        <v>0</v>
      </c>
      <c r="U320" s="10">
        <v>0</v>
      </c>
    </row>
    <row r="321" spans="1:21">
      <c r="A321" s="72" t="s">
        <v>287</v>
      </c>
      <c r="B321" s="10" t="s">
        <v>151</v>
      </c>
      <c r="C321" s="10">
        <v>2030</v>
      </c>
      <c r="D321" s="10">
        <v>0.78</v>
      </c>
      <c r="E321" s="10">
        <v>0.06</v>
      </c>
      <c r="F321" s="10">
        <v>0.08</v>
      </c>
      <c r="G321" s="10">
        <v>0</v>
      </c>
      <c r="H321" s="10">
        <v>0</v>
      </c>
      <c r="I321" s="10">
        <v>0</v>
      </c>
      <c r="J321" s="10">
        <v>0</v>
      </c>
      <c r="K321" s="10">
        <v>0.04</v>
      </c>
      <c r="L321" s="10">
        <v>0</v>
      </c>
      <c r="M321" s="10">
        <v>0</v>
      </c>
      <c r="N321" s="10">
        <v>0</v>
      </c>
      <c r="O321" s="10">
        <v>0</v>
      </c>
      <c r="P321" s="10">
        <v>0.39</v>
      </c>
      <c r="Q321" s="10">
        <v>0</v>
      </c>
      <c r="R321" s="10">
        <v>0.03</v>
      </c>
      <c r="S321" s="10">
        <v>0</v>
      </c>
      <c r="T321" s="10">
        <v>0</v>
      </c>
      <c r="U321" s="10">
        <v>0</v>
      </c>
    </row>
    <row r="322" spans="1:21">
      <c r="A322" s="72" t="s">
        <v>287</v>
      </c>
      <c r="B322" s="10" t="s">
        <v>151</v>
      </c>
      <c r="C322" s="10">
        <v>2035</v>
      </c>
      <c r="D322" s="10">
        <v>0.75</v>
      </c>
      <c r="E322" s="10">
        <v>0.05</v>
      </c>
      <c r="F322" s="10">
        <v>0.08</v>
      </c>
      <c r="G322" s="10">
        <v>0</v>
      </c>
      <c r="H322" s="10">
        <v>0</v>
      </c>
      <c r="I322" s="10">
        <v>0</v>
      </c>
      <c r="J322" s="10">
        <v>0</v>
      </c>
      <c r="K322" s="10">
        <v>0.04</v>
      </c>
      <c r="L322" s="10">
        <v>0</v>
      </c>
      <c r="M322" s="10">
        <v>0</v>
      </c>
      <c r="N322" s="10">
        <v>0</v>
      </c>
      <c r="O322" s="10">
        <v>0</v>
      </c>
      <c r="P322" s="10">
        <v>0.03</v>
      </c>
      <c r="Q322" s="10">
        <v>0</v>
      </c>
      <c r="R322" s="10">
        <v>0.01</v>
      </c>
      <c r="S322" s="10">
        <v>0</v>
      </c>
      <c r="T322" s="10">
        <v>0</v>
      </c>
      <c r="U322" s="10">
        <v>0</v>
      </c>
    </row>
    <row r="323" spans="1:21">
      <c r="A323" s="72" t="s">
        <v>287</v>
      </c>
      <c r="B323" s="10" t="s">
        <v>151</v>
      </c>
      <c r="C323" s="10">
        <v>2040</v>
      </c>
      <c r="D323" s="10">
        <v>0.72</v>
      </c>
      <c r="E323" s="10">
        <v>0.05</v>
      </c>
      <c r="F323" s="10">
        <v>0.08</v>
      </c>
      <c r="G323" s="10">
        <v>0</v>
      </c>
      <c r="H323" s="10">
        <v>0</v>
      </c>
      <c r="I323" s="10">
        <v>0</v>
      </c>
      <c r="J323" s="10">
        <v>0</v>
      </c>
      <c r="K323" s="10">
        <v>0.03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</row>
    <row r="324" spans="1:21">
      <c r="A324" s="72" t="s">
        <v>287</v>
      </c>
      <c r="B324" s="10" t="s">
        <v>151</v>
      </c>
      <c r="C324" s="10">
        <v>2045</v>
      </c>
      <c r="D324" s="10">
        <v>0.7</v>
      </c>
      <c r="E324" s="10">
        <v>0.05</v>
      </c>
      <c r="F324" s="10">
        <v>0.08</v>
      </c>
      <c r="G324" s="10">
        <v>0</v>
      </c>
      <c r="H324" s="10">
        <v>0</v>
      </c>
      <c r="I324" s="10">
        <v>0</v>
      </c>
      <c r="J324" s="10">
        <v>0</v>
      </c>
      <c r="K324" s="10">
        <v>0.03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</row>
    <row r="325" spans="1:21">
      <c r="A325" s="72" t="s">
        <v>287</v>
      </c>
      <c r="B325" s="10" t="s">
        <v>151</v>
      </c>
      <c r="C325" s="10">
        <v>2050</v>
      </c>
      <c r="D325" s="10">
        <v>0.67</v>
      </c>
      <c r="E325" s="10">
        <v>0.05</v>
      </c>
      <c r="F325" s="10">
        <v>7.0000000000000007E-2</v>
      </c>
      <c r="G325" s="10">
        <v>0</v>
      </c>
      <c r="H325" s="10">
        <v>0</v>
      </c>
      <c r="I325" s="10">
        <v>0</v>
      </c>
      <c r="J325" s="10">
        <v>0</v>
      </c>
      <c r="K325" s="10">
        <v>0.03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</row>
    <row r="326" spans="1:21">
      <c r="A326" s="72" t="s">
        <v>288</v>
      </c>
      <c r="B326" s="10" t="s">
        <v>151</v>
      </c>
      <c r="C326" s="10">
        <v>2018</v>
      </c>
      <c r="D326" s="10">
        <v>0.78</v>
      </c>
      <c r="E326" s="10">
        <v>0.11</v>
      </c>
      <c r="F326" s="10">
        <v>0.09</v>
      </c>
      <c r="G326" s="10">
        <v>0</v>
      </c>
      <c r="H326" s="10">
        <v>0</v>
      </c>
      <c r="I326" s="10">
        <v>0</v>
      </c>
      <c r="J326" s="10">
        <v>0</v>
      </c>
      <c r="K326" s="10">
        <v>0.08</v>
      </c>
      <c r="L326" s="10">
        <v>0</v>
      </c>
      <c r="M326" s="10">
        <v>0</v>
      </c>
      <c r="N326" s="10">
        <v>0</v>
      </c>
      <c r="O326" s="10">
        <v>0</v>
      </c>
      <c r="P326" s="10">
        <f>D326-J326</f>
        <v>0.78</v>
      </c>
      <c r="Q326" s="10">
        <v>0.03</v>
      </c>
      <c r="R326" s="10">
        <v>0.09</v>
      </c>
      <c r="S326" s="10">
        <v>0</v>
      </c>
      <c r="T326" s="10">
        <v>0</v>
      </c>
      <c r="U326" s="10">
        <v>0</v>
      </c>
    </row>
    <row r="327" spans="1:21">
      <c r="A327" s="72" t="s">
        <v>288</v>
      </c>
      <c r="B327" s="10" t="s">
        <v>151</v>
      </c>
      <c r="C327" s="10">
        <v>2020</v>
      </c>
      <c r="D327" s="10">
        <v>0.78</v>
      </c>
      <c r="E327" s="10">
        <v>0.11</v>
      </c>
      <c r="F327" s="10">
        <v>0.09</v>
      </c>
      <c r="G327" s="10">
        <v>0</v>
      </c>
      <c r="H327" s="10">
        <v>0</v>
      </c>
      <c r="I327" s="10">
        <v>0</v>
      </c>
      <c r="J327" s="10">
        <v>0</v>
      </c>
      <c r="K327" s="10">
        <v>0.08</v>
      </c>
      <c r="L327" s="10">
        <v>0</v>
      </c>
      <c r="M327" s="10">
        <v>0</v>
      </c>
      <c r="N327" s="10">
        <v>0</v>
      </c>
      <c r="O327" s="10">
        <v>0</v>
      </c>
      <c r="P327" s="10">
        <v>0.72</v>
      </c>
      <c r="Q327" s="10">
        <v>0.02</v>
      </c>
      <c r="R327" s="10">
        <v>0.09</v>
      </c>
      <c r="S327" s="10">
        <v>0</v>
      </c>
      <c r="T327" s="10">
        <v>0</v>
      </c>
      <c r="U327" s="10">
        <v>0</v>
      </c>
    </row>
    <row r="328" spans="1:21">
      <c r="A328" s="72" t="s">
        <v>288</v>
      </c>
      <c r="B328" s="10" t="s">
        <v>151</v>
      </c>
      <c r="C328" s="10">
        <v>2025</v>
      </c>
      <c r="D328" s="10">
        <v>0.75</v>
      </c>
      <c r="E328" s="10">
        <v>0.11</v>
      </c>
      <c r="F328" s="10">
        <v>0.09</v>
      </c>
      <c r="G328" s="10">
        <v>0</v>
      </c>
      <c r="H328" s="10">
        <v>0</v>
      </c>
      <c r="I328" s="10">
        <v>0</v>
      </c>
      <c r="J328" s="10">
        <v>0</v>
      </c>
      <c r="K328" s="10">
        <v>7.0000000000000007E-2</v>
      </c>
      <c r="L328" s="10">
        <v>0</v>
      </c>
      <c r="M328" s="10">
        <v>0</v>
      </c>
      <c r="N328" s="10">
        <v>0</v>
      </c>
      <c r="O328" s="10">
        <v>0</v>
      </c>
      <c r="P328" s="10">
        <v>0.55000000000000004</v>
      </c>
      <c r="Q328" s="10">
        <v>0</v>
      </c>
      <c r="R328" s="10">
        <v>7.0000000000000007E-2</v>
      </c>
      <c r="S328" s="10">
        <v>0</v>
      </c>
      <c r="T328" s="10">
        <v>0</v>
      </c>
      <c r="U328" s="10">
        <v>0</v>
      </c>
    </row>
    <row r="329" spans="1:21">
      <c r="A329" s="72" t="s">
        <v>288</v>
      </c>
      <c r="B329" s="10" t="s">
        <v>151</v>
      </c>
      <c r="C329" s="10">
        <v>2030</v>
      </c>
      <c r="D329" s="10">
        <v>0.73</v>
      </c>
      <c r="E329" s="10">
        <v>0.1</v>
      </c>
      <c r="F329" s="10">
        <v>0.08</v>
      </c>
      <c r="G329" s="10">
        <v>0</v>
      </c>
      <c r="H329" s="10">
        <v>0</v>
      </c>
      <c r="I329" s="10">
        <v>0</v>
      </c>
      <c r="J329" s="10">
        <v>0</v>
      </c>
      <c r="K329" s="10">
        <v>7.0000000000000007E-2</v>
      </c>
      <c r="L329" s="10">
        <v>0</v>
      </c>
      <c r="M329" s="10">
        <v>0</v>
      </c>
      <c r="N329" s="10">
        <v>0</v>
      </c>
      <c r="O329" s="10">
        <v>0</v>
      </c>
      <c r="P329" s="10">
        <v>0.36</v>
      </c>
      <c r="Q329" s="10">
        <v>0</v>
      </c>
      <c r="R329" s="10">
        <v>0.03</v>
      </c>
      <c r="S329" s="10">
        <v>0</v>
      </c>
      <c r="T329" s="10">
        <v>0</v>
      </c>
      <c r="U329" s="10">
        <v>0</v>
      </c>
    </row>
    <row r="330" spans="1:21">
      <c r="A330" s="72" t="s">
        <v>288</v>
      </c>
      <c r="B330" s="10" t="s">
        <v>151</v>
      </c>
      <c r="C330" s="10">
        <v>2035</v>
      </c>
      <c r="D330" s="10">
        <v>0.71</v>
      </c>
      <c r="E330" s="10">
        <v>0.1</v>
      </c>
      <c r="F330" s="10">
        <v>0.08</v>
      </c>
      <c r="G330" s="10">
        <v>0</v>
      </c>
      <c r="H330" s="10">
        <v>0</v>
      </c>
      <c r="I330" s="10">
        <v>0</v>
      </c>
      <c r="J330" s="10">
        <v>0</v>
      </c>
      <c r="K330" s="10">
        <v>7.0000000000000007E-2</v>
      </c>
      <c r="L330" s="10">
        <v>0</v>
      </c>
      <c r="M330" s="10">
        <v>0</v>
      </c>
      <c r="N330" s="10">
        <v>0</v>
      </c>
      <c r="O330" s="10">
        <v>0</v>
      </c>
      <c r="P330" s="10">
        <v>0.03</v>
      </c>
      <c r="Q330" s="10">
        <v>0</v>
      </c>
      <c r="R330" s="10">
        <v>0.01</v>
      </c>
      <c r="S330" s="10">
        <v>0</v>
      </c>
      <c r="T330" s="10">
        <v>0</v>
      </c>
      <c r="U330" s="10">
        <v>0</v>
      </c>
    </row>
    <row r="331" spans="1:21">
      <c r="A331" s="72" t="s">
        <v>288</v>
      </c>
      <c r="B331" s="10" t="s">
        <v>151</v>
      </c>
      <c r="C331" s="10">
        <v>2040</v>
      </c>
      <c r="D331" s="10">
        <v>0.68</v>
      </c>
      <c r="E331" s="10">
        <v>0.1</v>
      </c>
      <c r="F331" s="10">
        <v>0.08</v>
      </c>
      <c r="G331" s="10">
        <v>0</v>
      </c>
      <c r="H331" s="10">
        <v>0</v>
      </c>
      <c r="I331" s="10">
        <v>0</v>
      </c>
      <c r="J331" s="10">
        <v>0</v>
      </c>
      <c r="K331" s="10">
        <v>7.0000000000000007E-2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</row>
    <row r="332" spans="1:21">
      <c r="A332" s="72" t="s">
        <v>288</v>
      </c>
      <c r="B332" s="10" t="s">
        <v>151</v>
      </c>
      <c r="C332" s="10">
        <v>2045</v>
      </c>
      <c r="D332" s="10">
        <v>0.66</v>
      </c>
      <c r="E332" s="10">
        <v>0.09</v>
      </c>
      <c r="F332" s="10">
        <v>0.08</v>
      </c>
      <c r="G332" s="10">
        <v>0</v>
      </c>
      <c r="H332" s="10">
        <v>0</v>
      </c>
      <c r="I332" s="10">
        <v>0</v>
      </c>
      <c r="J332" s="10">
        <v>0</v>
      </c>
      <c r="K332" s="10">
        <v>0.06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</row>
    <row r="333" spans="1:21">
      <c r="A333" s="72" t="s">
        <v>288</v>
      </c>
      <c r="B333" s="10" t="s">
        <v>151</v>
      </c>
      <c r="C333" s="10">
        <v>2050</v>
      </c>
      <c r="D333" s="10">
        <v>0.62</v>
      </c>
      <c r="E333" s="10">
        <v>0.09</v>
      </c>
      <c r="F333" s="10">
        <v>7.0000000000000007E-2</v>
      </c>
      <c r="G333" s="10">
        <v>0</v>
      </c>
      <c r="H333" s="10">
        <v>0</v>
      </c>
      <c r="I333" s="10">
        <v>0</v>
      </c>
      <c r="J333" s="10">
        <v>0</v>
      </c>
      <c r="K333" s="10">
        <v>0.06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</row>
    <row r="334" spans="1:21">
      <c r="A334" s="72" t="s">
        <v>289</v>
      </c>
      <c r="B334" s="10" t="s">
        <v>151</v>
      </c>
      <c r="C334" s="10">
        <v>2018</v>
      </c>
      <c r="D334" s="10">
        <v>0.88</v>
      </c>
      <c r="E334" s="10">
        <v>0.02</v>
      </c>
      <c r="F334" s="10">
        <v>0.09</v>
      </c>
      <c r="G334" s="10">
        <v>0</v>
      </c>
      <c r="H334" s="10">
        <v>0</v>
      </c>
      <c r="I334" s="10">
        <v>0</v>
      </c>
      <c r="J334" s="10">
        <v>0</v>
      </c>
      <c r="K334" s="10">
        <v>0.01</v>
      </c>
      <c r="L334" s="10">
        <v>0</v>
      </c>
      <c r="M334" s="10">
        <v>0</v>
      </c>
      <c r="N334" s="10">
        <v>0</v>
      </c>
      <c r="O334" s="10">
        <v>0</v>
      </c>
      <c r="P334" s="10">
        <f>D334-J334</f>
        <v>0.88</v>
      </c>
      <c r="Q334" s="10">
        <v>0</v>
      </c>
      <c r="R334" s="10">
        <v>0.09</v>
      </c>
      <c r="S334" s="10">
        <v>0</v>
      </c>
      <c r="T334" s="10">
        <v>0</v>
      </c>
      <c r="U334" s="10">
        <v>0</v>
      </c>
    </row>
    <row r="335" spans="1:21">
      <c r="A335" s="72" t="s">
        <v>289</v>
      </c>
      <c r="B335" s="10" t="s">
        <v>151</v>
      </c>
      <c r="C335" s="10">
        <v>2020</v>
      </c>
      <c r="D335" s="10">
        <v>0.87</v>
      </c>
      <c r="E335" s="10">
        <v>0.02</v>
      </c>
      <c r="F335" s="10">
        <v>0.09</v>
      </c>
      <c r="G335" s="10">
        <v>0</v>
      </c>
      <c r="H335" s="10">
        <v>0</v>
      </c>
      <c r="I335" s="10">
        <v>0</v>
      </c>
      <c r="J335" s="10">
        <v>0</v>
      </c>
      <c r="K335" s="10">
        <v>0.01</v>
      </c>
      <c r="L335" s="10">
        <v>0</v>
      </c>
      <c r="M335" s="10">
        <v>0</v>
      </c>
      <c r="N335" s="10">
        <v>0</v>
      </c>
      <c r="O335" s="10">
        <v>0</v>
      </c>
      <c r="P335" s="10">
        <v>0.81</v>
      </c>
      <c r="Q335" s="10">
        <v>0</v>
      </c>
      <c r="R335" s="10">
        <v>0.09</v>
      </c>
      <c r="S335" s="10">
        <v>0</v>
      </c>
      <c r="T335" s="10">
        <v>0</v>
      </c>
      <c r="U335" s="10">
        <v>0</v>
      </c>
    </row>
    <row r="336" spans="1:21">
      <c r="A336" s="72" t="s">
        <v>289</v>
      </c>
      <c r="B336" s="10" t="s">
        <v>151</v>
      </c>
      <c r="C336" s="10">
        <v>2025</v>
      </c>
      <c r="D336" s="10">
        <v>0.85</v>
      </c>
      <c r="E336" s="10">
        <v>0.02</v>
      </c>
      <c r="F336" s="10">
        <v>0.09</v>
      </c>
      <c r="G336" s="10">
        <v>0</v>
      </c>
      <c r="H336" s="10">
        <v>0</v>
      </c>
      <c r="I336" s="10">
        <v>0</v>
      </c>
      <c r="J336" s="10">
        <v>0</v>
      </c>
      <c r="K336" s="10">
        <v>0.01</v>
      </c>
      <c r="L336" s="10">
        <v>0</v>
      </c>
      <c r="M336" s="10">
        <v>0</v>
      </c>
      <c r="N336" s="10">
        <v>0</v>
      </c>
      <c r="O336" s="10">
        <v>0</v>
      </c>
      <c r="P336" s="10">
        <v>0.62</v>
      </c>
      <c r="Q336" s="10">
        <v>0</v>
      </c>
      <c r="R336" s="10">
        <v>7.0000000000000007E-2</v>
      </c>
      <c r="S336" s="10">
        <v>0</v>
      </c>
      <c r="T336" s="10">
        <v>0</v>
      </c>
      <c r="U336" s="10">
        <v>0</v>
      </c>
    </row>
    <row r="337" spans="1:21">
      <c r="A337" s="72" t="s">
        <v>289</v>
      </c>
      <c r="B337" s="10" t="s">
        <v>151</v>
      </c>
      <c r="C337" s="10">
        <v>2030</v>
      </c>
      <c r="D337" s="10">
        <v>0.82</v>
      </c>
      <c r="E337" s="10">
        <v>0.02</v>
      </c>
      <c r="F337" s="10">
        <v>0.08</v>
      </c>
      <c r="G337" s="10">
        <v>0</v>
      </c>
      <c r="H337" s="10">
        <v>0</v>
      </c>
      <c r="I337" s="10">
        <v>0</v>
      </c>
      <c r="J337" s="10">
        <v>0</v>
      </c>
      <c r="K337" s="10">
        <v>0.01</v>
      </c>
      <c r="L337" s="10">
        <v>0</v>
      </c>
      <c r="M337" s="10">
        <v>0</v>
      </c>
      <c r="N337" s="10">
        <v>0</v>
      </c>
      <c r="O337" s="10">
        <v>0</v>
      </c>
      <c r="P337" s="10">
        <v>0.41</v>
      </c>
      <c r="Q337" s="10">
        <v>0</v>
      </c>
      <c r="R337" s="10">
        <v>0.03</v>
      </c>
      <c r="S337" s="10">
        <v>0</v>
      </c>
      <c r="T337" s="10">
        <v>0</v>
      </c>
      <c r="U337" s="10">
        <v>0</v>
      </c>
    </row>
    <row r="338" spans="1:21">
      <c r="A338" s="72" t="s">
        <v>289</v>
      </c>
      <c r="B338" s="10" t="s">
        <v>151</v>
      </c>
      <c r="C338" s="10">
        <v>2035</v>
      </c>
      <c r="D338" s="10">
        <v>0.79</v>
      </c>
      <c r="E338" s="10">
        <v>0.01</v>
      </c>
      <c r="F338" s="10">
        <v>0.08</v>
      </c>
      <c r="G338" s="10">
        <v>0</v>
      </c>
      <c r="H338" s="10">
        <v>0</v>
      </c>
      <c r="I338" s="10">
        <v>0</v>
      </c>
      <c r="J338" s="10">
        <v>0</v>
      </c>
      <c r="K338" s="10">
        <v>0.01</v>
      </c>
      <c r="L338" s="10">
        <v>0</v>
      </c>
      <c r="M338" s="10">
        <v>0</v>
      </c>
      <c r="N338" s="10">
        <v>0</v>
      </c>
      <c r="O338" s="10">
        <v>0</v>
      </c>
      <c r="P338" s="10">
        <v>0.03</v>
      </c>
      <c r="Q338" s="10">
        <v>0</v>
      </c>
      <c r="R338" s="10">
        <v>0.01</v>
      </c>
      <c r="S338" s="10">
        <v>0</v>
      </c>
      <c r="T338" s="10">
        <v>0</v>
      </c>
      <c r="U338" s="10">
        <v>0</v>
      </c>
    </row>
    <row r="339" spans="1:21">
      <c r="A339" s="72" t="s">
        <v>289</v>
      </c>
      <c r="B339" s="10" t="s">
        <v>151</v>
      </c>
      <c r="C339" s="10">
        <v>2040</v>
      </c>
      <c r="D339" s="10">
        <v>0.76</v>
      </c>
      <c r="E339" s="10">
        <v>0.01</v>
      </c>
      <c r="F339" s="10">
        <v>0.08</v>
      </c>
      <c r="G339" s="10">
        <v>0</v>
      </c>
      <c r="H339" s="10">
        <v>0</v>
      </c>
      <c r="I339" s="10">
        <v>0</v>
      </c>
      <c r="J339" s="10">
        <v>0</v>
      </c>
      <c r="K339" s="10">
        <v>0.01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</row>
    <row r="340" spans="1:21">
      <c r="A340" s="72" t="s">
        <v>289</v>
      </c>
      <c r="B340" s="10" t="s">
        <v>151</v>
      </c>
      <c r="C340" s="10">
        <v>2045</v>
      </c>
      <c r="D340" s="10">
        <v>0.74</v>
      </c>
      <c r="E340" s="10">
        <v>0.01</v>
      </c>
      <c r="F340" s="10">
        <v>0.08</v>
      </c>
      <c r="G340" s="10">
        <v>0</v>
      </c>
      <c r="H340" s="10">
        <v>0</v>
      </c>
      <c r="I340" s="10">
        <v>0</v>
      </c>
      <c r="J340" s="10">
        <v>0</v>
      </c>
      <c r="K340" s="10">
        <v>0.01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</row>
    <row r="341" spans="1:21">
      <c r="A341" s="72" t="s">
        <v>289</v>
      </c>
      <c r="B341" s="10" t="s">
        <v>151</v>
      </c>
      <c r="C341" s="10">
        <v>2050</v>
      </c>
      <c r="D341" s="10">
        <v>0.7</v>
      </c>
      <c r="E341" s="10">
        <v>0.01</v>
      </c>
      <c r="F341" s="10">
        <v>7.0000000000000007E-2</v>
      </c>
      <c r="G341" s="10">
        <v>0</v>
      </c>
      <c r="H341" s="10">
        <v>0</v>
      </c>
      <c r="I341" s="10">
        <v>0</v>
      </c>
      <c r="J341" s="10">
        <v>0</v>
      </c>
      <c r="K341" s="10">
        <v>0.01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</row>
    <row r="342" spans="1:21">
      <c r="A342" s="72" t="s">
        <v>290</v>
      </c>
      <c r="B342" s="10" t="s">
        <v>151</v>
      </c>
      <c r="C342" s="10">
        <v>2018</v>
      </c>
      <c r="D342" s="10">
        <v>0.86</v>
      </c>
      <c r="E342" s="10">
        <v>0.04</v>
      </c>
      <c r="F342" s="10">
        <v>0.09</v>
      </c>
      <c r="G342" s="10">
        <v>0</v>
      </c>
      <c r="H342" s="10">
        <v>0</v>
      </c>
      <c r="I342" s="10">
        <v>0</v>
      </c>
      <c r="J342" s="10">
        <v>0</v>
      </c>
      <c r="K342" s="10">
        <v>0.03</v>
      </c>
      <c r="L342" s="10">
        <v>0</v>
      </c>
      <c r="M342" s="10">
        <v>0</v>
      </c>
      <c r="N342" s="10">
        <v>0</v>
      </c>
      <c r="O342" s="10">
        <v>0</v>
      </c>
      <c r="P342" s="10">
        <f>D342-J342</f>
        <v>0.86</v>
      </c>
      <c r="Q342" s="10">
        <v>0.01</v>
      </c>
      <c r="R342" s="10">
        <v>0.09</v>
      </c>
      <c r="S342" s="10">
        <v>0</v>
      </c>
      <c r="T342" s="10">
        <v>0</v>
      </c>
      <c r="U342" s="10">
        <v>0</v>
      </c>
    </row>
    <row r="343" spans="1:21">
      <c r="A343" s="72" t="s">
        <v>290</v>
      </c>
      <c r="B343" s="10" t="s">
        <v>151</v>
      </c>
      <c r="C343" s="10">
        <v>2020</v>
      </c>
      <c r="D343" s="10">
        <v>0.85</v>
      </c>
      <c r="E343" s="10">
        <v>0.04</v>
      </c>
      <c r="F343" s="10">
        <v>0.09</v>
      </c>
      <c r="G343" s="10">
        <v>0</v>
      </c>
      <c r="H343" s="10">
        <v>0</v>
      </c>
      <c r="I343" s="10">
        <v>0</v>
      </c>
      <c r="J343" s="10">
        <v>0</v>
      </c>
      <c r="K343" s="10">
        <v>0.02</v>
      </c>
      <c r="L343" s="10">
        <v>0</v>
      </c>
      <c r="M343" s="10">
        <v>0</v>
      </c>
      <c r="N343" s="10">
        <v>0</v>
      </c>
      <c r="O343" s="10">
        <v>0</v>
      </c>
      <c r="P343" s="10">
        <v>0.79</v>
      </c>
      <c r="Q343" s="10">
        <v>0.01</v>
      </c>
      <c r="R343" s="10">
        <v>0.09</v>
      </c>
      <c r="S343" s="10">
        <v>0</v>
      </c>
      <c r="T343" s="10">
        <v>0</v>
      </c>
      <c r="U343" s="10">
        <v>0</v>
      </c>
    </row>
    <row r="344" spans="1:21">
      <c r="A344" s="72" t="s">
        <v>290</v>
      </c>
      <c r="B344" s="10" t="s">
        <v>151</v>
      </c>
      <c r="C344" s="10">
        <v>2025</v>
      </c>
      <c r="D344" s="10">
        <v>0.83</v>
      </c>
      <c r="E344" s="10">
        <v>0.04</v>
      </c>
      <c r="F344" s="10">
        <v>0.09</v>
      </c>
      <c r="G344" s="10">
        <v>0</v>
      </c>
      <c r="H344" s="10">
        <v>0</v>
      </c>
      <c r="I344" s="10">
        <v>0</v>
      </c>
      <c r="J344" s="10">
        <v>0</v>
      </c>
      <c r="K344" s="10">
        <v>0.02</v>
      </c>
      <c r="L344" s="10">
        <v>0</v>
      </c>
      <c r="M344" s="10">
        <v>0</v>
      </c>
      <c r="N344" s="10">
        <v>0</v>
      </c>
      <c r="O344" s="10">
        <v>0</v>
      </c>
      <c r="P344" s="10">
        <v>0.6</v>
      </c>
      <c r="Q344" s="10">
        <v>0</v>
      </c>
      <c r="R344" s="10">
        <v>7.0000000000000007E-2</v>
      </c>
      <c r="S344" s="10">
        <v>0</v>
      </c>
      <c r="T344" s="10">
        <v>0</v>
      </c>
      <c r="U344" s="10">
        <v>0</v>
      </c>
    </row>
    <row r="345" spans="1:21">
      <c r="A345" s="72" t="s">
        <v>290</v>
      </c>
      <c r="B345" s="10" t="s">
        <v>151</v>
      </c>
      <c r="C345" s="10">
        <v>2030</v>
      </c>
      <c r="D345" s="10">
        <v>0.8</v>
      </c>
      <c r="E345" s="10">
        <v>0.03</v>
      </c>
      <c r="F345" s="10">
        <v>0.08</v>
      </c>
      <c r="G345" s="10">
        <v>0</v>
      </c>
      <c r="H345" s="10">
        <v>0</v>
      </c>
      <c r="I345" s="10">
        <v>0</v>
      </c>
      <c r="J345" s="10">
        <v>0</v>
      </c>
      <c r="K345" s="10">
        <v>0.02</v>
      </c>
      <c r="L345" s="10">
        <v>0</v>
      </c>
      <c r="M345" s="10">
        <v>0</v>
      </c>
      <c r="N345" s="10">
        <v>0</v>
      </c>
      <c r="O345" s="10">
        <v>0</v>
      </c>
      <c r="P345" s="10">
        <v>0.4</v>
      </c>
      <c r="Q345" s="10">
        <v>0</v>
      </c>
      <c r="R345" s="10">
        <v>0.03</v>
      </c>
      <c r="S345" s="10">
        <v>0</v>
      </c>
      <c r="T345" s="10">
        <v>0</v>
      </c>
      <c r="U345" s="10">
        <v>0</v>
      </c>
    </row>
    <row r="346" spans="1:21">
      <c r="A346" s="72" t="s">
        <v>290</v>
      </c>
      <c r="B346" s="10" t="s">
        <v>151</v>
      </c>
      <c r="C346" s="10">
        <v>2035</v>
      </c>
      <c r="D346" s="10">
        <v>0.77</v>
      </c>
      <c r="E346" s="10">
        <v>0.03</v>
      </c>
      <c r="F346" s="10">
        <v>0.08</v>
      </c>
      <c r="G346" s="10">
        <v>0</v>
      </c>
      <c r="H346" s="10">
        <v>0</v>
      </c>
      <c r="I346" s="10">
        <v>0</v>
      </c>
      <c r="J346" s="10">
        <v>0</v>
      </c>
      <c r="K346" s="10">
        <v>0.02</v>
      </c>
      <c r="L346" s="10">
        <v>0</v>
      </c>
      <c r="M346" s="10">
        <v>0</v>
      </c>
      <c r="N346" s="10">
        <v>0</v>
      </c>
      <c r="O346" s="10">
        <v>0</v>
      </c>
      <c r="P346" s="10">
        <v>0.03</v>
      </c>
      <c r="Q346" s="10">
        <v>0</v>
      </c>
      <c r="R346" s="10">
        <v>0.01</v>
      </c>
      <c r="S346" s="10">
        <v>0</v>
      </c>
      <c r="T346" s="10">
        <v>0</v>
      </c>
      <c r="U346" s="10">
        <v>0</v>
      </c>
    </row>
    <row r="347" spans="1:21">
      <c r="A347" s="72" t="s">
        <v>290</v>
      </c>
      <c r="B347" s="10" t="s">
        <v>151</v>
      </c>
      <c r="C347" s="10">
        <v>2040</v>
      </c>
      <c r="D347" s="10">
        <v>0.74</v>
      </c>
      <c r="E347" s="10">
        <v>0.03</v>
      </c>
      <c r="F347" s="10">
        <v>0.08</v>
      </c>
      <c r="G347" s="10">
        <v>0</v>
      </c>
      <c r="H347" s="10">
        <v>0</v>
      </c>
      <c r="I347" s="10">
        <v>0</v>
      </c>
      <c r="J347" s="10">
        <v>0</v>
      </c>
      <c r="K347" s="10">
        <v>0.02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</row>
    <row r="348" spans="1:21">
      <c r="A348" s="72" t="s">
        <v>290</v>
      </c>
      <c r="B348" s="10" t="s">
        <v>151</v>
      </c>
      <c r="C348" s="10">
        <v>2045</v>
      </c>
      <c r="D348" s="10">
        <v>0.72</v>
      </c>
      <c r="E348" s="10">
        <v>0.03</v>
      </c>
      <c r="F348" s="10">
        <v>0.08</v>
      </c>
      <c r="G348" s="10">
        <v>0</v>
      </c>
      <c r="H348" s="10">
        <v>0</v>
      </c>
      <c r="I348" s="10">
        <v>0</v>
      </c>
      <c r="J348" s="10">
        <v>0</v>
      </c>
      <c r="K348" s="10">
        <v>0.02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</row>
    <row r="349" spans="1:21">
      <c r="A349" s="72" t="s">
        <v>290</v>
      </c>
      <c r="B349" s="10" t="s">
        <v>151</v>
      </c>
      <c r="C349" s="10">
        <v>2050</v>
      </c>
      <c r="D349" s="10">
        <v>0.68</v>
      </c>
      <c r="E349" s="10">
        <v>0.03</v>
      </c>
      <c r="F349" s="10">
        <v>7.0000000000000007E-2</v>
      </c>
      <c r="G349" s="10">
        <v>0</v>
      </c>
      <c r="H349" s="10">
        <v>0</v>
      </c>
      <c r="I349" s="10">
        <v>0</v>
      </c>
      <c r="J349" s="10">
        <v>0</v>
      </c>
      <c r="K349" s="10">
        <v>0.02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</row>
    <row r="350" spans="1:21">
      <c r="A350" s="72" t="s">
        <v>291</v>
      </c>
      <c r="B350" s="10" t="s">
        <v>151</v>
      </c>
      <c r="C350" s="10">
        <v>2018</v>
      </c>
      <c r="D350" s="10">
        <v>0.79</v>
      </c>
      <c r="E350" s="10">
        <v>0.11</v>
      </c>
      <c r="F350" s="10">
        <v>0.09</v>
      </c>
      <c r="G350" s="10">
        <v>0</v>
      </c>
      <c r="H350" s="10">
        <v>0</v>
      </c>
      <c r="I350" s="10">
        <v>0</v>
      </c>
      <c r="J350" s="10">
        <v>0</v>
      </c>
      <c r="K350" s="10">
        <v>7.0000000000000007E-2</v>
      </c>
      <c r="L350" s="10">
        <v>0</v>
      </c>
      <c r="M350" s="10">
        <v>0</v>
      </c>
      <c r="N350" s="10">
        <v>0</v>
      </c>
      <c r="O350" s="10">
        <v>0</v>
      </c>
      <c r="P350" s="10">
        <f>D350-J350</f>
        <v>0.79</v>
      </c>
      <c r="Q350" s="10">
        <v>0.03</v>
      </c>
      <c r="R350" s="10">
        <v>0.09</v>
      </c>
      <c r="S350" s="10">
        <v>0</v>
      </c>
      <c r="T350" s="10">
        <v>0</v>
      </c>
      <c r="U350" s="10">
        <v>0</v>
      </c>
    </row>
    <row r="351" spans="1:21">
      <c r="A351" s="72" t="s">
        <v>291</v>
      </c>
      <c r="B351" s="10" t="s">
        <v>151</v>
      </c>
      <c r="C351" s="10">
        <v>2020</v>
      </c>
      <c r="D351" s="10">
        <v>0.78</v>
      </c>
      <c r="E351" s="10">
        <v>0.11</v>
      </c>
      <c r="F351" s="10">
        <v>0.09</v>
      </c>
      <c r="G351" s="10">
        <v>0</v>
      </c>
      <c r="H351" s="10">
        <v>0</v>
      </c>
      <c r="I351" s="10">
        <v>0</v>
      </c>
      <c r="J351" s="10">
        <v>0</v>
      </c>
      <c r="K351" s="10">
        <v>7.0000000000000007E-2</v>
      </c>
      <c r="L351" s="10">
        <v>0</v>
      </c>
      <c r="M351" s="10">
        <v>0</v>
      </c>
      <c r="N351" s="10">
        <v>0</v>
      </c>
      <c r="O351" s="10">
        <v>0</v>
      </c>
      <c r="P351" s="10">
        <v>0.73</v>
      </c>
      <c r="Q351" s="10">
        <v>0.02</v>
      </c>
      <c r="R351" s="10">
        <v>0.09</v>
      </c>
      <c r="S351" s="10">
        <v>0</v>
      </c>
      <c r="T351" s="10">
        <v>0</v>
      </c>
      <c r="U351" s="10">
        <v>0</v>
      </c>
    </row>
    <row r="352" spans="1:21">
      <c r="A352" s="72" t="s">
        <v>291</v>
      </c>
      <c r="B352" s="10" t="s">
        <v>151</v>
      </c>
      <c r="C352" s="10">
        <v>2025</v>
      </c>
      <c r="D352" s="10">
        <v>0.76</v>
      </c>
      <c r="E352" s="10">
        <v>0.1</v>
      </c>
      <c r="F352" s="10">
        <v>0.09</v>
      </c>
      <c r="G352" s="10">
        <v>0</v>
      </c>
      <c r="H352" s="10">
        <v>0</v>
      </c>
      <c r="I352" s="10">
        <v>0</v>
      </c>
      <c r="J352" s="10">
        <v>0</v>
      </c>
      <c r="K352" s="10">
        <v>7.0000000000000007E-2</v>
      </c>
      <c r="L352" s="10">
        <v>0</v>
      </c>
      <c r="M352" s="10">
        <v>0</v>
      </c>
      <c r="N352" s="10">
        <v>0</v>
      </c>
      <c r="O352" s="10">
        <v>0</v>
      </c>
      <c r="P352" s="10">
        <v>0.55000000000000004</v>
      </c>
      <c r="Q352" s="10">
        <v>0</v>
      </c>
      <c r="R352" s="10">
        <v>7.0000000000000007E-2</v>
      </c>
      <c r="S352" s="10">
        <v>0</v>
      </c>
      <c r="T352" s="10">
        <v>0</v>
      </c>
      <c r="U352" s="10">
        <v>0</v>
      </c>
    </row>
    <row r="353" spans="1:21">
      <c r="A353" s="72" t="s">
        <v>291</v>
      </c>
      <c r="B353" s="10" t="s">
        <v>151</v>
      </c>
      <c r="C353" s="10">
        <v>2030</v>
      </c>
      <c r="D353" s="10">
        <v>0.73</v>
      </c>
      <c r="E353" s="10">
        <v>0.1</v>
      </c>
      <c r="F353" s="10">
        <v>0.08</v>
      </c>
      <c r="G353" s="10">
        <v>0</v>
      </c>
      <c r="H353" s="10">
        <v>0</v>
      </c>
      <c r="I353" s="10">
        <v>0</v>
      </c>
      <c r="J353" s="10">
        <v>0</v>
      </c>
      <c r="K353" s="10">
        <v>7.0000000000000007E-2</v>
      </c>
      <c r="L353" s="10">
        <v>0</v>
      </c>
      <c r="M353" s="10">
        <v>0</v>
      </c>
      <c r="N353" s="10">
        <v>0</v>
      </c>
      <c r="O353" s="10">
        <v>0</v>
      </c>
      <c r="P353" s="10">
        <v>0.36</v>
      </c>
      <c r="Q353" s="10">
        <v>0</v>
      </c>
      <c r="R353" s="10">
        <v>0.03</v>
      </c>
      <c r="S353" s="10">
        <v>0</v>
      </c>
      <c r="T353" s="10">
        <v>0</v>
      </c>
      <c r="U353" s="10">
        <v>0</v>
      </c>
    </row>
    <row r="354" spans="1:21">
      <c r="A354" s="72" t="s">
        <v>291</v>
      </c>
      <c r="B354" s="10" t="s">
        <v>151</v>
      </c>
      <c r="C354" s="10">
        <v>2035</v>
      </c>
      <c r="D354" s="10">
        <v>0.71</v>
      </c>
      <c r="E354" s="10">
        <v>0.1</v>
      </c>
      <c r="F354" s="10">
        <v>0.08</v>
      </c>
      <c r="G354" s="10">
        <v>0</v>
      </c>
      <c r="H354" s="10">
        <v>0</v>
      </c>
      <c r="I354" s="10">
        <v>0</v>
      </c>
      <c r="J354" s="10">
        <v>0</v>
      </c>
      <c r="K354" s="10">
        <v>7.0000000000000007E-2</v>
      </c>
      <c r="L354" s="10">
        <v>0</v>
      </c>
      <c r="M354" s="10">
        <v>0</v>
      </c>
      <c r="N354" s="10">
        <v>0</v>
      </c>
      <c r="O354" s="10">
        <v>0</v>
      </c>
      <c r="P354" s="10">
        <v>0.03</v>
      </c>
      <c r="Q354" s="10">
        <v>0</v>
      </c>
      <c r="R354" s="10">
        <v>0.01</v>
      </c>
      <c r="S354" s="10">
        <v>0</v>
      </c>
      <c r="T354" s="10">
        <v>0</v>
      </c>
      <c r="U354" s="10">
        <v>0</v>
      </c>
    </row>
    <row r="355" spans="1:21">
      <c r="A355" s="72" t="s">
        <v>291</v>
      </c>
      <c r="B355" s="10" t="s">
        <v>151</v>
      </c>
      <c r="C355" s="10">
        <v>2040</v>
      </c>
      <c r="D355" s="10">
        <v>0.68</v>
      </c>
      <c r="E355" s="10">
        <v>0.09</v>
      </c>
      <c r="F355" s="10">
        <v>0.08</v>
      </c>
      <c r="G355" s="10">
        <v>0</v>
      </c>
      <c r="H355" s="10">
        <v>0</v>
      </c>
      <c r="I355" s="10">
        <v>0</v>
      </c>
      <c r="J355" s="10">
        <v>0</v>
      </c>
      <c r="K355" s="10">
        <v>0.06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</row>
    <row r="356" spans="1:21">
      <c r="A356" s="72" t="s">
        <v>291</v>
      </c>
      <c r="B356" s="10" t="s">
        <v>151</v>
      </c>
      <c r="C356" s="10">
        <v>2045</v>
      </c>
      <c r="D356" s="10">
        <v>0.66</v>
      </c>
      <c r="E356" s="10">
        <v>0.09</v>
      </c>
      <c r="F356" s="10">
        <v>0.08</v>
      </c>
      <c r="G356" s="10">
        <v>0</v>
      </c>
      <c r="H356" s="10">
        <v>0</v>
      </c>
      <c r="I356" s="10">
        <v>0</v>
      </c>
      <c r="J356" s="10">
        <v>0</v>
      </c>
      <c r="K356" s="10">
        <v>0.06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</row>
    <row r="357" spans="1:21">
      <c r="A357" s="72" t="s">
        <v>291</v>
      </c>
      <c r="B357" s="10" t="s">
        <v>151</v>
      </c>
      <c r="C357" s="10">
        <v>2050</v>
      </c>
      <c r="D357" s="10">
        <v>0.63</v>
      </c>
      <c r="E357" s="10">
        <v>0.08</v>
      </c>
      <c r="F357" s="10">
        <v>7.0000000000000007E-2</v>
      </c>
      <c r="G357" s="10">
        <v>0</v>
      </c>
      <c r="H357" s="10">
        <v>0</v>
      </c>
      <c r="I357" s="10">
        <v>0</v>
      </c>
      <c r="J357" s="10">
        <v>0</v>
      </c>
      <c r="K357" s="10">
        <v>0.06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</row>
    <row r="358" spans="1:21">
      <c r="A358" s="72" t="s">
        <v>292</v>
      </c>
      <c r="B358" s="10" t="s">
        <v>151</v>
      </c>
      <c r="C358" s="10">
        <v>2018</v>
      </c>
      <c r="D358" s="10">
        <v>0.86</v>
      </c>
      <c r="E358" s="10">
        <v>0.03</v>
      </c>
      <c r="F358" s="10">
        <v>0.09</v>
      </c>
      <c r="G358" s="10">
        <v>0</v>
      </c>
      <c r="H358" s="10">
        <v>0</v>
      </c>
      <c r="I358" s="10">
        <v>0</v>
      </c>
      <c r="J358" s="10">
        <v>0</v>
      </c>
      <c r="K358" s="10">
        <v>0.02</v>
      </c>
      <c r="L358" s="10">
        <v>0</v>
      </c>
      <c r="M358" s="10">
        <v>0</v>
      </c>
      <c r="N358" s="10">
        <v>0</v>
      </c>
      <c r="O358" s="10">
        <v>0</v>
      </c>
      <c r="P358" s="10">
        <f>D358-J358</f>
        <v>0.86</v>
      </c>
      <c r="Q358" s="10">
        <v>0.01</v>
      </c>
      <c r="R358" s="10">
        <v>0.09</v>
      </c>
      <c r="S358" s="10">
        <v>0</v>
      </c>
      <c r="T358" s="10">
        <v>0</v>
      </c>
      <c r="U358" s="10">
        <v>0</v>
      </c>
    </row>
    <row r="359" spans="1:21">
      <c r="A359" s="72" t="s">
        <v>292</v>
      </c>
      <c r="B359" s="10" t="s">
        <v>151</v>
      </c>
      <c r="C359" s="10">
        <v>2020</v>
      </c>
      <c r="D359" s="10">
        <v>0.86</v>
      </c>
      <c r="E359" s="10">
        <v>0.03</v>
      </c>
      <c r="F359" s="10">
        <v>0.09</v>
      </c>
      <c r="G359" s="10">
        <v>0</v>
      </c>
      <c r="H359" s="10">
        <v>0</v>
      </c>
      <c r="I359" s="10">
        <v>0</v>
      </c>
      <c r="J359" s="10">
        <v>0</v>
      </c>
      <c r="K359" s="10">
        <v>0.02</v>
      </c>
      <c r="L359" s="10">
        <v>0</v>
      </c>
      <c r="M359" s="10">
        <v>0</v>
      </c>
      <c r="N359" s="10">
        <v>0</v>
      </c>
      <c r="O359" s="10">
        <v>0</v>
      </c>
      <c r="P359" s="10">
        <v>0.8</v>
      </c>
      <c r="Q359" s="10">
        <v>0</v>
      </c>
      <c r="R359" s="10">
        <v>0.09</v>
      </c>
      <c r="S359" s="10">
        <v>0</v>
      </c>
      <c r="T359" s="10">
        <v>0</v>
      </c>
      <c r="U359" s="10">
        <v>0</v>
      </c>
    </row>
    <row r="360" spans="1:21">
      <c r="A360" s="72" t="s">
        <v>292</v>
      </c>
      <c r="B360" s="10" t="s">
        <v>151</v>
      </c>
      <c r="C360" s="10">
        <v>2025</v>
      </c>
      <c r="D360" s="10">
        <v>0.83</v>
      </c>
      <c r="E360" s="10">
        <v>0.03</v>
      </c>
      <c r="F360" s="10">
        <v>0.09</v>
      </c>
      <c r="G360" s="10">
        <v>0</v>
      </c>
      <c r="H360" s="10">
        <v>0</v>
      </c>
      <c r="I360" s="10">
        <v>0</v>
      </c>
      <c r="J360" s="10">
        <v>0</v>
      </c>
      <c r="K360" s="10">
        <v>0.02</v>
      </c>
      <c r="L360" s="10">
        <v>0</v>
      </c>
      <c r="M360" s="10">
        <v>0</v>
      </c>
      <c r="N360" s="10">
        <v>0</v>
      </c>
      <c r="O360" s="10">
        <v>0</v>
      </c>
      <c r="P360" s="10">
        <v>0.61</v>
      </c>
      <c r="Q360" s="10">
        <v>0</v>
      </c>
      <c r="R360" s="10">
        <v>7.0000000000000007E-2</v>
      </c>
      <c r="S360" s="10">
        <v>0</v>
      </c>
      <c r="T360" s="10">
        <v>0</v>
      </c>
      <c r="U360" s="10">
        <v>0</v>
      </c>
    </row>
    <row r="361" spans="1:21">
      <c r="A361" s="72" t="s">
        <v>292</v>
      </c>
      <c r="B361" s="10" t="s">
        <v>151</v>
      </c>
      <c r="C361" s="10">
        <v>2030</v>
      </c>
      <c r="D361" s="10">
        <v>0.8</v>
      </c>
      <c r="E361" s="10">
        <v>0.03</v>
      </c>
      <c r="F361" s="10">
        <v>0.08</v>
      </c>
      <c r="G361" s="10">
        <v>0</v>
      </c>
      <c r="H361" s="10">
        <v>0</v>
      </c>
      <c r="I361" s="10">
        <v>0</v>
      </c>
      <c r="J361" s="10">
        <v>0</v>
      </c>
      <c r="K361" s="10">
        <v>0.02</v>
      </c>
      <c r="L361" s="10">
        <v>0</v>
      </c>
      <c r="M361" s="10">
        <v>0</v>
      </c>
      <c r="N361" s="10">
        <v>0</v>
      </c>
      <c r="O361" s="10">
        <v>0</v>
      </c>
      <c r="P361" s="10">
        <v>0.4</v>
      </c>
      <c r="Q361" s="10">
        <v>0</v>
      </c>
      <c r="R361" s="10">
        <v>0.03</v>
      </c>
      <c r="S361" s="10">
        <v>0</v>
      </c>
      <c r="T361" s="10">
        <v>0</v>
      </c>
      <c r="U361" s="10">
        <v>0</v>
      </c>
    </row>
    <row r="362" spans="1:21">
      <c r="A362" s="72" t="s">
        <v>292</v>
      </c>
      <c r="B362" s="10" t="s">
        <v>151</v>
      </c>
      <c r="C362" s="10">
        <v>2035</v>
      </c>
      <c r="D362" s="10">
        <v>0.78</v>
      </c>
      <c r="E362" s="10">
        <v>0.03</v>
      </c>
      <c r="F362" s="10">
        <v>0.08</v>
      </c>
      <c r="G362" s="10">
        <v>0</v>
      </c>
      <c r="H362" s="10">
        <v>0</v>
      </c>
      <c r="I362" s="10">
        <v>0</v>
      </c>
      <c r="J362" s="10">
        <v>0</v>
      </c>
      <c r="K362" s="10">
        <v>0.02</v>
      </c>
      <c r="L362" s="10">
        <v>0</v>
      </c>
      <c r="M362" s="10">
        <v>0</v>
      </c>
      <c r="N362" s="10">
        <v>0</v>
      </c>
      <c r="O362" s="10">
        <v>0</v>
      </c>
      <c r="P362" s="10">
        <v>0.03</v>
      </c>
      <c r="Q362" s="10">
        <v>0</v>
      </c>
      <c r="R362" s="10">
        <v>0.01</v>
      </c>
      <c r="S362" s="10">
        <v>0</v>
      </c>
      <c r="T362" s="10">
        <v>0</v>
      </c>
      <c r="U362" s="10">
        <v>0</v>
      </c>
    </row>
    <row r="363" spans="1:21">
      <c r="A363" s="72" t="s">
        <v>292</v>
      </c>
      <c r="B363" s="10" t="s">
        <v>151</v>
      </c>
      <c r="C363" s="10">
        <v>2040</v>
      </c>
      <c r="D363" s="10">
        <v>0.75</v>
      </c>
      <c r="E363" s="10">
        <v>0.03</v>
      </c>
      <c r="F363" s="10">
        <v>0.08</v>
      </c>
      <c r="G363" s="10">
        <v>0</v>
      </c>
      <c r="H363" s="10">
        <v>0</v>
      </c>
      <c r="I363" s="10">
        <v>0</v>
      </c>
      <c r="J363" s="10">
        <v>0</v>
      </c>
      <c r="K363" s="10">
        <v>0.02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</row>
    <row r="364" spans="1:21">
      <c r="A364" s="72" t="s">
        <v>292</v>
      </c>
      <c r="B364" s="10" t="s">
        <v>151</v>
      </c>
      <c r="C364" s="10">
        <v>2045</v>
      </c>
      <c r="D364" s="10">
        <v>0.72</v>
      </c>
      <c r="E364" s="10">
        <v>0.03</v>
      </c>
      <c r="F364" s="10">
        <v>0.08</v>
      </c>
      <c r="G364" s="10">
        <v>0</v>
      </c>
      <c r="H364" s="10">
        <v>0</v>
      </c>
      <c r="I364" s="10">
        <v>0</v>
      </c>
      <c r="J364" s="10">
        <v>0</v>
      </c>
      <c r="K364" s="10">
        <v>0.02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</row>
    <row r="365" spans="1:21">
      <c r="A365" s="72" t="s">
        <v>292</v>
      </c>
      <c r="B365" s="10" t="s">
        <v>151</v>
      </c>
      <c r="C365" s="10">
        <v>2050</v>
      </c>
      <c r="D365" s="10">
        <v>0.69</v>
      </c>
      <c r="E365" s="10">
        <v>0.02</v>
      </c>
      <c r="F365" s="10">
        <v>7.0000000000000007E-2</v>
      </c>
      <c r="G365" s="10">
        <v>0</v>
      </c>
      <c r="H365" s="10">
        <v>0</v>
      </c>
      <c r="I365" s="10">
        <v>0</v>
      </c>
      <c r="J365" s="10">
        <v>0</v>
      </c>
      <c r="K365" s="10">
        <v>0.02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</row>
    <row r="366" spans="1:21">
      <c r="A366" s="72" t="s">
        <v>293</v>
      </c>
      <c r="B366" s="10" t="s">
        <v>151</v>
      </c>
      <c r="C366" s="10">
        <v>2018</v>
      </c>
      <c r="D366" s="10">
        <v>0.83</v>
      </c>
      <c r="E366" s="10">
        <v>7.0000000000000007E-2</v>
      </c>
      <c r="F366" s="10">
        <v>0.09</v>
      </c>
      <c r="G366" s="10">
        <v>0</v>
      </c>
      <c r="H366" s="10">
        <v>0</v>
      </c>
      <c r="I366" s="10">
        <v>0</v>
      </c>
      <c r="J366" s="10">
        <v>0</v>
      </c>
      <c r="K366" s="10">
        <v>0.04</v>
      </c>
      <c r="L366" s="10">
        <v>0</v>
      </c>
      <c r="M366" s="10">
        <v>0</v>
      </c>
      <c r="N366" s="10">
        <v>0</v>
      </c>
      <c r="O366" s="10">
        <v>0</v>
      </c>
      <c r="P366" s="10">
        <f>D366-J366</f>
        <v>0.83</v>
      </c>
      <c r="Q366" s="10">
        <v>0.02</v>
      </c>
      <c r="R366" s="10">
        <v>0.09</v>
      </c>
      <c r="S366" s="10">
        <v>0</v>
      </c>
      <c r="T366" s="10">
        <v>0</v>
      </c>
      <c r="U366" s="10">
        <v>0</v>
      </c>
    </row>
    <row r="367" spans="1:21">
      <c r="A367" s="72" t="s">
        <v>293</v>
      </c>
      <c r="B367" s="10" t="s">
        <v>151</v>
      </c>
      <c r="C367" s="10">
        <v>2020</v>
      </c>
      <c r="D367" s="10">
        <v>0.82</v>
      </c>
      <c r="E367" s="10">
        <v>0.06</v>
      </c>
      <c r="F367" s="10">
        <v>0.09</v>
      </c>
      <c r="G367" s="10">
        <v>0</v>
      </c>
      <c r="H367" s="10">
        <v>0</v>
      </c>
      <c r="I367" s="10">
        <v>0</v>
      </c>
      <c r="J367" s="10">
        <v>0</v>
      </c>
      <c r="K367" s="10">
        <v>0.04</v>
      </c>
      <c r="L367" s="10">
        <v>0</v>
      </c>
      <c r="M367" s="10">
        <v>0</v>
      </c>
      <c r="N367" s="10">
        <v>0</v>
      </c>
      <c r="O367" s="10">
        <v>0</v>
      </c>
      <c r="P367" s="10">
        <v>0.77</v>
      </c>
      <c r="Q367" s="10">
        <v>0.01</v>
      </c>
      <c r="R367" s="10">
        <v>0.09</v>
      </c>
      <c r="S367" s="10">
        <v>0</v>
      </c>
      <c r="T367" s="10">
        <v>0</v>
      </c>
      <c r="U367" s="10">
        <v>0</v>
      </c>
    </row>
    <row r="368" spans="1:21">
      <c r="A368" s="72" t="s">
        <v>293</v>
      </c>
      <c r="B368" s="10" t="s">
        <v>151</v>
      </c>
      <c r="C368" s="10">
        <v>2025</v>
      </c>
      <c r="D368" s="10">
        <v>0.8</v>
      </c>
      <c r="E368" s="10">
        <v>0.06</v>
      </c>
      <c r="F368" s="10">
        <v>0.09</v>
      </c>
      <c r="G368" s="10">
        <v>0</v>
      </c>
      <c r="H368" s="10">
        <v>0</v>
      </c>
      <c r="I368" s="10">
        <v>0</v>
      </c>
      <c r="J368" s="10">
        <v>0</v>
      </c>
      <c r="K368" s="10">
        <v>0.04</v>
      </c>
      <c r="L368" s="10">
        <v>0</v>
      </c>
      <c r="M368" s="10">
        <v>0</v>
      </c>
      <c r="N368" s="10">
        <v>0</v>
      </c>
      <c r="O368" s="10">
        <v>0</v>
      </c>
      <c r="P368" s="10">
        <v>0.57999999999999996</v>
      </c>
      <c r="Q368" s="10">
        <v>0</v>
      </c>
      <c r="R368" s="10">
        <v>7.0000000000000007E-2</v>
      </c>
      <c r="S368" s="10">
        <v>0</v>
      </c>
      <c r="T368" s="10">
        <v>0</v>
      </c>
      <c r="U368" s="10">
        <v>0</v>
      </c>
    </row>
    <row r="369" spans="1:21">
      <c r="A369" s="72" t="s">
        <v>293</v>
      </c>
      <c r="B369" s="10" t="s">
        <v>151</v>
      </c>
      <c r="C369" s="10">
        <v>2030</v>
      </c>
      <c r="D369" s="10">
        <v>0.77</v>
      </c>
      <c r="E369" s="10">
        <v>0.06</v>
      </c>
      <c r="F369" s="10">
        <v>0.08</v>
      </c>
      <c r="G369" s="10">
        <v>0</v>
      </c>
      <c r="H369" s="10">
        <v>0</v>
      </c>
      <c r="I369" s="10">
        <v>0</v>
      </c>
      <c r="J369" s="10">
        <v>0</v>
      </c>
      <c r="K369" s="10">
        <v>0.04</v>
      </c>
      <c r="L369" s="10">
        <v>0</v>
      </c>
      <c r="M369" s="10">
        <v>0</v>
      </c>
      <c r="N369" s="10">
        <v>0</v>
      </c>
      <c r="O369" s="10">
        <v>0</v>
      </c>
      <c r="P369" s="10">
        <v>0.38</v>
      </c>
      <c r="Q369" s="10">
        <v>0</v>
      </c>
      <c r="R369" s="10">
        <v>0.03</v>
      </c>
      <c r="S369" s="10">
        <v>0</v>
      </c>
      <c r="T369" s="10">
        <v>0</v>
      </c>
      <c r="U369" s="10">
        <v>0</v>
      </c>
    </row>
    <row r="370" spans="1:21">
      <c r="A370" s="72" t="s">
        <v>293</v>
      </c>
      <c r="B370" s="10" t="s">
        <v>151</v>
      </c>
      <c r="C370" s="10">
        <v>2035</v>
      </c>
      <c r="D370" s="10">
        <v>0.75</v>
      </c>
      <c r="E370" s="10">
        <v>0.06</v>
      </c>
      <c r="F370" s="10">
        <v>0.08</v>
      </c>
      <c r="G370" s="10">
        <v>0</v>
      </c>
      <c r="H370" s="10">
        <v>0</v>
      </c>
      <c r="I370" s="10">
        <v>0</v>
      </c>
      <c r="J370" s="10">
        <v>0</v>
      </c>
      <c r="K370" s="10">
        <v>0.04</v>
      </c>
      <c r="L370" s="10">
        <v>0</v>
      </c>
      <c r="M370" s="10">
        <v>0</v>
      </c>
      <c r="N370" s="10">
        <v>0</v>
      </c>
      <c r="O370" s="10">
        <v>0</v>
      </c>
      <c r="P370" s="10">
        <v>0.03</v>
      </c>
      <c r="Q370" s="10">
        <v>0</v>
      </c>
      <c r="R370" s="10">
        <v>0.01</v>
      </c>
      <c r="S370" s="10">
        <v>0</v>
      </c>
      <c r="T370" s="10">
        <v>0</v>
      </c>
      <c r="U370" s="10">
        <v>0</v>
      </c>
    </row>
    <row r="371" spans="1:21">
      <c r="A371" s="72" t="s">
        <v>293</v>
      </c>
      <c r="B371" s="10" t="s">
        <v>151</v>
      </c>
      <c r="C371" s="10">
        <v>2040</v>
      </c>
      <c r="D371" s="10">
        <v>0.72</v>
      </c>
      <c r="E371" s="10">
        <v>0.06</v>
      </c>
      <c r="F371" s="10">
        <v>0.08</v>
      </c>
      <c r="G371" s="10">
        <v>0</v>
      </c>
      <c r="H371" s="10">
        <v>0</v>
      </c>
      <c r="I371" s="10">
        <v>0</v>
      </c>
      <c r="J371" s="10">
        <v>0</v>
      </c>
      <c r="K371" s="10">
        <v>0.04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</row>
    <row r="372" spans="1:21">
      <c r="A372" s="72" t="s">
        <v>293</v>
      </c>
      <c r="B372" s="10" t="s">
        <v>151</v>
      </c>
      <c r="C372" s="10">
        <v>2045</v>
      </c>
      <c r="D372" s="10">
        <v>0.7</v>
      </c>
      <c r="E372" s="10">
        <v>0.05</v>
      </c>
      <c r="F372" s="10">
        <v>0.08</v>
      </c>
      <c r="G372" s="10">
        <v>0</v>
      </c>
      <c r="H372" s="10">
        <v>0</v>
      </c>
      <c r="I372" s="10">
        <v>0</v>
      </c>
      <c r="J372" s="10">
        <v>0</v>
      </c>
      <c r="K372" s="10">
        <v>0.04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</row>
    <row r="373" spans="1:21">
      <c r="A373" s="72" t="s">
        <v>293</v>
      </c>
      <c r="B373" s="10" t="s">
        <v>151</v>
      </c>
      <c r="C373" s="10">
        <v>2050</v>
      </c>
      <c r="D373" s="10">
        <v>0.66</v>
      </c>
      <c r="E373" s="10">
        <v>0.05</v>
      </c>
      <c r="F373" s="10">
        <v>7.0000000000000007E-2</v>
      </c>
      <c r="G373" s="10">
        <v>0</v>
      </c>
      <c r="H373" s="10">
        <v>0</v>
      </c>
      <c r="I373" s="10">
        <v>0</v>
      </c>
      <c r="J373" s="10">
        <v>0</v>
      </c>
      <c r="K373" s="10">
        <v>0.03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</row>
    <row r="374" spans="1:21">
      <c r="A374" s="72" t="s">
        <v>309</v>
      </c>
      <c r="B374" s="10" t="s">
        <v>151</v>
      </c>
      <c r="C374" s="10">
        <v>2018</v>
      </c>
      <c r="D374" s="10">
        <v>0.89</v>
      </c>
      <c r="E374" s="10">
        <v>0.01</v>
      </c>
      <c r="F374" s="10">
        <v>0.09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f>D374-J374</f>
        <v>0.89</v>
      </c>
      <c r="Q374" s="10">
        <v>0</v>
      </c>
      <c r="R374" s="10">
        <v>0.09</v>
      </c>
      <c r="S374" s="10">
        <v>0</v>
      </c>
      <c r="T374" s="10">
        <v>0</v>
      </c>
      <c r="U374" s="10">
        <v>0</v>
      </c>
    </row>
    <row r="375" spans="1:21">
      <c r="A375" s="72" t="s">
        <v>309</v>
      </c>
      <c r="B375" s="10" t="s">
        <v>151</v>
      </c>
      <c r="C375" s="10">
        <v>2020</v>
      </c>
      <c r="D375" s="10">
        <v>0.88</v>
      </c>
      <c r="E375" s="10">
        <v>0.01</v>
      </c>
      <c r="F375" s="10">
        <v>0.09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0.82</v>
      </c>
      <c r="Q375" s="10">
        <v>0</v>
      </c>
      <c r="R375" s="10">
        <v>0.09</v>
      </c>
      <c r="S375" s="10">
        <v>0</v>
      </c>
      <c r="T375" s="10">
        <v>0</v>
      </c>
      <c r="U375" s="10">
        <v>0</v>
      </c>
    </row>
    <row r="376" spans="1:21">
      <c r="A376" s="72" t="s">
        <v>309</v>
      </c>
      <c r="B376" s="10" t="s">
        <v>151</v>
      </c>
      <c r="C376" s="10">
        <v>2025</v>
      </c>
      <c r="D376" s="10">
        <v>0.86</v>
      </c>
      <c r="E376" s="10">
        <v>0.01</v>
      </c>
      <c r="F376" s="10">
        <v>0.09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0.62</v>
      </c>
      <c r="Q376" s="10">
        <v>0</v>
      </c>
      <c r="R376" s="10">
        <v>7.0000000000000007E-2</v>
      </c>
      <c r="S376" s="10">
        <v>0</v>
      </c>
      <c r="T376" s="10">
        <v>0</v>
      </c>
      <c r="U376" s="10">
        <v>0</v>
      </c>
    </row>
    <row r="377" spans="1:21">
      <c r="A377" s="72" t="s">
        <v>309</v>
      </c>
      <c r="B377" s="10" t="s">
        <v>151</v>
      </c>
      <c r="C377" s="10">
        <v>2030</v>
      </c>
      <c r="D377" s="10">
        <v>0.83</v>
      </c>
      <c r="E377" s="10">
        <v>0.01</v>
      </c>
      <c r="F377" s="10">
        <v>0.08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0.41</v>
      </c>
      <c r="Q377" s="10">
        <v>0</v>
      </c>
      <c r="R377" s="10">
        <v>0.03</v>
      </c>
      <c r="S377" s="10">
        <v>0</v>
      </c>
      <c r="T377" s="10">
        <v>0</v>
      </c>
      <c r="U377" s="10">
        <v>0</v>
      </c>
    </row>
    <row r="378" spans="1:21">
      <c r="A378" s="72" t="s">
        <v>309</v>
      </c>
      <c r="B378" s="10" t="s">
        <v>151</v>
      </c>
      <c r="C378" s="10">
        <v>2035</v>
      </c>
      <c r="D378" s="10">
        <v>0.8</v>
      </c>
      <c r="E378" s="10">
        <v>0</v>
      </c>
      <c r="F378" s="10">
        <v>0.08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0.04</v>
      </c>
      <c r="Q378" s="10">
        <v>0</v>
      </c>
      <c r="R378" s="10">
        <v>0.01</v>
      </c>
      <c r="S378" s="10">
        <v>0</v>
      </c>
      <c r="T378" s="10">
        <v>0</v>
      </c>
      <c r="U378" s="10">
        <v>0</v>
      </c>
    </row>
    <row r="379" spans="1:21">
      <c r="A379" s="72" t="s">
        <v>309</v>
      </c>
      <c r="B379" s="10" t="s">
        <v>151</v>
      </c>
      <c r="C379" s="10">
        <v>2040</v>
      </c>
      <c r="D379" s="10">
        <v>0.77</v>
      </c>
      <c r="E379" s="10">
        <v>0</v>
      </c>
      <c r="F379" s="10">
        <v>0.08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</row>
    <row r="380" spans="1:21">
      <c r="A380" s="72" t="s">
        <v>309</v>
      </c>
      <c r="B380" s="10" t="s">
        <v>151</v>
      </c>
      <c r="C380" s="10">
        <v>2045</v>
      </c>
      <c r="D380" s="10">
        <v>0.75</v>
      </c>
      <c r="E380" s="10">
        <v>0</v>
      </c>
      <c r="F380" s="10">
        <v>0.08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</row>
    <row r="381" spans="1:21">
      <c r="A381" s="72" t="s">
        <v>309</v>
      </c>
      <c r="B381" s="10" t="s">
        <v>151</v>
      </c>
      <c r="C381" s="10">
        <v>2050</v>
      </c>
      <c r="D381" s="10">
        <v>0.71</v>
      </c>
      <c r="E381" s="10">
        <v>0</v>
      </c>
      <c r="F381" s="10">
        <v>7.0000000000000007E-2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</row>
    <row r="382" spans="1:21">
      <c r="A382" s="72" t="s">
        <v>294</v>
      </c>
      <c r="B382" s="10" t="s">
        <v>151</v>
      </c>
      <c r="C382" s="10">
        <v>2018</v>
      </c>
      <c r="D382" s="10">
        <v>0.83</v>
      </c>
      <c r="E382" s="10">
        <v>0.06</v>
      </c>
      <c r="F382" s="10">
        <v>0.09</v>
      </c>
      <c r="G382" s="10">
        <v>0</v>
      </c>
      <c r="H382" s="10">
        <v>0</v>
      </c>
      <c r="I382" s="10">
        <v>0</v>
      </c>
      <c r="J382" s="10">
        <v>0</v>
      </c>
      <c r="K382" s="10">
        <v>0.04</v>
      </c>
      <c r="L382" s="10">
        <v>0</v>
      </c>
      <c r="M382" s="10">
        <v>0</v>
      </c>
      <c r="N382" s="10">
        <v>0</v>
      </c>
      <c r="O382" s="10">
        <v>0</v>
      </c>
      <c r="P382" s="10">
        <f>D382-J382</f>
        <v>0.83</v>
      </c>
      <c r="Q382" s="10">
        <v>0.01</v>
      </c>
      <c r="R382" s="10">
        <v>0.09</v>
      </c>
      <c r="S382" s="10">
        <v>0</v>
      </c>
      <c r="T382" s="10">
        <v>0</v>
      </c>
      <c r="U382" s="10">
        <v>0</v>
      </c>
    </row>
    <row r="383" spans="1:21">
      <c r="A383" s="72" t="s">
        <v>294</v>
      </c>
      <c r="B383" s="10" t="s">
        <v>151</v>
      </c>
      <c r="C383" s="10">
        <v>2020</v>
      </c>
      <c r="D383" s="10">
        <v>0.83</v>
      </c>
      <c r="E383" s="10">
        <v>0.06</v>
      </c>
      <c r="F383" s="10">
        <v>0.09</v>
      </c>
      <c r="G383" s="10">
        <v>0</v>
      </c>
      <c r="H383" s="10">
        <v>0</v>
      </c>
      <c r="I383" s="10">
        <v>0</v>
      </c>
      <c r="J383" s="10">
        <v>0</v>
      </c>
      <c r="K383" s="10">
        <v>0.04</v>
      </c>
      <c r="L383" s="10">
        <v>0</v>
      </c>
      <c r="M383" s="10">
        <v>0</v>
      </c>
      <c r="N383" s="10">
        <v>0</v>
      </c>
      <c r="O383" s="10">
        <v>0</v>
      </c>
      <c r="P383" s="10">
        <v>0.77</v>
      </c>
      <c r="Q383" s="10">
        <v>0.01</v>
      </c>
      <c r="R383" s="10">
        <v>0.09</v>
      </c>
      <c r="S383" s="10">
        <v>0</v>
      </c>
      <c r="T383" s="10">
        <v>0</v>
      </c>
      <c r="U383" s="10">
        <v>0</v>
      </c>
    </row>
    <row r="384" spans="1:21">
      <c r="A384" s="72" t="s">
        <v>294</v>
      </c>
      <c r="B384" s="10" t="s">
        <v>151</v>
      </c>
      <c r="C384" s="10">
        <v>2025</v>
      </c>
      <c r="D384" s="10">
        <v>0.8</v>
      </c>
      <c r="E384" s="10">
        <v>0.06</v>
      </c>
      <c r="F384" s="10">
        <v>0.09</v>
      </c>
      <c r="G384" s="10">
        <v>0</v>
      </c>
      <c r="H384" s="10">
        <v>0</v>
      </c>
      <c r="I384" s="10">
        <v>0</v>
      </c>
      <c r="J384" s="10">
        <v>0</v>
      </c>
      <c r="K384" s="10">
        <v>0.04</v>
      </c>
      <c r="L384" s="10">
        <v>0</v>
      </c>
      <c r="M384" s="10">
        <v>0</v>
      </c>
      <c r="N384" s="10">
        <v>0</v>
      </c>
      <c r="O384" s="10">
        <v>0</v>
      </c>
      <c r="P384" s="10">
        <v>0.59</v>
      </c>
      <c r="Q384" s="10">
        <v>0</v>
      </c>
      <c r="R384" s="10">
        <v>7.0000000000000007E-2</v>
      </c>
      <c r="S384" s="10">
        <v>0</v>
      </c>
      <c r="T384" s="10">
        <v>0</v>
      </c>
      <c r="U384" s="10">
        <v>0</v>
      </c>
    </row>
    <row r="385" spans="1:21">
      <c r="A385" s="72" t="s">
        <v>294</v>
      </c>
      <c r="B385" s="10" t="s">
        <v>151</v>
      </c>
      <c r="C385" s="10">
        <v>2030</v>
      </c>
      <c r="D385" s="10">
        <v>0.77</v>
      </c>
      <c r="E385" s="10">
        <v>0.06</v>
      </c>
      <c r="F385" s="10">
        <v>0.08</v>
      </c>
      <c r="G385" s="10">
        <v>0</v>
      </c>
      <c r="H385" s="10">
        <v>0</v>
      </c>
      <c r="I385" s="10">
        <v>0</v>
      </c>
      <c r="J385" s="10">
        <v>0</v>
      </c>
      <c r="K385" s="10">
        <v>0.04</v>
      </c>
      <c r="L385" s="10">
        <v>0</v>
      </c>
      <c r="M385" s="10">
        <v>0</v>
      </c>
      <c r="N385" s="10">
        <v>0</v>
      </c>
      <c r="O385" s="10">
        <v>0</v>
      </c>
      <c r="P385" s="10">
        <v>0.38</v>
      </c>
      <c r="Q385" s="10">
        <v>0</v>
      </c>
      <c r="R385" s="10">
        <v>0.03</v>
      </c>
      <c r="S385" s="10">
        <v>0</v>
      </c>
      <c r="T385" s="10">
        <v>0</v>
      </c>
      <c r="U385" s="10">
        <v>0</v>
      </c>
    </row>
    <row r="386" spans="1:21">
      <c r="A386" s="72" t="s">
        <v>294</v>
      </c>
      <c r="B386" s="10" t="s">
        <v>151</v>
      </c>
      <c r="C386" s="10">
        <v>2035</v>
      </c>
      <c r="D386" s="10">
        <v>0.75</v>
      </c>
      <c r="E386" s="10">
        <v>0.05</v>
      </c>
      <c r="F386" s="10">
        <v>0.08</v>
      </c>
      <c r="G386" s="10">
        <v>0</v>
      </c>
      <c r="H386" s="10">
        <v>0</v>
      </c>
      <c r="I386" s="10">
        <v>0</v>
      </c>
      <c r="J386" s="10">
        <v>0</v>
      </c>
      <c r="K386" s="10">
        <v>0.04</v>
      </c>
      <c r="L386" s="10">
        <v>0</v>
      </c>
      <c r="M386" s="10">
        <v>0</v>
      </c>
      <c r="N386" s="10">
        <v>0</v>
      </c>
      <c r="O386" s="10">
        <v>0</v>
      </c>
      <c r="P386" s="10">
        <v>0.03</v>
      </c>
      <c r="Q386" s="10">
        <v>0</v>
      </c>
      <c r="R386" s="10">
        <v>0.01</v>
      </c>
      <c r="S386" s="10">
        <v>0</v>
      </c>
      <c r="T386" s="10">
        <v>0</v>
      </c>
      <c r="U386" s="10">
        <v>0</v>
      </c>
    </row>
    <row r="387" spans="1:21">
      <c r="A387" s="72" t="s">
        <v>294</v>
      </c>
      <c r="B387" s="10" t="s">
        <v>151</v>
      </c>
      <c r="C387" s="10">
        <v>2040</v>
      </c>
      <c r="D387" s="10">
        <v>0.72</v>
      </c>
      <c r="E387" s="10">
        <v>0.05</v>
      </c>
      <c r="F387" s="10">
        <v>0.08</v>
      </c>
      <c r="G387" s="10">
        <v>0</v>
      </c>
      <c r="H387" s="10">
        <v>0</v>
      </c>
      <c r="I387" s="10">
        <v>0</v>
      </c>
      <c r="J387" s="10">
        <v>0</v>
      </c>
      <c r="K387" s="10">
        <v>0.04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</row>
    <row r="388" spans="1:21">
      <c r="A388" s="72" t="s">
        <v>294</v>
      </c>
      <c r="B388" s="10" t="s">
        <v>151</v>
      </c>
      <c r="C388" s="10">
        <v>2045</v>
      </c>
      <c r="D388" s="10">
        <v>0.7</v>
      </c>
      <c r="E388" s="10">
        <v>0.05</v>
      </c>
      <c r="F388" s="10">
        <v>0.08</v>
      </c>
      <c r="G388" s="10">
        <v>0</v>
      </c>
      <c r="H388" s="10">
        <v>0</v>
      </c>
      <c r="I388" s="10">
        <v>0</v>
      </c>
      <c r="J388" s="10">
        <v>0</v>
      </c>
      <c r="K388" s="10">
        <v>0.03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</row>
    <row r="389" spans="1:21">
      <c r="A389" s="72" t="s">
        <v>294</v>
      </c>
      <c r="B389" s="10" t="s">
        <v>151</v>
      </c>
      <c r="C389" s="10">
        <v>2050</v>
      </c>
      <c r="D389" s="10">
        <v>0.67</v>
      </c>
      <c r="E389" s="10">
        <v>0.05</v>
      </c>
      <c r="F389" s="10">
        <v>7.0000000000000007E-2</v>
      </c>
      <c r="G389" s="10">
        <v>0</v>
      </c>
      <c r="H389" s="10">
        <v>0</v>
      </c>
      <c r="I389" s="10">
        <v>0</v>
      </c>
      <c r="J389" s="10">
        <v>0</v>
      </c>
      <c r="K389" s="10">
        <v>0.03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</row>
    <row r="390" spans="1:21">
      <c r="A390" s="72" t="s">
        <v>310</v>
      </c>
      <c r="B390" s="10" t="s">
        <v>151</v>
      </c>
      <c r="C390" s="10">
        <v>2018</v>
      </c>
      <c r="D390" s="10">
        <v>0.86</v>
      </c>
      <c r="E390" s="10">
        <v>0.04</v>
      </c>
      <c r="F390" s="10">
        <v>0.09</v>
      </c>
      <c r="G390" s="10">
        <v>0</v>
      </c>
      <c r="H390" s="10">
        <v>0</v>
      </c>
      <c r="I390" s="10">
        <v>0</v>
      </c>
      <c r="J390" s="10">
        <v>0</v>
      </c>
      <c r="K390" s="10">
        <v>0.02</v>
      </c>
      <c r="L390" s="10">
        <v>0</v>
      </c>
      <c r="M390" s="10">
        <v>0</v>
      </c>
      <c r="N390" s="10">
        <v>0</v>
      </c>
      <c r="O390" s="10">
        <v>0</v>
      </c>
      <c r="P390" s="10">
        <f>D390-J390</f>
        <v>0.86</v>
      </c>
      <c r="Q390" s="10">
        <v>0.01</v>
      </c>
      <c r="R390" s="10">
        <v>0.09</v>
      </c>
      <c r="S390" s="10">
        <v>0</v>
      </c>
      <c r="T390" s="10">
        <v>0</v>
      </c>
      <c r="U390" s="10">
        <v>0</v>
      </c>
    </row>
    <row r="391" spans="1:21">
      <c r="A391" s="72" t="s">
        <v>310</v>
      </c>
      <c r="B391" s="10" t="s">
        <v>151</v>
      </c>
      <c r="C391" s="10">
        <v>2020</v>
      </c>
      <c r="D391" s="10">
        <v>0.85</v>
      </c>
      <c r="E391" s="10">
        <v>0.04</v>
      </c>
      <c r="F391" s="10">
        <v>0.09</v>
      </c>
      <c r="G391" s="10">
        <v>0</v>
      </c>
      <c r="H391" s="10">
        <v>0</v>
      </c>
      <c r="I391" s="10">
        <v>0</v>
      </c>
      <c r="J391" s="10">
        <v>0</v>
      </c>
      <c r="K391" s="10">
        <v>0.02</v>
      </c>
      <c r="L391" s="10">
        <v>0</v>
      </c>
      <c r="M391" s="10">
        <v>0</v>
      </c>
      <c r="N391" s="10">
        <v>0</v>
      </c>
      <c r="O391" s="10">
        <v>0</v>
      </c>
      <c r="P391" s="10">
        <v>0.79</v>
      </c>
      <c r="Q391" s="10">
        <v>0</v>
      </c>
      <c r="R391" s="10">
        <v>0.09</v>
      </c>
      <c r="S391" s="10">
        <v>0</v>
      </c>
      <c r="T391" s="10">
        <v>0</v>
      </c>
      <c r="U391" s="10">
        <v>0</v>
      </c>
    </row>
    <row r="392" spans="1:21">
      <c r="A392" s="72" t="s">
        <v>310</v>
      </c>
      <c r="B392" s="10" t="s">
        <v>151</v>
      </c>
      <c r="C392" s="10">
        <v>2025</v>
      </c>
      <c r="D392" s="10">
        <v>0.83</v>
      </c>
      <c r="E392" s="10">
        <v>0.03</v>
      </c>
      <c r="F392" s="10">
        <v>0.09</v>
      </c>
      <c r="G392" s="10">
        <v>0</v>
      </c>
      <c r="H392" s="10">
        <v>0</v>
      </c>
      <c r="I392" s="10">
        <v>0</v>
      </c>
      <c r="J392" s="10">
        <v>0</v>
      </c>
      <c r="K392" s="10">
        <v>0.02</v>
      </c>
      <c r="L392" s="10">
        <v>0</v>
      </c>
      <c r="M392" s="10">
        <v>0</v>
      </c>
      <c r="N392" s="10">
        <v>0</v>
      </c>
      <c r="O392" s="10">
        <v>0</v>
      </c>
      <c r="P392" s="10">
        <v>0.6</v>
      </c>
      <c r="Q392" s="10">
        <v>0</v>
      </c>
      <c r="R392" s="10">
        <v>7.0000000000000007E-2</v>
      </c>
      <c r="S392" s="10">
        <v>0</v>
      </c>
      <c r="T392" s="10">
        <v>0</v>
      </c>
      <c r="U392" s="10">
        <v>0</v>
      </c>
    </row>
    <row r="393" spans="1:21">
      <c r="A393" s="72" t="s">
        <v>310</v>
      </c>
      <c r="B393" s="10" t="s">
        <v>151</v>
      </c>
      <c r="C393" s="10">
        <v>2030</v>
      </c>
      <c r="D393" s="10">
        <v>0.8</v>
      </c>
      <c r="E393" s="10">
        <v>0.03</v>
      </c>
      <c r="F393" s="10">
        <v>0.08</v>
      </c>
      <c r="G393" s="10">
        <v>0</v>
      </c>
      <c r="H393" s="10">
        <v>0</v>
      </c>
      <c r="I393" s="10">
        <v>0</v>
      </c>
      <c r="J393" s="10">
        <v>0</v>
      </c>
      <c r="K393" s="10">
        <v>0.02</v>
      </c>
      <c r="L393" s="10">
        <v>0</v>
      </c>
      <c r="M393" s="10">
        <v>0</v>
      </c>
      <c r="N393" s="10">
        <v>0</v>
      </c>
      <c r="O393" s="10">
        <v>0</v>
      </c>
      <c r="P393" s="10">
        <v>0.4</v>
      </c>
      <c r="Q393" s="10">
        <v>0</v>
      </c>
      <c r="R393" s="10">
        <v>0.03</v>
      </c>
      <c r="S393" s="10">
        <v>0</v>
      </c>
      <c r="T393" s="10">
        <v>0</v>
      </c>
      <c r="U393" s="10">
        <v>0</v>
      </c>
    </row>
    <row r="394" spans="1:21">
      <c r="A394" s="72" t="s">
        <v>310</v>
      </c>
      <c r="B394" s="10" t="s">
        <v>151</v>
      </c>
      <c r="C394" s="10">
        <v>2035</v>
      </c>
      <c r="D394" s="10">
        <v>0.78</v>
      </c>
      <c r="E394" s="10">
        <v>0.03</v>
      </c>
      <c r="F394" s="10">
        <v>0.08</v>
      </c>
      <c r="G394" s="10">
        <v>0</v>
      </c>
      <c r="H394" s="10">
        <v>0</v>
      </c>
      <c r="I394" s="10">
        <v>0</v>
      </c>
      <c r="J394" s="10">
        <v>0</v>
      </c>
      <c r="K394" s="10">
        <v>0.02</v>
      </c>
      <c r="L394" s="10">
        <v>0</v>
      </c>
      <c r="M394" s="10">
        <v>0</v>
      </c>
      <c r="N394" s="10">
        <v>0</v>
      </c>
      <c r="O394" s="10">
        <v>0</v>
      </c>
      <c r="P394" s="10">
        <v>0.03</v>
      </c>
      <c r="Q394" s="10">
        <v>0</v>
      </c>
      <c r="R394" s="10">
        <v>0.01</v>
      </c>
      <c r="S394" s="10">
        <v>0</v>
      </c>
      <c r="T394" s="10">
        <v>0</v>
      </c>
      <c r="U394" s="10">
        <v>0</v>
      </c>
    </row>
    <row r="395" spans="1:21">
      <c r="A395" s="72" t="s">
        <v>310</v>
      </c>
      <c r="B395" s="10" t="s">
        <v>151</v>
      </c>
      <c r="C395" s="10">
        <v>2040</v>
      </c>
      <c r="D395" s="10">
        <v>0.75</v>
      </c>
      <c r="E395" s="10">
        <v>0.03</v>
      </c>
      <c r="F395" s="10">
        <v>0.08</v>
      </c>
      <c r="G395" s="10">
        <v>0</v>
      </c>
      <c r="H395" s="10">
        <v>0</v>
      </c>
      <c r="I395" s="10">
        <v>0</v>
      </c>
      <c r="J395" s="10">
        <v>0</v>
      </c>
      <c r="K395" s="10">
        <v>0.02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</row>
    <row r="396" spans="1:21">
      <c r="A396" s="72" t="s">
        <v>310</v>
      </c>
      <c r="B396" s="10" t="s">
        <v>151</v>
      </c>
      <c r="C396" s="10">
        <v>2045</v>
      </c>
      <c r="D396" s="10">
        <v>0.72</v>
      </c>
      <c r="E396" s="10">
        <v>0.03</v>
      </c>
      <c r="F396" s="10">
        <v>0.08</v>
      </c>
      <c r="G396" s="10">
        <v>0</v>
      </c>
      <c r="H396" s="10">
        <v>0</v>
      </c>
      <c r="I396" s="10">
        <v>0</v>
      </c>
      <c r="J396" s="10">
        <v>0</v>
      </c>
      <c r="K396" s="10">
        <v>0.02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</row>
    <row r="397" spans="1:21">
      <c r="A397" s="72" t="s">
        <v>310</v>
      </c>
      <c r="B397" s="10" t="s">
        <v>151</v>
      </c>
      <c r="C397" s="10">
        <v>2050</v>
      </c>
      <c r="D397" s="10">
        <v>0.69</v>
      </c>
      <c r="E397" s="10">
        <v>0.03</v>
      </c>
      <c r="F397" s="10">
        <v>7.0000000000000007E-2</v>
      </c>
      <c r="G397" s="10">
        <v>0</v>
      </c>
      <c r="H397" s="10">
        <v>0</v>
      </c>
      <c r="I397" s="10">
        <v>0</v>
      </c>
      <c r="J397" s="10">
        <v>0</v>
      </c>
      <c r="K397" s="10">
        <v>0.02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</row>
    <row r="398" spans="1:21">
      <c r="A398" s="72" t="s">
        <v>297</v>
      </c>
      <c r="B398" s="10" t="s">
        <v>151</v>
      </c>
      <c r="C398" s="10">
        <v>2018</v>
      </c>
      <c r="D398" s="10">
        <v>0.78</v>
      </c>
      <c r="E398" s="10">
        <v>0.11</v>
      </c>
      <c r="F398" s="10">
        <v>0.09</v>
      </c>
      <c r="G398" s="10">
        <v>0</v>
      </c>
      <c r="H398" s="10">
        <v>0</v>
      </c>
      <c r="I398" s="10">
        <v>0</v>
      </c>
      <c r="J398" s="10">
        <v>0</v>
      </c>
      <c r="K398" s="10">
        <v>0.08</v>
      </c>
      <c r="L398" s="10">
        <v>0</v>
      </c>
      <c r="M398" s="10">
        <v>0</v>
      </c>
      <c r="N398" s="10">
        <v>0</v>
      </c>
      <c r="O398" s="10">
        <v>0</v>
      </c>
      <c r="P398" s="10">
        <f>D398-J398</f>
        <v>0.78</v>
      </c>
      <c r="Q398" s="10">
        <v>0.03</v>
      </c>
      <c r="R398" s="10">
        <v>0.09</v>
      </c>
      <c r="S398" s="10">
        <v>0</v>
      </c>
      <c r="T398" s="10">
        <v>0</v>
      </c>
      <c r="U398" s="10">
        <v>0</v>
      </c>
    </row>
    <row r="399" spans="1:21">
      <c r="A399" s="72" t="s">
        <v>297</v>
      </c>
      <c r="B399" s="10" t="s">
        <v>151</v>
      </c>
      <c r="C399" s="10">
        <v>2020</v>
      </c>
      <c r="D399" s="10">
        <v>0.78</v>
      </c>
      <c r="E399" s="10">
        <v>0.11</v>
      </c>
      <c r="F399" s="10">
        <v>0.09</v>
      </c>
      <c r="G399" s="10">
        <v>0</v>
      </c>
      <c r="H399" s="10">
        <v>0</v>
      </c>
      <c r="I399" s="10">
        <v>0</v>
      </c>
      <c r="J399" s="10">
        <v>0</v>
      </c>
      <c r="K399" s="10">
        <v>0.08</v>
      </c>
      <c r="L399" s="10">
        <v>0</v>
      </c>
      <c r="M399" s="10">
        <v>0</v>
      </c>
      <c r="N399" s="10">
        <v>0</v>
      </c>
      <c r="O399" s="10">
        <v>0</v>
      </c>
      <c r="P399" s="10">
        <v>0.72</v>
      </c>
      <c r="Q399" s="10">
        <v>0.02</v>
      </c>
      <c r="R399" s="10">
        <v>0.09</v>
      </c>
      <c r="S399" s="10">
        <v>0</v>
      </c>
      <c r="T399" s="10">
        <v>0</v>
      </c>
      <c r="U399" s="10">
        <v>0</v>
      </c>
    </row>
    <row r="400" spans="1:21">
      <c r="A400" s="72" t="s">
        <v>297</v>
      </c>
      <c r="B400" s="10" t="s">
        <v>151</v>
      </c>
      <c r="C400" s="10">
        <v>2025</v>
      </c>
      <c r="D400" s="10">
        <v>0.75</v>
      </c>
      <c r="E400" s="10">
        <v>0.11</v>
      </c>
      <c r="F400" s="10">
        <v>0.09</v>
      </c>
      <c r="G400" s="10">
        <v>0</v>
      </c>
      <c r="H400" s="10">
        <v>0</v>
      </c>
      <c r="I400" s="10">
        <v>0</v>
      </c>
      <c r="J400" s="10">
        <v>0</v>
      </c>
      <c r="K400" s="10">
        <v>7.0000000000000007E-2</v>
      </c>
      <c r="L400" s="10">
        <v>0</v>
      </c>
      <c r="M400" s="10">
        <v>0</v>
      </c>
      <c r="N400" s="10">
        <v>0</v>
      </c>
      <c r="O400" s="10">
        <v>0</v>
      </c>
      <c r="P400" s="10">
        <v>0.55000000000000004</v>
      </c>
      <c r="Q400" s="10">
        <v>0</v>
      </c>
      <c r="R400" s="10">
        <v>7.0000000000000007E-2</v>
      </c>
      <c r="S400" s="10">
        <v>0</v>
      </c>
      <c r="T400" s="10">
        <v>0</v>
      </c>
      <c r="U400" s="10">
        <v>0</v>
      </c>
    </row>
    <row r="401" spans="1:21">
      <c r="A401" s="72" t="s">
        <v>297</v>
      </c>
      <c r="B401" s="10" t="s">
        <v>151</v>
      </c>
      <c r="C401" s="10">
        <v>2030</v>
      </c>
      <c r="D401" s="10">
        <v>0.73</v>
      </c>
      <c r="E401" s="10">
        <v>0.1</v>
      </c>
      <c r="F401" s="10">
        <v>0.08</v>
      </c>
      <c r="G401" s="10">
        <v>0</v>
      </c>
      <c r="H401" s="10">
        <v>0</v>
      </c>
      <c r="I401" s="10">
        <v>0</v>
      </c>
      <c r="J401" s="10">
        <v>0</v>
      </c>
      <c r="K401" s="10">
        <v>7.0000000000000007E-2</v>
      </c>
      <c r="L401" s="10">
        <v>0</v>
      </c>
      <c r="M401" s="10">
        <v>0</v>
      </c>
      <c r="N401" s="10">
        <v>0</v>
      </c>
      <c r="O401" s="10">
        <v>0</v>
      </c>
      <c r="P401" s="10">
        <v>0.36</v>
      </c>
      <c r="Q401" s="10">
        <v>0</v>
      </c>
      <c r="R401" s="10">
        <v>0.03</v>
      </c>
      <c r="S401" s="10">
        <v>0</v>
      </c>
      <c r="T401" s="10">
        <v>0</v>
      </c>
      <c r="U401" s="10">
        <v>0</v>
      </c>
    </row>
    <row r="402" spans="1:21">
      <c r="A402" s="72" t="s">
        <v>297</v>
      </c>
      <c r="B402" s="10" t="s">
        <v>151</v>
      </c>
      <c r="C402" s="10">
        <v>2035</v>
      </c>
      <c r="D402" s="10">
        <v>0.71</v>
      </c>
      <c r="E402" s="10">
        <v>0.1</v>
      </c>
      <c r="F402" s="10">
        <v>0.08</v>
      </c>
      <c r="G402" s="10">
        <v>0</v>
      </c>
      <c r="H402" s="10">
        <v>0</v>
      </c>
      <c r="I402" s="10">
        <v>0</v>
      </c>
      <c r="J402" s="10">
        <v>0</v>
      </c>
      <c r="K402" s="10">
        <v>7.0000000000000007E-2</v>
      </c>
      <c r="L402" s="10">
        <v>0</v>
      </c>
      <c r="M402" s="10">
        <v>0</v>
      </c>
      <c r="N402" s="10">
        <v>0</v>
      </c>
      <c r="O402" s="10">
        <v>0</v>
      </c>
      <c r="P402" s="10">
        <v>0.03</v>
      </c>
      <c r="Q402" s="10">
        <v>0</v>
      </c>
      <c r="R402" s="10">
        <v>0.01</v>
      </c>
      <c r="S402" s="10">
        <v>0</v>
      </c>
      <c r="T402" s="10">
        <v>0</v>
      </c>
      <c r="U402" s="10">
        <v>0</v>
      </c>
    </row>
    <row r="403" spans="1:21">
      <c r="A403" s="72" t="s">
        <v>297</v>
      </c>
      <c r="B403" s="10" t="s">
        <v>151</v>
      </c>
      <c r="C403" s="10">
        <v>2040</v>
      </c>
      <c r="D403" s="10">
        <v>0.68</v>
      </c>
      <c r="E403" s="10">
        <v>0.1</v>
      </c>
      <c r="F403" s="10">
        <v>0.08</v>
      </c>
      <c r="G403" s="10">
        <v>0</v>
      </c>
      <c r="H403" s="10">
        <v>0</v>
      </c>
      <c r="I403" s="10">
        <v>0</v>
      </c>
      <c r="J403" s="10">
        <v>0</v>
      </c>
      <c r="K403" s="10">
        <v>7.0000000000000007E-2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</row>
    <row r="404" spans="1:21">
      <c r="A404" s="72" t="s">
        <v>297</v>
      </c>
      <c r="B404" s="10" t="s">
        <v>151</v>
      </c>
      <c r="C404" s="10">
        <v>2045</v>
      </c>
      <c r="D404" s="10">
        <v>0.66</v>
      </c>
      <c r="E404" s="10">
        <v>0.09</v>
      </c>
      <c r="F404" s="10">
        <v>0.08</v>
      </c>
      <c r="G404" s="10">
        <v>0</v>
      </c>
      <c r="H404" s="10">
        <v>0</v>
      </c>
      <c r="I404" s="10">
        <v>0</v>
      </c>
      <c r="J404" s="10">
        <v>0</v>
      </c>
      <c r="K404" s="10">
        <v>0.06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</row>
    <row r="405" spans="1:21">
      <c r="A405" s="72" t="s">
        <v>297</v>
      </c>
      <c r="B405" s="10" t="s">
        <v>151</v>
      </c>
      <c r="C405" s="10">
        <v>2050</v>
      </c>
      <c r="D405" s="10">
        <v>0.62</v>
      </c>
      <c r="E405" s="10">
        <v>0.09</v>
      </c>
      <c r="F405" s="10">
        <v>7.0000000000000007E-2</v>
      </c>
      <c r="G405" s="10">
        <v>0</v>
      </c>
      <c r="H405" s="10">
        <v>0</v>
      </c>
      <c r="I405" s="10">
        <v>0</v>
      </c>
      <c r="J405" s="10">
        <v>0</v>
      </c>
      <c r="K405" s="10">
        <v>0.06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</row>
    <row r="406" spans="1:21">
      <c r="A406" s="72" t="s">
        <v>298</v>
      </c>
      <c r="B406" s="10" t="s">
        <v>151</v>
      </c>
      <c r="C406" s="10">
        <v>2018</v>
      </c>
      <c r="D406" s="10">
        <v>0.84</v>
      </c>
      <c r="E406" s="10">
        <v>0.06</v>
      </c>
      <c r="F406" s="10">
        <v>0.09</v>
      </c>
      <c r="G406" s="10">
        <v>0</v>
      </c>
      <c r="H406" s="10">
        <v>0</v>
      </c>
      <c r="I406" s="10">
        <v>0</v>
      </c>
      <c r="J406" s="10">
        <v>0.06</v>
      </c>
      <c r="K406" s="10">
        <v>0.04</v>
      </c>
      <c r="L406" s="10">
        <v>0</v>
      </c>
      <c r="M406" s="10">
        <v>0</v>
      </c>
      <c r="N406" s="10">
        <v>0</v>
      </c>
      <c r="O406" s="10">
        <v>0</v>
      </c>
      <c r="P406" s="10">
        <f>D406-J406</f>
        <v>0.78</v>
      </c>
      <c r="Q406" s="10">
        <v>0.01</v>
      </c>
      <c r="R406" s="10">
        <v>0.09</v>
      </c>
      <c r="S406" s="10">
        <v>0</v>
      </c>
      <c r="T406" s="10">
        <v>0</v>
      </c>
      <c r="U406" s="10">
        <v>0</v>
      </c>
    </row>
    <row r="407" spans="1:21">
      <c r="A407" s="72" t="s">
        <v>298</v>
      </c>
      <c r="B407" s="10" t="s">
        <v>151</v>
      </c>
      <c r="C407" s="10">
        <v>2020</v>
      </c>
      <c r="D407" s="10">
        <v>0.83</v>
      </c>
      <c r="E407" s="10">
        <v>0.06</v>
      </c>
      <c r="F407" s="10">
        <v>0.09</v>
      </c>
      <c r="G407" s="10">
        <v>0</v>
      </c>
      <c r="H407" s="10">
        <v>0</v>
      </c>
      <c r="I407" s="10">
        <v>0</v>
      </c>
      <c r="J407" s="10">
        <v>0.06</v>
      </c>
      <c r="K407" s="10">
        <v>0.04</v>
      </c>
      <c r="L407" s="10">
        <v>0</v>
      </c>
      <c r="M407" s="10">
        <v>0</v>
      </c>
      <c r="N407" s="10">
        <v>0</v>
      </c>
      <c r="O407" s="10">
        <v>0</v>
      </c>
      <c r="P407" s="10">
        <v>0.77</v>
      </c>
      <c r="Q407" s="10">
        <v>0.01</v>
      </c>
      <c r="R407" s="10">
        <v>0.09</v>
      </c>
      <c r="S407" s="10">
        <v>0</v>
      </c>
      <c r="T407" s="10">
        <v>0</v>
      </c>
      <c r="U407" s="10">
        <v>0</v>
      </c>
    </row>
    <row r="408" spans="1:21">
      <c r="A408" s="72" t="s">
        <v>298</v>
      </c>
      <c r="B408" s="10" t="s">
        <v>151</v>
      </c>
      <c r="C408" s="10">
        <v>2025</v>
      </c>
      <c r="D408" s="10">
        <v>0.81</v>
      </c>
      <c r="E408" s="10">
        <v>0.05</v>
      </c>
      <c r="F408" s="10">
        <v>0.09</v>
      </c>
      <c r="G408" s="10">
        <v>0</v>
      </c>
      <c r="H408" s="10">
        <v>0</v>
      </c>
      <c r="I408" s="10">
        <v>0</v>
      </c>
      <c r="J408" s="10">
        <v>0.06</v>
      </c>
      <c r="K408" s="10">
        <v>0.04</v>
      </c>
      <c r="L408" s="10">
        <v>0</v>
      </c>
      <c r="M408" s="10">
        <v>0</v>
      </c>
      <c r="N408" s="10">
        <v>0</v>
      </c>
      <c r="O408" s="10">
        <v>0</v>
      </c>
      <c r="P408" s="10">
        <v>0.59</v>
      </c>
      <c r="Q408" s="10">
        <v>0</v>
      </c>
      <c r="R408" s="10">
        <v>7.0000000000000007E-2</v>
      </c>
      <c r="S408" s="10">
        <v>0</v>
      </c>
      <c r="T408" s="10">
        <v>0</v>
      </c>
      <c r="U408" s="10">
        <v>0</v>
      </c>
    </row>
    <row r="409" spans="1:21">
      <c r="A409" s="72" t="s">
        <v>298</v>
      </c>
      <c r="B409" s="10" t="s">
        <v>151</v>
      </c>
      <c r="C409" s="10">
        <v>2030</v>
      </c>
      <c r="D409" s="10">
        <v>0.78</v>
      </c>
      <c r="E409" s="10">
        <v>0.05</v>
      </c>
      <c r="F409" s="10">
        <v>0.08</v>
      </c>
      <c r="G409" s="10">
        <v>0</v>
      </c>
      <c r="H409" s="10">
        <v>0</v>
      </c>
      <c r="I409" s="10">
        <v>0</v>
      </c>
      <c r="J409" s="10">
        <v>0.06</v>
      </c>
      <c r="K409" s="10">
        <v>0.04</v>
      </c>
      <c r="L409" s="10">
        <v>0</v>
      </c>
      <c r="M409" s="10">
        <v>0</v>
      </c>
      <c r="N409" s="10">
        <v>0</v>
      </c>
      <c r="O409" s="10">
        <v>0</v>
      </c>
      <c r="P409" s="10">
        <v>0.39</v>
      </c>
      <c r="Q409" s="10">
        <v>0</v>
      </c>
      <c r="R409" s="10">
        <v>0.03</v>
      </c>
      <c r="S409" s="10">
        <v>0</v>
      </c>
      <c r="T409" s="10">
        <v>0</v>
      </c>
      <c r="U409" s="10">
        <v>0</v>
      </c>
    </row>
    <row r="410" spans="1:21">
      <c r="A410" s="72" t="s">
        <v>298</v>
      </c>
      <c r="B410" s="10" t="s">
        <v>151</v>
      </c>
      <c r="C410" s="10">
        <v>2035</v>
      </c>
      <c r="D410" s="10">
        <v>0.76</v>
      </c>
      <c r="E410" s="10">
        <v>0.05</v>
      </c>
      <c r="F410" s="10">
        <v>0.08</v>
      </c>
      <c r="G410" s="10">
        <v>0</v>
      </c>
      <c r="H410" s="10">
        <v>0</v>
      </c>
      <c r="I410" s="10">
        <v>0</v>
      </c>
      <c r="J410" s="10">
        <v>0.06</v>
      </c>
      <c r="K410" s="10">
        <v>0.03</v>
      </c>
      <c r="L410" s="10">
        <v>0</v>
      </c>
      <c r="M410" s="10">
        <v>0</v>
      </c>
      <c r="N410" s="10">
        <v>0</v>
      </c>
      <c r="O410" s="10">
        <v>0</v>
      </c>
      <c r="P410" s="10">
        <v>0.03</v>
      </c>
      <c r="Q410" s="10">
        <v>0</v>
      </c>
      <c r="R410" s="10">
        <v>0.01</v>
      </c>
      <c r="S410" s="10">
        <v>0</v>
      </c>
      <c r="T410" s="10">
        <v>0</v>
      </c>
      <c r="U410" s="10">
        <v>0</v>
      </c>
    </row>
    <row r="411" spans="1:21">
      <c r="A411" s="72" t="s">
        <v>298</v>
      </c>
      <c r="B411" s="10" t="s">
        <v>151</v>
      </c>
      <c r="C411" s="10">
        <v>2040</v>
      </c>
      <c r="D411" s="10">
        <v>0.73</v>
      </c>
      <c r="E411" s="10">
        <v>0.05</v>
      </c>
      <c r="F411" s="10">
        <v>0.08</v>
      </c>
      <c r="G411" s="10">
        <v>0</v>
      </c>
      <c r="H411" s="10">
        <v>0</v>
      </c>
      <c r="I411" s="10">
        <v>0</v>
      </c>
      <c r="J411" s="10">
        <v>0.06</v>
      </c>
      <c r="K411" s="10">
        <v>0.03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</row>
    <row r="412" spans="1:21">
      <c r="A412" s="72" t="s">
        <v>298</v>
      </c>
      <c r="B412" s="10" t="s">
        <v>151</v>
      </c>
      <c r="C412" s="10">
        <v>2045</v>
      </c>
      <c r="D412" s="10">
        <v>0.7</v>
      </c>
      <c r="E412" s="10">
        <v>0.05</v>
      </c>
      <c r="F412" s="10">
        <v>0.08</v>
      </c>
      <c r="G412" s="10">
        <v>0</v>
      </c>
      <c r="H412" s="10">
        <v>0</v>
      </c>
      <c r="I412" s="10">
        <v>0</v>
      </c>
      <c r="J412" s="10">
        <v>0.06</v>
      </c>
      <c r="K412" s="10">
        <v>0.03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</row>
    <row r="413" spans="1:21">
      <c r="A413" s="72" t="s">
        <v>298</v>
      </c>
      <c r="B413" s="10" t="s">
        <v>151</v>
      </c>
      <c r="C413" s="10">
        <v>2050</v>
      </c>
      <c r="D413" s="10">
        <v>0.67</v>
      </c>
      <c r="E413" s="10">
        <v>0.04</v>
      </c>
      <c r="F413" s="10">
        <v>7.0000000000000007E-2</v>
      </c>
      <c r="G413" s="10">
        <v>0</v>
      </c>
      <c r="H413" s="10">
        <v>0</v>
      </c>
      <c r="I413" s="10">
        <v>0</v>
      </c>
      <c r="J413" s="10">
        <v>0.06</v>
      </c>
      <c r="K413" s="10">
        <v>0.03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</row>
    <row r="414" spans="1:21">
      <c r="A414" s="72" t="s">
        <v>357</v>
      </c>
      <c r="B414" s="10" t="s">
        <v>151</v>
      </c>
      <c r="C414" s="10">
        <v>2018</v>
      </c>
      <c r="D414" s="10">
        <v>0.88</v>
      </c>
      <c r="E414" s="10">
        <v>0.02</v>
      </c>
      <c r="F414" s="10">
        <v>0.09</v>
      </c>
      <c r="G414" s="10">
        <v>0</v>
      </c>
      <c r="H414" s="10">
        <v>0</v>
      </c>
      <c r="I414" s="10">
        <v>0</v>
      </c>
      <c r="J414" s="10">
        <v>0</v>
      </c>
      <c r="K414" s="10">
        <v>0.01</v>
      </c>
      <c r="L414" s="10">
        <v>0</v>
      </c>
      <c r="M414" s="10">
        <v>0</v>
      </c>
      <c r="N414" s="10">
        <v>0</v>
      </c>
      <c r="O414" s="10">
        <v>0</v>
      </c>
      <c r="P414" s="10">
        <f>D414-J414</f>
        <v>0.88</v>
      </c>
      <c r="Q414" s="10">
        <v>0</v>
      </c>
      <c r="R414" s="10">
        <v>0.09</v>
      </c>
      <c r="S414" s="10">
        <v>0</v>
      </c>
      <c r="T414" s="10">
        <v>0</v>
      </c>
      <c r="U414" s="10">
        <v>0</v>
      </c>
    </row>
    <row r="415" spans="1:21">
      <c r="A415" s="72" t="s">
        <v>357</v>
      </c>
      <c r="B415" s="10" t="s">
        <v>151</v>
      </c>
      <c r="C415" s="10">
        <v>2020</v>
      </c>
      <c r="D415" s="10">
        <v>0.87</v>
      </c>
      <c r="E415" s="10">
        <v>0.01</v>
      </c>
      <c r="F415" s="10">
        <v>0.09</v>
      </c>
      <c r="G415" s="10">
        <v>0</v>
      </c>
      <c r="H415" s="10">
        <v>0</v>
      </c>
      <c r="I415" s="10">
        <v>0</v>
      </c>
      <c r="J415" s="10">
        <v>0</v>
      </c>
      <c r="K415" s="10">
        <v>0.01</v>
      </c>
      <c r="L415" s="10">
        <v>0</v>
      </c>
      <c r="M415" s="10">
        <v>0</v>
      </c>
      <c r="N415" s="10">
        <v>0</v>
      </c>
      <c r="O415" s="10">
        <v>0</v>
      </c>
      <c r="P415" s="10">
        <v>0.81</v>
      </c>
      <c r="Q415" s="10">
        <v>0</v>
      </c>
      <c r="R415" s="10">
        <v>0.09</v>
      </c>
      <c r="S415" s="10">
        <v>0</v>
      </c>
      <c r="T415" s="10">
        <v>0</v>
      </c>
      <c r="U415" s="10">
        <v>0</v>
      </c>
    </row>
    <row r="416" spans="1:21">
      <c r="A416" s="72" t="s">
        <v>357</v>
      </c>
      <c r="B416" s="10" t="s">
        <v>151</v>
      </c>
      <c r="C416" s="10">
        <v>2025</v>
      </c>
      <c r="D416" s="10">
        <v>0.85</v>
      </c>
      <c r="E416" s="10">
        <v>0.01</v>
      </c>
      <c r="F416" s="10">
        <v>0.09</v>
      </c>
      <c r="G416" s="10">
        <v>0</v>
      </c>
      <c r="H416" s="10">
        <v>0</v>
      </c>
      <c r="I416" s="10">
        <v>0</v>
      </c>
      <c r="J416" s="10">
        <v>0</v>
      </c>
      <c r="K416" s="10">
        <v>0.01</v>
      </c>
      <c r="L416" s="10">
        <v>0</v>
      </c>
      <c r="M416" s="10">
        <v>0</v>
      </c>
      <c r="N416" s="10">
        <v>0</v>
      </c>
      <c r="O416" s="10">
        <v>0</v>
      </c>
      <c r="P416" s="10">
        <v>0.62</v>
      </c>
      <c r="Q416" s="10">
        <v>0</v>
      </c>
      <c r="R416" s="10">
        <v>7.0000000000000007E-2</v>
      </c>
      <c r="S416" s="10">
        <v>0</v>
      </c>
      <c r="T416" s="10">
        <v>0</v>
      </c>
      <c r="U416" s="10">
        <v>0</v>
      </c>
    </row>
    <row r="417" spans="1:21">
      <c r="A417" s="72" t="s">
        <v>357</v>
      </c>
      <c r="B417" s="10" t="s">
        <v>151</v>
      </c>
      <c r="C417" s="10">
        <v>2030</v>
      </c>
      <c r="D417" s="10">
        <v>0.82</v>
      </c>
      <c r="E417" s="10">
        <v>0.01</v>
      </c>
      <c r="F417" s="10">
        <v>0.08</v>
      </c>
      <c r="G417" s="10">
        <v>0</v>
      </c>
      <c r="H417" s="10">
        <v>0</v>
      </c>
      <c r="I417" s="10">
        <v>0</v>
      </c>
      <c r="J417" s="10">
        <v>0</v>
      </c>
      <c r="K417" s="10">
        <v>0.01</v>
      </c>
      <c r="L417" s="10">
        <v>0</v>
      </c>
      <c r="M417" s="10">
        <v>0</v>
      </c>
      <c r="N417" s="10">
        <v>0</v>
      </c>
      <c r="O417" s="10">
        <v>0</v>
      </c>
      <c r="P417" s="10">
        <v>0.41</v>
      </c>
      <c r="Q417" s="10">
        <v>0</v>
      </c>
      <c r="R417" s="10">
        <v>0.03</v>
      </c>
      <c r="S417" s="10">
        <v>0</v>
      </c>
      <c r="T417" s="10">
        <v>0</v>
      </c>
      <c r="U417" s="10">
        <v>0</v>
      </c>
    </row>
    <row r="418" spans="1:21">
      <c r="A418" s="72" t="s">
        <v>357</v>
      </c>
      <c r="B418" s="10" t="s">
        <v>151</v>
      </c>
      <c r="C418" s="10">
        <v>2035</v>
      </c>
      <c r="D418" s="10">
        <v>0.8</v>
      </c>
      <c r="E418" s="10">
        <v>0.01</v>
      </c>
      <c r="F418" s="10">
        <v>0.08</v>
      </c>
      <c r="G418" s="10">
        <v>0</v>
      </c>
      <c r="H418" s="10">
        <v>0</v>
      </c>
      <c r="I418" s="10">
        <v>0</v>
      </c>
      <c r="J418" s="10">
        <v>0</v>
      </c>
      <c r="K418" s="10">
        <v>0.01</v>
      </c>
      <c r="L418" s="10">
        <v>0</v>
      </c>
      <c r="M418" s="10">
        <v>0</v>
      </c>
      <c r="N418" s="10">
        <v>0</v>
      </c>
      <c r="O418" s="10">
        <v>0</v>
      </c>
      <c r="P418" s="10">
        <v>0.04</v>
      </c>
      <c r="Q418" s="10">
        <v>0</v>
      </c>
      <c r="R418" s="10">
        <v>0.01</v>
      </c>
      <c r="S418" s="10">
        <v>0</v>
      </c>
      <c r="T418" s="10">
        <v>0</v>
      </c>
      <c r="U418" s="10">
        <v>0</v>
      </c>
    </row>
    <row r="419" spans="1:21">
      <c r="A419" s="72" t="s">
        <v>357</v>
      </c>
      <c r="B419" s="10" t="s">
        <v>151</v>
      </c>
      <c r="C419" s="10">
        <v>2040</v>
      </c>
      <c r="D419" s="10">
        <v>0.76</v>
      </c>
      <c r="E419" s="10">
        <v>0.01</v>
      </c>
      <c r="F419" s="10">
        <v>0.08</v>
      </c>
      <c r="G419" s="10">
        <v>0</v>
      </c>
      <c r="H419" s="10">
        <v>0</v>
      </c>
      <c r="I419" s="10">
        <v>0</v>
      </c>
      <c r="J419" s="10">
        <v>0</v>
      </c>
      <c r="K419" s="10">
        <v>0.01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</row>
    <row r="420" spans="1:21">
      <c r="A420" s="72" t="s">
        <v>357</v>
      </c>
      <c r="B420" s="10" t="s">
        <v>151</v>
      </c>
      <c r="C420" s="10">
        <v>2045</v>
      </c>
      <c r="D420" s="10">
        <v>0.74</v>
      </c>
      <c r="E420" s="10">
        <v>0.01</v>
      </c>
      <c r="F420" s="10">
        <v>0.08</v>
      </c>
      <c r="G420" s="10">
        <v>0</v>
      </c>
      <c r="H420" s="10">
        <v>0</v>
      </c>
      <c r="I420" s="10">
        <v>0</v>
      </c>
      <c r="J420" s="10">
        <v>0</v>
      </c>
      <c r="K420" s="10">
        <v>0.01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</row>
    <row r="421" spans="1:21">
      <c r="A421" s="72" t="s">
        <v>357</v>
      </c>
      <c r="B421" s="10" t="s">
        <v>151</v>
      </c>
      <c r="C421" s="10">
        <v>2050</v>
      </c>
      <c r="D421" s="10">
        <v>0.7</v>
      </c>
      <c r="E421" s="10">
        <v>0.01</v>
      </c>
      <c r="F421" s="10">
        <v>7.0000000000000007E-2</v>
      </c>
      <c r="G421" s="10">
        <v>0</v>
      </c>
      <c r="H421" s="10">
        <v>0</v>
      </c>
      <c r="I421" s="10">
        <v>0</v>
      </c>
      <c r="J421" s="10">
        <v>0</v>
      </c>
      <c r="K421" s="10">
        <v>0.01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</row>
    <row r="422" spans="1:21">
      <c r="A422" s="10" t="s">
        <v>299</v>
      </c>
      <c r="B422" s="10" t="s">
        <v>151</v>
      </c>
      <c r="C422" s="10">
        <v>2018</v>
      </c>
      <c r="D422" s="10">
        <v>0.81</v>
      </c>
      <c r="E422" s="10">
        <v>0.09</v>
      </c>
      <c r="F422" s="10">
        <v>0.09</v>
      </c>
      <c r="G422" s="10">
        <v>0</v>
      </c>
      <c r="H422" s="10">
        <v>0</v>
      </c>
      <c r="I422" s="10">
        <v>0</v>
      </c>
      <c r="J422" s="10">
        <v>0</v>
      </c>
      <c r="K422" s="10">
        <v>0.06</v>
      </c>
      <c r="L422" s="10">
        <v>0</v>
      </c>
      <c r="M422" s="10">
        <v>0</v>
      </c>
      <c r="N422" s="10">
        <v>0</v>
      </c>
      <c r="O422" s="10">
        <v>0</v>
      </c>
      <c r="P422" s="10">
        <f>D422-J422</f>
        <v>0.81</v>
      </c>
      <c r="Q422" s="10">
        <v>0.02</v>
      </c>
      <c r="R422" s="10">
        <v>0.09</v>
      </c>
      <c r="S422" s="10">
        <v>0</v>
      </c>
      <c r="T422" s="10">
        <v>0</v>
      </c>
      <c r="U422" s="10">
        <v>0</v>
      </c>
    </row>
    <row r="423" spans="1:21">
      <c r="A423" s="10" t="s">
        <v>299</v>
      </c>
      <c r="B423" s="10" t="s">
        <v>151</v>
      </c>
      <c r="C423" s="10">
        <v>2020</v>
      </c>
      <c r="D423" s="10">
        <v>0.8</v>
      </c>
      <c r="E423" s="10">
        <v>0.09</v>
      </c>
      <c r="F423" s="10">
        <v>0.09</v>
      </c>
      <c r="G423" s="10">
        <v>0</v>
      </c>
      <c r="H423" s="10">
        <v>0</v>
      </c>
      <c r="I423" s="10">
        <v>0</v>
      </c>
      <c r="J423" s="10">
        <v>0</v>
      </c>
      <c r="K423" s="10">
        <v>0.06</v>
      </c>
      <c r="L423" s="10">
        <v>0</v>
      </c>
      <c r="M423" s="10">
        <v>0</v>
      </c>
      <c r="N423" s="10">
        <v>0</v>
      </c>
      <c r="O423" s="10">
        <v>0</v>
      </c>
      <c r="P423" s="10">
        <v>0.75</v>
      </c>
      <c r="Q423" s="10">
        <v>0.02</v>
      </c>
      <c r="R423" s="10">
        <v>0.09</v>
      </c>
      <c r="S423" s="10">
        <v>0</v>
      </c>
      <c r="T423" s="10">
        <v>0</v>
      </c>
      <c r="U423" s="10">
        <v>0</v>
      </c>
    </row>
    <row r="424" spans="1:21">
      <c r="A424" s="10" t="s">
        <v>299</v>
      </c>
      <c r="B424" s="10" t="s">
        <v>151</v>
      </c>
      <c r="C424" s="10">
        <v>2025</v>
      </c>
      <c r="D424" s="10">
        <v>0.78</v>
      </c>
      <c r="E424" s="10">
        <v>0.08</v>
      </c>
      <c r="F424" s="10">
        <v>0.09</v>
      </c>
      <c r="G424" s="10">
        <v>0</v>
      </c>
      <c r="H424" s="10">
        <v>0</v>
      </c>
      <c r="I424" s="10">
        <v>0</v>
      </c>
      <c r="J424" s="10">
        <v>0</v>
      </c>
      <c r="K424" s="10">
        <v>0.06</v>
      </c>
      <c r="L424" s="10">
        <v>0</v>
      </c>
      <c r="M424" s="10">
        <v>0</v>
      </c>
      <c r="N424" s="10">
        <v>0</v>
      </c>
      <c r="O424" s="10">
        <v>0</v>
      </c>
      <c r="P424" s="10">
        <v>0.56999999999999995</v>
      </c>
      <c r="Q424" s="10">
        <v>0</v>
      </c>
      <c r="R424" s="10">
        <v>7.0000000000000007E-2</v>
      </c>
      <c r="S424" s="10">
        <v>0</v>
      </c>
      <c r="T424" s="10">
        <v>0</v>
      </c>
      <c r="U424" s="10">
        <v>0</v>
      </c>
    </row>
    <row r="425" spans="1:21">
      <c r="A425" s="10" t="s">
        <v>299</v>
      </c>
      <c r="B425" s="10" t="s">
        <v>151</v>
      </c>
      <c r="C425" s="10">
        <v>2030</v>
      </c>
      <c r="D425" s="10">
        <v>0.75</v>
      </c>
      <c r="E425" s="10">
        <v>0.08</v>
      </c>
      <c r="F425" s="10">
        <v>0.08</v>
      </c>
      <c r="G425" s="10">
        <v>0</v>
      </c>
      <c r="H425" s="10">
        <v>0</v>
      </c>
      <c r="I425" s="10">
        <v>0</v>
      </c>
      <c r="J425" s="10">
        <v>0</v>
      </c>
      <c r="K425" s="10">
        <v>0.06</v>
      </c>
      <c r="L425" s="10">
        <v>0</v>
      </c>
      <c r="M425" s="10">
        <v>0</v>
      </c>
      <c r="N425" s="10">
        <v>0</v>
      </c>
      <c r="O425" s="10">
        <v>0</v>
      </c>
      <c r="P425" s="10">
        <v>0.37</v>
      </c>
      <c r="Q425" s="10">
        <v>0</v>
      </c>
      <c r="R425" s="10">
        <v>0.03</v>
      </c>
      <c r="S425" s="10">
        <v>0</v>
      </c>
      <c r="T425" s="10">
        <v>0</v>
      </c>
      <c r="U425" s="10">
        <v>0</v>
      </c>
    </row>
    <row r="426" spans="1:21">
      <c r="A426" s="10" t="s">
        <v>299</v>
      </c>
      <c r="B426" s="10" t="s">
        <v>151</v>
      </c>
      <c r="C426" s="10">
        <v>2035</v>
      </c>
      <c r="D426" s="10">
        <v>0.73</v>
      </c>
      <c r="E426" s="10">
        <v>0.08</v>
      </c>
      <c r="F426" s="10">
        <v>0.08</v>
      </c>
      <c r="G426" s="10">
        <v>0</v>
      </c>
      <c r="H426" s="10">
        <v>0</v>
      </c>
      <c r="I426" s="10">
        <v>0</v>
      </c>
      <c r="J426" s="10">
        <v>0</v>
      </c>
      <c r="K426" s="10">
        <v>0.05</v>
      </c>
      <c r="L426" s="10">
        <v>0</v>
      </c>
      <c r="M426" s="10">
        <v>0</v>
      </c>
      <c r="N426" s="10">
        <v>0</v>
      </c>
      <c r="O426" s="10">
        <v>0</v>
      </c>
      <c r="P426" s="10">
        <v>0.03</v>
      </c>
      <c r="Q426" s="10">
        <v>0</v>
      </c>
      <c r="R426" s="10">
        <v>0.01</v>
      </c>
      <c r="S426" s="10">
        <v>0</v>
      </c>
      <c r="T426" s="10">
        <v>0</v>
      </c>
      <c r="U426" s="10">
        <v>0</v>
      </c>
    </row>
    <row r="427" spans="1:21">
      <c r="A427" s="10" t="s">
        <v>299</v>
      </c>
      <c r="B427" s="10" t="s">
        <v>151</v>
      </c>
      <c r="C427" s="10">
        <v>2040</v>
      </c>
      <c r="D427" s="10">
        <v>0.7</v>
      </c>
      <c r="E427" s="10">
        <v>0.08</v>
      </c>
      <c r="F427" s="10">
        <v>0.08</v>
      </c>
      <c r="G427" s="10">
        <v>0</v>
      </c>
      <c r="H427" s="10">
        <v>0</v>
      </c>
      <c r="I427" s="10">
        <v>0</v>
      </c>
      <c r="J427" s="10">
        <v>0</v>
      </c>
      <c r="K427" s="10">
        <v>0.05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</row>
    <row r="428" spans="1:21">
      <c r="A428" s="10" t="s">
        <v>299</v>
      </c>
      <c r="B428" s="10" t="s">
        <v>151</v>
      </c>
      <c r="C428" s="10">
        <v>2045</v>
      </c>
      <c r="D428" s="10">
        <v>0.68</v>
      </c>
      <c r="E428" s="10">
        <v>7.0000000000000007E-2</v>
      </c>
      <c r="F428" s="10">
        <v>0.08</v>
      </c>
      <c r="G428" s="10">
        <v>0</v>
      </c>
      <c r="H428" s="10">
        <v>0</v>
      </c>
      <c r="I428" s="10">
        <v>0</v>
      </c>
      <c r="J428" s="10">
        <v>0</v>
      </c>
      <c r="K428" s="10">
        <v>0.05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</row>
    <row r="429" spans="1:21">
      <c r="A429" s="10" t="s">
        <v>299</v>
      </c>
      <c r="B429" s="10" t="s">
        <v>151</v>
      </c>
      <c r="C429" s="10">
        <v>2050</v>
      </c>
      <c r="D429" s="10">
        <v>0.64</v>
      </c>
      <c r="E429" s="10">
        <v>7.0000000000000007E-2</v>
      </c>
      <c r="F429" s="10">
        <v>7.0000000000000007E-2</v>
      </c>
      <c r="G429" s="10">
        <v>0</v>
      </c>
      <c r="H429" s="10">
        <v>0</v>
      </c>
      <c r="I429" s="10">
        <v>0</v>
      </c>
      <c r="J429" s="10">
        <v>0</v>
      </c>
      <c r="K429" s="10">
        <v>0.05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</row>
    <row r="430" spans="1:21">
      <c r="A430" s="10" t="s">
        <v>300</v>
      </c>
      <c r="B430" s="10" t="s">
        <v>151</v>
      </c>
      <c r="C430" s="10">
        <v>2018</v>
      </c>
      <c r="D430" s="10">
        <v>0.85</v>
      </c>
      <c r="E430" s="10">
        <v>0.05</v>
      </c>
      <c r="F430" s="10">
        <v>0.09</v>
      </c>
      <c r="G430" s="10">
        <v>0</v>
      </c>
      <c r="H430" s="10">
        <v>0</v>
      </c>
      <c r="I430" s="10">
        <v>0</v>
      </c>
      <c r="J430" s="10">
        <v>0</v>
      </c>
      <c r="K430" s="10">
        <v>0.03</v>
      </c>
      <c r="L430" s="10">
        <v>0</v>
      </c>
      <c r="M430" s="10">
        <v>0</v>
      </c>
      <c r="N430" s="10">
        <v>0</v>
      </c>
      <c r="O430" s="10">
        <v>0</v>
      </c>
      <c r="P430" s="10">
        <f>D430-J430</f>
        <v>0.85</v>
      </c>
      <c r="Q430" s="10">
        <v>0.01</v>
      </c>
      <c r="R430" s="10">
        <v>0.09</v>
      </c>
      <c r="S430" s="10">
        <v>0</v>
      </c>
      <c r="T430" s="10">
        <v>0</v>
      </c>
      <c r="U430" s="10">
        <v>0</v>
      </c>
    </row>
    <row r="431" spans="1:21">
      <c r="A431" s="10" t="s">
        <v>300</v>
      </c>
      <c r="B431" s="10" t="s">
        <v>151</v>
      </c>
      <c r="C431" s="10">
        <v>2020</v>
      </c>
      <c r="D431" s="10">
        <v>0.84</v>
      </c>
      <c r="E431" s="10">
        <v>0.05</v>
      </c>
      <c r="F431" s="10">
        <v>0.09</v>
      </c>
      <c r="G431" s="10">
        <v>0</v>
      </c>
      <c r="H431" s="10">
        <v>0</v>
      </c>
      <c r="I431" s="10">
        <v>0</v>
      </c>
      <c r="J431" s="10">
        <v>0</v>
      </c>
      <c r="K431" s="10">
        <v>0.03</v>
      </c>
      <c r="L431" s="10">
        <v>0</v>
      </c>
      <c r="M431" s="10">
        <v>0</v>
      </c>
      <c r="N431" s="10">
        <v>0</v>
      </c>
      <c r="O431" s="10">
        <v>0</v>
      </c>
      <c r="P431" s="10">
        <v>0.78</v>
      </c>
      <c r="Q431" s="10">
        <v>0.01</v>
      </c>
      <c r="R431" s="10">
        <v>0.09</v>
      </c>
      <c r="S431" s="10">
        <v>0</v>
      </c>
      <c r="T431" s="10">
        <v>0</v>
      </c>
      <c r="U431" s="10">
        <v>0</v>
      </c>
    </row>
    <row r="432" spans="1:21">
      <c r="A432" s="10" t="s">
        <v>300</v>
      </c>
      <c r="B432" s="10" t="s">
        <v>151</v>
      </c>
      <c r="C432" s="10">
        <v>2025</v>
      </c>
      <c r="D432" s="10">
        <v>0.82</v>
      </c>
      <c r="E432" s="10">
        <v>0.05</v>
      </c>
      <c r="F432" s="10">
        <v>0.09</v>
      </c>
      <c r="G432" s="10">
        <v>0</v>
      </c>
      <c r="H432" s="10">
        <v>0</v>
      </c>
      <c r="I432" s="10">
        <v>0</v>
      </c>
      <c r="J432" s="10">
        <v>0</v>
      </c>
      <c r="K432" s="10">
        <v>0.03</v>
      </c>
      <c r="L432" s="10">
        <v>0</v>
      </c>
      <c r="M432" s="10">
        <v>0</v>
      </c>
      <c r="N432" s="10">
        <v>0</v>
      </c>
      <c r="O432" s="10">
        <v>0</v>
      </c>
      <c r="P432" s="10">
        <v>0.59</v>
      </c>
      <c r="Q432" s="10">
        <v>0</v>
      </c>
      <c r="R432" s="10">
        <v>7.0000000000000007E-2</v>
      </c>
      <c r="S432" s="10">
        <v>0</v>
      </c>
      <c r="T432" s="10">
        <v>0</v>
      </c>
      <c r="U432" s="10">
        <v>0</v>
      </c>
    </row>
    <row r="433" spans="1:21">
      <c r="A433" s="10" t="s">
        <v>300</v>
      </c>
      <c r="B433" s="10" t="s">
        <v>151</v>
      </c>
      <c r="C433" s="10">
        <v>2030</v>
      </c>
      <c r="D433" s="10">
        <v>0.79</v>
      </c>
      <c r="E433" s="10">
        <v>0.04</v>
      </c>
      <c r="F433" s="10">
        <v>0.08</v>
      </c>
      <c r="G433" s="10">
        <v>0</v>
      </c>
      <c r="H433" s="10">
        <v>0</v>
      </c>
      <c r="I433" s="10">
        <v>0</v>
      </c>
      <c r="J433" s="10">
        <v>0</v>
      </c>
      <c r="K433" s="10">
        <v>0.03</v>
      </c>
      <c r="L433" s="10">
        <v>0</v>
      </c>
      <c r="M433" s="10">
        <v>0</v>
      </c>
      <c r="N433" s="10">
        <v>0</v>
      </c>
      <c r="O433" s="10">
        <v>0</v>
      </c>
      <c r="P433" s="10">
        <v>0.39</v>
      </c>
      <c r="Q433" s="10">
        <v>0</v>
      </c>
      <c r="R433" s="10">
        <v>0.03</v>
      </c>
      <c r="S433" s="10">
        <v>0</v>
      </c>
      <c r="T433" s="10">
        <v>0</v>
      </c>
      <c r="U433" s="10">
        <v>0</v>
      </c>
    </row>
    <row r="434" spans="1:21">
      <c r="A434" s="10" t="s">
        <v>300</v>
      </c>
      <c r="B434" s="10" t="s">
        <v>151</v>
      </c>
      <c r="C434" s="10">
        <v>2035</v>
      </c>
      <c r="D434" s="10">
        <v>0.77</v>
      </c>
      <c r="E434" s="10">
        <v>0.04</v>
      </c>
      <c r="F434" s="10">
        <v>0.08</v>
      </c>
      <c r="G434" s="10">
        <v>0</v>
      </c>
      <c r="H434" s="10">
        <v>0</v>
      </c>
      <c r="I434" s="10">
        <v>0</v>
      </c>
      <c r="J434" s="10">
        <v>0</v>
      </c>
      <c r="K434" s="10">
        <v>0.03</v>
      </c>
      <c r="L434" s="10">
        <v>0</v>
      </c>
      <c r="M434" s="10">
        <v>0</v>
      </c>
      <c r="N434" s="10">
        <v>0</v>
      </c>
      <c r="O434" s="10">
        <v>0</v>
      </c>
      <c r="P434" s="10">
        <v>0.03</v>
      </c>
      <c r="Q434" s="10">
        <v>0</v>
      </c>
      <c r="R434" s="10">
        <v>0.01</v>
      </c>
      <c r="S434" s="10">
        <v>0</v>
      </c>
      <c r="T434" s="10">
        <v>0</v>
      </c>
      <c r="U434" s="10">
        <v>0</v>
      </c>
    </row>
    <row r="435" spans="1:21">
      <c r="A435" s="10" t="s">
        <v>300</v>
      </c>
      <c r="B435" s="10" t="s">
        <v>151</v>
      </c>
      <c r="C435" s="10">
        <v>2040</v>
      </c>
      <c r="D435" s="10">
        <v>0.74</v>
      </c>
      <c r="E435" s="10">
        <v>0.04</v>
      </c>
      <c r="F435" s="10">
        <v>0.08</v>
      </c>
      <c r="G435" s="10">
        <v>0</v>
      </c>
      <c r="H435" s="10">
        <v>0</v>
      </c>
      <c r="I435" s="10">
        <v>0</v>
      </c>
      <c r="J435" s="10">
        <v>0</v>
      </c>
      <c r="K435" s="10">
        <v>0.03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</row>
    <row r="436" spans="1:21">
      <c r="A436" s="10" t="s">
        <v>300</v>
      </c>
      <c r="B436" s="10" t="s">
        <v>151</v>
      </c>
      <c r="C436" s="10">
        <v>2045</v>
      </c>
      <c r="D436" s="10">
        <v>0.71</v>
      </c>
      <c r="E436" s="10">
        <v>0.04</v>
      </c>
      <c r="F436" s="10">
        <v>0.08</v>
      </c>
      <c r="G436" s="10">
        <v>0</v>
      </c>
      <c r="H436" s="10">
        <v>0</v>
      </c>
      <c r="I436" s="10">
        <v>0</v>
      </c>
      <c r="J436" s="10">
        <v>0</v>
      </c>
      <c r="K436" s="10">
        <v>0.03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</row>
    <row r="437" spans="1:21">
      <c r="A437" s="10" t="s">
        <v>300</v>
      </c>
      <c r="B437" s="10" t="s">
        <v>151</v>
      </c>
      <c r="C437" s="10">
        <v>2050</v>
      </c>
      <c r="D437" s="10">
        <v>0.68</v>
      </c>
      <c r="E437" s="10">
        <v>0.04</v>
      </c>
      <c r="F437" s="10">
        <v>7.0000000000000007E-2</v>
      </c>
      <c r="G437" s="10">
        <v>0</v>
      </c>
      <c r="H437" s="10">
        <v>0</v>
      </c>
      <c r="I437" s="10">
        <v>0</v>
      </c>
      <c r="J437" s="10">
        <v>0</v>
      </c>
      <c r="K437" s="10">
        <v>0.02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</row>
    <row r="438" spans="1:21">
      <c r="A438" s="10" t="s">
        <v>301</v>
      </c>
      <c r="B438" s="10" t="s">
        <v>151</v>
      </c>
      <c r="C438" s="10">
        <v>2018</v>
      </c>
      <c r="D438" s="10">
        <v>0.8</v>
      </c>
      <c r="E438" s="10">
        <v>0.1</v>
      </c>
      <c r="F438" s="10">
        <v>0.09</v>
      </c>
      <c r="G438" s="10">
        <v>0</v>
      </c>
      <c r="H438" s="10">
        <v>0</v>
      </c>
      <c r="I438" s="10">
        <v>0</v>
      </c>
      <c r="J438" s="10">
        <v>0</v>
      </c>
      <c r="K438" s="10">
        <v>7.0000000000000007E-2</v>
      </c>
      <c r="L438" s="10">
        <v>0</v>
      </c>
      <c r="M438" s="10">
        <v>0</v>
      </c>
      <c r="N438" s="10">
        <v>0</v>
      </c>
      <c r="O438" s="10">
        <v>0</v>
      </c>
      <c r="P438" s="10">
        <f>D438-J438</f>
        <v>0.8</v>
      </c>
      <c r="Q438" s="10">
        <v>0.03</v>
      </c>
      <c r="R438" s="10">
        <v>0.09</v>
      </c>
      <c r="S438" s="10">
        <v>0</v>
      </c>
      <c r="T438" s="10">
        <v>0</v>
      </c>
      <c r="U438" s="10">
        <v>0</v>
      </c>
    </row>
    <row r="439" spans="1:21">
      <c r="A439" s="10" t="s">
        <v>301</v>
      </c>
      <c r="B439" s="10" t="s">
        <v>151</v>
      </c>
      <c r="C439" s="10">
        <v>2020</v>
      </c>
      <c r="D439" s="10">
        <v>0.79</v>
      </c>
      <c r="E439" s="10">
        <v>0.1</v>
      </c>
      <c r="F439" s="10">
        <v>0.09</v>
      </c>
      <c r="G439" s="10">
        <v>0</v>
      </c>
      <c r="H439" s="10">
        <v>0</v>
      </c>
      <c r="I439" s="10">
        <v>0</v>
      </c>
      <c r="J439" s="10">
        <v>0</v>
      </c>
      <c r="K439" s="10">
        <v>7.0000000000000007E-2</v>
      </c>
      <c r="L439" s="10">
        <v>0</v>
      </c>
      <c r="M439" s="10">
        <v>0</v>
      </c>
      <c r="N439" s="10">
        <v>0</v>
      </c>
      <c r="O439" s="10">
        <v>0</v>
      </c>
      <c r="P439" s="10">
        <v>0.74</v>
      </c>
      <c r="Q439" s="10">
        <v>0.02</v>
      </c>
      <c r="R439" s="10">
        <v>0.09</v>
      </c>
      <c r="S439" s="10">
        <v>0</v>
      </c>
      <c r="T439" s="10">
        <v>0</v>
      </c>
      <c r="U439" s="10">
        <v>0</v>
      </c>
    </row>
    <row r="440" spans="1:21">
      <c r="A440" s="10" t="s">
        <v>301</v>
      </c>
      <c r="B440" s="10" t="s">
        <v>151</v>
      </c>
      <c r="C440" s="10">
        <v>2025</v>
      </c>
      <c r="D440" s="10">
        <v>0.77</v>
      </c>
      <c r="E440" s="10">
        <v>0.09</v>
      </c>
      <c r="F440" s="10">
        <v>0.09</v>
      </c>
      <c r="G440" s="10">
        <v>0</v>
      </c>
      <c r="H440" s="10">
        <v>0</v>
      </c>
      <c r="I440" s="10">
        <v>0</v>
      </c>
      <c r="J440" s="10">
        <v>0</v>
      </c>
      <c r="K440" s="10">
        <v>0.06</v>
      </c>
      <c r="L440" s="10">
        <v>0</v>
      </c>
      <c r="M440" s="10">
        <v>0</v>
      </c>
      <c r="N440" s="10">
        <v>0</v>
      </c>
      <c r="O440" s="10">
        <v>0</v>
      </c>
      <c r="P440" s="10">
        <v>0.56000000000000005</v>
      </c>
      <c r="Q440" s="10">
        <v>0</v>
      </c>
      <c r="R440" s="10">
        <v>7.0000000000000007E-2</v>
      </c>
      <c r="S440" s="10">
        <v>0</v>
      </c>
      <c r="T440" s="10">
        <v>0</v>
      </c>
      <c r="U440" s="10">
        <v>0</v>
      </c>
    </row>
    <row r="441" spans="1:21">
      <c r="A441" s="10" t="s">
        <v>301</v>
      </c>
      <c r="B441" s="10" t="s">
        <v>151</v>
      </c>
      <c r="C441" s="10">
        <v>2030</v>
      </c>
      <c r="D441" s="10">
        <v>0.74</v>
      </c>
      <c r="E441" s="10">
        <v>0.09</v>
      </c>
      <c r="F441" s="10">
        <v>0.08</v>
      </c>
      <c r="G441" s="10">
        <v>0</v>
      </c>
      <c r="H441" s="10">
        <v>0</v>
      </c>
      <c r="I441" s="10">
        <v>0</v>
      </c>
      <c r="J441" s="10">
        <v>0</v>
      </c>
      <c r="K441" s="10">
        <v>0.06</v>
      </c>
      <c r="L441" s="10">
        <v>0</v>
      </c>
      <c r="M441" s="10">
        <v>0</v>
      </c>
      <c r="N441" s="10">
        <v>0</v>
      </c>
      <c r="O441" s="10">
        <v>0</v>
      </c>
      <c r="P441" s="10">
        <v>0.37</v>
      </c>
      <c r="Q441" s="10">
        <v>0</v>
      </c>
      <c r="R441" s="10">
        <v>0.03</v>
      </c>
      <c r="S441" s="10">
        <v>0</v>
      </c>
      <c r="T441" s="10">
        <v>0</v>
      </c>
      <c r="U441" s="10">
        <v>0</v>
      </c>
    </row>
    <row r="442" spans="1:21">
      <c r="A442" s="10" t="s">
        <v>301</v>
      </c>
      <c r="B442" s="10" t="s">
        <v>151</v>
      </c>
      <c r="C442" s="10">
        <v>2035</v>
      </c>
      <c r="D442" s="10">
        <v>0.72</v>
      </c>
      <c r="E442" s="10">
        <v>0.09</v>
      </c>
      <c r="F442" s="10">
        <v>0.08</v>
      </c>
      <c r="G442" s="10">
        <v>0</v>
      </c>
      <c r="H442" s="10">
        <v>0</v>
      </c>
      <c r="I442" s="10">
        <v>0</v>
      </c>
      <c r="J442" s="10">
        <v>0</v>
      </c>
      <c r="K442" s="10">
        <v>0.06</v>
      </c>
      <c r="L442" s="10">
        <v>0</v>
      </c>
      <c r="M442" s="10">
        <v>0</v>
      </c>
      <c r="N442" s="10">
        <v>0</v>
      </c>
      <c r="O442" s="10">
        <v>0</v>
      </c>
      <c r="P442" s="10">
        <v>0.03</v>
      </c>
      <c r="Q442" s="10">
        <v>0</v>
      </c>
      <c r="R442" s="10">
        <v>0.01</v>
      </c>
      <c r="S442" s="10">
        <v>0</v>
      </c>
      <c r="T442" s="10">
        <v>0</v>
      </c>
      <c r="U442" s="10">
        <v>0</v>
      </c>
    </row>
    <row r="443" spans="1:21">
      <c r="A443" s="10" t="s">
        <v>301</v>
      </c>
      <c r="B443" s="10" t="s">
        <v>151</v>
      </c>
      <c r="C443" s="10">
        <v>2040</v>
      </c>
      <c r="D443" s="10">
        <v>0.69</v>
      </c>
      <c r="E443" s="10">
        <v>0.08</v>
      </c>
      <c r="F443" s="10">
        <v>0.08</v>
      </c>
      <c r="G443" s="10">
        <v>0</v>
      </c>
      <c r="H443" s="10">
        <v>0</v>
      </c>
      <c r="I443" s="10">
        <v>0</v>
      </c>
      <c r="J443" s="10">
        <v>0</v>
      </c>
      <c r="K443" s="10">
        <v>0.06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</row>
    <row r="444" spans="1:21">
      <c r="A444" s="10" t="s">
        <v>301</v>
      </c>
      <c r="B444" s="10" t="s">
        <v>151</v>
      </c>
      <c r="C444" s="10">
        <v>2045</v>
      </c>
      <c r="D444" s="10">
        <v>0.67</v>
      </c>
      <c r="E444" s="10">
        <v>0.08</v>
      </c>
      <c r="F444" s="10">
        <v>0.08</v>
      </c>
      <c r="G444" s="10">
        <v>0</v>
      </c>
      <c r="H444" s="10">
        <v>0</v>
      </c>
      <c r="I444" s="10">
        <v>0</v>
      </c>
      <c r="J444" s="10">
        <v>0</v>
      </c>
      <c r="K444" s="10">
        <v>0.06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</row>
    <row r="445" spans="1:21">
      <c r="A445" s="10" t="s">
        <v>301</v>
      </c>
      <c r="B445" s="10" t="s">
        <v>151</v>
      </c>
      <c r="C445" s="10">
        <v>2050</v>
      </c>
      <c r="D445" s="10">
        <v>0.64</v>
      </c>
      <c r="E445" s="10">
        <v>0.08</v>
      </c>
      <c r="F445" s="10">
        <v>7.0000000000000007E-2</v>
      </c>
      <c r="G445" s="10">
        <v>0</v>
      </c>
      <c r="H445" s="10">
        <v>0</v>
      </c>
      <c r="I445" s="10">
        <v>0</v>
      </c>
      <c r="J445" s="10">
        <v>0</v>
      </c>
      <c r="K445" s="10">
        <v>0.05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</row>
    <row r="446" spans="1:21">
      <c r="A446" s="10" t="s">
        <v>303</v>
      </c>
      <c r="B446" s="10" t="s">
        <v>151</v>
      </c>
      <c r="C446" s="10">
        <v>2018</v>
      </c>
      <c r="D446" s="10">
        <v>0.79</v>
      </c>
      <c r="E446" s="10">
        <v>0.11</v>
      </c>
      <c r="F446" s="10">
        <v>0.09</v>
      </c>
      <c r="G446" s="10">
        <v>0</v>
      </c>
      <c r="H446" s="10">
        <v>0</v>
      </c>
      <c r="I446" s="10">
        <v>0</v>
      </c>
      <c r="J446" s="10">
        <v>0.02</v>
      </c>
      <c r="K446" s="10">
        <v>7.0000000000000007E-2</v>
      </c>
      <c r="L446" s="10">
        <v>0</v>
      </c>
      <c r="M446" s="10">
        <v>0</v>
      </c>
      <c r="N446" s="10">
        <v>0</v>
      </c>
      <c r="O446" s="10">
        <v>0</v>
      </c>
      <c r="P446" s="10">
        <f>D446-J446</f>
        <v>0.77</v>
      </c>
      <c r="Q446" s="10">
        <v>0.03</v>
      </c>
      <c r="R446" s="10">
        <v>0.09</v>
      </c>
      <c r="S446" s="10">
        <v>0</v>
      </c>
      <c r="T446" s="10">
        <v>0</v>
      </c>
      <c r="U446" s="10">
        <v>0</v>
      </c>
    </row>
    <row r="447" spans="1:21">
      <c r="A447" s="10" t="s">
        <v>303</v>
      </c>
      <c r="B447" s="10" t="s">
        <v>151</v>
      </c>
      <c r="C447" s="10">
        <v>2020</v>
      </c>
      <c r="D447" s="10">
        <v>0.78</v>
      </c>
      <c r="E447" s="10">
        <v>0.11</v>
      </c>
      <c r="F447" s="10">
        <v>0.09</v>
      </c>
      <c r="G447" s="10">
        <v>0</v>
      </c>
      <c r="H447" s="10">
        <v>0</v>
      </c>
      <c r="I447" s="10">
        <v>0</v>
      </c>
      <c r="J447" s="10">
        <v>0.02</v>
      </c>
      <c r="K447" s="10">
        <v>7.0000000000000007E-2</v>
      </c>
      <c r="L447" s="10">
        <v>0</v>
      </c>
      <c r="M447" s="10">
        <v>0</v>
      </c>
      <c r="N447" s="10">
        <v>0</v>
      </c>
      <c r="O447" s="10">
        <v>0</v>
      </c>
      <c r="P447" s="10">
        <v>0.73</v>
      </c>
      <c r="Q447" s="10">
        <v>0.02</v>
      </c>
      <c r="R447" s="10">
        <v>0.09</v>
      </c>
      <c r="S447" s="10">
        <v>0</v>
      </c>
      <c r="T447" s="10">
        <v>0</v>
      </c>
      <c r="U447" s="10">
        <v>0</v>
      </c>
    </row>
    <row r="448" spans="1:21">
      <c r="A448" s="10" t="s">
        <v>303</v>
      </c>
      <c r="B448" s="10" t="s">
        <v>151</v>
      </c>
      <c r="C448" s="10">
        <v>2025</v>
      </c>
      <c r="D448" s="10">
        <v>0.76</v>
      </c>
      <c r="E448" s="10">
        <v>0.11</v>
      </c>
      <c r="F448" s="10">
        <v>0.09</v>
      </c>
      <c r="G448" s="10">
        <v>0</v>
      </c>
      <c r="H448" s="10">
        <v>0</v>
      </c>
      <c r="I448" s="10">
        <v>0</v>
      </c>
      <c r="J448" s="10">
        <v>0.02</v>
      </c>
      <c r="K448" s="10">
        <v>7.0000000000000007E-2</v>
      </c>
      <c r="L448" s="10">
        <v>0</v>
      </c>
      <c r="M448" s="10">
        <v>0</v>
      </c>
      <c r="N448" s="10">
        <v>0</v>
      </c>
      <c r="O448" s="10">
        <v>0</v>
      </c>
      <c r="P448" s="10">
        <v>0.55000000000000004</v>
      </c>
      <c r="Q448" s="10">
        <v>0</v>
      </c>
      <c r="R448" s="10">
        <v>7.0000000000000007E-2</v>
      </c>
      <c r="S448" s="10">
        <v>0</v>
      </c>
      <c r="T448" s="10">
        <v>0</v>
      </c>
      <c r="U448" s="10">
        <v>0</v>
      </c>
    </row>
    <row r="449" spans="1:21">
      <c r="A449" s="10" t="s">
        <v>303</v>
      </c>
      <c r="B449" s="10" t="s">
        <v>151</v>
      </c>
      <c r="C449" s="10">
        <v>2030</v>
      </c>
      <c r="D449" s="10">
        <v>0.73</v>
      </c>
      <c r="E449" s="10">
        <v>0.1</v>
      </c>
      <c r="F449" s="10">
        <v>0.08</v>
      </c>
      <c r="G449" s="10">
        <v>0</v>
      </c>
      <c r="H449" s="10">
        <v>0</v>
      </c>
      <c r="I449" s="10">
        <v>0</v>
      </c>
      <c r="J449" s="10">
        <v>0.02</v>
      </c>
      <c r="K449" s="10">
        <v>7.0000000000000007E-2</v>
      </c>
      <c r="L449" s="10">
        <v>0</v>
      </c>
      <c r="M449" s="10">
        <v>0</v>
      </c>
      <c r="N449" s="10">
        <v>0</v>
      </c>
      <c r="O449" s="10">
        <v>0</v>
      </c>
      <c r="P449" s="10">
        <v>0.36</v>
      </c>
      <c r="Q449" s="10">
        <v>0</v>
      </c>
      <c r="R449" s="10">
        <v>0.03</v>
      </c>
      <c r="S449" s="10">
        <v>0</v>
      </c>
      <c r="T449" s="10">
        <v>0</v>
      </c>
      <c r="U449" s="10">
        <v>0</v>
      </c>
    </row>
    <row r="450" spans="1:21">
      <c r="A450" s="10" t="s">
        <v>303</v>
      </c>
      <c r="B450" s="10" t="s">
        <v>151</v>
      </c>
      <c r="C450" s="10">
        <v>2035</v>
      </c>
      <c r="D450" s="10">
        <v>0.71</v>
      </c>
      <c r="E450" s="10">
        <v>0.1</v>
      </c>
      <c r="F450" s="10">
        <v>0.08</v>
      </c>
      <c r="G450" s="10">
        <v>0</v>
      </c>
      <c r="H450" s="10">
        <v>0</v>
      </c>
      <c r="I450" s="10">
        <v>0</v>
      </c>
      <c r="J450" s="10">
        <v>0.02</v>
      </c>
      <c r="K450" s="10">
        <v>7.0000000000000007E-2</v>
      </c>
      <c r="L450" s="10">
        <v>0</v>
      </c>
      <c r="M450" s="10">
        <v>0</v>
      </c>
      <c r="N450" s="10">
        <v>0</v>
      </c>
      <c r="O450" s="10">
        <v>0</v>
      </c>
      <c r="P450" s="10">
        <v>0.03</v>
      </c>
      <c r="Q450" s="10">
        <v>0</v>
      </c>
      <c r="R450" s="10">
        <v>0.01</v>
      </c>
      <c r="S450" s="10">
        <v>0</v>
      </c>
      <c r="T450" s="10">
        <v>0</v>
      </c>
      <c r="U450" s="10">
        <v>0</v>
      </c>
    </row>
    <row r="451" spans="1:21">
      <c r="A451" s="10" t="s">
        <v>303</v>
      </c>
      <c r="B451" s="10" t="s">
        <v>151</v>
      </c>
      <c r="C451" s="10">
        <v>2040</v>
      </c>
      <c r="D451" s="10">
        <v>0.68</v>
      </c>
      <c r="E451" s="10">
        <v>0.09</v>
      </c>
      <c r="F451" s="10">
        <v>0.08</v>
      </c>
      <c r="G451" s="10">
        <v>0</v>
      </c>
      <c r="H451" s="10">
        <v>0</v>
      </c>
      <c r="I451" s="10">
        <v>0</v>
      </c>
      <c r="J451" s="10">
        <v>0.02</v>
      </c>
      <c r="K451" s="10">
        <v>0.06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</row>
    <row r="452" spans="1:21">
      <c r="A452" s="10" t="s">
        <v>303</v>
      </c>
      <c r="B452" s="10" t="s">
        <v>151</v>
      </c>
      <c r="C452" s="10">
        <v>2045</v>
      </c>
      <c r="D452" s="10">
        <v>0.66</v>
      </c>
      <c r="E452" s="10">
        <v>0.09</v>
      </c>
      <c r="F452" s="10">
        <v>0.08</v>
      </c>
      <c r="G452" s="10">
        <v>0</v>
      </c>
      <c r="H452" s="10">
        <v>0</v>
      </c>
      <c r="I452" s="10">
        <v>0</v>
      </c>
      <c r="J452" s="10">
        <v>0.02</v>
      </c>
      <c r="K452" s="10">
        <v>0.06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</row>
    <row r="453" spans="1:21">
      <c r="A453" s="10" t="s">
        <v>303</v>
      </c>
      <c r="B453" s="10" t="s">
        <v>151</v>
      </c>
      <c r="C453" s="10">
        <v>2050</v>
      </c>
      <c r="D453" s="10">
        <v>0.63</v>
      </c>
      <c r="E453" s="10">
        <v>0.09</v>
      </c>
      <c r="F453" s="10">
        <v>7.0000000000000007E-2</v>
      </c>
      <c r="G453" s="10">
        <v>0</v>
      </c>
      <c r="H453" s="10">
        <v>0</v>
      </c>
      <c r="I453" s="10">
        <v>0</v>
      </c>
      <c r="J453" s="10">
        <v>0.02</v>
      </c>
      <c r="K453" s="10">
        <v>0.06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</row>
    <row r="454" spans="1:21">
      <c r="A454" s="72" t="s">
        <v>304</v>
      </c>
      <c r="B454" s="10" t="s">
        <v>151</v>
      </c>
      <c r="C454" s="10">
        <v>2018</v>
      </c>
      <c r="D454" s="10">
        <v>0.88</v>
      </c>
      <c r="E454" s="10">
        <v>0.01</v>
      </c>
      <c r="F454" s="10">
        <v>0.09</v>
      </c>
      <c r="G454" s="10">
        <v>0</v>
      </c>
      <c r="H454" s="10">
        <v>0</v>
      </c>
      <c r="I454" s="10">
        <v>0</v>
      </c>
      <c r="K454" s="10">
        <v>0.01</v>
      </c>
      <c r="L454" s="10">
        <v>0</v>
      </c>
      <c r="M454" s="10">
        <v>0</v>
      </c>
      <c r="N454" s="10">
        <v>0</v>
      </c>
      <c r="O454" s="10">
        <v>0</v>
      </c>
      <c r="P454" s="10">
        <f>D454-J454</f>
        <v>0.88</v>
      </c>
      <c r="Q454" s="10">
        <v>0</v>
      </c>
      <c r="R454" s="10">
        <v>0.09</v>
      </c>
      <c r="S454" s="10">
        <v>0</v>
      </c>
      <c r="T454" s="10">
        <v>0</v>
      </c>
      <c r="U454" s="10">
        <v>0</v>
      </c>
    </row>
    <row r="455" spans="1:21">
      <c r="A455" s="72" t="s">
        <v>304</v>
      </c>
      <c r="B455" s="10" t="s">
        <v>151</v>
      </c>
      <c r="C455" s="10">
        <v>2020</v>
      </c>
      <c r="D455" s="10">
        <v>0.88</v>
      </c>
      <c r="E455" s="10">
        <v>0.01</v>
      </c>
      <c r="F455" s="10">
        <v>0.09</v>
      </c>
      <c r="G455" s="10">
        <v>0</v>
      </c>
      <c r="H455" s="10">
        <v>0</v>
      </c>
      <c r="I455" s="10">
        <v>0</v>
      </c>
      <c r="J455" s="10">
        <v>0</v>
      </c>
      <c r="K455" s="10">
        <v>0.01</v>
      </c>
      <c r="L455" s="10">
        <v>0</v>
      </c>
      <c r="M455" s="10">
        <v>0</v>
      </c>
      <c r="N455" s="10">
        <v>0</v>
      </c>
      <c r="O455" s="10">
        <v>0</v>
      </c>
      <c r="P455" s="10">
        <v>0.81</v>
      </c>
      <c r="Q455" s="10">
        <v>0</v>
      </c>
      <c r="R455" s="10">
        <v>0.09</v>
      </c>
      <c r="S455" s="10">
        <v>0</v>
      </c>
      <c r="T455" s="10">
        <v>0</v>
      </c>
      <c r="U455" s="10">
        <v>0</v>
      </c>
    </row>
    <row r="456" spans="1:21">
      <c r="A456" s="72" t="s">
        <v>304</v>
      </c>
      <c r="B456" s="10" t="s">
        <v>151</v>
      </c>
      <c r="C456" s="10">
        <v>2025</v>
      </c>
      <c r="D456" s="10">
        <v>0.85</v>
      </c>
      <c r="E456" s="10">
        <v>0.01</v>
      </c>
      <c r="F456" s="10">
        <v>0.09</v>
      </c>
      <c r="G456" s="10">
        <v>0</v>
      </c>
      <c r="H456" s="10">
        <v>0</v>
      </c>
      <c r="I456" s="10">
        <v>0</v>
      </c>
      <c r="J456" s="10">
        <v>0</v>
      </c>
      <c r="K456" s="10">
        <v>0.01</v>
      </c>
      <c r="L456" s="10">
        <v>0</v>
      </c>
      <c r="M456" s="10">
        <v>0</v>
      </c>
      <c r="N456" s="10">
        <v>0</v>
      </c>
      <c r="O456" s="10">
        <v>0</v>
      </c>
      <c r="P456" s="10">
        <v>0.62</v>
      </c>
      <c r="Q456" s="10">
        <v>0</v>
      </c>
      <c r="R456" s="10">
        <v>7.0000000000000007E-2</v>
      </c>
      <c r="S456" s="10">
        <v>0</v>
      </c>
      <c r="T456" s="10">
        <v>0</v>
      </c>
      <c r="U456" s="10">
        <v>0</v>
      </c>
    </row>
    <row r="457" spans="1:21">
      <c r="A457" s="72" t="s">
        <v>304</v>
      </c>
      <c r="B457" s="10" t="s">
        <v>151</v>
      </c>
      <c r="C457" s="10">
        <v>2030</v>
      </c>
      <c r="D457" s="10">
        <v>0.82</v>
      </c>
      <c r="E457" s="10">
        <v>0.01</v>
      </c>
      <c r="F457" s="10">
        <v>0.08</v>
      </c>
      <c r="G457" s="10">
        <v>0</v>
      </c>
      <c r="H457" s="10">
        <v>0</v>
      </c>
      <c r="I457" s="10">
        <v>0</v>
      </c>
      <c r="J457" s="10">
        <v>0</v>
      </c>
      <c r="K457" s="10">
        <v>0.01</v>
      </c>
      <c r="L457" s="10">
        <v>0</v>
      </c>
      <c r="M457" s="10">
        <v>0</v>
      </c>
      <c r="N457" s="10">
        <v>0</v>
      </c>
      <c r="O457" s="10">
        <v>0</v>
      </c>
      <c r="P457" s="10">
        <v>0.41</v>
      </c>
      <c r="Q457" s="10">
        <v>0</v>
      </c>
      <c r="R457" s="10">
        <v>0.03</v>
      </c>
      <c r="S457" s="10">
        <v>0</v>
      </c>
      <c r="T457" s="10">
        <v>0</v>
      </c>
      <c r="U457" s="10">
        <v>0</v>
      </c>
    </row>
    <row r="458" spans="1:21">
      <c r="A458" s="72" t="s">
        <v>304</v>
      </c>
      <c r="B458" s="10" t="s">
        <v>151</v>
      </c>
      <c r="C458" s="10">
        <v>2035</v>
      </c>
      <c r="D458" s="10">
        <v>0.8</v>
      </c>
      <c r="E458" s="10">
        <v>0.01</v>
      </c>
      <c r="F458" s="10">
        <v>0.08</v>
      </c>
      <c r="G458" s="10">
        <v>0</v>
      </c>
      <c r="H458" s="10">
        <v>0</v>
      </c>
      <c r="I458" s="10">
        <v>0</v>
      </c>
      <c r="J458" s="10">
        <v>0</v>
      </c>
      <c r="K458" s="10">
        <v>0.01</v>
      </c>
      <c r="L458" s="10">
        <v>0</v>
      </c>
      <c r="M458" s="10">
        <v>0</v>
      </c>
      <c r="N458" s="10">
        <v>0</v>
      </c>
      <c r="O458" s="10">
        <v>0</v>
      </c>
      <c r="P458" s="10">
        <v>0.04</v>
      </c>
      <c r="Q458" s="10">
        <v>0</v>
      </c>
      <c r="R458" s="10">
        <v>0.01</v>
      </c>
      <c r="S458" s="10">
        <v>0</v>
      </c>
      <c r="T458" s="10">
        <v>0</v>
      </c>
      <c r="U458" s="10">
        <v>0</v>
      </c>
    </row>
    <row r="459" spans="1:21">
      <c r="A459" s="72" t="s">
        <v>304</v>
      </c>
      <c r="B459" s="10" t="s">
        <v>151</v>
      </c>
      <c r="C459" s="10">
        <v>2040</v>
      </c>
      <c r="D459" s="10">
        <v>0.77</v>
      </c>
      <c r="E459" s="10">
        <v>0.01</v>
      </c>
      <c r="F459" s="10">
        <v>0.08</v>
      </c>
      <c r="G459" s="10">
        <v>0</v>
      </c>
      <c r="H459" s="10">
        <v>0</v>
      </c>
      <c r="I459" s="10">
        <v>0</v>
      </c>
      <c r="J459" s="10">
        <v>0</v>
      </c>
      <c r="K459" s="10">
        <v>0.01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</row>
    <row r="460" spans="1:21">
      <c r="A460" s="72" t="s">
        <v>304</v>
      </c>
      <c r="B460" s="10" t="s">
        <v>151</v>
      </c>
      <c r="C460" s="10">
        <v>2045</v>
      </c>
      <c r="D460" s="10">
        <v>0.74</v>
      </c>
      <c r="E460" s="10">
        <v>0.01</v>
      </c>
      <c r="F460" s="10">
        <v>0.08</v>
      </c>
      <c r="G460" s="10">
        <v>0</v>
      </c>
      <c r="H460" s="10">
        <v>0</v>
      </c>
      <c r="I460" s="10">
        <v>0</v>
      </c>
      <c r="J460" s="10">
        <v>0</v>
      </c>
      <c r="K460" s="10">
        <v>0.01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</row>
    <row r="461" spans="1:21">
      <c r="A461" s="72" t="s">
        <v>304</v>
      </c>
      <c r="B461" s="10" t="s">
        <v>151</v>
      </c>
      <c r="C461" s="10">
        <v>2050</v>
      </c>
      <c r="D461" s="10">
        <v>0.7</v>
      </c>
      <c r="E461" s="10">
        <v>0.01</v>
      </c>
      <c r="F461" s="10">
        <v>7.0000000000000007E-2</v>
      </c>
      <c r="G461" s="10">
        <v>0</v>
      </c>
      <c r="H461" s="10">
        <v>0</v>
      </c>
      <c r="I461" s="10">
        <v>0</v>
      </c>
      <c r="J461" s="10">
        <v>0</v>
      </c>
      <c r="K461" s="10">
        <v>0.01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</row>
    <row r="462" spans="1:21">
      <c r="A462" s="72" t="s">
        <v>305</v>
      </c>
      <c r="B462" s="10" t="s">
        <v>151</v>
      </c>
      <c r="C462" s="10">
        <v>2018</v>
      </c>
      <c r="D462" s="10">
        <v>0.79</v>
      </c>
      <c r="E462" s="10">
        <v>0.1</v>
      </c>
      <c r="F462" s="10">
        <v>0.09</v>
      </c>
      <c r="G462" s="10">
        <v>0</v>
      </c>
      <c r="H462" s="10">
        <v>0</v>
      </c>
      <c r="I462" s="10">
        <v>0</v>
      </c>
      <c r="J462" s="10">
        <v>0</v>
      </c>
      <c r="K462" s="10">
        <v>7.0000000000000007E-2</v>
      </c>
      <c r="L462" s="10">
        <v>0</v>
      </c>
      <c r="M462" s="10">
        <v>0</v>
      </c>
      <c r="N462" s="10">
        <v>0</v>
      </c>
      <c r="O462" s="10">
        <v>0</v>
      </c>
      <c r="P462" s="10">
        <f>D462-J462</f>
        <v>0.79</v>
      </c>
      <c r="Q462" s="10">
        <v>0.03</v>
      </c>
      <c r="R462" s="10">
        <v>0.09</v>
      </c>
      <c r="S462" s="10">
        <v>0</v>
      </c>
      <c r="T462" s="10">
        <v>0</v>
      </c>
      <c r="U462" s="10">
        <v>0</v>
      </c>
    </row>
    <row r="463" spans="1:21">
      <c r="A463" s="72" t="s">
        <v>305</v>
      </c>
      <c r="B463" s="10" t="s">
        <v>151</v>
      </c>
      <c r="C463" s="10">
        <v>2020</v>
      </c>
      <c r="D463" s="10">
        <v>0.79</v>
      </c>
      <c r="E463" s="10">
        <v>0.1</v>
      </c>
      <c r="F463" s="10">
        <v>0.09</v>
      </c>
      <c r="G463" s="10">
        <v>0</v>
      </c>
      <c r="H463" s="10">
        <v>0</v>
      </c>
      <c r="I463" s="10">
        <v>0</v>
      </c>
      <c r="J463" s="10">
        <v>0</v>
      </c>
      <c r="K463" s="10">
        <v>7.0000000000000007E-2</v>
      </c>
      <c r="L463" s="10">
        <v>0</v>
      </c>
      <c r="M463" s="10">
        <v>0</v>
      </c>
      <c r="N463" s="10">
        <v>0</v>
      </c>
      <c r="O463" s="10">
        <v>0</v>
      </c>
      <c r="P463" s="10">
        <v>0.73</v>
      </c>
      <c r="Q463" s="10">
        <v>0.02</v>
      </c>
      <c r="R463" s="10">
        <v>0.09</v>
      </c>
      <c r="S463" s="10">
        <v>0</v>
      </c>
      <c r="T463" s="10">
        <v>0</v>
      </c>
      <c r="U463" s="10">
        <v>0</v>
      </c>
    </row>
    <row r="464" spans="1:21">
      <c r="A464" s="72" t="s">
        <v>305</v>
      </c>
      <c r="B464" s="10" t="s">
        <v>151</v>
      </c>
      <c r="C464" s="10">
        <v>2025</v>
      </c>
      <c r="D464" s="10">
        <v>0.77</v>
      </c>
      <c r="E464" s="10">
        <v>0.1</v>
      </c>
      <c r="F464" s="10">
        <v>0.09</v>
      </c>
      <c r="G464" s="10">
        <v>0</v>
      </c>
      <c r="H464" s="10">
        <v>0</v>
      </c>
      <c r="I464" s="10">
        <v>0</v>
      </c>
      <c r="J464" s="10">
        <v>0</v>
      </c>
      <c r="K464" s="10">
        <v>7.0000000000000007E-2</v>
      </c>
      <c r="L464" s="10">
        <v>0</v>
      </c>
      <c r="M464" s="10">
        <v>0</v>
      </c>
      <c r="N464" s="10">
        <v>0</v>
      </c>
      <c r="O464" s="10">
        <v>0</v>
      </c>
      <c r="P464" s="10">
        <v>0.56000000000000005</v>
      </c>
      <c r="Q464" s="10">
        <v>0</v>
      </c>
      <c r="R464" s="10">
        <v>7.0000000000000007E-2</v>
      </c>
      <c r="S464" s="10">
        <v>0</v>
      </c>
      <c r="T464" s="10">
        <v>0</v>
      </c>
      <c r="U464" s="10">
        <v>0</v>
      </c>
    </row>
    <row r="465" spans="1:21">
      <c r="A465" s="72" t="s">
        <v>305</v>
      </c>
      <c r="B465" s="10" t="s">
        <v>151</v>
      </c>
      <c r="C465" s="10">
        <v>2030</v>
      </c>
      <c r="D465" s="10">
        <v>0.74</v>
      </c>
      <c r="E465" s="10">
        <v>0.09</v>
      </c>
      <c r="F465" s="10">
        <v>0.08</v>
      </c>
      <c r="G465" s="10">
        <v>0</v>
      </c>
      <c r="H465" s="10">
        <v>0</v>
      </c>
      <c r="I465" s="10">
        <v>0</v>
      </c>
      <c r="J465" s="10">
        <v>0</v>
      </c>
      <c r="K465" s="10">
        <v>0.06</v>
      </c>
      <c r="L465" s="10">
        <v>0</v>
      </c>
      <c r="M465" s="10">
        <v>0</v>
      </c>
      <c r="N465" s="10">
        <v>0</v>
      </c>
      <c r="O465" s="10">
        <v>0</v>
      </c>
      <c r="P465" s="10">
        <v>0.37</v>
      </c>
      <c r="Q465" s="10">
        <v>0</v>
      </c>
      <c r="R465" s="10">
        <v>0.03</v>
      </c>
      <c r="S465" s="10">
        <v>0</v>
      </c>
      <c r="T465" s="10">
        <v>0</v>
      </c>
      <c r="U465" s="10">
        <v>0</v>
      </c>
    </row>
    <row r="466" spans="1:21">
      <c r="A466" s="72" t="s">
        <v>305</v>
      </c>
      <c r="B466" s="10" t="s">
        <v>151</v>
      </c>
      <c r="C466" s="10">
        <v>2035</v>
      </c>
      <c r="D466" s="10">
        <v>0.72</v>
      </c>
      <c r="E466" s="10">
        <v>0.09</v>
      </c>
      <c r="F466" s="10">
        <v>0.08</v>
      </c>
      <c r="G466" s="10">
        <v>0</v>
      </c>
      <c r="H466" s="10">
        <v>0</v>
      </c>
      <c r="I466" s="10">
        <v>0</v>
      </c>
      <c r="J466" s="10">
        <v>0</v>
      </c>
      <c r="K466" s="10">
        <v>0.06</v>
      </c>
      <c r="L466" s="10">
        <v>0</v>
      </c>
      <c r="M466" s="10">
        <v>0</v>
      </c>
      <c r="N466" s="10">
        <v>0</v>
      </c>
      <c r="O466" s="10">
        <v>0</v>
      </c>
      <c r="P466" s="10">
        <v>0.03</v>
      </c>
      <c r="Q466" s="10">
        <v>0</v>
      </c>
      <c r="R466" s="10">
        <v>0.01</v>
      </c>
      <c r="S466" s="10">
        <v>0</v>
      </c>
      <c r="T466" s="10">
        <v>0</v>
      </c>
      <c r="U466" s="10">
        <v>0</v>
      </c>
    </row>
    <row r="467" spans="1:21">
      <c r="A467" s="72" t="s">
        <v>305</v>
      </c>
      <c r="B467" s="10" t="s">
        <v>151</v>
      </c>
      <c r="C467" s="10">
        <v>2040</v>
      </c>
      <c r="D467" s="10">
        <v>0.69</v>
      </c>
      <c r="E467" s="10">
        <v>0.09</v>
      </c>
      <c r="F467" s="10">
        <v>0.08</v>
      </c>
      <c r="G467" s="10">
        <v>0</v>
      </c>
      <c r="H467" s="10">
        <v>0</v>
      </c>
      <c r="I467" s="10">
        <v>0</v>
      </c>
      <c r="J467" s="10">
        <v>0</v>
      </c>
      <c r="K467" s="10">
        <v>0.06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</row>
    <row r="468" spans="1:21">
      <c r="A468" s="72" t="s">
        <v>305</v>
      </c>
      <c r="B468" s="10" t="s">
        <v>151</v>
      </c>
      <c r="C468" s="10">
        <v>2045</v>
      </c>
      <c r="D468" s="10">
        <v>0.67</v>
      </c>
      <c r="E468" s="10">
        <v>0.08</v>
      </c>
      <c r="F468" s="10">
        <v>0.08</v>
      </c>
      <c r="G468" s="10">
        <v>0</v>
      </c>
      <c r="H468" s="10">
        <v>0</v>
      </c>
      <c r="I468" s="10">
        <v>0</v>
      </c>
      <c r="J468" s="10">
        <v>0</v>
      </c>
      <c r="K468" s="10">
        <v>0.06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</row>
    <row r="469" spans="1:21">
      <c r="A469" s="72" t="s">
        <v>305</v>
      </c>
      <c r="B469" s="10" t="s">
        <v>151</v>
      </c>
      <c r="C469" s="10">
        <v>2050</v>
      </c>
      <c r="D469" s="10">
        <v>0.63</v>
      </c>
      <c r="E469" s="10">
        <v>0.08</v>
      </c>
      <c r="F469" s="10">
        <v>7.0000000000000007E-2</v>
      </c>
      <c r="G469" s="10">
        <v>0</v>
      </c>
      <c r="H469" s="10">
        <v>0</v>
      </c>
      <c r="I469" s="10">
        <v>0</v>
      </c>
      <c r="J469" s="10">
        <v>0</v>
      </c>
      <c r="K469" s="10">
        <v>0.05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</row>
    <row r="470" spans="1:21">
      <c r="A470" s="10" t="s">
        <v>356</v>
      </c>
      <c r="B470" s="10" t="s">
        <v>151</v>
      </c>
      <c r="C470" s="10">
        <v>2018</v>
      </c>
      <c r="D470" s="10">
        <v>0.8</v>
      </c>
      <c r="E470" s="10">
        <v>0.1</v>
      </c>
      <c r="F470" s="10">
        <v>0.09</v>
      </c>
      <c r="G470" s="10">
        <v>0</v>
      </c>
      <c r="H470" s="10">
        <v>0</v>
      </c>
      <c r="I470" s="10">
        <v>0</v>
      </c>
      <c r="J470" s="10">
        <v>0</v>
      </c>
      <c r="K470" s="10">
        <v>7.0000000000000007E-2</v>
      </c>
      <c r="L470" s="10">
        <v>0</v>
      </c>
      <c r="M470" s="10">
        <v>0</v>
      </c>
      <c r="N470" s="10">
        <v>0</v>
      </c>
      <c r="O470" s="10">
        <v>0</v>
      </c>
      <c r="P470" s="10">
        <f>D470-J470</f>
        <v>0.8</v>
      </c>
      <c r="Q470" s="10">
        <v>0.03</v>
      </c>
      <c r="R470" s="10">
        <v>0.09</v>
      </c>
      <c r="S470" s="10">
        <v>0</v>
      </c>
      <c r="T470" s="10">
        <v>0</v>
      </c>
      <c r="U470" s="10">
        <v>0</v>
      </c>
    </row>
    <row r="471" spans="1:21">
      <c r="A471" s="10" t="s">
        <v>356</v>
      </c>
      <c r="B471" s="10" t="s">
        <v>151</v>
      </c>
      <c r="C471" s="10">
        <v>2020</v>
      </c>
      <c r="D471" s="10">
        <v>0.79</v>
      </c>
      <c r="E471" s="10">
        <v>0.09</v>
      </c>
      <c r="F471" s="10">
        <v>0.09</v>
      </c>
      <c r="G471" s="10">
        <v>0</v>
      </c>
      <c r="H471" s="10">
        <v>0</v>
      </c>
      <c r="I471" s="10">
        <v>0</v>
      </c>
      <c r="J471" s="10">
        <v>0</v>
      </c>
      <c r="K471" s="10">
        <v>0.06</v>
      </c>
      <c r="L471" s="10">
        <v>0</v>
      </c>
      <c r="M471" s="10">
        <v>0</v>
      </c>
      <c r="N471" s="10">
        <v>0</v>
      </c>
      <c r="O471" s="10">
        <v>0</v>
      </c>
      <c r="P471" s="10">
        <v>0.74</v>
      </c>
      <c r="Q471" s="10">
        <v>0.02</v>
      </c>
      <c r="R471" s="10">
        <v>0.09</v>
      </c>
      <c r="S471" s="10">
        <v>0</v>
      </c>
      <c r="T471" s="10">
        <v>0</v>
      </c>
      <c r="U471" s="10">
        <v>0</v>
      </c>
    </row>
    <row r="472" spans="1:21">
      <c r="A472" s="10" t="s">
        <v>356</v>
      </c>
      <c r="B472" s="10" t="s">
        <v>151</v>
      </c>
      <c r="C472" s="10">
        <v>2025</v>
      </c>
      <c r="D472" s="10">
        <v>0.77</v>
      </c>
      <c r="E472" s="10">
        <v>0.09</v>
      </c>
      <c r="F472" s="10">
        <v>0.09</v>
      </c>
      <c r="G472" s="10">
        <v>0</v>
      </c>
      <c r="H472" s="10">
        <v>0</v>
      </c>
      <c r="I472" s="10">
        <v>0</v>
      </c>
      <c r="J472" s="10">
        <v>0</v>
      </c>
      <c r="K472" s="10">
        <v>0.06</v>
      </c>
      <c r="L472" s="10">
        <v>0</v>
      </c>
      <c r="M472" s="10">
        <v>0</v>
      </c>
      <c r="N472" s="10">
        <v>0</v>
      </c>
      <c r="O472" s="10">
        <v>0</v>
      </c>
      <c r="P472" s="10">
        <v>0.56000000000000005</v>
      </c>
      <c r="Q472" s="10">
        <v>0</v>
      </c>
      <c r="R472" s="10">
        <v>7.0000000000000007E-2</v>
      </c>
      <c r="S472" s="10">
        <v>0</v>
      </c>
      <c r="T472" s="10">
        <v>0</v>
      </c>
      <c r="U472" s="10">
        <v>0</v>
      </c>
    </row>
    <row r="473" spans="1:21">
      <c r="A473" s="10" t="s">
        <v>356</v>
      </c>
      <c r="B473" s="10" t="s">
        <v>151</v>
      </c>
      <c r="C473" s="10">
        <v>2030</v>
      </c>
      <c r="D473" s="10">
        <v>0.74</v>
      </c>
      <c r="E473" s="10">
        <v>0.09</v>
      </c>
      <c r="F473" s="10">
        <v>0.08</v>
      </c>
      <c r="G473" s="10">
        <v>0</v>
      </c>
      <c r="H473" s="10">
        <v>0</v>
      </c>
      <c r="I473" s="10">
        <v>0</v>
      </c>
      <c r="J473" s="10">
        <v>0</v>
      </c>
      <c r="K473" s="10">
        <v>0.06</v>
      </c>
      <c r="L473" s="10">
        <v>0</v>
      </c>
      <c r="M473" s="10">
        <v>0</v>
      </c>
      <c r="N473" s="10">
        <v>0</v>
      </c>
      <c r="O473" s="10">
        <v>0</v>
      </c>
      <c r="P473" s="10">
        <v>0.37</v>
      </c>
      <c r="Q473" s="10">
        <v>0</v>
      </c>
      <c r="R473" s="10">
        <v>0.03</v>
      </c>
      <c r="S473" s="10">
        <v>0</v>
      </c>
      <c r="T473" s="10">
        <v>0</v>
      </c>
      <c r="U473" s="10">
        <v>0</v>
      </c>
    </row>
    <row r="474" spans="1:21">
      <c r="A474" s="10" t="s">
        <v>356</v>
      </c>
      <c r="B474" s="10" t="s">
        <v>151</v>
      </c>
      <c r="C474" s="10">
        <v>2035</v>
      </c>
      <c r="D474" s="10">
        <v>0.72</v>
      </c>
      <c r="E474" s="10">
        <v>0.09</v>
      </c>
      <c r="F474" s="10">
        <v>0.08</v>
      </c>
      <c r="G474" s="10">
        <v>0</v>
      </c>
      <c r="H474" s="10">
        <v>0</v>
      </c>
      <c r="I474" s="10">
        <v>0</v>
      </c>
      <c r="J474" s="10">
        <v>0</v>
      </c>
      <c r="K474" s="10">
        <v>0.06</v>
      </c>
      <c r="L474" s="10">
        <v>0</v>
      </c>
      <c r="M474" s="10">
        <v>0</v>
      </c>
      <c r="N474" s="10">
        <v>0</v>
      </c>
      <c r="O474" s="10">
        <v>0</v>
      </c>
      <c r="P474" s="10">
        <v>0.03</v>
      </c>
      <c r="Q474" s="10">
        <v>0</v>
      </c>
      <c r="R474" s="10">
        <v>0.01</v>
      </c>
      <c r="S474" s="10">
        <v>0</v>
      </c>
      <c r="T474" s="10">
        <v>0</v>
      </c>
      <c r="U474" s="10">
        <v>0</v>
      </c>
    </row>
    <row r="475" spans="1:21">
      <c r="A475" s="10" t="s">
        <v>356</v>
      </c>
      <c r="B475" s="10" t="s">
        <v>151</v>
      </c>
      <c r="C475" s="10">
        <v>2040</v>
      </c>
      <c r="D475" s="10">
        <v>0.69</v>
      </c>
      <c r="E475" s="10">
        <v>0.08</v>
      </c>
      <c r="F475" s="10">
        <v>0.08</v>
      </c>
      <c r="G475" s="10">
        <v>0</v>
      </c>
      <c r="H475" s="10">
        <v>0</v>
      </c>
      <c r="I475" s="10">
        <v>0</v>
      </c>
      <c r="J475" s="10">
        <v>0</v>
      </c>
      <c r="K475" s="10">
        <v>0.06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</row>
    <row r="476" spans="1:21">
      <c r="A476" s="10" t="s">
        <v>356</v>
      </c>
      <c r="B476" s="10" t="s">
        <v>151</v>
      </c>
      <c r="C476" s="10">
        <v>2045</v>
      </c>
      <c r="D476" s="10">
        <v>0.67</v>
      </c>
      <c r="E476" s="10">
        <v>0.08</v>
      </c>
      <c r="F476" s="10">
        <v>0.08</v>
      </c>
      <c r="G476" s="10">
        <v>0</v>
      </c>
      <c r="H476" s="10">
        <v>0</v>
      </c>
      <c r="I476" s="10">
        <v>0</v>
      </c>
      <c r="J476" s="10">
        <v>0</v>
      </c>
      <c r="K476" s="10">
        <v>0.05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</row>
    <row r="477" spans="1:21">
      <c r="A477" s="10" t="s">
        <v>356</v>
      </c>
      <c r="B477" s="10" t="s">
        <v>151</v>
      </c>
      <c r="C477" s="10">
        <v>2050</v>
      </c>
      <c r="D477" s="10">
        <v>0.64</v>
      </c>
      <c r="E477" s="10">
        <v>0.08</v>
      </c>
      <c r="F477" s="10">
        <v>7.0000000000000007E-2</v>
      </c>
      <c r="G477" s="10">
        <v>0</v>
      </c>
      <c r="H477" s="10">
        <v>0</v>
      </c>
      <c r="I477" s="10">
        <v>0</v>
      </c>
      <c r="J477" s="10">
        <v>0</v>
      </c>
      <c r="K477" s="10">
        <v>0.05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</row>
    <row r="478" spans="1:21">
      <c r="A478" s="10" t="s">
        <v>307</v>
      </c>
      <c r="B478" s="10" t="s">
        <v>151</v>
      </c>
      <c r="C478" s="10">
        <v>2018</v>
      </c>
      <c r="D478" s="10">
        <v>0.79</v>
      </c>
      <c r="E478" s="10">
        <v>0.1</v>
      </c>
      <c r="F478" s="10">
        <v>0.09</v>
      </c>
      <c r="G478" s="10">
        <v>0</v>
      </c>
      <c r="H478" s="10">
        <v>0</v>
      </c>
      <c r="I478" s="10">
        <v>0</v>
      </c>
      <c r="J478" s="10">
        <v>0</v>
      </c>
      <c r="K478" s="10">
        <v>7.0000000000000007E-2</v>
      </c>
      <c r="L478" s="10">
        <v>0</v>
      </c>
      <c r="M478" s="10">
        <v>0</v>
      </c>
      <c r="N478" s="10">
        <v>0</v>
      </c>
      <c r="O478" s="10">
        <v>0</v>
      </c>
      <c r="P478" s="10">
        <f>D478-J478</f>
        <v>0.79</v>
      </c>
      <c r="Q478" s="10">
        <v>0.03</v>
      </c>
      <c r="R478" s="10">
        <v>0.09</v>
      </c>
      <c r="S478" s="10">
        <v>0</v>
      </c>
      <c r="T478" s="10">
        <v>0</v>
      </c>
      <c r="U478" s="10">
        <v>0</v>
      </c>
    </row>
    <row r="479" spans="1:21">
      <c r="A479" s="10" t="s">
        <v>307</v>
      </c>
      <c r="B479" s="10" t="s">
        <v>151</v>
      </c>
      <c r="C479" s="10">
        <v>2020</v>
      </c>
      <c r="D479" s="10">
        <v>0.79</v>
      </c>
      <c r="E479" s="10">
        <v>0.1</v>
      </c>
      <c r="F479" s="10">
        <v>0.09</v>
      </c>
      <c r="G479" s="10">
        <v>0</v>
      </c>
      <c r="H479" s="10">
        <v>0</v>
      </c>
      <c r="I479" s="10">
        <v>0</v>
      </c>
      <c r="J479" s="10">
        <v>0</v>
      </c>
      <c r="K479" s="10">
        <v>7.0000000000000007E-2</v>
      </c>
      <c r="L479" s="10">
        <v>0</v>
      </c>
      <c r="M479" s="10">
        <v>0</v>
      </c>
      <c r="N479" s="10">
        <v>0</v>
      </c>
      <c r="O479" s="10">
        <v>0</v>
      </c>
      <c r="P479" s="10">
        <v>0.73</v>
      </c>
      <c r="Q479" s="10">
        <v>0.02</v>
      </c>
      <c r="R479" s="10">
        <v>0.09</v>
      </c>
      <c r="S479" s="10">
        <v>0</v>
      </c>
      <c r="T479" s="10">
        <v>0</v>
      </c>
      <c r="U479" s="10">
        <v>0</v>
      </c>
    </row>
    <row r="480" spans="1:21">
      <c r="A480" s="10" t="s">
        <v>307</v>
      </c>
      <c r="B480" s="10" t="s">
        <v>151</v>
      </c>
      <c r="C480" s="10">
        <v>2025</v>
      </c>
      <c r="D480" s="10">
        <v>0.77</v>
      </c>
      <c r="E480" s="10">
        <v>0.1</v>
      </c>
      <c r="F480" s="10">
        <v>0.09</v>
      </c>
      <c r="G480" s="10">
        <v>0</v>
      </c>
      <c r="H480" s="10">
        <v>0</v>
      </c>
      <c r="I480" s="10">
        <v>0</v>
      </c>
      <c r="J480" s="10">
        <v>0</v>
      </c>
      <c r="K480" s="10">
        <v>7.0000000000000007E-2</v>
      </c>
      <c r="L480" s="10">
        <v>0</v>
      </c>
      <c r="M480" s="10">
        <v>0</v>
      </c>
      <c r="N480" s="10">
        <v>0</v>
      </c>
      <c r="O480" s="10">
        <v>0</v>
      </c>
      <c r="P480" s="10">
        <v>0.56000000000000005</v>
      </c>
      <c r="Q480" s="10">
        <v>0</v>
      </c>
      <c r="R480" s="10">
        <v>7.0000000000000007E-2</v>
      </c>
      <c r="S480" s="10">
        <v>0</v>
      </c>
      <c r="T480" s="10">
        <v>0</v>
      </c>
      <c r="U480" s="10">
        <v>0</v>
      </c>
    </row>
    <row r="481" spans="1:21">
      <c r="A481" s="10" t="s">
        <v>307</v>
      </c>
      <c r="B481" s="10" t="s">
        <v>151</v>
      </c>
      <c r="C481" s="10">
        <v>2030</v>
      </c>
      <c r="D481" s="10">
        <v>0.74</v>
      </c>
      <c r="E481" s="10">
        <v>0.09</v>
      </c>
      <c r="F481" s="10">
        <v>0.08</v>
      </c>
      <c r="G481" s="10">
        <v>0</v>
      </c>
      <c r="H481" s="10">
        <v>0</v>
      </c>
      <c r="I481" s="10">
        <v>0</v>
      </c>
      <c r="J481" s="10">
        <v>0</v>
      </c>
      <c r="K481" s="10">
        <v>0.06</v>
      </c>
      <c r="L481" s="10">
        <v>0</v>
      </c>
      <c r="M481" s="10">
        <v>0</v>
      </c>
      <c r="N481" s="10">
        <v>0</v>
      </c>
      <c r="O481" s="10">
        <v>0</v>
      </c>
      <c r="P481" s="10">
        <v>0.37</v>
      </c>
      <c r="Q481" s="10">
        <v>0</v>
      </c>
      <c r="R481" s="10">
        <v>0.03</v>
      </c>
      <c r="S481" s="10">
        <v>0</v>
      </c>
      <c r="T481" s="10">
        <v>0</v>
      </c>
      <c r="U481" s="10">
        <v>0</v>
      </c>
    </row>
    <row r="482" spans="1:21">
      <c r="A482" s="10" t="s">
        <v>307</v>
      </c>
      <c r="B482" s="10" t="s">
        <v>151</v>
      </c>
      <c r="C482" s="10">
        <v>2035</v>
      </c>
      <c r="D482" s="10">
        <v>0.72</v>
      </c>
      <c r="E482" s="10">
        <v>0.09</v>
      </c>
      <c r="F482" s="10">
        <v>0.08</v>
      </c>
      <c r="G482" s="10">
        <v>0</v>
      </c>
      <c r="H482" s="10">
        <v>0</v>
      </c>
      <c r="I482" s="10">
        <v>0</v>
      </c>
      <c r="J482" s="10">
        <v>0</v>
      </c>
      <c r="K482" s="10">
        <v>0.06</v>
      </c>
      <c r="L482" s="10">
        <v>0</v>
      </c>
      <c r="M482" s="10">
        <v>0</v>
      </c>
      <c r="N482" s="10">
        <v>0</v>
      </c>
      <c r="O482" s="10">
        <v>0</v>
      </c>
      <c r="P482" s="10">
        <v>0.03</v>
      </c>
      <c r="Q482" s="10">
        <v>0</v>
      </c>
      <c r="R482" s="10">
        <v>0.01</v>
      </c>
      <c r="S482" s="10">
        <v>0</v>
      </c>
      <c r="T482" s="10">
        <v>0</v>
      </c>
      <c r="U482" s="10">
        <v>0</v>
      </c>
    </row>
    <row r="483" spans="1:21">
      <c r="A483" s="10" t="s">
        <v>307</v>
      </c>
      <c r="B483" s="10" t="s">
        <v>151</v>
      </c>
      <c r="C483" s="10">
        <v>2040</v>
      </c>
      <c r="D483" s="10">
        <v>0.69</v>
      </c>
      <c r="E483" s="10">
        <v>0.09</v>
      </c>
      <c r="F483" s="10">
        <v>0.08</v>
      </c>
      <c r="G483" s="10">
        <v>0</v>
      </c>
      <c r="H483" s="10">
        <v>0</v>
      </c>
      <c r="I483" s="10">
        <v>0</v>
      </c>
      <c r="J483" s="10">
        <v>0</v>
      </c>
      <c r="K483" s="10">
        <v>0.06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</row>
    <row r="484" spans="1:21">
      <c r="A484" s="10" t="s">
        <v>307</v>
      </c>
      <c r="B484" s="10" t="s">
        <v>151</v>
      </c>
      <c r="C484" s="10">
        <v>2045</v>
      </c>
      <c r="D484" s="10">
        <v>0.67</v>
      </c>
      <c r="E484" s="10">
        <v>0.08</v>
      </c>
      <c r="F484" s="10">
        <v>0.08</v>
      </c>
      <c r="G484" s="10">
        <v>0</v>
      </c>
      <c r="H484" s="10">
        <v>0</v>
      </c>
      <c r="I484" s="10">
        <v>0</v>
      </c>
      <c r="J484" s="10">
        <v>0</v>
      </c>
      <c r="K484" s="10">
        <v>0.06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</row>
    <row r="485" spans="1:21">
      <c r="A485" s="10" t="s">
        <v>307</v>
      </c>
      <c r="B485" s="10" t="s">
        <v>151</v>
      </c>
      <c r="C485" s="10">
        <v>2050</v>
      </c>
      <c r="D485" s="10">
        <v>0.63</v>
      </c>
      <c r="E485" s="10">
        <v>0.08</v>
      </c>
      <c r="F485" s="10">
        <v>7.0000000000000007E-2</v>
      </c>
      <c r="G485" s="10">
        <v>0</v>
      </c>
      <c r="H485" s="10">
        <v>0</v>
      </c>
      <c r="I485" s="10">
        <v>0</v>
      </c>
      <c r="J485" s="10">
        <v>0</v>
      </c>
      <c r="K485" s="10">
        <v>0.05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</row>
    <row r="486" spans="1:21">
      <c r="A486" s="72"/>
    </row>
    <row r="487" spans="1:21">
      <c r="A487" s="72"/>
    </row>
    <row r="488" spans="1:21">
      <c r="A488" s="72"/>
    </row>
    <row r="489" spans="1:21">
      <c r="A489" s="72"/>
    </row>
    <row r="490" spans="1:21">
      <c r="A490" s="72"/>
    </row>
    <row r="491" spans="1:21">
      <c r="A491" s="72"/>
    </row>
    <row r="492" spans="1:21">
      <c r="A492" s="72"/>
    </row>
    <row r="493" spans="1:21">
      <c r="A493" s="72"/>
    </row>
    <row r="494" spans="1:21">
      <c r="A494" s="72"/>
    </row>
    <row r="495" spans="1:21">
      <c r="A495" s="72"/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3"/>
  <dimension ref="A1:L77"/>
  <sheetViews>
    <sheetView topLeftCell="A31" zoomScaleNormal="100" workbookViewId="0">
      <selection activeCell="R50" sqref="A1:XFD1048576"/>
    </sheetView>
  </sheetViews>
  <sheetFormatPr defaultColWidth="9.140625" defaultRowHeight="15"/>
  <cols>
    <col min="1" max="1" width="9.140625" style="81"/>
    <col min="2" max="2" width="15.42578125" style="81" bestFit="1" customWidth="1"/>
    <col min="3" max="3" width="13.42578125" style="81" bestFit="1" customWidth="1"/>
    <col min="4" max="5" width="9.140625" style="81"/>
    <col min="6" max="7" width="13.42578125" style="81" bestFit="1" customWidth="1"/>
    <col min="8" max="8" width="14.140625" style="81" bestFit="1" customWidth="1"/>
    <col min="9" max="16384" width="9.140625" style="81"/>
  </cols>
  <sheetData>
    <row r="1" spans="1:12">
      <c r="A1" s="81" t="s">
        <v>452</v>
      </c>
    </row>
    <row r="2" spans="1:12">
      <c r="A2" s="81" t="s">
        <v>387</v>
      </c>
    </row>
    <row r="3" spans="1:12">
      <c r="A3" s="81" t="s">
        <v>417</v>
      </c>
    </row>
    <row r="5" spans="1:12">
      <c r="A5" s="81" t="s">
        <v>27</v>
      </c>
      <c r="B5" s="81" t="s">
        <v>65</v>
      </c>
      <c r="C5" s="81" t="s">
        <v>26</v>
      </c>
      <c r="D5" s="10" t="s">
        <v>147</v>
      </c>
      <c r="E5" s="10" t="s">
        <v>154</v>
      </c>
      <c r="F5" s="10" t="s">
        <v>155</v>
      </c>
      <c r="G5" s="10" t="s">
        <v>148</v>
      </c>
      <c r="H5" s="10" t="s">
        <v>149</v>
      </c>
      <c r="I5" s="10" t="s">
        <v>251</v>
      </c>
      <c r="J5" s="10" t="s">
        <v>253</v>
      </c>
      <c r="K5" s="10" t="s">
        <v>197</v>
      </c>
      <c r="L5" s="10"/>
    </row>
    <row r="6" spans="1:12">
      <c r="A6" s="10">
        <v>2018</v>
      </c>
      <c r="B6" s="10">
        <v>1</v>
      </c>
      <c r="C6" s="10" t="s">
        <v>140</v>
      </c>
      <c r="D6" s="10"/>
      <c r="E6" s="10"/>
      <c r="F6" s="10"/>
      <c r="G6" s="81">
        <v>0.92500000000000004</v>
      </c>
      <c r="H6" s="10"/>
      <c r="I6" s="10"/>
      <c r="J6" s="10"/>
      <c r="K6" s="10"/>
      <c r="L6" s="10"/>
    </row>
    <row r="7" spans="1:12">
      <c r="A7" s="10">
        <v>2020</v>
      </c>
      <c r="B7" s="10">
        <v>1</v>
      </c>
      <c r="C7" s="10" t="s">
        <v>140</v>
      </c>
      <c r="D7" s="10"/>
      <c r="E7" s="10"/>
      <c r="F7" s="10"/>
      <c r="G7" s="81">
        <v>0.92500000000000004</v>
      </c>
      <c r="H7" s="10"/>
      <c r="I7" s="10"/>
      <c r="J7" s="10"/>
      <c r="K7" s="10"/>
      <c r="L7" s="10"/>
    </row>
    <row r="8" spans="1:12">
      <c r="A8" s="10">
        <v>2025</v>
      </c>
      <c r="B8" s="10">
        <v>1</v>
      </c>
      <c r="C8" s="10" t="s">
        <v>140</v>
      </c>
      <c r="D8" s="10"/>
      <c r="E8" s="10"/>
      <c r="F8" s="10"/>
      <c r="G8" s="81">
        <v>0.92500000000000004</v>
      </c>
      <c r="H8" s="10"/>
      <c r="I8" s="10"/>
      <c r="J8" s="10"/>
      <c r="K8" s="10"/>
      <c r="L8" s="10"/>
    </row>
    <row r="9" spans="1:12">
      <c r="A9" s="10">
        <v>2030</v>
      </c>
      <c r="B9" s="10">
        <v>1</v>
      </c>
      <c r="C9" s="10" t="s">
        <v>140</v>
      </c>
      <c r="D9" s="10"/>
      <c r="E9" s="10"/>
      <c r="F9" s="10"/>
      <c r="G9" s="81">
        <v>0.92500000000000004</v>
      </c>
      <c r="H9" s="10"/>
      <c r="I9" s="10"/>
      <c r="J9" s="10"/>
      <c r="K9" s="10"/>
      <c r="L9" s="10"/>
    </row>
    <row r="10" spans="1:12">
      <c r="A10" s="10">
        <v>2035</v>
      </c>
      <c r="B10" s="10">
        <v>1</v>
      </c>
      <c r="C10" s="10" t="s">
        <v>140</v>
      </c>
      <c r="D10" s="10"/>
      <c r="E10" s="10"/>
      <c r="F10" s="10"/>
      <c r="G10" s="81">
        <v>0.92500000000000004</v>
      </c>
      <c r="H10" s="10"/>
      <c r="I10" s="10"/>
      <c r="J10" s="10"/>
      <c r="K10" s="10"/>
      <c r="L10" s="10"/>
    </row>
    <row r="11" spans="1:12">
      <c r="A11" s="10">
        <v>2040</v>
      </c>
      <c r="B11" s="10">
        <v>1</v>
      </c>
      <c r="C11" s="10" t="s">
        <v>140</v>
      </c>
      <c r="D11" s="10"/>
      <c r="E11" s="10"/>
      <c r="F11" s="10"/>
      <c r="G11" s="81">
        <v>0.92500000000000004</v>
      </c>
      <c r="H11" s="10"/>
      <c r="I11" s="10"/>
      <c r="J11" s="10"/>
      <c r="K11" s="10"/>
      <c r="L11" s="10"/>
    </row>
    <row r="12" spans="1:12">
      <c r="A12" s="10">
        <v>2045</v>
      </c>
      <c r="B12" s="10">
        <v>1</v>
      </c>
      <c r="C12" s="10" t="s">
        <v>140</v>
      </c>
      <c r="D12" s="10"/>
      <c r="E12" s="10"/>
      <c r="F12" s="10"/>
      <c r="G12" s="81">
        <v>0.92500000000000004</v>
      </c>
      <c r="H12" s="10"/>
      <c r="I12" s="10"/>
      <c r="J12" s="10"/>
    </row>
    <row r="13" spans="1:12">
      <c r="A13" s="10">
        <v>2050</v>
      </c>
      <c r="B13" s="10">
        <v>1</v>
      </c>
      <c r="C13" s="10" t="s">
        <v>140</v>
      </c>
      <c r="D13" s="10"/>
      <c r="E13" s="10"/>
      <c r="F13" s="10"/>
      <c r="G13" s="81">
        <v>0.92500000000000004</v>
      </c>
      <c r="H13" s="10"/>
      <c r="I13" s="10"/>
      <c r="J13" s="10"/>
    </row>
    <row r="14" spans="1:12">
      <c r="A14" s="10">
        <v>2018</v>
      </c>
      <c r="B14" s="10">
        <v>1</v>
      </c>
      <c r="C14" s="10" t="s">
        <v>141</v>
      </c>
      <c r="D14" s="10"/>
      <c r="E14" s="10"/>
      <c r="F14" s="10"/>
      <c r="G14" s="10"/>
      <c r="H14" s="81">
        <v>0.86599999999999999</v>
      </c>
      <c r="I14" s="10"/>
      <c r="J14" s="10"/>
    </row>
    <row r="15" spans="1:12">
      <c r="A15" s="10">
        <v>2020</v>
      </c>
      <c r="B15" s="10">
        <v>1</v>
      </c>
      <c r="C15" s="10" t="s">
        <v>141</v>
      </c>
      <c r="D15" s="10"/>
      <c r="E15" s="10"/>
      <c r="F15" s="10"/>
      <c r="G15" s="10"/>
      <c r="H15" s="81">
        <v>0.86599999999999999</v>
      </c>
      <c r="I15" s="10"/>
      <c r="J15" s="10"/>
    </row>
    <row r="16" spans="1:12">
      <c r="A16" s="10">
        <v>2025</v>
      </c>
      <c r="B16" s="10">
        <v>1</v>
      </c>
      <c r="C16" s="10" t="s">
        <v>141</v>
      </c>
      <c r="D16" s="10"/>
      <c r="E16" s="10"/>
      <c r="F16" s="10"/>
      <c r="G16" s="10"/>
      <c r="H16" s="81">
        <v>0.89400000000000002</v>
      </c>
      <c r="I16" s="10"/>
      <c r="J16" s="10"/>
    </row>
    <row r="17" spans="1:10">
      <c r="A17" s="10">
        <v>2030</v>
      </c>
      <c r="B17" s="10">
        <v>1</v>
      </c>
      <c r="C17" s="10" t="s">
        <v>141</v>
      </c>
      <c r="D17" s="10"/>
      <c r="E17" s="10"/>
      <c r="F17" s="10"/>
      <c r="G17" s="10"/>
      <c r="H17" s="81">
        <v>0.89400000000000002</v>
      </c>
      <c r="I17" s="10"/>
      <c r="J17" s="10"/>
    </row>
    <row r="18" spans="1:10">
      <c r="A18" s="10">
        <v>2035</v>
      </c>
      <c r="B18" s="10">
        <v>1</v>
      </c>
      <c r="C18" s="10" t="s">
        <v>141</v>
      </c>
      <c r="D18" s="10"/>
      <c r="E18" s="10"/>
      <c r="F18" s="10"/>
      <c r="G18" s="10"/>
      <c r="H18" s="81">
        <v>0.89400000000000002</v>
      </c>
      <c r="I18" s="10"/>
      <c r="J18" s="10"/>
    </row>
    <row r="19" spans="1:10">
      <c r="A19" s="10">
        <v>2040</v>
      </c>
      <c r="B19" s="10">
        <v>1</v>
      </c>
      <c r="C19" s="10" t="s">
        <v>141</v>
      </c>
      <c r="D19" s="10"/>
      <c r="E19" s="10"/>
      <c r="F19" s="10"/>
      <c r="G19" s="10"/>
      <c r="H19" s="81">
        <v>0.89400000000000002</v>
      </c>
      <c r="I19" s="10"/>
      <c r="J19" s="10"/>
    </row>
    <row r="20" spans="1:10">
      <c r="A20" s="10">
        <v>2045</v>
      </c>
      <c r="B20" s="10">
        <v>1</v>
      </c>
      <c r="C20" s="10" t="s">
        <v>141</v>
      </c>
      <c r="D20" s="10"/>
      <c r="E20" s="10"/>
      <c r="F20" s="10"/>
      <c r="G20" s="10"/>
      <c r="H20" s="81">
        <v>0.92200000000000004</v>
      </c>
      <c r="I20" s="10"/>
      <c r="J20" s="10"/>
    </row>
    <row r="21" spans="1:10">
      <c r="A21" s="10">
        <v>2050</v>
      </c>
      <c r="B21" s="10">
        <v>1</v>
      </c>
      <c r="C21" s="10" t="s">
        <v>141</v>
      </c>
      <c r="D21" s="10"/>
      <c r="E21" s="10"/>
      <c r="F21" s="10"/>
      <c r="G21" s="10"/>
      <c r="H21" s="81">
        <v>0.92200000000000004</v>
      </c>
      <c r="I21" s="10"/>
      <c r="J21" s="10"/>
    </row>
    <row r="22" spans="1:10">
      <c r="A22" s="10">
        <v>2018</v>
      </c>
      <c r="B22" s="10">
        <v>1</v>
      </c>
      <c r="C22" s="10" t="s">
        <v>152</v>
      </c>
      <c r="D22" s="10"/>
      <c r="E22" s="81">
        <v>0.99</v>
      </c>
      <c r="F22" s="10"/>
      <c r="G22" s="10"/>
      <c r="H22" s="10"/>
      <c r="I22" s="10"/>
      <c r="J22" s="10"/>
    </row>
    <row r="23" spans="1:10">
      <c r="A23" s="10">
        <v>2020</v>
      </c>
      <c r="B23" s="10">
        <v>1</v>
      </c>
      <c r="C23" s="10" t="s">
        <v>152</v>
      </c>
      <c r="D23" s="10"/>
      <c r="E23" s="81">
        <v>0.99</v>
      </c>
      <c r="F23" s="10"/>
      <c r="G23" s="10"/>
      <c r="H23" s="10"/>
      <c r="I23" s="10"/>
      <c r="J23" s="10"/>
    </row>
    <row r="24" spans="1:10">
      <c r="A24" s="10">
        <v>2025</v>
      </c>
      <c r="B24" s="10">
        <v>1</v>
      </c>
      <c r="C24" s="10" t="s">
        <v>152</v>
      </c>
      <c r="D24" s="10"/>
      <c r="E24" s="81">
        <v>0.99</v>
      </c>
      <c r="F24" s="10"/>
      <c r="G24" s="10"/>
      <c r="H24" s="10"/>
      <c r="I24" s="10"/>
      <c r="J24" s="10"/>
    </row>
    <row r="25" spans="1:10">
      <c r="A25" s="10">
        <v>2030</v>
      </c>
      <c r="B25" s="10">
        <v>1</v>
      </c>
      <c r="C25" s="10" t="s">
        <v>152</v>
      </c>
      <c r="D25" s="10"/>
      <c r="E25" s="81">
        <v>0.99</v>
      </c>
      <c r="F25" s="10"/>
      <c r="G25" s="10"/>
      <c r="H25" s="10"/>
      <c r="I25" s="10"/>
      <c r="J25" s="10"/>
    </row>
    <row r="26" spans="1:10">
      <c r="A26" s="10">
        <v>2035</v>
      </c>
      <c r="B26" s="10">
        <v>1</v>
      </c>
      <c r="C26" s="10" t="s">
        <v>152</v>
      </c>
      <c r="D26" s="10"/>
      <c r="E26" s="81">
        <v>0.99</v>
      </c>
      <c r="F26" s="10"/>
      <c r="G26" s="10"/>
      <c r="H26" s="10"/>
      <c r="I26" s="10"/>
      <c r="J26" s="10"/>
    </row>
    <row r="27" spans="1:10">
      <c r="A27" s="10">
        <v>2040</v>
      </c>
      <c r="B27" s="10">
        <v>1</v>
      </c>
      <c r="C27" s="10" t="s">
        <v>152</v>
      </c>
      <c r="D27" s="10"/>
      <c r="E27" s="81">
        <v>0.99</v>
      </c>
      <c r="F27" s="10"/>
      <c r="G27" s="10"/>
      <c r="H27" s="10"/>
      <c r="I27" s="10"/>
      <c r="J27" s="10"/>
    </row>
    <row r="28" spans="1:10">
      <c r="A28" s="10">
        <v>2045</v>
      </c>
      <c r="B28" s="10">
        <v>1</v>
      </c>
      <c r="C28" s="10" t="s">
        <v>152</v>
      </c>
      <c r="D28" s="10"/>
      <c r="E28" s="81">
        <v>0.99</v>
      </c>
      <c r="F28" s="10"/>
      <c r="G28" s="10"/>
      <c r="H28" s="10"/>
      <c r="I28" s="10"/>
      <c r="J28" s="10"/>
    </row>
    <row r="29" spans="1:10">
      <c r="A29" s="10">
        <v>2050</v>
      </c>
      <c r="B29" s="10">
        <v>1</v>
      </c>
      <c r="C29" s="10" t="s">
        <v>152</v>
      </c>
      <c r="D29" s="10"/>
      <c r="E29" s="81">
        <v>0.99</v>
      </c>
      <c r="F29" s="10"/>
      <c r="G29" s="10"/>
      <c r="H29" s="10"/>
      <c r="I29" s="10"/>
      <c r="J29" s="10"/>
    </row>
    <row r="30" spans="1:10">
      <c r="A30" s="10">
        <v>2018</v>
      </c>
      <c r="B30" s="10">
        <v>1</v>
      </c>
      <c r="C30" s="10" t="s">
        <v>153</v>
      </c>
      <c r="D30" s="10"/>
      <c r="E30" s="10"/>
      <c r="F30" s="81">
        <v>0.99</v>
      </c>
      <c r="G30" s="10"/>
      <c r="H30" s="10"/>
      <c r="I30" s="10"/>
      <c r="J30" s="10"/>
    </row>
    <row r="31" spans="1:10">
      <c r="A31" s="10">
        <v>2020</v>
      </c>
      <c r="B31" s="10">
        <v>1</v>
      </c>
      <c r="C31" s="10" t="s">
        <v>153</v>
      </c>
      <c r="D31" s="10"/>
      <c r="E31" s="10"/>
      <c r="F31" s="81">
        <v>0.99</v>
      </c>
      <c r="G31" s="10"/>
      <c r="H31" s="10"/>
      <c r="I31" s="10"/>
      <c r="J31" s="10"/>
    </row>
    <row r="32" spans="1:10">
      <c r="A32" s="10">
        <v>2025</v>
      </c>
      <c r="B32" s="10">
        <v>1</v>
      </c>
      <c r="C32" s="10" t="s">
        <v>153</v>
      </c>
      <c r="D32" s="10"/>
      <c r="E32" s="10"/>
      <c r="F32" s="81">
        <v>0.99</v>
      </c>
      <c r="G32" s="10"/>
      <c r="H32" s="10"/>
      <c r="I32" s="10"/>
      <c r="J32" s="10"/>
    </row>
    <row r="33" spans="1:10">
      <c r="A33" s="10">
        <v>2030</v>
      </c>
      <c r="B33" s="10">
        <v>1</v>
      </c>
      <c r="C33" s="10" t="s">
        <v>153</v>
      </c>
      <c r="D33" s="10"/>
      <c r="E33" s="10"/>
      <c r="F33" s="81">
        <v>0.99</v>
      </c>
      <c r="G33" s="10"/>
      <c r="H33" s="10"/>
      <c r="I33" s="10"/>
      <c r="J33" s="10"/>
    </row>
    <row r="34" spans="1:10">
      <c r="A34" s="10">
        <v>2035</v>
      </c>
      <c r="B34" s="10">
        <v>1</v>
      </c>
      <c r="C34" s="10" t="s">
        <v>153</v>
      </c>
      <c r="D34" s="10"/>
      <c r="E34" s="10"/>
      <c r="F34" s="81">
        <v>0.99</v>
      </c>
      <c r="G34" s="10"/>
      <c r="H34" s="10"/>
      <c r="I34" s="10"/>
      <c r="J34" s="10"/>
    </row>
    <row r="35" spans="1:10">
      <c r="A35" s="10">
        <v>2040</v>
      </c>
      <c r="B35" s="10">
        <v>1</v>
      </c>
      <c r="C35" s="10" t="s">
        <v>153</v>
      </c>
      <c r="D35" s="10"/>
      <c r="E35" s="10"/>
      <c r="F35" s="81">
        <v>0.99</v>
      </c>
      <c r="G35" s="10"/>
      <c r="H35" s="10"/>
      <c r="I35" s="10"/>
      <c r="J35" s="10"/>
    </row>
    <row r="36" spans="1:10">
      <c r="A36" s="10">
        <v>2045</v>
      </c>
      <c r="B36" s="10">
        <v>1</v>
      </c>
      <c r="C36" s="10" t="s">
        <v>153</v>
      </c>
      <c r="D36" s="10"/>
      <c r="E36" s="10"/>
      <c r="F36" s="81">
        <v>0.99</v>
      </c>
      <c r="G36" s="10"/>
      <c r="H36" s="10"/>
      <c r="I36" s="10"/>
      <c r="J36" s="10"/>
    </row>
    <row r="37" spans="1:10">
      <c r="A37" s="10">
        <v>2050</v>
      </c>
      <c r="B37" s="10">
        <v>1</v>
      </c>
      <c r="C37" s="10" t="s">
        <v>153</v>
      </c>
      <c r="D37" s="10"/>
      <c r="E37" s="10"/>
      <c r="F37" s="81">
        <v>0.99</v>
      </c>
      <c r="G37" s="10"/>
      <c r="H37" s="10"/>
      <c r="I37" s="10"/>
      <c r="J37" s="10"/>
    </row>
    <row r="38" spans="1:10">
      <c r="A38" s="10">
        <v>2018</v>
      </c>
      <c r="B38" s="10">
        <v>1</v>
      </c>
      <c r="C38" s="10" t="s">
        <v>250</v>
      </c>
      <c r="D38" s="10"/>
      <c r="E38" s="10"/>
      <c r="F38" s="10"/>
      <c r="G38" s="10"/>
      <c r="H38" s="10"/>
      <c r="I38" s="10">
        <v>1</v>
      </c>
      <c r="J38" s="10"/>
    </row>
    <row r="39" spans="1:10">
      <c r="A39" s="10">
        <v>2020</v>
      </c>
      <c r="B39" s="10">
        <v>1</v>
      </c>
      <c r="C39" s="10" t="s">
        <v>250</v>
      </c>
      <c r="D39" s="10"/>
      <c r="E39" s="10"/>
      <c r="F39" s="10"/>
      <c r="G39" s="10"/>
      <c r="H39" s="10"/>
      <c r="I39" s="10">
        <v>1</v>
      </c>
      <c r="J39" s="10"/>
    </row>
    <row r="40" spans="1:10">
      <c r="A40" s="10">
        <v>2025</v>
      </c>
      <c r="B40" s="10">
        <v>1</v>
      </c>
      <c r="C40" s="10" t="s">
        <v>250</v>
      </c>
      <c r="D40" s="10"/>
      <c r="E40" s="10"/>
      <c r="F40" s="10"/>
      <c r="G40" s="10"/>
      <c r="H40" s="10"/>
      <c r="I40" s="10">
        <v>1</v>
      </c>
      <c r="J40" s="10"/>
    </row>
    <row r="41" spans="1:10">
      <c r="A41" s="10">
        <v>2030</v>
      </c>
      <c r="B41" s="10">
        <v>1</v>
      </c>
      <c r="C41" s="10" t="s">
        <v>250</v>
      </c>
      <c r="D41" s="10"/>
      <c r="E41" s="10"/>
      <c r="F41" s="10"/>
      <c r="G41" s="10"/>
      <c r="H41" s="10"/>
      <c r="I41" s="10">
        <v>1</v>
      </c>
      <c r="J41" s="10"/>
    </row>
    <row r="42" spans="1:10">
      <c r="A42" s="10">
        <v>2035</v>
      </c>
      <c r="B42" s="10">
        <v>1</v>
      </c>
      <c r="C42" s="10" t="s">
        <v>250</v>
      </c>
      <c r="D42" s="10"/>
      <c r="E42" s="10"/>
      <c r="F42" s="10"/>
      <c r="G42" s="10"/>
      <c r="H42" s="10"/>
      <c r="I42" s="10">
        <v>1</v>
      </c>
      <c r="J42" s="10"/>
    </row>
    <row r="43" spans="1:10">
      <c r="A43" s="10">
        <v>2040</v>
      </c>
      <c r="B43" s="10">
        <v>1</v>
      </c>
      <c r="C43" s="10" t="s">
        <v>250</v>
      </c>
      <c r="D43" s="10"/>
      <c r="E43" s="10"/>
      <c r="F43" s="10"/>
      <c r="G43" s="10"/>
      <c r="H43" s="10"/>
      <c r="I43" s="10">
        <v>1</v>
      </c>
      <c r="J43" s="10"/>
    </row>
    <row r="44" spans="1:10">
      <c r="A44" s="10">
        <v>2045</v>
      </c>
      <c r="B44" s="10">
        <v>1</v>
      </c>
      <c r="C44" s="10" t="s">
        <v>250</v>
      </c>
      <c r="D44" s="10"/>
      <c r="E44" s="10"/>
      <c r="F44" s="10"/>
      <c r="G44" s="10"/>
      <c r="H44" s="10"/>
      <c r="I44" s="10">
        <v>1</v>
      </c>
      <c r="J44" s="10"/>
    </row>
    <row r="45" spans="1:10">
      <c r="A45" s="10">
        <v>2050</v>
      </c>
      <c r="B45" s="10">
        <v>1</v>
      </c>
      <c r="C45" s="10" t="s">
        <v>250</v>
      </c>
      <c r="D45" s="10"/>
      <c r="E45" s="10"/>
      <c r="F45" s="10"/>
      <c r="G45" s="10"/>
      <c r="H45" s="10"/>
      <c r="I45" s="10">
        <v>1</v>
      </c>
      <c r="J45" s="10"/>
    </row>
    <row r="46" spans="1:10">
      <c r="A46" s="10">
        <v>2018</v>
      </c>
      <c r="B46" s="10">
        <v>1</v>
      </c>
      <c r="C46" s="10" t="s">
        <v>252</v>
      </c>
      <c r="D46" s="10"/>
      <c r="E46" s="10"/>
      <c r="F46" s="10"/>
      <c r="G46" s="10"/>
      <c r="H46" s="10"/>
      <c r="I46" s="10"/>
      <c r="J46" s="10">
        <v>1</v>
      </c>
    </row>
    <row r="47" spans="1:10">
      <c r="A47" s="10">
        <v>2020</v>
      </c>
      <c r="B47" s="10">
        <v>1</v>
      </c>
      <c r="C47" s="10" t="s">
        <v>252</v>
      </c>
      <c r="D47" s="10"/>
      <c r="E47" s="10"/>
      <c r="F47" s="10"/>
      <c r="G47" s="10"/>
      <c r="H47" s="10"/>
      <c r="I47" s="10"/>
      <c r="J47" s="10">
        <v>1</v>
      </c>
    </row>
    <row r="48" spans="1:10">
      <c r="A48" s="10">
        <v>2025</v>
      </c>
      <c r="B48" s="10">
        <v>1</v>
      </c>
      <c r="C48" s="10" t="s">
        <v>252</v>
      </c>
      <c r="D48" s="10"/>
      <c r="E48" s="10"/>
      <c r="F48" s="10"/>
      <c r="G48" s="10"/>
      <c r="H48" s="10"/>
      <c r="I48" s="10"/>
      <c r="J48" s="10">
        <v>1</v>
      </c>
    </row>
    <row r="49" spans="1:10">
      <c r="A49" s="10">
        <v>2030</v>
      </c>
      <c r="B49" s="10">
        <v>1</v>
      </c>
      <c r="C49" s="10" t="s">
        <v>252</v>
      </c>
      <c r="D49" s="10"/>
      <c r="E49" s="10"/>
      <c r="F49" s="10"/>
      <c r="G49" s="10"/>
      <c r="H49" s="10"/>
      <c r="I49" s="10"/>
      <c r="J49" s="10">
        <v>1</v>
      </c>
    </row>
    <row r="50" spans="1:10">
      <c r="A50" s="10">
        <v>2035</v>
      </c>
      <c r="B50" s="10">
        <v>1</v>
      </c>
      <c r="C50" s="10" t="s">
        <v>252</v>
      </c>
      <c r="D50" s="10"/>
      <c r="E50" s="10"/>
      <c r="F50" s="10"/>
      <c r="G50" s="10"/>
      <c r="H50" s="10"/>
      <c r="I50" s="10"/>
      <c r="J50" s="10">
        <v>1</v>
      </c>
    </row>
    <row r="51" spans="1:10">
      <c r="A51" s="10">
        <v>2040</v>
      </c>
      <c r="B51" s="10">
        <v>1</v>
      </c>
      <c r="C51" s="10" t="s">
        <v>252</v>
      </c>
      <c r="D51" s="10"/>
      <c r="E51" s="10"/>
      <c r="F51" s="10"/>
      <c r="G51" s="10"/>
      <c r="H51" s="10"/>
      <c r="I51" s="10"/>
      <c r="J51" s="10">
        <v>1</v>
      </c>
    </row>
    <row r="52" spans="1:10">
      <c r="A52" s="10">
        <v>2045</v>
      </c>
      <c r="B52" s="10">
        <v>1</v>
      </c>
      <c r="C52" s="10" t="s">
        <v>252</v>
      </c>
      <c r="D52" s="10"/>
      <c r="E52" s="10"/>
      <c r="F52" s="10"/>
      <c r="G52" s="10"/>
      <c r="H52" s="10"/>
      <c r="I52" s="10"/>
      <c r="J52" s="10">
        <v>1</v>
      </c>
    </row>
    <row r="53" spans="1:10">
      <c r="A53" s="10">
        <v>2050</v>
      </c>
      <c r="B53" s="10">
        <v>1</v>
      </c>
      <c r="C53" s="10" t="s">
        <v>252</v>
      </c>
      <c r="D53" s="10"/>
      <c r="E53" s="10"/>
      <c r="F53" s="10"/>
      <c r="G53" s="10"/>
      <c r="H53" s="10"/>
      <c r="I53" s="10"/>
      <c r="J53" s="10">
        <v>1</v>
      </c>
    </row>
    <row r="54" spans="1:10">
      <c r="A54" s="10">
        <v>2018</v>
      </c>
      <c r="B54" s="10">
        <v>1</v>
      </c>
      <c r="C54" s="10" t="s">
        <v>139</v>
      </c>
      <c r="D54" s="81">
        <v>0.89</v>
      </c>
      <c r="E54" s="10"/>
      <c r="F54" s="10"/>
      <c r="G54" s="10"/>
      <c r="H54" s="10"/>
      <c r="I54" s="10"/>
      <c r="J54" s="10"/>
    </row>
    <row r="55" spans="1:10">
      <c r="A55" s="10">
        <v>2020</v>
      </c>
      <c r="B55" s="10">
        <v>1</v>
      </c>
      <c r="C55" s="10" t="s">
        <v>139</v>
      </c>
      <c r="D55" s="81">
        <v>0.89</v>
      </c>
      <c r="E55" s="10"/>
      <c r="F55" s="10"/>
      <c r="G55" s="10"/>
      <c r="H55" s="10"/>
      <c r="I55" s="10"/>
      <c r="J55" s="10"/>
    </row>
    <row r="56" spans="1:10">
      <c r="A56" s="10">
        <v>2025</v>
      </c>
      <c r="B56" s="10">
        <v>1</v>
      </c>
      <c r="C56" s="10" t="s">
        <v>139</v>
      </c>
      <c r="D56" s="81">
        <v>0.89</v>
      </c>
      <c r="E56" s="10"/>
      <c r="F56" s="10"/>
      <c r="G56" s="10"/>
      <c r="H56" s="10"/>
      <c r="I56" s="10"/>
      <c r="J56" s="10"/>
    </row>
    <row r="57" spans="1:10">
      <c r="A57" s="10">
        <v>2030</v>
      </c>
      <c r="B57" s="10">
        <v>1</v>
      </c>
      <c r="C57" s="10" t="s">
        <v>139</v>
      </c>
      <c r="D57" s="81">
        <v>0.89</v>
      </c>
      <c r="E57" s="10"/>
      <c r="F57" s="10"/>
      <c r="G57" s="10"/>
      <c r="H57" s="10"/>
      <c r="I57" s="10"/>
      <c r="J57" s="10"/>
    </row>
    <row r="58" spans="1:10">
      <c r="A58" s="10">
        <v>2035</v>
      </c>
      <c r="B58" s="10">
        <v>1</v>
      </c>
      <c r="C58" s="10" t="s">
        <v>139</v>
      </c>
      <c r="D58" s="81">
        <v>0.89</v>
      </c>
      <c r="E58" s="10"/>
      <c r="F58" s="10"/>
      <c r="G58" s="10"/>
      <c r="H58" s="10"/>
      <c r="I58" s="10"/>
      <c r="J58" s="10"/>
    </row>
    <row r="59" spans="1:10">
      <c r="A59" s="10">
        <v>2040</v>
      </c>
      <c r="B59" s="10">
        <v>1</v>
      </c>
      <c r="C59" s="10" t="s">
        <v>139</v>
      </c>
      <c r="D59" s="81">
        <v>0.89</v>
      </c>
      <c r="E59" s="10"/>
      <c r="F59" s="10"/>
      <c r="G59" s="10"/>
      <c r="H59" s="10"/>
      <c r="I59" s="10"/>
      <c r="J59" s="10"/>
    </row>
    <row r="60" spans="1:10">
      <c r="A60" s="10">
        <v>2045</v>
      </c>
      <c r="B60" s="10">
        <v>1</v>
      </c>
      <c r="C60" s="10" t="s">
        <v>139</v>
      </c>
      <c r="D60" s="81">
        <v>0.89</v>
      </c>
      <c r="E60" s="10"/>
      <c r="F60" s="10"/>
      <c r="G60" s="10"/>
      <c r="H60" s="10"/>
      <c r="I60" s="10"/>
      <c r="J60" s="10"/>
    </row>
    <row r="61" spans="1:10">
      <c r="A61" s="10">
        <v>2050</v>
      </c>
      <c r="B61" s="10">
        <v>1</v>
      </c>
      <c r="C61" s="10" t="s">
        <v>139</v>
      </c>
      <c r="D61" s="81">
        <v>0.89</v>
      </c>
      <c r="E61" s="10"/>
      <c r="F61" s="10"/>
      <c r="G61" s="10"/>
      <c r="H61" s="10"/>
      <c r="I61" s="10"/>
      <c r="J61" s="10"/>
    </row>
    <row r="62" spans="1:10">
      <c r="A62" s="10">
        <v>2018</v>
      </c>
      <c r="B62" s="10">
        <v>1</v>
      </c>
      <c r="C62" s="10" t="s">
        <v>142</v>
      </c>
      <c r="D62" s="81">
        <v>0.89</v>
      </c>
    </row>
    <row r="63" spans="1:10">
      <c r="A63" s="10">
        <v>2020</v>
      </c>
      <c r="B63" s="10">
        <v>1</v>
      </c>
      <c r="C63" s="10" t="s">
        <v>142</v>
      </c>
      <c r="D63" s="81">
        <v>0.89</v>
      </c>
    </row>
    <row r="64" spans="1:10">
      <c r="A64" s="10">
        <v>2025</v>
      </c>
      <c r="B64" s="10">
        <v>1</v>
      </c>
      <c r="C64" s="10" t="s">
        <v>142</v>
      </c>
      <c r="D64" s="81">
        <v>0.89</v>
      </c>
    </row>
    <row r="65" spans="1:11">
      <c r="A65" s="10">
        <v>2030</v>
      </c>
      <c r="B65" s="10">
        <v>1</v>
      </c>
      <c r="C65" s="10" t="s">
        <v>142</v>
      </c>
      <c r="D65" s="81">
        <v>0.89</v>
      </c>
    </row>
    <row r="66" spans="1:11">
      <c r="A66" s="10">
        <v>2035</v>
      </c>
      <c r="B66" s="10">
        <v>1</v>
      </c>
      <c r="C66" s="10" t="s">
        <v>142</v>
      </c>
      <c r="D66" s="81">
        <v>0.89</v>
      </c>
    </row>
    <row r="67" spans="1:11">
      <c r="A67" s="10">
        <v>2040</v>
      </c>
      <c r="B67" s="10">
        <v>1</v>
      </c>
      <c r="C67" s="10" t="s">
        <v>142</v>
      </c>
      <c r="D67" s="81">
        <v>0.89</v>
      </c>
    </row>
    <row r="68" spans="1:11">
      <c r="A68" s="10">
        <v>2045</v>
      </c>
      <c r="B68" s="10">
        <v>1</v>
      </c>
      <c r="C68" s="10" t="s">
        <v>142</v>
      </c>
      <c r="D68" s="81">
        <v>0.89</v>
      </c>
    </row>
    <row r="69" spans="1:11">
      <c r="A69" s="10">
        <v>2050</v>
      </c>
      <c r="B69" s="10">
        <v>1</v>
      </c>
      <c r="C69" s="10" t="s">
        <v>142</v>
      </c>
      <c r="D69" s="81">
        <v>0.89</v>
      </c>
    </row>
    <row r="70" spans="1:11">
      <c r="A70" s="10">
        <v>2018</v>
      </c>
      <c r="B70" s="10">
        <v>1</v>
      </c>
      <c r="C70" s="10" t="s">
        <v>196</v>
      </c>
      <c r="K70" s="81">
        <v>0.73499999999999999</v>
      </c>
    </row>
    <row r="71" spans="1:11">
      <c r="A71" s="10">
        <v>2020</v>
      </c>
      <c r="B71" s="10">
        <v>1</v>
      </c>
      <c r="C71" s="10" t="s">
        <v>196</v>
      </c>
      <c r="K71" s="81">
        <v>0.73499999999999999</v>
      </c>
    </row>
    <row r="72" spans="1:11">
      <c r="A72" s="10">
        <v>2025</v>
      </c>
      <c r="B72" s="10">
        <v>1</v>
      </c>
      <c r="C72" s="10" t="s">
        <v>196</v>
      </c>
      <c r="K72" s="81">
        <v>0.83699999999999997</v>
      </c>
    </row>
    <row r="73" spans="1:11">
      <c r="A73" s="10">
        <v>2030</v>
      </c>
      <c r="B73" s="10">
        <v>1</v>
      </c>
      <c r="C73" s="10" t="s">
        <v>196</v>
      </c>
      <c r="K73" s="81">
        <v>0.83699999999999997</v>
      </c>
    </row>
    <row r="74" spans="1:11">
      <c r="A74" s="10">
        <v>2035</v>
      </c>
      <c r="B74" s="10">
        <v>1</v>
      </c>
      <c r="C74" s="10" t="s">
        <v>196</v>
      </c>
      <c r="K74" s="81">
        <v>0.83699999999999997</v>
      </c>
    </row>
    <row r="75" spans="1:11">
      <c r="A75" s="10">
        <v>2040</v>
      </c>
      <c r="B75" s="10">
        <v>1</v>
      </c>
      <c r="C75" s="10" t="s">
        <v>196</v>
      </c>
      <c r="K75" s="81">
        <v>0.83699999999999997</v>
      </c>
    </row>
    <row r="76" spans="1:11">
      <c r="A76" s="10">
        <v>2045</v>
      </c>
      <c r="B76" s="10">
        <v>1</v>
      </c>
      <c r="C76" s="10" t="s">
        <v>196</v>
      </c>
      <c r="K76" s="81">
        <v>0.83699999999999997</v>
      </c>
    </row>
    <row r="77" spans="1:11">
      <c r="A77" s="10">
        <v>2050</v>
      </c>
      <c r="B77" s="10">
        <v>1</v>
      </c>
      <c r="C77" s="10" t="s">
        <v>196</v>
      </c>
      <c r="K77" s="81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4"/>
  <dimension ref="A1:K77"/>
  <sheetViews>
    <sheetView zoomScaleNormal="100" workbookViewId="0">
      <selection activeCell="K11" sqref="K11"/>
    </sheetView>
  </sheetViews>
  <sheetFormatPr defaultColWidth="9.140625" defaultRowHeight="15"/>
  <cols>
    <col min="1" max="16384" width="9.140625" style="81"/>
  </cols>
  <sheetData>
    <row r="1" spans="1:11">
      <c r="A1" s="81" t="s">
        <v>453</v>
      </c>
    </row>
    <row r="2" spans="1:11">
      <c r="A2" s="81" t="s">
        <v>386</v>
      </c>
    </row>
    <row r="3" spans="1:11">
      <c r="A3" s="81" t="s">
        <v>417</v>
      </c>
    </row>
    <row r="5" spans="1:11">
      <c r="A5" s="81" t="s">
        <v>27</v>
      </c>
      <c r="B5" s="81" t="s">
        <v>65</v>
      </c>
      <c r="C5" s="81" t="s">
        <v>26</v>
      </c>
      <c r="D5" s="10" t="s">
        <v>147</v>
      </c>
      <c r="E5" s="10" t="s">
        <v>154</v>
      </c>
      <c r="F5" s="10" t="s">
        <v>155</v>
      </c>
      <c r="G5" s="10" t="s">
        <v>148</v>
      </c>
      <c r="H5" s="10" t="s">
        <v>149</v>
      </c>
      <c r="I5" s="10" t="s">
        <v>251</v>
      </c>
      <c r="J5" s="10" t="s">
        <v>253</v>
      </c>
      <c r="K5" s="81" t="s">
        <v>197</v>
      </c>
    </row>
    <row r="6" spans="1:11">
      <c r="A6" s="10">
        <v>2018</v>
      </c>
      <c r="B6" s="10">
        <v>2</v>
      </c>
      <c r="C6" s="10" t="s">
        <v>140</v>
      </c>
      <c r="D6" s="10"/>
      <c r="E6" s="10"/>
      <c r="F6" s="10"/>
      <c r="G6" s="81">
        <v>0.92500000000000004</v>
      </c>
      <c r="H6" s="10"/>
      <c r="I6" s="10"/>
      <c r="J6" s="10"/>
    </row>
    <row r="7" spans="1:11">
      <c r="A7" s="10">
        <v>2020</v>
      </c>
      <c r="B7" s="10">
        <v>2</v>
      </c>
      <c r="C7" s="10" t="s">
        <v>140</v>
      </c>
      <c r="D7" s="10"/>
      <c r="E7" s="10"/>
      <c r="F7" s="10"/>
      <c r="G7" s="81">
        <v>0.92500000000000004</v>
      </c>
      <c r="H7" s="10"/>
      <c r="I7" s="10"/>
      <c r="J7" s="10"/>
    </row>
    <row r="8" spans="1:11">
      <c r="A8" s="10">
        <v>2025</v>
      </c>
      <c r="B8" s="10">
        <v>2</v>
      </c>
      <c r="C8" s="10" t="s">
        <v>140</v>
      </c>
      <c r="D8" s="10"/>
      <c r="E8" s="10"/>
      <c r="F8" s="10"/>
      <c r="G8" s="81">
        <v>0.92500000000000004</v>
      </c>
      <c r="H8" s="10"/>
      <c r="I8" s="10"/>
      <c r="J8" s="10"/>
    </row>
    <row r="9" spans="1:11">
      <c r="A9" s="10">
        <v>2030</v>
      </c>
      <c r="B9" s="10">
        <v>2</v>
      </c>
      <c r="C9" s="10" t="s">
        <v>140</v>
      </c>
      <c r="D9" s="10"/>
      <c r="E9" s="10"/>
      <c r="F9" s="10"/>
      <c r="G9" s="81">
        <v>0.92500000000000004</v>
      </c>
      <c r="H9" s="10"/>
      <c r="I9" s="10"/>
      <c r="J9" s="10"/>
    </row>
    <row r="10" spans="1:11">
      <c r="A10" s="10">
        <v>2035</v>
      </c>
      <c r="B10" s="10">
        <v>2</v>
      </c>
      <c r="C10" s="10" t="s">
        <v>140</v>
      </c>
      <c r="D10" s="10"/>
      <c r="E10" s="10"/>
      <c r="F10" s="10"/>
      <c r="G10" s="81">
        <v>0.92500000000000004</v>
      </c>
      <c r="H10" s="10"/>
      <c r="I10" s="10"/>
      <c r="J10" s="10"/>
    </row>
    <row r="11" spans="1:11">
      <c r="A11" s="10">
        <v>2040</v>
      </c>
      <c r="B11" s="10">
        <v>2</v>
      </c>
      <c r="C11" s="10" t="s">
        <v>140</v>
      </c>
      <c r="D11" s="10"/>
      <c r="E11" s="10"/>
      <c r="F11" s="10"/>
      <c r="G11" s="81">
        <v>0.92500000000000004</v>
      </c>
      <c r="H11" s="10"/>
      <c r="I11" s="10"/>
      <c r="J11" s="10"/>
    </row>
    <row r="12" spans="1:11">
      <c r="A12" s="10">
        <v>2045</v>
      </c>
      <c r="B12" s="10">
        <v>2</v>
      </c>
      <c r="C12" s="10" t="s">
        <v>140</v>
      </c>
      <c r="D12" s="10"/>
      <c r="E12" s="10"/>
      <c r="F12" s="10"/>
      <c r="G12" s="81">
        <v>0.92500000000000004</v>
      </c>
      <c r="H12" s="10"/>
      <c r="I12" s="10"/>
      <c r="J12" s="10"/>
    </row>
    <row r="13" spans="1:11">
      <c r="A13" s="10">
        <v>2050</v>
      </c>
      <c r="B13" s="10">
        <v>2</v>
      </c>
      <c r="C13" s="10" t="s">
        <v>140</v>
      </c>
      <c r="D13" s="10"/>
      <c r="E13" s="10"/>
      <c r="F13" s="10"/>
      <c r="G13" s="81">
        <v>0.92500000000000004</v>
      </c>
      <c r="H13" s="10"/>
      <c r="I13" s="10"/>
      <c r="J13" s="10"/>
    </row>
    <row r="14" spans="1:11">
      <c r="A14" s="10">
        <v>2018</v>
      </c>
      <c r="B14" s="10">
        <v>2</v>
      </c>
      <c r="C14" s="10" t="s">
        <v>141</v>
      </c>
      <c r="D14" s="10"/>
      <c r="E14" s="10"/>
      <c r="F14" s="10"/>
      <c r="G14" s="10"/>
      <c r="H14" s="81">
        <v>0.86599999999999999</v>
      </c>
      <c r="I14" s="10"/>
      <c r="J14" s="10"/>
    </row>
    <row r="15" spans="1:11">
      <c r="A15" s="10">
        <v>2020</v>
      </c>
      <c r="B15" s="10">
        <v>2</v>
      </c>
      <c r="C15" s="10" t="s">
        <v>141</v>
      </c>
      <c r="D15" s="10"/>
      <c r="E15" s="10"/>
      <c r="F15" s="10"/>
      <c r="G15" s="10"/>
      <c r="H15" s="81">
        <v>0.86599999999999999</v>
      </c>
      <c r="I15" s="10"/>
      <c r="J15" s="10"/>
    </row>
    <row r="16" spans="1:11">
      <c r="A16" s="10">
        <v>2025</v>
      </c>
      <c r="B16" s="10">
        <v>2</v>
      </c>
      <c r="C16" s="10" t="s">
        <v>141</v>
      </c>
      <c r="D16" s="10"/>
      <c r="E16" s="10"/>
      <c r="F16" s="10"/>
      <c r="G16" s="10"/>
      <c r="H16" s="81">
        <v>0.89400000000000002</v>
      </c>
      <c r="I16" s="10"/>
      <c r="J16" s="10"/>
    </row>
    <row r="17" spans="1:10">
      <c r="A17" s="10">
        <v>2030</v>
      </c>
      <c r="B17" s="10">
        <v>2</v>
      </c>
      <c r="C17" s="10" t="s">
        <v>141</v>
      </c>
      <c r="D17" s="10"/>
      <c r="E17" s="10"/>
      <c r="F17" s="10"/>
      <c r="G17" s="10"/>
      <c r="H17" s="81">
        <v>0.89400000000000002</v>
      </c>
      <c r="I17" s="10"/>
      <c r="J17" s="10"/>
    </row>
    <row r="18" spans="1:10">
      <c r="A18" s="10">
        <v>2035</v>
      </c>
      <c r="B18" s="10">
        <v>2</v>
      </c>
      <c r="C18" s="10" t="s">
        <v>141</v>
      </c>
      <c r="D18" s="10"/>
      <c r="E18" s="10"/>
      <c r="F18" s="10"/>
      <c r="G18" s="10"/>
      <c r="H18" s="81">
        <v>0.89400000000000002</v>
      </c>
      <c r="I18" s="10"/>
      <c r="J18" s="10"/>
    </row>
    <row r="19" spans="1:10">
      <c r="A19" s="10">
        <v>2040</v>
      </c>
      <c r="B19" s="10">
        <v>2</v>
      </c>
      <c r="C19" s="10" t="s">
        <v>141</v>
      </c>
      <c r="D19" s="10"/>
      <c r="E19" s="10"/>
      <c r="F19" s="10"/>
      <c r="G19" s="10"/>
      <c r="H19" s="81">
        <v>0.89400000000000002</v>
      </c>
      <c r="I19" s="10"/>
      <c r="J19" s="10"/>
    </row>
    <row r="20" spans="1:10">
      <c r="A20" s="10">
        <v>2045</v>
      </c>
      <c r="B20" s="10">
        <v>2</v>
      </c>
      <c r="C20" s="10" t="s">
        <v>141</v>
      </c>
      <c r="D20" s="10"/>
      <c r="E20" s="10"/>
      <c r="F20" s="10"/>
      <c r="G20" s="10"/>
      <c r="H20" s="81">
        <v>0.92200000000000004</v>
      </c>
      <c r="I20" s="10"/>
      <c r="J20" s="10"/>
    </row>
    <row r="21" spans="1:10">
      <c r="A21" s="10">
        <v>2050</v>
      </c>
      <c r="B21" s="10">
        <v>2</v>
      </c>
      <c r="C21" s="10" t="s">
        <v>141</v>
      </c>
      <c r="D21" s="10"/>
      <c r="E21" s="10"/>
      <c r="F21" s="10"/>
      <c r="G21" s="10"/>
      <c r="H21" s="81">
        <v>0.92200000000000004</v>
      </c>
      <c r="I21" s="10"/>
      <c r="J21" s="10"/>
    </row>
    <row r="22" spans="1:10">
      <c r="A22" s="10">
        <v>2018</v>
      </c>
      <c r="B22" s="10">
        <v>2</v>
      </c>
      <c r="C22" s="10" t="s">
        <v>152</v>
      </c>
      <c r="D22" s="10"/>
      <c r="E22" s="81">
        <v>0.99</v>
      </c>
      <c r="F22" s="10"/>
      <c r="G22" s="10"/>
      <c r="H22" s="10"/>
      <c r="I22" s="10"/>
      <c r="J22" s="10"/>
    </row>
    <row r="23" spans="1:10">
      <c r="A23" s="10">
        <v>2020</v>
      </c>
      <c r="B23" s="10">
        <v>2</v>
      </c>
      <c r="C23" s="10" t="s">
        <v>152</v>
      </c>
      <c r="D23" s="10"/>
      <c r="E23" s="81">
        <v>0.99</v>
      </c>
      <c r="F23" s="10"/>
      <c r="G23" s="10"/>
      <c r="H23" s="10"/>
      <c r="I23" s="10"/>
      <c r="J23" s="10"/>
    </row>
    <row r="24" spans="1:10">
      <c r="A24" s="10">
        <v>2025</v>
      </c>
      <c r="B24" s="10">
        <v>2</v>
      </c>
      <c r="C24" s="10" t="s">
        <v>152</v>
      </c>
      <c r="D24" s="10"/>
      <c r="E24" s="81">
        <v>0.99</v>
      </c>
      <c r="F24" s="10"/>
      <c r="G24" s="10"/>
      <c r="H24" s="10"/>
      <c r="I24" s="10"/>
      <c r="J24" s="10"/>
    </row>
    <row r="25" spans="1:10">
      <c r="A25" s="10">
        <v>2030</v>
      </c>
      <c r="B25" s="10">
        <v>2</v>
      </c>
      <c r="C25" s="10" t="s">
        <v>152</v>
      </c>
      <c r="D25" s="10"/>
      <c r="E25" s="81">
        <v>0.99</v>
      </c>
      <c r="F25" s="10"/>
      <c r="G25" s="10"/>
      <c r="H25" s="10"/>
      <c r="I25" s="10"/>
      <c r="J25" s="10"/>
    </row>
    <row r="26" spans="1:10">
      <c r="A26" s="10">
        <v>2035</v>
      </c>
      <c r="B26" s="10">
        <v>2</v>
      </c>
      <c r="C26" s="10" t="s">
        <v>152</v>
      </c>
      <c r="D26" s="10"/>
      <c r="E26" s="81">
        <v>0.99</v>
      </c>
      <c r="F26" s="10"/>
      <c r="G26" s="10"/>
      <c r="H26" s="10"/>
      <c r="I26" s="10"/>
      <c r="J26" s="10"/>
    </row>
    <row r="27" spans="1:10">
      <c r="A27" s="10">
        <v>2040</v>
      </c>
      <c r="B27" s="10">
        <v>2</v>
      </c>
      <c r="C27" s="10" t="s">
        <v>152</v>
      </c>
      <c r="D27" s="10"/>
      <c r="E27" s="81">
        <v>0.99</v>
      </c>
      <c r="F27" s="10"/>
      <c r="G27" s="10"/>
      <c r="H27" s="10"/>
      <c r="I27" s="10"/>
      <c r="J27" s="10"/>
    </row>
    <row r="28" spans="1:10">
      <c r="A28" s="10">
        <v>2045</v>
      </c>
      <c r="B28" s="10">
        <v>2</v>
      </c>
      <c r="C28" s="10" t="s">
        <v>152</v>
      </c>
      <c r="D28" s="10"/>
      <c r="E28" s="81">
        <v>0.99</v>
      </c>
      <c r="F28" s="10"/>
      <c r="G28" s="10"/>
      <c r="H28" s="10"/>
      <c r="I28" s="10"/>
      <c r="J28" s="10"/>
    </row>
    <row r="29" spans="1:10">
      <c r="A29" s="10">
        <v>2050</v>
      </c>
      <c r="B29" s="10">
        <v>2</v>
      </c>
      <c r="C29" s="10" t="s">
        <v>152</v>
      </c>
      <c r="D29" s="10"/>
      <c r="E29" s="81">
        <v>0.99</v>
      </c>
      <c r="F29" s="10"/>
      <c r="G29" s="10"/>
      <c r="H29" s="10"/>
      <c r="I29" s="10"/>
      <c r="J29" s="10"/>
    </row>
    <row r="30" spans="1:10">
      <c r="A30" s="10">
        <v>2018</v>
      </c>
      <c r="B30" s="10">
        <v>2</v>
      </c>
      <c r="C30" s="10" t="s">
        <v>153</v>
      </c>
      <c r="D30" s="10"/>
      <c r="E30" s="10"/>
      <c r="F30" s="81">
        <v>0.99</v>
      </c>
      <c r="G30" s="10"/>
      <c r="H30" s="10"/>
      <c r="I30" s="10"/>
      <c r="J30" s="10"/>
    </row>
    <row r="31" spans="1:10">
      <c r="A31" s="10">
        <v>2020</v>
      </c>
      <c r="B31" s="10">
        <v>2</v>
      </c>
      <c r="C31" s="10" t="s">
        <v>153</v>
      </c>
      <c r="D31" s="10"/>
      <c r="E31" s="10"/>
      <c r="F31" s="81">
        <v>0.99</v>
      </c>
      <c r="G31" s="10"/>
      <c r="H31" s="10"/>
      <c r="I31" s="10"/>
      <c r="J31" s="10"/>
    </row>
    <row r="32" spans="1:10">
      <c r="A32" s="10">
        <v>2025</v>
      </c>
      <c r="B32" s="10">
        <v>2</v>
      </c>
      <c r="C32" s="10" t="s">
        <v>153</v>
      </c>
      <c r="D32" s="10"/>
      <c r="E32" s="10"/>
      <c r="F32" s="81">
        <v>0.99</v>
      </c>
      <c r="G32" s="10"/>
      <c r="H32" s="10"/>
      <c r="I32" s="10"/>
      <c r="J32" s="10"/>
    </row>
    <row r="33" spans="1:10">
      <c r="A33" s="10">
        <v>2030</v>
      </c>
      <c r="B33" s="10">
        <v>2</v>
      </c>
      <c r="C33" s="10" t="s">
        <v>153</v>
      </c>
      <c r="D33" s="10"/>
      <c r="E33" s="10"/>
      <c r="F33" s="81">
        <v>0.99</v>
      </c>
      <c r="G33" s="10"/>
      <c r="H33" s="10"/>
      <c r="I33" s="10"/>
      <c r="J33" s="10"/>
    </row>
    <row r="34" spans="1:10">
      <c r="A34" s="10">
        <v>2035</v>
      </c>
      <c r="B34" s="10">
        <v>2</v>
      </c>
      <c r="C34" s="10" t="s">
        <v>153</v>
      </c>
      <c r="D34" s="10"/>
      <c r="E34" s="10"/>
      <c r="F34" s="81">
        <v>0.99</v>
      </c>
      <c r="G34" s="10"/>
      <c r="H34" s="10"/>
      <c r="I34" s="10"/>
      <c r="J34" s="10"/>
    </row>
    <row r="35" spans="1:10">
      <c r="A35" s="10">
        <v>2040</v>
      </c>
      <c r="B35" s="10">
        <v>2</v>
      </c>
      <c r="C35" s="10" t="s">
        <v>153</v>
      </c>
      <c r="D35" s="10"/>
      <c r="E35" s="10"/>
      <c r="F35" s="81">
        <v>0.99</v>
      </c>
      <c r="G35" s="10"/>
      <c r="H35" s="10"/>
      <c r="I35" s="10"/>
      <c r="J35" s="10"/>
    </row>
    <row r="36" spans="1:10">
      <c r="A36" s="10">
        <v>2045</v>
      </c>
      <c r="B36" s="10">
        <v>2</v>
      </c>
      <c r="C36" s="10" t="s">
        <v>153</v>
      </c>
      <c r="D36" s="10"/>
      <c r="E36" s="10"/>
      <c r="F36" s="81">
        <v>0.99</v>
      </c>
      <c r="G36" s="10"/>
      <c r="H36" s="10"/>
      <c r="I36" s="10"/>
      <c r="J36" s="10"/>
    </row>
    <row r="37" spans="1:10">
      <c r="A37" s="10">
        <v>2050</v>
      </c>
      <c r="B37" s="10">
        <v>2</v>
      </c>
      <c r="C37" s="10" t="s">
        <v>153</v>
      </c>
      <c r="D37" s="10"/>
      <c r="E37" s="10"/>
      <c r="F37" s="81">
        <v>0.99</v>
      </c>
      <c r="G37" s="10"/>
      <c r="H37" s="10"/>
      <c r="I37" s="10"/>
      <c r="J37" s="10"/>
    </row>
    <row r="38" spans="1:10">
      <c r="A38" s="10">
        <v>2018</v>
      </c>
      <c r="B38" s="10">
        <v>2</v>
      </c>
      <c r="C38" s="10" t="s">
        <v>250</v>
      </c>
      <c r="D38" s="10"/>
      <c r="E38" s="10"/>
      <c r="F38" s="10"/>
      <c r="G38" s="10"/>
      <c r="H38" s="10"/>
      <c r="I38" s="10">
        <v>1</v>
      </c>
      <c r="J38" s="10"/>
    </row>
    <row r="39" spans="1:10">
      <c r="A39" s="10">
        <v>2020</v>
      </c>
      <c r="B39" s="10">
        <v>2</v>
      </c>
      <c r="C39" s="10" t="s">
        <v>250</v>
      </c>
      <c r="D39" s="10"/>
      <c r="E39" s="10"/>
      <c r="F39" s="10"/>
      <c r="G39" s="10"/>
      <c r="H39" s="10"/>
      <c r="I39" s="10">
        <v>1</v>
      </c>
      <c r="J39" s="10"/>
    </row>
    <row r="40" spans="1:10">
      <c r="A40" s="10">
        <v>2025</v>
      </c>
      <c r="B40" s="10">
        <v>2</v>
      </c>
      <c r="C40" s="10" t="s">
        <v>250</v>
      </c>
      <c r="D40" s="10"/>
      <c r="E40" s="10"/>
      <c r="F40" s="10"/>
      <c r="G40" s="10"/>
      <c r="H40" s="10"/>
      <c r="I40" s="10">
        <v>1</v>
      </c>
      <c r="J40" s="10"/>
    </row>
    <row r="41" spans="1:10">
      <c r="A41" s="10">
        <v>2030</v>
      </c>
      <c r="B41" s="10">
        <v>2</v>
      </c>
      <c r="C41" s="10" t="s">
        <v>250</v>
      </c>
      <c r="D41" s="10"/>
      <c r="E41" s="10"/>
      <c r="F41" s="10"/>
      <c r="G41" s="10"/>
      <c r="H41" s="10"/>
      <c r="I41" s="10">
        <v>1</v>
      </c>
      <c r="J41" s="10"/>
    </row>
    <row r="42" spans="1:10">
      <c r="A42" s="10">
        <v>2035</v>
      </c>
      <c r="B42" s="10">
        <v>2</v>
      </c>
      <c r="C42" s="10" t="s">
        <v>250</v>
      </c>
      <c r="D42" s="10"/>
      <c r="E42" s="10"/>
      <c r="F42" s="10"/>
      <c r="G42" s="10"/>
      <c r="H42" s="10"/>
      <c r="I42" s="10">
        <v>1</v>
      </c>
      <c r="J42" s="10"/>
    </row>
    <row r="43" spans="1:10">
      <c r="A43" s="10">
        <v>2040</v>
      </c>
      <c r="B43" s="10">
        <v>2</v>
      </c>
      <c r="C43" s="10" t="s">
        <v>250</v>
      </c>
      <c r="D43" s="10"/>
      <c r="E43" s="10"/>
      <c r="F43" s="10"/>
      <c r="G43" s="10"/>
      <c r="H43" s="10"/>
      <c r="I43" s="10">
        <v>1</v>
      </c>
      <c r="J43" s="10"/>
    </row>
    <row r="44" spans="1:10">
      <c r="A44" s="10">
        <v>2045</v>
      </c>
      <c r="B44" s="10">
        <v>2</v>
      </c>
      <c r="C44" s="10" t="s">
        <v>250</v>
      </c>
      <c r="D44" s="10"/>
      <c r="E44" s="10"/>
      <c r="F44" s="10"/>
      <c r="G44" s="10"/>
      <c r="H44" s="10"/>
      <c r="I44" s="10">
        <v>1</v>
      </c>
      <c r="J44" s="10"/>
    </row>
    <row r="45" spans="1:10">
      <c r="A45" s="10">
        <v>2050</v>
      </c>
      <c r="B45" s="10">
        <v>2</v>
      </c>
      <c r="C45" s="10" t="s">
        <v>250</v>
      </c>
      <c r="D45" s="10"/>
      <c r="E45" s="10"/>
      <c r="F45" s="10"/>
      <c r="G45" s="10"/>
      <c r="H45" s="10"/>
      <c r="I45" s="10">
        <v>1</v>
      </c>
      <c r="J45" s="10"/>
    </row>
    <row r="46" spans="1:10">
      <c r="A46" s="10">
        <v>2018</v>
      </c>
      <c r="B46" s="10">
        <v>2</v>
      </c>
      <c r="C46" s="10" t="s">
        <v>252</v>
      </c>
      <c r="D46" s="10"/>
      <c r="E46" s="10"/>
      <c r="F46" s="10"/>
      <c r="G46" s="10"/>
      <c r="H46" s="10"/>
      <c r="I46" s="10"/>
      <c r="J46" s="10">
        <v>1</v>
      </c>
    </row>
    <row r="47" spans="1:10">
      <c r="A47" s="10">
        <v>2020</v>
      </c>
      <c r="B47" s="10">
        <v>2</v>
      </c>
      <c r="C47" s="10" t="s">
        <v>252</v>
      </c>
      <c r="D47" s="10"/>
      <c r="E47" s="10"/>
      <c r="F47" s="10"/>
      <c r="G47" s="10"/>
      <c r="H47" s="10"/>
      <c r="I47" s="10"/>
      <c r="J47" s="10">
        <v>1</v>
      </c>
    </row>
    <row r="48" spans="1:10">
      <c r="A48" s="10">
        <v>2025</v>
      </c>
      <c r="B48" s="10">
        <v>2</v>
      </c>
      <c r="C48" s="10" t="s">
        <v>252</v>
      </c>
      <c r="D48" s="10"/>
      <c r="E48" s="10"/>
      <c r="F48" s="10"/>
      <c r="G48" s="10"/>
      <c r="H48" s="10"/>
      <c r="I48" s="10"/>
      <c r="J48" s="10">
        <v>1</v>
      </c>
    </row>
    <row r="49" spans="1:10">
      <c r="A49" s="10">
        <v>2030</v>
      </c>
      <c r="B49" s="10">
        <v>2</v>
      </c>
      <c r="C49" s="10" t="s">
        <v>252</v>
      </c>
      <c r="D49" s="10"/>
      <c r="E49" s="10"/>
      <c r="F49" s="10"/>
      <c r="G49" s="10"/>
      <c r="H49" s="10"/>
      <c r="I49" s="10"/>
      <c r="J49" s="10">
        <v>1</v>
      </c>
    </row>
    <row r="50" spans="1:10">
      <c r="A50" s="10">
        <v>2035</v>
      </c>
      <c r="B50" s="10">
        <v>2</v>
      </c>
      <c r="C50" s="10" t="s">
        <v>252</v>
      </c>
      <c r="D50" s="10"/>
      <c r="E50" s="10"/>
      <c r="F50" s="10"/>
      <c r="G50" s="10"/>
      <c r="H50" s="10"/>
      <c r="I50" s="10"/>
      <c r="J50" s="10">
        <v>1</v>
      </c>
    </row>
    <row r="51" spans="1:10">
      <c r="A51" s="10">
        <v>2040</v>
      </c>
      <c r="B51" s="10">
        <v>2</v>
      </c>
      <c r="C51" s="10" t="s">
        <v>252</v>
      </c>
      <c r="D51" s="10"/>
      <c r="E51" s="10"/>
      <c r="F51" s="10"/>
      <c r="G51" s="10"/>
      <c r="H51" s="10"/>
      <c r="I51" s="10"/>
      <c r="J51" s="10">
        <v>1</v>
      </c>
    </row>
    <row r="52" spans="1:10">
      <c r="A52" s="10">
        <v>2045</v>
      </c>
      <c r="B52" s="10">
        <v>2</v>
      </c>
      <c r="C52" s="10" t="s">
        <v>252</v>
      </c>
      <c r="D52" s="10"/>
      <c r="E52" s="10"/>
      <c r="F52" s="10"/>
      <c r="G52" s="10"/>
      <c r="H52" s="10"/>
      <c r="I52" s="10"/>
      <c r="J52" s="10">
        <v>1</v>
      </c>
    </row>
    <row r="53" spans="1:10">
      <c r="A53" s="10">
        <v>2050</v>
      </c>
      <c r="B53" s="10">
        <v>2</v>
      </c>
      <c r="C53" s="10" t="s">
        <v>252</v>
      </c>
      <c r="D53" s="10"/>
      <c r="E53" s="10"/>
      <c r="F53" s="10"/>
      <c r="G53" s="10"/>
      <c r="H53" s="10"/>
      <c r="I53" s="10"/>
      <c r="J53" s="10">
        <v>1</v>
      </c>
    </row>
    <row r="54" spans="1:10">
      <c r="A54" s="10">
        <v>2018</v>
      </c>
      <c r="B54" s="10">
        <v>2</v>
      </c>
      <c r="C54" s="10" t="s">
        <v>139</v>
      </c>
      <c r="D54" s="81">
        <v>0.89</v>
      </c>
      <c r="E54" s="10"/>
      <c r="F54" s="10"/>
      <c r="G54" s="10"/>
      <c r="H54" s="10"/>
      <c r="I54" s="10"/>
      <c r="J54" s="10"/>
    </row>
    <row r="55" spans="1:10">
      <c r="A55" s="10">
        <v>2020</v>
      </c>
      <c r="B55" s="10">
        <v>2</v>
      </c>
      <c r="C55" s="10" t="s">
        <v>139</v>
      </c>
      <c r="D55" s="81">
        <v>0.89</v>
      </c>
      <c r="E55" s="10"/>
      <c r="F55" s="10"/>
      <c r="G55" s="10"/>
      <c r="H55" s="10"/>
      <c r="I55" s="10"/>
      <c r="J55" s="10"/>
    </row>
    <row r="56" spans="1:10">
      <c r="A56" s="10">
        <v>2025</v>
      </c>
      <c r="B56" s="10">
        <v>2</v>
      </c>
      <c r="C56" s="10" t="s">
        <v>139</v>
      </c>
      <c r="D56" s="81">
        <v>0.89</v>
      </c>
      <c r="E56" s="10"/>
      <c r="F56" s="10"/>
      <c r="G56" s="10"/>
      <c r="H56" s="10"/>
      <c r="I56" s="10"/>
      <c r="J56" s="10"/>
    </row>
    <row r="57" spans="1:10">
      <c r="A57" s="10">
        <v>2030</v>
      </c>
      <c r="B57" s="10">
        <v>2</v>
      </c>
      <c r="C57" s="10" t="s">
        <v>139</v>
      </c>
      <c r="D57" s="81">
        <v>0.89</v>
      </c>
      <c r="E57" s="10"/>
      <c r="F57" s="10"/>
      <c r="G57" s="10"/>
      <c r="H57" s="10"/>
      <c r="I57" s="10"/>
      <c r="J57" s="10"/>
    </row>
    <row r="58" spans="1:10">
      <c r="A58" s="10">
        <v>2035</v>
      </c>
      <c r="B58" s="10">
        <v>2</v>
      </c>
      <c r="C58" s="10" t="s">
        <v>139</v>
      </c>
      <c r="D58" s="81">
        <v>0.89</v>
      </c>
      <c r="E58" s="10"/>
      <c r="F58" s="10"/>
      <c r="G58" s="10"/>
      <c r="H58" s="10"/>
      <c r="I58" s="10"/>
      <c r="J58" s="10"/>
    </row>
    <row r="59" spans="1:10">
      <c r="A59" s="10">
        <v>2040</v>
      </c>
      <c r="B59" s="10">
        <v>2</v>
      </c>
      <c r="C59" s="10" t="s">
        <v>139</v>
      </c>
      <c r="D59" s="81">
        <v>0.89</v>
      </c>
      <c r="E59" s="10"/>
      <c r="F59" s="10"/>
      <c r="G59" s="10"/>
      <c r="H59" s="10"/>
      <c r="I59" s="10"/>
      <c r="J59" s="10"/>
    </row>
    <row r="60" spans="1:10">
      <c r="A60" s="10">
        <v>2045</v>
      </c>
      <c r="B60" s="10">
        <v>2</v>
      </c>
      <c r="C60" s="10" t="s">
        <v>139</v>
      </c>
      <c r="D60" s="81">
        <v>0.89</v>
      </c>
      <c r="E60" s="10"/>
      <c r="F60" s="10"/>
      <c r="G60" s="10"/>
      <c r="H60" s="10"/>
      <c r="I60" s="10"/>
      <c r="J60" s="10"/>
    </row>
    <row r="61" spans="1:10">
      <c r="A61" s="10">
        <v>2050</v>
      </c>
      <c r="B61" s="10">
        <v>2</v>
      </c>
      <c r="C61" s="10" t="s">
        <v>139</v>
      </c>
      <c r="D61" s="81">
        <v>0.89</v>
      </c>
      <c r="E61" s="10"/>
      <c r="F61" s="10"/>
      <c r="G61" s="10"/>
      <c r="H61" s="10"/>
      <c r="I61" s="10"/>
      <c r="J61" s="10"/>
    </row>
    <row r="62" spans="1:10">
      <c r="A62" s="10">
        <v>2018</v>
      </c>
      <c r="B62" s="10">
        <v>2</v>
      </c>
      <c r="C62" s="10" t="s">
        <v>142</v>
      </c>
      <c r="D62" s="81">
        <v>0.89</v>
      </c>
    </row>
    <row r="63" spans="1:10">
      <c r="A63" s="10">
        <v>2020</v>
      </c>
      <c r="B63" s="10">
        <v>2</v>
      </c>
      <c r="C63" s="10" t="s">
        <v>142</v>
      </c>
      <c r="D63" s="81">
        <v>0.89</v>
      </c>
    </row>
    <row r="64" spans="1:10">
      <c r="A64" s="10">
        <v>2025</v>
      </c>
      <c r="B64" s="10">
        <v>2</v>
      </c>
      <c r="C64" s="10" t="s">
        <v>142</v>
      </c>
      <c r="D64" s="81">
        <v>0.89</v>
      </c>
    </row>
    <row r="65" spans="1:11">
      <c r="A65" s="10">
        <v>2030</v>
      </c>
      <c r="B65" s="10">
        <v>2</v>
      </c>
      <c r="C65" s="10" t="s">
        <v>142</v>
      </c>
      <c r="D65" s="81">
        <v>0.89</v>
      </c>
    </row>
    <row r="66" spans="1:11">
      <c r="A66" s="10">
        <v>2035</v>
      </c>
      <c r="B66" s="10">
        <v>2</v>
      </c>
      <c r="C66" s="10" t="s">
        <v>142</v>
      </c>
      <c r="D66" s="81">
        <v>0.89</v>
      </c>
    </row>
    <row r="67" spans="1:11">
      <c r="A67" s="10">
        <v>2040</v>
      </c>
      <c r="B67" s="10">
        <v>2</v>
      </c>
      <c r="C67" s="10" t="s">
        <v>142</v>
      </c>
      <c r="D67" s="81">
        <v>0.89</v>
      </c>
    </row>
    <row r="68" spans="1:11">
      <c r="A68" s="10">
        <v>2045</v>
      </c>
      <c r="B68" s="10">
        <v>2</v>
      </c>
      <c r="C68" s="10" t="s">
        <v>142</v>
      </c>
      <c r="D68" s="81">
        <v>0.89</v>
      </c>
    </row>
    <row r="69" spans="1:11">
      <c r="A69" s="10">
        <v>2050</v>
      </c>
      <c r="B69" s="10">
        <v>2</v>
      </c>
      <c r="C69" s="10" t="s">
        <v>142</v>
      </c>
      <c r="D69" s="81">
        <v>0.89</v>
      </c>
    </row>
    <row r="70" spans="1:11">
      <c r="A70" s="10">
        <v>2018</v>
      </c>
      <c r="B70" s="10">
        <v>2</v>
      </c>
      <c r="C70" s="10" t="s">
        <v>196</v>
      </c>
      <c r="K70" s="81">
        <v>0.73499999999999999</v>
      </c>
    </row>
    <row r="71" spans="1:11">
      <c r="A71" s="10">
        <v>2020</v>
      </c>
      <c r="B71" s="10">
        <v>2</v>
      </c>
      <c r="C71" s="10" t="s">
        <v>196</v>
      </c>
      <c r="K71" s="81">
        <v>0.73499999999999999</v>
      </c>
    </row>
    <row r="72" spans="1:11">
      <c r="A72" s="10">
        <v>2025</v>
      </c>
      <c r="B72" s="10">
        <v>2</v>
      </c>
      <c r="C72" s="10" t="s">
        <v>196</v>
      </c>
      <c r="K72" s="81">
        <v>0.83699999999999997</v>
      </c>
    </row>
    <row r="73" spans="1:11">
      <c r="A73" s="10">
        <v>2030</v>
      </c>
      <c r="B73" s="10">
        <v>2</v>
      </c>
      <c r="C73" s="10" t="s">
        <v>196</v>
      </c>
      <c r="K73" s="81">
        <v>0.83699999999999997</v>
      </c>
    </row>
    <row r="74" spans="1:11">
      <c r="A74" s="10">
        <v>2035</v>
      </c>
      <c r="B74" s="10">
        <v>2</v>
      </c>
      <c r="C74" s="10" t="s">
        <v>196</v>
      </c>
      <c r="K74" s="81">
        <v>0.83699999999999997</v>
      </c>
    </row>
    <row r="75" spans="1:11">
      <c r="A75" s="10">
        <v>2040</v>
      </c>
      <c r="B75" s="10">
        <v>2</v>
      </c>
      <c r="C75" s="10" t="s">
        <v>196</v>
      </c>
      <c r="K75" s="81">
        <v>0.83699999999999997</v>
      </c>
    </row>
    <row r="76" spans="1:11">
      <c r="A76" s="10">
        <v>2045</v>
      </c>
      <c r="B76" s="10">
        <v>2</v>
      </c>
      <c r="C76" s="10" t="s">
        <v>196</v>
      </c>
      <c r="K76" s="81">
        <v>0.83699999999999997</v>
      </c>
    </row>
    <row r="77" spans="1:11">
      <c r="A77" s="10">
        <v>2050</v>
      </c>
      <c r="B77" s="10">
        <v>2</v>
      </c>
      <c r="C77" s="10" t="s">
        <v>196</v>
      </c>
      <c r="K77" s="81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5"/>
  <dimension ref="A1:L4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6"/>
  </cols>
  <sheetData>
    <row r="1" spans="1:12">
      <c r="A1" s="7" t="s">
        <v>455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2">
      <c r="A2" s="7" t="s">
        <v>454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2">
      <c r="A3" s="7" t="s">
        <v>424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>
      <c r="A4" s="7"/>
      <c r="B4" s="7"/>
      <c r="C4" s="7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6"/>
  <dimension ref="A1:K6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6"/>
  </cols>
  <sheetData>
    <row r="1" spans="1:11">
      <c r="A1" s="7" t="s">
        <v>456</v>
      </c>
      <c r="B1" s="7"/>
      <c r="C1" s="7"/>
      <c r="D1" s="7"/>
      <c r="E1" s="7"/>
      <c r="F1" s="7"/>
    </row>
    <row r="2" spans="1:11">
      <c r="A2" s="7" t="s">
        <v>388</v>
      </c>
      <c r="B2" s="7"/>
      <c r="C2" s="7"/>
      <c r="D2" s="7"/>
      <c r="E2" s="7"/>
      <c r="F2" s="7"/>
    </row>
    <row r="3" spans="1:11">
      <c r="A3" s="6" t="s">
        <v>399</v>
      </c>
    </row>
    <row r="4" spans="1:11">
      <c r="A4" s="7"/>
      <c r="B4" s="7"/>
      <c r="C4" s="7"/>
    </row>
    <row r="5" spans="1:11">
      <c r="A5" s="6" t="s">
        <v>20</v>
      </c>
      <c r="B5" s="1" t="s">
        <v>147</v>
      </c>
      <c r="C5" s="1" t="s">
        <v>154</v>
      </c>
      <c r="D5" s="1" t="s">
        <v>155</v>
      </c>
      <c r="E5" s="1" t="s">
        <v>148</v>
      </c>
      <c r="F5" s="1" t="s">
        <v>149</v>
      </c>
      <c r="G5" s="1" t="s">
        <v>251</v>
      </c>
      <c r="H5" s="1" t="s">
        <v>197</v>
      </c>
      <c r="I5" s="1" t="s">
        <v>253</v>
      </c>
    </row>
    <row r="6" spans="1:11">
      <c r="A6" s="44" t="s">
        <v>284</v>
      </c>
      <c r="B6" s="6">
        <v>50</v>
      </c>
      <c r="C6" s="6">
        <v>1</v>
      </c>
      <c r="D6" s="6">
        <v>1</v>
      </c>
      <c r="E6" s="6">
        <v>3</v>
      </c>
      <c r="F6" s="6">
        <v>42.7</v>
      </c>
      <c r="G6" s="6">
        <v>1</v>
      </c>
      <c r="H6" s="6">
        <v>100</v>
      </c>
      <c r="I6" s="6">
        <v>1</v>
      </c>
      <c r="K6" s="45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7"/>
  <dimension ref="A1:I6"/>
  <sheetViews>
    <sheetView zoomScaleNormal="100" workbookViewId="0">
      <selection activeCell="K12" sqref="K12"/>
    </sheetView>
  </sheetViews>
  <sheetFormatPr defaultColWidth="9.140625" defaultRowHeight="15"/>
  <cols>
    <col min="1" max="16384" width="9.140625" style="52"/>
  </cols>
  <sheetData>
    <row r="1" spans="1:9">
      <c r="A1" s="52" t="s">
        <v>457</v>
      </c>
    </row>
    <row r="2" spans="1:9">
      <c r="A2" s="52" t="s">
        <v>389</v>
      </c>
    </row>
    <row r="3" spans="1:9">
      <c r="A3" s="52" t="s">
        <v>399</v>
      </c>
    </row>
    <row r="5" spans="1:9">
      <c r="A5" s="52" t="s">
        <v>20</v>
      </c>
      <c r="B5" s="11" t="s">
        <v>147</v>
      </c>
      <c r="C5" s="11" t="s">
        <v>154</v>
      </c>
      <c r="D5" s="11" t="s">
        <v>155</v>
      </c>
      <c r="E5" s="11" t="s">
        <v>148</v>
      </c>
      <c r="F5" s="11" t="s">
        <v>149</v>
      </c>
      <c r="G5" s="11" t="s">
        <v>251</v>
      </c>
      <c r="H5" s="11" t="s">
        <v>197</v>
      </c>
      <c r="I5" s="11" t="s">
        <v>253</v>
      </c>
    </row>
    <row r="6" spans="1:9">
      <c r="A6" s="53" t="s">
        <v>284</v>
      </c>
      <c r="B6" s="52">
        <v>50</v>
      </c>
      <c r="C6" s="52">
        <v>1</v>
      </c>
      <c r="D6" s="52">
        <v>1</v>
      </c>
      <c r="E6" s="52">
        <v>3</v>
      </c>
      <c r="F6" s="52">
        <v>42.7</v>
      </c>
      <c r="G6" s="52">
        <v>1</v>
      </c>
      <c r="H6" s="52">
        <v>100</v>
      </c>
      <c r="I6" s="52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48"/>
  <dimension ref="A1:O5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6"/>
  </cols>
  <sheetData>
    <row r="1" spans="1:15">
      <c r="A1" s="7" t="s">
        <v>459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>
      <c r="A2" s="7" t="s">
        <v>458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>
      <c r="A3" s="7" t="s">
        <v>417</v>
      </c>
      <c r="B3" s="7"/>
      <c r="C3" s="7"/>
      <c r="D3" s="7"/>
      <c r="E3" s="7"/>
      <c r="F3" s="7"/>
      <c r="G3" s="7"/>
      <c r="H3" s="7"/>
      <c r="I3" s="7"/>
      <c r="J3" s="7"/>
      <c r="K3" s="7"/>
    </row>
    <row r="5" spans="1:15">
      <c r="A5" s="7" t="s">
        <v>20</v>
      </c>
      <c r="B5" s="7" t="s">
        <v>33</v>
      </c>
      <c r="C5" s="6">
        <v>2018</v>
      </c>
      <c r="D5" s="6">
        <v>2020</v>
      </c>
      <c r="E5" s="6">
        <v>2025</v>
      </c>
      <c r="F5" s="6">
        <v>2030</v>
      </c>
      <c r="G5" s="6">
        <v>2035</v>
      </c>
      <c r="H5" s="6">
        <v>2040</v>
      </c>
      <c r="I5" s="6">
        <v>2045</v>
      </c>
      <c r="J5" s="6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49"/>
  <dimension ref="A1:M13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55"/>
  </cols>
  <sheetData>
    <row r="1" spans="1:13">
      <c r="A1" s="54" t="s">
        <v>461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>
      <c r="A2" s="54" t="s">
        <v>460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3">
      <c r="A3" s="54" t="s">
        <v>440</v>
      </c>
      <c r="B3" s="54"/>
      <c r="C3" s="54"/>
      <c r="D3" s="54"/>
      <c r="E3" s="54"/>
      <c r="F3" s="54"/>
      <c r="G3" s="54"/>
      <c r="H3" s="54"/>
      <c r="I3" s="54"/>
      <c r="J3" s="54"/>
      <c r="K3" s="54"/>
    </row>
    <row r="4" spans="1:13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</row>
    <row r="5" spans="1:13">
      <c r="A5" s="55" t="s">
        <v>20</v>
      </c>
      <c r="B5" s="55" t="s">
        <v>26</v>
      </c>
      <c r="C5" s="55">
        <v>2018</v>
      </c>
      <c r="D5" s="55">
        <v>2020</v>
      </c>
      <c r="E5" s="55">
        <v>2025</v>
      </c>
      <c r="F5" s="55">
        <v>2030</v>
      </c>
      <c r="G5" s="55">
        <v>2035</v>
      </c>
      <c r="H5" s="55">
        <v>2040</v>
      </c>
      <c r="I5" s="55">
        <v>2045</v>
      </c>
      <c r="J5" s="55">
        <v>2050</v>
      </c>
    </row>
    <row r="6" spans="1:13">
      <c r="A6" s="46" t="s">
        <v>284</v>
      </c>
      <c r="B6" s="46" t="s">
        <v>147</v>
      </c>
      <c r="C6" s="55">
        <v>100</v>
      </c>
      <c r="D6" s="55">
        <v>100</v>
      </c>
      <c r="E6" s="55">
        <v>100</v>
      </c>
      <c r="F6" s="55">
        <v>100</v>
      </c>
      <c r="G6" s="55">
        <v>100</v>
      </c>
      <c r="H6" s="55">
        <v>100</v>
      </c>
      <c r="I6" s="55">
        <v>100</v>
      </c>
      <c r="J6" s="55">
        <v>100</v>
      </c>
    </row>
    <row r="7" spans="1:13">
      <c r="A7" s="46" t="s">
        <v>284</v>
      </c>
      <c r="B7" s="46" t="s">
        <v>154</v>
      </c>
      <c r="C7" s="55">
        <v>100</v>
      </c>
      <c r="D7" s="55">
        <v>100</v>
      </c>
      <c r="E7" s="55">
        <v>100</v>
      </c>
      <c r="F7" s="55">
        <v>100</v>
      </c>
      <c r="G7" s="55">
        <v>100</v>
      </c>
      <c r="H7" s="55">
        <v>100</v>
      </c>
      <c r="I7" s="55">
        <v>100</v>
      </c>
      <c r="J7" s="55">
        <v>100</v>
      </c>
    </row>
    <row r="8" spans="1:13">
      <c r="A8" s="46" t="s">
        <v>284</v>
      </c>
      <c r="B8" s="46" t="s">
        <v>155</v>
      </c>
      <c r="C8" s="55">
        <v>100</v>
      </c>
      <c r="D8" s="55">
        <v>100</v>
      </c>
      <c r="E8" s="55">
        <v>100</v>
      </c>
      <c r="F8" s="55">
        <v>100</v>
      </c>
      <c r="G8" s="55">
        <v>100</v>
      </c>
      <c r="H8" s="55">
        <v>100</v>
      </c>
      <c r="I8" s="55">
        <v>100</v>
      </c>
      <c r="J8" s="55">
        <v>100</v>
      </c>
    </row>
    <row r="9" spans="1:13">
      <c r="A9" s="46" t="s">
        <v>284</v>
      </c>
      <c r="B9" s="46" t="s">
        <v>148</v>
      </c>
      <c r="C9" s="55">
        <v>100</v>
      </c>
      <c r="D9" s="55">
        <v>100</v>
      </c>
      <c r="E9" s="55">
        <v>100</v>
      </c>
      <c r="F9" s="55">
        <v>100</v>
      </c>
      <c r="G9" s="55">
        <v>100</v>
      </c>
      <c r="H9" s="55">
        <v>100</v>
      </c>
      <c r="I9" s="55">
        <v>100</v>
      </c>
      <c r="J9" s="55">
        <v>100</v>
      </c>
    </row>
    <row r="10" spans="1:13">
      <c r="A10" s="46" t="s">
        <v>284</v>
      </c>
      <c r="B10" s="46" t="s">
        <v>149</v>
      </c>
      <c r="C10" s="55">
        <v>100</v>
      </c>
      <c r="D10" s="55">
        <v>100</v>
      </c>
      <c r="E10" s="55">
        <v>100</v>
      </c>
      <c r="F10" s="55">
        <v>100</v>
      </c>
      <c r="G10" s="55">
        <v>100</v>
      </c>
      <c r="H10" s="55">
        <v>100</v>
      </c>
      <c r="I10" s="55">
        <v>100</v>
      </c>
      <c r="J10" s="55">
        <v>100</v>
      </c>
    </row>
    <row r="11" spans="1:13">
      <c r="A11" s="46" t="s">
        <v>284</v>
      </c>
      <c r="B11" s="46" t="s">
        <v>251</v>
      </c>
      <c r="C11" s="55">
        <v>100</v>
      </c>
      <c r="D11" s="55">
        <v>100</v>
      </c>
      <c r="E11" s="55">
        <v>100</v>
      </c>
      <c r="F11" s="55">
        <v>100</v>
      </c>
      <c r="G11" s="55">
        <v>100</v>
      </c>
      <c r="H11" s="55">
        <v>100</v>
      </c>
      <c r="I11" s="55">
        <v>100</v>
      </c>
      <c r="J11" s="55">
        <v>100</v>
      </c>
    </row>
    <row r="12" spans="1:13">
      <c r="A12" s="46" t="s">
        <v>284</v>
      </c>
      <c r="B12" s="46" t="s">
        <v>197</v>
      </c>
      <c r="C12" s="55">
        <v>100</v>
      </c>
      <c r="D12" s="55">
        <v>100</v>
      </c>
      <c r="E12" s="55">
        <v>100</v>
      </c>
      <c r="F12" s="55">
        <v>100</v>
      </c>
      <c r="G12" s="55">
        <v>100</v>
      </c>
      <c r="H12" s="55">
        <v>100</v>
      </c>
      <c r="I12" s="55">
        <v>100</v>
      </c>
      <c r="J12" s="55">
        <v>100</v>
      </c>
    </row>
    <row r="13" spans="1:13">
      <c r="A13" s="46" t="s">
        <v>284</v>
      </c>
      <c r="B13" s="46" t="s">
        <v>253</v>
      </c>
      <c r="C13" s="55">
        <v>100</v>
      </c>
      <c r="D13" s="55">
        <v>100</v>
      </c>
      <c r="E13" s="55">
        <v>100</v>
      </c>
      <c r="F13" s="55">
        <v>100</v>
      </c>
      <c r="G13" s="55">
        <v>100</v>
      </c>
      <c r="H13" s="55">
        <v>100</v>
      </c>
      <c r="I13" s="55">
        <v>100</v>
      </c>
      <c r="J13" s="55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0"/>
  <dimension ref="A1:R5"/>
  <sheetViews>
    <sheetView zoomScaleNormal="100" workbookViewId="0">
      <selection activeCell="A2" sqref="A2"/>
    </sheetView>
  </sheetViews>
  <sheetFormatPr defaultColWidth="9.140625" defaultRowHeight="15"/>
  <cols>
    <col min="1" max="2" width="9.140625" style="6"/>
    <col min="3" max="10" width="16.85546875" style="6" customWidth="1"/>
    <col min="11" max="16384" width="9.140625" style="6"/>
  </cols>
  <sheetData>
    <row r="1" spans="1:18">
      <c r="A1" s="7" t="s">
        <v>463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>
      <c r="A2" s="7" t="s">
        <v>462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>
      <c r="A3" s="7" t="s">
        <v>397</v>
      </c>
      <c r="B3" s="7"/>
      <c r="C3" s="7"/>
      <c r="D3" s="7"/>
      <c r="E3" s="7"/>
      <c r="F3" s="7"/>
      <c r="G3" s="7"/>
      <c r="H3" s="7"/>
      <c r="I3" s="7"/>
      <c r="J3" s="7"/>
    </row>
    <row r="5" spans="1:18">
      <c r="A5" s="6" t="s">
        <v>20</v>
      </c>
      <c r="B5" s="6" t="s">
        <v>33</v>
      </c>
      <c r="C5" s="6">
        <v>2018</v>
      </c>
      <c r="D5" s="6">
        <v>2020</v>
      </c>
      <c r="E5" s="6">
        <v>2025</v>
      </c>
      <c r="F5" s="6">
        <v>2030</v>
      </c>
      <c r="G5" s="6">
        <v>2035</v>
      </c>
      <c r="H5" s="6">
        <v>2040</v>
      </c>
      <c r="I5" s="6">
        <v>2045</v>
      </c>
      <c r="J5" s="6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1"/>
  <dimension ref="A1:R5"/>
  <sheetViews>
    <sheetView zoomScaleNormal="100" workbookViewId="0">
      <selection activeCell="K18" sqref="K18"/>
    </sheetView>
  </sheetViews>
  <sheetFormatPr defaultColWidth="9.140625" defaultRowHeight="15"/>
  <cols>
    <col min="1" max="16384" width="9.140625" style="6"/>
  </cols>
  <sheetData>
    <row r="1" spans="1:18">
      <c r="A1" s="7" t="s">
        <v>466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>
      <c r="A2" s="7" t="s">
        <v>465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>
      <c r="A3" s="7" t="s">
        <v>424</v>
      </c>
      <c r="B3" s="7"/>
      <c r="C3" s="7"/>
      <c r="D3" s="7"/>
      <c r="E3" s="7"/>
      <c r="F3" s="7"/>
      <c r="G3" s="7"/>
      <c r="H3" s="7"/>
      <c r="I3" s="7"/>
      <c r="J3" s="7"/>
      <c r="K3" s="7"/>
    </row>
    <row r="5" spans="1:18">
      <c r="A5" s="6" t="s">
        <v>464</v>
      </c>
      <c r="B5" s="6" t="s">
        <v>33</v>
      </c>
      <c r="C5" s="6">
        <v>2018</v>
      </c>
      <c r="D5" s="6">
        <v>2020</v>
      </c>
      <c r="E5" s="6">
        <v>2025</v>
      </c>
      <c r="F5" s="6">
        <v>2030</v>
      </c>
      <c r="G5" s="6">
        <v>2035</v>
      </c>
      <c r="H5" s="6">
        <v>2040</v>
      </c>
      <c r="I5" s="6">
        <v>2045</v>
      </c>
      <c r="J5" s="6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Sets</vt:lpstr>
      <vt:lpstr>Par_DaySplit</vt:lpstr>
      <vt:lpstr>Par_YearSplit</vt:lpstr>
      <vt:lpstr>Par_TagTechnologyToSector</vt:lpstr>
      <vt:lpstr>Par_CapacityToActivityUnit</vt:lpstr>
      <vt:lpstr>Par_Conversionls</vt:lpstr>
      <vt:lpstr>Par_Conversionld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Par_AnnualExogenousEmission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Par_EmissionContentPerFuel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Par_OperationalLife</vt:lpstr>
      <vt:lpstr>Par_TotalAnnualMinActivity</vt:lpstr>
      <vt:lpstr>Par_TotalAnnualMaxActivity</vt:lpstr>
      <vt:lpstr>Par_TotalAnnualMaxCapacity</vt:lpstr>
      <vt:lpstr>Par_ModelPeriodActivityMaxLimit</vt:lpstr>
      <vt:lpstr>Par_TotalAnnualMinCapacity</vt:lpstr>
      <vt:lpstr>Par_TagTechnologyToModalType</vt:lpstr>
      <vt:lpstr>Par_RegionalCCSLimit</vt:lpstr>
      <vt:lpstr>Par_RegionalBaseYearProduction</vt:lpstr>
      <vt:lpstr>Par_BaseYearProduction</vt:lpstr>
      <vt:lpstr>Par_ModalSplitByFuel</vt:lpstr>
      <vt:lpstr>Par_TechnologyToStorage</vt:lpstr>
      <vt:lpstr>Par_TechnologyFromStorage</vt:lpstr>
      <vt:lpstr>Par_StorageLevelStart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2022-06-20T09:32:40Z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