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 codeName="DieseArbeitsmappe" autoCompressPictures="0"/>
  <xr:revisionPtr revIDLastSave="0" documentId="13_ncr:1_{50C7D4E9-5DB0-458C-A18D-B4158E0802A3}" xr6:coauthVersionLast="47" xr6:coauthVersionMax="47" xr10:uidLastSave="{00000000-0000-0000-0000-000000000000}"/>
  <bookViews>
    <workbookView xWindow="-28920" yWindow="-120" windowWidth="29040" windowHeight="15840" tabRatio="804" firstSheet="25" activeTab="25" xr2:uid="{00000000-000D-0000-FFFF-FFFF00000000}"/>
  </bookViews>
  <sheets>
    <sheet name="Sets" sheetId="41" r:id="rId1"/>
    <sheet name="Par_TagTechnologyToSector" sheetId="85" r:id="rId2"/>
    <sheet name="Par_CapacityToActivityUnit" sheetId="43" r:id="rId3"/>
    <sheet name="Par_TradeRoute" sheetId="37" r:id="rId4"/>
    <sheet name="Par_TradeCosts" sheetId="47" r:id="rId5"/>
    <sheet name="Par_TradeCapacity" sheetId="64" r:id="rId6"/>
    <sheet name="Par_TradeCapacityGrowthCosts" sheetId="67" r:id="rId7"/>
    <sheet name="Par_GrowthRateTradeCapacity" sheetId="68" r:id="rId8"/>
    <sheet name="Par_AnnualExogenousEmission" sheetId="60" r:id="rId9"/>
    <sheet name="Par_AnnualEmissionLimit" sheetId="71" r:id="rId10"/>
    <sheet name="Par_AnnualSectoralEmissionLimit" sheetId="86" r:id="rId11"/>
    <sheet name="Par_RegionalAnnualEmissionLimit" sheetId="61" r:id="rId12"/>
    <sheet name="Par_EmissionActivityRatio" sheetId="22" r:id="rId13"/>
    <sheet name="Par_EmissionPenaltyTagTech" sheetId="70" r:id="rId14"/>
    <sheet name="Par_EmissionContentPerFuel" sheetId="69" r:id="rId15"/>
    <sheet name="Par_EmissionsPenalty" sheetId="48" r:id="rId16"/>
    <sheet name="Par_SpecifiedAnnualDemand" sheetId="31" r:id="rId17"/>
    <sheet name="Par_ReserveMargin" sheetId="59" r:id="rId18"/>
    <sheet name="Par_ReserveMarginTagFuel" sheetId="33" r:id="rId19"/>
    <sheet name="Par_ReserveMarginTagTechnology" sheetId="26" r:id="rId20"/>
    <sheet name="Par_InputActivityRatio" sheetId="17" r:id="rId21"/>
    <sheet name="Par_OutputActivityRatio" sheetId="18" r:id="rId22"/>
    <sheet name="Par_CapitalCost" sheetId="20" r:id="rId23"/>
    <sheet name="Par_VariableCost" sheetId="3" r:id="rId24"/>
    <sheet name="Par_FixedCost" sheetId="19" r:id="rId25"/>
    <sheet name="Par_ResidualCapacity" sheetId="21" r:id="rId26"/>
    <sheet name="Par_AvailabilityFactor" sheetId="4" r:id="rId27"/>
    <sheet name="Par_OperationalLife" sheetId="6" r:id="rId28"/>
    <sheet name="Par_TotalAnnualMinActivity" sheetId="40" r:id="rId29"/>
    <sheet name="Par_TotalAnnualMaxActivity" sheetId="39" r:id="rId30"/>
    <sheet name="Par_TotalAnnualMaxCapacity" sheetId="8" r:id="rId31"/>
    <sheet name="Par_ModelPeriodActivityMaxLimit" sheetId="63" r:id="rId32"/>
    <sheet name="Par_TotalAnnualMinCapacity" sheetId="27" r:id="rId33"/>
    <sheet name="Par_TagTechnologyToModalType" sheetId="65" r:id="rId34"/>
    <sheet name="Par_ModalSplitByFuel" sheetId="66" r:id="rId35"/>
    <sheet name="Par_RegionalCCSLimit" sheetId="89" r:id="rId36"/>
    <sheet name="Par_RegionalBaseYearProduction" sheetId="75" r:id="rId37"/>
    <sheet name="Par_BaseYearProduction" sheetId="74" r:id="rId38"/>
    <sheet name="Par_TechnologyToStorage" sheetId="49" r:id="rId39"/>
    <sheet name="Par_TechnologyFromStorage" sheetId="50" r:id="rId40"/>
    <sheet name="Par_StorageLevelStart" sheetId="51" r:id="rId41"/>
    <sheet name="Par_StorageMaxChargeRate" sheetId="52" r:id="rId42"/>
    <sheet name="Par_StorageMaxDischargeRate" sheetId="53" r:id="rId43"/>
    <sheet name="Par_MinStorageCharge" sheetId="54" r:id="rId44"/>
    <sheet name="Par_OperationalLifeStorage" sheetId="55" r:id="rId45"/>
    <sheet name="Par_CapitalCostStorage" sheetId="56" r:id="rId46"/>
    <sheet name="Par_ResidualStorageCapacity" sheetId="57" r:id="rId47"/>
    <sheet name="Par_TagDemandFuelToSector" sheetId="90" r:id="rId48"/>
    <sheet name="Par_TagElectricTechnology" sheetId="91" r:id="rId49"/>
    <sheet name="Par_RampingUpFactor" sheetId="97" r:id="rId50"/>
    <sheet name="Par_RampingDownFactor" sheetId="98" r:id="rId51"/>
    <sheet name="Par_ProductionChangeCost" sheetId="99" r:id="rId52"/>
  </sheets>
  <externalReferences>
    <externalReference r:id="rId53"/>
    <externalReference r:id="rId54"/>
    <externalReference r:id="rId55"/>
    <externalReference r:id="rId56"/>
  </externalReferences>
  <definedNames>
    <definedName name="_xlnm._FilterDatabase" localSheetId="22" hidden="1">Par_CapitalCost!$A$5:$J$5</definedName>
    <definedName name="_xlnm._FilterDatabase" localSheetId="45" hidden="1">Par_CapitalCostStorage!$A$5:$D$5</definedName>
    <definedName name="_xlnm._FilterDatabase" localSheetId="12" hidden="1">Par_EmissionActivityRatio!$A$5:$AF$58</definedName>
    <definedName name="_xlnm._FilterDatabase" localSheetId="13" hidden="1">Par_EmissionPenaltyTagTech!$A$5:$AE$5</definedName>
    <definedName name="_xlnm._FilterDatabase" localSheetId="24" hidden="1">Par_FixedCost!$A$5:$M$5</definedName>
    <definedName name="_xlnm._FilterDatabase" localSheetId="20" hidden="1">Par_InputActivityRatio!$A$5:$R$423</definedName>
    <definedName name="_xlnm._FilterDatabase" localSheetId="34" hidden="1">Par_ModalSplitByFuel!$A$5:$L$5</definedName>
    <definedName name="_xlnm._FilterDatabase" localSheetId="44" hidden="1">Par_OperationalLifeStorage!$A$5:$M$5</definedName>
    <definedName name="_xlnm._FilterDatabase" localSheetId="21" hidden="1">Par_OutputActivityRatio!$A$5:$S$571</definedName>
    <definedName name="_xlnm._FilterDatabase" localSheetId="51" hidden="1">Par_ProductionChangeCost!$A$5:$C$250</definedName>
    <definedName name="_xlnm._FilterDatabase" localSheetId="50" hidden="1">Par_RampingDownFactor!$A$5:$C$250</definedName>
    <definedName name="_xlnm._FilterDatabase" localSheetId="49" hidden="1">Par_RampingUpFactor!$A$5:$C$250</definedName>
    <definedName name="_xlnm._FilterDatabase" localSheetId="36" hidden="1">Par_RegionalBaseYearProduction!$A$5:$M$944</definedName>
    <definedName name="_xlnm._FilterDatabase" localSheetId="35" hidden="1">Par_RegionalCCSLimit!$A$5:$B$5</definedName>
    <definedName name="_xlnm._FilterDatabase" localSheetId="19" hidden="1">Par_ReserveMarginTagTechnology!$A$5:$J$19</definedName>
    <definedName name="_xlnm._FilterDatabase" localSheetId="25" hidden="1">Par_ResidualCapacity!$A$5:$J$1134</definedName>
    <definedName name="_xlnm._FilterDatabase" localSheetId="16" hidden="1">Par_SpecifiedAnnualDemand!$A$5:$BH$215</definedName>
    <definedName name="_xlnm._FilterDatabase" localSheetId="30" hidden="1">Par_TotalAnnualMaxCapacity!$A$5:$K$774</definedName>
    <definedName name="_xlnm._FilterDatabase" localSheetId="5" hidden="1">Par_TradeCapacity!$B$5:$I$34</definedName>
    <definedName name="_xlnm._FilterDatabase" localSheetId="3" hidden="1">Par_TradeRoute!$A$5:$AE$425</definedName>
    <definedName name="_xlnm._FilterDatabase" localSheetId="23" hidden="1">Par_VariableCost!$A$5:$K$200</definedName>
    <definedName name="_xlnm._FilterDatabase" localSheetId="0" hidden="1">Sets!$B$2:$B$579</definedName>
    <definedName name="Emissions" localSheetId="9">#REF!</definedName>
    <definedName name="Emissions" localSheetId="10">#REF!</definedName>
    <definedName name="Emissions" localSheetId="13">#REF!</definedName>
    <definedName name="Emissions" localSheetId="7">#REF!</definedName>
    <definedName name="Emissions" localSheetId="36">#REF!</definedName>
    <definedName name="Emissions" localSheetId="35">#REF!</definedName>
    <definedName name="Emissions" localSheetId="1">#REF!</definedName>
    <definedName name="Emissions" localSheetId="5">#REF!</definedName>
    <definedName name="Emissions" localSheetId="6">#REF!</definedName>
    <definedName name="Emissions">#REF!</definedName>
    <definedName name="Fuels" localSheetId="9">[1]Data!$C$2:$C$24</definedName>
    <definedName name="Fuels" localSheetId="8">[1]Data!$C$2:$C$24</definedName>
    <definedName name="Fuels" localSheetId="10">[1]Data!$C$2:$C$24</definedName>
    <definedName name="Fuels" localSheetId="13">#REF!</definedName>
    <definedName name="Fuels" localSheetId="7">[2]Data!$C$2:$C$24</definedName>
    <definedName name="Fuels" localSheetId="11">[1]Data!$C$2:$C$24</definedName>
    <definedName name="Fuels" localSheetId="36">#REF!</definedName>
    <definedName name="Fuels" localSheetId="35">#REF!</definedName>
    <definedName name="Fuels" localSheetId="17">[1]Data!$C$2:$C$24</definedName>
    <definedName name="Fuels" localSheetId="1">#REF!</definedName>
    <definedName name="Fuels" localSheetId="29">[3]Data!$C$2:$C$24</definedName>
    <definedName name="Fuels" localSheetId="28">[3]Data!$C$2:$C$24</definedName>
    <definedName name="Fuels" localSheetId="5">[2]Data!$C$2:$C$24</definedName>
    <definedName name="Fuels" localSheetId="6">[2]Data!$C$2:$C$24</definedName>
    <definedName name="Fuels">#REF!</definedName>
    <definedName name="Regions" localSheetId="9">[1]Data!$G$2:$G$11</definedName>
    <definedName name="Regions" localSheetId="8">[1]Data!$G$2:$G$11</definedName>
    <definedName name="Regions" localSheetId="10">[1]Data!$G$2:$G$11</definedName>
    <definedName name="Regions" localSheetId="13">#REF!</definedName>
    <definedName name="Regions" localSheetId="7">[2]Data!$G$2:$G$11</definedName>
    <definedName name="Regions" localSheetId="11">[1]Data!$G$2:$G$11</definedName>
    <definedName name="Regions" localSheetId="36">#REF!</definedName>
    <definedName name="Regions" localSheetId="35">#REF!</definedName>
    <definedName name="Regions" localSheetId="17">[1]Data!$G$2:$G$11</definedName>
    <definedName name="Regions" localSheetId="1">#REF!</definedName>
    <definedName name="Regions" localSheetId="29">[3]Data!$G$2:$G$11</definedName>
    <definedName name="Regions" localSheetId="28">[3]Data!$G$2:$G$11</definedName>
    <definedName name="Regions" localSheetId="5">[2]Data!$G$2:$G$11</definedName>
    <definedName name="Regions" localSheetId="6">[2]Data!$G$2:$G$11</definedName>
    <definedName name="Regions">#REF!</definedName>
    <definedName name="Storages" localSheetId="9">#REF!</definedName>
    <definedName name="Storages" localSheetId="10">#REF!</definedName>
    <definedName name="Storages" localSheetId="13">#REF!</definedName>
    <definedName name="Storages" localSheetId="7">#REF!</definedName>
    <definedName name="Storages" localSheetId="36">#REF!</definedName>
    <definedName name="Storages" localSheetId="35">#REF!</definedName>
    <definedName name="Storages" localSheetId="1">#REF!</definedName>
    <definedName name="Storages" localSheetId="5">#REF!</definedName>
    <definedName name="Storages" localSheetId="6">#REF!</definedName>
    <definedName name="Storages">#REF!</definedName>
    <definedName name="Technologies" localSheetId="9">#REF!:B</definedName>
    <definedName name="Technologies" localSheetId="10">#REF!:B</definedName>
    <definedName name="Technologies" localSheetId="13">#REF!:B</definedName>
    <definedName name="Technologies" localSheetId="7">[2]Data!#REF!:B</definedName>
    <definedName name="Technologies" localSheetId="34">[4]Data!$B$2:$B$83</definedName>
    <definedName name="Technologies" localSheetId="36">#REF!:B</definedName>
    <definedName name="Technologies" localSheetId="35">#REF!:B</definedName>
    <definedName name="Technologies" localSheetId="1">#REF!:B</definedName>
    <definedName name="Technologies" localSheetId="29">[3]Data!$B$2:$B$69</definedName>
    <definedName name="Technologies" localSheetId="28">[3]Data!$B$2:$B$69</definedName>
    <definedName name="Technologies" localSheetId="5">[2]Data!#REF!:B</definedName>
    <definedName name="Technologies" localSheetId="6">[2]Data!#REF!:B</definedName>
    <definedName name="Technologies">#REF!:B</definedName>
    <definedName name="Timeslices" localSheetId="9">#REF!</definedName>
    <definedName name="Timeslices" localSheetId="10">#REF!</definedName>
    <definedName name="Timeslices" localSheetId="13">#REF!</definedName>
    <definedName name="Timeslices" localSheetId="7">[2]Data!$E$2:$E$7</definedName>
    <definedName name="Timeslices" localSheetId="36">#REF!</definedName>
    <definedName name="Timeslices" localSheetId="35">#REF!</definedName>
    <definedName name="Timeslices" localSheetId="33">#REF!</definedName>
    <definedName name="Timeslices" localSheetId="1">#REF!</definedName>
    <definedName name="Timeslices" localSheetId="5">[2]Data!$E$2:$E$7</definedName>
    <definedName name="Timeslices" localSheetId="6">[2]Data!$E$2:$E$7</definedName>
    <definedName name="Timeslices">#REF!</definedName>
    <definedName name="Years" localSheetId="9">#REF!</definedName>
    <definedName name="Years" localSheetId="10">#REF!</definedName>
    <definedName name="Years" localSheetId="13">#REF!</definedName>
    <definedName name="Years" localSheetId="7">#REF!</definedName>
    <definedName name="Years" localSheetId="36">#REF!</definedName>
    <definedName name="Years" localSheetId="35">#REF!</definedName>
    <definedName name="Years" localSheetId="1">#REF!</definedName>
    <definedName name="Years" localSheetId="5">#REF!</definedName>
    <definedName name="Years" localSheetId="6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1" i="47" l="1"/>
  <c r="I61" i="47"/>
  <c r="H61" i="47"/>
  <c r="G61" i="47"/>
  <c r="F61" i="47"/>
  <c r="E61" i="47"/>
  <c r="D61" i="47"/>
  <c r="C61" i="47"/>
  <c r="J60" i="47"/>
  <c r="I60" i="47"/>
  <c r="H60" i="47"/>
  <c r="G60" i="47"/>
  <c r="F60" i="47"/>
  <c r="E60" i="47"/>
  <c r="D60" i="47"/>
  <c r="C60" i="47"/>
  <c r="J59" i="47"/>
  <c r="I59" i="47"/>
  <c r="H59" i="47"/>
  <c r="G59" i="47"/>
  <c r="F59" i="47"/>
  <c r="E59" i="47"/>
  <c r="D59" i="47"/>
  <c r="C59" i="47"/>
  <c r="J58" i="47"/>
  <c r="I58" i="47"/>
  <c r="H58" i="47"/>
  <c r="G58" i="47"/>
  <c r="F58" i="47"/>
  <c r="E58" i="47"/>
  <c r="D58" i="47"/>
  <c r="C58" i="47"/>
  <c r="J57" i="47"/>
  <c r="I57" i="47"/>
  <c r="H57" i="47"/>
  <c r="G57" i="47"/>
  <c r="F57" i="47"/>
  <c r="E57" i="47"/>
  <c r="D57" i="47"/>
  <c r="C57" i="47"/>
  <c r="J56" i="47"/>
  <c r="I56" i="47"/>
  <c r="H56" i="47"/>
  <c r="G56" i="47"/>
  <c r="F56" i="47"/>
  <c r="E56" i="47"/>
  <c r="D56" i="47"/>
  <c r="C56" i="47"/>
  <c r="J55" i="47"/>
  <c r="I55" i="47"/>
  <c r="H55" i="47"/>
  <c r="G55" i="47"/>
  <c r="F55" i="47"/>
  <c r="E55" i="47"/>
  <c r="D55" i="47"/>
  <c r="C55" i="47"/>
  <c r="J54" i="47"/>
  <c r="I54" i="47"/>
  <c r="H54" i="47"/>
  <c r="G54" i="47"/>
  <c r="F54" i="47"/>
  <c r="E54" i="47"/>
  <c r="D54" i="47"/>
  <c r="C54" i="47"/>
  <c r="J53" i="47"/>
  <c r="I53" i="47"/>
  <c r="H53" i="47"/>
  <c r="G53" i="47"/>
  <c r="F53" i="47"/>
  <c r="E53" i="47"/>
  <c r="D53" i="47"/>
  <c r="C53" i="47"/>
  <c r="J52" i="47"/>
  <c r="I52" i="47"/>
  <c r="H52" i="47"/>
  <c r="G52" i="47"/>
  <c r="F52" i="47"/>
  <c r="E52" i="47"/>
  <c r="D52" i="47"/>
  <c r="C52" i="47"/>
  <c r="J51" i="47"/>
  <c r="I51" i="47"/>
  <c r="H51" i="47"/>
  <c r="G51" i="47"/>
  <c r="F51" i="47"/>
  <c r="E51" i="47"/>
  <c r="D51" i="47"/>
  <c r="C51" i="47"/>
  <c r="J50" i="47"/>
  <c r="I50" i="47"/>
  <c r="H50" i="47"/>
  <c r="G50" i="47"/>
  <c r="F50" i="47"/>
  <c r="E50" i="47"/>
  <c r="D50" i="47"/>
  <c r="C50" i="47"/>
  <c r="J49" i="47"/>
  <c r="I49" i="47"/>
  <c r="H49" i="47"/>
  <c r="G49" i="47"/>
  <c r="F49" i="47"/>
  <c r="E49" i="47"/>
  <c r="D49" i="47"/>
  <c r="C49" i="47"/>
  <c r="J48" i="47"/>
  <c r="I48" i="47"/>
  <c r="H48" i="47"/>
  <c r="G48" i="47"/>
  <c r="F48" i="47"/>
  <c r="E48" i="47"/>
  <c r="D48" i="47"/>
  <c r="C48" i="47"/>
  <c r="J47" i="47"/>
  <c r="I47" i="47"/>
  <c r="H47" i="47"/>
  <c r="G47" i="47"/>
  <c r="F47" i="47"/>
  <c r="E47" i="47"/>
  <c r="D47" i="47"/>
  <c r="C47" i="47"/>
  <c r="J46" i="47"/>
  <c r="I46" i="47"/>
  <c r="H46" i="47"/>
  <c r="G46" i="47"/>
  <c r="F46" i="47"/>
  <c r="E46" i="47"/>
  <c r="D46" i="47"/>
  <c r="C46" i="47"/>
  <c r="J45" i="47"/>
  <c r="I45" i="47"/>
  <c r="H45" i="47"/>
  <c r="G45" i="47"/>
  <c r="F45" i="47"/>
  <c r="E45" i="47"/>
  <c r="D45" i="47"/>
  <c r="C45" i="47"/>
  <c r="J44" i="47"/>
  <c r="I44" i="47"/>
  <c r="H44" i="47"/>
  <c r="G44" i="47"/>
  <c r="F44" i="47"/>
  <c r="E44" i="47"/>
  <c r="D44" i="47"/>
  <c r="C44" i="47"/>
  <c r="J43" i="47"/>
  <c r="I43" i="47"/>
  <c r="H43" i="47"/>
  <c r="G43" i="47"/>
  <c r="F43" i="47"/>
  <c r="E43" i="47"/>
  <c r="D43" i="47"/>
  <c r="C43" i="47"/>
  <c r="J42" i="47"/>
  <c r="I42" i="47"/>
  <c r="H42" i="47"/>
  <c r="G42" i="47"/>
  <c r="F42" i="47"/>
  <c r="E42" i="47"/>
  <c r="D42" i="47"/>
  <c r="C42" i="47"/>
  <c r="J41" i="47"/>
  <c r="I41" i="47"/>
  <c r="H41" i="47"/>
  <c r="G41" i="47"/>
  <c r="F41" i="47"/>
  <c r="E41" i="47"/>
  <c r="D41" i="47"/>
  <c r="C41" i="47"/>
  <c r="J40" i="47"/>
  <c r="I40" i="47"/>
  <c r="H40" i="47"/>
  <c r="G40" i="47"/>
  <c r="F40" i="47"/>
  <c r="E40" i="47"/>
  <c r="D40" i="47"/>
  <c r="C40" i="47"/>
  <c r="J39" i="47"/>
  <c r="I39" i="47"/>
  <c r="H39" i="47"/>
  <c r="G39" i="47"/>
  <c r="F39" i="47"/>
  <c r="E39" i="47"/>
  <c r="D39" i="47"/>
  <c r="C39" i="47"/>
  <c r="J38" i="47"/>
  <c r="I38" i="47"/>
  <c r="H38" i="47"/>
  <c r="G38" i="47"/>
  <c r="F38" i="47"/>
  <c r="E38" i="47"/>
  <c r="D38" i="47"/>
  <c r="C38" i="47"/>
  <c r="J37" i="47"/>
  <c r="I37" i="47"/>
  <c r="H37" i="47"/>
  <c r="G37" i="47"/>
  <c r="F37" i="47"/>
  <c r="E37" i="47"/>
  <c r="D37" i="47"/>
  <c r="C37" i="47"/>
  <c r="J36" i="47"/>
  <c r="I36" i="47"/>
  <c r="H36" i="47"/>
  <c r="G36" i="47"/>
  <c r="F36" i="47"/>
  <c r="E36" i="47"/>
  <c r="D36" i="47"/>
  <c r="C36" i="47"/>
  <c r="J35" i="47"/>
  <c r="I35" i="47"/>
  <c r="H35" i="47"/>
  <c r="G35" i="47"/>
  <c r="F35" i="47"/>
  <c r="E35" i="47"/>
  <c r="D35" i="47"/>
  <c r="C35" i="47"/>
  <c r="J34" i="47"/>
  <c r="I34" i="47"/>
  <c r="H34" i="47"/>
  <c r="G34" i="47"/>
  <c r="F34" i="47"/>
  <c r="E34" i="47"/>
  <c r="D34" i="47"/>
  <c r="C34" i="47"/>
  <c r="J33" i="47"/>
  <c r="I33" i="47"/>
  <c r="H33" i="47"/>
  <c r="G33" i="47"/>
  <c r="F33" i="47"/>
  <c r="E33" i="47"/>
  <c r="D33" i="47"/>
  <c r="C33" i="47"/>
  <c r="J32" i="47"/>
  <c r="I32" i="47"/>
  <c r="H32" i="47"/>
  <c r="G32" i="47"/>
  <c r="F32" i="47"/>
  <c r="E32" i="47"/>
  <c r="D32" i="47"/>
  <c r="C32" i="47"/>
  <c r="J31" i="47"/>
  <c r="I31" i="47"/>
  <c r="H31" i="47"/>
  <c r="G31" i="47"/>
  <c r="F31" i="47"/>
  <c r="E31" i="47"/>
  <c r="D31" i="47"/>
  <c r="C31" i="47"/>
  <c r="J30" i="47"/>
  <c r="I30" i="47"/>
  <c r="H30" i="47"/>
  <c r="G30" i="47"/>
  <c r="F30" i="47"/>
  <c r="E30" i="47"/>
  <c r="D30" i="47"/>
  <c r="C30" i="47"/>
  <c r="J29" i="47"/>
  <c r="I29" i="47"/>
  <c r="H29" i="47"/>
  <c r="G29" i="47"/>
  <c r="F29" i="47"/>
  <c r="E29" i="47"/>
  <c r="D29" i="47"/>
  <c r="C29" i="47"/>
  <c r="J28" i="47"/>
  <c r="I28" i="47"/>
  <c r="H28" i="47"/>
  <c r="G28" i="47"/>
  <c r="F28" i="47"/>
  <c r="E28" i="47"/>
  <c r="D28" i="47"/>
  <c r="C28" i="47"/>
  <c r="J27" i="47"/>
  <c r="I27" i="47"/>
  <c r="H27" i="47"/>
  <c r="G27" i="47"/>
  <c r="F27" i="47"/>
  <c r="E27" i="47"/>
  <c r="D27" i="47"/>
  <c r="C27" i="47"/>
  <c r="J26" i="47"/>
  <c r="I26" i="47"/>
  <c r="H26" i="47"/>
  <c r="G26" i="47"/>
  <c r="F26" i="47"/>
  <c r="E26" i="47"/>
  <c r="D26" i="47"/>
  <c r="C26" i="47"/>
  <c r="J25" i="47"/>
  <c r="I25" i="47"/>
  <c r="H25" i="47"/>
  <c r="G25" i="47"/>
  <c r="F25" i="47"/>
  <c r="E25" i="47"/>
  <c r="D25" i="47"/>
  <c r="C25" i="47"/>
  <c r="J24" i="47"/>
  <c r="I24" i="47"/>
  <c r="H24" i="47"/>
  <c r="G24" i="47"/>
  <c r="F24" i="47"/>
  <c r="E24" i="47"/>
  <c r="D24" i="47"/>
  <c r="C24" i="47"/>
  <c r="J23" i="47"/>
  <c r="I23" i="47"/>
  <c r="H23" i="47"/>
  <c r="G23" i="47"/>
  <c r="F23" i="47"/>
  <c r="E23" i="47"/>
  <c r="D23" i="47"/>
  <c r="C23" i="47"/>
  <c r="J22" i="47"/>
  <c r="I22" i="47"/>
  <c r="H22" i="47"/>
  <c r="G22" i="47"/>
  <c r="F22" i="47"/>
  <c r="E22" i="47"/>
  <c r="D22" i="47"/>
  <c r="C22" i="47"/>
  <c r="J21" i="47"/>
  <c r="I21" i="47"/>
  <c r="H21" i="47"/>
  <c r="G21" i="47"/>
  <c r="F21" i="47"/>
  <c r="E21" i="47"/>
  <c r="D21" i="47"/>
  <c r="C21" i="47"/>
  <c r="J20" i="47"/>
  <c r="I20" i="47"/>
  <c r="H20" i="47"/>
  <c r="G20" i="47"/>
  <c r="F20" i="47"/>
  <c r="E20" i="47"/>
  <c r="D20" i="47"/>
  <c r="C20" i="47"/>
  <c r="J19" i="47"/>
  <c r="I19" i="47"/>
  <c r="H19" i="47"/>
  <c r="G19" i="47"/>
  <c r="F19" i="47"/>
  <c r="E19" i="47"/>
  <c r="D19" i="47"/>
  <c r="C19" i="47"/>
  <c r="J18" i="47"/>
  <c r="I18" i="47"/>
  <c r="H18" i="47"/>
  <c r="G18" i="47"/>
  <c r="F18" i="47"/>
  <c r="E18" i="47"/>
  <c r="D18" i="47"/>
  <c r="C18" i="47"/>
  <c r="J17" i="47"/>
  <c r="I17" i="47"/>
  <c r="H17" i="47"/>
  <c r="G17" i="47"/>
  <c r="F17" i="47"/>
  <c r="E17" i="47"/>
  <c r="D17" i="47"/>
  <c r="C17" i="47"/>
  <c r="J16" i="47"/>
  <c r="I16" i="47"/>
  <c r="H16" i="47"/>
  <c r="G16" i="47"/>
  <c r="F16" i="47"/>
  <c r="E16" i="47"/>
  <c r="D16" i="47"/>
  <c r="C16" i="47"/>
  <c r="J15" i="47"/>
  <c r="I15" i="47"/>
  <c r="H15" i="47"/>
  <c r="G15" i="47"/>
  <c r="F15" i="47"/>
  <c r="E15" i="47"/>
  <c r="D15" i="47"/>
  <c r="C15" i="47"/>
  <c r="J14" i="47"/>
  <c r="I14" i="47"/>
  <c r="H14" i="47"/>
  <c r="G14" i="47"/>
  <c r="F14" i="47"/>
  <c r="E14" i="47"/>
  <c r="D14" i="47"/>
  <c r="C14" i="47"/>
  <c r="K63" i="66"/>
  <c r="K64" i="66" s="1"/>
  <c r="K65" i="66" s="1"/>
  <c r="K66" i="66" s="1"/>
  <c r="J63" i="66"/>
  <c r="J64" i="66" s="1"/>
  <c r="J65" i="66" s="1"/>
  <c r="J66" i="66" s="1"/>
  <c r="I63" i="66"/>
  <c r="I64" i="66" s="1"/>
  <c r="I65" i="66" s="1"/>
  <c r="I66" i="66" s="1"/>
  <c r="H63" i="66"/>
  <c r="H64" i="66" s="1"/>
  <c r="H65" i="66" s="1"/>
  <c r="H66" i="66" s="1"/>
  <c r="G63" i="66"/>
  <c r="G64" i="66" s="1"/>
  <c r="G65" i="66" s="1"/>
  <c r="G66" i="66" s="1"/>
  <c r="G67" i="66" s="1"/>
  <c r="G68" i="66" s="1"/>
  <c r="G69" i="66" s="1"/>
  <c r="F63" i="66"/>
  <c r="F64" i="66" s="1"/>
  <c r="F65" i="66" s="1"/>
  <c r="F66" i="66" s="1"/>
  <c r="F67" i="66" s="1"/>
  <c r="F68" i="66" s="1"/>
  <c r="F69" i="66" s="1"/>
  <c r="E63" i="66"/>
  <c r="E64" i="66" s="1"/>
  <c r="E65" i="66" s="1"/>
  <c r="E66" i="66" s="1"/>
  <c r="E67" i="66" s="1"/>
  <c r="E68" i="66" s="1"/>
  <c r="E69" i="66" s="1"/>
  <c r="D63" i="66"/>
  <c r="L63" i="66" s="1"/>
  <c r="K55" i="66"/>
  <c r="K56" i="66" s="1"/>
  <c r="K57" i="66" s="1"/>
  <c r="K58" i="66" s="1"/>
  <c r="J55" i="66"/>
  <c r="J56" i="66" s="1"/>
  <c r="J57" i="66" s="1"/>
  <c r="J58" i="66" s="1"/>
  <c r="I55" i="66"/>
  <c r="I56" i="66" s="1"/>
  <c r="I57" i="66" s="1"/>
  <c r="I58" i="66" s="1"/>
  <c r="H55" i="66"/>
  <c r="H56" i="66" s="1"/>
  <c r="H57" i="66" s="1"/>
  <c r="H58" i="66" s="1"/>
  <c r="G55" i="66"/>
  <c r="G56" i="66" s="1"/>
  <c r="G57" i="66" s="1"/>
  <c r="G58" i="66" s="1"/>
  <c r="G59" i="66" s="1"/>
  <c r="G60" i="66" s="1"/>
  <c r="G61" i="66" s="1"/>
  <c r="F55" i="66"/>
  <c r="F56" i="66" s="1"/>
  <c r="F57" i="66" s="1"/>
  <c r="F58" i="66" s="1"/>
  <c r="F59" i="66" s="1"/>
  <c r="F60" i="66" s="1"/>
  <c r="F61" i="66" s="1"/>
  <c r="E55" i="66"/>
  <c r="E56" i="66" s="1"/>
  <c r="E57" i="66" s="1"/>
  <c r="E58" i="66" s="1"/>
  <c r="E59" i="66" s="1"/>
  <c r="E60" i="66" s="1"/>
  <c r="E61" i="66" s="1"/>
  <c r="D55" i="66"/>
  <c r="D56" i="66" s="1"/>
  <c r="K47" i="66"/>
  <c r="K48" i="66" s="1"/>
  <c r="K49" i="66" s="1"/>
  <c r="K50" i="66" s="1"/>
  <c r="J47" i="66"/>
  <c r="J48" i="66" s="1"/>
  <c r="J49" i="66" s="1"/>
  <c r="J50" i="66" s="1"/>
  <c r="I47" i="66"/>
  <c r="I48" i="66" s="1"/>
  <c r="I49" i="66" s="1"/>
  <c r="I50" i="66" s="1"/>
  <c r="H47" i="66"/>
  <c r="H48" i="66" s="1"/>
  <c r="H49" i="66" s="1"/>
  <c r="H50" i="66" s="1"/>
  <c r="G47" i="66"/>
  <c r="G48" i="66" s="1"/>
  <c r="G49" i="66" s="1"/>
  <c r="G50" i="66" s="1"/>
  <c r="G51" i="66" s="1"/>
  <c r="G52" i="66" s="1"/>
  <c r="G53" i="66" s="1"/>
  <c r="F47" i="66"/>
  <c r="F48" i="66" s="1"/>
  <c r="F49" i="66" s="1"/>
  <c r="F50" i="66" s="1"/>
  <c r="F51" i="66" s="1"/>
  <c r="F52" i="66" s="1"/>
  <c r="F53" i="66" s="1"/>
  <c r="E47" i="66"/>
  <c r="E48" i="66" s="1"/>
  <c r="E49" i="66" s="1"/>
  <c r="E50" i="66" s="1"/>
  <c r="E51" i="66" s="1"/>
  <c r="E52" i="66" s="1"/>
  <c r="E53" i="66" s="1"/>
  <c r="D47" i="66"/>
  <c r="D48" i="66" s="1"/>
  <c r="K39" i="66"/>
  <c r="K40" i="66" s="1"/>
  <c r="K41" i="66" s="1"/>
  <c r="K42" i="66" s="1"/>
  <c r="J39" i="66"/>
  <c r="J40" i="66" s="1"/>
  <c r="J41" i="66" s="1"/>
  <c r="J42" i="66" s="1"/>
  <c r="I39" i="66"/>
  <c r="I40" i="66" s="1"/>
  <c r="I41" i="66" s="1"/>
  <c r="I42" i="66" s="1"/>
  <c r="H39" i="66"/>
  <c r="H40" i="66" s="1"/>
  <c r="H41" i="66" s="1"/>
  <c r="H42" i="66" s="1"/>
  <c r="G39" i="66"/>
  <c r="G40" i="66" s="1"/>
  <c r="G41" i="66" s="1"/>
  <c r="G42" i="66" s="1"/>
  <c r="G43" i="66" s="1"/>
  <c r="G44" i="66" s="1"/>
  <c r="G45" i="66" s="1"/>
  <c r="F39" i="66"/>
  <c r="F40" i="66" s="1"/>
  <c r="F41" i="66" s="1"/>
  <c r="F42" i="66" s="1"/>
  <c r="F43" i="66" s="1"/>
  <c r="F44" i="66" s="1"/>
  <c r="F45" i="66" s="1"/>
  <c r="E39" i="66"/>
  <c r="E40" i="66" s="1"/>
  <c r="E41" i="66" s="1"/>
  <c r="E42" i="66" s="1"/>
  <c r="E43" i="66" s="1"/>
  <c r="E44" i="66" s="1"/>
  <c r="E45" i="66" s="1"/>
  <c r="D39" i="66"/>
  <c r="D40" i="66" s="1"/>
  <c r="K31" i="66"/>
  <c r="K32" i="66" s="1"/>
  <c r="K33" i="66" s="1"/>
  <c r="K34" i="66" s="1"/>
  <c r="J31" i="66"/>
  <c r="J32" i="66" s="1"/>
  <c r="J33" i="66" s="1"/>
  <c r="J34" i="66" s="1"/>
  <c r="I31" i="66"/>
  <c r="I32" i="66" s="1"/>
  <c r="I33" i="66" s="1"/>
  <c r="I34" i="66" s="1"/>
  <c r="H31" i="66"/>
  <c r="H32" i="66" s="1"/>
  <c r="H33" i="66" s="1"/>
  <c r="H34" i="66" s="1"/>
  <c r="G31" i="66"/>
  <c r="G32" i="66" s="1"/>
  <c r="G33" i="66" s="1"/>
  <c r="G34" i="66" s="1"/>
  <c r="G35" i="66" s="1"/>
  <c r="G36" i="66" s="1"/>
  <c r="G37" i="66" s="1"/>
  <c r="F31" i="66"/>
  <c r="F32" i="66" s="1"/>
  <c r="F33" i="66" s="1"/>
  <c r="F34" i="66" s="1"/>
  <c r="F35" i="66" s="1"/>
  <c r="F36" i="66" s="1"/>
  <c r="F37" i="66" s="1"/>
  <c r="E31" i="66"/>
  <c r="E32" i="66" s="1"/>
  <c r="E33" i="66" s="1"/>
  <c r="E34" i="66" s="1"/>
  <c r="E35" i="66" s="1"/>
  <c r="E36" i="66" s="1"/>
  <c r="E37" i="66" s="1"/>
  <c r="D31" i="66"/>
  <c r="D32" i="66" s="1"/>
  <c r="K23" i="66"/>
  <c r="K24" i="66" s="1"/>
  <c r="K25" i="66" s="1"/>
  <c r="K26" i="66" s="1"/>
  <c r="J23" i="66"/>
  <c r="J24" i="66" s="1"/>
  <c r="J25" i="66" s="1"/>
  <c r="J26" i="66" s="1"/>
  <c r="I23" i="66"/>
  <c r="I24" i="66" s="1"/>
  <c r="I25" i="66" s="1"/>
  <c r="I26" i="66" s="1"/>
  <c r="H23" i="66"/>
  <c r="H24" i="66" s="1"/>
  <c r="H25" i="66" s="1"/>
  <c r="H26" i="66" s="1"/>
  <c r="G23" i="66"/>
  <c r="G24" i="66" s="1"/>
  <c r="G25" i="66" s="1"/>
  <c r="G26" i="66" s="1"/>
  <c r="G27" i="66" s="1"/>
  <c r="G28" i="66" s="1"/>
  <c r="G29" i="66" s="1"/>
  <c r="F23" i="66"/>
  <c r="F24" i="66" s="1"/>
  <c r="F25" i="66" s="1"/>
  <c r="F26" i="66" s="1"/>
  <c r="F27" i="66" s="1"/>
  <c r="F28" i="66" s="1"/>
  <c r="F29" i="66" s="1"/>
  <c r="E23" i="66"/>
  <c r="E24" i="66" s="1"/>
  <c r="E25" i="66" s="1"/>
  <c r="E26" i="66" s="1"/>
  <c r="E27" i="66" s="1"/>
  <c r="E28" i="66" s="1"/>
  <c r="E29" i="66" s="1"/>
  <c r="D23" i="66"/>
  <c r="L23" i="66" s="1"/>
  <c r="G16" i="66"/>
  <c r="G17" i="66" s="1"/>
  <c r="G18" i="66" s="1"/>
  <c r="G19" i="66" s="1"/>
  <c r="G20" i="66" s="1"/>
  <c r="G21" i="66" s="1"/>
  <c r="K15" i="66"/>
  <c r="K16" i="66" s="1"/>
  <c r="K17" i="66" s="1"/>
  <c r="K18" i="66" s="1"/>
  <c r="J15" i="66"/>
  <c r="J16" i="66" s="1"/>
  <c r="J17" i="66" s="1"/>
  <c r="J18" i="66" s="1"/>
  <c r="I15" i="66"/>
  <c r="I16" i="66" s="1"/>
  <c r="I17" i="66" s="1"/>
  <c r="I18" i="66" s="1"/>
  <c r="H15" i="66"/>
  <c r="H16" i="66" s="1"/>
  <c r="H17" i="66" s="1"/>
  <c r="H18" i="66" s="1"/>
  <c r="G15" i="66"/>
  <c r="F15" i="66"/>
  <c r="F16" i="66" s="1"/>
  <c r="F17" i="66" s="1"/>
  <c r="F18" i="66" s="1"/>
  <c r="F19" i="66" s="1"/>
  <c r="F20" i="66" s="1"/>
  <c r="F21" i="66" s="1"/>
  <c r="E15" i="66"/>
  <c r="E16" i="66" s="1"/>
  <c r="E17" i="66" s="1"/>
  <c r="E18" i="66" s="1"/>
  <c r="E19" i="66" s="1"/>
  <c r="E20" i="66" s="1"/>
  <c r="E21" i="66" s="1"/>
  <c r="D15" i="66"/>
  <c r="L15" i="66" s="1"/>
  <c r="L7" i="66"/>
  <c r="L8" i="66"/>
  <c r="L9" i="66"/>
  <c r="L10" i="66"/>
  <c r="K10" i="66"/>
  <c r="I10" i="66"/>
  <c r="J10" i="66"/>
  <c r="H10" i="66"/>
  <c r="F8" i="66"/>
  <c r="G7" i="66"/>
  <c r="G8" i="66" s="1"/>
  <c r="G9" i="66" s="1"/>
  <c r="G10" i="66" s="1"/>
  <c r="G11" i="66" s="1"/>
  <c r="G12" i="66" s="1"/>
  <c r="G13" i="66" s="1"/>
  <c r="D11" i="66"/>
  <c r="D10" i="66"/>
  <c r="D9" i="66"/>
  <c r="D8" i="66"/>
  <c r="E13" i="66"/>
  <c r="F13" i="66"/>
  <c r="E12" i="66"/>
  <c r="F12" i="66"/>
  <c r="E11" i="66"/>
  <c r="F11" i="66"/>
  <c r="E10" i="66"/>
  <c r="F10" i="66"/>
  <c r="E9" i="66"/>
  <c r="F9" i="66"/>
  <c r="H9" i="66"/>
  <c r="I9" i="66"/>
  <c r="J9" i="66"/>
  <c r="K9" i="66"/>
  <c r="E8" i="66"/>
  <c r="H8" i="66"/>
  <c r="I8" i="66"/>
  <c r="J8" i="66"/>
  <c r="K8" i="66"/>
  <c r="E7" i="66"/>
  <c r="F7" i="66"/>
  <c r="H7" i="66"/>
  <c r="I7" i="66"/>
  <c r="J7" i="66"/>
  <c r="K7" i="66"/>
  <c r="D7" i="66"/>
  <c r="D64" i="66" l="1"/>
  <c r="D57" i="66"/>
  <c r="L56" i="66"/>
  <c r="L55" i="66"/>
  <c r="D49" i="66"/>
  <c r="L48" i="66"/>
  <c r="L47" i="66"/>
  <c r="D41" i="66"/>
  <c r="L40" i="66"/>
  <c r="L39" i="66"/>
  <c r="L32" i="66"/>
  <c r="D33" i="66"/>
  <c r="L31" i="66"/>
  <c r="D24" i="66"/>
  <c r="D16" i="66"/>
  <c r="D12" i="66"/>
  <c r="D13" i="66" s="1"/>
  <c r="D65" i="66" l="1"/>
  <c r="L64" i="66"/>
  <c r="D58" i="66"/>
  <c r="L57" i="66"/>
  <c r="D50" i="66"/>
  <c r="L49" i="66"/>
  <c r="L41" i="66"/>
  <c r="D42" i="66"/>
  <c r="D34" i="66"/>
  <c r="L33" i="66"/>
  <c r="D25" i="66"/>
  <c r="L24" i="66"/>
  <c r="D17" i="66"/>
  <c r="L16" i="66"/>
  <c r="L65" i="66" l="1"/>
  <c r="D66" i="66"/>
  <c r="D59" i="66"/>
  <c r="D60" i="66" s="1"/>
  <c r="D61" i="66" s="1"/>
  <c r="L58" i="66"/>
  <c r="D51" i="66"/>
  <c r="D52" i="66" s="1"/>
  <c r="D53" i="66" s="1"/>
  <c r="L50" i="66"/>
  <c r="D43" i="66"/>
  <c r="D44" i="66" s="1"/>
  <c r="D45" i="66" s="1"/>
  <c r="L42" i="66"/>
  <c r="D35" i="66"/>
  <c r="D36" i="66" s="1"/>
  <c r="D37" i="66" s="1"/>
  <c r="L34" i="66"/>
  <c r="L25" i="66"/>
  <c r="D26" i="66"/>
  <c r="L17" i="66"/>
  <c r="D18" i="66"/>
  <c r="D67" i="66" l="1"/>
  <c r="D68" i="66" s="1"/>
  <c r="D69" i="66" s="1"/>
  <c r="L66" i="66"/>
  <c r="L26" i="66"/>
  <c r="D27" i="66"/>
  <c r="D28" i="66" s="1"/>
  <c r="D29" i="66" s="1"/>
  <c r="D19" i="66"/>
  <c r="D20" i="66" s="1"/>
  <c r="D21" i="66" s="1"/>
  <c r="L18" i="66"/>
  <c r="V394" i="8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  <c r="G33" i="21"/>
  <c r="F33" i="21"/>
  <c r="E33" i="21"/>
  <c r="G32" i="21"/>
  <c r="F32" i="21"/>
  <c r="E32" i="21"/>
  <c r="G31" i="21"/>
  <c r="F31" i="21"/>
  <c r="E31" i="21"/>
  <c r="G30" i="21"/>
  <c r="F30" i="21"/>
  <c r="E30" i="21"/>
  <c r="G29" i="21"/>
  <c r="F29" i="21"/>
  <c r="E29" i="21"/>
  <c r="G28" i="21"/>
  <c r="F28" i="21"/>
  <c r="E28" i="21"/>
  <c r="G27" i="21"/>
  <c r="F27" i="21"/>
  <c r="E27" i="21"/>
  <c r="G26" i="21"/>
  <c r="F26" i="21"/>
  <c r="E26" i="21"/>
  <c r="G25" i="21"/>
  <c r="F25" i="21"/>
  <c r="E25" i="21"/>
  <c r="G24" i="21"/>
  <c r="F24" i="21"/>
  <c r="E24" i="21"/>
  <c r="G23" i="21"/>
  <c r="F23" i="21"/>
  <c r="E23" i="21"/>
  <c r="G22" i="21"/>
  <c r="F22" i="21"/>
  <c r="E22" i="21"/>
  <c r="G21" i="21"/>
  <c r="F21" i="21"/>
  <c r="E21" i="21"/>
  <c r="G20" i="21"/>
  <c r="F20" i="21"/>
  <c r="E20" i="21"/>
  <c r="G19" i="21"/>
  <c r="F19" i="21"/>
  <c r="E19" i="21"/>
  <c r="G18" i="21"/>
  <c r="F18" i="21"/>
  <c r="E18" i="21"/>
  <c r="G17" i="21"/>
  <c r="F17" i="21"/>
  <c r="E17" i="21"/>
  <c r="G16" i="21"/>
  <c r="F16" i="21"/>
  <c r="E16" i="21"/>
  <c r="G15" i="21"/>
  <c r="F15" i="21"/>
  <c r="E15" i="21"/>
  <c r="G14" i="21"/>
  <c r="F14" i="21"/>
  <c r="E14" i="21"/>
  <c r="G13" i="21"/>
  <c r="F13" i="21"/>
  <c r="E13" i="21"/>
  <c r="G12" i="21"/>
  <c r="F12" i="21"/>
  <c r="E12" i="21"/>
  <c r="G11" i="21"/>
  <c r="F11" i="21"/>
  <c r="E11" i="21"/>
  <c r="G10" i="21"/>
  <c r="F10" i="21"/>
  <c r="E10" i="21"/>
  <c r="G9" i="21"/>
  <c r="F9" i="21"/>
  <c r="E9" i="21"/>
  <c r="G8" i="21"/>
  <c r="F8" i="21"/>
  <c r="E8" i="21"/>
  <c r="G7" i="21"/>
  <c r="F7" i="21"/>
  <c r="E7" i="21"/>
  <c r="C7" i="21"/>
  <c r="G6" i="21"/>
  <c r="F6" i="21"/>
  <c r="E6" i="21"/>
  <c r="C6" i="21"/>
  <c r="C8" i="69" l="1"/>
  <c r="C7" i="69"/>
  <c r="C11" i="69" s="1"/>
  <c r="C6" i="69"/>
  <c r="C5" i="6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tc={2B205071-3E3A-4C92-BBFA-E0C9332F396E}</author>
    <author>tc={C9C71A69-3BAD-4600-9A12-35CB1C830725}</author>
    <author>tc={2EA11229-B50B-46FE-A492-1BF1FE0E3BD8}</author>
    <author>tc={6FBCE4C5-4472-4146-85C5-7B3B4BFA0A27}</author>
  </authors>
  <commentList>
    <comment ref="B17" authorId="0" shapeId="0" xr:uid="{2B205071-3E3A-4C92-BBFA-E0C9332F396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22" authorId="1" shapeId="0" xr:uid="{C9C71A69-3BAD-4600-9A12-35CB1C830725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26" authorId="2" shapeId="0" xr:uid="{2EA11229-B50B-46FE-A492-1BF1FE0E3BD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31" authorId="3" shapeId="0" xr:uid="{6FBCE4C5-4472-4146-85C5-7B3B4BFA0A27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</text>
    </comment>
  </commentList>
</comments>
</file>

<file path=xl/sharedStrings.xml><?xml version="1.0" encoding="utf-8"?>
<sst xmlns="http://schemas.openxmlformats.org/spreadsheetml/2006/main" count="10360" uniqueCount="501">
  <si>
    <t>CO2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</si>
  <si>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</si>
  <si>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</si>
  <si>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</si>
  <si>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</si>
  <si>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</si>
  <si>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</si>
  <si>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</si>
  <si>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</si>
  <si>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</si>
  <si>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</si>
  <si>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</si>
  <si>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</si>
  <si>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</si>
  <si>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</si>
  <si>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</si>
  <si>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</si>
  <si>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</si>
  <si>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</si>
  <si>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</si>
  <si>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</si>
  <si>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</si>
  <si>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</si>
  <si>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</si>
  <si>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</si>
  <si>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</si>
  <si>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</si>
  <si>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</si>
  <si>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</si>
  <si>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</si>
  <si>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</si>
  <si>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</si>
  <si>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</si>
  <si>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</si>
  <si>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</si>
  <si>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</si>
  <si>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</si>
  <si>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</si>
  <si>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</si>
  <si>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MT_FRT_SHIP_RE</t>
  </si>
  <si>
    <t>MT_PSNG_ROAD_CONV</t>
  </si>
  <si>
    <t>MT_PSNG_RAIL_CONV</t>
  </si>
  <si>
    <t>MT_PSNG_AIR_CONV</t>
  </si>
  <si>
    <t>MT_FRT_ROAD_CONV</t>
  </si>
  <si>
    <t>MT_FRT_RAIL_CONV</t>
  </si>
  <si>
    <t>MT_FRT_SHIP_CONV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</si>
  <si>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</si>
  <si>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</si>
  <si>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</si>
  <si>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</si>
  <si>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FRT_Ship_Conv</t>
  </si>
  <si>
    <t>FRT_Ship_Bio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</si>
  <si>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</si>
  <si>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</si>
  <si>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</si>
  <si>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</si>
  <si>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</si>
  <si>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</si>
  <si>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</si>
  <si>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</si>
  <si>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</si>
  <si>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</si>
  <si>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</si>
  <si>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</si>
  <si>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</si>
  <si>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</si>
  <si>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</si>
  <si>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</si>
  <si>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</si>
  <si>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</si>
  <si>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</si>
  <si>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</si>
  <si>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</si>
  <si>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</si>
  <si>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</si>
  <si>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</si>
  <si>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</si>
  <si>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</si>
  <si>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</si>
  <si>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</si>
  <si>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</si>
  <si>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</si>
  <si>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</si>
  <si>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</si>
  <si>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</si>
  <si>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</si>
  <si>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</si>
  <si>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</si>
  <si>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</si>
  <si>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</si>
  <si>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</si>
  <si>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</si>
  <si>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</si>
  <si>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</si>
  <si>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</si>
  <si>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</si>
  <si>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</si>
  <si>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</si>
  <si>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</si>
  <si>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</si>
  <si>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</si>
  <si>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</si>
  <si>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</si>
  <si>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</si>
  <si>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</si>
  <si>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</si>
  <si>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</si>
  <si>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</si>
  <si>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</si>
  <si>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</si>
  <si>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</si>
  <si>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</si>
  <si>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</si>
  <si>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</si>
  <si>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</si>
  <si>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</si>
  <si>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</si>
  <si>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</si>
  <si>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</si>
  <si>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</si>
  <si>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</si>
  <si>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</si>
  <si>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</si>
  <si>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FRT_Ship_H2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</si>
  <si>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</si>
  <si>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</si>
  <si>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</si>
  <si>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</si>
  <si>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</si>
  <si>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</si>
  <si>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</si>
  <si>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</si>
  <si>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</si>
  <si>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</si>
  <si>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</si>
  <si>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</si>
  <si>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</si>
  <si>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</si>
  <si>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</si>
  <si>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</si>
  <si>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</si>
  <si>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</si>
  <si>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</si>
  <si>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</si>
  <si>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</si>
  <si>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</si>
  <si>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</si>
  <si>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</si>
  <si>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</si>
  <si>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</si>
  <si>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</si>
  <si>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</si>
  <si>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</si>
  <si>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</si>
  <si>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</si>
  <si>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</si>
  <si>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</si>
  <si>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</si>
  <si>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</si>
  <si>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</si>
  <si>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</si>
  <si>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</si>
  <si>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</si>
  <si>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</si>
  <si>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</si>
  <si>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</si>
  <si>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</si>
  <si>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</si>
  <si>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</si>
  <si>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</si>
  <si>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</si>
  <si>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</si>
  <si>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</si>
  <si>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</si>
  <si>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</si>
  <si>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</si>
  <si>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</si>
  <si>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</si>
  <si>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</si>
  <si>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</si>
  <si>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</si>
  <si>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</si>
  <si>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</si>
  <si>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</si>
  <si>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</si>
  <si>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</si>
  <si>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</si>
  <si>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</si>
  <si>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</si>
  <si>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</si>
  <si>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</si>
  <si>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</si>
  <si>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</si>
  <si>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</si>
  <si>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</si>
  <si>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</si>
  <si>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</si>
  <si>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</si>
  <si>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</si>
  <si>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</si>
  <si>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</si>
  <si>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</si>
  <si>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</si>
  <si>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</si>
  <si>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</si>
  <si>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</si>
  <si>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</si>
  <si>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</si>
  <si>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</si>
  <si>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</si>
  <si>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</si>
  <si>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</si>
  <si>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</si>
  <si>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</si>
  <si>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</si>
  <si>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</si>
  <si>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</si>
  <si>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</si>
  <si>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</si>
  <si>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</si>
  <si>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</si>
  <si>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</si>
  <si>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</si>
  <si>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</si>
  <si>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</si>
  <si>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</si>
  <si>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</si>
  <si>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</si>
  <si>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</si>
  <si>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</si>
  <si>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</si>
  <si>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</si>
  <si>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</si>
  <si>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</si>
  <si>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</si>
  <si>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</si>
  <si>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</si>
  <si>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</si>
  <si>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</si>
  <si>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</si>
  <si>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</si>
  <si>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</si>
  <si>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</si>
  <si>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</si>
  <si>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</si>
  <si>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</si>
  <si>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</si>
  <si>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</si>
  <si>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</si>
  <si>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</si>
  <si>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</si>
  <si>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</si>
  <si>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</si>
  <si>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</si>
  <si>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</si>
  <si>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</si>
  <si>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</si>
  <si>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</si>
  <si>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</si>
  <si>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</si>
  <si>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FR</t>
  </si>
  <si>
    <t>NO</t>
  </si>
  <si>
    <t>PL</t>
  </si>
  <si>
    <t>SE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</si>
  <si>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</si>
  <si>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</si>
  <si>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</si>
  <si>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</si>
  <si>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</si>
  <si>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</si>
  <si>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</si>
  <si>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</si>
  <si>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</si>
  <si>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</si>
  <si>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</si>
  <si>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</si>
  <si>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</si>
  <si>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</si>
  <si>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</si>
  <si>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</si>
  <si>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</si>
  <si>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</si>
  <si>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</si>
  <si>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</si>
  <si>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</si>
  <si>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</si>
  <si>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</si>
  <si>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</si>
  <si>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</si>
  <si>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</si>
  <si>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</si>
  <si>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</si>
  <si>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</si>
  <si>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</si>
  <si>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</si>
  <si>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</si>
  <si>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</si>
  <si>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</si>
  <si>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FRT_Ship_LNG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</si>
  <si>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</si>
  <si>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</si>
  <si>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</si>
  <si>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</si>
  <si>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</si>
  <si>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</si>
  <si>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</si>
  <si>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</si>
  <si>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P_oil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</si>
  <si>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</si>
  <si>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</si>
  <si>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</si>
  <si>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</si>
  <si>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</si>
  <si>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</si>
  <si>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</si>
  <si>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</si>
  <si>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</si>
  <si>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</si>
  <si>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</si>
  <si>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</si>
  <si>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</si>
  <si>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</si>
  <si>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</si>
  <si>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</si>
  <si>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</si>
  <si>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</si>
  <si>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</si>
  <si>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</si>
  <si>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</si>
  <si>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</si>
  <si>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</si>
  <si>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</si>
  <si>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</si>
  <si>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</si>
  <si>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</si>
  <si>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</si>
  <si>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</si>
  <si>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</si>
  <si>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</si>
  <si>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</si>
  <si>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</si>
  <si>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</si>
  <si>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</si>
  <si>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</si>
  <si>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</si>
  <si>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</si>
  <si>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</si>
  <si>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</si>
  <si>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</si>
  <si>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</si>
  <si>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</si>
  <si>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</si>
  <si>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</si>
  <si>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</si>
  <si>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</si>
  <si>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</si>
  <si>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</si>
  <si>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</si>
  <si>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</si>
  <si>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</si>
  <si>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</si>
  <si>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</si>
  <si>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</si>
  <si>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</si>
  <si>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</si>
  <si>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</si>
  <si>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</si>
  <si>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</si>
  <si>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</si>
  <si>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</si>
  <si>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</si>
  <si>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</si>
  <si>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</si>
  <si>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</si>
  <si>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</si>
  <si>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</si>
  <si>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</si>
  <si>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</si>
  <si>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</si>
  <si>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</si>
  <si>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</si>
  <si>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</si>
  <si>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</si>
  <si>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</si>
  <si>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</si>
  <si>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</si>
  <si>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</si>
  <si>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</si>
  <si>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</si>
  <si>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</si>
  <si>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</si>
  <si>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</si>
  <si>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</si>
  <si>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</si>
  <si>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</si>
  <si>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</si>
  <si>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</si>
  <si>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</si>
  <si>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</si>
  <si>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</si>
  <si>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</si>
  <si>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</si>
  <si>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</si>
  <si>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</si>
  <si>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</si>
  <si>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</si>
  <si>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</si>
  <si>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</si>
  <si>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</si>
  <si>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</si>
  <si>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</si>
  <si>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</si>
  <si>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</si>
  <si>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</si>
  <si>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</si>
  <si>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</si>
  <si>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</si>
  <si>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</si>
  <si>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</si>
  <si>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</si>
  <si>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</si>
  <si>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</si>
  <si>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</si>
  <si>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</si>
  <si>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</si>
  <si>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</si>
  <si>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</si>
  <si>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</si>
  <si>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</si>
  <si>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</si>
  <si>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</si>
  <si>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</si>
  <si>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</si>
  <si>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</si>
  <si>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</si>
  <si>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</si>
  <si>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</si>
  <si>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</si>
  <si>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</si>
  <si>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</si>
  <si>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</si>
  <si>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</si>
  <si>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</si>
  <si>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</si>
  <si>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</si>
  <si>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Kevin</t>
  </si>
  <si>
    <t>marginal costs</t>
  </si>
  <si>
    <t>assumption</t>
  </si>
  <si>
    <t xml:space="preserve">annahme 3,5% capex nach </t>
  </si>
  <si>
    <t>JRC-TIMES</t>
  </si>
  <si>
    <t>*+1 year</t>
  </si>
  <si>
    <t>old data</t>
  </si>
  <si>
    <t>same as other chps</t>
  </si>
  <si>
    <t>Res_pv_utility_tracking</t>
  </si>
  <si>
    <t>EWI</t>
  </si>
  <si>
    <t>EUROSTAT</t>
  </si>
  <si>
    <t>Unit: GW for Power; PJ for Gas</t>
  </si>
  <si>
    <t>RES_PV_Utility_Tracking</t>
  </si>
  <si>
    <t>World</t>
  </si>
  <si>
    <t>*P_Nuclear</t>
  </si>
  <si>
    <t>D_Heat</t>
  </si>
  <si>
    <t>HLT_Rooftop</t>
  </si>
  <si>
    <t>CCS_Biomass</t>
  </si>
  <si>
    <t>A_Rooftop</t>
  </si>
  <si>
    <t>Z_Import_Electricity</t>
  </si>
  <si>
    <t>TagDemandFuelToSector{f in FUEL, se in SECTOR}</t>
  </si>
  <si>
    <t>Assigns final demand fuels to the different sectors.</t>
  </si>
  <si>
    <t>TagElectricTechnology(TECHNOLOGY) indicates if a technology is considered to be "direct electrification"</t>
  </si>
  <si>
    <t>Tag [1/0]</t>
  </si>
  <si>
    <t>Ramping up factor</t>
  </si>
  <si>
    <t xml:space="preserve">Unit: </t>
  </si>
  <si>
    <t>Ramping down factor</t>
  </si>
  <si>
    <t>Production change cost</t>
  </si>
  <si>
    <t>calc: 200/3.6</t>
  </si>
  <si>
    <t>calc: 100/3.6</t>
  </si>
  <si>
    <t>calc: 50/3.6</t>
  </si>
  <si>
    <t>calc: 20/3.6</t>
  </si>
  <si>
    <t>RampingUpFactor{t in TECHNOLOGY, y in YEAR}</t>
  </si>
  <si>
    <t>RampingDownFactor{t in TECHNOLOGY, y in YEAR}</t>
  </si>
  <si>
    <t>ProductionChangeCost{t in TECHNOLOGY, y in YEAR}</t>
  </si>
  <si>
    <t>MarieGalante</t>
  </si>
  <si>
    <t>LaDesirade</t>
  </si>
  <si>
    <t>MinorIslands</t>
  </si>
  <si>
    <t>BasseTerreNorth</t>
  </si>
  <si>
    <t>GrandSud</t>
  </si>
  <si>
    <t>CapExcellence</t>
  </si>
  <si>
    <t>GrandeTerreNorth</t>
  </si>
  <si>
    <t>RivieraDuLevant</t>
  </si>
  <si>
    <t>PSNG_Ship_Bio</t>
  </si>
  <si>
    <t>PSNG_Ship_Conv</t>
  </si>
  <si>
    <t>PSNG_Ship_LNG</t>
  </si>
  <si>
    <t>RES_Wind_Onshore_avg</t>
  </si>
  <si>
    <t>RES_Wind_Onshore_inf</t>
  </si>
  <si>
    <t>RES_Wind_Onshore_opt</t>
  </si>
  <si>
    <t>most likely just 0 for guadeloupe</t>
  </si>
  <si>
    <t>MT_PSNG_SHIP</t>
  </si>
  <si>
    <t>MT_PSNG_SHIP_RE</t>
  </si>
  <si>
    <t>MT_PSNG_SHIP_CONV</t>
  </si>
  <si>
    <t>Mapping and analyses of the current and future (2021 - 2030) heating/cooling fuel deployment (fossil/renewables), EUROPEAN COMMISSION DIRECTORATE-GENERAL FOR ENERGY, 2012</t>
  </si>
  <si>
    <t>PSNG_Ship_EL</t>
  </si>
  <si>
    <t>PSNG_Ship_H2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</si>
</sst>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00"/>
  </numFmts>
  <fonts count="3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onsolas"/>
      <family val="3"/>
    </font>
    <font>
      <b/>
      <sz val="11"/>
      <color rgb="FFFF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72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2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2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10" fillId="0" borderId="0" xfId="1283"/>
    <xf numFmtId="2" fontId="6" fillId="0" borderId="0" xfId="0" applyNumberFormat="1" applyFont="1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left"/>
    </xf>
    <xf numFmtId="0" fontId="13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27" fillId="0" borderId="0" xfId="0" applyFont="1"/>
    <xf numFmtId="0" fontId="4" fillId="0" borderId="0" xfId="0" applyFont="1"/>
    <xf numFmtId="0" fontId="12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0" fillId="0" borderId="11" xfId="0" applyBorder="1"/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0" fontId="30" fillId="0" borderId="0" xfId="1281" applyFont="1"/>
    <xf numFmtId="0" fontId="11" fillId="0" borderId="0" xfId="0" applyFont="1" applyAlignment="1">
      <alignment wrapText="1"/>
    </xf>
    <xf numFmtId="0" fontId="27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37" borderId="0" xfId="0" applyFill="1"/>
    <xf numFmtId="0" fontId="3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8" borderId="0" xfId="0" applyFill="1"/>
    <xf numFmtId="0" fontId="0" fillId="38" borderId="0" xfId="0" applyFill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34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9" borderId="0" xfId="0" applyFill="1" applyAlignment="1">
      <alignment horizontal="center"/>
    </xf>
    <xf numFmtId="0" fontId="11" fillId="38" borderId="0" xfId="0" applyFont="1" applyFill="1"/>
    <xf numFmtId="0" fontId="33" fillId="0" borderId="0" xfId="0" applyFont="1" applyAlignment="1">
      <alignment horizontal="right"/>
    </xf>
    <xf numFmtId="0" fontId="0" fillId="4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1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4DBE9B-C91D-41BE-81AD-C8C9821B20C2}"/>
            </a:ext>
          </a:extLst>
        </xdr:cNvPr>
        <xdr:cNvSpPr txBox="1"/>
      </xdr:nvSpPr>
      <xdr:spPr>
        <a:xfrm>
          <a:off x="10475302" y="8772159"/>
          <a:ext cx="2386745" cy="10532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71866F-53C7-48F9-9410-94448E604930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Global_v20_jk_15-09-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India_Legacy_v01_kl_11-07-20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sectors_v61_kh_29-05-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lo/Documents/Uni/OR-Studienprojekt/Modell/OR-RES/Inputdata/Data_Supply_2050_V16_kh_27-06-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Deckblatt"/>
      <sheetName val="Data"/>
      <sheetName val="Par_ReserveMargin"/>
      <sheetName val="Par_TradeRoute_2015"/>
      <sheetName val="Par_TradeRoute_2050"/>
      <sheetName val="Par_TransportCosts"/>
      <sheetName val="Par_EmissionsPenalty"/>
      <sheetName val="Par_AnnualExogenousEmission"/>
      <sheetName val="Par_AnnualEmissionLimit"/>
      <sheetName val="Par_ReserveMarginTagFuel"/>
      <sheetName val="Par_ReserveMarginTagTechnology"/>
      <sheetName val="GDP_Population"/>
      <sheetName val="Changelog"/>
    </sheetNames>
    <sheetDataSet>
      <sheetData sheetId="0"/>
      <sheetData sheetId="1"/>
      <sheetData sheetId="2">
        <row r="2">
          <cell r="C2" t="str">
            <v>Power</v>
          </cell>
          <cell r="G2" t="str">
            <v>Europe</v>
          </cell>
        </row>
        <row r="3">
          <cell r="C3" t="str">
            <v>Heat_low</v>
          </cell>
          <cell r="G3" t="str">
            <v>Africa</v>
          </cell>
        </row>
        <row r="4">
          <cell r="C4" t="str">
            <v>Heat_high</v>
          </cell>
          <cell r="G4" t="str">
            <v>North_America</v>
          </cell>
        </row>
        <row r="5">
          <cell r="C5" t="str">
            <v>Mob_pass</v>
          </cell>
          <cell r="G5" t="str">
            <v>South_America</v>
          </cell>
        </row>
        <row r="6">
          <cell r="C6" t="str">
            <v>Mob_freight</v>
          </cell>
          <cell r="G6" t="str">
            <v>Oceania</v>
          </cell>
        </row>
        <row r="7">
          <cell r="C7" t="str">
            <v>Conv_oil</v>
          </cell>
          <cell r="G7" t="str">
            <v>China</v>
          </cell>
        </row>
        <row r="8">
          <cell r="C8" t="str">
            <v>Conv_coal</v>
          </cell>
          <cell r="G8" t="str">
            <v>India</v>
          </cell>
        </row>
        <row r="9">
          <cell r="C9" t="str">
            <v>Conv_uranium</v>
          </cell>
          <cell r="G9" t="str">
            <v>Middle_East</v>
          </cell>
        </row>
        <row r="10">
          <cell r="C10" t="str">
            <v>Conv_lignite</v>
          </cell>
          <cell r="G10" t="str">
            <v>FSU</v>
          </cell>
        </row>
        <row r="11">
          <cell r="C11" t="str">
            <v>Conv_gas</v>
          </cell>
          <cell r="G11" t="str">
            <v>Asia_Rest</v>
          </cell>
        </row>
        <row r="12">
          <cell r="C12" t="str">
            <v>Conv_gasoline</v>
          </cell>
        </row>
        <row r="13">
          <cell r="C13" t="str">
            <v>Conv_diesel</v>
          </cell>
        </row>
        <row r="14">
          <cell r="C14" t="str">
            <v>Bio_m</v>
          </cell>
        </row>
        <row r="15">
          <cell r="C15" t="str">
            <v>Bio_f</v>
          </cell>
        </row>
        <row r="16">
          <cell r="C16" t="str">
            <v>H2G</v>
          </cell>
        </row>
        <row r="17">
          <cell r="C17" t="str">
            <v>H2L</v>
          </cell>
        </row>
        <row r="18">
          <cell r="C18" t="str">
            <v>Area_roofs</v>
          </cell>
        </row>
        <row r="19">
          <cell r="C19" t="str">
            <v>Area_windon</v>
          </cell>
        </row>
        <row r="20">
          <cell r="C20" t="str">
            <v>River</v>
          </cell>
        </row>
        <row r="21">
          <cell r="C21" t="str">
            <v>Area_Biofuels</v>
          </cell>
        </row>
        <row r="22">
          <cell r="C22" t="str">
            <v>area_pv</v>
          </cell>
        </row>
        <row r="23">
          <cell r="C23" t="str">
            <v>Area_windoff</v>
          </cell>
        </row>
        <row r="24">
          <cell r="C24" t="str">
            <v>Area_Geo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Data"/>
      <sheetName val="Par_TradeRoute"/>
      <sheetName val="Par_TradeCapacity"/>
      <sheetName val="Par_AccumulatedAnnualDemand"/>
      <sheetName val="Par_SpecifiedAnnualDemand"/>
      <sheetName val="Par_SpecifiedDemandProfile"/>
      <sheetName val="Par_ReserveMarginTagFuel"/>
      <sheetName val="Par_ReserveMarginTagTechnology"/>
      <sheetName val="Par_InputActivityRatio"/>
      <sheetName val="Par_OutputActivityRatio"/>
      <sheetName val="Par_FixedCost"/>
      <sheetName val="Par_CapitalCost"/>
      <sheetName val="Par_VariableCost"/>
      <sheetName val="Par_ResidualCapacity"/>
      <sheetName val="Par_AvailabilityFactor"/>
      <sheetName val="Par_CapacityFactor"/>
      <sheetName val="Par_EmissionActivityRatio"/>
      <sheetName val="Par_OperationalLife"/>
      <sheetName val="Par_TotalAnnualMaxActivity"/>
      <sheetName val="Par_TotalAnnualMaxCapacity"/>
      <sheetName val="Par_TotalAnnualMinCapacity"/>
      <sheetName val="Par_ModalSplitByFuel"/>
      <sheetName val="Par_TagTechnology"/>
      <sheetName val="Change_log"/>
    </sheetNames>
    <sheetDataSet>
      <sheetData sheetId="0" refreshError="1"/>
      <sheetData sheetId="1">
        <row r="2">
          <cell r="C2" t="str">
            <v>Bio_F</v>
          </cell>
          <cell r="E2" t="str">
            <v>ID</v>
          </cell>
          <cell r="G2" t="str">
            <v>India_E</v>
          </cell>
        </row>
        <row r="3">
          <cell r="C3" t="str">
            <v>Bio_M</v>
          </cell>
          <cell r="E3" t="str">
            <v>IN</v>
          </cell>
          <cell r="G3" t="str">
            <v>India_CE</v>
          </cell>
        </row>
        <row r="4">
          <cell r="C4" t="str">
            <v>Conv_Coal</v>
          </cell>
          <cell r="E4" t="str">
            <v>SD</v>
          </cell>
          <cell r="G4" t="str">
            <v>India_W</v>
          </cell>
        </row>
        <row r="5">
          <cell r="C5" t="str">
            <v>Conv_Fueloil</v>
          </cell>
          <cell r="E5" t="str">
            <v>SN</v>
          </cell>
          <cell r="G5" t="str">
            <v>India_CW</v>
          </cell>
        </row>
        <row r="6">
          <cell r="C6" t="str">
            <v>Conv_Gas</v>
          </cell>
          <cell r="E6" t="str">
            <v>WD</v>
          </cell>
          <cell r="G6" t="str">
            <v>India_N</v>
          </cell>
        </row>
        <row r="7">
          <cell r="C7" t="str">
            <v>Conv_Nuclear</v>
          </cell>
          <cell r="E7" t="str">
            <v>WN</v>
          </cell>
          <cell r="G7" t="str">
            <v>India_NW</v>
          </cell>
        </row>
        <row r="8">
          <cell r="C8" t="str">
            <v>Conv_Oil</v>
          </cell>
          <cell r="G8" t="str">
            <v>India_UP</v>
          </cell>
        </row>
        <row r="9">
          <cell r="C9" t="str">
            <v>Conv_Petrofuel</v>
          </cell>
          <cell r="G9" t="str">
            <v>India_S</v>
          </cell>
        </row>
        <row r="10">
          <cell r="C10" t="str">
            <v>H2G</v>
          </cell>
          <cell r="G10" t="str">
            <v>India_CS</v>
          </cell>
        </row>
        <row r="11">
          <cell r="C11" t="str">
            <v>H2L</v>
          </cell>
          <cell r="G11" t="str">
            <v>India_NE</v>
          </cell>
        </row>
        <row r="12">
          <cell r="C12" t="str">
            <v>Heat_High</v>
          </cell>
        </row>
        <row r="13">
          <cell r="C13" t="str">
            <v>Heat_Low</v>
          </cell>
        </row>
        <row r="14">
          <cell r="C14" t="str">
            <v>Landuse_Biofuels</v>
          </cell>
        </row>
        <row r="15">
          <cell r="C15" t="str">
            <v>Landuse_CSP</v>
          </cell>
        </row>
        <row r="16">
          <cell r="C16" t="str">
            <v>Landuse_CSP_Storage</v>
          </cell>
        </row>
        <row r="17">
          <cell r="C17" t="str">
            <v>Landuse_Hydro_Large</v>
          </cell>
        </row>
        <row r="18">
          <cell r="C18" t="str">
            <v>Landuse_Hydro_Small</v>
          </cell>
        </row>
        <row r="19">
          <cell r="C19" t="str">
            <v>Landuse_PV_Commercial</v>
          </cell>
        </row>
        <row r="20">
          <cell r="C20" t="str">
            <v>Landuse_PV_Utility_avg</v>
          </cell>
        </row>
        <row r="21">
          <cell r="C21" t="str">
            <v>Landuse_PV_Utility_inf</v>
          </cell>
        </row>
        <row r="22">
          <cell r="C22" t="str">
            <v>Landuse_PV_Utility_opt</v>
          </cell>
        </row>
        <row r="23">
          <cell r="C23" t="str">
            <v>Landuse_Solar_Roof</v>
          </cell>
        </row>
        <row r="24">
          <cell r="C24" t="str">
            <v>Landuse_Thermal_Geo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log"/>
      <sheetName val="Data"/>
      <sheetName val="Parameter"/>
      <sheetName val="Par_TWCNToMPTS"/>
      <sheetName val="Par_InputActivityRatio"/>
      <sheetName val="Par_OutputActivityRatio"/>
      <sheetName val="Par_CapitalCost"/>
      <sheetName val="Par_FixedCost"/>
      <sheetName val="Par_VariableCost"/>
      <sheetName val="Par_ResidualCapacity"/>
      <sheetName val="Par_AvailabilityFactor"/>
      <sheetName val="Par_CapacityFactor"/>
      <sheetName val="Par_EmissionActivityRatio"/>
      <sheetName val="Par_ReserveMarginTagTechnology"/>
      <sheetName val="Par_OperationalLife"/>
      <sheetName val="Par_TotalAnnualMaxCapacity"/>
      <sheetName val="Par_TotalAnnualMinCapacity"/>
      <sheetName val="Par_TotalAnnualMinActivity"/>
    </sheetNames>
    <sheetDataSet>
      <sheetData sheetId="0" refreshError="1"/>
      <sheetData sheetId="1">
        <row r="2">
          <cell r="B2" t="str">
            <v>Area_Biofuels</v>
          </cell>
          <cell r="C2" t="str">
            <v>Power</v>
          </cell>
          <cell r="G2" t="str">
            <v>Europe</v>
          </cell>
        </row>
        <row r="3">
          <cell r="B3" t="str">
            <v>Area_CSP</v>
          </cell>
          <cell r="C3" t="str">
            <v>Heat_low</v>
          </cell>
          <cell r="G3" t="str">
            <v>Africa</v>
          </cell>
        </row>
        <row r="4">
          <cell r="B4" t="str">
            <v>Area_CSP_Storage</v>
          </cell>
          <cell r="C4" t="str">
            <v>Heat_high</v>
          </cell>
          <cell r="G4" t="str">
            <v>North_America</v>
          </cell>
        </row>
        <row r="5">
          <cell r="B5" t="str">
            <v>Area_Hydro_Large</v>
          </cell>
          <cell r="C5" t="str">
            <v>Mob_pass</v>
          </cell>
          <cell r="G5" t="str">
            <v>South_America</v>
          </cell>
        </row>
        <row r="6">
          <cell r="B6" t="str">
            <v>Area_Hydro_Small</v>
          </cell>
          <cell r="C6" t="str">
            <v>Mob_freight</v>
          </cell>
          <cell r="G6" t="str">
            <v>Oceania</v>
          </cell>
        </row>
        <row r="7">
          <cell r="B7" t="str">
            <v>Area_PV_Commercial</v>
          </cell>
          <cell r="C7" t="str">
            <v>Conv_oil</v>
          </cell>
          <cell r="G7" t="str">
            <v>China</v>
          </cell>
        </row>
        <row r="8">
          <cell r="B8" t="str">
            <v>Area_PV_Utility</v>
          </cell>
          <cell r="C8" t="str">
            <v>Conv_coal</v>
          </cell>
          <cell r="G8" t="str">
            <v>India</v>
          </cell>
        </row>
        <row r="9">
          <cell r="B9" t="str">
            <v>Area_Solar_Roof</v>
          </cell>
          <cell r="C9" t="str">
            <v>Conv_uranium</v>
          </cell>
          <cell r="G9" t="str">
            <v>Middle_East</v>
          </cell>
        </row>
        <row r="10">
          <cell r="B10" t="str">
            <v>Area_Thermal_Geo</v>
          </cell>
          <cell r="C10" t="str">
            <v>Conv_lignite</v>
          </cell>
          <cell r="G10" t="str">
            <v>FSU</v>
          </cell>
        </row>
        <row r="11">
          <cell r="B11" t="str">
            <v>Area_Tidal</v>
          </cell>
          <cell r="C11" t="str">
            <v>Conv_gas</v>
          </cell>
          <cell r="G11" t="str">
            <v>Asia_Rest</v>
          </cell>
        </row>
        <row r="12">
          <cell r="B12" t="str">
            <v>Area_Wave</v>
          </cell>
          <cell r="C12" t="str">
            <v>conv_fueloil</v>
          </cell>
        </row>
        <row r="13">
          <cell r="B13" t="str">
            <v>Area_Wind_Offshore</v>
          </cell>
          <cell r="C13" t="str">
            <v>conv_petrofuel</v>
          </cell>
        </row>
        <row r="14">
          <cell r="B14" t="str">
            <v>Area_Wind_Onshore</v>
          </cell>
          <cell r="C14" t="str">
            <v>Bio_m</v>
          </cell>
        </row>
        <row r="15">
          <cell r="B15" t="str">
            <v>BIOFLREFINERY</v>
          </cell>
          <cell r="C15" t="str">
            <v>Bio_f</v>
          </cell>
        </row>
        <row r="16">
          <cell r="B16" t="str">
            <v>C_Coal</v>
          </cell>
          <cell r="C16" t="str">
            <v>H2G</v>
          </cell>
        </row>
        <row r="17">
          <cell r="B17" t="str">
            <v>C_Gas</v>
          </cell>
          <cell r="C17" t="str">
            <v>H2L</v>
          </cell>
        </row>
        <row r="18">
          <cell r="B18" t="str">
            <v>C_Nuclear</v>
          </cell>
          <cell r="C18" t="str">
            <v>Area_roofs</v>
          </cell>
        </row>
        <row r="19">
          <cell r="B19" t="str">
            <v>C_Oil</v>
          </cell>
          <cell r="C19" t="str">
            <v>Area_windon</v>
          </cell>
        </row>
        <row r="20">
          <cell r="B20" t="str">
            <v>ELYSER</v>
          </cell>
          <cell r="C20" t="str">
            <v>River</v>
          </cell>
        </row>
        <row r="21">
          <cell r="B21" t="str">
            <v>FRT_Rail_ELC</v>
          </cell>
          <cell r="C21" t="str">
            <v>Area_Biofuels</v>
          </cell>
        </row>
        <row r="22">
          <cell r="B22" t="str">
            <v>FRT_Rail_Petro</v>
          </cell>
          <cell r="C22" t="str">
            <v>area_pv</v>
          </cell>
        </row>
        <row r="23">
          <cell r="B23" t="str">
            <v>FRT_Road_Bio</v>
          </cell>
          <cell r="C23" t="str">
            <v>Area_windoff</v>
          </cell>
        </row>
        <row r="24">
          <cell r="B24" t="str">
            <v>FRT_Road_Conv</v>
          </cell>
          <cell r="C24" t="str">
            <v>Area_Geo</v>
          </cell>
        </row>
        <row r="25">
          <cell r="B25" t="str">
            <v>FRT_Road_H2</v>
          </cell>
        </row>
        <row r="26">
          <cell r="B26" t="str">
            <v>FRT_Ship_Bio</v>
          </cell>
        </row>
        <row r="27">
          <cell r="B27" t="str">
            <v>FRT_Ship_Conv</v>
          </cell>
        </row>
        <row r="28">
          <cell r="B28" t="str">
            <v>FUEL_CELL</v>
          </cell>
        </row>
        <row r="29">
          <cell r="B29" t="str">
            <v>H2TL</v>
          </cell>
        </row>
        <row r="30">
          <cell r="B30" t="str">
            <v>P_Coal</v>
          </cell>
        </row>
        <row r="31">
          <cell r="B31" t="str">
            <v>P_Gas</v>
          </cell>
        </row>
        <row r="32">
          <cell r="B32" t="str">
            <v>P_Nuclear</v>
          </cell>
        </row>
        <row r="33">
          <cell r="B33" t="str">
            <v>P_Oil</v>
          </cell>
        </row>
        <row r="34">
          <cell r="B34" t="str">
            <v>PSNG_Air_Conv</v>
          </cell>
        </row>
        <row r="35">
          <cell r="B35" t="str">
            <v>PSNG_Air_H2L</v>
          </cell>
        </row>
        <row r="36">
          <cell r="B36" t="str">
            <v>PSNG_Rail_ELC</v>
          </cell>
        </row>
        <row r="37">
          <cell r="B37" t="str">
            <v>PSNG_Rail_Petro</v>
          </cell>
        </row>
        <row r="38">
          <cell r="B38" t="str">
            <v>PSNG_Road_BEV</v>
          </cell>
        </row>
        <row r="39">
          <cell r="B39" t="str">
            <v>PSNG_Road_Bio</v>
          </cell>
        </row>
        <row r="40">
          <cell r="B40" t="str">
            <v>PSNG_Road_FCEV</v>
          </cell>
        </row>
        <row r="41">
          <cell r="B41" t="str">
            <v>PSNG_Road_ICE</v>
          </cell>
        </row>
        <row r="42">
          <cell r="B42" t="str">
            <v>Res_BioMass</v>
          </cell>
        </row>
        <row r="43">
          <cell r="B43" t="str">
            <v>Res_CSP</v>
          </cell>
        </row>
        <row r="44">
          <cell r="B44" t="str">
            <v>Res_CSP_Storage</v>
          </cell>
        </row>
        <row r="45">
          <cell r="B45" t="str">
            <v>Res_Hydro_Large</v>
          </cell>
        </row>
        <row r="46">
          <cell r="B46" t="str">
            <v>Res_Hydro_Small</v>
          </cell>
        </row>
        <row r="47">
          <cell r="B47" t="str">
            <v>Res_PV_Commercial</v>
          </cell>
        </row>
        <row r="48">
          <cell r="B48" t="str">
            <v>Res_PV_Residential</v>
          </cell>
        </row>
        <row r="49">
          <cell r="B49" t="str">
            <v>Res_PV_Utility</v>
          </cell>
        </row>
        <row r="50">
          <cell r="B50" t="str">
            <v>Res_Thermal_Geo</v>
          </cell>
        </row>
        <row r="51">
          <cell r="B51" t="str">
            <v>Res_Thermal_Solar</v>
          </cell>
        </row>
        <row r="52">
          <cell r="B52" t="str">
            <v>Res_Tidal</v>
          </cell>
        </row>
        <row r="53">
          <cell r="B53" t="str">
            <v>Res_Wave</v>
          </cell>
        </row>
        <row r="54">
          <cell r="B54" t="str">
            <v>Res_Wind_Offshore</v>
          </cell>
        </row>
        <row r="55">
          <cell r="B55" t="str">
            <v>Res_Wind_Onshore</v>
          </cell>
        </row>
        <row r="56">
          <cell r="B56" t="str">
            <v>ST_Battery_Lion</v>
          </cell>
        </row>
        <row r="57">
          <cell r="B57" t="str">
            <v>ST_H2</v>
          </cell>
        </row>
        <row r="58">
          <cell r="B58" t="str">
            <v>ST_Heat_dec</v>
          </cell>
        </row>
        <row r="59">
          <cell r="B59" t="str">
            <v>ST_Heat_cen</v>
          </cell>
        </row>
        <row r="60">
          <cell r="B60" t="str">
            <v>ST_PSP</v>
          </cell>
        </row>
        <row r="61">
          <cell r="B61" t="str">
            <v>T_heat_low_heatpump</v>
          </cell>
        </row>
        <row r="62">
          <cell r="B62" t="str">
            <v>T_heat_low_elfur</v>
          </cell>
        </row>
        <row r="63">
          <cell r="B63" t="str">
            <v>T_heat_low_bio_chp</v>
          </cell>
        </row>
        <row r="64">
          <cell r="B64" t="str">
            <v>T_heat_low_bio</v>
          </cell>
        </row>
        <row r="65">
          <cell r="B65" t="str">
            <v>T_heat_low_solartherm</v>
          </cell>
        </row>
        <row r="66">
          <cell r="B66" t="str">
            <v>T_heat_low_res-gas</v>
          </cell>
        </row>
        <row r="67">
          <cell r="B67" t="str">
            <v>T_heat_low_res-gas_chp</v>
          </cell>
        </row>
        <row r="68">
          <cell r="B68" t="str">
            <v>T_heat_low_gas</v>
          </cell>
        </row>
        <row r="69">
          <cell r="B69" t="str">
            <v>T_heat_low_oil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Data"/>
      <sheetName val="Par_TWCNToMPTS"/>
      <sheetName val="Par_InputActivityRatio"/>
      <sheetName val="Par_OutputActivityRatio"/>
      <sheetName val="Par_FixedCost"/>
      <sheetName val="Par_CapitalCost"/>
      <sheetName val="Par_VariableCost"/>
      <sheetName val="Par_ResidualCapacity"/>
      <sheetName val="Par_AvailabilityFactor"/>
      <sheetName val="Par_CapacityFactor"/>
      <sheetName val="Par_EmissionActivityRatio"/>
      <sheetName val="Par_ReserveMarginTagTechnology"/>
      <sheetName val="Par_OperationalLife"/>
      <sheetName val="Par_TotalAnnualMaxCapacity"/>
      <sheetName val="Par_TotalAnnualMinCapacity"/>
    </sheetNames>
    <sheetDataSet>
      <sheetData sheetId="0"/>
      <sheetData sheetId="1">
        <row r="2">
          <cell r="B2" t="str">
            <v>Res_Wind_Offshore</v>
          </cell>
        </row>
        <row r="3">
          <cell r="B3" t="str">
            <v>Res_Wind_Onshore</v>
          </cell>
        </row>
        <row r="4">
          <cell r="B4" t="str">
            <v>Res_PV_residential</v>
          </cell>
        </row>
        <row r="5">
          <cell r="B5" t="str">
            <v>Res_PV_commercial</v>
          </cell>
        </row>
        <row r="6">
          <cell r="B6" t="str">
            <v>Res_PV_utility</v>
          </cell>
        </row>
        <row r="7">
          <cell r="B7" t="str">
            <v>Res_CSP_Storage</v>
          </cell>
        </row>
        <row r="8">
          <cell r="B8" t="str">
            <v>Res_CSP</v>
          </cell>
        </row>
        <row r="9">
          <cell r="B9" t="str">
            <v>Res_Thermal_Solar</v>
          </cell>
        </row>
        <row r="10">
          <cell r="B10" t="str">
            <v>Res_Thermal_Geo</v>
          </cell>
        </row>
        <row r="11">
          <cell r="B11" t="str">
            <v>Res_Hydro_Small</v>
          </cell>
        </row>
        <row r="12">
          <cell r="B12" t="str">
            <v>Res_Hydro_Large</v>
          </cell>
        </row>
        <row r="13">
          <cell r="B13" t="str">
            <v>Res_Wave</v>
          </cell>
        </row>
        <row r="14">
          <cell r="B14" t="str">
            <v>Res_Tidal</v>
          </cell>
        </row>
        <row r="15">
          <cell r="B15" t="str">
            <v>BIOFLREFINERY</v>
          </cell>
        </row>
        <row r="16">
          <cell r="B16" t="str">
            <v>BioFuels</v>
          </cell>
        </row>
        <row r="17">
          <cell r="B17" t="str">
            <v>ELYSER</v>
          </cell>
        </row>
        <row r="18">
          <cell r="B18" t="str">
            <v>H2TL</v>
          </cell>
        </row>
        <row r="19">
          <cell r="B19" t="str">
            <v>BIOFPLANT</v>
          </cell>
        </row>
        <row r="20">
          <cell r="B20" t="str">
            <v>HEATP</v>
          </cell>
        </row>
        <row r="21">
          <cell r="B21" t="str">
            <v>ELFUR</v>
          </cell>
        </row>
        <row r="22">
          <cell r="B22" t="str">
            <v>CHP</v>
          </cell>
        </row>
        <row r="23">
          <cell r="B23" t="str">
            <v>PSNG-ROAD-BEV</v>
          </cell>
        </row>
        <row r="24">
          <cell r="B24" t="str">
            <v>PSNG-ROAD-FCEV</v>
          </cell>
        </row>
        <row r="25">
          <cell r="B25" t="str">
            <v>PSNG-RAIL-ELC</v>
          </cell>
        </row>
        <row r="26">
          <cell r="B26" t="str">
            <v>PSNG-AIR-BIO</v>
          </cell>
        </row>
        <row r="27">
          <cell r="B27" t="str">
            <v>FRT-ROAD-H2</v>
          </cell>
        </row>
        <row r="28">
          <cell r="B28" t="str">
            <v>FRT-RAIL-ELC</v>
          </cell>
        </row>
        <row r="29">
          <cell r="B29" t="str">
            <v>FRT-SHIP-BIO</v>
          </cell>
        </row>
        <row r="30">
          <cell r="B30" t="str">
            <v>PV_area</v>
          </cell>
        </row>
        <row r="31">
          <cell r="B31" t="str">
            <v>available_roofs</v>
          </cell>
        </row>
        <row r="32">
          <cell r="B32" t="str">
            <v>Windon_area</v>
          </cell>
        </row>
        <row r="33">
          <cell r="B33" t="str">
            <v>Bio_area</v>
          </cell>
        </row>
        <row r="34">
          <cell r="B34" t="str">
            <v>river_area</v>
          </cell>
        </row>
        <row r="35">
          <cell r="B35" t="str">
            <v>Windoff_area</v>
          </cell>
        </row>
        <row r="36">
          <cell r="B36" t="str">
            <v>Geo_Area</v>
          </cell>
        </row>
        <row r="37">
          <cell r="B37" t="str">
            <v>_T_heat_big</v>
          </cell>
        </row>
        <row r="38">
          <cell r="B38" t="str">
            <v>_T_heat_small</v>
          </cell>
        </row>
        <row r="39">
          <cell r="B39" t="str">
            <v>_CAS</v>
          </cell>
        </row>
        <row r="40">
          <cell r="B40" t="str">
            <v>_H2</v>
          </cell>
        </row>
        <row r="41">
          <cell r="B41" t="str">
            <v>_PSP</v>
          </cell>
        </row>
        <row r="42">
          <cell r="B42" t="str">
            <v>_Lithium_Ion</v>
          </cell>
        </row>
        <row r="43">
          <cell r="B43" t="str">
            <v>PSNG_ROAD_BEV</v>
          </cell>
        </row>
        <row r="44">
          <cell r="B44" t="str">
            <v>PSNG_AIR_H2L</v>
          </cell>
        </row>
        <row r="45">
          <cell r="B45" t="str">
            <v>FRT_SHIP_BIO</v>
          </cell>
        </row>
        <row r="46">
          <cell r="B46" t="str">
            <v>PSNG_ROAD_ICE</v>
          </cell>
        </row>
        <row r="47">
          <cell r="B47" t="str">
            <v>PSNG_AIR_CONV</v>
          </cell>
        </row>
        <row r="48">
          <cell r="B48" t="str">
            <v>FRT_ROAD_CONV</v>
          </cell>
        </row>
        <row r="49">
          <cell r="B49" t="str">
            <v>FRT_SHIP_CONV</v>
          </cell>
        </row>
        <row r="50">
          <cell r="B50" t="str">
            <v>FUEL_CELL</v>
          </cell>
        </row>
        <row r="51">
          <cell r="B51" t="str">
            <v>PSNG_ROAD_FCEV</v>
          </cell>
        </row>
        <row r="52">
          <cell r="B52" t="str">
            <v>PSNG_RAIL_ELC</v>
          </cell>
        </row>
        <row r="53">
          <cell r="B53" t="str">
            <v>PSNG_RAIL_PETRO</v>
          </cell>
        </row>
        <row r="54">
          <cell r="B54" t="str">
            <v>FRT_ROAD_H2</v>
          </cell>
        </row>
        <row r="55">
          <cell r="B55" t="str">
            <v>FRT_RAIL_ELC</v>
          </cell>
        </row>
        <row r="56">
          <cell r="B56" t="str">
            <v>FRT_RAIL_PETRO</v>
          </cell>
        </row>
        <row r="57">
          <cell r="B57" t="str">
            <v>_CAS_CONV</v>
          </cell>
        </row>
        <row r="58">
          <cell r="B58" t="str">
            <v>Battery_Lion</v>
          </cell>
        </row>
        <row r="59">
          <cell r="B59" t="str">
            <v>REFINERY</v>
          </cell>
        </row>
        <row r="60">
          <cell r="B60" t="str">
            <v>gas_heating</v>
          </cell>
        </row>
        <row r="61">
          <cell r="B61" t="str">
            <v>oil_heating</v>
          </cell>
        </row>
        <row r="62">
          <cell r="B62" t="str">
            <v>coal_heating</v>
          </cell>
        </row>
        <row r="63">
          <cell r="B63" t="str">
            <v>bio_heating</v>
          </cell>
        </row>
        <row r="64">
          <cell r="B64" t="str">
            <v>chp_coal</v>
          </cell>
        </row>
        <row r="65">
          <cell r="B65" t="str">
            <v>chp_gas</v>
          </cell>
        </row>
        <row r="66">
          <cell r="B66" t="str">
            <v>chp_lignite</v>
          </cell>
        </row>
        <row r="67">
          <cell r="B67" t="str">
            <v>chp_fueloil</v>
          </cell>
        </row>
        <row r="68">
          <cell r="B68" t="str">
            <v>CHP_biom</v>
          </cell>
        </row>
        <row r="69">
          <cell r="B69" t="str">
            <v>Area_Wind_Offshore</v>
          </cell>
        </row>
        <row r="70">
          <cell r="B70" t="str">
            <v>Area_Wind_Onshore</v>
          </cell>
        </row>
        <row r="71">
          <cell r="B71" t="str">
            <v>Area_Solar_Roof</v>
          </cell>
        </row>
        <row r="72">
          <cell r="B72" t="str">
            <v>Area_PV_commercial</v>
          </cell>
        </row>
        <row r="73">
          <cell r="B73" t="str">
            <v>Area_PV_utility</v>
          </cell>
        </row>
        <row r="74">
          <cell r="B74" t="str">
            <v>Area_CSP_Storage</v>
          </cell>
        </row>
        <row r="75">
          <cell r="B75" t="str">
            <v>Area_CSP</v>
          </cell>
        </row>
        <row r="76">
          <cell r="B76" t="str">
            <v>Area_Solar_Roof</v>
          </cell>
        </row>
        <row r="77">
          <cell r="B77" t="str">
            <v>Area_Thermal_Geo</v>
          </cell>
        </row>
        <row r="78">
          <cell r="B78" t="str">
            <v>Area_Hydro_Small</v>
          </cell>
        </row>
        <row r="79">
          <cell r="B79" t="str">
            <v>Area_Hydro_Large</v>
          </cell>
        </row>
        <row r="80">
          <cell r="B80" t="str">
            <v>Area_Wave</v>
          </cell>
        </row>
        <row r="81">
          <cell r="B81" t="str">
            <v>Area_Tidal</v>
          </cell>
        </row>
        <row r="82">
          <cell r="B82" t="str">
            <v>Area_Biofuels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3-07-25T10:34:26.90" personId="{00000000-0000-0000-0000-000000000000}" id="{2B205071-3E3A-4C92-BBFA-E0C9332F396E}">
    <text>Sourced from Biogas</text>
  </threadedComment>
  <threadedComment ref="B22" dT="2023-07-25T10:34:21.09" personId="{00000000-0000-0000-0000-000000000000}" id="{C9C71A69-3BAD-4600-9A12-35CB1C830725}">
    <text>Sourced from Biogas</text>
  </threadedComment>
  <threadedComment ref="B26" dT="2023-07-25T10:34:09.45" personId="{00000000-0000-0000-0000-000000000000}" id="{2EA11229-B50B-46FE-A492-1BF1FE0E3BD8}">
    <text>Sourced from Biogas</text>
  </threadedComment>
  <threadedComment ref="B31" dT="2023-07-25T10:31:18.93" personId="{00000000-0000-0000-0000-000000000000}" id="{6FBCE4C5-4472-4146-85C5-7B3B4BFA0A27}">
    <text>Sourced from Bagasse - residue from sugar production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7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N149"/>
  <sheetViews>
    <sheetView topLeftCell="A75" workbookViewId="0">
      <selection activeCell="B89" sqref="B89:B91"/>
    </sheetView>
  </sheetViews>
  <sheetFormatPr defaultColWidth="9.140625" defaultRowHeight="15"/>
  <cols>
    <col min="1" max="1" width="18.5703125" customWidth="1"/>
    <col min="2" max="2" width="28.42578125" bestFit="1" customWidth="1"/>
    <col min="3" max="3" width="25.140625" bestFit="1" customWidth="1"/>
    <col min="6" max="6" width="19.5703125" bestFit="1" customWidth="1"/>
    <col min="7" max="7" width="15" bestFit="1" customWidth="1"/>
    <col min="10" max="10" width="15" customWidth="1"/>
    <col min="11" max="11" width="16.140625" bestFit="1" customWidth="1"/>
    <col min="12" max="13" width="22.42578125" bestFit="1" customWidth="1"/>
  </cols>
  <sheetData>
    <row r="1" spans="1:14">
      <c r="A1" s="1" t="s">
        <v>16</v>
      </c>
      <c r="B1" s="9" t="s">
        <v>17</v>
      </c>
      <c r="C1" s="9" t="s">
        <v>12</v>
      </c>
      <c r="D1" s="9" t="s">
        <v>18</v>
      </c>
      <c r="E1" s="9" t="s">
        <v>19</v>
      </c>
      <c r="F1" s="9" t="s">
        <v>20</v>
      </c>
      <c r="G1" s="9" t="s">
        <v>11</v>
      </c>
      <c r="H1" s="9" t="s">
        <v>21</v>
      </c>
      <c r="I1" s="9" t="s">
        <v>22</v>
      </c>
      <c r="J1" s="9" t="s">
        <v>23</v>
      </c>
      <c r="K1" s="9" t="s">
        <v>24</v>
      </c>
      <c r="L1" s="9" t="s">
        <v>48</v>
      </c>
      <c r="M1" s="9" t="s">
        <v>186</v>
      </c>
      <c r="N1" s="9" t="s">
        <v>305</v>
      </c>
    </row>
    <row r="2" spans="1:14">
      <c r="A2" t="s">
        <v>0</v>
      </c>
      <c r="B2" s="2" t="s">
        <v>251</v>
      </c>
      <c r="C2" t="s">
        <v>155</v>
      </c>
      <c r="D2">
        <v>2018</v>
      </c>
      <c r="E2" t="s">
        <v>61</v>
      </c>
      <c r="F2">
        <v>1</v>
      </c>
      <c r="G2" t="s">
        <v>458</v>
      </c>
      <c r="H2">
        <v>1</v>
      </c>
      <c r="I2">
        <v>1</v>
      </c>
      <c r="J2">
        <v>1</v>
      </c>
      <c r="K2" t="s">
        <v>134</v>
      </c>
      <c r="L2" t="s">
        <v>28</v>
      </c>
      <c r="M2" t="s">
        <v>99</v>
      </c>
      <c r="N2" t="s">
        <v>15</v>
      </c>
    </row>
    <row r="3" spans="1:14">
      <c r="B3" t="s">
        <v>156</v>
      </c>
      <c r="C3" t="s">
        <v>154</v>
      </c>
      <c r="D3">
        <v>2021</v>
      </c>
      <c r="E3" t="s">
        <v>62</v>
      </c>
      <c r="F3">
        <v>2</v>
      </c>
      <c r="G3" t="s">
        <v>480</v>
      </c>
      <c r="H3">
        <v>2</v>
      </c>
      <c r="J3">
        <v>2</v>
      </c>
      <c r="K3" t="s">
        <v>141</v>
      </c>
      <c r="L3" t="s">
        <v>29</v>
      </c>
      <c r="M3" t="s">
        <v>100</v>
      </c>
      <c r="N3" t="s">
        <v>265</v>
      </c>
    </row>
    <row r="4" spans="1:14">
      <c r="B4" t="s">
        <v>157</v>
      </c>
      <c r="C4" t="s">
        <v>133</v>
      </c>
      <c r="D4">
        <v>2025</v>
      </c>
      <c r="E4" t="s">
        <v>59</v>
      </c>
      <c r="F4">
        <v>3</v>
      </c>
      <c r="G4" t="s">
        <v>481</v>
      </c>
      <c r="H4">
        <v>3</v>
      </c>
      <c r="J4">
        <v>3</v>
      </c>
      <c r="K4" t="s">
        <v>135</v>
      </c>
      <c r="L4" t="s">
        <v>30</v>
      </c>
      <c r="M4" t="s">
        <v>101</v>
      </c>
      <c r="N4" t="s">
        <v>300</v>
      </c>
    </row>
    <row r="5" spans="1:14">
      <c r="B5" t="s">
        <v>416</v>
      </c>
      <c r="C5" t="s">
        <v>143</v>
      </c>
      <c r="D5">
        <v>2030</v>
      </c>
      <c r="E5" t="s">
        <v>60</v>
      </c>
      <c r="F5">
        <v>4</v>
      </c>
      <c r="G5" t="s">
        <v>482</v>
      </c>
      <c r="H5">
        <v>4</v>
      </c>
      <c r="J5">
        <v>4</v>
      </c>
      <c r="K5" t="s">
        <v>136</v>
      </c>
      <c r="L5" t="s">
        <v>34</v>
      </c>
      <c r="M5" t="s">
        <v>102</v>
      </c>
      <c r="N5" t="s">
        <v>301</v>
      </c>
    </row>
    <row r="6" spans="1:14">
      <c r="B6" t="s">
        <v>417</v>
      </c>
      <c r="C6" t="s">
        <v>132</v>
      </c>
      <c r="D6">
        <v>2035</v>
      </c>
      <c r="E6" t="s">
        <v>64</v>
      </c>
      <c r="G6" t="s">
        <v>483</v>
      </c>
      <c r="K6" t="s">
        <v>234</v>
      </c>
      <c r="L6" t="s">
        <v>35</v>
      </c>
      <c r="M6" t="s">
        <v>103</v>
      </c>
      <c r="N6" t="s">
        <v>302</v>
      </c>
    </row>
    <row r="7" spans="1:14">
      <c r="B7" t="s">
        <v>95</v>
      </c>
      <c r="C7" t="s">
        <v>183</v>
      </c>
      <c r="D7">
        <v>2040</v>
      </c>
      <c r="E7" t="s">
        <v>65</v>
      </c>
      <c r="G7" t="s">
        <v>484</v>
      </c>
      <c r="K7" t="s">
        <v>232</v>
      </c>
      <c r="L7" t="s">
        <v>36</v>
      </c>
      <c r="M7" t="s">
        <v>104</v>
      </c>
      <c r="N7" t="s">
        <v>303</v>
      </c>
    </row>
    <row r="8" spans="1:14">
      <c r="B8" t="s">
        <v>418</v>
      </c>
      <c r="C8" t="s">
        <v>131</v>
      </c>
      <c r="D8">
        <v>2045</v>
      </c>
      <c r="E8" t="s">
        <v>66</v>
      </c>
      <c r="G8" t="s">
        <v>485</v>
      </c>
      <c r="K8" t="s">
        <v>178</v>
      </c>
      <c r="L8" t="s">
        <v>40</v>
      </c>
      <c r="M8" t="s">
        <v>148</v>
      </c>
      <c r="N8" t="s">
        <v>304</v>
      </c>
    </row>
    <row r="9" spans="1:14">
      <c r="B9" t="s">
        <v>96</v>
      </c>
      <c r="C9" t="s">
        <v>130</v>
      </c>
      <c r="D9">
        <v>2050</v>
      </c>
      <c r="E9" t="s">
        <v>63</v>
      </c>
      <c r="G9" t="s">
        <v>486</v>
      </c>
      <c r="K9" t="s">
        <v>142</v>
      </c>
      <c r="L9" t="s">
        <v>41</v>
      </c>
      <c r="M9" t="s">
        <v>176</v>
      </c>
      <c r="N9" t="s">
        <v>415</v>
      </c>
    </row>
    <row r="10" spans="1:14">
      <c r="B10" t="s">
        <v>419</v>
      </c>
      <c r="C10" t="s">
        <v>15</v>
      </c>
      <c r="E10" t="s">
        <v>68</v>
      </c>
      <c r="G10" t="s">
        <v>487</v>
      </c>
      <c r="L10" t="s">
        <v>42</v>
      </c>
      <c r="M10" t="s">
        <v>105</v>
      </c>
    </row>
    <row r="11" spans="1:14">
      <c r="B11" t="s">
        <v>420</v>
      </c>
      <c r="C11" t="s">
        <v>137</v>
      </c>
      <c r="E11" t="s">
        <v>69</v>
      </c>
      <c r="L11" t="s">
        <v>31</v>
      </c>
      <c r="M11" t="s">
        <v>106</v>
      </c>
    </row>
    <row r="12" spans="1:14">
      <c r="B12" t="s">
        <v>421</v>
      </c>
      <c r="C12" t="s">
        <v>138</v>
      </c>
      <c r="E12" t="s">
        <v>70</v>
      </c>
      <c r="L12" t="s">
        <v>32</v>
      </c>
      <c r="M12" t="s">
        <v>107</v>
      </c>
    </row>
    <row r="13" spans="1:14">
      <c r="B13" t="s">
        <v>422</v>
      </c>
      <c r="C13" t="s">
        <v>144</v>
      </c>
      <c r="E13" t="s">
        <v>67</v>
      </c>
      <c r="L13" t="s">
        <v>37</v>
      </c>
      <c r="M13" t="s">
        <v>108</v>
      </c>
    </row>
    <row r="14" spans="1:14">
      <c r="B14" t="s">
        <v>423</v>
      </c>
      <c r="C14" t="s">
        <v>184</v>
      </c>
      <c r="E14" t="s">
        <v>72</v>
      </c>
      <c r="L14" t="s">
        <v>43</v>
      </c>
      <c r="M14" t="s">
        <v>109</v>
      </c>
    </row>
    <row r="15" spans="1:14">
      <c r="B15" t="s">
        <v>424</v>
      </c>
      <c r="C15" t="s">
        <v>185</v>
      </c>
      <c r="E15" t="s">
        <v>73</v>
      </c>
      <c r="L15" t="s">
        <v>38</v>
      </c>
      <c r="M15" t="s">
        <v>110</v>
      </c>
    </row>
    <row r="16" spans="1:14">
      <c r="B16" t="s">
        <v>425</v>
      </c>
      <c r="C16" t="s">
        <v>257</v>
      </c>
      <c r="E16" t="s">
        <v>74</v>
      </c>
      <c r="L16" t="s">
        <v>44</v>
      </c>
      <c r="M16" t="s">
        <v>111</v>
      </c>
    </row>
    <row r="17" spans="2:13">
      <c r="B17" t="s">
        <v>426</v>
      </c>
      <c r="C17" t="s">
        <v>193</v>
      </c>
      <c r="E17" t="s">
        <v>71</v>
      </c>
      <c r="L17" t="s">
        <v>33</v>
      </c>
      <c r="M17" t="s">
        <v>147</v>
      </c>
    </row>
    <row r="18" spans="2:13">
      <c r="B18" t="s">
        <v>127</v>
      </c>
      <c r="C18" t="s">
        <v>194</v>
      </c>
      <c r="L18" t="s">
        <v>45</v>
      </c>
      <c r="M18" t="s">
        <v>160</v>
      </c>
    </row>
    <row r="19" spans="2:13">
      <c r="B19" t="s">
        <v>128</v>
      </c>
      <c r="C19" t="s">
        <v>195</v>
      </c>
      <c r="L19" t="s">
        <v>39</v>
      </c>
      <c r="M19" t="s">
        <v>161</v>
      </c>
    </row>
    <row r="20" spans="2:13">
      <c r="B20" t="s">
        <v>177</v>
      </c>
      <c r="C20" t="s">
        <v>256</v>
      </c>
      <c r="L20" t="s">
        <v>496</v>
      </c>
      <c r="M20" t="s">
        <v>98</v>
      </c>
    </row>
    <row r="21" spans="2:13">
      <c r="B21" t="s">
        <v>139</v>
      </c>
      <c r="C21" t="s">
        <v>280</v>
      </c>
      <c r="L21" t="s">
        <v>497</v>
      </c>
      <c r="M21" t="s">
        <v>146</v>
      </c>
    </row>
    <row r="22" spans="2:13">
      <c r="B22" t="s">
        <v>140</v>
      </c>
      <c r="C22" t="s">
        <v>293</v>
      </c>
      <c r="L22" t="s">
        <v>495</v>
      </c>
      <c r="M22" t="s">
        <v>95</v>
      </c>
    </row>
    <row r="23" spans="2:13">
      <c r="B23" t="s">
        <v>231</v>
      </c>
      <c r="C23" t="s">
        <v>294</v>
      </c>
      <c r="M23" t="s">
        <v>96</v>
      </c>
    </row>
    <row r="24" spans="2:13">
      <c r="B24" t="s">
        <v>233</v>
      </c>
      <c r="C24" t="s">
        <v>296</v>
      </c>
      <c r="M24" t="s">
        <v>97</v>
      </c>
    </row>
    <row r="25" spans="2:13">
      <c r="B25" t="s">
        <v>126</v>
      </c>
      <c r="C25" t="s">
        <v>295</v>
      </c>
    </row>
    <row r="26" spans="2:13">
      <c r="B26" s="2" t="s">
        <v>121</v>
      </c>
      <c r="C26" t="s">
        <v>252</v>
      </c>
    </row>
    <row r="27" spans="2:13">
      <c r="B27" s="2" t="s">
        <v>122</v>
      </c>
      <c r="C27" t="s">
        <v>280</v>
      </c>
    </row>
    <row r="28" spans="2:13">
      <c r="B28" s="2" t="s">
        <v>116</v>
      </c>
      <c r="C28" t="s">
        <v>311</v>
      </c>
    </row>
    <row r="29" spans="2:13">
      <c r="B29" s="2" t="s">
        <v>52</v>
      </c>
      <c r="C29" t="s">
        <v>317</v>
      </c>
    </row>
    <row r="30" spans="2:13">
      <c r="B30" s="2" t="s">
        <v>117</v>
      </c>
      <c r="C30" t="s">
        <v>318</v>
      </c>
    </row>
    <row r="31" spans="2:13">
      <c r="B31" s="2" t="s">
        <v>297</v>
      </c>
      <c r="C31" t="s">
        <v>414</v>
      </c>
    </row>
    <row r="32" spans="2:13">
      <c r="B32" s="2" t="s">
        <v>162</v>
      </c>
    </row>
    <row r="33" spans="2:2">
      <c r="B33" s="2" t="s">
        <v>118</v>
      </c>
    </row>
    <row r="34" spans="2:2">
      <c r="B34" s="2" t="s">
        <v>51</v>
      </c>
    </row>
    <row r="35" spans="2:2">
      <c r="B35" s="2" t="s">
        <v>50</v>
      </c>
    </row>
    <row r="36" spans="2:2">
      <c r="B36" s="2" t="s">
        <v>298</v>
      </c>
    </row>
    <row r="37" spans="2:2">
      <c r="B37" t="s">
        <v>427</v>
      </c>
    </row>
    <row r="38" spans="2:2">
      <c r="B38" t="s">
        <v>428</v>
      </c>
    </row>
    <row r="39" spans="2:2">
      <c r="B39" t="s">
        <v>224</v>
      </c>
    </row>
    <row r="40" spans="2:2">
      <c r="B40" t="s">
        <v>235</v>
      </c>
    </row>
    <row r="41" spans="2:2">
      <c r="B41" t="s">
        <v>229</v>
      </c>
    </row>
    <row r="42" spans="2:2">
      <c r="B42" t="s">
        <v>225</v>
      </c>
    </row>
    <row r="43" spans="2:2">
      <c r="B43" t="s">
        <v>236</v>
      </c>
    </row>
    <row r="44" spans="2:2">
      <c r="B44" t="s">
        <v>227</v>
      </c>
    </row>
    <row r="45" spans="2:2">
      <c r="B45" t="s">
        <v>228</v>
      </c>
    </row>
    <row r="46" spans="2:2">
      <c r="B46" t="s">
        <v>226</v>
      </c>
    </row>
    <row r="47" spans="2:2">
      <c r="B47" t="s">
        <v>198</v>
      </c>
    </row>
    <row r="48" spans="2:2">
      <c r="B48" t="s">
        <v>218</v>
      </c>
    </row>
    <row r="49" spans="2:2">
      <c r="B49" t="s">
        <v>220</v>
      </c>
    </row>
    <row r="50" spans="2:2">
      <c r="B50" t="s">
        <v>207</v>
      </c>
    </row>
    <row r="51" spans="2:2">
      <c r="B51" t="s">
        <v>203</v>
      </c>
    </row>
    <row r="52" spans="2:2">
      <c r="B52" t="s">
        <v>254</v>
      </c>
    </row>
    <row r="53" spans="2:2">
      <c r="B53" t="s">
        <v>200</v>
      </c>
    </row>
    <row r="54" spans="2:2">
      <c r="B54" t="s">
        <v>201</v>
      </c>
    </row>
    <row r="55" spans="2:2">
      <c r="B55" t="s">
        <v>208</v>
      </c>
    </row>
    <row r="56" spans="2:2">
      <c r="B56" t="s">
        <v>219</v>
      </c>
    </row>
    <row r="57" spans="2:2">
      <c r="B57" t="s">
        <v>187</v>
      </c>
    </row>
    <row r="58" spans="2:2">
      <c r="B58" t="s">
        <v>214</v>
      </c>
    </row>
    <row r="59" spans="2:2">
      <c r="B59" t="s">
        <v>205</v>
      </c>
    </row>
    <row r="60" spans="2:2">
      <c r="B60" t="s">
        <v>196</v>
      </c>
    </row>
    <row r="61" spans="2:2">
      <c r="B61" t="s">
        <v>253</v>
      </c>
    </row>
    <row r="62" spans="2:2">
      <c r="B62" t="s">
        <v>188</v>
      </c>
    </row>
    <row r="63" spans="2:2">
      <c r="B63" t="s">
        <v>216</v>
      </c>
    </row>
    <row r="64" spans="2:2">
      <c r="B64" t="s">
        <v>217</v>
      </c>
    </row>
    <row r="65" spans="2:2">
      <c r="B65" t="s">
        <v>189</v>
      </c>
    </row>
    <row r="66" spans="2:2">
      <c r="B66" t="s">
        <v>206</v>
      </c>
    </row>
    <row r="67" spans="2:2">
      <c r="B67" t="s">
        <v>215</v>
      </c>
    </row>
    <row r="68" spans="2:2">
      <c r="B68" t="s">
        <v>209</v>
      </c>
    </row>
    <row r="69" spans="2:2">
      <c r="B69" t="s">
        <v>222</v>
      </c>
    </row>
    <row r="70" spans="2:2">
      <c r="B70" t="s">
        <v>211</v>
      </c>
    </row>
    <row r="71" spans="2:2">
      <c r="B71" t="s">
        <v>244</v>
      </c>
    </row>
    <row r="72" spans="2:2">
      <c r="B72" t="s">
        <v>210</v>
      </c>
    </row>
    <row r="73" spans="2:2">
      <c r="B73" t="s">
        <v>245</v>
      </c>
    </row>
    <row r="74" spans="2:2">
      <c r="B74" t="s">
        <v>212</v>
      </c>
    </row>
    <row r="75" spans="2:2">
      <c r="B75" t="s">
        <v>221</v>
      </c>
    </row>
    <row r="76" spans="2:2">
      <c r="B76" t="s">
        <v>150</v>
      </c>
    </row>
    <row r="77" spans="2:2">
      <c r="B77" t="s">
        <v>180</v>
      </c>
    </row>
    <row r="78" spans="2:2">
      <c r="B78" t="s">
        <v>94</v>
      </c>
    </row>
    <row r="79" spans="2:2">
      <c r="B79" t="s">
        <v>237</v>
      </c>
    </row>
    <row r="80" spans="2:2">
      <c r="B80" t="s">
        <v>93</v>
      </c>
    </row>
    <row r="81" spans="2:2">
      <c r="B81" t="s">
        <v>238</v>
      </c>
    </row>
    <row r="82" spans="2:2">
      <c r="B82" t="s">
        <v>429</v>
      </c>
    </row>
    <row r="83" spans="2:2">
      <c r="B83" t="s">
        <v>430</v>
      </c>
    </row>
    <row r="84" spans="2:2">
      <c r="B84" t="s">
        <v>431</v>
      </c>
    </row>
    <row r="85" spans="2:2">
      <c r="B85" t="s">
        <v>239</v>
      </c>
    </row>
    <row r="86" spans="2:2">
      <c r="B86" t="s">
        <v>310</v>
      </c>
    </row>
    <row r="87" spans="2:2">
      <c r="B87" t="s">
        <v>14</v>
      </c>
    </row>
    <row r="88" spans="2:2">
      <c r="B88" t="s">
        <v>49</v>
      </c>
    </row>
    <row r="89" spans="2:2">
      <c r="B89" s="2" t="s">
        <v>488</v>
      </c>
    </row>
    <row r="90" spans="2:2">
      <c r="B90" s="2" t="s">
        <v>489</v>
      </c>
    </row>
    <row r="91" spans="2:2">
      <c r="B91" s="2" t="s">
        <v>490</v>
      </c>
    </row>
    <row r="92" spans="2:2">
      <c r="B92" s="2" t="s">
        <v>499</v>
      </c>
    </row>
    <row r="93" spans="2:2">
      <c r="B93" s="2" t="s">
        <v>500</v>
      </c>
    </row>
    <row r="94" spans="2:2">
      <c r="B94" s="2" t="s">
        <v>124</v>
      </c>
    </row>
    <row r="95" spans="2:2">
      <c r="B95" s="2" t="s">
        <v>53</v>
      </c>
    </row>
    <row r="96" spans="2:2">
      <c r="B96" s="2" t="s">
        <v>125</v>
      </c>
    </row>
    <row r="97" spans="2:2">
      <c r="B97" s="2" t="s">
        <v>119</v>
      </c>
    </row>
    <row r="98" spans="2:2">
      <c r="B98" s="2" t="s">
        <v>120</v>
      </c>
    </row>
    <row r="99" spans="2:2">
      <c r="B99" s="2" t="s">
        <v>55</v>
      </c>
    </row>
    <row r="100" spans="2:2">
      <c r="B100" s="2" t="s">
        <v>114</v>
      </c>
    </row>
    <row r="101" spans="2:2">
      <c r="B101" s="2" t="s">
        <v>54</v>
      </c>
    </row>
    <row r="102" spans="2:2">
      <c r="B102" s="2" t="s">
        <v>299</v>
      </c>
    </row>
    <row r="103" spans="2:2">
      <c r="B103" s="2" t="s">
        <v>115</v>
      </c>
    </row>
    <row r="104" spans="2:2">
      <c r="B104" t="s">
        <v>77</v>
      </c>
    </row>
    <row r="105" spans="2:2">
      <c r="B105" t="s">
        <v>76</v>
      </c>
    </row>
    <row r="106" spans="2:2">
      <c r="B106" t="s">
        <v>75</v>
      </c>
    </row>
    <row r="107" spans="2:2">
      <c r="B107" t="s">
        <v>78</v>
      </c>
    </row>
    <row r="108" spans="2:2">
      <c r="B108" t="s">
        <v>79</v>
      </c>
    </row>
    <row r="109" spans="2:2">
      <c r="B109" t="s">
        <v>287</v>
      </c>
    </row>
    <row r="110" spans="2:2">
      <c r="B110" t="s">
        <v>87</v>
      </c>
    </row>
    <row r="111" spans="2:2">
      <c r="B111" t="s">
        <v>92</v>
      </c>
    </row>
    <row r="112" spans="2:2">
      <c r="B112" t="s">
        <v>282</v>
      </c>
    </row>
    <row r="113" spans="2:2">
      <c r="B113" t="s">
        <v>89</v>
      </c>
    </row>
    <row r="114" spans="2:2">
      <c r="B114" t="s">
        <v>90</v>
      </c>
    </row>
    <row r="115" spans="2:2">
      <c r="B115" t="s">
        <v>91</v>
      </c>
    </row>
    <row r="116" spans="2:2">
      <c r="B116" t="s">
        <v>285</v>
      </c>
    </row>
    <row r="117" spans="2:2">
      <c r="B117" t="s">
        <v>158</v>
      </c>
    </row>
    <row r="118" spans="2:2">
      <c r="B118" t="s">
        <v>159</v>
      </c>
    </row>
    <row r="119" spans="2:2">
      <c r="B119" t="s">
        <v>81</v>
      </c>
    </row>
    <row r="120" spans="2:2">
      <c r="B120" t="s">
        <v>80</v>
      </c>
    </row>
    <row r="121" spans="2:2">
      <c r="B121" t="s">
        <v>82</v>
      </c>
    </row>
    <row r="122" spans="2:2">
      <c r="B122" t="s">
        <v>457</v>
      </c>
    </row>
    <row r="123" spans="2:2">
      <c r="B123" t="s">
        <v>284</v>
      </c>
    </row>
    <row r="124" spans="2:2">
      <c r="B124" t="s">
        <v>286</v>
      </c>
    </row>
    <row r="125" spans="2:2">
      <c r="B125" t="s">
        <v>153</v>
      </c>
    </row>
    <row r="126" spans="2:2">
      <c r="B126" t="s">
        <v>152</v>
      </c>
    </row>
    <row r="127" spans="2:2">
      <c r="B127" t="s">
        <v>151</v>
      </c>
    </row>
    <row r="128" spans="2:2">
      <c r="B128" t="s">
        <v>84</v>
      </c>
    </row>
    <row r="129" spans="2:2">
      <c r="B129" t="s">
        <v>83</v>
      </c>
    </row>
    <row r="130" spans="2:2">
      <c r="B130" t="s">
        <v>85</v>
      </c>
    </row>
    <row r="131" spans="2:2">
      <c r="B131" t="s">
        <v>283</v>
      </c>
    </row>
    <row r="132" spans="2:2">
      <c r="B132" t="s">
        <v>255</v>
      </c>
    </row>
    <row r="133" spans="2:2">
      <c r="B133" s="2" t="s">
        <v>313</v>
      </c>
    </row>
    <row r="134" spans="2:2">
      <c r="B134" s="2" t="s">
        <v>312</v>
      </c>
    </row>
    <row r="135" spans="2:2">
      <c r="B135" t="s">
        <v>112</v>
      </c>
    </row>
    <row r="136" spans="2:2">
      <c r="B136" t="s">
        <v>113</v>
      </c>
    </row>
    <row r="137" spans="2:2">
      <c r="B137" s="2" t="s">
        <v>291</v>
      </c>
    </row>
    <row r="138" spans="2:2">
      <c r="B138" s="2" t="s">
        <v>292</v>
      </c>
    </row>
    <row r="139" spans="2:2">
      <c r="B139" t="s">
        <v>149</v>
      </c>
    </row>
    <row r="140" spans="2:2">
      <c r="B140" t="s">
        <v>281</v>
      </c>
    </row>
    <row r="141" spans="2:2">
      <c r="B141" t="s">
        <v>246</v>
      </c>
    </row>
    <row r="142" spans="2:2">
      <c r="B142" t="s">
        <v>247</v>
      </c>
    </row>
    <row r="143" spans="2:2">
      <c r="B143" t="s">
        <v>315</v>
      </c>
    </row>
    <row r="144" spans="2:2">
      <c r="B144" t="s">
        <v>316</v>
      </c>
    </row>
    <row r="145" spans="2:2">
      <c r="B145" t="s">
        <v>166</v>
      </c>
    </row>
    <row r="146" spans="2:2">
      <c r="B146" s="2" t="s">
        <v>314</v>
      </c>
    </row>
    <row r="147" spans="2:2">
      <c r="B147" t="s">
        <v>167</v>
      </c>
    </row>
    <row r="148" spans="2:2">
      <c r="B148" t="s">
        <v>290</v>
      </c>
    </row>
    <row r="149" spans="2:2">
      <c r="B149" t="s">
        <v>168</v>
      </c>
    </row>
  </sheetData>
  <sortState xmlns:xlrd2="http://schemas.microsoft.com/office/spreadsheetml/2017/richdata2" ref="B2:B143">
    <sortCondition ref="B2:B143"/>
  </sortState>
  <dataValidations count="2">
    <dataValidation type="list" allowBlank="1" showInputMessage="1" showErrorMessage="1" sqref="M2:M12 C26 B61 B29:B32 B141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1"/>
  <sheetViews>
    <sheetView workbookViewId="0">
      <pane xSplit="1" ySplit="5" topLeftCell="B150" activePane="bottomRight" state="frozen"/>
      <selection pane="topRight" activeCell="B1" sqref="B1"/>
      <selection pane="bottomLeft" activeCell="A6" sqref="A6"/>
      <selection pane="bottomRight" activeCell="G169" sqref="G169"/>
    </sheetView>
  </sheetViews>
  <sheetFormatPr defaultColWidth="11.42578125" defaultRowHeight="15"/>
  <cols>
    <col min="1" max="1" width="40.42578125" bestFit="1" customWidth="1"/>
    <col min="5" max="5" width="14" bestFit="1" customWidth="1"/>
    <col min="8" max="8" width="14.5703125" bestFit="1" customWidth="1"/>
  </cols>
  <sheetData>
    <row r="1" spans="1:9">
      <c r="A1" t="s">
        <v>366</v>
      </c>
    </row>
    <row r="2" spans="1:9">
      <c r="A2" t="s">
        <v>339</v>
      </c>
    </row>
    <row r="3" spans="1:9">
      <c r="A3" t="s">
        <v>363</v>
      </c>
    </row>
    <row r="5" spans="1:9">
      <c r="A5" t="s">
        <v>17</v>
      </c>
      <c r="B5" t="s">
        <v>15</v>
      </c>
      <c r="C5" t="s">
        <v>265</v>
      </c>
      <c r="D5" t="s">
        <v>300</v>
      </c>
      <c r="E5" t="s">
        <v>301</v>
      </c>
      <c r="F5" t="s">
        <v>302</v>
      </c>
      <c r="G5" t="s">
        <v>303</v>
      </c>
      <c r="H5" t="s">
        <v>304</v>
      </c>
      <c r="I5" t="s">
        <v>415</v>
      </c>
    </row>
    <row r="6" spans="1:9">
      <c r="A6" t="s">
        <v>156</v>
      </c>
      <c r="F6">
        <v>1</v>
      </c>
    </row>
    <row r="7" spans="1:9">
      <c r="A7" t="s">
        <v>157</v>
      </c>
      <c r="F7">
        <v>1</v>
      </c>
    </row>
    <row r="8" spans="1:9">
      <c r="A8" t="s">
        <v>127</v>
      </c>
      <c r="G8">
        <v>1</v>
      </c>
    </row>
    <row r="9" spans="1:9">
      <c r="A9" t="s">
        <v>128</v>
      </c>
      <c r="G9">
        <v>1</v>
      </c>
    </row>
    <row r="10" spans="1:9">
      <c r="A10" t="s">
        <v>139</v>
      </c>
      <c r="G10">
        <v>1</v>
      </c>
    </row>
    <row r="11" spans="1:9">
      <c r="A11" t="s">
        <v>233</v>
      </c>
      <c r="G11">
        <v>1</v>
      </c>
    </row>
    <row r="12" spans="1:9">
      <c r="A12" t="s">
        <v>231</v>
      </c>
      <c r="G12">
        <v>1</v>
      </c>
    </row>
    <row r="13" spans="1:9">
      <c r="A13" t="s">
        <v>126</v>
      </c>
      <c r="G13">
        <v>1</v>
      </c>
    </row>
    <row r="14" spans="1:9">
      <c r="A14" t="s">
        <v>177</v>
      </c>
      <c r="E14">
        <v>1</v>
      </c>
      <c r="G14">
        <v>1</v>
      </c>
    </row>
    <row r="15" spans="1:9">
      <c r="A15" s="2" t="s">
        <v>121</v>
      </c>
      <c r="E15">
        <v>1</v>
      </c>
    </row>
    <row r="16" spans="1:9">
      <c r="A16" s="2" t="s">
        <v>122</v>
      </c>
      <c r="E16">
        <v>1</v>
      </c>
    </row>
    <row r="17" spans="1:5">
      <c r="A17" s="2" t="s">
        <v>116</v>
      </c>
      <c r="E17">
        <v>1</v>
      </c>
    </row>
    <row r="18" spans="1:5">
      <c r="A18" s="2" t="s">
        <v>52</v>
      </c>
      <c r="E18">
        <v>1</v>
      </c>
    </row>
    <row r="19" spans="1:5">
      <c r="A19" s="2" t="s">
        <v>117</v>
      </c>
      <c r="E19">
        <v>1</v>
      </c>
    </row>
    <row r="20" spans="1:5">
      <c r="A20" s="2" t="s">
        <v>118</v>
      </c>
      <c r="E20">
        <v>1</v>
      </c>
    </row>
    <row r="21" spans="1:5">
      <c r="A21" s="2" t="s">
        <v>162</v>
      </c>
      <c r="E21">
        <v>1</v>
      </c>
    </row>
    <row r="22" spans="1:5">
      <c r="A22" s="2" t="s">
        <v>51</v>
      </c>
      <c r="E22">
        <v>1</v>
      </c>
    </row>
    <row r="23" spans="1:5">
      <c r="A23" s="2" t="s">
        <v>50</v>
      </c>
      <c r="E23">
        <v>1</v>
      </c>
    </row>
    <row r="24" spans="1:5">
      <c r="A24" t="s">
        <v>150</v>
      </c>
      <c r="B24">
        <v>1</v>
      </c>
    </row>
    <row r="25" spans="1:5">
      <c r="A25" t="s">
        <v>94</v>
      </c>
      <c r="B25">
        <v>1</v>
      </c>
    </row>
    <row r="26" spans="1:5">
      <c r="A26" t="s">
        <v>93</v>
      </c>
      <c r="B26">
        <v>1</v>
      </c>
    </row>
    <row r="27" spans="1:5">
      <c r="A27" t="s">
        <v>13</v>
      </c>
      <c r="B27">
        <v>1</v>
      </c>
    </row>
    <row r="28" spans="1:5">
      <c r="A28" t="s">
        <v>14</v>
      </c>
      <c r="B28">
        <v>1</v>
      </c>
    </row>
    <row r="29" spans="1:5">
      <c r="A29" t="s">
        <v>49</v>
      </c>
      <c r="B29">
        <v>1</v>
      </c>
    </row>
    <row r="30" spans="1:5">
      <c r="A30" s="2" t="s">
        <v>124</v>
      </c>
      <c r="E30">
        <v>1</v>
      </c>
    </row>
    <row r="31" spans="1:5">
      <c r="A31" s="2" t="s">
        <v>53</v>
      </c>
      <c r="E31">
        <v>1</v>
      </c>
    </row>
    <row r="32" spans="1:5">
      <c r="A32" s="2" t="s">
        <v>125</v>
      </c>
      <c r="E32">
        <v>1</v>
      </c>
    </row>
    <row r="33" spans="1:6">
      <c r="A33" s="2" t="s">
        <v>119</v>
      </c>
      <c r="E33">
        <v>1</v>
      </c>
    </row>
    <row r="34" spans="1:6">
      <c r="A34" s="2" t="s">
        <v>120</v>
      </c>
      <c r="E34">
        <v>1</v>
      </c>
    </row>
    <row r="35" spans="1:6">
      <c r="A35" s="2" t="s">
        <v>55</v>
      </c>
      <c r="E35">
        <v>1</v>
      </c>
    </row>
    <row r="36" spans="1:6">
      <c r="A36" s="2" t="s">
        <v>114</v>
      </c>
      <c r="E36">
        <v>1</v>
      </c>
    </row>
    <row r="37" spans="1:6">
      <c r="A37" s="2" t="s">
        <v>54</v>
      </c>
      <c r="E37">
        <v>1</v>
      </c>
    </row>
    <row r="38" spans="1:6">
      <c r="A38" s="2" t="s">
        <v>115</v>
      </c>
      <c r="E38">
        <v>1</v>
      </c>
    </row>
    <row r="39" spans="1:6">
      <c r="A39" t="s">
        <v>77</v>
      </c>
      <c r="F39">
        <v>1</v>
      </c>
    </row>
    <row r="40" spans="1:6">
      <c r="A40" t="s">
        <v>76</v>
      </c>
      <c r="F40">
        <v>1</v>
      </c>
    </row>
    <row r="41" spans="1:6">
      <c r="A41" t="s">
        <v>75</v>
      </c>
      <c r="F41">
        <v>1</v>
      </c>
    </row>
    <row r="42" spans="1:6">
      <c r="A42" t="s">
        <v>78</v>
      </c>
      <c r="F42">
        <v>1</v>
      </c>
    </row>
    <row r="43" spans="1:6">
      <c r="A43" t="s">
        <v>79</v>
      </c>
      <c r="F43">
        <v>1</v>
      </c>
    </row>
    <row r="44" spans="1:6">
      <c r="A44" t="s">
        <v>87</v>
      </c>
      <c r="B44">
        <v>1</v>
      </c>
    </row>
    <row r="45" spans="1:6">
      <c r="A45" t="s">
        <v>92</v>
      </c>
      <c r="B45">
        <v>1</v>
      </c>
    </row>
    <row r="46" spans="1:6">
      <c r="A46" t="s">
        <v>89</v>
      </c>
      <c r="B46">
        <v>1</v>
      </c>
    </row>
    <row r="47" spans="1:6">
      <c r="A47" t="s">
        <v>90</v>
      </c>
      <c r="B47">
        <v>1</v>
      </c>
    </row>
    <row r="48" spans="1:6">
      <c r="A48" t="s">
        <v>91</v>
      </c>
      <c r="B48">
        <v>1</v>
      </c>
    </row>
    <row r="49" spans="1:8">
      <c r="A49" t="s">
        <v>158</v>
      </c>
      <c r="B49">
        <v>1</v>
      </c>
    </row>
    <row r="50" spans="1:8">
      <c r="A50" t="s">
        <v>159</v>
      </c>
      <c r="B50">
        <v>1</v>
      </c>
    </row>
    <row r="51" spans="1:8">
      <c r="A51" t="s">
        <v>81</v>
      </c>
      <c r="B51">
        <v>1</v>
      </c>
    </row>
    <row r="52" spans="1:8">
      <c r="A52" t="s">
        <v>80</v>
      </c>
      <c r="B52">
        <v>1</v>
      </c>
    </row>
    <row r="53" spans="1:8">
      <c r="A53" t="s">
        <v>82</v>
      </c>
      <c r="B53">
        <v>1</v>
      </c>
    </row>
    <row r="54" spans="1:8">
      <c r="A54" t="s">
        <v>151</v>
      </c>
      <c r="B54">
        <v>1</v>
      </c>
    </row>
    <row r="55" spans="1:8">
      <c r="A55" t="s">
        <v>152</v>
      </c>
      <c r="B55">
        <v>1</v>
      </c>
    </row>
    <row r="56" spans="1:8">
      <c r="A56" t="s">
        <v>153</v>
      </c>
      <c r="B56">
        <v>1</v>
      </c>
    </row>
    <row r="57" spans="1:8">
      <c r="A57" t="s">
        <v>84</v>
      </c>
      <c r="B57">
        <v>1</v>
      </c>
    </row>
    <row r="58" spans="1:8">
      <c r="A58" t="s">
        <v>83</v>
      </c>
      <c r="B58">
        <v>1</v>
      </c>
    </row>
    <row r="59" spans="1:8">
      <c r="A59" t="s">
        <v>85</v>
      </c>
      <c r="B59">
        <v>1</v>
      </c>
    </row>
    <row r="60" spans="1:8">
      <c r="A60" t="s">
        <v>112</v>
      </c>
      <c r="H60">
        <v>1</v>
      </c>
    </row>
    <row r="61" spans="1:8">
      <c r="A61" t="s">
        <v>113</v>
      </c>
      <c r="H61">
        <v>1</v>
      </c>
    </row>
    <row r="62" spans="1:8">
      <c r="A62" t="s">
        <v>149</v>
      </c>
      <c r="H62">
        <v>1</v>
      </c>
    </row>
    <row r="63" spans="1:8">
      <c r="A63" t="s">
        <v>167</v>
      </c>
      <c r="F63">
        <v>1</v>
      </c>
    </row>
    <row r="64" spans="1:8">
      <c r="A64" t="s">
        <v>166</v>
      </c>
      <c r="F64">
        <v>1</v>
      </c>
    </row>
    <row r="65" spans="1:7">
      <c r="A65" t="s">
        <v>168</v>
      </c>
      <c r="F65">
        <v>1</v>
      </c>
    </row>
    <row r="66" spans="1:7">
      <c r="A66" t="s">
        <v>180</v>
      </c>
      <c r="B66">
        <v>1</v>
      </c>
    </row>
    <row r="67" spans="1:7">
      <c r="A67" t="s">
        <v>181</v>
      </c>
      <c r="F67">
        <v>1</v>
      </c>
    </row>
    <row r="68" spans="1:7">
      <c r="A68" t="s">
        <v>140</v>
      </c>
      <c r="G68">
        <v>1</v>
      </c>
    </row>
    <row r="69" spans="1:7">
      <c r="A69" t="s">
        <v>205</v>
      </c>
      <c r="D69">
        <v>1</v>
      </c>
    </row>
    <row r="70" spans="1:7">
      <c r="A70" t="s">
        <v>192</v>
      </c>
      <c r="B70">
        <v>1</v>
      </c>
      <c r="D70">
        <v>0</v>
      </c>
    </row>
    <row r="71" spans="1:7">
      <c r="A71" t="s">
        <v>187</v>
      </c>
      <c r="D71">
        <v>1</v>
      </c>
    </row>
    <row r="72" spans="1:7">
      <c r="A72" t="s">
        <v>191</v>
      </c>
      <c r="D72">
        <v>1</v>
      </c>
    </row>
    <row r="73" spans="1:7">
      <c r="A73" t="s">
        <v>188</v>
      </c>
      <c r="D73">
        <v>1</v>
      </c>
    </row>
    <row r="74" spans="1:7">
      <c r="A74" t="s">
        <v>189</v>
      </c>
      <c r="D74">
        <v>1</v>
      </c>
    </row>
    <row r="75" spans="1:7">
      <c r="A75" t="s">
        <v>190</v>
      </c>
      <c r="B75">
        <v>1</v>
      </c>
      <c r="D75">
        <v>0</v>
      </c>
    </row>
    <row r="76" spans="1:7">
      <c r="A76" t="s">
        <v>213</v>
      </c>
      <c r="B76">
        <v>1</v>
      </c>
      <c r="D76">
        <v>0</v>
      </c>
    </row>
    <row r="77" spans="1:7">
      <c r="A77" t="s">
        <v>214</v>
      </c>
      <c r="D77">
        <v>1</v>
      </c>
    </row>
    <row r="78" spans="1:7">
      <c r="A78" t="s">
        <v>215</v>
      </c>
      <c r="D78">
        <v>1</v>
      </c>
    </row>
    <row r="79" spans="1:7">
      <c r="A79" t="s">
        <v>216</v>
      </c>
      <c r="D79">
        <v>1</v>
      </c>
    </row>
    <row r="80" spans="1:7">
      <c r="A80" t="s">
        <v>217</v>
      </c>
      <c r="D80">
        <v>1</v>
      </c>
    </row>
    <row r="81" spans="1:4">
      <c r="A81" t="s">
        <v>196</v>
      </c>
      <c r="D81">
        <v>1</v>
      </c>
    </row>
    <row r="82" spans="1:4">
      <c r="A82" t="s">
        <v>206</v>
      </c>
      <c r="D82">
        <v>1</v>
      </c>
    </row>
    <row r="83" spans="1:4">
      <c r="A83" t="s">
        <v>207</v>
      </c>
      <c r="C83">
        <v>1</v>
      </c>
    </row>
    <row r="84" spans="1:4">
      <c r="A84" t="s">
        <v>197</v>
      </c>
      <c r="B84">
        <v>1</v>
      </c>
      <c r="C84">
        <v>0</v>
      </c>
    </row>
    <row r="85" spans="1:4">
      <c r="A85" t="s">
        <v>198</v>
      </c>
      <c r="C85">
        <v>1</v>
      </c>
    </row>
    <row r="86" spans="1:4">
      <c r="A86" t="s">
        <v>199</v>
      </c>
      <c r="B86">
        <v>1</v>
      </c>
      <c r="C86">
        <v>0</v>
      </c>
    </row>
    <row r="87" spans="1:4">
      <c r="A87" t="s">
        <v>200</v>
      </c>
      <c r="C87">
        <v>1</v>
      </c>
    </row>
    <row r="88" spans="1:4">
      <c r="A88" t="s">
        <v>201</v>
      </c>
      <c r="C88">
        <v>1</v>
      </c>
    </row>
    <row r="89" spans="1:4">
      <c r="A89" t="s">
        <v>202</v>
      </c>
      <c r="B89">
        <v>1</v>
      </c>
      <c r="C89">
        <v>0</v>
      </c>
    </row>
    <row r="90" spans="1:4">
      <c r="A90" t="s">
        <v>230</v>
      </c>
      <c r="B90">
        <v>1</v>
      </c>
      <c r="C90">
        <v>0</v>
      </c>
    </row>
    <row r="91" spans="1:4">
      <c r="A91" t="s">
        <v>218</v>
      </c>
      <c r="C91">
        <v>1</v>
      </c>
    </row>
    <row r="92" spans="1:4">
      <c r="A92" t="s">
        <v>219</v>
      </c>
      <c r="C92">
        <v>1</v>
      </c>
    </row>
    <row r="93" spans="1:4">
      <c r="A93" t="s">
        <v>220</v>
      </c>
      <c r="C93">
        <v>1</v>
      </c>
    </row>
    <row r="94" spans="1:4">
      <c r="A94" t="s">
        <v>203</v>
      </c>
      <c r="C94">
        <v>1</v>
      </c>
    </row>
    <row r="95" spans="1:4">
      <c r="A95" t="s">
        <v>208</v>
      </c>
      <c r="C95">
        <v>1</v>
      </c>
    </row>
    <row r="96" spans="1:4">
      <c r="A96" t="s">
        <v>204</v>
      </c>
      <c r="B96">
        <v>1</v>
      </c>
      <c r="C96">
        <v>0</v>
      </c>
    </row>
    <row r="97" spans="1:3">
      <c r="A97" t="s">
        <v>211</v>
      </c>
      <c r="C97">
        <v>1</v>
      </c>
    </row>
    <row r="98" spans="1:3">
      <c r="A98" t="s">
        <v>209</v>
      </c>
      <c r="C98">
        <v>1</v>
      </c>
    </row>
    <row r="99" spans="1:3">
      <c r="A99" t="s">
        <v>210</v>
      </c>
      <c r="C99">
        <v>1</v>
      </c>
    </row>
    <row r="100" spans="1:3">
      <c r="A100" t="s">
        <v>221</v>
      </c>
      <c r="C100">
        <v>1</v>
      </c>
    </row>
    <row r="101" spans="1:3">
      <c r="A101" t="s">
        <v>212</v>
      </c>
      <c r="C101">
        <v>1</v>
      </c>
    </row>
    <row r="102" spans="1:3">
      <c r="A102" t="s">
        <v>224</v>
      </c>
      <c r="C102">
        <v>1</v>
      </c>
    </row>
    <row r="103" spans="1:3">
      <c r="A103" t="s">
        <v>225</v>
      </c>
      <c r="C103">
        <v>1</v>
      </c>
    </row>
    <row r="104" spans="1:3">
      <c r="A104" t="s">
        <v>226</v>
      </c>
      <c r="C104">
        <v>1</v>
      </c>
    </row>
    <row r="105" spans="1:3">
      <c r="A105" t="s">
        <v>227</v>
      </c>
      <c r="C105">
        <v>1</v>
      </c>
    </row>
    <row r="106" spans="1:3">
      <c r="A106" t="s">
        <v>228</v>
      </c>
      <c r="C106">
        <v>1</v>
      </c>
    </row>
    <row r="107" spans="1:3">
      <c r="A107" t="s">
        <v>229</v>
      </c>
      <c r="C107">
        <v>1</v>
      </c>
    </row>
    <row r="108" spans="1:3">
      <c r="A108" t="s">
        <v>235</v>
      </c>
      <c r="C108">
        <v>1</v>
      </c>
    </row>
    <row r="109" spans="1:3">
      <c r="A109" t="s">
        <v>236</v>
      </c>
      <c r="C109">
        <v>1</v>
      </c>
    </row>
    <row r="110" spans="1:3">
      <c r="A110" t="s">
        <v>248</v>
      </c>
      <c r="B110">
        <v>1</v>
      </c>
      <c r="C110">
        <v>0</v>
      </c>
    </row>
    <row r="111" spans="1:3">
      <c r="A111" t="s">
        <v>242</v>
      </c>
      <c r="B111">
        <v>1</v>
      </c>
      <c r="C111">
        <v>0</v>
      </c>
    </row>
    <row r="112" spans="1:3">
      <c r="A112" t="s">
        <v>243</v>
      </c>
      <c r="B112">
        <v>1</v>
      </c>
      <c r="C112">
        <v>0</v>
      </c>
    </row>
    <row r="113" spans="1:8">
      <c r="A113" t="s">
        <v>249</v>
      </c>
      <c r="B113">
        <v>1</v>
      </c>
      <c r="D113">
        <v>0</v>
      </c>
    </row>
    <row r="114" spans="1:8">
      <c r="A114" t="s">
        <v>240</v>
      </c>
      <c r="B114">
        <v>1</v>
      </c>
      <c r="D114">
        <v>0</v>
      </c>
    </row>
    <row r="115" spans="1:8">
      <c r="A115" t="s">
        <v>241</v>
      </c>
      <c r="B115">
        <v>1</v>
      </c>
      <c r="D115">
        <v>0</v>
      </c>
    </row>
    <row r="116" spans="1:8">
      <c r="A116" t="s">
        <v>244</v>
      </c>
      <c r="C116">
        <v>1</v>
      </c>
    </row>
    <row r="117" spans="1:8">
      <c r="A117" t="s">
        <v>245</v>
      </c>
      <c r="C117">
        <v>1</v>
      </c>
    </row>
    <row r="118" spans="1:8">
      <c r="A118" t="s">
        <v>237</v>
      </c>
      <c r="B118">
        <v>1</v>
      </c>
    </row>
    <row r="119" spans="1:8">
      <c r="A119" t="s">
        <v>238</v>
      </c>
      <c r="B119">
        <v>1</v>
      </c>
    </row>
    <row r="120" spans="1:8">
      <c r="A120" t="s">
        <v>239</v>
      </c>
      <c r="B120">
        <v>1</v>
      </c>
    </row>
    <row r="121" spans="1:8">
      <c r="A121" t="s">
        <v>246</v>
      </c>
      <c r="H121">
        <v>1</v>
      </c>
    </row>
    <row r="122" spans="1:8">
      <c r="A122" t="s">
        <v>247</v>
      </c>
      <c r="H122">
        <v>1</v>
      </c>
    </row>
    <row r="123" spans="1:8">
      <c r="A123" t="s">
        <v>250</v>
      </c>
      <c r="H123">
        <v>1</v>
      </c>
    </row>
    <row r="124" spans="1:8">
      <c r="A124" t="s">
        <v>253</v>
      </c>
      <c r="D124">
        <v>1</v>
      </c>
    </row>
    <row r="125" spans="1:8">
      <c r="A125" t="s">
        <v>254</v>
      </c>
      <c r="C125">
        <v>1</v>
      </c>
    </row>
    <row r="126" spans="1:8">
      <c r="A126" t="s">
        <v>255</v>
      </c>
      <c r="H126">
        <v>1</v>
      </c>
    </row>
    <row r="127" spans="1:8">
      <c r="A127" t="s">
        <v>281</v>
      </c>
      <c r="H127">
        <v>1</v>
      </c>
    </row>
    <row r="128" spans="1:8">
      <c r="A128" t="s">
        <v>282</v>
      </c>
      <c r="F128">
        <v>1</v>
      </c>
    </row>
    <row r="129" spans="1:8">
      <c r="A129" t="s">
        <v>283</v>
      </c>
      <c r="F129">
        <v>1</v>
      </c>
    </row>
    <row r="130" spans="1:8">
      <c r="A130" t="s">
        <v>284</v>
      </c>
      <c r="F130">
        <v>1</v>
      </c>
    </row>
    <row r="131" spans="1:8">
      <c r="A131" t="s">
        <v>285</v>
      </c>
      <c r="F131">
        <v>1</v>
      </c>
    </row>
    <row r="132" spans="1:8">
      <c r="A132" t="s">
        <v>286</v>
      </c>
      <c r="F132">
        <v>1</v>
      </c>
    </row>
    <row r="133" spans="1:8">
      <c r="A133" t="s">
        <v>287</v>
      </c>
      <c r="F133">
        <v>1</v>
      </c>
    </row>
    <row r="134" spans="1:8">
      <c r="A134" s="2" t="s">
        <v>291</v>
      </c>
      <c r="H134">
        <v>1</v>
      </c>
    </row>
    <row r="135" spans="1:8">
      <c r="A135" s="2" t="s">
        <v>292</v>
      </c>
      <c r="H135">
        <v>1</v>
      </c>
    </row>
    <row r="136" spans="1:8">
      <c r="A136" t="s">
        <v>290</v>
      </c>
      <c r="F136">
        <v>1</v>
      </c>
    </row>
    <row r="137" spans="1:8">
      <c r="A137" s="2" t="s">
        <v>297</v>
      </c>
      <c r="E137">
        <v>1</v>
      </c>
    </row>
    <row r="138" spans="1:8">
      <c r="A138" s="2" t="s">
        <v>298</v>
      </c>
      <c r="E138">
        <v>1</v>
      </c>
    </row>
    <row r="139" spans="1:8">
      <c r="A139" s="2" t="s">
        <v>299</v>
      </c>
      <c r="E139">
        <v>1</v>
      </c>
    </row>
    <row r="140" spans="1:8">
      <c r="A140" t="s">
        <v>310</v>
      </c>
      <c r="B140">
        <v>1</v>
      </c>
    </row>
    <row r="141" spans="1:8">
      <c r="A141" t="s">
        <v>251</v>
      </c>
      <c r="F141">
        <v>1</v>
      </c>
    </row>
    <row r="142" spans="1:8">
      <c r="A142" t="s">
        <v>312</v>
      </c>
      <c r="H142">
        <v>1</v>
      </c>
    </row>
    <row r="143" spans="1:8">
      <c r="A143" t="s">
        <v>313</v>
      </c>
      <c r="H143">
        <v>1</v>
      </c>
    </row>
    <row r="144" spans="1:8">
      <c r="A144" t="s">
        <v>314</v>
      </c>
      <c r="F144">
        <v>1</v>
      </c>
    </row>
    <row r="145" spans="1:9">
      <c r="A145" t="s">
        <v>315</v>
      </c>
      <c r="F145">
        <v>1</v>
      </c>
    </row>
    <row r="146" spans="1:9">
      <c r="A146" t="s">
        <v>316</v>
      </c>
      <c r="F146">
        <v>1</v>
      </c>
    </row>
    <row r="147" spans="1:9">
      <c r="A147" t="s">
        <v>416</v>
      </c>
      <c r="I147">
        <v>1</v>
      </c>
    </row>
    <row r="148" spans="1:9">
      <c r="A148" t="s">
        <v>95</v>
      </c>
      <c r="I148">
        <v>1</v>
      </c>
    </row>
    <row r="149" spans="1:9">
      <c r="A149" t="s">
        <v>96</v>
      </c>
      <c r="I149">
        <v>1</v>
      </c>
    </row>
    <row r="150" spans="1:9">
      <c r="A150" t="s">
        <v>422</v>
      </c>
      <c r="I150">
        <v>1</v>
      </c>
    </row>
    <row r="151" spans="1:9">
      <c r="A151" t="s">
        <v>420</v>
      </c>
      <c r="I151">
        <v>1</v>
      </c>
    </row>
    <row r="152" spans="1:9">
      <c r="A152" t="s">
        <v>424</v>
      </c>
      <c r="I152">
        <v>1</v>
      </c>
    </row>
    <row r="153" spans="1:9">
      <c r="A153" t="s">
        <v>417</v>
      </c>
      <c r="I153">
        <v>1</v>
      </c>
    </row>
    <row r="154" spans="1:9">
      <c r="A154" t="s">
        <v>418</v>
      </c>
      <c r="I154">
        <v>1</v>
      </c>
    </row>
    <row r="155" spans="1:9">
      <c r="A155" t="s">
        <v>419</v>
      </c>
      <c r="I155">
        <v>1</v>
      </c>
    </row>
    <row r="156" spans="1:9">
      <c r="A156" t="s">
        <v>423</v>
      </c>
      <c r="I156">
        <v>1</v>
      </c>
    </row>
    <row r="157" spans="1:9">
      <c r="A157" t="s">
        <v>421</v>
      </c>
      <c r="I157">
        <v>1</v>
      </c>
    </row>
    <row r="158" spans="1:9">
      <c r="A158" t="s">
        <v>425</v>
      </c>
      <c r="I158">
        <v>1</v>
      </c>
    </row>
    <row r="159" spans="1:9">
      <c r="A159" t="s">
        <v>427</v>
      </c>
      <c r="C159">
        <v>1</v>
      </c>
    </row>
    <row r="160" spans="1:9">
      <c r="A160" t="s">
        <v>428</v>
      </c>
      <c r="D160">
        <v>1</v>
      </c>
    </row>
    <row r="161" spans="1:9">
      <c r="A161" t="s">
        <v>426</v>
      </c>
      <c r="I161">
        <v>1</v>
      </c>
    </row>
    <row r="162" spans="1:9">
      <c r="A162" t="s">
        <v>453</v>
      </c>
      <c r="B162">
        <v>1</v>
      </c>
    </row>
    <row r="163" spans="1:9">
      <c r="A163" t="s">
        <v>429</v>
      </c>
      <c r="B163">
        <v>1</v>
      </c>
    </row>
    <row r="164" spans="1:9">
      <c r="A164" t="s">
        <v>431</v>
      </c>
      <c r="B164">
        <v>1</v>
      </c>
    </row>
    <row r="165" spans="1:9">
      <c r="A165" t="s">
        <v>430</v>
      </c>
      <c r="B165">
        <v>1</v>
      </c>
    </row>
    <row r="166" spans="1:9">
      <c r="A166" t="s">
        <v>222</v>
      </c>
      <c r="C166">
        <v>1</v>
      </c>
    </row>
    <row r="167" spans="1:9">
      <c r="A167" s="2" t="s">
        <v>499</v>
      </c>
      <c r="E167">
        <v>1</v>
      </c>
    </row>
    <row r="168" spans="1:9">
      <c r="A168" s="2" t="s">
        <v>500</v>
      </c>
      <c r="E168">
        <v>1</v>
      </c>
    </row>
    <row r="169" spans="1:9">
      <c r="A169" s="2" t="s">
        <v>488</v>
      </c>
      <c r="E169">
        <v>1</v>
      </c>
    </row>
    <row r="170" spans="1:9">
      <c r="A170" s="2" t="s">
        <v>489</v>
      </c>
      <c r="E170">
        <v>1</v>
      </c>
    </row>
    <row r="171" spans="1:9">
      <c r="A171" s="2" t="s">
        <v>490</v>
      </c>
      <c r="E171">
        <v>1</v>
      </c>
    </row>
  </sheetData>
  <dataValidations disablePrompts="1"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Q7"/>
  <sheetViews>
    <sheetView topLeftCell="EV1" workbookViewId="0">
      <selection activeCell="FP5" sqref="FP5:FQ5"/>
    </sheetView>
  </sheetViews>
  <sheetFormatPr defaultColWidth="11.42578125" defaultRowHeight="15"/>
  <cols>
    <col min="1" max="1" width="17" customWidth="1"/>
    <col min="2" max="2" width="16.42578125" bestFit="1" customWidth="1"/>
    <col min="3" max="3" width="14.42578125" bestFit="1" customWidth="1"/>
    <col min="4" max="4" width="7.570312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2578125" bestFit="1" customWidth="1"/>
    <col min="10" max="10" width="8.42578125" bestFit="1" customWidth="1"/>
    <col min="11" max="11" width="6.42578125" bestFit="1" customWidth="1"/>
    <col min="12" max="12" width="6" bestFit="1" customWidth="1"/>
    <col min="13" max="13" width="13.42578125" bestFit="1" customWidth="1"/>
    <col min="14" max="14" width="11.42578125" bestFit="1" customWidth="1"/>
    <col min="15" max="15" width="16.42578125" bestFit="1" customWidth="1"/>
    <col min="16" max="16" width="14.42578125" bestFit="1" customWidth="1"/>
    <col min="17" max="17" width="18" bestFit="1" customWidth="1"/>
    <col min="18" max="18" width="7.85546875" bestFit="1" customWidth="1"/>
    <col min="19" max="19" width="14.42578125" bestFit="1" customWidth="1"/>
    <col min="20" max="20" width="11" bestFit="1" customWidth="1"/>
    <col min="21" max="21" width="16" bestFit="1" customWidth="1"/>
    <col min="22" max="22" width="14.140625" bestFit="1" customWidth="1"/>
    <col min="23" max="23" width="17.42578125" bestFit="1" customWidth="1"/>
    <col min="24" max="24" width="7.42578125" bestFit="1" customWidth="1"/>
    <col min="25" max="25" width="14" bestFit="1" customWidth="1"/>
    <col min="26" max="26" width="12.85546875" bestFit="1" customWidth="1"/>
    <col min="27" max="28" width="11" bestFit="1" customWidth="1"/>
    <col min="29" max="29" width="14" bestFit="1" customWidth="1"/>
    <col min="30" max="30" width="12.42578125" bestFit="1" customWidth="1"/>
    <col min="31" max="31" width="5.5703125" bestFit="1" customWidth="1"/>
    <col min="32" max="32" width="8.5703125" bestFit="1" customWidth="1"/>
    <col min="33" max="33" width="5.5703125" bestFit="1" customWidth="1"/>
    <col min="34" max="34" width="7.42578125" bestFit="1" customWidth="1"/>
    <col min="35" max="35" width="14.42578125" bestFit="1" customWidth="1"/>
    <col min="36" max="36" width="13.85546875" bestFit="1" customWidth="1"/>
    <col min="37" max="38" width="14.42578125" bestFit="1" customWidth="1"/>
    <col min="39" max="39" width="9.42578125" bestFit="1" customWidth="1"/>
    <col min="40" max="40" width="13.85546875" bestFit="1" customWidth="1"/>
    <col min="41" max="41" width="16.42578125" bestFit="1" customWidth="1"/>
    <col min="42" max="42" width="15.42578125" bestFit="1" customWidth="1"/>
    <col min="43" max="43" width="16.42578125" bestFit="1" customWidth="1"/>
    <col min="44" max="44" width="20.42578125" bestFit="1" customWidth="1"/>
    <col min="45" max="45" width="19.42578125" bestFit="1" customWidth="1"/>
    <col min="46" max="46" width="20.42578125" bestFit="1" customWidth="1"/>
    <col min="47" max="47" width="20.140625" bestFit="1" customWidth="1"/>
    <col min="48" max="48" width="19.42578125" bestFit="1" customWidth="1"/>
    <col min="49" max="49" width="20.140625" bestFit="1" customWidth="1"/>
    <col min="50" max="50" width="11.42578125" bestFit="1" customWidth="1"/>
    <col min="51" max="51" width="9.5703125" bestFit="1" customWidth="1"/>
    <col min="52" max="52" width="14.140625" bestFit="1" customWidth="1"/>
    <col min="56" max="56" width="12.42578125" bestFit="1" customWidth="1"/>
    <col min="57" max="57" width="14.140625" bestFit="1" customWidth="1"/>
    <col min="58" max="58" width="12.42578125" bestFit="1" customWidth="1"/>
    <col min="59" max="59" width="11.5703125" bestFit="1" customWidth="1"/>
    <col min="60" max="60" width="11.85546875" bestFit="1" customWidth="1"/>
    <col min="61" max="61" width="13.5703125" bestFit="1" customWidth="1"/>
    <col min="62" max="62" width="12" bestFit="1" customWidth="1"/>
    <col min="63" max="63" width="11.42578125" bestFit="1" customWidth="1"/>
    <col min="64" max="64" width="12.5703125" bestFit="1" customWidth="1"/>
    <col min="65" max="65" width="11.5703125" bestFit="1" customWidth="1"/>
    <col min="66" max="66" width="13" bestFit="1" customWidth="1"/>
    <col min="67" max="67" width="11.42578125" bestFit="1" customWidth="1"/>
    <col min="68" max="68" width="13.5703125" bestFit="1" customWidth="1"/>
    <col min="69" max="69" width="15.42578125" bestFit="1" customWidth="1"/>
    <col min="70" max="70" width="14" bestFit="1" customWidth="1"/>
    <col min="71" max="71" width="13.140625" bestFit="1" customWidth="1"/>
    <col min="72" max="72" width="13.42578125" bestFit="1" customWidth="1"/>
    <col min="73" max="73" width="15.140625" bestFit="1" customWidth="1"/>
  </cols>
  <sheetData>
    <row r="1" spans="1:173">
      <c r="A1" t="s">
        <v>340</v>
      </c>
    </row>
    <row r="2" spans="1:173">
      <c r="A2" t="s">
        <v>341</v>
      </c>
    </row>
    <row r="3" spans="1:173">
      <c r="A3" t="s">
        <v>343</v>
      </c>
    </row>
    <row r="5" spans="1:173" ht="75">
      <c r="A5" t="s">
        <v>11</v>
      </c>
      <c r="B5" t="s">
        <v>156</v>
      </c>
      <c r="C5" t="s">
        <v>157</v>
      </c>
      <c r="D5" t="s">
        <v>127</v>
      </c>
      <c r="E5" t="s">
        <v>128</v>
      </c>
      <c r="F5" t="s">
        <v>139</v>
      </c>
      <c r="G5" t="s">
        <v>140</v>
      </c>
      <c r="H5" t="s">
        <v>233</v>
      </c>
      <c r="I5" t="s">
        <v>231</v>
      </c>
      <c r="J5" t="s">
        <v>126</v>
      </c>
      <c r="K5" t="s">
        <v>129</v>
      </c>
      <c r="L5" s="2" t="s">
        <v>121</v>
      </c>
      <c r="M5" s="2" t="s">
        <v>122</v>
      </c>
      <c r="N5" s="2" t="s">
        <v>116</v>
      </c>
      <c r="O5" s="2" t="s">
        <v>52</v>
      </c>
      <c r="P5" s="2" t="s">
        <v>117</v>
      </c>
      <c r="Q5" s="2" t="s">
        <v>118</v>
      </c>
      <c r="R5" s="2" t="s">
        <v>162</v>
      </c>
      <c r="S5" s="2" t="s">
        <v>51</v>
      </c>
      <c r="T5" s="2" t="s">
        <v>50</v>
      </c>
      <c r="U5" t="s">
        <v>150</v>
      </c>
      <c r="V5" t="s">
        <v>94</v>
      </c>
      <c r="W5" t="s">
        <v>93</v>
      </c>
      <c r="X5" t="s">
        <v>13</v>
      </c>
      <c r="Y5" t="s">
        <v>14</v>
      </c>
      <c r="Z5" t="s">
        <v>49</v>
      </c>
      <c r="AA5" s="2" t="s">
        <v>124</v>
      </c>
      <c r="AB5" s="2" t="s">
        <v>53</v>
      </c>
      <c r="AC5" s="2" t="s">
        <v>125</v>
      </c>
      <c r="AD5" s="2" t="s">
        <v>119</v>
      </c>
      <c r="AE5" s="2" t="s">
        <v>120</v>
      </c>
      <c r="AF5" s="2" t="s">
        <v>55</v>
      </c>
      <c r="AG5" s="2" t="s">
        <v>114</v>
      </c>
      <c r="AH5" s="2" t="s">
        <v>54</v>
      </c>
      <c r="AI5" s="2" t="s">
        <v>115</v>
      </c>
      <c r="AJ5" t="s">
        <v>77</v>
      </c>
      <c r="AK5" t="s">
        <v>76</v>
      </c>
      <c r="AL5" t="s">
        <v>75</v>
      </c>
      <c r="AM5" t="s">
        <v>78</v>
      </c>
      <c r="AN5" t="s">
        <v>79</v>
      </c>
      <c r="AO5" t="s">
        <v>145</v>
      </c>
      <c r="AP5" t="s">
        <v>87</v>
      </c>
      <c r="AQ5" t="s">
        <v>92</v>
      </c>
      <c r="AR5" t="s">
        <v>89</v>
      </c>
      <c r="AS5" t="s">
        <v>90</v>
      </c>
      <c r="AT5" t="s">
        <v>91</v>
      </c>
      <c r="AU5" t="s">
        <v>158</v>
      </c>
      <c r="AV5" t="s">
        <v>159</v>
      </c>
      <c r="AW5" t="s">
        <v>81</v>
      </c>
      <c r="AX5" t="s">
        <v>80</v>
      </c>
      <c r="AY5" t="s">
        <v>82</v>
      </c>
      <c r="AZ5" t="s">
        <v>151</v>
      </c>
      <c r="BA5" t="s">
        <v>152</v>
      </c>
      <c r="BB5" t="s">
        <v>153</v>
      </c>
      <c r="BC5" t="s">
        <v>84</v>
      </c>
      <c r="BD5" t="s">
        <v>83</v>
      </c>
      <c r="BE5" t="s">
        <v>85</v>
      </c>
      <c r="BF5" t="s">
        <v>112</v>
      </c>
      <c r="BG5" t="s">
        <v>113</v>
      </c>
      <c r="BH5" t="s">
        <v>149</v>
      </c>
      <c r="BI5" t="s">
        <v>167</v>
      </c>
      <c r="BJ5" t="s">
        <v>166</v>
      </c>
      <c r="BK5" t="s">
        <v>168</v>
      </c>
      <c r="BL5" t="s">
        <v>176</v>
      </c>
      <c r="BM5" t="s">
        <v>177</v>
      </c>
      <c r="BN5" t="s">
        <v>179</v>
      </c>
      <c r="BO5" t="s">
        <v>180</v>
      </c>
      <c r="BP5" t="s">
        <v>181</v>
      </c>
      <c r="BQ5" t="s">
        <v>140</v>
      </c>
      <c r="BR5" t="s">
        <v>205</v>
      </c>
      <c r="BS5" t="s">
        <v>192</v>
      </c>
      <c r="BT5" t="s">
        <v>187</v>
      </c>
      <c r="BU5" t="s">
        <v>191</v>
      </c>
      <c r="BV5" t="s">
        <v>188</v>
      </c>
      <c r="BW5" t="s">
        <v>189</v>
      </c>
      <c r="BX5" t="s">
        <v>190</v>
      </c>
      <c r="BY5" t="s">
        <v>213</v>
      </c>
      <c r="BZ5" t="s">
        <v>214</v>
      </c>
      <c r="CA5" t="s">
        <v>215</v>
      </c>
      <c r="CB5" t="s">
        <v>216</v>
      </c>
      <c r="CC5" t="s">
        <v>217</v>
      </c>
      <c r="CD5" t="s">
        <v>196</v>
      </c>
      <c r="CE5" t="s">
        <v>206</v>
      </c>
      <c r="CF5" t="s">
        <v>207</v>
      </c>
      <c r="CG5" t="s">
        <v>197</v>
      </c>
      <c r="CH5" t="s">
        <v>198</v>
      </c>
      <c r="CI5" t="s">
        <v>199</v>
      </c>
      <c r="CJ5" t="s">
        <v>200</v>
      </c>
      <c r="CK5" t="s">
        <v>201</v>
      </c>
      <c r="CL5" t="s">
        <v>202</v>
      </c>
      <c r="CM5" t="s">
        <v>218</v>
      </c>
      <c r="CN5" t="s">
        <v>219</v>
      </c>
      <c r="CO5" t="s">
        <v>220</v>
      </c>
      <c r="CP5" t="s">
        <v>203</v>
      </c>
      <c r="CQ5" t="s">
        <v>208</v>
      </c>
      <c r="CR5" t="s">
        <v>204</v>
      </c>
      <c r="CS5" t="s">
        <v>211</v>
      </c>
      <c r="CT5" t="s">
        <v>209</v>
      </c>
      <c r="CU5" t="s">
        <v>210</v>
      </c>
      <c r="CV5" t="s">
        <v>221</v>
      </c>
      <c r="CW5" t="s">
        <v>212</v>
      </c>
      <c r="CX5" t="s">
        <v>224</v>
      </c>
      <c r="CY5" t="s">
        <v>225</v>
      </c>
      <c r="CZ5" t="s">
        <v>226</v>
      </c>
      <c r="DA5" t="s">
        <v>227</v>
      </c>
      <c r="DB5" t="s">
        <v>228</v>
      </c>
      <c r="DC5" t="s">
        <v>229</v>
      </c>
      <c r="DD5" t="s">
        <v>230</v>
      </c>
      <c r="DE5" t="s">
        <v>235</v>
      </c>
      <c r="DF5" t="s">
        <v>236</v>
      </c>
      <c r="DG5" t="s">
        <v>248</v>
      </c>
      <c r="DH5" t="s">
        <v>242</v>
      </c>
      <c r="DI5" t="s">
        <v>243</v>
      </c>
      <c r="DJ5" t="s">
        <v>249</v>
      </c>
      <c r="DK5" t="s">
        <v>240</v>
      </c>
      <c r="DL5" t="s">
        <v>241</v>
      </c>
      <c r="DM5" t="s">
        <v>244</v>
      </c>
      <c r="DN5" t="s">
        <v>245</v>
      </c>
      <c r="DO5" t="s">
        <v>237</v>
      </c>
      <c r="DP5" t="s">
        <v>238</v>
      </c>
      <c r="DQ5" t="s">
        <v>239</v>
      </c>
      <c r="DR5" t="s">
        <v>246</v>
      </c>
      <c r="DS5" t="s">
        <v>247</v>
      </c>
      <c r="DT5" t="s">
        <v>250</v>
      </c>
      <c r="DU5" t="s">
        <v>251</v>
      </c>
      <c r="DV5" t="s">
        <v>253</v>
      </c>
      <c r="DW5" t="s">
        <v>254</v>
      </c>
      <c r="DX5" t="s">
        <v>255</v>
      </c>
      <c r="DY5" t="s">
        <v>222</v>
      </c>
      <c r="DZ5" t="s">
        <v>281</v>
      </c>
      <c r="EA5" t="s">
        <v>282</v>
      </c>
      <c r="EB5" t="s">
        <v>283</v>
      </c>
      <c r="EC5" t="s">
        <v>284</v>
      </c>
      <c r="ED5" t="s">
        <v>285</v>
      </c>
      <c r="EE5" t="s">
        <v>286</v>
      </c>
      <c r="EF5" t="s">
        <v>287</v>
      </c>
      <c r="EG5" s="2" t="s">
        <v>291</v>
      </c>
      <c r="EH5" s="2" t="s">
        <v>292</v>
      </c>
      <c r="EI5" s="2" t="s">
        <v>297</v>
      </c>
      <c r="EJ5" s="2" t="s">
        <v>298</v>
      </c>
      <c r="EK5" s="2" t="s">
        <v>299</v>
      </c>
      <c r="EL5" t="s">
        <v>310</v>
      </c>
      <c r="EM5" s="2" t="s">
        <v>251</v>
      </c>
      <c r="EN5" s="2" t="s">
        <v>312</v>
      </c>
      <c r="EO5" s="2" t="s">
        <v>313</v>
      </c>
      <c r="EP5" s="2" t="s">
        <v>314</v>
      </c>
      <c r="EQ5" s="2" t="s">
        <v>290</v>
      </c>
      <c r="ER5" t="s">
        <v>315</v>
      </c>
      <c r="ES5" t="s">
        <v>316</v>
      </c>
      <c r="ET5" t="s">
        <v>416</v>
      </c>
      <c r="EU5" t="s">
        <v>95</v>
      </c>
      <c r="EV5" t="s">
        <v>96</v>
      </c>
      <c r="EW5" t="s">
        <v>422</v>
      </c>
      <c r="EX5" t="s">
        <v>420</v>
      </c>
      <c r="EY5" t="s">
        <v>424</v>
      </c>
      <c r="EZ5" t="s">
        <v>425</v>
      </c>
      <c r="FA5" t="s">
        <v>417</v>
      </c>
      <c r="FB5" t="s">
        <v>418</v>
      </c>
      <c r="FC5" t="s">
        <v>419</v>
      </c>
      <c r="FD5" t="s">
        <v>423</v>
      </c>
      <c r="FE5" t="s">
        <v>421</v>
      </c>
      <c r="FF5" t="s">
        <v>427</v>
      </c>
      <c r="FG5" t="s">
        <v>428</v>
      </c>
      <c r="FH5" t="s">
        <v>426</v>
      </c>
      <c r="FI5" s="6" t="s">
        <v>429</v>
      </c>
      <c r="FJ5" s="6" t="s">
        <v>431</v>
      </c>
      <c r="FK5" s="6" t="s">
        <v>430</v>
      </c>
      <c r="FL5" t="s">
        <v>440</v>
      </c>
      <c r="FM5" s="2" t="s">
        <v>488</v>
      </c>
      <c r="FN5" s="2" t="s">
        <v>489</v>
      </c>
      <c r="FO5" s="2" t="s">
        <v>490</v>
      </c>
      <c r="FP5" s="2" t="s">
        <v>499</v>
      </c>
      <c r="FQ5" s="2" t="s">
        <v>500</v>
      </c>
    </row>
    <row r="6" spans="1:173">
      <c r="A6" s="11" t="s">
        <v>486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31.536000000000001</v>
      </c>
      <c r="ER6">
        <v>1</v>
      </c>
      <c r="ES6">
        <v>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31.536000000000001</v>
      </c>
      <c r="FF6">
        <v>1</v>
      </c>
      <c r="FG6">
        <v>1</v>
      </c>
      <c r="FH6">
        <v>31.536000000000001</v>
      </c>
      <c r="FI6">
        <v>31.536000000000001</v>
      </c>
      <c r="FJ6">
        <v>31.536000000000001</v>
      </c>
      <c r="FK6">
        <v>31.536000000000001</v>
      </c>
      <c r="FL6">
        <v>31.536000000000001</v>
      </c>
      <c r="FM6">
        <v>1</v>
      </c>
      <c r="FN6">
        <v>1</v>
      </c>
      <c r="FO6">
        <v>1</v>
      </c>
      <c r="FP6">
        <v>1</v>
      </c>
      <c r="FQ6">
        <v>1</v>
      </c>
    </row>
    <row r="7" spans="1:173">
      <c r="A7" s="47" t="s">
        <v>458</v>
      </c>
      <c r="B7">
        <v>1</v>
      </c>
      <c r="C7">
        <v>1</v>
      </c>
      <c r="D7">
        <v>31.536000000000001</v>
      </c>
      <c r="E7">
        <v>31.536000000000001</v>
      </c>
      <c r="F7">
        <v>31.536000000000001</v>
      </c>
      <c r="G7">
        <v>31.536000000000001</v>
      </c>
      <c r="H7">
        <v>31.536000000000001</v>
      </c>
      <c r="I7">
        <v>31.536000000000001</v>
      </c>
      <c r="J7">
        <v>31.536000000000001</v>
      </c>
      <c r="K7">
        <v>31.536000000000001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31.536000000000001</v>
      </c>
      <c r="V7">
        <v>31.536000000000001</v>
      </c>
      <c r="W7">
        <v>31.536000000000001</v>
      </c>
      <c r="X7">
        <v>31.536000000000001</v>
      </c>
      <c r="Y7">
        <v>31.536000000000001</v>
      </c>
      <c r="Z7">
        <v>31.536000000000001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31.536000000000001</v>
      </c>
      <c r="AK7">
        <v>31.536000000000001</v>
      </c>
      <c r="AL7">
        <v>31.536000000000001</v>
      </c>
      <c r="AM7">
        <v>31.536000000000001</v>
      </c>
      <c r="AN7">
        <v>31.536000000000001</v>
      </c>
      <c r="AO7">
        <v>0</v>
      </c>
      <c r="AP7">
        <v>31.536000000000001</v>
      </c>
      <c r="AQ7">
        <v>31.536000000000001</v>
      </c>
      <c r="AR7">
        <v>31.536000000000001</v>
      </c>
      <c r="AS7">
        <v>31.536000000000001</v>
      </c>
      <c r="AT7">
        <v>31.536000000000001</v>
      </c>
      <c r="AU7">
        <v>31.536000000000001</v>
      </c>
      <c r="AV7">
        <v>31.536000000000001</v>
      </c>
      <c r="AW7">
        <v>31.536000000000001</v>
      </c>
      <c r="AX7">
        <v>31.536000000000001</v>
      </c>
      <c r="AY7">
        <v>31.536000000000001</v>
      </c>
      <c r="AZ7">
        <v>31.536000000000001</v>
      </c>
      <c r="BA7">
        <v>31.536000000000001</v>
      </c>
      <c r="BB7">
        <v>31.536000000000001</v>
      </c>
      <c r="BC7">
        <v>31.536000000000001</v>
      </c>
      <c r="BD7">
        <v>31.536000000000001</v>
      </c>
      <c r="BE7">
        <v>31.536000000000001</v>
      </c>
      <c r="BF7">
        <v>31.536000000000001</v>
      </c>
      <c r="BG7">
        <v>31.536000000000001</v>
      </c>
      <c r="BH7">
        <v>31.536000000000001</v>
      </c>
      <c r="BI7">
        <v>31.536000000000001</v>
      </c>
      <c r="BJ7">
        <v>31.536000000000001</v>
      </c>
      <c r="BK7">
        <v>31.536000000000001</v>
      </c>
      <c r="BL7">
        <v>31.536000000000001</v>
      </c>
      <c r="BM7">
        <v>31.536000000000001</v>
      </c>
      <c r="BN7">
        <v>31.536000000000001</v>
      </c>
      <c r="BO7">
        <v>31.536000000000001</v>
      </c>
      <c r="BP7">
        <v>1</v>
      </c>
      <c r="BQ7">
        <v>1</v>
      </c>
      <c r="BR7">
        <v>31.536000000000001</v>
      </c>
      <c r="BS7">
        <v>31.536000000000001</v>
      </c>
      <c r="BT7">
        <v>31.536000000000001</v>
      </c>
      <c r="BU7">
        <v>31.536000000000001</v>
      </c>
      <c r="BV7">
        <v>31.536000000000001</v>
      </c>
      <c r="BW7">
        <v>31.536000000000001</v>
      </c>
      <c r="BX7">
        <v>31.536000000000001</v>
      </c>
      <c r="BY7">
        <v>31.536000000000001</v>
      </c>
      <c r="BZ7">
        <v>31.536000000000001</v>
      </c>
      <c r="CA7">
        <v>31.536000000000001</v>
      </c>
      <c r="CB7">
        <v>31.536000000000001</v>
      </c>
      <c r="CC7">
        <v>31.536000000000001</v>
      </c>
      <c r="CD7">
        <v>31.536000000000001</v>
      </c>
      <c r="CE7">
        <v>31.536000000000001</v>
      </c>
      <c r="CF7">
        <v>31.536000000000001</v>
      </c>
      <c r="CG7">
        <v>31.536000000000001</v>
      </c>
      <c r="CH7">
        <v>31.536000000000001</v>
      </c>
      <c r="CI7">
        <v>31.536000000000001</v>
      </c>
      <c r="CJ7">
        <v>31.536000000000001</v>
      </c>
      <c r="CK7">
        <v>31.536000000000001</v>
      </c>
      <c r="CL7">
        <v>31.536000000000001</v>
      </c>
      <c r="CM7">
        <v>31.536000000000001</v>
      </c>
      <c r="CN7">
        <v>31.536000000000001</v>
      </c>
      <c r="CO7">
        <v>31.536000000000001</v>
      </c>
      <c r="CP7">
        <v>31.536000000000001</v>
      </c>
      <c r="CQ7">
        <v>31.536000000000001</v>
      </c>
      <c r="CR7">
        <v>31.536000000000001</v>
      </c>
      <c r="CS7">
        <v>31.536000000000001</v>
      </c>
      <c r="CT7">
        <v>31.536000000000001</v>
      </c>
      <c r="CU7">
        <v>31.536000000000001</v>
      </c>
      <c r="CV7">
        <v>31.536000000000001</v>
      </c>
      <c r="CW7">
        <v>31.536000000000001</v>
      </c>
      <c r="CX7">
        <v>31.536000000000001</v>
      </c>
      <c r="CY7">
        <v>31.536000000000001</v>
      </c>
      <c r="CZ7">
        <v>31.536000000000001</v>
      </c>
      <c r="DA7">
        <v>31.536000000000001</v>
      </c>
      <c r="DB7">
        <v>31.536000000000001</v>
      </c>
      <c r="DC7">
        <v>31.536000000000001</v>
      </c>
      <c r="DD7">
        <v>31.536000000000001</v>
      </c>
      <c r="DE7">
        <v>31.536000000000001</v>
      </c>
      <c r="DF7">
        <v>31.536000000000001</v>
      </c>
      <c r="DG7">
        <v>31.536000000000001</v>
      </c>
      <c r="DH7">
        <v>31.536000000000001</v>
      </c>
      <c r="DI7">
        <v>31.536000000000001</v>
      </c>
      <c r="DJ7">
        <v>31.536000000000001</v>
      </c>
      <c r="DK7">
        <v>31.536000000000001</v>
      </c>
      <c r="DL7">
        <v>31.536000000000001</v>
      </c>
      <c r="DM7">
        <v>31.536000000000001</v>
      </c>
      <c r="DN7">
        <v>31.536000000000001</v>
      </c>
      <c r="DO7">
        <v>31.536000000000001</v>
      </c>
      <c r="DP7">
        <v>31.536000000000001</v>
      </c>
      <c r="DQ7">
        <v>31.536000000000001</v>
      </c>
      <c r="DR7">
        <v>31.536000000000001</v>
      </c>
      <c r="DS7">
        <v>31.536000000000001</v>
      </c>
      <c r="DT7">
        <v>31.536000000000001</v>
      </c>
      <c r="DU7">
        <v>1</v>
      </c>
      <c r="DV7">
        <v>31.536000000000001</v>
      </c>
      <c r="DW7">
        <v>31.536000000000001</v>
      </c>
      <c r="DX7">
        <v>31.536000000000001</v>
      </c>
      <c r="DY7">
        <v>31.536000000000001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31.536000000000001</v>
      </c>
      <c r="EH7">
        <v>31.536000000000001</v>
      </c>
      <c r="EI7">
        <v>1</v>
      </c>
      <c r="EJ7">
        <v>1</v>
      </c>
      <c r="EK7">
        <v>1</v>
      </c>
      <c r="EL7">
        <v>31.536000000000001</v>
      </c>
      <c r="EM7">
        <v>1</v>
      </c>
      <c r="EN7">
        <v>1</v>
      </c>
      <c r="EO7">
        <v>1</v>
      </c>
      <c r="EP7">
        <v>31.536000000000001</v>
      </c>
      <c r="EQ7">
        <v>31.536000000000001</v>
      </c>
      <c r="ER7">
        <v>1</v>
      </c>
      <c r="ES7">
        <v>1</v>
      </c>
      <c r="ET7">
        <v>31.536000000000001</v>
      </c>
      <c r="EU7">
        <v>31.536000000000001</v>
      </c>
      <c r="EV7">
        <v>31.536000000000001</v>
      </c>
      <c r="EW7">
        <v>31.536000000000001</v>
      </c>
      <c r="EX7">
        <v>31.536000000000001</v>
      </c>
      <c r="EY7">
        <v>31.536000000000001</v>
      </c>
      <c r="EZ7">
        <v>31.536000000000001</v>
      </c>
      <c r="FA7">
        <v>31.536000000000001</v>
      </c>
      <c r="FB7">
        <v>31.536000000000001</v>
      </c>
      <c r="FC7">
        <v>31.536000000000001</v>
      </c>
      <c r="FD7">
        <v>31.536000000000001</v>
      </c>
      <c r="FE7">
        <v>31.536000000000001</v>
      </c>
      <c r="FF7">
        <v>1</v>
      </c>
      <c r="FG7">
        <v>1</v>
      </c>
      <c r="FH7">
        <v>31.536000000000001</v>
      </c>
      <c r="FI7">
        <v>31.536000000000001</v>
      </c>
      <c r="FJ7">
        <v>31.536000000000001</v>
      </c>
      <c r="FK7">
        <v>31.536000000000001</v>
      </c>
      <c r="FL7">
        <v>31.536000000000001</v>
      </c>
      <c r="FM7">
        <v>1</v>
      </c>
      <c r="FN7">
        <v>1</v>
      </c>
      <c r="FO7">
        <v>1</v>
      </c>
      <c r="FP7">
        <v>1</v>
      </c>
      <c r="FQ7">
        <v>1</v>
      </c>
    </row>
  </sheetData>
  <dataValidations count="1">
    <dataValidation type="list" allowBlank="1" showInputMessage="1" showErrorMessage="1" sqref="BG5 Q5:T5 BL5 EJ5 FM5:FN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/>
  <dimension ref="A1:AF908"/>
  <sheetViews>
    <sheetView zoomScale="85" zoomScaleNormal="85" workbookViewId="0">
      <selection activeCell="C15" sqref="C15"/>
    </sheetView>
  </sheetViews>
  <sheetFormatPr defaultColWidth="11.42578125" defaultRowHeight="15"/>
  <cols>
    <col min="2" max="2" width="15" bestFit="1" customWidth="1"/>
    <col min="3" max="3" width="15.28515625" style="57" bestFit="1" customWidth="1"/>
    <col min="4" max="4" width="14.140625" style="57" bestFit="1" customWidth="1"/>
    <col min="5" max="5" width="16.7109375" style="57" bestFit="1" customWidth="1"/>
    <col min="6" max="6" width="17" style="57" customWidth="1"/>
    <col min="7" max="7" width="12.85546875" style="57" customWidth="1"/>
    <col min="8" max="8" width="16.140625" style="57" bestFit="1" customWidth="1"/>
    <col min="9" max="9" width="19.85546875" style="57" bestFit="1" customWidth="1"/>
    <col min="10" max="10" width="17.85546875" style="57" bestFit="1" customWidth="1"/>
  </cols>
  <sheetData>
    <row r="1" spans="1:32">
      <c r="A1" t="s">
        <v>347</v>
      </c>
    </row>
    <row r="2" spans="1:32">
      <c r="A2" t="s">
        <v>46</v>
      </c>
    </row>
    <row r="3" spans="1:32">
      <c r="A3" t="s">
        <v>342</v>
      </c>
    </row>
    <row r="5" spans="1:32">
      <c r="B5" s="28"/>
      <c r="C5" s="58" t="s">
        <v>480</v>
      </c>
      <c r="D5" s="58" t="s">
        <v>481</v>
      </c>
      <c r="E5" s="58" t="s">
        <v>482</v>
      </c>
      <c r="F5" s="58" t="s">
        <v>483</v>
      </c>
      <c r="G5" s="58" t="s">
        <v>484</v>
      </c>
      <c r="H5" s="58" t="s">
        <v>485</v>
      </c>
      <c r="I5" s="58" t="s">
        <v>486</v>
      </c>
      <c r="J5" s="58" t="s">
        <v>487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</row>
    <row r="6" spans="1:32" ht="15" customHeight="1">
      <c r="A6" t="s">
        <v>256</v>
      </c>
      <c r="B6" s="59" t="s">
        <v>480</v>
      </c>
      <c r="C6" s="58">
        <v>0</v>
      </c>
      <c r="D6" s="58">
        <v>59</v>
      </c>
      <c r="E6" s="58">
        <v>40.299999999999997</v>
      </c>
      <c r="F6" s="58">
        <v>70</v>
      </c>
      <c r="G6" s="58">
        <v>57</v>
      </c>
      <c r="H6" s="58">
        <v>47</v>
      </c>
      <c r="I6" s="58">
        <v>59.4</v>
      </c>
      <c r="J6" s="58">
        <v>56</v>
      </c>
    </row>
    <row r="7" spans="1:32" ht="15" customHeight="1">
      <c r="A7" t="s">
        <v>256</v>
      </c>
      <c r="B7" s="59" t="s">
        <v>481</v>
      </c>
      <c r="C7" s="58">
        <v>59</v>
      </c>
      <c r="D7" s="58">
        <v>0</v>
      </c>
      <c r="E7" s="58">
        <v>75.7</v>
      </c>
      <c r="F7" s="58">
        <v>81.900000000000006</v>
      </c>
      <c r="G7" s="58">
        <v>92.7</v>
      </c>
      <c r="H7" s="58">
        <v>62</v>
      </c>
      <c r="I7" s="58">
        <v>51.3</v>
      </c>
      <c r="J7" s="58">
        <v>40.9</v>
      </c>
    </row>
    <row r="8" spans="1:32" ht="15" customHeight="1">
      <c r="A8" t="s">
        <v>256</v>
      </c>
      <c r="B8" s="59" t="s">
        <v>482</v>
      </c>
      <c r="C8" s="58">
        <v>40.299999999999997</v>
      </c>
      <c r="D8" s="58">
        <v>75.7</v>
      </c>
      <c r="E8" s="58">
        <v>0</v>
      </c>
      <c r="F8" s="58">
        <v>85.3</v>
      </c>
      <c r="G8" s="58">
        <v>25.7</v>
      </c>
      <c r="H8" s="58">
        <v>44.5</v>
      </c>
      <c r="I8" s="58">
        <v>92.7</v>
      </c>
      <c r="J8" s="58">
        <v>68.2</v>
      </c>
    </row>
    <row r="9" spans="1:32" ht="15" customHeight="1">
      <c r="A9" t="s">
        <v>256</v>
      </c>
      <c r="B9" s="59" t="s">
        <v>483</v>
      </c>
      <c r="C9" s="58">
        <v>70</v>
      </c>
      <c r="D9" s="58">
        <v>81.900000000000006</v>
      </c>
      <c r="E9" s="58">
        <v>85.3</v>
      </c>
      <c r="F9" s="58">
        <v>0</v>
      </c>
      <c r="G9" s="58">
        <v>45</v>
      </c>
      <c r="H9" s="58">
        <v>21.6</v>
      </c>
      <c r="I9" s="58">
        <v>40.6</v>
      </c>
      <c r="J9" s="58">
        <v>42.1</v>
      </c>
    </row>
    <row r="10" spans="1:32" ht="15" customHeight="1">
      <c r="A10" t="s">
        <v>256</v>
      </c>
      <c r="B10" s="59" t="s">
        <v>484</v>
      </c>
      <c r="C10" s="58">
        <v>57</v>
      </c>
      <c r="D10" s="58">
        <v>92.7</v>
      </c>
      <c r="E10" s="58">
        <v>25.7</v>
      </c>
      <c r="F10" s="58">
        <v>45</v>
      </c>
      <c r="G10" s="58">
        <v>0</v>
      </c>
      <c r="H10" s="58">
        <v>58.7</v>
      </c>
      <c r="I10" s="58">
        <v>78.2</v>
      </c>
      <c r="J10" s="58">
        <v>67.3</v>
      </c>
    </row>
    <row r="11" spans="1:32" ht="15" customHeight="1">
      <c r="A11" t="s">
        <v>256</v>
      </c>
      <c r="B11" s="59" t="s">
        <v>485</v>
      </c>
      <c r="C11" s="58">
        <v>47</v>
      </c>
      <c r="D11" s="58">
        <v>62</v>
      </c>
      <c r="E11" s="58">
        <v>44.5</v>
      </c>
      <c r="F11" s="58">
        <v>21.6</v>
      </c>
      <c r="G11" s="58">
        <v>58.7</v>
      </c>
      <c r="H11" s="58">
        <v>0</v>
      </c>
      <c r="I11" s="58">
        <v>19.5</v>
      </c>
      <c r="J11" s="58">
        <v>19.7</v>
      </c>
    </row>
    <row r="12" spans="1:32" ht="15" customHeight="1">
      <c r="A12" t="s">
        <v>256</v>
      </c>
      <c r="B12" s="59" t="s">
        <v>486</v>
      </c>
      <c r="C12" s="58">
        <v>59.4</v>
      </c>
      <c r="D12" s="58">
        <v>51.3</v>
      </c>
      <c r="E12" s="58">
        <v>92.7</v>
      </c>
      <c r="F12" s="58">
        <v>40.6</v>
      </c>
      <c r="G12" s="58">
        <v>78.2</v>
      </c>
      <c r="H12" s="58">
        <v>19.5</v>
      </c>
      <c r="I12" s="58">
        <v>0</v>
      </c>
      <c r="J12" s="58">
        <v>24.5</v>
      </c>
    </row>
    <row r="13" spans="1:32" ht="15" customHeight="1">
      <c r="A13" t="s">
        <v>256</v>
      </c>
      <c r="B13" s="59" t="s">
        <v>487</v>
      </c>
      <c r="C13" s="58">
        <v>56</v>
      </c>
      <c r="D13" s="58">
        <v>40.9</v>
      </c>
      <c r="E13" s="58">
        <v>68.2</v>
      </c>
      <c r="F13" s="58">
        <v>42.1</v>
      </c>
      <c r="G13" s="58">
        <v>67.3</v>
      </c>
      <c r="H13" s="58">
        <v>19.7</v>
      </c>
      <c r="I13" s="58">
        <v>24.5</v>
      </c>
      <c r="J13" s="58">
        <v>0</v>
      </c>
    </row>
    <row r="14" spans="1:32" ht="15" customHeight="1">
      <c r="A14" t="s">
        <v>133</v>
      </c>
      <c r="B14" s="59" t="s">
        <v>480</v>
      </c>
      <c r="C14" s="58">
        <v>0</v>
      </c>
      <c r="D14" s="58">
        <v>59</v>
      </c>
      <c r="E14" s="58">
        <v>40.299999999999997</v>
      </c>
      <c r="F14" s="58">
        <v>70</v>
      </c>
      <c r="G14" s="58">
        <v>57</v>
      </c>
      <c r="H14" s="58">
        <v>47</v>
      </c>
      <c r="I14" s="58">
        <v>59.4</v>
      </c>
      <c r="J14" s="58">
        <v>56</v>
      </c>
    </row>
    <row r="15" spans="1:32" ht="15" customHeight="1">
      <c r="A15" t="s">
        <v>133</v>
      </c>
      <c r="B15" s="59" t="s">
        <v>481</v>
      </c>
      <c r="C15" s="58">
        <v>59</v>
      </c>
      <c r="D15" s="58">
        <v>0</v>
      </c>
      <c r="E15" s="58">
        <v>75.7</v>
      </c>
      <c r="F15" s="58">
        <v>81.900000000000006</v>
      </c>
      <c r="G15" s="58">
        <v>92.7</v>
      </c>
      <c r="H15" s="58">
        <v>62</v>
      </c>
      <c r="I15" s="58">
        <v>51.3</v>
      </c>
      <c r="J15" s="58">
        <v>40.9</v>
      </c>
    </row>
    <row r="16" spans="1:32" ht="15" customHeight="1">
      <c r="A16" t="s">
        <v>133</v>
      </c>
      <c r="B16" s="59" t="s">
        <v>482</v>
      </c>
      <c r="C16" s="58">
        <v>40.299999999999997</v>
      </c>
      <c r="D16" s="58">
        <v>75.7</v>
      </c>
      <c r="E16" s="58">
        <v>0</v>
      </c>
      <c r="F16" s="58">
        <v>85.3</v>
      </c>
      <c r="G16" s="58">
        <v>25.7</v>
      </c>
      <c r="H16" s="58">
        <v>44.5</v>
      </c>
      <c r="I16" s="58">
        <v>92.7</v>
      </c>
      <c r="J16" s="58">
        <v>68.2</v>
      </c>
    </row>
    <row r="17" spans="1:10">
      <c r="A17" t="s">
        <v>133</v>
      </c>
      <c r="B17" s="59" t="s">
        <v>483</v>
      </c>
      <c r="C17" s="58">
        <v>70</v>
      </c>
      <c r="D17" s="58">
        <v>81.900000000000006</v>
      </c>
      <c r="E17" s="58">
        <v>85.3</v>
      </c>
      <c r="F17" s="58">
        <v>0</v>
      </c>
      <c r="G17" s="58">
        <v>45</v>
      </c>
      <c r="H17" s="58">
        <v>21.6</v>
      </c>
      <c r="I17" s="58">
        <v>40.6</v>
      </c>
      <c r="J17" s="58">
        <v>42.1</v>
      </c>
    </row>
    <row r="18" spans="1:10" ht="15" customHeight="1">
      <c r="A18" t="s">
        <v>133</v>
      </c>
      <c r="B18" s="59" t="s">
        <v>484</v>
      </c>
      <c r="C18" s="58">
        <v>57</v>
      </c>
      <c r="D18" s="58">
        <v>92.7</v>
      </c>
      <c r="E18" s="58">
        <v>25.7</v>
      </c>
      <c r="F18" s="58">
        <v>45</v>
      </c>
      <c r="G18" s="58">
        <v>0</v>
      </c>
      <c r="H18" s="58">
        <v>58.7</v>
      </c>
      <c r="I18" s="58">
        <v>78.2</v>
      </c>
      <c r="J18" s="58">
        <v>67.3</v>
      </c>
    </row>
    <row r="19" spans="1:10" ht="15" customHeight="1">
      <c r="A19" t="s">
        <v>133</v>
      </c>
      <c r="B19" s="59" t="s">
        <v>485</v>
      </c>
      <c r="C19" s="58">
        <v>47</v>
      </c>
      <c r="D19" s="58">
        <v>62</v>
      </c>
      <c r="E19" s="58">
        <v>44.5</v>
      </c>
      <c r="F19" s="58">
        <v>21.6</v>
      </c>
      <c r="G19" s="58">
        <v>58.7</v>
      </c>
      <c r="H19" s="58">
        <v>0</v>
      </c>
      <c r="I19" s="58">
        <v>19.5</v>
      </c>
      <c r="J19" s="58">
        <v>19.7</v>
      </c>
    </row>
    <row r="20" spans="1:10" ht="15" customHeight="1">
      <c r="A20" t="s">
        <v>133</v>
      </c>
      <c r="B20" s="59" t="s">
        <v>486</v>
      </c>
      <c r="C20" s="58">
        <v>59.4</v>
      </c>
      <c r="D20" s="58">
        <v>51.3</v>
      </c>
      <c r="E20" s="58">
        <v>92.7</v>
      </c>
      <c r="F20" s="58">
        <v>40.6</v>
      </c>
      <c r="G20" s="58">
        <v>78.2</v>
      </c>
      <c r="H20" s="58">
        <v>19.5</v>
      </c>
      <c r="I20" s="58">
        <v>0</v>
      </c>
      <c r="J20" s="58">
        <v>24.5</v>
      </c>
    </row>
    <row r="21" spans="1:10" ht="15" customHeight="1">
      <c r="A21" t="s">
        <v>133</v>
      </c>
      <c r="B21" s="59" t="s">
        <v>487</v>
      </c>
      <c r="C21" s="58">
        <v>56</v>
      </c>
      <c r="D21" s="58">
        <v>40.9</v>
      </c>
      <c r="E21" s="58">
        <v>68.2</v>
      </c>
      <c r="F21" s="58">
        <v>42.1</v>
      </c>
      <c r="G21" s="58">
        <v>67.3</v>
      </c>
      <c r="H21" s="58">
        <v>19.7</v>
      </c>
      <c r="I21" s="58">
        <v>24.5</v>
      </c>
      <c r="J21" s="58">
        <v>0</v>
      </c>
    </row>
    <row r="22" spans="1:10" ht="15" customHeight="1">
      <c r="A22" t="s">
        <v>294</v>
      </c>
      <c r="B22" s="59" t="s">
        <v>480</v>
      </c>
      <c r="C22" s="58">
        <v>0</v>
      </c>
      <c r="D22" s="58">
        <v>59</v>
      </c>
      <c r="E22" s="58">
        <v>40.299999999999997</v>
      </c>
      <c r="F22" s="58">
        <v>70</v>
      </c>
      <c r="G22" s="58">
        <v>57</v>
      </c>
      <c r="H22" s="58">
        <v>47</v>
      </c>
      <c r="I22" s="58">
        <v>59.4</v>
      </c>
      <c r="J22" s="58">
        <v>56</v>
      </c>
    </row>
    <row r="23" spans="1:10" ht="15" customHeight="1">
      <c r="A23" t="s">
        <v>294</v>
      </c>
      <c r="B23" s="59" t="s">
        <v>481</v>
      </c>
      <c r="C23" s="58">
        <v>59</v>
      </c>
      <c r="D23" s="58">
        <v>0</v>
      </c>
      <c r="E23" s="58">
        <v>75.7</v>
      </c>
      <c r="F23" s="58">
        <v>81.900000000000006</v>
      </c>
      <c r="G23" s="58">
        <v>92.7</v>
      </c>
      <c r="H23" s="58">
        <v>62</v>
      </c>
      <c r="I23" s="58">
        <v>51.3</v>
      </c>
      <c r="J23" s="58">
        <v>40.9</v>
      </c>
    </row>
    <row r="24" spans="1:10" ht="15" customHeight="1">
      <c r="A24" t="s">
        <v>294</v>
      </c>
      <c r="B24" s="59" t="s">
        <v>482</v>
      </c>
      <c r="C24" s="58">
        <v>40.299999999999997</v>
      </c>
      <c r="D24" s="58">
        <v>75.7</v>
      </c>
      <c r="E24" s="58">
        <v>0</v>
      </c>
      <c r="F24" s="58">
        <v>85.3</v>
      </c>
      <c r="G24" s="58">
        <v>25.7</v>
      </c>
      <c r="H24" s="58">
        <v>44.5</v>
      </c>
      <c r="I24" s="58">
        <v>92.7</v>
      </c>
      <c r="J24" s="58">
        <v>68.2</v>
      </c>
    </row>
    <row r="25" spans="1:10" ht="15" customHeight="1">
      <c r="A25" t="s">
        <v>294</v>
      </c>
      <c r="B25" s="59" t="s">
        <v>483</v>
      </c>
      <c r="C25" s="58">
        <v>70</v>
      </c>
      <c r="D25" s="58">
        <v>81.900000000000006</v>
      </c>
      <c r="E25" s="58">
        <v>85.3</v>
      </c>
      <c r="F25" s="58">
        <v>0</v>
      </c>
      <c r="G25" s="58">
        <v>45</v>
      </c>
      <c r="H25" s="58">
        <v>21.6</v>
      </c>
      <c r="I25" s="58">
        <v>40.6</v>
      </c>
      <c r="J25" s="58">
        <v>42.1</v>
      </c>
    </row>
    <row r="26" spans="1:10" ht="15" customHeight="1">
      <c r="A26" t="s">
        <v>294</v>
      </c>
      <c r="B26" s="59" t="s">
        <v>484</v>
      </c>
      <c r="C26" s="58">
        <v>57</v>
      </c>
      <c r="D26" s="58">
        <v>92.7</v>
      </c>
      <c r="E26" s="58">
        <v>25.7</v>
      </c>
      <c r="F26" s="58">
        <v>45</v>
      </c>
      <c r="G26" s="58">
        <v>0</v>
      </c>
      <c r="H26" s="58">
        <v>58.7</v>
      </c>
      <c r="I26" s="58">
        <v>78.2</v>
      </c>
      <c r="J26" s="58">
        <v>67.3</v>
      </c>
    </row>
    <row r="27" spans="1:10" ht="15" customHeight="1">
      <c r="A27" t="s">
        <v>294</v>
      </c>
      <c r="B27" s="59" t="s">
        <v>485</v>
      </c>
      <c r="C27" s="58">
        <v>47</v>
      </c>
      <c r="D27" s="58">
        <v>62</v>
      </c>
      <c r="E27" s="58">
        <v>44.5</v>
      </c>
      <c r="F27" s="58">
        <v>21.6</v>
      </c>
      <c r="G27" s="58">
        <v>58.7</v>
      </c>
      <c r="H27" s="58">
        <v>0</v>
      </c>
      <c r="I27" s="58">
        <v>19.5</v>
      </c>
      <c r="J27" s="58">
        <v>19.7</v>
      </c>
    </row>
    <row r="28" spans="1:10" ht="15" customHeight="1">
      <c r="A28" t="s">
        <v>294</v>
      </c>
      <c r="B28" s="59" t="s">
        <v>486</v>
      </c>
      <c r="C28" s="58">
        <v>59.4</v>
      </c>
      <c r="D28" s="58">
        <v>51.3</v>
      </c>
      <c r="E28" s="58">
        <v>92.7</v>
      </c>
      <c r="F28" s="58">
        <v>40.6</v>
      </c>
      <c r="G28" s="58">
        <v>78.2</v>
      </c>
      <c r="H28" s="58">
        <v>19.5</v>
      </c>
      <c r="I28" s="58">
        <v>0</v>
      </c>
      <c r="J28" s="58">
        <v>24.5</v>
      </c>
    </row>
    <row r="29" spans="1:10" ht="15" customHeight="1">
      <c r="A29" t="s">
        <v>294</v>
      </c>
      <c r="B29" s="59" t="s">
        <v>487</v>
      </c>
      <c r="C29" s="58">
        <v>56</v>
      </c>
      <c r="D29" s="58">
        <v>40.9</v>
      </c>
      <c r="E29" s="58">
        <v>68.2</v>
      </c>
      <c r="F29" s="58">
        <v>42.1</v>
      </c>
      <c r="G29" s="58">
        <v>67.3</v>
      </c>
      <c r="H29" s="58">
        <v>19.7</v>
      </c>
      <c r="I29" s="58">
        <v>24.5</v>
      </c>
      <c r="J29" s="58">
        <v>0</v>
      </c>
    </row>
    <row r="30" spans="1:10" ht="15" customHeight="1">
      <c r="A30" t="s">
        <v>293</v>
      </c>
      <c r="B30" s="59" t="s">
        <v>480</v>
      </c>
      <c r="C30" s="58">
        <v>0</v>
      </c>
      <c r="D30" s="58">
        <v>59</v>
      </c>
      <c r="E30" s="58">
        <v>40.299999999999997</v>
      </c>
      <c r="F30" s="58">
        <v>70</v>
      </c>
      <c r="G30" s="58">
        <v>57</v>
      </c>
      <c r="H30" s="58">
        <v>47</v>
      </c>
      <c r="I30" s="58">
        <v>59.4</v>
      </c>
      <c r="J30" s="58">
        <v>56</v>
      </c>
    </row>
    <row r="31" spans="1:10" ht="15" customHeight="1">
      <c r="A31" t="s">
        <v>293</v>
      </c>
      <c r="B31" s="59" t="s">
        <v>481</v>
      </c>
      <c r="C31" s="58">
        <v>59</v>
      </c>
      <c r="D31" s="58">
        <v>0</v>
      </c>
      <c r="E31" s="58">
        <v>75.7</v>
      </c>
      <c r="F31" s="58">
        <v>81.900000000000006</v>
      </c>
      <c r="G31" s="58">
        <v>92.7</v>
      </c>
      <c r="H31" s="58">
        <v>62</v>
      </c>
      <c r="I31" s="58">
        <v>51.3</v>
      </c>
      <c r="J31" s="58">
        <v>40.9</v>
      </c>
    </row>
    <row r="32" spans="1:10" ht="15" customHeight="1">
      <c r="A32" t="s">
        <v>293</v>
      </c>
      <c r="B32" s="59" t="s">
        <v>482</v>
      </c>
      <c r="C32" s="58">
        <v>40.299999999999997</v>
      </c>
      <c r="D32" s="58">
        <v>75.7</v>
      </c>
      <c r="E32" s="58">
        <v>0</v>
      </c>
      <c r="F32" s="58">
        <v>85.3</v>
      </c>
      <c r="G32" s="58">
        <v>25.7</v>
      </c>
      <c r="H32" s="58">
        <v>44.5</v>
      </c>
      <c r="I32" s="58">
        <v>92.7</v>
      </c>
      <c r="J32" s="58">
        <v>68.2</v>
      </c>
    </row>
    <row r="33" spans="1:10" ht="15" customHeight="1">
      <c r="A33" t="s">
        <v>293</v>
      </c>
      <c r="B33" s="59" t="s">
        <v>483</v>
      </c>
      <c r="C33" s="58">
        <v>70</v>
      </c>
      <c r="D33" s="58">
        <v>81.900000000000006</v>
      </c>
      <c r="E33" s="58">
        <v>85.3</v>
      </c>
      <c r="F33" s="58">
        <v>0</v>
      </c>
      <c r="G33" s="58">
        <v>45</v>
      </c>
      <c r="H33" s="58">
        <v>21.6</v>
      </c>
      <c r="I33" s="58">
        <v>40.6</v>
      </c>
      <c r="J33" s="58">
        <v>42.1</v>
      </c>
    </row>
    <row r="34" spans="1:10" ht="15" customHeight="1">
      <c r="A34" t="s">
        <v>293</v>
      </c>
      <c r="B34" s="59" t="s">
        <v>484</v>
      </c>
      <c r="C34" s="58">
        <v>57</v>
      </c>
      <c r="D34" s="58">
        <v>92.7</v>
      </c>
      <c r="E34" s="58">
        <v>25.7</v>
      </c>
      <c r="F34" s="58">
        <v>45</v>
      </c>
      <c r="G34" s="58">
        <v>0</v>
      </c>
      <c r="H34" s="58">
        <v>58.7</v>
      </c>
      <c r="I34" s="58">
        <v>78.2</v>
      </c>
      <c r="J34" s="58">
        <v>67.3</v>
      </c>
    </row>
    <row r="35" spans="1:10" ht="15" customHeight="1">
      <c r="A35" t="s">
        <v>293</v>
      </c>
      <c r="B35" s="59" t="s">
        <v>485</v>
      </c>
      <c r="C35" s="58">
        <v>47</v>
      </c>
      <c r="D35" s="58">
        <v>62</v>
      </c>
      <c r="E35" s="58">
        <v>44.5</v>
      </c>
      <c r="F35" s="58">
        <v>21.6</v>
      </c>
      <c r="G35" s="58">
        <v>58.7</v>
      </c>
      <c r="H35" s="58">
        <v>0</v>
      </c>
      <c r="I35" s="58">
        <v>19.5</v>
      </c>
      <c r="J35" s="58">
        <v>19.7</v>
      </c>
    </row>
    <row r="36" spans="1:10" ht="15" customHeight="1">
      <c r="A36" t="s">
        <v>293</v>
      </c>
      <c r="B36" s="59" t="s">
        <v>486</v>
      </c>
      <c r="C36" s="58">
        <v>59.4</v>
      </c>
      <c r="D36" s="58">
        <v>51.3</v>
      </c>
      <c r="E36" s="58">
        <v>92.7</v>
      </c>
      <c r="F36" s="58">
        <v>40.6</v>
      </c>
      <c r="G36" s="58">
        <v>78.2</v>
      </c>
      <c r="H36" s="58">
        <v>19.5</v>
      </c>
      <c r="I36" s="58">
        <v>0</v>
      </c>
      <c r="J36" s="58">
        <v>24.5</v>
      </c>
    </row>
    <row r="37" spans="1:10" ht="15" customHeight="1">
      <c r="A37" t="s">
        <v>293</v>
      </c>
      <c r="B37" s="59" t="s">
        <v>487</v>
      </c>
      <c r="C37" s="58">
        <v>56</v>
      </c>
      <c r="D37" s="58">
        <v>40.9</v>
      </c>
      <c r="E37" s="58">
        <v>68.2</v>
      </c>
      <c r="F37" s="58">
        <v>42.1</v>
      </c>
      <c r="G37" s="58">
        <v>67.3</v>
      </c>
      <c r="H37" s="58">
        <v>19.7</v>
      </c>
      <c r="I37" s="58">
        <v>24.5</v>
      </c>
      <c r="J37" s="58">
        <v>0</v>
      </c>
    </row>
    <row r="38" spans="1:10" ht="15" customHeight="1">
      <c r="A38" t="s">
        <v>130</v>
      </c>
      <c r="B38" s="59" t="s">
        <v>480</v>
      </c>
      <c r="C38" s="58">
        <v>0</v>
      </c>
      <c r="D38" s="58">
        <v>59</v>
      </c>
      <c r="E38" s="58">
        <v>40.299999999999997</v>
      </c>
      <c r="F38" s="58">
        <v>70</v>
      </c>
      <c r="G38" s="58">
        <v>57</v>
      </c>
      <c r="H38" s="58">
        <v>47</v>
      </c>
      <c r="I38" s="58">
        <v>59.4</v>
      </c>
      <c r="J38" s="58">
        <v>56</v>
      </c>
    </row>
    <row r="39" spans="1:10" ht="15" customHeight="1">
      <c r="A39" t="s">
        <v>130</v>
      </c>
      <c r="B39" s="59" t="s">
        <v>481</v>
      </c>
      <c r="C39" s="58">
        <v>59</v>
      </c>
      <c r="D39" s="58">
        <v>0</v>
      </c>
      <c r="E39" s="58">
        <v>75.7</v>
      </c>
      <c r="F39" s="58">
        <v>81.900000000000006</v>
      </c>
      <c r="G39" s="58">
        <v>92.7</v>
      </c>
      <c r="H39" s="58">
        <v>62</v>
      </c>
      <c r="I39" s="58">
        <v>51.3</v>
      </c>
      <c r="J39" s="58">
        <v>40.9</v>
      </c>
    </row>
    <row r="40" spans="1:10" ht="15" customHeight="1">
      <c r="A40" t="s">
        <v>130</v>
      </c>
      <c r="B40" s="59" t="s">
        <v>482</v>
      </c>
      <c r="C40" s="58">
        <v>40.299999999999997</v>
      </c>
      <c r="D40" s="58">
        <v>75.7</v>
      </c>
      <c r="E40" s="58">
        <v>0</v>
      </c>
      <c r="F40" s="58">
        <v>85.3</v>
      </c>
      <c r="G40" s="58">
        <v>25.7</v>
      </c>
      <c r="H40" s="58">
        <v>44.5</v>
      </c>
      <c r="I40" s="58">
        <v>92.7</v>
      </c>
      <c r="J40" s="58">
        <v>68.2</v>
      </c>
    </row>
    <row r="41" spans="1:10" ht="15" customHeight="1">
      <c r="A41" t="s">
        <v>130</v>
      </c>
      <c r="B41" s="59" t="s">
        <v>483</v>
      </c>
      <c r="C41" s="58">
        <v>70</v>
      </c>
      <c r="D41" s="58">
        <v>81.900000000000006</v>
      </c>
      <c r="E41" s="58">
        <v>85.3</v>
      </c>
      <c r="F41" s="58">
        <v>0</v>
      </c>
      <c r="G41" s="58">
        <v>45</v>
      </c>
      <c r="H41" s="58">
        <v>21.6</v>
      </c>
      <c r="I41" s="58">
        <v>40.6</v>
      </c>
      <c r="J41" s="58">
        <v>42.1</v>
      </c>
    </row>
    <row r="42" spans="1:10" ht="15" customHeight="1">
      <c r="A42" t="s">
        <v>130</v>
      </c>
      <c r="B42" s="59" t="s">
        <v>484</v>
      </c>
      <c r="C42" s="58">
        <v>57</v>
      </c>
      <c r="D42" s="58">
        <v>92.7</v>
      </c>
      <c r="E42" s="58">
        <v>25.7</v>
      </c>
      <c r="F42" s="58">
        <v>45</v>
      </c>
      <c r="G42" s="58">
        <v>0</v>
      </c>
      <c r="H42" s="58">
        <v>58.7</v>
      </c>
      <c r="I42" s="58">
        <v>78.2</v>
      </c>
      <c r="J42" s="58">
        <v>67.3</v>
      </c>
    </row>
    <row r="43" spans="1:10" ht="15" customHeight="1">
      <c r="A43" t="s">
        <v>130</v>
      </c>
      <c r="B43" s="59" t="s">
        <v>485</v>
      </c>
      <c r="C43" s="58">
        <v>47</v>
      </c>
      <c r="D43" s="58">
        <v>62</v>
      </c>
      <c r="E43" s="58">
        <v>44.5</v>
      </c>
      <c r="F43" s="58">
        <v>21.6</v>
      </c>
      <c r="G43" s="58">
        <v>58.7</v>
      </c>
      <c r="H43" s="58">
        <v>0</v>
      </c>
      <c r="I43" s="58">
        <v>19.5</v>
      </c>
      <c r="J43" s="58">
        <v>19.7</v>
      </c>
    </row>
    <row r="44" spans="1:10">
      <c r="A44" t="s">
        <v>130</v>
      </c>
      <c r="B44" s="59" t="s">
        <v>486</v>
      </c>
      <c r="C44" s="58">
        <v>59.4</v>
      </c>
      <c r="D44" s="58">
        <v>51.3</v>
      </c>
      <c r="E44" s="58">
        <v>92.7</v>
      </c>
      <c r="F44" s="58">
        <v>40.6</v>
      </c>
      <c r="G44" s="58">
        <v>78.2</v>
      </c>
      <c r="H44" s="58">
        <v>19.5</v>
      </c>
      <c r="I44" s="58">
        <v>0</v>
      </c>
      <c r="J44" s="58">
        <v>24.5</v>
      </c>
    </row>
    <row r="45" spans="1:10" ht="15" customHeight="1">
      <c r="A45" t="s">
        <v>130</v>
      </c>
      <c r="B45" s="59" t="s">
        <v>487</v>
      </c>
      <c r="C45" s="58">
        <v>56</v>
      </c>
      <c r="D45" s="58">
        <v>40.9</v>
      </c>
      <c r="E45" s="58">
        <v>68.2</v>
      </c>
      <c r="F45" s="58">
        <v>42.1</v>
      </c>
      <c r="G45" s="58">
        <v>67.3</v>
      </c>
      <c r="H45" s="58">
        <v>19.7</v>
      </c>
      <c r="I45" s="58">
        <v>24.5</v>
      </c>
      <c r="J45" s="58">
        <v>0</v>
      </c>
    </row>
    <row r="46" spans="1:10" ht="15" customHeight="1">
      <c r="A46" t="s">
        <v>15</v>
      </c>
      <c r="B46" s="59" t="s">
        <v>480</v>
      </c>
      <c r="C46" s="58">
        <v>0</v>
      </c>
      <c r="D46" s="58">
        <v>0</v>
      </c>
      <c r="E46" s="58">
        <v>0</v>
      </c>
      <c r="F46" s="58">
        <v>0</v>
      </c>
      <c r="G46" s="58">
        <v>32.6</v>
      </c>
      <c r="H46" s="58">
        <v>0</v>
      </c>
      <c r="I46" s="58">
        <v>0</v>
      </c>
      <c r="J46" s="58">
        <v>0</v>
      </c>
    </row>
    <row r="47" spans="1:10" ht="15" customHeight="1">
      <c r="A47" t="s">
        <v>15</v>
      </c>
      <c r="B47" s="59" t="s">
        <v>481</v>
      </c>
      <c r="C47" s="58">
        <v>0</v>
      </c>
      <c r="D47" s="58">
        <v>0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31.5</v>
      </c>
    </row>
    <row r="48" spans="1:10" ht="15" customHeight="1">
      <c r="A48" t="s">
        <v>15</v>
      </c>
      <c r="B48" s="59" t="s">
        <v>482</v>
      </c>
      <c r="C48" s="58">
        <v>0</v>
      </c>
      <c r="D48" s="58">
        <v>0</v>
      </c>
      <c r="E48" s="58">
        <v>0</v>
      </c>
      <c r="F48" s="58">
        <v>0</v>
      </c>
      <c r="G48" s="58">
        <v>24.1</v>
      </c>
      <c r="H48" s="58">
        <v>0</v>
      </c>
      <c r="I48" s="58">
        <v>0</v>
      </c>
      <c r="J48" s="58">
        <v>0</v>
      </c>
    </row>
    <row r="49" spans="1:10" ht="15" customHeight="1">
      <c r="A49" t="s">
        <v>15</v>
      </c>
      <c r="B49" s="59" t="s">
        <v>483</v>
      </c>
      <c r="C49" s="58">
        <v>0</v>
      </c>
      <c r="D49" s="58">
        <v>0</v>
      </c>
      <c r="E49" s="58">
        <v>0</v>
      </c>
      <c r="F49" s="58">
        <v>0</v>
      </c>
      <c r="G49" s="58">
        <v>33.799999999999997</v>
      </c>
      <c r="H49" s="58">
        <v>16</v>
      </c>
      <c r="I49" s="58">
        <v>0</v>
      </c>
      <c r="J49" s="58">
        <v>0</v>
      </c>
    </row>
    <row r="50" spans="1:10" ht="15" customHeight="1">
      <c r="A50" t="s">
        <v>15</v>
      </c>
      <c r="B50" s="59" t="s">
        <v>484</v>
      </c>
      <c r="C50" s="58">
        <v>32.6</v>
      </c>
      <c r="D50" s="58">
        <v>0</v>
      </c>
      <c r="E50" s="58">
        <v>24.1</v>
      </c>
      <c r="F50" s="58">
        <v>33.799999999999997</v>
      </c>
      <c r="G50" s="58">
        <v>0</v>
      </c>
      <c r="H50" s="58">
        <v>0</v>
      </c>
      <c r="I50" s="58">
        <v>0</v>
      </c>
      <c r="J50" s="58">
        <v>0</v>
      </c>
    </row>
    <row r="51" spans="1:10" ht="15" customHeight="1">
      <c r="A51" t="s">
        <v>15</v>
      </c>
      <c r="B51" s="59" t="s">
        <v>485</v>
      </c>
      <c r="C51" s="58">
        <v>0</v>
      </c>
      <c r="D51" s="58">
        <v>0</v>
      </c>
      <c r="E51" s="58">
        <v>0</v>
      </c>
      <c r="F51" s="58">
        <v>16</v>
      </c>
      <c r="G51" s="58">
        <v>0</v>
      </c>
      <c r="H51" s="58">
        <v>0</v>
      </c>
      <c r="I51" s="58">
        <v>15.1</v>
      </c>
      <c r="J51" s="58">
        <v>18.7</v>
      </c>
    </row>
    <row r="52" spans="1:10" ht="15" customHeight="1">
      <c r="A52" t="s">
        <v>15</v>
      </c>
      <c r="B52" s="59" t="s">
        <v>486</v>
      </c>
      <c r="C52" s="58">
        <v>0</v>
      </c>
      <c r="D52" s="58">
        <v>0</v>
      </c>
      <c r="E52" s="58">
        <v>0</v>
      </c>
      <c r="F52" s="58">
        <v>0</v>
      </c>
      <c r="G52" s="58">
        <v>0</v>
      </c>
      <c r="H52" s="58">
        <v>15.1</v>
      </c>
      <c r="I52" s="58">
        <v>0</v>
      </c>
      <c r="J52" s="58">
        <v>8.8800000000000008</v>
      </c>
    </row>
    <row r="53" spans="1:10" ht="15" customHeight="1">
      <c r="A53" t="s">
        <v>15</v>
      </c>
      <c r="B53" s="59" t="s">
        <v>487</v>
      </c>
      <c r="C53" s="58">
        <v>0</v>
      </c>
      <c r="D53" s="58">
        <v>31.5</v>
      </c>
      <c r="E53" s="58">
        <v>0</v>
      </c>
      <c r="F53" s="58">
        <v>0</v>
      </c>
      <c r="G53" s="58">
        <v>0</v>
      </c>
      <c r="H53" s="58">
        <v>18.7</v>
      </c>
      <c r="I53" s="58">
        <v>8.8800000000000008</v>
      </c>
      <c r="J53" s="58">
        <v>0</v>
      </c>
    </row>
    <row r="54" spans="1:10" ht="15" customHeight="1">
      <c r="B54" s="21"/>
    </row>
    <row r="55" spans="1:10" ht="15" customHeight="1">
      <c r="B55" s="21"/>
    </row>
    <row r="56" spans="1:10" ht="15" customHeight="1">
      <c r="B56" s="21"/>
    </row>
    <row r="57" spans="1:10" ht="15" customHeight="1">
      <c r="B57" s="21"/>
    </row>
    <row r="58" spans="1:10" ht="15" customHeight="1">
      <c r="B58" s="21"/>
    </row>
    <row r="59" spans="1:10" ht="15" customHeight="1">
      <c r="B59" s="21"/>
    </row>
    <row r="60" spans="1:10" ht="15" customHeight="1">
      <c r="B60" s="21"/>
    </row>
    <row r="61" spans="1:10" ht="15" customHeight="1">
      <c r="B61" s="21"/>
    </row>
    <row r="62" spans="1:10" ht="15" customHeight="1"/>
    <row r="63" spans="1:10" ht="15" customHeight="1">
      <c r="B63" s="21"/>
    </row>
    <row r="64" spans="1:10" ht="15" customHeight="1">
      <c r="B64" s="21"/>
    </row>
    <row r="65" spans="2:2" ht="15" customHeight="1">
      <c r="B65" s="21"/>
    </row>
    <row r="66" spans="2:2" ht="15" customHeight="1">
      <c r="B66" s="21"/>
    </row>
    <row r="67" spans="2:2" ht="15" customHeight="1">
      <c r="B67" s="21"/>
    </row>
    <row r="68" spans="2:2" ht="15" customHeight="1">
      <c r="B68" s="21"/>
    </row>
    <row r="69" spans="2:2" ht="15" customHeight="1">
      <c r="B69" s="21"/>
    </row>
    <row r="70" spans="2:2" ht="15" customHeight="1">
      <c r="B70" s="21"/>
    </row>
    <row r="71" spans="2:2" ht="15" customHeight="1">
      <c r="B71" s="21"/>
    </row>
    <row r="72" spans="2:2" ht="15" customHeight="1">
      <c r="B72" s="21"/>
    </row>
    <row r="73" spans="2:2">
      <c r="B73" s="21"/>
    </row>
    <row r="74" spans="2:2" ht="15" customHeight="1">
      <c r="B74" s="21"/>
    </row>
    <row r="75" spans="2:2" ht="15" customHeight="1">
      <c r="B75" s="21"/>
    </row>
    <row r="76" spans="2:2" ht="15" customHeight="1">
      <c r="B76" s="21"/>
    </row>
    <row r="77" spans="2:2" ht="15" customHeight="1">
      <c r="B77" s="21"/>
    </row>
    <row r="78" spans="2:2" ht="15" customHeight="1">
      <c r="B78" s="21"/>
    </row>
    <row r="79" spans="2:2" ht="15" customHeight="1">
      <c r="B79" s="21"/>
    </row>
    <row r="80" spans="2:2" ht="15" customHeight="1">
      <c r="B80" s="21"/>
    </row>
    <row r="81" spans="2:2" ht="15" customHeight="1">
      <c r="B81" s="21"/>
    </row>
    <row r="82" spans="2:2" ht="15" customHeight="1">
      <c r="B82" s="21"/>
    </row>
    <row r="83" spans="2:2" ht="15" customHeight="1">
      <c r="B83" s="21"/>
    </row>
    <row r="84" spans="2:2" ht="15" customHeight="1">
      <c r="B84" s="21"/>
    </row>
    <row r="85" spans="2:2" ht="15" customHeight="1">
      <c r="B85" s="21"/>
    </row>
    <row r="86" spans="2:2" ht="15" customHeight="1">
      <c r="B86" s="21"/>
    </row>
    <row r="87" spans="2:2" ht="15" customHeight="1">
      <c r="B87" s="21"/>
    </row>
    <row r="88" spans="2:2" ht="15" customHeight="1">
      <c r="B88" s="21"/>
    </row>
    <row r="89" spans="2:2" ht="15" customHeight="1">
      <c r="B89" s="21"/>
    </row>
    <row r="90" spans="2:2" ht="15" customHeight="1">
      <c r="B90" s="21"/>
    </row>
    <row r="91" spans="2:2" ht="15" customHeight="1">
      <c r="B91" s="21"/>
    </row>
    <row r="92" spans="2:2" ht="15" customHeight="1"/>
    <row r="93" spans="2:2" ht="15" customHeight="1">
      <c r="B93" s="21"/>
    </row>
    <row r="94" spans="2:2" ht="15" customHeight="1">
      <c r="B94" s="21"/>
    </row>
    <row r="95" spans="2:2" ht="15" customHeight="1">
      <c r="B95" s="21"/>
    </row>
    <row r="96" spans="2:2" ht="15" customHeight="1">
      <c r="B96" s="21"/>
    </row>
    <row r="97" spans="2:2" ht="15" customHeight="1">
      <c r="B97" s="21"/>
    </row>
    <row r="98" spans="2:2" ht="15" customHeight="1">
      <c r="B98" s="21"/>
    </row>
    <row r="99" spans="2:2" ht="15" customHeight="1">
      <c r="B99" s="21"/>
    </row>
    <row r="100" spans="2:2" ht="15" customHeight="1">
      <c r="B100" s="21"/>
    </row>
    <row r="101" spans="2:2" ht="15" customHeight="1">
      <c r="B101" s="21"/>
    </row>
    <row r="102" spans="2:2">
      <c r="B102" s="21"/>
    </row>
    <row r="103" spans="2:2" ht="15" customHeight="1">
      <c r="B103" s="21"/>
    </row>
    <row r="104" spans="2:2" ht="15" customHeight="1">
      <c r="B104" s="21"/>
    </row>
    <row r="105" spans="2:2" ht="15" customHeight="1">
      <c r="B105" s="21"/>
    </row>
    <row r="106" spans="2:2" ht="15" customHeight="1">
      <c r="B106" s="21"/>
    </row>
    <row r="107" spans="2:2" ht="15" customHeight="1">
      <c r="B107" s="21"/>
    </row>
    <row r="108" spans="2:2" ht="15" customHeight="1">
      <c r="B108" s="21"/>
    </row>
    <row r="109" spans="2:2" ht="15" customHeight="1">
      <c r="B109" s="21"/>
    </row>
    <row r="110" spans="2:2" ht="15" customHeight="1">
      <c r="B110" s="21"/>
    </row>
    <row r="111" spans="2:2" ht="15" customHeight="1">
      <c r="B111" s="21"/>
    </row>
    <row r="112" spans="2:2" ht="15" customHeight="1">
      <c r="B112" s="21"/>
    </row>
    <row r="113" spans="2:2" ht="15" customHeight="1">
      <c r="B113" s="21"/>
    </row>
    <row r="114" spans="2:2" ht="15" customHeight="1">
      <c r="B114" s="21"/>
    </row>
    <row r="115" spans="2:2" ht="15" customHeight="1">
      <c r="B115" s="21"/>
    </row>
    <row r="116" spans="2:2" ht="15" customHeight="1">
      <c r="B116" s="21"/>
    </row>
    <row r="117" spans="2:2" ht="15" customHeight="1">
      <c r="B117" s="21"/>
    </row>
    <row r="118" spans="2:2" ht="15" customHeight="1">
      <c r="B118" s="21"/>
    </row>
    <row r="119" spans="2:2" ht="15" customHeight="1">
      <c r="B119" s="21"/>
    </row>
    <row r="120" spans="2:2" ht="15" customHeight="1">
      <c r="B120" s="21"/>
    </row>
    <row r="121" spans="2:2" ht="15" customHeight="1">
      <c r="B121" s="21"/>
    </row>
    <row r="122" spans="2:2" ht="15" customHeight="1"/>
    <row r="123" spans="2:2" ht="15" customHeight="1">
      <c r="B123" s="21"/>
    </row>
    <row r="124" spans="2:2" ht="15" customHeight="1">
      <c r="B124" s="21"/>
    </row>
    <row r="125" spans="2:2" ht="15" customHeight="1">
      <c r="B125" s="21"/>
    </row>
    <row r="126" spans="2:2" ht="15" customHeight="1">
      <c r="B126" s="21"/>
    </row>
    <row r="127" spans="2:2" ht="15" customHeight="1">
      <c r="B127" s="21"/>
    </row>
    <row r="128" spans="2:2" ht="15" customHeight="1">
      <c r="B128" s="21"/>
    </row>
    <row r="129" spans="2:2" ht="15" customHeight="1">
      <c r="B129" s="21"/>
    </row>
    <row r="130" spans="2:2" ht="15" customHeight="1">
      <c r="B130" s="21"/>
    </row>
    <row r="131" spans="2:2">
      <c r="B131" s="21"/>
    </row>
    <row r="132" spans="2:2" ht="15" customHeight="1">
      <c r="B132" s="21"/>
    </row>
    <row r="133" spans="2:2" ht="15" customHeight="1">
      <c r="B133" s="21"/>
    </row>
    <row r="134" spans="2:2" ht="15" customHeight="1">
      <c r="B134" s="21"/>
    </row>
    <row r="135" spans="2:2" ht="15" customHeight="1">
      <c r="B135" s="21"/>
    </row>
    <row r="136" spans="2:2" ht="15" customHeight="1">
      <c r="B136" s="21"/>
    </row>
    <row r="137" spans="2:2" ht="15" customHeight="1">
      <c r="B137" s="21"/>
    </row>
    <row r="138" spans="2:2" ht="15" customHeight="1">
      <c r="B138" s="21"/>
    </row>
    <row r="139" spans="2:2" ht="15" customHeight="1">
      <c r="B139" s="21"/>
    </row>
    <row r="140" spans="2:2" ht="15" customHeight="1">
      <c r="B140" s="21"/>
    </row>
    <row r="141" spans="2:2" ht="15" customHeight="1">
      <c r="B141" s="21"/>
    </row>
    <row r="142" spans="2:2" ht="15" customHeight="1">
      <c r="B142" s="21"/>
    </row>
    <row r="143" spans="2:2" ht="15" customHeight="1">
      <c r="B143" s="21"/>
    </row>
    <row r="144" spans="2:2" ht="15" customHeight="1">
      <c r="B144" s="21"/>
    </row>
    <row r="145" spans="2:2" ht="15" customHeight="1">
      <c r="B145" s="21"/>
    </row>
    <row r="146" spans="2:2" ht="15" customHeight="1">
      <c r="B146" s="21"/>
    </row>
    <row r="147" spans="2:2" ht="15" customHeight="1">
      <c r="B147" s="21"/>
    </row>
    <row r="148" spans="2:2" ht="15" customHeight="1">
      <c r="B148" s="21"/>
    </row>
    <row r="149" spans="2:2" ht="15" customHeight="1">
      <c r="B149" s="21"/>
    </row>
    <row r="150" spans="2:2" ht="15" customHeight="1">
      <c r="B150" s="21"/>
    </row>
    <row r="151" spans="2:2" ht="15" customHeight="1">
      <c r="B151" s="21"/>
    </row>
    <row r="152" spans="2:2" ht="15" customHeight="1"/>
    <row r="153" spans="2:2" ht="15" customHeight="1">
      <c r="B153" s="21"/>
    </row>
    <row r="154" spans="2:2" ht="15" customHeight="1">
      <c r="B154" s="21"/>
    </row>
    <row r="155" spans="2:2" ht="15" customHeight="1">
      <c r="B155" s="21"/>
    </row>
    <row r="156" spans="2:2" ht="15" customHeight="1">
      <c r="B156" s="21"/>
    </row>
    <row r="157" spans="2:2" ht="15" customHeight="1">
      <c r="B157" s="21"/>
    </row>
    <row r="158" spans="2:2" ht="15" customHeight="1">
      <c r="B158" s="21"/>
    </row>
    <row r="159" spans="2:2" ht="15" customHeight="1">
      <c r="B159" s="21"/>
    </row>
    <row r="160" spans="2:2">
      <c r="B160" s="21"/>
    </row>
    <row r="161" spans="2:2" ht="15" customHeight="1">
      <c r="B161" s="21"/>
    </row>
    <row r="162" spans="2:2" ht="15" customHeight="1">
      <c r="B162" s="21"/>
    </row>
    <row r="163" spans="2:2" ht="15" customHeight="1">
      <c r="B163" s="21"/>
    </row>
    <row r="164" spans="2:2" ht="15" customHeight="1">
      <c r="B164" s="21"/>
    </row>
    <row r="165" spans="2:2" ht="15" customHeight="1">
      <c r="B165" s="21"/>
    </row>
    <row r="166" spans="2:2" ht="15" customHeight="1">
      <c r="B166" s="21"/>
    </row>
    <row r="167" spans="2:2" ht="15" customHeight="1">
      <c r="B167" s="21"/>
    </row>
    <row r="168" spans="2:2" ht="15" customHeight="1">
      <c r="B168" s="21"/>
    </row>
    <row r="169" spans="2:2" ht="15" customHeight="1">
      <c r="B169" s="21"/>
    </row>
    <row r="170" spans="2:2" ht="15" customHeight="1">
      <c r="B170" s="21"/>
    </row>
    <row r="171" spans="2:2" ht="15" customHeight="1">
      <c r="B171" s="21"/>
    </row>
    <row r="172" spans="2:2" ht="15" customHeight="1">
      <c r="B172" s="21"/>
    </row>
    <row r="173" spans="2:2" ht="15" customHeight="1">
      <c r="B173" s="21"/>
    </row>
    <row r="174" spans="2:2" ht="15" customHeight="1">
      <c r="B174" s="21"/>
    </row>
    <row r="175" spans="2:2" ht="15" customHeight="1">
      <c r="B175" s="21"/>
    </row>
    <row r="176" spans="2:2" ht="15" customHeight="1">
      <c r="B176" s="21"/>
    </row>
    <row r="177" spans="2:2" ht="15" customHeight="1">
      <c r="B177" s="21"/>
    </row>
    <row r="178" spans="2:2" ht="15" customHeight="1">
      <c r="B178" s="21"/>
    </row>
    <row r="179" spans="2:2" ht="15" customHeight="1">
      <c r="B179" s="21"/>
    </row>
    <row r="180" spans="2:2" ht="15" customHeight="1">
      <c r="B180" s="21"/>
    </row>
    <row r="181" spans="2:2" ht="15" customHeight="1">
      <c r="B181" s="21"/>
    </row>
    <row r="182" spans="2:2" ht="15" customHeight="1"/>
    <row r="183" spans="2:2" ht="15" customHeight="1">
      <c r="B183" s="21"/>
    </row>
    <row r="184" spans="2:2" ht="15" customHeight="1">
      <c r="B184" s="21"/>
    </row>
    <row r="185" spans="2:2" ht="15" customHeight="1">
      <c r="B185" s="21"/>
    </row>
    <row r="186" spans="2:2" ht="15" customHeight="1">
      <c r="B186" s="21"/>
    </row>
    <row r="187" spans="2:2" ht="15" customHeight="1">
      <c r="B187" s="21"/>
    </row>
    <row r="188" spans="2:2" ht="15" customHeight="1">
      <c r="B188" s="21"/>
    </row>
    <row r="189" spans="2:2">
      <c r="B189" s="21"/>
    </row>
    <row r="190" spans="2:2" ht="15" customHeight="1">
      <c r="B190" s="21"/>
    </row>
    <row r="191" spans="2:2" ht="15" customHeight="1">
      <c r="B191" s="21"/>
    </row>
    <row r="192" spans="2:2" ht="15" customHeight="1">
      <c r="B192" s="21"/>
    </row>
    <row r="193" spans="2:2" ht="15" customHeight="1">
      <c r="B193" s="21"/>
    </row>
    <row r="194" spans="2:2" ht="15" customHeight="1">
      <c r="B194" s="21"/>
    </row>
    <row r="195" spans="2:2" ht="15" customHeight="1">
      <c r="B195" s="21"/>
    </row>
    <row r="196" spans="2:2" ht="15" customHeight="1">
      <c r="B196" s="21"/>
    </row>
    <row r="197" spans="2:2" ht="15" customHeight="1">
      <c r="B197" s="21"/>
    </row>
    <row r="198" spans="2:2" ht="15" customHeight="1">
      <c r="B198" s="21"/>
    </row>
    <row r="199" spans="2:2" ht="15" customHeight="1">
      <c r="B199" s="21"/>
    </row>
    <row r="200" spans="2:2" ht="15" customHeight="1">
      <c r="B200" s="21"/>
    </row>
    <row r="201" spans="2:2" ht="15" customHeight="1">
      <c r="B201" s="21"/>
    </row>
    <row r="202" spans="2:2" ht="15" customHeight="1">
      <c r="B202" s="21"/>
    </row>
    <row r="203" spans="2:2" ht="15" customHeight="1">
      <c r="B203" s="21"/>
    </row>
    <row r="204" spans="2:2" ht="15" customHeight="1">
      <c r="B204" s="21"/>
    </row>
    <row r="205" spans="2:2" ht="15" customHeight="1">
      <c r="B205" s="21"/>
    </row>
    <row r="206" spans="2:2" ht="15" customHeight="1">
      <c r="B206" s="21"/>
    </row>
    <row r="207" spans="2:2" ht="15" customHeight="1">
      <c r="B207" s="21"/>
    </row>
    <row r="208" spans="2:2" ht="15" customHeight="1">
      <c r="B208" s="21"/>
    </row>
    <row r="209" spans="2:2" ht="15" customHeight="1">
      <c r="B209" s="21"/>
    </row>
    <row r="210" spans="2:2" ht="15" customHeight="1">
      <c r="B210" s="21"/>
    </row>
    <row r="211" spans="2:2" ht="15" customHeight="1">
      <c r="B211" s="21"/>
    </row>
    <row r="212" spans="2:2" ht="15" customHeight="1"/>
    <row r="213" spans="2:2" ht="15" customHeight="1">
      <c r="B213" s="21"/>
    </row>
    <row r="214" spans="2:2" ht="15" customHeight="1">
      <c r="B214" s="21"/>
    </row>
    <row r="215" spans="2:2" ht="15" customHeight="1">
      <c r="B215" s="21"/>
    </row>
    <row r="216" spans="2:2" ht="15" customHeight="1">
      <c r="B216" s="21"/>
    </row>
    <row r="217" spans="2:2" ht="15" customHeight="1">
      <c r="B217" s="21"/>
    </row>
    <row r="218" spans="2:2">
      <c r="B218" s="21"/>
    </row>
    <row r="219" spans="2:2" ht="15" customHeight="1">
      <c r="B219" s="21"/>
    </row>
    <row r="220" spans="2:2" ht="15" customHeight="1">
      <c r="B220" s="21"/>
    </row>
    <row r="221" spans="2:2" ht="15" customHeight="1">
      <c r="B221" s="21"/>
    </row>
    <row r="222" spans="2:2" ht="15" customHeight="1">
      <c r="B222" s="21"/>
    </row>
    <row r="223" spans="2:2" ht="15" customHeight="1">
      <c r="B223" s="21"/>
    </row>
    <row r="224" spans="2:2" ht="15" customHeight="1">
      <c r="B224" s="21"/>
    </row>
    <row r="225" spans="2:2" ht="15" customHeight="1">
      <c r="B225" s="21"/>
    </row>
    <row r="226" spans="2:2" ht="15" customHeight="1">
      <c r="B226" s="21"/>
    </row>
    <row r="227" spans="2:2" ht="15" customHeight="1">
      <c r="B227" s="21"/>
    </row>
    <row r="228" spans="2:2" ht="15" customHeight="1">
      <c r="B228" s="21"/>
    </row>
    <row r="229" spans="2:2" ht="15" customHeight="1">
      <c r="B229" s="21"/>
    </row>
    <row r="230" spans="2:2" ht="15" customHeight="1">
      <c r="B230" s="21"/>
    </row>
    <row r="231" spans="2:2" ht="15" customHeight="1">
      <c r="B231" s="21"/>
    </row>
    <row r="232" spans="2:2" ht="15" customHeight="1">
      <c r="B232" s="21"/>
    </row>
    <row r="233" spans="2:2" ht="15" customHeight="1">
      <c r="B233" s="21"/>
    </row>
    <row r="234" spans="2:2" ht="15" customHeight="1">
      <c r="B234" s="21"/>
    </row>
    <row r="235" spans="2:2" ht="15" customHeight="1">
      <c r="B235" s="21"/>
    </row>
    <row r="236" spans="2:2" ht="15" customHeight="1">
      <c r="B236" s="21"/>
    </row>
    <row r="237" spans="2:2" ht="15" customHeight="1">
      <c r="B237" s="21"/>
    </row>
    <row r="238" spans="2:2" ht="15" customHeight="1">
      <c r="B238" s="21"/>
    </row>
    <row r="239" spans="2:2" ht="15" customHeight="1">
      <c r="B239" s="21"/>
    </row>
    <row r="240" spans="2:2" ht="15" customHeight="1">
      <c r="B240" s="21"/>
    </row>
    <row r="241" spans="2:2" ht="15" customHeight="1">
      <c r="B241" s="21"/>
    </row>
    <row r="242" spans="2:2" ht="15" customHeight="1"/>
    <row r="243" spans="2:2" ht="15" customHeight="1">
      <c r="B243" s="21"/>
    </row>
    <row r="244" spans="2:2" ht="15" customHeight="1">
      <c r="B244" s="21"/>
    </row>
    <row r="245" spans="2:2" ht="15" customHeight="1">
      <c r="B245" s="21"/>
    </row>
    <row r="246" spans="2:2" ht="15" customHeight="1">
      <c r="B246" s="21"/>
    </row>
    <row r="247" spans="2:2">
      <c r="B247" s="21"/>
    </row>
    <row r="248" spans="2:2" ht="15" customHeight="1">
      <c r="B248" s="21"/>
    </row>
    <row r="249" spans="2:2" ht="15" customHeight="1">
      <c r="B249" s="21"/>
    </row>
    <row r="250" spans="2:2" ht="15" customHeight="1">
      <c r="B250" s="21"/>
    </row>
    <row r="251" spans="2:2" ht="15" customHeight="1">
      <c r="B251" s="21"/>
    </row>
    <row r="252" spans="2:2" ht="15" customHeight="1">
      <c r="B252" s="21"/>
    </row>
    <row r="253" spans="2:2" ht="15" customHeight="1">
      <c r="B253" s="21"/>
    </row>
    <row r="254" spans="2:2" ht="15" customHeight="1">
      <c r="B254" s="21"/>
    </row>
    <row r="255" spans="2:2" ht="15" customHeight="1">
      <c r="B255" s="21"/>
    </row>
    <row r="256" spans="2:2" ht="15" customHeight="1">
      <c r="B256" s="21"/>
    </row>
    <row r="257" spans="2:2" ht="15" customHeight="1">
      <c r="B257" s="21"/>
    </row>
    <row r="258" spans="2:2" ht="15" customHeight="1">
      <c r="B258" s="21"/>
    </row>
    <row r="259" spans="2:2" ht="15" customHeight="1">
      <c r="B259" s="21"/>
    </row>
    <row r="260" spans="2:2" ht="15" customHeight="1">
      <c r="B260" s="21"/>
    </row>
    <row r="261" spans="2:2" ht="15" customHeight="1">
      <c r="B261" s="21"/>
    </row>
    <row r="262" spans="2:2" ht="15" customHeight="1">
      <c r="B262" s="21"/>
    </row>
    <row r="263" spans="2:2" ht="15" customHeight="1">
      <c r="B263" s="21"/>
    </row>
    <row r="264" spans="2:2" ht="15" customHeight="1">
      <c r="B264" s="21"/>
    </row>
    <row r="265" spans="2:2" ht="15" customHeight="1">
      <c r="B265" s="21"/>
    </row>
    <row r="266" spans="2:2" ht="15" customHeight="1">
      <c r="B266" s="21"/>
    </row>
    <row r="267" spans="2:2" ht="15" customHeight="1">
      <c r="B267" s="21"/>
    </row>
    <row r="268" spans="2:2" ht="15" customHeight="1">
      <c r="B268" s="21"/>
    </row>
    <row r="269" spans="2:2" ht="15" customHeight="1">
      <c r="B269" s="21"/>
    </row>
    <row r="270" spans="2:2" ht="15" customHeight="1">
      <c r="B270" s="21"/>
    </row>
    <row r="271" spans="2:2" ht="15" customHeight="1">
      <c r="B271" s="21"/>
    </row>
    <row r="272" spans="2:2" ht="15" customHeight="1"/>
    <row r="273" spans="2:2" ht="15" customHeight="1">
      <c r="B273" s="21"/>
    </row>
    <row r="274" spans="2:2" ht="15" customHeight="1">
      <c r="B274" s="21"/>
    </row>
    <row r="275" spans="2:2" ht="15" customHeight="1">
      <c r="B275" s="21"/>
    </row>
    <row r="276" spans="2:2">
      <c r="B276" s="21"/>
    </row>
    <row r="277" spans="2:2" ht="15" customHeight="1">
      <c r="B277" s="21"/>
    </row>
    <row r="278" spans="2:2" ht="15" customHeight="1">
      <c r="B278" s="21"/>
    </row>
    <row r="279" spans="2:2" ht="15" customHeight="1">
      <c r="B279" s="21"/>
    </row>
    <row r="280" spans="2:2" ht="15" customHeight="1">
      <c r="B280" s="21"/>
    </row>
    <row r="281" spans="2:2" ht="15" customHeight="1">
      <c r="B281" s="21"/>
    </row>
    <row r="282" spans="2:2" ht="15" customHeight="1">
      <c r="B282" s="21"/>
    </row>
    <row r="283" spans="2:2" ht="15" customHeight="1">
      <c r="B283" s="21"/>
    </row>
    <row r="284" spans="2:2" ht="15" customHeight="1">
      <c r="B284" s="21"/>
    </row>
    <row r="285" spans="2:2" ht="15" customHeight="1">
      <c r="B285" s="21"/>
    </row>
    <row r="286" spans="2:2" ht="15" customHeight="1">
      <c r="B286" s="21"/>
    </row>
    <row r="287" spans="2:2" ht="15" customHeight="1">
      <c r="B287" s="21"/>
    </row>
    <row r="288" spans="2:2" ht="15" customHeight="1">
      <c r="B288" s="21"/>
    </row>
    <row r="289" spans="2:2" ht="15" customHeight="1">
      <c r="B289" s="21"/>
    </row>
    <row r="290" spans="2:2" ht="15" customHeight="1">
      <c r="B290" s="21"/>
    </row>
    <row r="291" spans="2:2" ht="15" customHeight="1">
      <c r="B291" s="21"/>
    </row>
    <row r="292" spans="2:2" ht="15" customHeight="1">
      <c r="B292" s="21"/>
    </row>
    <row r="293" spans="2:2" ht="15" customHeight="1">
      <c r="B293" s="21"/>
    </row>
    <row r="294" spans="2:2" ht="15" customHeight="1">
      <c r="B294" s="21"/>
    </row>
    <row r="295" spans="2:2" ht="15" customHeight="1">
      <c r="B295" s="21"/>
    </row>
    <row r="296" spans="2:2" ht="15" customHeight="1">
      <c r="B296" s="21"/>
    </row>
    <row r="297" spans="2:2" ht="15" customHeight="1">
      <c r="B297" s="21"/>
    </row>
    <row r="298" spans="2:2" ht="15" customHeight="1">
      <c r="B298" s="21"/>
    </row>
    <row r="299" spans="2:2" ht="15" customHeight="1">
      <c r="B299" s="21"/>
    </row>
    <row r="300" spans="2:2" ht="15" customHeight="1">
      <c r="B300" s="21"/>
    </row>
    <row r="301" spans="2:2" ht="15" customHeight="1">
      <c r="B301" s="21"/>
    </row>
    <row r="302" spans="2:2" ht="15" customHeight="1"/>
    <row r="303" spans="2:2" ht="15" customHeight="1">
      <c r="B303" s="21"/>
    </row>
    <row r="304" spans="2:2" ht="15" customHeight="1">
      <c r="B304" s="21"/>
    </row>
    <row r="305" spans="2:2">
      <c r="B305" s="21"/>
    </row>
    <row r="306" spans="2:2" ht="15" customHeight="1">
      <c r="B306" s="21"/>
    </row>
    <row r="307" spans="2:2" ht="15" customHeight="1">
      <c r="B307" s="21"/>
    </row>
    <row r="308" spans="2:2" ht="15" customHeight="1">
      <c r="B308" s="21"/>
    </row>
    <row r="309" spans="2:2" ht="15" customHeight="1">
      <c r="B309" s="21"/>
    </row>
    <row r="310" spans="2:2" ht="15" customHeight="1">
      <c r="B310" s="21"/>
    </row>
    <row r="311" spans="2:2" ht="15" customHeight="1">
      <c r="B311" s="21"/>
    </row>
    <row r="312" spans="2:2" ht="15" customHeight="1">
      <c r="B312" s="21"/>
    </row>
    <row r="313" spans="2:2" ht="15" customHeight="1">
      <c r="B313" s="21"/>
    </row>
    <row r="314" spans="2:2" ht="15" customHeight="1">
      <c r="B314" s="21"/>
    </row>
    <row r="315" spans="2:2" ht="15" customHeight="1">
      <c r="B315" s="21"/>
    </row>
    <row r="316" spans="2:2" ht="15" customHeight="1">
      <c r="B316" s="21"/>
    </row>
    <row r="317" spans="2:2" ht="15" customHeight="1">
      <c r="B317" s="21"/>
    </row>
    <row r="318" spans="2:2" ht="15" customHeight="1">
      <c r="B318" s="21"/>
    </row>
    <row r="319" spans="2:2" ht="15" customHeight="1">
      <c r="B319" s="21"/>
    </row>
    <row r="320" spans="2:2" ht="15" customHeight="1">
      <c r="B320" s="21"/>
    </row>
    <row r="321" spans="2:2" ht="15" customHeight="1">
      <c r="B321" s="21"/>
    </row>
    <row r="322" spans="2:2" ht="15" customHeight="1">
      <c r="B322" s="21"/>
    </row>
    <row r="323" spans="2:2" ht="15" customHeight="1">
      <c r="B323" s="21"/>
    </row>
    <row r="324" spans="2:2" ht="15" customHeight="1">
      <c r="B324" s="21"/>
    </row>
    <row r="325" spans="2:2" ht="15" customHeight="1">
      <c r="B325" s="21"/>
    </row>
    <row r="326" spans="2:2" ht="15" customHeight="1">
      <c r="B326" s="21"/>
    </row>
    <row r="327" spans="2:2" ht="15" customHeight="1">
      <c r="B327" s="21"/>
    </row>
    <row r="328" spans="2:2" ht="15" customHeight="1">
      <c r="B328" s="21"/>
    </row>
    <row r="329" spans="2:2" ht="15" customHeight="1">
      <c r="B329" s="21"/>
    </row>
    <row r="330" spans="2:2" ht="15" customHeight="1">
      <c r="B330" s="21"/>
    </row>
    <row r="331" spans="2:2" ht="15" customHeight="1">
      <c r="B331" s="21"/>
    </row>
    <row r="332" spans="2:2" ht="15" customHeight="1"/>
    <row r="333" spans="2:2" ht="15" customHeight="1">
      <c r="B333" s="21"/>
    </row>
    <row r="334" spans="2:2">
      <c r="B334" s="21"/>
    </row>
    <row r="335" spans="2:2" ht="15" customHeight="1">
      <c r="B335" s="21"/>
    </row>
    <row r="336" spans="2:2" ht="15" customHeight="1">
      <c r="B336" s="21"/>
    </row>
    <row r="337" spans="2:2" ht="15" customHeight="1">
      <c r="B337" s="21"/>
    </row>
    <row r="338" spans="2:2" ht="15" customHeight="1">
      <c r="B338" s="21"/>
    </row>
    <row r="339" spans="2:2" ht="15" customHeight="1">
      <c r="B339" s="21"/>
    </row>
    <row r="340" spans="2:2" ht="15" customHeight="1">
      <c r="B340" s="21"/>
    </row>
    <row r="341" spans="2:2" ht="15" customHeight="1">
      <c r="B341" s="21"/>
    </row>
    <row r="342" spans="2:2" ht="15" customHeight="1">
      <c r="B342" s="21"/>
    </row>
    <row r="343" spans="2:2" ht="15" customHeight="1">
      <c r="B343" s="21"/>
    </row>
    <row r="344" spans="2:2" ht="15" customHeight="1">
      <c r="B344" s="21"/>
    </row>
    <row r="345" spans="2:2" ht="15" customHeight="1">
      <c r="B345" s="21"/>
    </row>
    <row r="346" spans="2:2" ht="15" customHeight="1">
      <c r="B346" s="21"/>
    </row>
    <row r="347" spans="2:2" ht="15" customHeight="1">
      <c r="B347" s="21"/>
    </row>
    <row r="348" spans="2:2" ht="15" customHeight="1">
      <c r="B348" s="21"/>
    </row>
    <row r="349" spans="2:2" ht="15" customHeight="1">
      <c r="B349" s="21"/>
    </row>
    <row r="350" spans="2:2" ht="15" customHeight="1">
      <c r="B350" s="21"/>
    </row>
    <row r="351" spans="2:2" ht="15" customHeight="1">
      <c r="B351" s="21"/>
    </row>
    <row r="352" spans="2:2" ht="15" customHeight="1">
      <c r="B352" s="21"/>
    </row>
    <row r="353" spans="2:2" ht="15" customHeight="1">
      <c r="B353" s="21"/>
    </row>
    <row r="354" spans="2:2" ht="15" customHeight="1">
      <c r="B354" s="21"/>
    </row>
    <row r="355" spans="2:2" ht="15" customHeight="1">
      <c r="B355" s="21"/>
    </row>
    <row r="356" spans="2:2" ht="15" customHeight="1">
      <c r="B356" s="21"/>
    </row>
    <row r="357" spans="2:2" ht="15" customHeight="1">
      <c r="B357" s="21"/>
    </row>
    <row r="358" spans="2:2" ht="15" customHeight="1">
      <c r="B358" s="21"/>
    </row>
    <row r="359" spans="2:2" ht="15" customHeight="1">
      <c r="B359" s="21"/>
    </row>
    <row r="360" spans="2:2" ht="15" customHeight="1">
      <c r="B360" s="21"/>
    </row>
    <row r="361" spans="2:2" ht="15" customHeight="1">
      <c r="B361" s="21"/>
    </row>
    <row r="362" spans="2:2" ht="15" customHeight="1"/>
    <row r="363" spans="2:2">
      <c r="B363" s="21"/>
    </row>
    <row r="364" spans="2:2" ht="15" customHeight="1">
      <c r="B364" s="21"/>
    </row>
    <row r="365" spans="2:2" ht="15" customHeight="1">
      <c r="B365" s="21"/>
    </row>
    <row r="366" spans="2:2" ht="15" customHeight="1">
      <c r="B366" s="21"/>
    </row>
    <row r="367" spans="2:2" ht="15" customHeight="1">
      <c r="B367" s="21"/>
    </row>
    <row r="368" spans="2:2" ht="15" customHeight="1">
      <c r="B368" s="21"/>
    </row>
    <row r="369" spans="2:2" ht="15" customHeight="1">
      <c r="B369" s="21"/>
    </row>
    <row r="370" spans="2:2" ht="15" customHeight="1">
      <c r="B370" s="21"/>
    </row>
    <row r="371" spans="2:2" ht="15" customHeight="1">
      <c r="B371" s="21"/>
    </row>
    <row r="372" spans="2:2" ht="15" customHeight="1">
      <c r="B372" s="21"/>
    </row>
    <row r="373" spans="2:2" ht="15" customHeight="1">
      <c r="B373" s="21"/>
    </row>
    <row r="374" spans="2:2" ht="15" customHeight="1">
      <c r="B374" s="21"/>
    </row>
    <row r="375" spans="2:2" ht="15" customHeight="1">
      <c r="B375" s="21"/>
    </row>
    <row r="376" spans="2:2" ht="15" customHeight="1">
      <c r="B376" s="21"/>
    </row>
    <row r="377" spans="2:2" ht="15" customHeight="1">
      <c r="B377" s="21"/>
    </row>
    <row r="378" spans="2:2" ht="15" customHeight="1">
      <c r="B378" s="21"/>
    </row>
    <row r="379" spans="2:2" ht="15" customHeight="1">
      <c r="B379" s="21"/>
    </row>
    <row r="380" spans="2:2" ht="15" customHeight="1">
      <c r="B380" s="21"/>
    </row>
    <row r="381" spans="2:2" ht="15" customHeight="1">
      <c r="B381" s="21"/>
    </row>
    <row r="382" spans="2:2" ht="15" customHeight="1">
      <c r="B382" s="21"/>
    </row>
    <row r="383" spans="2:2" ht="15" customHeight="1">
      <c r="B383" s="21"/>
    </row>
    <row r="384" spans="2:2" ht="15" customHeight="1">
      <c r="B384" s="21"/>
    </row>
    <row r="385" spans="2:2" ht="15" customHeight="1">
      <c r="B385" s="21"/>
    </row>
    <row r="386" spans="2:2" ht="15" customHeight="1">
      <c r="B386" s="21"/>
    </row>
    <row r="387" spans="2:2" ht="15" customHeight="1">
      <c r="B387" s="21"/>
    </row>
    <row r="388" spans="2:2" ht="15" customHeight="1">
      <c r="B388" s="21"/>
    </row>
    <row r="389" spans="2:2" ht="15" customHeight="1">
      <c r="B389" s="21"/>
    </row>
    <row r="390" spans="2:2" ht="15" customHeight="1">
      <c r="B390" s="21"/>
    </row>
    <row r="391" spans="2:2" ht="15" customHeight="1">
      <c r="B391" s="21"/>
    </row>
    <row r="392" spans="2:2" ht="15" customHeight="1">
      <c r="B392" s="21"/>
    </row>
    <row r="393" spans="2:2">
      <c r="B393" s="21"/>
    </row>
    <row r="394" spans="2:2" ht="15" customHeight="1">
      <c r="B394" s="21"/>
    </row>
    <row r="395" spans="2:2" ht="15" customHeight="1">
      <c r="B395" s="21"/>
    </row>
    <row r="396" spans="2:2" ht="15" customHeight="1">
      <c r="B396" s="21"/>
    </row>
    <row r="397" spans="2:2" ht="15" customHeight="1">
      <c r="B397" s="21"/>
    </row>
    <row r="398" spans="2:2" ht="15" customHeight="1">
      <c r="B398" s="21"/>
    </row>
    <row r="399" spans="2:2" ht="15" customHeight="1">
      <c r="B399" s="21"/>
    </row>
    <row r="400" spans="2:2" ht="15" customHeight="1">
      <c r="B400" s="21"/>
    </row>
    <row r="401" spans="2:2" ht="15" customHeight="1">
      <c r="B401" s="21"/>
    </row>
    <row r="402" spans="2:2" ht="15" customHeight="1">
      <c r="B402" s="21"/>
    </row>
    <row r="403" spans="2:2" ht="15" customHeight="1">
      <c r="B403" s="21"/>
    </row>
    <row r="404" spans="2:2" ht="15" customHeight="1">
      <c r="B404" s="21"/>
    </row>
    <row r="405" spans="2:2" ht="15" customHeight="1">
      <c r="B405" s="21"/>
    </row>
    <row r="406" spans="2:2" ht="15" customHeight="1">
      <c r="B406" s="21"/>
    </row>
    <row r="407" spans="2:2" ht="15" customHeight="1">
      <c r="B407" s="21"/>
    </row>
    <row r="408" spans="2:2" ht="15" customHeight="1">
      <c r="B408" s="21"/>
    </row>
    <row r="409" spans="2:2" ht="15" customHeight="1">
      <c r="B409" s="21"/>
    </row>
    <row r="410" spans="2:2" ht="15" customHeight="1">
      <c r="B410" s="21"/>
    </row>
    <row r="411" spans="2:2">
      <c r="B411" s="21"/>
    </row>
    <row r="412" spans="2:2">
      <c r="B412" s="21"/>
    </row>
    <row r="413" spans="2:2">
      <c r="B413" s="21"/>
    </row>
    <row r="414" spans="2:2">
      <c r="B414" s="21"/>
    </row>
    <row r="415" spans="2:2">
      <c r="B415" s="21"/>
    </row>
    <row r="416" spans="2:2">
      <c r="B416" s="21"/>
    </row>
    <row r="417" spans="2:2">
      <c r="B417" s="21"/>
    </row>
    <row r="418" spans="2:2">
      <c r="B418" s="21"/>
    </row>
    <row r="419" spans="2:2">
      <c r="B419" s="21"/>
    </row>
    <row r="420" spans="2:2">
      <c r="B420" s="21"/>
    </row>
    <row r="421" spans="2:2">
      <c r="B421" s="21"/>
    </row>
    <row r="423" spans="2:2">
      <c r="B423" s="21"/>
    </row>
    <row r="424" spans="2:2">
      <c r="B424" s="28"/>
    </row>
    <row r="425" spans="2:2">
      <c r="B425" s="28"/>
    </row>
    <row r="426" spans="2:2">
      <c r="B426" s="28"/>
    </row>
    <row r="427" spans="2:2">
      <c r="B427" s="28"/>
    </row>
    <row r="428" spans="2:2">
      <c r="B428" s="28"/>
    </row>
    <row r="429" spans="2:2">
      <c r="B429" s="28"/>
    </row>
    <row r="430" spans="2:2">
      <c r="B430" s="28"/>
    </row>
    <row r="431" spans="2:2">
      <c r="B431" s="28"/>
    </row>
    <row r="432" spans="2:2">
      <c r="B432" s="28"/>
    </row>
    <row r="433" spans="2:2">
      <c r="B433" s="28"/>
    </row>
    <row r="434" spans="2:2">
      <c r="B434" s="28"/>
    </row>
    <row r="435" spans="2:2">
      <c r="B435" s="28"/>
    </row>
    <row r="436" spans="2:2">
      <c r="B436" s="28"/>
    </row>
    <row r="437" spans="2:2">
      <c r="B437" s="28"/>
    </row>
    <row r="438" spans="2:2">
      <c r="B438" s="28"/>
    </row>
    <row r="439" spans="2:2">
      <c r="B439" s="28"/>
    </row>
    <row r="440" spans="2:2">
      <c r="B440" s="28"/>
    </row>
    <row r="441" spans="2:2">
      <c r="B441" s="28"/>
    </row>
    <row r="442" spans="2:2">
      <c r="B442" s="28"/>
    </row>
    <row r="443" spans="2:2">
      <c r="B443" s="28"/>
    </row>
    <row r="444" spans="2:2">
      <c r="B444" s="28"/>
    </row>
    <row r="445" spans="2:2">
      <c r="B445" s="28"/>
    </row>
    <row r="446" spans="2:2">
      <c r="B446" s="28"/>
    </row>
    <row r="447" spans="2:2">
      <c r="B447" s="28"/>
    </row>
    <row r="448" spans="2:2">
      <c r="B448" s="28"/>
    </row>
    <row r="449" spans="2:2">
      <c r="B449" s="28"/>
    </row>
    <row r="450" spans="2:2">
      <c r="B450" s="28"/>
    </row>
    <row r="451" spans="2:2">
      <c r="B451" s="28"/>
    </row>
    <row r="452" spans="2:2">
      <c r="B452" s="28"/>
    </row>
    <row r="453" spans="2:2">
      <c r="B453" s="28"/>
    </row>
    <row r="459" spans="2:2">
      <c r="B459" s="21"/>
    </row>
    <row r="460" spans="2:2">
      <c r="B460" s="21"/>
    </row>
    <row r="461" spans="2:2">
      <c r="B461" s="21"/>
    </row>
    <row r="462" spans="2:2">
      <c r="B462" s="21"/>
    </row>
    <row r="463" spans="2:2">
      <c r="B463" s="21"/>
    </row>
    <row r="464" spans="2:2">
      <c r="B464" s="21"/>
    </row>
    <row r="465" spans="2:2">
      <c r="B465" s="21"/>
    </row>
    <row r="466" spans="2:2">
      <c r="B466" s="21"/>
    </row>
    <row r="467" spans="2:2">
      <c r="B467" s="21"/>
    </row>
    <row r="468" spans="2:2">
      <c r="B468" s="21"/>
    </row>
    <row r="469" spans="2:2">
      <c r="B469" s="21"/>
    </row>
    <row r="470" spans="2:2">
      <c r="B470" s="21"/>
    </row>
    <row r="471" spans="2:2">
      <c r="B471" s="21"/>
    </row>
    <row r="472" spans="2:2">
      <c r="B472" s="21"/>
    </row>
    <row r="473" spans="2:2">
      <c r="B473" s="21"/>
    </row>
    <row r="474" spans="2:2">
      <c r="B474" s="21"/>
    </row>
    <row r="475" spans="2:2">
      <c r="B475" s="21"/>
    </row>
    <row r="476" spans="2:2">
      <c r="B476" s="21"/>
    </row>
    <row r="477" spans="2:2">
      <c r="B477" s="21"/>
    </row>
    <row r="478" spans="2:2">
      <c r="B478" s="21"/>
    </row>
    <row r="479" spans="2:2">
      <c r="B479" s="21"/>
    </row>
    <row r="480" spans="2:2">
      <c r="B480" s="21"/>
    </row>
    <row r="481" spans="2:2">
      <c r="B481" s="21"/>
    </row>
    <row r="482" spans="2:2">
      <c r="B482" s="21"/>
    </row>
    <row r="483" spans="2:2">
      <c r="B483" s="21"/>
    </row>
    <row r="484" spans="2:2">
      <c r="B484" s="21"/>
    </row>
    <row r="485" spans="2:2">
      <c r="B485" s="21"/>
    </row>
    <row r="486" spans="2:2">
      <c r="B486" s="21"/>
    </row>
    <row r="488" spans="2:2">
      <c r="B488" s="21"/>
    </row>
    <row r="489" spans="2:2">
      <c r="B489" s="21"/>
    </row>
    <row r="490" spans="2:2">
      <c r="B490" s="21"/>
    </row>
    <row r="491" spans="2:2">
      <c r="B491" s="21"/>
    </row>
    <row r="492" spans="2:2">
      <c r="B492" s="21"/>
    </row>
    <row r="493" spans="2:2">
      <c r="B493" s="21"/>
    </row>
    <row r="494" spans="2:2">
      <c r="B494" s="21"/>
    </row>
    <row r="495" spans="2:2">
      <c r="B495" s="21"/>
    </row>
    <row r="496" spans="2:2">
      <c r="B496" s="21"/>
    </row>
    <row r="497" spans="2:2">
      <c r="B497" s="21"/>
    </row>
    <row r="498" spans="2:2">
      <c r="B498" s="21"/>
    </row>
    <row r="499" spans="2:2">
      <c r="B499" s="21"/>
    </row>
    <row r="500" spans="2:2">
      <c r="B500" s="21"/>
    </row>
    <row r="501" spans="2:2">
      <c r="B501" s="21"/>
    </row>
    <row r="502" spans="2:2">
      <c r="B502" s="21"/>
    </row>
    <row r="503" spans="2:2">
      <c r="B503" s="21"/>
    </row>
    <row r="504" spans="2:2">
      <c r="B504" s="21"/>
    </row>
    <row r="505" spans="2:2">
      <c r="B505" s="21"/>
    </row>
    <row r="506" spans="2:2">
      <c r="B506" s="21"/>
    </row>
    <row r="507" spans="2:2">
      <c r="B507" s="21"/>
    </row>
    <row r="508" spans="2:2">
      <c r="B508" s="21"/>
    </row>
    <row r="509" spans="2:2">
      <c r="B509" s="21"/>
    </row>
    <row r="510" spans="2:2">
      <c r="B510" s="21"/>
    </row>
    <row r="511" spans="2:2">
      <c r="B511" s="21"/>
    </row>
    <row r="512" spans="2:2">
      <c r="B512" s="21"/>
    </row>
    <row r="513" spans="2:2">
      <c r="B513" s="21"/>
    </row>
    <row r="514" spans="2:2">
      <c r="B514" s="21"/>
    </row>
    <row r="515" spans="2:2">
      <c r="B515" s="21"/>
    </row>
    <row r="516" spans="2:2">
      <c r="B516" s="21"/>
    </row>
    <row r="518" spans="2:2">
      <c r="B518" s="21"/>
    </row>
    <row r="519" spans="2:2">
      <c r="B519" s="21"/>
    </row>
    <row r="520" spans="2:2">
      <c r="B520" s="21"/>
    </row>
    <row r="521" spans="2:2">
      <c r="B521" s="21"/>
    </row>
    <row r="522" spans="2:2">
      <c r="B522" s="21"/>
    </row>
    <row r="523" spans="2:2">
      <c r="B523" s="21"/>
    </row>
    <row r="524" spans="2:2">
      <c r="B524" s="21"/>
    </row>
    <row r="525" spans="2:2">
      <c r="B525" s="21"/>
    </row>
    <row r="526" spans="2:2">
      <c r="B526" s="21"/>
    </row>
    <row r="527" spans="2:2">
      <c r="B527" s="21"/>
    </row>
    <row r="528" spans="2:2">
      <c r="B528" s="21"/>
    </row>
    <row r="529" spans="2:2">
      <c r="B529" s="21"/>
    </row>
    <row r="530" spans="2:2">
      <c r="B530" s="21"/>
    </row>
    <row r="531" spans="2:2">
      <c r="B531" s="21"/>
    </row>
    <row r="532" spans="2:2">
      <c r="B532" s="21"/>
    </row>
    <row r="533" spans="2:2">
      <c r="B533" s="21"/>
    </row>
    <row r="534" spans="2:2">
      <c r="B534" s="21"/>
    </row>
    <row r="535" spans="2:2">
      <c r="B535" s="21"/>
    </row>
    <row r="536" spans="2:2">
      <c r="B536" s="21"/>
    </row>
    <row r="537" spans="2:2">
      <c r="B537" s="21"/>
    </row>
    <row r="538" spans="2:2">
      <c r="B538" s="21"/>
    </row>
    <row r="539" spans="2:2">
      <c r="B539" s="21"/>
    </row>
    <row r="540" spans="2:2">
      <c r="B540" s="21"/>
    </row>
    <row r="541" spans="2:2">
      <c r="B541" s="21"/>
    </row>
    <row r="542" spans="2:2">
      <c r="B542" s="21"/>
    </row>
    <row r="543" spans="2:2">
      <c r="B543" s="21"/>
    </row>
    <row r="544" spans="2:2">
      <c r="B544" s="21"/>
    </row>
    <row r="545" spans="2:2">
      <c r="B545" s="21"/>
    </row>
    <row r="546" spans="2:2">
      <c r="B546" s="21"/>
    </row>
    <row r="548" spans="2:2">
      <c r="B548" s="21"/>
    </row>
    <row r="549" spans="2:2">
      <c r="B549" s="21"/>
    </row>
    <row r="550" spans="2:2">
      <c r="B550" s="21"/>
    </row>
    <row r="551" spans="2:2">
      <c r="B551" s="21"/>
    </row>
    <row r="552" spans="2:2">
      <c r="B552" s="21"/>
    </row>
    <row r="553" spans="2:2">
      <c r="B553" s="21"/>
    </row>
    <row r="554" spans="2:2">
      <c r="B554" s="21"/>
    </row>
    <row r="555" spans="2:2">
      <c r="B555" s="21"/>
    </row>
    <row r="556" spans="2:2">
      <c r="B556" s="21"/>
    </row>
    <row r="557" spans="2:2">
      <c r="B557" s="21"/>
    </row>
    <row r="558" spans="2:2">
      <c r="B558" s="21"/>
    </row>
    <row r="559" spans="2:2">
      <c r="B559" s="21"/>
    </row>
    <row r="560" spans="2:2">
      <c r="B560" s="21"/>
    </row>
    <row r="561" spans="2:2">
      <c r="B561" s="21"/>
    </row>
    <row r="562" spans="2:2">
      <c r="B562" s="21"/>
    </row>
    <row r="563" spans="2:2">
      <c r="B563" s="21"/>
    </row>
    <row r="564" spans="2:2">
      <c r="B564" s="21"/>
    </row>
    <row r="565" spans="2:2">
      <c r="B565" s="21"/>
    </row>
    <row r="566" spans="2:2">
      <c r="B566" s="21"/>
    </row>
    <row r="567" spans="2:2">
      <c r="B567" s="21"/>
    </row>
    <row r="568" spans="2:2">
      <c r="B568" s="21"/>
    </row>
    <row r="569" spans="2:2">
      <c r="B569" s="21"/>
    </row>
    <row r="570" spans="2:2">
      <c r="B570" s="21"/>
    </row>
    <row r="571" spans="2:2">
      <c r="B571" s="21"/>
    </row>
    <row r="572" spans="2:2">
      <c r="B572" s="21"/>
    </row>
    <row r="573" spans="2:2">
      <c r="B573" s="21"/>
    </row>
    <row r="574" spans="2:2">
      <c r="B574" s="21"/>
    </row>
    <row r="575" spans="2:2">
      <c r="B575" s="21"/>
    </row>
    <row r="576" spans="2:2">
      <c r="B576" s="21"/>
    </row>
    <row r="578" spans="2:2">
      <c r="B578" s="21"/>
    </row>
    <row r="579" spans="2:2">
      <c r="B579" s="21"/>
    </row>
    <row r="580" spans="2:2">
      <c r="B580" s="21"/>
    </row>
    <row r="581" spans="2:2">
      <c r="B581" s="21"/>
    </row>
    <row r="582" spans="2:2">
      <c r="B582" s="21"/>
    </row>
    <row r="583" spans="2:2">
      <c r="B583" s="21"/>
    </row>
    <row r="584" spans="2:2">
      <c r="B584" s="21"/>
    </row>
    <row r="585" spans="2:2">
      <c r="B585" s="21"/>
    </row>
    <row r="586" spans="2:2">
      <c r="B586" s="21"/>
    </row>
    <row r="587" spans="2:2">
      <c r="B587" s="21"/>
    </row>
    <row r="588" spans="2:2">
      <c r="B588" s="21"/>
    </row>
    <row r="589" spans="2:2">
      <c r="B589" s="21"/>
    </row>
    <row r="590" spans="2:2">
      <c r="B590" s="21"/>
    </row>
    <row r="591" spans="2:2">
      <c r="B591" s="21"/>
    </row>
    <row r="592" spans="2:2">
      <c r="B592" s="21"/>
    </row>
    <row r="593" spans="2:2">
      <c r="B593" s="21"/>
    </row>
    <row r="594" spans="2:2">
      <c r="B594" s="21"/>
    </row>
    <row r="595" spans="2:2">
      <c r="B595" s="21"/>
    </row>
    <row r="596" spans="2:2">
      <c r="B596" s="21"/>
    </row>
    <row r="597" spans="2:2">
      <c r="B597" s="21"/>
    </row>
    <row r="598" spans="2:2">
      <c r="B598" s="21"/>
    </row>
    <row r="599" spans="2:2">
      <c r="B599" s="21"/>
    </row>
    <row r="600" spans="2:2">
      <c r="B600" s="21"/>
    </row>
    <row r="601" spans="2:2">
      <c r="B601" s="21"/>
    </row>
    <row r="602" spans="2:2">
      <c r="B602" s="21"/>
    </row>
    <row r="603" spans="2:2">
      <c r="B603" s="21"/>
    </row>
    <row r="604" spans="2:2">
      <c r="B604" s="21"/>
    </row>
    <row r="605" spans="2:2">
      <c r="B605" s="21"/>
    </row>
    <row r="606" spans="2:2">
      <c r="B606" s="21"/>
    </row>
    <row r="608" spans="2:2">
      <c r="B608" s="21"/>
    </row>
    <row r="609" spans="2:2">
      <c r="B609" s="21"/>
    </row>
    <row r="610" spans="2:2">
      <c r="B610" s="21"/>
    </row>
    <row r="611" spans="2:2">
      <c r="B611" s="21"/>
    </row>
    <row r="612" spans="2:2">
      <c r="B612" s="21"/>
    </row>
    <row r="613" spans="2:2">
      <c r="B613" s="21"/>
    </row>
    <row r="614" spans="2:2">
      <c r="B614" s="21"/>
    </row>
    <row r="615" spans="2:2">
      <c r="B615" s="21"/>
    </row>
    <row r="616" spans="2:2">
      <c r="B616" s="21"/>
    </row>
    <row r="617" spans="2:2">
      <c r="B617" s="21"/>
    </row>
    <row r="618" spans="2:2">
      <c r="B618" s="21"/>
    </row>
    <row r="619" spans="2:2">
      <c r="B619" s="21"/>
    </row>
    <row r="620" spans="2:2">
      <c r="B620" s="21"/>
    </row>
    <row r="621" spans="2:2">
      <c r="B621" s="21"/>
    </row>
    <row r="622" spans="2:2">
      <c r="B622" s="21"/>
    </row>
    <row r="623" spans="2:2">
      <c r="B623" s="21"/>
    </row>
    <row r="624" spans="2:2">
      <c r="B624" s="21"/>
    </row>
    <row r="625" spans="2:2">
      <c r="B625" s="21"/>
    </row>
    <row r="626" spans="2:2">
      <c r="B626" s="21"/>
    </row>
    <row r="627" spans="2:2">
      <c r="B627" s="21"/>
    </row>
    <row r="628" spans="2:2">
      <c r="B628" s="21"/>
    </row>
    <row r="629" spans="2:2">
      <c r="B629" s="21"/>
    </row>
    <row r="630" spans="2:2">
      <c r="B630" s="21"/>
    </row>
    <row r="631" spans="2:2">
      <c r="B631" s="21"/>
    </row>
    <row r="632" spans="2:2">
      <c r="B632" s="21"/>
    </row>
    <row r="633" spans="2:2">
      <c r="B633" s="21"/>
    </row>
    <row r="634" spans="2:2">
      <c r="B634" s="21"/>
    </row>
    <row r="635" spans="2:2">
      <c r="B635" s="21"/>
    </row>
    <row r="636" spans="2:2">
      <c r="B636" s="21"/>
    </row>
    <row r="638" spans="2:2">
      <c r="B638" s="21"/>
    </row>
    <row r="639" spans="2:2">
      <c r="B639" s="21"/>
    </row>
    <row r="640" spans="2:2">
      <c r="B640" s="21"/>
    </row>
    <row r="641" spans="2:2">
      <c r="B641" s="21"/>
    </row>
    <row r="642" spans="2:2">
      <c r="B642" s="21"/>
    </row>
    <row r="643" spans="2:2">
      <c r="B643" s="21"/>
    </row>
    <row r="644" spans="2:2">
      <c r="B644" s="21"/>
    </row>
    <row r="645" spans="2:2">
      <c r="B645" s="21"/>
    </row>
    <row r="646" spans="2:2">
      <c r="B646" s="21"/>
    </row>
    <row r="647" spans="2:2">
      <c r="B647" s="21"/>
    </row>
    <row r="648" spans="2:2">
      <c r="B648" s="21"/>
    </row>
    <row r="649" spans="2:2">
      <c r="B649" s="21"/>
    </row>
    <row r="650" spans="2:2">
      <c r="B650" s="21"/>
    </row>
    <row r="651" spans="2:2">
      <c r="B651" s="21"/>
    </row>
    <row r="652" spans="2:2">
      <c r="B652" s="21"/>
    </row>
    <row r="653" spans="2:2">
      <c r="B653" s="21"/>
    </row>
    <row r="654" spans="2:2">
      <c r="B654" s="21"/>
    </row>
    <row r="655" spans="2:2">
      <c r="B655" s="21"/>
    </row>
    <row r="656" spans="2:2">
      <c r="B656" s="21"/>
    </row>
    <row r="657" spans="2:2">
      <c r="B657" s="21"/>
    </row>
    <row r="658" spans="2:2">
      <c r="B658" s="21"/>
    </row>
    <row r="659" spans="2:2">
      <c r="B659" s="21"/>
    </row>
    <row r="660" spans="2:2">
      <c r="B660" s="21"/>
    </row>
    <row r="661" spans="2:2">
      <c r="B661" s="21"/>
    </row>
    <row r="662" spans="2:2">
      <c r="B662" s="21"/>
    </row>
    <row r="663" spans="2:2">
      <c r="B663" s="21"/>
    </row>
    <row r="664" spans="2:2">
      <c r="B664" s="21"/>
    </row>
    <row r="665" spans="2:2">
      <c r="B665" s="21"/>
    </row>
    <row r="666" spans="2:2">
      <c r="B666" s="21"/>
    </row>
    <row r="668" spans="2:2">
      <c r="B668" s="21"/>
    </row>
    <row r="669" spans="2:2">
      <c r="B669" s="21"/>
    </row>
    <row r="670" spans="2:2">
      <c r="B670" s="21"/>
    </row>
    <row r="671" spans="2:2">
      <c r="B671" s="21"/>
    </row>
    <row r="672" spans="2:2">
      <c r="B672" s="21"/>
    </row>
    <row r="673" spans="2:2">
      <c r="B673" s="21"/>
    </row>
    <row r="674" spans="2:2">
      <c r="B674" s="21"/>
    </row>
    <row r="675" spans="2:2">
      <c r="B675" s="21"/>
    </row>
    <row r="676" spans="2:2">
      <c r="B676" s="21"/>
    </row>
    <row r="677" spans="2:2">
      <c r="B677" s="21"/>
    </row>
    <row r="678" spans="2:2">
      <c r="B678" s="21"/>
    </row>
    <row r="679" spans="2:2">
      <c r="B679" s="21"/>
    </row>
    <row r="680" spans="2:2">
      <c r="B680" s="21"/>
    </row>
    <row r="681" spans="2:2">
      <c r="B681" s="21"/>
    </row>
    <row r="682" spans="2:2">
      <c r="B682" s="21"/>
    </row>
    <row r="683" spans="2:2">
      <c r="B683" s="21"/>
    </row>
    <row r="684" spans="2:2">
      <c r="B684" s="21"/>
    </row>
    <row r="685" spans="2:2">
      <c r="B685" s="21"/>
    </row>
    <row r="686" spans="2:2">
      <c r="B686" s="21"/>
    </row>
    <row r="687" spans="2:2">
      <c r="B687" s="21"/>
    </row>
    <row r="688" spans="2:2">
      <c r="B688" s="21"/>
    </row>
    <row r="689" spans="2:2">
      <c r="B689" s="21"/>
    </row>
    <row r="690" spans="2:2">
      <c r="B690" s="21"/>
    </row>
    <row r="691" spans="2:2">
      <c r="B691" s="21"/>
    </row>
    <row r="692" spans="2:2">
      <c r="B692" s="21"/>
    </row>
    <row r="693" spans="2:2">
      <c r="B693" s="21"/>
    </row>
    <row r="694" spans="2:2">
      <c r="B694" s="21"/>
    </row>
    <row r="695" spans="2:2">
      <c r="B695" s="21"/>
    </row>
    <row r="696" spans="2:2">
      <c r="B696" s="21"/>
    </row>
    <row r="698" spans="2:2">
      <c r="B698" s="21"/>
    </row>
    <row r="699" spans="2:2">
      <c r="B699" s="21"/>
    </row>
    <row r="700" spans="2:2">
      <c r="B700" s="21"/>
    </row>
    <row r="701" spans="2:2">
      <c r="B701" s="21"/>
    </row>
    <row r="702" spans="2:2">
      <c r="B702" s="21"/>
    </row>
    <row r="703" spans="2:2">
      <c r="B703" s="21"/>
    </row>
    <row r="704" spans="2:2">
      <c r="B704" s="21"/>
    </row>
    <row r="705" spans="2:2">
      <c r="B705" s="21"/>
    </row>
    <row r="706" spans="2:2">
      <c r="B706" s="21"/>
    </row>
    <row r="707" spans="2:2">
      <c r="B707" s="21"/>
    </row>
    <row r="708" spans="2:2">
      <c r="B708" s="21"/>
    </row>
    <row r="709" spans="2:2">
      <c r="B709" s="21"/>
    </row>
    <row r="710" spans="2:2">
      <c r="B710" s="21"/>
    </row>
    <row r="711" spans="2:2">
      <c r="B711" s="21"/>
    </row>
    <row r="712" spans="2:2">
      <c r="B712" s="21"/>
    </row>
    <row r="713" spans="2:2">
      <c r="B713" s="21"/>
    </row>
    <row r="714" spans="2:2">
      <c r="B714" s="21"/>
    </row>
    <row r="715" spans="2:2">
      <c r="B715" s="21"/>
    </row>
    <row r="716" spans="2:2">
      <c r="B716" s="21"/>
    </row>
    <row r="717" spans="2:2">
      <c r="B717" s="21"/>
    </row>
    <row r="718" spans="2:2">
      <c r="B718" s="21"/>
    </row>
    <row r="719" spans="2:2">
      <c r="B719" s="21"/>
    </row>
    <row r="720" spans="2:2">
      <c r="B720" s="21"/>
    </row>
    <row r="721" spans="2:2">
      <c r="B721" s="21"/>
    </row>
    <row r="722" spans="2:2">
      <c r="B722" s="21"/>
    </row>
    <row r="723" spans="2:2">
      <c r="B723" s="21"/>
    </row>
    <row r="724" spans="2:2">
      <c r="B724" s="21"/>
    </row>
    <row r="725" spans="2:2">
      <c r="B725" s="21"/>
    </row>
    <row r="726" spans="2:2">
      <c r="B726" s="21"/>
    </row>
    <row r="728" spans="2:2">
      <c r="B728" s="21"/>
    </row>
    <row r="729" spans="2:2">
      <c r="B729" s="21"/>
    </row>
    <row r="730" spans="2:2">
      <c r="B730" s="21"/>
    </row>
    <row r="731" spans="2:2">
      <c r="B731" s="21"/>
    </row>
    <row r="732" spans="2:2">
      <c r="B732" s="21"/>
    </row>
    <row r="733" spans="2:2">
      <c r="B733" s="21"/>
    </row>
    <row r="734" spans="2:2">
      <c r="B734" s="21"/>
    </row>
    <row r="735" spans="2:2">
      <c r="B735" s="21"/>
    </row>
    <row r="736" spans="2:2">
      <c r="B736" s="21"/>
    </row>
    <row r="737" spans="2:2">
      <c r="B737" s="21"/>
    </row>
    <row r="738" spans="2:2">
      <c r="B738" s="21"/>
    </row>
    <row r="739" spans="2:2">
      <c r="B739" s="21"/>
    </row>
    <row r="740" spans="2:2">
      <c r="B740" s="21"/>
    </row>
    <row r="741" spans="2:2">
      <c r="B741" s="21"/>
    </row>
    <row r="742" spans="2:2">
      <c r="B742" s="21"/>
    </row>
    <row r="743" spans="2:2">
      <c r="B743" s="21"/>
    </row>
    <row r="744" spans="2:2">
      <c r="B744" s="21"/>
    </row>
    <row r="745" spans="2:2">
      <c r="B745" s="21"/>
    </row>
    <row r="746" spans="2:2">
      <c r="B746" s="21"/>
    </row>
    <row r="747" spans="2:2">
      <c r="B747" s="21"/>
    </row>
    <row r="748" spans="2:2">
      <c r="B748" s="21"/>
    </row>
    <row r="749" spans="2:2">
      <c r="B749" s="21"/>
    </row>
    <row r="750" spans="2:2">
      <c r="B750" s="21"/>
    </row>
    <row r="751" spans="2:2">
      <c r="B751" s="21"/>
    </row>
    <row r="752" spans="2:2">
      <c r="B752" s="21"/>
    </row>
    <row r="753" spans="2:2">
      <c r="B753" s="21"/>
    </row>
    <row r="754" spans="2:2">
      <c r="B754" s="21"/>
    </row>
    <row r="755" spans="2:2">
      <c r="B755" s="21"/>
    </row>
    <row r="756" spans="2:2">
      <c r="B756" s="21"/>
    </row>
    <row r="758" spans="2:2">
      <c r="B758" s="21"/>
    </row>
    <row r="759" spans="2:2">
      <c r="B759" s="21"/>
    </row>
    <row r="760" spans="2:2">
      <c r="B760" s="21"/>
    </row>
    <row r="761" spans="2:2">
      <c r="B761" s="21"/>
    </row>
    <row r="762" spans="2:2">
      <c r="B762" s="21"/>
    </row>
    <row r="763" spans="2:2">
      <c r="B763" s="21"/>
    </row>
    <row r="764" spans="2:2">
      <c r="B764" s="21"/>
    </row>
    <row r="765" spans="2:2">
      <c r="B765" s="21"/>
    </row>
    <row r="766" spans="2:2">
      <c r="B766" s="21"/>
    </row>
    <row r="767" spans="2:2">
      <c r="B767" s="21"/>
    </row>
    <row r="768" spans="2:2">
      <c r="B768" s="21"/>
    </row>
    <row r="769" spans="2:2">
      <c r="B769" s="21"/>
    </row>
    <row r="770" spans="2:2">
      <c r="B770" s="21"/>
    </row>
    <row r="771" spans="2:2">
      <c r="B771" s="21"/>
    </row>
    <row r="772" spans="2:2">
      <c r="B772" s="21"/>
    </row>
    <row r="773" spans="2:2">
      <c r="B773" s="21"/>
    </row>
    <row r="774" spans="2:2">
      <c r="B774" s="21"/>
    </row>
    <row r="775" spans="2:2">
      <c r="B775" s="21"/>
    </row>
    <row r="776" spans="2:2">
      <c r="B776" s="21"/>
    </row>
    <row r="777" spans="2:2">
      <c r="B777" s="21"/>
    </row>
    <row r="778" spans="2:2">
      <c r="B778" s="21"/>
    </row>
    <row r="779" spans="2:2">
      <c r="B779" s="21"/>
    </row>
    <row r="780" spans="2:2">
      <c r="B780" s="21"/>
    </row>
    <row r="781" spans="2:2">
      <c r="B781" s="21"/>
    </row>
    <row r="782" spans="2:2">
      <c r="B782" s="21"/>
    </row>
    <row r="783" spans="2:2">
      <c r="B783" s="21"/>
    </row>
    <row r="784" spans="2:2">
      <c r="B784" s="21"/>
    </row>
    <row r="785" spans="2:2">
      <c r="B785" s="21"/>
    </row>
    <row r="786" spans="2:2">
      <c r="B786" s="21"/>
    </row>
    <row r="788" spans="2:2">
      <c r="B788" s="21"/>
    </row>
    <row r="789" spans="2:2">
      <c r="B789" s="21"/>
    </row>
    <row r="790" spans="2:2">
      <c r="B790" s="21"/>
    </row>
    <row r="791" spans="2:2">
      <c r="B791" s="21"/>
    </row>
    <row r="792" spans="2:2">
      <c r="B792" s="21"/>
    </row>
    <row r="793" spans="2:2">
      <c r="B793" s="21"/>
    </row>
    <row r="794" spans="2:2">
      <c r="B794" s="21"/>
    </row>
    <row r="795" spans="2:2">
      <c r="B795" s="21"/>
    </row>
    <row r="796" spans="2:2">
      <c r="B796" s="21"/>
    </row>
    <row r="797" spans="2:2">
      <c r="B797" s="21"/>
    </row>
    <row r="798" spans="2:2">
      <c r="B798" s="21"/>
    </row>
    <row r="799" spans="2:2">
      <c r="B799" s="21"/>
    </row>
    <row r="800" spans="2:2">
      <c r="B800" s="21"/>
    </row>
    <row r="801" spans="2:2">
      <c r="B801" s="21"/>
    </row>
    <row r="802" spans="2:2">
      <c r="B802" s="21"/>
    </row>
    <row r="803" spans="2:2">
      <c r="B803" s="21"/>
    </row>
    <row r="804" spans="2:2">
      <c r="B804" s="21"/>
    </row>
    <row r="805" spans="2:2">
      <c r="B805" s="21"/>
    </row>
    <row r="806" spans="2:2">
      <c r="B806" s="21"/>
    </row>
    <row r="807" spans="2:2">
      <c r="B807" s="21"/>
    </row>
    <row r="808" spans="2:2">
      <c r="B808" s="21"/>
    </row>
    <row r="809" spans="2:2">
      <c r="B809" s="21"/>
    </row>
    <row r="810" spans="2:2">
      <c r="B810" s="21"/>
    </row>
    <row r="811" spans="2:2">
      <c r="B811" s="21"/>
    </row>
    <row r="812" spans="2:2">
      <c r="B812" s="21"/>
    </row>
    <row r="813" spans="2:2">
      <c r="B813" s="21"/>
    </row>
    <row r="814" spans="2:2">
      <c r="B814" s="21"/>
    </row>
    <row r="815" spans="2:2">
      <c r="B815" s="21"/>
    </row>
    <row r="816" spans="2:2">
      <c r="B816" s="21"/>
    </row>
    <row r="818" spans="2:2">
      <c r="B818" s="21"/>
    </row>
    <row r="819" spans="2:2">
      <c r="B819" s="21"/>
    </row>
    <row r="820" spans="2:2">
      <c r="B820" s="21"/>
    </row>
    <row r="821" spans="2:2">
      <c r="B821" s="21"/>
    </row>
    <row r="822" spans="2:2">
      <c r="B822" s="21"/>
    </row>
    <row r="823" spans="2:2">
      <c r="B823" s="21"/>
    </row>
    <row r="824" spans="2:2">
      <c r="B824" s="21"/>
    </row>
    <row r="825" spans="2:2">
      <c r="B825" s="21"/>
    </row>
    <row r="826" spans="2:2">
      <c r="B826" s="21"/>
    </row>
    <row r="827" spans="2:2">
      <c r="B827" s="21"/>
    </row>
    <row r="828" spans="2:2">
      <c r="B828" s="21"/>
    </row>
    <row r="829" spans="2:2">
      <c r="B829" s="21"/>
    </row>
    <row r="830" spans="2:2">
      <c r="B830" s="21"/>
    </row>
    <row r="831" spans="2:2">
      <c r="B831" s="21"/>
    </row>
    <row r="832" spans="2:2">
      <c r="B832" s="21"/>
    </row>
    <row r="833" spans="2:2">
      <c r="B833" s="21"/>
    </row>
    <row r="834" spans="2:2">
      <c r="B834" s="21"/>
    </row>
    <row r="835" spans="2:2">
      <c r="B835" s="21"/>
    </row>
    <row r="836" spans="2:2">
      <c r="B836" s="21"/>
    </row>
    <row r="837" spans="2:2">
      <c r="B837" s="21"/>
    </row>
    <row r="838" spans="2:2">
      <c r="B838" s="21"/>
    </row>
    <row r="839" spans="2:2">
      <c r="B839" s="21"/>
    </row>
    <row r="840" spans="2:2">
      <c r="B840" s="21"/>
    </row>
    <row r="841" spans="2:2">
      <c r="B841" s="21"/>
    </row>
    <row r="842" spans="2:2">
      <c r="B842" s="21"/>
    </row>
    <row r="843" spans="2:2">
      <c r="B843" s="21"/>
    </row>
    <row r="844" spans="2:2">
      <c r="B844" s="21"/>
    </row>
    <row r="845" spans="2:2">
      <c r="B845" s="21"/>
    </row>
    <row r="846" spans="2:2">
      <c r="B846" s="21"/>
    </row>
    <row r="847" spans="2:2">
      <c r="B847" s="21"/>
    </row>
    <row r="848" spans="2:2">
      <c r="B848" s="21"/>
    </row>
    <row r="849" spans="2:2">
      <c r="B849" s="21"/>
    </row>
    <row r="850" spans="2:2">
      <c r="B850" s="21"/>
    </row>
    <row r="851" spans="2:2">
      <c r="B851" s="21"/>
    </row>
    <row r="852" spans="2:2">
      <c r="B852" s="21"/>
    </row>
    <row r="853" spans="2:2">
      <c r="B853" s="21"/>
    </row>
    <row r="854" spans="2:2">
      <c r="B854" s="21"/>
    </row>
    <row r="855" spans="2:2">
      <c r="B855" s="21"/>
    </row>
    <row r="856" spans="2:2">
      <c r="B856" s="21"/>
    </row>
    <row r="857" spans="2:2">
      <c r="B857" s="21"/>
    </row>
    <row r="858" spans="2:2">
      <c r="B858" s="21"/>
    </row>
    <row r="859" spans="2:2">
      <c r="B859" s="21"/>
    </row>
    <row r="860" spans="2:2">
      <c r="B860" s="21"/>
    </row>
    <row r="861" spans="2:2">
      <c r="B861" s="21"/>
    </row>
    <row r="862" spans="2:2">
      <c r="B862" s="21"/>
    </row>
    <row r="863" spans="2:2">
      <c r="B863" s="21"/>
    </row>
    <row r="864" spans="2:2">
      <c r="B864" s="21"/>
    </row>
    <row r="865" spans="2:2">
      <c r="B865" s="21"/>
    </row>
    <row r="866" spans="2:2">
      <c r="B866" s="21"/>
    </row>
    <row r="867" spans="2:2">
      <c r="B867" s="21"/>
    </row>
    <row r="868" spans="2:2">
      <c r="B868" s="21"/>
    </row>
    <row r="869" spans="2:2">
      <c r="B869" s="21"/>
    </row>
    <row r="870" spans="2:2">
      <c r="B870" s="21"/>
    </row>
    <row r="871" spans="2:2">
      <c r="B871" s="21"/>
    </row>
    <row r="872" spans="2:2">
      <c r="B872" s="21"/>
    </row>
    <row r="873" spans="2:2">
      <c r="B873" s="21"/>
    </row>
    <row r="874" spans="2:2">
      <c r="B874" s="21"/>
    </row>
    <row r="875" spans="2:2">
      <c r="B875" s="21"/>
    </row>
    <row r="876" spans="2:2">
      <c r="B876" s="21"/>
    </row>
    <row r="878" spans="2:2">
      <c r="B878" s="21"/>
    </row>
    <row r="879" spans="2:2">
      <c r="B879" s="28"/>
    </row>
    <row r="880" spans="2:2">
      <c r="B880" s="28"/>
    </row>
    <row r="881" spans="2:2">
      <c r="B881" s="28"/>
    </row>
    <row r="882" spans="2:2">
      <c r="B882" s="28"/>
    </row>
    <row r="883" spans="2:2">
      <c r="B883" s="28"/>
    </row>
    <row r="884" spans="2:2">
      <c r="B884" s="28"/>
    </row>
    <row r="885" spans="2:2">
      <c r="B885" s="28"/>
    </row>
    <row r="886" spans="2:2">
      <c r="B886" s="28"/>
    </row>
    <row r="887" spans="2:2">
      <c r="B887" s="28"/>
    </row>
    <row r="888" spans="2:2">
      <c r="B888" s="28"/>
    </row>
    <row r="889" spans="2:2">
      <c r="B889" s="28"/>
    </row>
    <row r="890" spans="2:2">
      <c r="B890" s="28"/>
    </row>
    <row r="891" spans="2:2">
      <c r="B891" s="28"/>
    </row>
    <row r="892" spans="2:2">
      <c r="B892" s="28"/>
    </row>
    <row r="893" spans="2:2">
      <c r="B893" s="28"/>
    </row>
    <row r="894" spans="2:2">
      <c r="B894" s="28"/>
    </row>
    <row r="895" spans="2:2">
      <c r="B895" s="28"/>
    </row>
    <row r="896" spans="2:2">
      <c r="B896" s="28"/>
    </row>
    <row r="897" spans="2:2">
      <c r="B897" s="28"/>
    </row>
    <row r="898" spans="2:2">
      <c r="B898" s="28"/>
    </row>
    <row r="899" spans="2:2">
      <c r="B899" s="28"/>
    </row>
    <row r="900" spans="2:2">
      <c r="B900" s="28"/>
    </row>
    <row r="901" spans="2:2">
      <c r="B901" s="28"/>
    </row>
    <row r="902" spans="2:2">
      <c r="B902" s="28"/>
    </row>
    <row r="903" spans="2:2">
      <c r="B903" s="28"/>
    </row>
    <row r="904" spans="2:2">
      <c r="B904" s="28"/>
    </row>
    <row r="905" spans="2:2">
      <c r="B905" s="28"/>
    </row>
    <row r="906" spans="2:2">
      <c r="B906" s="28"/>
    </row>
    <row r="907" spans="2:2">
      <c r="B907" s="28"/>
    </row>
    <row r="908" spans="2:2">
      <c r="B908" s="28"/>
    </row>
  </sheetData>
  <autoFilter ref="A5:AE425" xr:uid="{00000000-0009-0000-0000-000008000000}"/>
  <sortState xmlns:xlrd2="http://schemas.microsoft.com/office/spreadsheetml/2017/richdata2" ref="A6:AF424">
    <sortCondition ref="A6:A424"/>
    <sortCondition ref="B6:B424"/>
  </sortState>
  <dataValidations disablePrompts="1" count="1">
    <dataValidation type="list" allowBlank="1" showInputMessage="1" showErrorMessage="1" sqref="A149:A177 A415 A604:A632 A870" xr:uid="{D585435A-DBFB-460A-BC01-9051C3D4F2DA}">
      <formula1>Fuels</formula1>
    </dataValidation>
  </dataValidation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/>
  <dimension ref="A1:AL544"/>
  <sheetViews>
    <sheetView workbookViewId="0">
      <selection activeCell="N19" sqref="N19"/>
    </sheetView>
  </sheetViews>
  <sheetFormatPr defaultColWidth="11.42578125" defaultRowHeight="15"/>
  <cols>
    <col min="2" max="2" width="17.5703125" bestFit="1" customWidth="1"/>
    <col min="3" max="4" width="14.42578125" customWidth="1"/>
    <col min="5" max="5" width="12.85546875" customWidth="1"/>
    <col min="6" max="6" width="18.42578125" customWidth="1"/>
    <col min="7" max="7" width="15.42578125" customWidth="1"/>
    <col min="8" max="8" width="13.85546875" bestFit="1" customWidth="1"/>
    <col min="9" max="9" width="17.5703125" bestFit="1" customWidth="1"/>
    <col min="10" max="10" width="15.5703125" bestFit="1" customWidth="1"/>
    <col min="11" max="11" width="15.85546875" customWidth="1"/>
    <col min="12" max="12" width="16" customWidth="1"/>
    <col min="14" max="14" width="15.42578125" customWidth="1"/>
    <col min="15" max="15" width="21.85546875" customWidth="1"/>
    <col min="22" max="22" width="11.85546875" customWidth="1"/>
  </cols>
  <sheetData>
    <row r="1" spans="1:38">
      <c r="A1" t="s">
        <v>349</v>
      </c>
    </row>
    <row r="2" spans="1:38">
      <c r="A2" t="s">
        <v>345</v>
      </c>
    </row>
    <row r="3" spans="1:38">
      <c r="A3" t="s">
        <v>344</v>
      </c>
    </row>
    <row r="4" spans="1:38">
      <c r="C4" s="56"/>
      <c r="D4" s="56"/>
      <c r="E4" s="56"/>
      <c r="F4" s="56"/>
      <c r="G4" s="56"/>
      <c r="H4" s="56"/>
      <c r="I4" s="56"/>
      <c r="J4" s="56"/>
    </row>
    <row r="5" spans="1:38">
      <c r="B5" s="28"/>
      <c r="C5" s="60" t="s">
        <v>480</v>
      </c>
      <c r="D5" s="60" t="s">
        <v>481</v>
      </c>
      <c r="E5" s="60" t="s">
        <v>482</v>
      </c>
      <c r="F5" s="60" t="s">
        <v>483</v>
      </c>
      <c r="G5" s="60" t="s">
        <v>484</v>
      </c>
      <c r="H5" s="60" t="s">
        <v>485</v>
      </c>
      <c r="I5" s="60" t="s">
        <v>486</v>
      </c>
      <c r="J5" s="60" t="s">
        <v>487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</row>
    <row r="6" spans="1:38">
      <c r="A6" t="s">
        <v>413</v>
      </c>
      <c r="B6" s="59" t="s">
        <v>480</v>
      </c>
      <c r="C6" s="59">
        <v>0</v>
      </c>
      <c r="D6" s="59">
        <v>59</v>
      </c>
      <c r="E6" s="59">
        <v>40.299999999999997</v>
      </c>
      <c r="F6" s="59">
        <v>70</v>
      </c>
      <c r="G6" s="59">
        <v>57</v>
      </c>
      <c r="H6" s="59">
        <v>47</v>
      </c>
      <c r="I6" s="59">
        <v>59.4</v>
      </c>
      <c r="J6" s="59">
        <v>56</v>
      </c>
    </row>
    <row r="7" spans="1:38">
      <c r="A7" t="s">
        <v>413</v>
      </c>
      <c r="B7" s="59" t="s">
        <v>481</v>
      </c>
      <c r="C7" s="59">
        <v>59</v>
      </c>
      <c r="D7" s="59">
        <v>0</v>
      </c>
      <c r="E7" s="59">
        <v>75.7</v>
      </c>
      <c r="F7" s="59">
        <v>81.900000000000006</v>
      </c>
      <c r="G7" s="59">
        <v>92.7</v>
      </c>
      <c r="H7" s="59">
        <v>62</v>
      </c>
      <c r="I7" s="59">
        <v>51.3</v>
      </c>
      <c r="J7" s="59">
        <v>40.9</v>
      </c>
    </row>
    <row r="8" spans="1:38">
      <c r="A8" t="s">
        <v>413</v>
      </c>
      <c r="B8" s="59" t="s">
        <v>482</v>
      </c>
      <c r="C8" s="59">
        <v>40.299999999999997</v>
      </c>
      <c r="D8" s="59">
        <v>75.7</v>
      </c>
      <c r="E8" s="59">
        <v>0</v>
      </c>
      <c r="F8" s="59">
        <v>85.3</v>
      </c>
      <c r="G8" s="59">
        <v>25.7</v>
      </c>
      <c r="H8" s="59">
        <v>44.5</v>
      </c>
      <c r="I8" s="59">
        <v>92.7</v>
      </c>
      <c r="J8" s="59">
        <v>68.2</v>
      </c>
    </row>
    <row r="9" spans="1:38">
      <c r="A9" t="s">
        <v>413</v>
      </c>
      <c r="B9" s="59" t="s">
        <v>483</v>
      </c>
      <c r="C9" s="59">
        <v>70</v>
      </c>
      <c r="D9" s="59">
        <v>81.900000000000006</v>
      </c>
      <c r="E9" s="59">
        <v>85.3</v>
      </c>
      <c r="F9" s="59">
        <v>0</v>
      </c>
      <c r="G9" s="59">
        <v>45</v>
      </c>
      <c r="H9" s="59">
        <v>21.6</v>
      </c>
      <c r="I9" s="59">
        <v>40.6</v>
      </c>
      <c r="J9" s="59">
        <v>42.1</v>
      </c>
    </row>
    <row r="10" spans="1:38">
      <c r="A10" t="s">
        <v>413</v>
      </c>
      <c r="B10" s="59" t="s">
        <v>484</v>
      </c>
      <c r="C10" s="59">
        <v>57</v>
      </c>
      <c r="D10" s="59">
        <v>92.7</v>
      </c>
      <c r="E10" s="59">
        <v>25.7</v>
      </c>
      <c r="F10" s="59">
        <v>45</v>
      </c>
      <c r="G10" s="59">
        <v>0</v>
      </c>
      <c r="H10" s="59">
        <v>58.7</v>
      </c>
      <c r="I10" s="59">
        <v>78.2</v>
      </c>
      <c r="J10" s="59">
        <v>67.3</v>
      </c>
    </row>
    <row r="11" spans="1:38">
      <c r="A11" t="s">
        <v>413</v>
      </c>
      <c r="B11" s="59" t="s">
        <v>485</v>
      </c>
      <c r="C11" s="59">
        <v>47</v>
      </c>
      <c r="D11" s="59">
        <v>62</v>
      </c>
      <c r="E11" s="59">
        <v>44.5</v>
      </c>
      <c r="F11" s="59">
        <v>21.6</v>
      </c>
      <c r="G11" s="59">
        <v>58.7</v>
      </c>
      <c r="H11" s="59">
        <v>0</v>
      </c>
      <c r="I11" s="59">
        <v>19.5</v>
      </c>
      <c r="J11" s="59">
        <v>19.7</v>
      </c>
    </row>
    <row r="12" spans="1:38">
      <c r="A12" t="s">
        <v>413</v>
      </c>
      <c r="B12" s="59" t="s">
        <v>486</v>
      </c>
      <c r="C12" s="59">
        <v>59.4</v>
      </c>
      <c r="D12" s="59">
        <v>51.3</v>
      </c>
      <c r="E12" s="59">
        <v>92.7</v>
      </c>
      <c r="F12" s="59">
        <v>40.6</v>
      </c>
      <c r="G12" s="59">
        <v>78.2</v>
      </c>
      <c r="H12" s="59">
        <v>19.5</v>
      </c>
      <c r="I12" s="59">
        <v>0</v>
      </c>
      <c r="J12" s="59">
        <v>24.5</v>
      </c>
    </row>
    <row r="13" spans="1:38">
      <c r="A13" t="s">
        <v>413</v>
      </c>
      <c r="B13" s="59" t="s">
        <v>487</v>
      </c>
      <c r="C13" s="59">
        <v>56</v>
      </c>
      <c r="D13" s="59">
        <v>40.9</v>
      </c>
      <c r="E13" s="59">
        <v>68.2</v>
      </c>
      <c r="F13" s="59">
        <v>42.1</v>
      </c>
      <c r="G13" s="59">
        <v>67.3</v>
      </c>
      <c r="H13" s="59">
        <v>19.7</v>
      </c>
      <c r="I13" s="59">
        <v>24.5</v>
      </c>
      <c r="J13" s="59">
        <v>0</v>
      </c>
    </row>
    <row r="14" spans="1:38">
      <c r="A14" s="59" t="s">
        <v>133</v>
      </c>
      <c r="B14" s="59" t="s">
        <v>480</v>
      </c>
      <c r="C14" s="59">
        <f>ROUND(IF(C6&gt;0, ((0.0014*C6+13.97)/1.15)*(10^12)/(1000*29308)/1000000, 0),3)</f>
        <v>0</v>
      </c>
      <c r="D14" s="59">
        <f t="shared" ref="D14:J14" si="0">ROUND(IF(D6&gt;0, ((0.0014*D6+13.97)/1.15)*(10^12)/(1000*29308)/1000000, 0),3)</f>
        <v>0.41699999999999998</v>
      </c>
      <c r="E14" s="59">
        <f t="shared" si="0"/>
        <v>0.41599999999999998</v>
      </c>
      <c r="F14" s="59">
        <f t="shared" si="0"/>
        <v>0.41699999999999998</v>
      </c>
      <c r="G14" s="59">
        <f t="shared" si="0"/>
        <v>0.41699999999999998</v>
      </c>
      <c r="H14" s="59">
        <f t="shared" si="0"/>
        <v>0.41599999999999998</v>
      </c>
      <c r="I14" s="59">
        <f t="shared" si="0"/>
        <v>0.41699999999999998</v>
      </c>
      <c r="J14" s="59">
        <f t="shared" si="0"/>
        <v>0.41699999999999998</v>
      </c>
    </row>
    <row r="15" spans="1:38">
      <c r="A15" t="s">
        <v>133</v>
      </c>
      <c r="B15" s="59" t="s">
        <v>481</v>
      </c>
      <c r="C15" s="59">
        <f t="shared" ref="C15:J21" si="1">ROUND(IF(C7&gt;0, ((0.0014*C7+13.97)/1.15)*(10^12)/(1000*29308)/1000000, 0),3)</f>
        <v>0.41699999999999998</v>
      </c>
      <c r="D15" s="59">
        <f t="shared" si="1"/>
        <v>0</v>
      </c>
      <c r="E15" s="59">
        <f t="shared" si="1"/>
        <v>0.41799999999999998</v>
      </c>
      <c r="F15" s="59">
        <f t="shared" si="1"/>
        <v>0.41799999999999998</v>
      </c>
      <c r="G15" s="59">
        <f t="shared" si="1"/>
        <v>0.41799999999999998</v>
      </c>
      <c r="H15" s="59">
        <f t="shared" si="1"/>
        <v>0.41699999999999998</v>
      </c>
      <c r="I15" s="59">
        <f t="shared" si="1"/>
        <v>0.41699999999999998</v>
      </c>
      <c r="J15" s="59">
        <f t="shared" si="1"/>
        <v>0.41599999999999998</v>
      </c>
    </row>
    <row r="16" spans="1:38">
      <c r="A16" t="s">
        <v>133</v>
      </c>
      <c r="B16" s="59" t="s">
        <v>482</v>
      </c>
      <c r="C16" s="59">
        <f t="shared" si="1"/>
        <v>0.41599999999999998</v>
      </c>
      <c r="D16" s="59">
        <f t="shared" si="1"/>
        <v>0.41799999999999998</v>
      </c>
      <c r="E16" s="59">
        <f t="shared" si="1"/>
        <v>0</v>
      </c>
      <c r="F16" s="59">
        <f t="shared" si="1"/>
        <v>0.41799999999999998</v>
      </c>
      <c r="G16" s="59">
        <f t="shared" si="1"/>
        <v>0.41599999999999998</v>
      </c>
      <c r="H16" s="59">
        <f t="shared" si="1"/>
        <v>0.41599999999999998</v>
      </c>
      <c r="I16" s="59">
        <f t="shared" si="1"/>
        <v>0.41799999999999998</v>
      </c>
      <c r="J16" s="59">
        <f t="shared" si="1"/>
        <v>0.41699999999999998</v>
      </c>
    </row>
    <row r="17" spans="1:10">
      <c r="A17" t="s">
        <v>133</v>
      </c>
      <c r="B17" s="59" t="s">
        <v>483</v>
      </c>
      <c r="C17" s="59">
        <f t="shared" si="1"/>
        <v>0.41699999999999998</v>
      </c>
      <c r="D17" s="59">
        <f t="shared" si="1"/>
        <v>0.41799999999999998</v>
      </c>
      <c r="E17" s="59">
        <f t="shared" si="1"/>
        <v>0.41799999999999998</v>
      </c>
      <c r="F17" s="59">
        <f t="shared" si="1"/>
        <v>0</v>
      </c>
      <c r="G17" s="59">
        <f t="shared" si="1"/>
        <v>0.41599999999999998</v>
      </c>
      <c r="H17" s="59">
        <f t="shared" si="1"/>
        <v>0.41499999999999998</v>
      </c>
      <c r="I17" s="59">
        <f t="shared" si="1"/>
        <v>0.41599999999999998</v>
      </c>
      <c r="J17" s="59">
        <f t="shared" si="1"/>
        <v>0.41599999999999998</v>
      </c>
    </row>
    <row r="18" spans="1:10">
      <c r="A18" t="s">
        <v>133</v>
      </c>
      <c r="B18" s="59" t="s">
        <v>484</v>
      </c>
      <c r="C18" s="59">
        <f t="shared" si="1"/>
        <v>0.41699999999999998</v>
      </c>
      <c r="D18" s="59">
        <f t="shared" si="1"/>
        <v>0.41799999999999998</v>
      </c>
      <c r="E18" s="59">
        <f t="shared" si="1"/>
        <v>0.41599999999999998</v>
      </c>
      <c r="F18" s="59">
        <f t="shared" si="1"/>
        <v>0.41599999999999998</v>
      </c>
      <c r="G18" s="59">
        <f t="shared" si="1"/>
        <v>0</v>
      </c>
      <c r="H18" s="59">
        <f t="shared" si="1"/>
        <v>0.41699999999999998</v>
      </c>
      <c r="I18" s="59">
        <f t="shared" si="1"/>
        <v>0.41799999999999998</v>
      </c>
      <c r="J18" s="59">
        <f t="shared" si="1"/>
        <v>0.41699999999999998</v>
      </c>
    </row>
    <row r="19" spans="1:10">
      <c r="A19" t="s">
        <v>133</v>
      </c>
      <c r="B19" s="59" t="s">
        <v>485</v>
      </c>
      <c r="C19" s="59">
        <f t="shared" si="1"/>
        <v>0.41599999999999998</v>
      </c>
      <c r="D19" s="59">
        <f t="shared" si="1"/>
        <v>0.41699999999999998</v>
      </c>
      <c r="E19" s="59">
        <f t="shared" si="1"/>
        <v>0.41599999999999998</v>
      </c>
      <c r="F19" s="59">
        <f t="shared" si="1"/>
        <v>0.41499999999999998</v>
      </c>
      <c r="G19" s="59">
        <f t="shared" si="1"/>
        <v>0.41699999999999998</v>
      </c>
      <c r="H19" s="59">
        <f t="shared" si="1"/>
        <v>0</v>
      </c>
      <c r="I19" s="59">
        <f t="shared" si="1"/>
        <v>0.41499999999999998</v>
      </c>
      <c r="J19" s="59">
        <f t="shared" si="1"/>
        <v>0.41499999999999998</v>
      </c>
    </row>
    <row r="20" spans="1:10">
      <c r="A20" t="s">
        <v>133</v>
      </c>
      <c r="B20" s="59" t="s">
        <v>486</v>
      </c>
      <c r="C20" s="59">
        <f t="shared" si="1"/>
        <v>0.41699999999999998</v>
      </c>
      <c r="D20" s="59">
        <f t="shared" si="1"/>
        <v>0.41699999999999998</v>
      </c>
      <c r="E20" s="59">
        <f t="shared" si="1"/>
        <v>0.41799999999999998</v>
      </c>
      <c r="F20" s="59">
        <f t="shared" si="1"/>
        <v>0.41599999999999998</v>
      </c>
      <c r="G20" s="59">
        <f t="shared" si="1"/>
        <v>0.41799999999999998</v>
      </c>
      <c r="H20" s="59">
        <f t="shared" si="1"/>
        <v>0.41499999999999998</v>
      </c>
      <c r="I20" s="59">
        <f t="shared" si="1"/>
        <v>0</v>
      </c>
      <c r="J20" s="59">
        <f t="shared" si="1"/>
        <v>0.41599999999999998</v>
      </c>
    </row>
    <row r="21" spans="1:10">
      <c r="A21" t="s">
        <v>133</v>
      </c>
      <c r="B21" s="59" t="s">
        <v>487</v>
      </c>
      <c r="C21" s="59">
        <f t="shared" si="1"/>
        <v>0.41699999999999998</v>
      </c>
      <c r="D21" s="59">
        <f t="shared" si="1"/>
        <v>0.41599999999999998</v>
      </c>
      <c r="E21" s="59">
        <f t="shared" si="1"/>
        <v>0.41699999999999998</v>
      </c>
      <c r="F21" s="59">
        <f t="shared" si="1"/>
        <v>0.41599999999999998</v>
      </c>
      <c r="G21" s="59">
        <f t="shared" si="1"/>
        <v>0.41699999999999998</v>
      </c>
      <c r="H21" s="59">
        <f t="shared" si="1"/>
        <v>0.41499999999999998</v>
      </c>
      <c r="I21" s="59">
        <f t="shared" si="1"/>
        <v>0.41599999999999998</v>
      </c>
      <c r="J21" s="59">
        <f t="shared" si="1"/>
        <v>0</v>
      </c>
    </row>
    <row r="22" spans="1:10">
      <c r="A22" s="59" t="s">
        <v>130</v>
      </c>
      <c r="B22" s="59" t="s">
        <v>480</v>
      </c>
      <c r="C22" s="59">
        <f t="shared" ref="C22:J29" si="2">ROUND((EXP(7.032824+1*0.622482)*((C6/1.852)^ 0.40303))/(1.15*0.0059)/1000000,3)</f>
        <v>0</v>
      </c>
      <c r="D22" s="59">
        <f t="shared" si="2"/>
        <v>1.256</v>
      </c>
      <c r="E22" s="59">
        <f t="shared" si="2"/>
        <v>1.077</v>
      </c>
      <c r="F22" s="59">
        <f t="shared" si="2"/>
        <v>1.345</v>
      </c>
      <c r="G22" s="59">
        <f t="shared" si="2"/>
        <v>1.2390000000000001</v>
      </c>
      <c r="H22" s="59">
        <f t="shared" si="2"/>
        <v>1.1459999999999999</v>
      </c>
      <c r="I22" s="59">
        <f t="shared" si="2"/>
        <v>1.2589999999999999</v>
      </c>
      <c r="J22" s="59">
        <f t="shared" si="2"/>
        <v>1.23</v>
      </c>
    </row>
    <row r="23" spans="1:10">
      <c r="A23" t="s">
        <v>130</v>
      </c>
      <c r="B23" s="59" t="s">
        <v>481</v>
      </c>
      <c r="C23" s="59">
        <f t="shared" si="2"/>
        <v>1.256</v>
      </c>
      <c r="D23" s="59">
        <f t="shared" si="2"/>
        <v>0</v>
      </c>
      <c r="E23" s="59">
        <f t="shared" si="2"/>
        <v>1.389</v>
      </c>
      <c r="F23" s="59">
        <f t="shared" si="2"/>
        <v>1.4330000000000001</v>
      </c>
      <c r="G23" s="59">
        <f t="shared" si="2"/>
        <v>1.5069999999999999</v>
      </c>
      <c r="H23" s="59">
        <f t="shared" si="2"/>
        <v>1.2809999999999999</v>
      </c>
      <c r="I23" s="59">
        <f t="shared" si="2"/>
        <v>1.1870000000000001</v>
      </c>
      <c r="J23" s="59">
        <f t="shared" si="2"/>
        <v>1.083</v>
      </c>
    </row>
    <row r="24" spans="1:10">
      <c r="A24" t="s">
        <v>130</v>
      </c>
      <c r="B24" s="59" t="s">
        <v>482</v>
      </c>
      <c r="C24" s="59">
        <f>ROUND((EXP(7.032824+1*0.622482)*((C8/1.852)^ 0.40303))/(1.15*0.0059)/1000000,3)</f>
        <v>1.077</v>
      </c>
      <c r="D24" s="59">
        <f t="shared" si="2"/>
        <v>1.389</v>
      </c>
      <c r="E24" s="59">
        <f t="shared" si="2"/>
        <v>0</v>
      </c>
      <c r="F24" s="59">
        <f t="shared" si="2"/>
        <v>1.4570000000000001</v>
      </c>
      <c r="G24" s="59">
        <f t="shared" si="2"/>
        <v>0.89800000000000002</v>
      </c>
      <c r="H24" s="59">
        <f t="shared" si="2"/>
        <v>1.121</v>
      </c>
      <c r="I24" s="59">
        <f t="shared" si="2"/>
        <v>1.5069999999999999</v>
      </c>
      <c r="J24" s="59">
        <f t="shared" si="2"/>
        <v>1.331</v>
      </c>
    </row>
    <row r="25" spans="1:10">
      <c r="A25" t="s">
        <v>130</v>
      </c>
      <c r="B25" s="59" t="s">
        <v>483</v>
      </c>
      <c r="C25" s="59">
        <f t="shared" si="2"/>
        <v>1.345</v>
      </c>
      <c r="D25" s="59">
        <f t="shared" si="2"/>
        <v>1.4330000000000001</v>
      </c>
      <c r="E25" s="59">
        <f t="shared" si="2"/>
        <v>1.4570000000000001</v>
      </c>
      <c r="F25" s="59">
        <f t="shared" si="2"/>
        <v>0</v>
      </c>
      <c r="G25" s="59">
        <f t="shared" si="2"/>
        <v>1.1259999999999999</v>
      </c>
      <c r="H25" s="59">
        <f t="shared" si="2"/>
        <v>0.83799999999999997</v>
      </c>
      <c r="I25" s="59">
        <f t="shared" si="2"/>
        <v>1.08</v>
      </c>
      <c r="J25" s="59">
        <f t="shared" si="2"/>
        <v>1.0960000000000001</v>
      </c>
    </row>
    <row r="26" spans="1:10">
      <c r="A26" t="s">
        <v>130</v>
      </c>
      <c r="B26" s="59" t="s">
        <v>484</v>
      </c>
      <c r="C26" s="59">
        <f t="shared" si="2"/>
        <v>1.2390000000000001</v>
      </c>
      <c r="D26" s="59">
        <f t="shared" si="2"/>
        <v>1.5069999999999999</v>
      </c>
      <c r="E26" s="59">
        <f t="shared" si="2"/>
        <v>0.89800000000000002</v>
      </c>
      <c r="F26" s="59">
        <f t="shared" si="2"/>
        <v>1.1259999999999999</v>
      </c>
      <c r="G26" s="59">
        <f t="shared" si="2"/>
        <v>0</v>
      </c>
      <c r="H26" s="59">
        <f t="shared" si="2"/>
        <v>1.2529999999999999</v>
      </c>
      <c r="I26" s="59">
        <f t="shared" si="2"/>
        <v>1.407</v>
      </c>
      <c r="J26" s="59">
        <f t="shared" si="2"/>
        <v>1.3240000000000001</v>
      </c>
    </row>
    <row r="27" spans="1:10">
      <c r="A27" t="s">
        <v>130</v>
      </c>
      <c r="B27" s="59" t="s">
        <v>485</v>
      </c>
      <c r="C27" s="59">
        <f t="shared" si="2"/>
        <v>1.1459999999999999</v>
      </c>
      <c r="D27" s="59">
        <f t="shared" si="2"/>
        <v>1.2809999999999999</v>
      </c>
      <c r="E27" s="59">
        <f t="shared" si="2"/>
        <v>1.121</v>
      </c>
      <c r="F27" s="59">
        <f t="shared" si="2"/>
        <v>0.83799999999999997</v>
      </c>
      <c r="G27" s="59">
        <f t="shared" si="2"/>
        <v>1.2529999999999999</v>
      </c>
      <c r="H27" s="59">
        <f t="shared" si="2"/>
        <v>0</v>
      </c>
      <c r="I27" s="59">
        <f t="shared" si="2"/>
        <v>0.80400000000000005</v>
      </c>
      <c r="J27" s="59">
        <f t="shared" si="2"/>
        <v>0.80700000000000005</v>
      </c>
    </row>
    <row r="28" spans="1:10">
      <c r="A28" t="s">
        <v>130</v>
      </c>
      <c r="B28" s="59" t="s">
        <v>486</v>
      </c>
      <c r="C28" s="59">
        <f t="shared" si="2"/>
        <v>1.2589999999999999</v>
      </c>
      <c r="D28" s="59">
        <f t="shared" si="2"/>
        <v>1.1870000000000001</v>
      </c>
      <c r="E28" s="59">
        <f t="shared" si="2"/>
        <v>1.5069999999999999</v>
      </c>
      <c r="F28" s="59">
        <f t="shared" si="2"/>
        <v>1.08</v>
      </c>
      <c r="G28" s="59">
        <f t="shared" si="2"/>
        <v>1.407</v>
      </c>
      <c r="H28" s="59">
        <f t="shared" si="2"/>
        <v>0.80400000000000005</v>
      </c>
      <c r="I28" s="59">
        <f t="shared" si="2"/>
        <v>0</v>
      </c>
      <c r="J28" s="59">
        <f t="shared" si="2"/>
        <v>0.88100000000000001</v>
      </c>
    </row>
    <row r="29" spans="1:10">
      <c r="A29" t="s">
        <v>130</v>
      </c>
      <c r="B29" s="59" t="s">
        <v>487</v>
      </c>
      <c r="C29" s="59">
        <f t="shared" si="2"/>
        <v>1.23</v>
      </c>
      <c r="D29" s="59">
        <f t="shared" si="2"/>
        <v>1.083</v>
      </c>
      <c r="E29" s="59">
        <f t="shared" si="2"/>
        <v>1.331</v>
      </c>
      <c r="F29" s="59">
        <f t="shared" si="2"/>
        <v>1.0960000000000001</v>
      </c>
      <c r="G29" s="59">
        <f t="shared" si="2"/>
        <v>1.3240000000000001</v>
      </c>
      <c r="H29" s="59">
        <f t="shared" si="2"/>
        <v>0.80700000000000005</v>
      </c>
      <c r="I29" s="59">
        <f t="shared" si="2"/>
        <v>0.88100000000000001</v>
      </c>
      <c r="J29" s="59">
        <f t="shared" si="2"/>
        <v>0</v>
      </c>
    </row>
    <row r="30" spans="1:10">
      <c r="A30" s="59" t="s">
        <v>15</v>
      </c>
      <c r="B30" s="59" t="s">
        <v>480</v>
      </c>
      <c r="C30" s="59">
        <f>IF(C6&gt;0,0.01,0)</f>
        <v>0</v>
      </c>
      <c r="D30" s="59">
        <f t="shared" ref="D30:J30" si="3">IF(D6&gt;0,0.01,0)</f>
        <v>0.01</v>
      </c>
      <c r="E30" s="59">
        <f t="shared" si="3"/>
        <v>0.01</v>
      </c>
      <c r="F30" s="59">
        <f t="shared" si="3"/>
        <v>0.01</v>
      </c>
      <c r="G30" s="59">
        <f t="shared" si="3"/>
        <v>0.01</v>
      </c>
      <c r="H30" s="59">
        <f t="shared" si="3"/>
        <v>0.01</v>
      </c>
      <c r="I30" s="59">
        <f t="shared" si="3"/>
        <v>0.01</v>
      </c>
      <c r="J30" s="59">
        <f t="shared" si="3"/>
        <v>0.01</v>
      </c>
    </row>
    <row r="31" spans="1:10">
      <c r="A31" t="s">
        <v>15</v>
      </c>
      <c r="B31" s="59" t="s">
        <v>481</v>
      </c>
      <c r="C31" s="59">
        <f t="shared" ref="C31:J37" si="4">IF(C7&gt;0,0.01,0)</f>
        <v>0.01</v>
      </c>
      <c r="D31" s="59">
        <f t="shared" si="4"/>
        <v>0</v>
      </c>
      <c r="E31" s="59">
        <f t="shared" si="4"/>
        <v>0.01</v>
      </c>
      <c r="F31" s="59">
        <f t="shared" si="4"/>
        <v>0.01</v>
      </c>
      <c r="G31" s="59">
        <f t="shared" si="4"/>
        <v>0.01</v>
      </c>
      <c r="H31" s="59">
        <f t="shared" si="4"/>
        <v>0.01</v>
      </c>
      <c r="I31" s="59">
        <f t="shared" si="4"/>
        <v>0.01</v>
      </c>
      <c r="J31" s="59">
        <f t="shared" si="4"/>
        <v>0.01</v>
      </c>
    </row>
    <row r="32" spans="1:10">
      <c r="A32" t="s">
        <v>15</v>
      </c>
      <c r="B32" s="59" t="s">
        <v>482</v>
      </c>
      <c r="C32" s="59">
        <f t="shared" si="4"/>
        <v>0.01</v>
      </c>
      <c r="D32" s="59">
        <f t="shared" si="4"/>
        <v>0.01</v>
      </c>
      <c r="E32" s="59">
        <f t="shared" si="4"/>
        <v>0</v>
      </c>
      <c r="F32" s="59">
        <f t="shared" si="4"/>
        <v>0.01</v>
      </c>
      <c r="G32" s="59">
        <f t="shared" si="4"/>
        <v>0.01</v>
      </c>
      <c r="H32" s="59">
        <f t="shared" si="4"/>
        <v>0.01</v>
      </c>
      <c r="I32" s="59">
        <f t="shared" si="4"/>
        <v>0.01</v>
      </c>
      <c r="J32" s="59">
        <f t="shared" si="4"/>
        <v>0.01</v>
      </c>
    </row>
    <row r="33" spans="1:10">
      <c r="A33" t="s">
        <v>15</v>
      </c>
      <c r="B33" s="59" t="s">
        <v>483</v>
      </c>
      <c r="C33" s="59">
        <f t="shared" si="4"/>
        <v>0.01</v>
      </c>
      <c r="D33" s="59">
        <f t="shared" si="4"/>
        <v>0.01</v>
      </c>
      <c r="E33" s="59">
        <f t="shared" si="4"/>
        <v>0.01</v>
      </c>
      <c r="F33" s="59">
        <f t="shared" si="4"/>
        <v>0</v>
      </c>
      <c r="G33" s="59">
        <f t="shared" si="4"/>
        <v>0.01</v>
      </c>
      <c r="H33" s="59">
        <f t="shared" si="4"/>
        <v>0.01</v>
      </c>
      <c r="I33" s="59">
        <f t="shared" si="4"/>
        <v>0.01</v>
      </c>
      <c r="J33" s="59">
        <f t="shared" si="4"/>
        <v>0.01</v>
      </c>
    </row>
    <row r="34" spans="1:10">
      <c r="A34" t="s">
        <v>15</v>
      </c>
      <c r="B34" s="59" t="s">
        <v>484</v>
      </c>
      <c r="C34" s="59">
        <f t="shared" si="4"/>
        <v>0.01</v>
      </c>
      <c r="D34" s="59">
        <f t="shared" si="4"/>
        <v>0.01</v>
      </c>
      <c r="E34" s="59">
        <f t="shared" si="4"/>
        <v>0.01</v>
      </c>
      <c r="F34" s="59">
        <f t="shared" si="4"/>
        <v>0.01</v>
      </c>
      <c r="G34" s="59">
        <f t="shared" si="4"/>
        <v>0</v>
      </c>
      <c r="H34" s="59">
        <f t="shared" si="4"/>
        <v>0.01</v>
      </c>
      <c r="I34" s="59">
        <f t="shared" si="4"/>
        <v>0.01</v>
      </c>
      <c r="J34" s="59">
        <f t="shared" si="4"/>
        <v>0.01</v>
      </c>
    </row>
    <row r="35" spans="1:10">
      <c r="A35" t="s">
        <v>15</v>
      </c>
      <c r="B35" s="59" t="s">
        <v>485</v>
      </c>
      <c r="C35" s="59">
        <f t="shared" si="4"/>
        <v>0.01</v>
      </c>
      <c r="D35" s="59">
        <f t="shared" si="4"/>
        <v>0.01</v>
      </c>
      <c r="E35" s="59">
        <f t="shared" si="4"/>
        <v>0.01</v>
      </c>
      <c r="F35" s="59">
        <f t="shared" si="4"/>
        <v>0.01</v>
      </c>
      <c r="G35" s="59">
        <f t="shared" si="4"/>
        <v>0.01</v>
      </c>
      <c r="H35" s="59">
        <f t="shared" si="4"/>
        <v>0</v>
      </c>
      <c r="I35" s="59">
        <f t="shared" si="4"/>
        <v>0.01</v>
      </c>
      <c r="J35" s="59">
        <f t="shared" si="4"/>
        <v>0.01</v>
      </c>
    </row>
    <row r="36" spans="1:10">
      <c r="A36" t="s">
        <v>15</v>
      </c>
      <c r="B36" s="59" t="s">
        <v>486</v>
      </c>
      <c r="C36" s="59">
        <f t="shared" si="4"/>
        <v>0.01</v>
      </c>
      <c r="D36" s="59">
        <f t="shared" si="4"/>
        <v>0.01</v>
      </c>
      <c r="E36" s="59">
        <f t="shared" si="4"/>
        <v>0.01</v>
      </c>
      <c r="F36" s="59">
        <f t="shared" si="4"/>
        <v>0.01</v>
      </c>
      <c r="G36" s="59">
        <f t="shared" si="4"/>
        <v>0.01</v>
      </c>
      <c r="H36" s="59">
        <f t="shared" si="4"/>
        <v>0.01</v>
      </c>
      <c r="I36" s="59">
        <f t="shared" si="4"/>
        <v>0</v>
      </c>
      <c r="J36" s="59">
        <f t="shared" si="4"/>
        <v>0.01</v>
      </c>
    </row>
    <row r="37" spans="1:10">
      <c r="A37" t="s">
        <v>15</v>
      </c>
      <c r="B37" s="59" t="s">
        <v>487</v>
      </c>
      <c r="C37" s="59">
        <f t="shared" si="4"/>
        <v>0.01</v>
      </c>
      <c r="D37" s="59">
        <f t="shared" si="4"/>
        <v>0.01</v>
      </c>
      <c r="E37" s="59">
        <f t="shared" si="4"/>
        <v>0.01</v>
      </c>
      <c r="F37" s="59">
        <f t="shared" si="4"/>
        <v>0.01</v>
      </c>
      <c r="G37" s="59">
        <f t="shared" si="4"/>
        <v>0.01</v>
      </c>
      <c r="H37" s="59">
        <f t="shared" si="4"/>
        <v>0.01</v>
      </c>
      <c r="I37" s="59">
        <f t="shared" si="4"/>
        <v>0.01</v>
      </c>
      <c r="J37" s="59">
        <f t="shared" si="4"/>
        <v>0</v>
      </c>
    </row>
    <row r="38" spans="1:10">
      <c r="A38" s="59" t="s">
        <v>293</v>
      </c>
      <c r="B38" s="59" t="s">
        <v>480</v>
      </c>
      <c r="C38" s="59">
        <f t="shared" ref="C38:J45" si="5">ROUND((EXP(7.032824+1*0.622482)*((C6/1.852)^ 0.40303))/(1.15*0.0059)/1000000,3)</f>
        <v>0</v>
      </c>
      <c r="D38" s="59">
        <f t="shared" si="5"/>
        <v>1.256</v>
      </c>
      <c r="E38" s="59">
        <f t="shared" si="5"/>
        <v>1.077</v>
      </c>
      <c r="F38" s="59">
        <f t="shared" si="5"/>
        <v>1.345</v>
      </c>
      <c r="G38" s="59">
        <f t="shared" si="5"/>
        <v>1.2390000000000001</v>
      </c>
      <c r="H38" s="59">
        <f t="shared" si="5"/>
        <v>1.1459999999999999</v>
      </c>
      <c r="I38" s="59">
        <f t="shared" si="5"/>
        <v>1.2589999999999999</v>
      </c>
      <c r="J38" s="59">
        <f t="shared" si="5"/>
        <v>1.23</v>
      </c>
    </row>
    <row r="39" spans="1:10">
      <c r="A39" t="s">
        <v>293</v>
      </c>
      <c r="B39" s="59" t="s">
        <v>481</v>
      </c>
      <c r="C39" s="59">
        <f t="shared" si="5"/>
        <v>1.256</v>
      </c>
      <c r="D39" s="59">
        <f t="shared" si="5"/>
        <v>0</v>
      </c>
      <c r="E39" s="59">
        <f t="shared" si="5"/>
        <v>1.389</v>
      </c>
      <c r="F39" s="59">
        <f t="shared" si="5"/>
        <v>1.4330000000000001</v>
      </c>
      <c r="G39" s="59">
        <f t="shared" si="5"/>
        <v>1.5069999999999999</v>
      </c>
      <c r="H39" s="59">
        <f t="shared" si="5"/>
        <v>1.2809999999999999</v>
      </c>
      <c r="I39" s="59">
        <f t="shared" si="5"/>
        <v>1.1870000000000001</v>
      </c>
      <c r="J39" s="59">
        <f t="shared" si="5"/>
        <v>1.083</v>
      </c>
    </row>
    <row r="40" spans="1:10">
      <c r="A40" t="s">
        <v>293</v>
      </c>
      <c r="B40" s="59" t="s">
        <v>482</v>
      </c>
      <c r="C40" s="59">
        <f t="shared" si="5"/>
        <v>1.077</v>
      </c>
      <c r="D40" s="59">
        <f t="shared" si="5"/>
        <v>1.389</v>
      </c>
      <c r="E40" s="59">
        <f t="shared" si="5"/>
        <v>0</v>
      </c>
      <c r="F40" s="59">
        <f t="shared" si="5"/>
        <v>1.4570000000000001</v>
      </c>
      <c r="G40" s="59">
        <f t="shared" si="5"/>
        <v>0.89800000000000002</v>
      </c>
      <c r="H40" s="59">
        <f t="shared" si="5"/>
        <v>1.121</v>
      </c>
      <c r="I40" s="59">
        <f t="shared" si="5"/>
        <v>1.5069999999999999</v>
      </c>
      <c r="J40" s="59">
        <f t="shared" si="5"/>
        <v>1.331</v>
      </c>
    </row>
    <row r="41" spans="1:10">
      <c r="A41" t="s">
        <v>293</v>
      </c>
      <c r="B41" s="59" t="s">
        <v>483</v>
      </c>
      <c r="C41" s="59">
        <f t="shared" si="5"/>
        <v>1.345</v>
      </c>
      <c r="D41" s="59">
        <f t="shared" si="5"/>
        <v>1.4330000000000001</v>
      </c>
      <c r="E41" s="59">
        <f t="shared" si="5"/>
        <v>1.4570000000000001</v>
      </c>
      <c r="F41" s="59">
        <f t="shared" si="5"/>
        <v>0</v>
      </c>
      <c r="G41" s="59">
        <f t="shared" si="5"/>
        <v>1.1259999999999999</v>
      </c>
      <c r="H41" s="59">
        <f t="shared" si="5"/>
        <v>0.83799999999999997</v>
      </c>
      <c r="I41" s="59">
        <f t="shared" si="5"/>
        <v>1.08</v>
      </c>
      <c r="J41" s="59">
        <f t="shared" si="5"/>
        <v>1.0960000000000001</v>
      </c>
    </row>
    <row r="42" spans="1:10">
      <c r="A42" t="s">
        <v>293</v>
      </c>
      <c r="B42" s="59" t="s">
        <v>484</v>
      </c>
      <c r="C42" s="59">
        <f t="shared" si="5"/>
        <v>1.2390000000000001</v>
      </c>
      <c r="D42" s="59">
        <f t="shared" si="5"/>
        <v>1.5069999999999999</v>
      </c>
      <c r="E42" s="59">
        <f t="shared" si="5"/>
        <v>0.89800000000000002</v>
      </c>
      <c r="F42" s="59">
        <f t="shared" si="5"/>
        <v>1.1259999999999999</v>
      </c>
      <c r="G42" s="59">
        <f t="shared" si="5"/>
        <v>0</v>
      </c>
      <c r="H42" s="59">
        <f t="shared" si="5"/>
        <v>1.2529999999999999</v>
      </c>
      <c r="I42" s="59">
        <f t="shared" si="5"/>
        <v>1.407</v>
      </c>
      <c r="J42" s="59">
        <f t="shared" si="5"/>
        <v>1.3240000000000001</v>
      </c>
    </row>
    <row r="43" spans="1:10">
      <c r="A43" t="s">
        <v>293</v>
      </c>
      <c r="B43" s="59" t="s">
        <v>485</v>
      </c>
      <c r="C43" s="59">
        <f t="shared" si="5"/>
        <v>1.1459999999999999</v>
      </c>
      <c r="D43" s="59">
        <f t="shared" si="5"/>
        <v>1.2809999999999999</v>
      </c>
      <c r="E43" s="59">
        <f t="shared" si="5"/>
        <v>1.121</v>
      </c>
      <c r="F43" s="59">
        <f t="shared" si="5"/>
        <v>0.83799999999999997</v>
      </c>
      <c r="G43" s="59">
        <f t="shared" si="5"/>
        <v>1.2529999999999999</v>
      </c>
      <c r="H43" s="59">
        <f t="shared" si="5"/>
        <v>0</v>
      </c>
      <c r="I43" s="59">
        <f t="shared" si="5"/>
        <v>0.80400000000000005</v>
      </c>
      <c r="J43" s="59">
        <f t="shared" si="5"/>
        <v>0.80700000000000005</v>
      </c>
    </row>
    <row r="44" spans="1:10">
      <c r="A44" t="s">
        <v>293</v>
      </c>
      <c r="B44" s="59" t="s">
        <v>486</v>
      </c>
      <c r="C44" s="59">
        <f t="shared" si="5"/>
        <v>1.2589999999999999</v>
      </c>
      <c r="D44" s="59">
        <f t="shared" si="5"/>
        <v>1.1870000000000001</v>
      </c>
      <c r="E44" s="59">
        <f t="shared" si="5"/>
        <v>1.5069999999999999</v>
      </c>
      <c r="F44" s="59">
        <f t="shared" si="5"/>
        <v>1.08</v>
      </c>
      <c r="G44" s="59">
        <f t="shared" si="5"/>
        <v>1.407</v>
      </c>
      <c r="H44" s="59">
        <f t="shared" si="5"/>
        <v>0.80400000000000005</v>
      </c>
      <c r="I44" s="59">
        <f t="shared" si="5"/>
        <v>0</v>
      </c>
      <c r="J44" s="59">
        <f t="shared" si="5"/>
        <v>0.88100000000000001</v>
      </c>
    </row>
    <row r="45" spans="1:10">
      <c r="A45" t="s">
        <v>293</v>
      </c>
      <c r="B45" s="59" t="s">
        <v>487</v>
      </c>
      <c r="C45" s="59">
        <f t="shared" si="5"/>
        <v>1.23</v>
      </c>
      <c r="D45" s="59">
        <f t="shared" si="5"/>
        <v>1.083</v>
      </c>
      <c r="E45" s="59">
        <f t="shared" si="5"/>
        <v>1.331</v>
      </c>
      <c r="F45" s="59">
        <f t="shared" si="5"/>
        <v>1.0960000000000001</v>
      </c>
      <c r="G45" s="59">
        <f t="shared" si="5"/>
        <v>1.3240000000000001</v>
      </c>
      <c r="H45" s="59">
        <f t="shared" si="5"/>
        <v>0.80700000000000005</v>
      </c>
      <c r="I45" s="59">
        <f t="shared" si="5"/>
        <v>0.88100000000000001</v>
      </c>
      <c r="J45" s="59">
        <f t="shared" si="5"/>
        <v>0</v>
      </c>
    </row>
    <row r="46" spans="1:10">
      <c r="A46" s="59" t="s">
        <v>294</v>
      </c>
      <c r="B46" s="59" t="s">
        <v>480</v>
      </c>
      <c r="C46" s="59">
        <f>ROUND((EXP(7.032824+1*0.622482)*((C6/1.852)^ 0.40303))/(1.15*0.0059)/1000000,3)</f>
        <v>0</v>
      </c>
      <c r="D46" s="59">
        <f t="shared" ref="D46:J46" si="6">ROUND((EXP(7.032824+1*0.622482)*((D6/1.852)^ 0.40303))/(1.15*0.0059)/1000000,3)</f>
        <v>1.256</v>
      </c>
      <c r="E46" s="59">
        <f t="shared" si="6"/>
        <v>1.077</v>
      </c>
      <c r="F46" s="59">
        <f t="shared" si="6"/>
        <v>1.345</v>
      </c>
      <c r="G46" s="59">
        <f t="shared" si="6"/>
        <v>1.2390000000000001</v>
      </c>
      <c r="H46" s="59">
        <f t="shared" si="6"/>
        <v>1.1459999999999999</v>
      </c>
      <c r="I46" s="59">
        <f t="shared" si="6"/>
        <v>1.2589999999999999</v>
      </c>
      <c r="J46" s="59">
        <f t="shared" si="6"/>
        <v>1.23</v>
      </c>
    </row>
    <row r="47" spans="1:10">
      <c r="A47" t="s">
        <v>294</v>
      </c>
      <c r="B47" s="59" t="s">
        <v>481</v>
      </c>
      <c r="C47" s="59">
        <f t="shared" ref="C47:J53" si="7">ROUND((EXP(7.032824+1*0.622482)*((C7/1.852)^ 0.40303))/(1.15*0.0059)/1000000,3)</f>
        <v>1.256</v>
      </c>
      <c r="D47" s="59">
        <f t="shared" si="7"/>
        <v>0</v>
      </c>
      <c r="E47" s="59">
        <f t="shared" si="7"/>
        <v>1.389</v>
      </c>
      <c r="F47" s="59">
        <f t="shared" si="7"/>
        <v>1.4330000000000001</v>
      </c>
      <c r="G47" s="59">
        <f t="shared" si="7"/>
        <v>1.5069999999999999</v>
      </c>
      <c r="H47" s="59">
        <f t="shared" si="7"/>
        <v>1.2809999999999999</v>
      </c>
      <c r="I47" s="59">
        <f t="shared" si="7"/>
        <v>1.1870000000000001</v>
      </c>
      <c r="J47" s="59">
        <f t="shared" si="7"/>
        <v>1.083</v>
      </c>
    </row>
    <row r="48" spans="1:10">
      <c r="A48" t="s">
        <v>294</v>
      </c>
      <c r="B48" s="59" t="s">
        <v>482</v>
      </c>
      <c r="C48" s="59">
        <f t="shared" si="7"/>
        <v>1.077</v>
      </c>
      <c r="D48" s="59">
        <f t="shared" si="7"/>
        <v>1.389</v>
      </c>
      <c r="E48" s="59">
        <f t="shared" si="7"/>
        <v>0</v>
      </c>
      <c r="F48" s="59">
        <f t="shared" si="7"/>
        <v>1.4570000000000001</v>
      </c>
      <c r="G48" s="59">
        <f t="shared" si="7"/>
        <v>0.89800000000000002</v>
      </c>
      <c r="H48" s="59">
        <f t="shared" si="7"/>
        <v>1.121</v>
      </c>
      <c r="I48" s="59">
        <f t="shared" si="7"/>
        <v>1.5069999999999999</v>
      </c>
      <c r="J48" s="59">
        <f t="shared" si="7"/>
        <v>1.331</v>
      </c>
    </row>
    <row r="49" spans="1:32">
      <c r="A49" t="s">
        <v>294</v>
      </c>
      <c r="B49" s="59" t="s">
        <v>483</v>
      </c>
      <c r="C49" s="59">
        <f t="shared" si="7"/>
        <v>1.345</v>
      </c>
      <c r="D49" s="59">
        <f t="shared" si="7"/>
        <v>1.4330000000000001</v>
      </c>
      <c r="E49" s="59">
        <f t="shared" si="7"/>
        <v>1.4570000000000001</v>
      </c>
      <c r="F49" s="59">
        <f t="shared" si="7"/>
        <v>0</v>
      </c>
      <c r="G49" s="59">
        <f t="shared" si="7"/>
        <v>1.1259999999999999</v>
      </c>
      <c r="H49" s="59">
        <f t="shared" si="7"/>
        <v>0.83799999999999997</v>
      </c>
      <c r="I49" s="59">
        <f t="shared" si="7"/>
        <v>1.08</v>
      </c>
      <c r="J49" s="59">
        <f t="shared" si="7"/>
        <v>1.0960000000000001</v>
      </c>
    </row>
    <row r="50" spans="1:32">
      <c r="A50" t="s">
        <v>294</v>
      </c>
      <c r="B50" s="59" t="s">
        <v>484</v>
      </c>
      <c r="C50" s="59">
        <f t="shared" si="7"/>
        <v>1.2390000000000001</v>
      </c>
      <c r="D50" s="59">
        <f t="shared" si="7"/>
        <v>1.5069999999999999</v>
      </c>
      <c r="E50" s="59">
        <f t="shared" si="7"/>
        <v>0.89800000000000002</v>
      </c>
      <c r="F50" s="59">
        <f t="shared" si="7"/>
        <v>1.1259999999999999</v>
      </c>
      <c r="G50" s="59">
        <f t="shared" si="7"/>
        <v>0</v>
      </c>
      <c r="H50" s="59">
        <f t="shared" si="7"/>
        <v>1.2529999999999999</v>
      </c>
      <c r="I50" s="59">
        <f t="shared" si="7"/>
        <v>1.407</v>
      </c>
      <c r="J50" s="59">
        <f t="shared" si="7"/>
        <v>1.3240000000000001</v>
      </c>
    </row>
    <row r="51" spans="1:32">
      <c r="A51" t="s">
        <v>294</v>
      </c>
      <c r="B51" s="59" t="s">
        <v>485</v>
      </c>
      <c r="C51" s="59">
        <f t="shared" si="7"/>
        <v>1.1459999999999999</v>
      </c>
      <c r="D51" s="59">
        <f t="shared" si="7"/>
        <v>1.2809999999999999</v>
      </c>
      <c r="E51" s="59">
        <f t="shared" si="7"/>
        <v>1.121</v>
      </c>
      <c r="F51" s="59">
        <f t="shared" si="7"/>
        <v>0.83799999999999997</v>
      </c>
      <c r="G51" s="59">
        <f t="shared" si="7"/>
        <v>1.2529999999999999</v>
      </c>
      <c r="H51" s="59">
        <f t="shared" si="7"/>
        <v>0</v>
      </c>
      <c r="I51" s="59">
        <f t="shared" si="7"/>
        <v>0.80400000000000005</v>
      </c>
      <c r="J51" s="59">
        <f t="shared" si="7"/>
        <v>0.80700000000000005</v>
      </c>
    </row>
    <row r="52" spans="1:32">
      <c r="A52" t="s">
        <v>294</v>
      </c>
      <c r="B52" s="59" t="s">
        <v>486</v>
      </c>
      <c r="C52" s="59">
        <f t="shared" si="7"/>
        <v>1.2589999999999999</v>
      </c>
      <c r="D52" s="59">
        <f t="shared" si="7"/>
        <v>1.1870000000000001</v>
      </c>
      <c r="E52" s="59">
        <f t="shared" si="7"/>
        <v>1.5069999999999999</v>
      </c>
      <c r="F52" s="59">
        <f t="shared" si="7"/>
        <v>1.08</v>
      </c>
      <c r="G52" s="59">
        <f t="shared" si="7"/>
        <v>1.407</v>
      </c>
      <c r="H52" s="59">
        <f t="shared" si="7"/>
        <v>0.80400000000000005</v>
      </c>
      <c r="I52" s="59">
        <f t="shared" si="7"/>
        <v>0</v>
      </c>
      <c r="J52" s="59">
        <f t="shared" si="7"/>
        <v>0.88100000000000001</v>
      </c>
    </row>
    <row r="53" spans="1:32">
      <c r="A53" t="s">
        <v>294</v>
      </c>
      <c r="B53" s="59" t="s">
        <v>487</v>
      </c>
      <c r="C53" s="59">
        <f t="shared" si="7"/>
        <v>1.23</v>
      </c>
      <c r="D53" s="59">
        <f t="shared" si="7"/>
        <v>1.083</v>
      </c>
      <c r="E53" s="59">
        <f t="shared" si="7"/>
        <v>1.331</v>
      </c>
      <c r="F53" s="59">
        <f t="shared" si="7"/>
        <v>1.0960000000000001</v>
      </c>
      <c r="G53" s="59">
        <f t="shared" si="7"/>
        <v>1.3240000000000001</v>
      </c>
      <c r="H53" s="59">
        <f t="shared" si="7"/>
        <v>0.80700000000000005</v>
      </c>
      <c r="I53" s="59">
        <f t="shared" si="7"/>
        <v>0.88100000000000001</v>
      </c>
      <c r="J53" s="59">
        <f t="shared" si="7"/>
        <v>0</v>
      </c>
    </row>
    <row r="54" spans="1:32">
      <c r="A54" s="59" t="s">
        <v>256</v>
      </c>
      <c r="B54" s="59" t="s">
        <v>480</v>
      </c>
      <c r="C54" s="59">
        <f>ROUND((EXP(7.032824+1*0.622482)*((C6/1.852)^ 0.40303))/(1.15*0.0059)/1000000,3)</f>
        <v>0</v>
      </c>
      <c r="D54" s="59">
        <f t="shared" ref="D54:J54" si="8">ROUND((EXP(7.032824+1*0.622482)*((D6/1.852)^ 0.40303))/(1.15*0.0059)/1000000,3)</f>
        <v>1.256</v>
      </c>
      <c r="E54" s="59">
        <f t="shared" si="8"/>
        <v>1.077</v>
      </c>
      <c r="F54" s="59">
        <f t="shared" si="8"/>
        <v>1.345</v>
      </c>
      <c r="G54" s="59">
        <f t="shared" si="8"/>
        <v>1.2390000000000001</v>
      </c>
      <c r="H54" s="59">
        <f t="shared" si="8"/>
        <v>1.1459999999999999</v>
      </c>
      <c r="I54" s="59">
        <f t="shared" si="8"/>
        <v>1.2589999999999999</v>
      </c>
      <c r="J54" s="59">
        <f t="shared" si="8"/>
        <v>1.23</v>
      </c>
    </row>
    <row r="55" spans="1:32">
      <c r="A55" t="s">
        <v>256</v>
      </c>
      <c r="B55" s="59" t="s">
        <v>481</v>
      </c>
      <c r="C55" s="59">
        <f t="shared" ref="C55:J61" si="9">ROUND((EXP(7.032824+1*0.622482)*((C7/1.852)^ 0.40303))/(1.15*0.0059)/1000000,3)</f>
        <v>1.256</v>
      </c>
      <c r="D55" s="59">
        <f t="shared" si="9"/>
        <v>0</v>
      </c>
      <c r="E55" s="59">
        <f t="shared" si="9"/>
        <v>1.389</v>
      </c>
      <c r="F55" s="59">
        <f t="shared" si="9"/>
        <v>1.4330000000000001</v>
      </c>
      <c r="G55" s="59">
        <f t="shared" si="9"/>
        <v>1.5069999999999999</v>
      </c>
      <c r="H55" s="59">
        <f t="shared" si="9"/>
        <v>1.2809999999999999</v>
      </c>
      <c r="I55" s="59">
        <f t="shared" si="9"/>
        <v>1.1870000000000001</v>
      </c>
      <c r="J55" s="59">
        <f t="shared" si="9"/>
        <v>1.083</v>
      </c>
    </row>
    <row r="56" spans="1:32">
      <c r="A56" t="s">
        <v>256</v>
      </c>
      <c r="B56" s="59" t="s">
        <v>482</v>
      </c>
      <c r="C56" s="59">
        <f t="shared" si="9"/>
        <v>1.077</v>
      </c>
      <c r="D56" s="59">
        <f t="shared" si="9"/>
        <v>1.389</v>
      </c>
      <c r="E56" s="59">
        <f t="shared" si="9"/>
        <v>0</v>
      </c>
      <c r="F56" s="59">
        <f t="shared" si="9"/>
        <v>1.4570000000000001</v>
      </c>
      <c r="G56" s="59">
        <f t="shared" si="9"/>
        <v>0.89800000000000002</v>
      </c>
      <c r="H56" s="59">
        <f t="shared" si="9"/>
        <v>1.121</v>
      </c>
      <c r="I56" s="59">
        <f t="shared" si="9"/>
        <v>1.5069999999999999</v>
      </c>
      <c r="J56" s="59">
        <f t="shared" si="9"/>
        <v>1.331</v>
      </c>
    </row>
    <row r="57" spans="1:32">
      <c r="A57" t="s">
        <v>256</v>
      </c>
      <c r="B57" s="59" t="s">
        <v>483</v>
      </c>
      <c r="C57" s="59">
        <f t="shared" si="9"/>
        <v>1.345</v>
      </c>
      <c r="D57" s="59">
        <f t="shared" si="9"/>
        <v>1.4330000000000001</v>
      </c>
      <c r="E57" s="59">
        <f t="shared" si="9"/>
        <v>1.4570000000000001</v>
      </c>
      <c r="F57" s="59">
        <f t="shared" si="9"/>
        <v>0</v>
      </c>
      <c r="G57" s="59">
        <f t="shared" si="9"/>
        <v>1.1259999999999999</v>
      </c>
      <c r="H57" s="59">
        <f t="shared" si="9"/>
        <v>0.83799999999999997</v>
      </c>
      <c r="I57" s="59">
        <f t="shared" si="9"/>
        <v>1.08</v>
      </c>
      <c r="J57" s="59">
        <f t="shared" si="9"/>
        <v>1.0960000000000001</v>
      </c>
    </row>
    <row r="58" spans="1:32">
      <c r="A58" t="s">
        <v>256</v>
      </c>
      <c r="B58" s="59" t="s">
        <v>484</v>
      </c>
      <c r="C58" s="59">
        <f t="shared" si="9"/>
        <v>1.2390000000000001</v>
      </c>
      <c r="D58" s="59">
        <f t="shared" si="9"/>
        <v>1.5069999999999999</v>
      </c>
      <c r="E58" s="59">
        <f t="shared" si="9"/>
        <v>0.89800000000000002</v>
      </c>
      <c r="F58" s="59">
        <f t="shared" si="9"/>
        <v>1.1259999999999999</v>
      </c>
      <c r="G58" s="59">
        <f t="shared" si="9"/>
        <v>0</v>
      </c>
      <c r="H58" s="59">
        <f t="shared" si="9"/>
        <v>1.2529999999999999</v>
      </c>
      <c r="I58" s="59">
        <f t="shared" si="9"/>
        <v>1.407</v>
      </c>
      <c r="J58" s="59">
        <f t="shared" si="9"/>
        <v>1.3240000000000001</v>
      </c>
    </row>
    <row r="59" spans="1:32">
      <c r="A59" t="s">
        <v>256</v>
      </c>
      <c r="B59" s="59" t="s">
        <v>485</v>
      </c>
      <c r="C59" s="59">
        <f t="shared" si="9"/>
        <v>1.1459999999999999</v>
      </c>
      <c r="D59" s="59">
        <f t="shared" si="9"/>
        <v>1.2809999999999999</v>
      </c>
      <c r="E59" s="59">
        <f t="shared" si="9"/>
        <v>1.121</v>
      </c>
      <c r="F59" s="59">
        <f t="shared" si="9"/>
        <v>0.83799999999999997</v>
      </c>
      <c r="G59" s="59">
        <f t="shared" si="9"/>
        <v>1.2529999999999999</v>
      </c>
      <c r="H59" s="59">
        <f t="shared" si="9"/>
        <v>0</v>
      </c>
      <c r="I59" s="59">
        <f t="shared" si="9"/>
        <v>0.80400000000000005</v>
      </c>
      <c r="J59" s="59">
        <f t="shared" si="9"/>
        <v>0.80700000000000005</v>
      </c>
    </row>
    <row r="60" spans="1:32">
      <c r="A60" t="s">
        <v>256</v>
      </c>
      <c r="B60" s="59" t="s">
        <v>486</v>
      </c>
      <c r="C60" s="59">
        <f t="shared" si="9"/>
        <v>1.2589999999999999</v>
      </c>
      <c r="D60" s="59">
        <f t="shared" si="9"/>
        <v>1.1870000000000001</v>
      </c>
      <c r="E60" s="59">
        <f t="shared" si="9"/>
        <v>1.5069999999999999</v>
      </c>
      <c r="F60" s="59">
        <f t="shared" si="9"/>
        <v>1.08</v>
      </c>
      <c r="G60" s="59">
        <f t="shared" si="9"/>
        <v>1.407</v>
      </c>
      <c r="H60" s="59">
        <f t="shared" si="9"/>
        <v>0.80400000000000005</v>
      </c>
      <c r="I60" s="59">
        <f t="shared" si="9"/>
        <v>0</v>
      </c>
      <c r="J60" s="59">
        <f t="shared" si="9"/>
        <v>0.88100000000000001</v>
      </c>
    </row>
    <row r="61" spans="1:32">
      <c r="A61" t="s">
        <v>256</v>
      </c>
      <c r="B61" s="59" t="s">
        <v>487</v>
      </c>
      <c r="C61" s="59">
        <f t="shared" si="9"/>
        <v>1.23</v>
      </c>
      <c r="D61" s="59">
        <f t="shared" si="9"/>
        <v>1.083</v>
      </c>
      <c r="E61" s="59">
        <f t="shared" si="9"/>
        <v>1.331</v>
      </c>
      <c r="F61" s="59">
        <f t="shared" si="9"/>
        <v>1.0960000000000001</v>
      </c>
      <c r="G61" s="59">
        <f t="shared" si="9"/>
        <v>1.3240000000000001</v>
      </c>
      <c r="H61" s="59">
        <f t="shared" si="9"/>
        <v>0.80700000000000005</v>
      </c>
      <c r="I61" s="59">
        <f t="shared" si="9"/>
        <v>0.88100000000000001</v>
      </c>
      <c r="J61" s="59">
        <f t="shared" si="9"/>
        <v>0</v>
      </c>
    </row>
    <row r="64" spans="1:32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</row>
    <row r="65" spans="2:2">
      <c r="B65" s="21"/>
    </row>
    <row r="66" spans="2:2">
      <c r="B66" s="21"/>
    </row>
    <row r="67" spans="2:2">
      <c r="B67" s="21"/>
    </row>
    <row r="68" spans="2:2">
      <c r="B68" s="21"/>
    </row>
    <row r="69" spans="2:2">
      <c r="B69" s="21"/>
    </row>
    <row r="70" spans="2:2">
      <c r="B70" s="21"/>
    </row>
    <row r="71" spans="2:2">
      <c r="B71" s="21"/>
    </row>
    <row r="72" spans="2:2">
      <c r="B72" s="21"/>
    </row>
    <row r="73" spans="2:2">
      <c r="B73" s="21"/>
    </row>
    <row r="74" spans="2:2">
      <c r="B74" s="21"/>
    </row>
    <row r="75" spans="2:2">
      <c r="B75" s="21"/>
    </row>
    <row r="76" spans="2:2">
      <c r="B76" s="21"/>
    </row>
    <row r="77" spans="2:2">
      <c r="B77" s="21"/>
    </row>
    <row r="78" spans="2:2">
      <c r="B78" s="21"/>
    </row>
    <row r="79" spans="2:2">
      <c r="B79" s="21"/>
    </row>
    <row r="80" spans="2:2">
      <c r="B80" s="21"/>
    </row>
    <row r="81" spans="2:2">
      <c r="B81" s="21"/>
    </row>
    <row r="82" spans="2:2">
      <c r="B82" s="21"/>
    </row>
    <row r="83" spans="2:2">
      <c r="B83" s="21"/>
    </row>
    <row r="84" spans="2:2">
      <c r="B84" s="21"/>
    </row>
    <row r="85" spans="2:2">
      <c r="B85" s="21"/>
    </row>
    <row r="86" spans="2:2">
      <c r="B86" s="21"/>
    </row>
    <row r="87" spans="2:2">
      <c r="B87" s="21"/>
    </row>
    <row r="88" spans="2:2">
      <c r="B88" s="21"/>
    </row>
    <row r="89" spans="2:2">
      <c r="B89" s="21"/>
    </row>
    <row r="90" spans="2:2">
      <c r="B90" s="21"/>
    </row>
    <row r="91" spans="2:2">
      <c r="B91" s="21"/>
    </row>
    <row r="92" spans="2:2">
      <c r="B92" s="21"/>
    </row>
    <row r="94" spans="2:2">
      <c r="B94" s="21"/>
    </row>
    <row r="95" spans="2:2">
      <c r="B95" s="21"/>
    </row>
    <row r="96" spans="2:2">
      <c r="B96" s="21"/>
    </row>
    <row r="97" spans="2:2">
      <c r="B97" s="21"/>
    </row>
    <row r="98" spans="2:2">
      <c r="B98" s="21"/>
    </row>
    <row r="99" spans="2:2">
      <c r="B99" s="21"/>
    </row>
    <row r="100" spans="2:2">
      <c r="B100" s="21"/>
    </row>
    <row r="101" spans="2:2">
      <c r="B101" s="21"/>
    </row>
    <row r="102" spans="2:2">
      <c r="B102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09" spans="2:2">
      <c r="B109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  <row r="116" spans="2:2">
      <c r="B116" s="21"/>
    </row>
    <row r="117" spans="2:2">
      <c r="B117" s="21"/>
    </row>
    <row r="118" spans="2:2">
      <c r="B118" s="21"/>
    </row>
    <row r="119" spans="2:2">
      <c r="B119" s="21"/>
    </row>
    <row r="120" spans="2:2">
      <c r="B120" s="21"/>
    </row>
    <row r="121" spans="2:2">
      <c r="B121" s="21"/>
    </row>
    <row r="122" spans="2:2">
      <c r="B122" s="21"/>
    </row>
    <row r="124" spans="2:2">
      <c r="B124" s="21"/>
    </row>
    <row r="125" spans="2:2">
      <c r="B125" s="21"/>
    </row>
    <row r="126" spans="2:2">
      <c r="B126" s="21"/>
    </row>
    <row r="127" spans="2:2">
      <c r="B127" s="21"/>
    </row>
    <row r="128" spans="2:2">
      <c r="B128" s="21"/>
    </row>
    <row r="129" spans="2:2">
      <c r="B129" s="21"/>
    </row>
    <row r="130" spans="2:2">
      <c r="B130" s="21"/>
    </row>
    <row r="131" spans="2:2">
      <c r="B131" s="21"/>
    </row>
    <row r="132" spans="2:2">
      <c r="B132" s="21"/>
    </row>
    <row r="133" spans="2:2">
      <c r="B133" s="21"/>
    </row>
    <row r="134" spans="2:2">
      <c r="B134" s="21"/>
    </row>
    <row r="135" spans="2:2">
      <c r="B135" s="21"/>
    </row>
    <row r="136" spans="2:2">
      <c r="B136" s="21"/>
    </row>
    <row r="137" spans="2:2">
      <c r="B137" s="21"/>
    </row>
    <row r="138" spans="2:2">
      <c r="B138" s="21"/>
    </row>
    <row r="139" spans="2:2">
      <c r="B139" s="21"/>
    </row>
    <row r="140" spans="2:2">
      <c r="B140" s="21"/>
    </row>
    <row r="141" spans="2:2">
      <c r="B141" s="21"/>
    </row>
    <row r="142" spans="2:2">
      <c r="B142" s="21"/>
    </row>
    <row r="143" spans="2:2">
      <c r="B143" s="21"/>
    </row>
    <row r="144" spans="2:2">
      <c r="B144" s="21"/>
    </row>
    <row r="145" spans="2:2">
      <c r="B145" s="21"/>
    </row>
    <row r="146" spans="2:2">
      <c r="B146" s="21"/>
    </row>
    <row r="147" spans="2:2">
      <c r="B147" s="21"/>
    </row>
    <row r="148" spans="2:2">
      <c r="B148" s="21"/>
    </row>
    <row r="149" spans="2:2">
      <c r="B149" s="21"/>
    </row>
    <row r="150" spans="2:2">
      <c r="B150" s="21"/>
    </row>
    <row r="151" spans="2:2">
      <c r="B151" s="21"/>
    </row>
    <row r="152" spans="2:2">
      <c r="B152" s="21"/>
    </row>
    <row r="154" spans="2:2">
      <c r="B154" s="21"/>
    </row>
    <row r="155" spans="2:2">
      <c r="B155" s="21"/>
    </row>
    <row r="156" spans="2:2">
      <c r="B156" s="21"/>
    </row>
    <row r="157" spans="2:2">
      <c r="B157" s="21"/>
    </row>
    <row r="158" spans="2:2">
      <c r="B158" s="21"/>
    </row>
    <row r="159" spans="2:2">
      <c r="B159" s="21"/>
    </row>
    <row r="160" spans="2:2">
      <c r="B160" s="21"/>
    </row>
    <row r="161" spans="2:2">
      <c r="B161" s="21"/>
    </row>
    <row r="162" spans="2:2">
      <c r="B162" s="21"/>
    </row>
    <row r="163" spans="2:2">
      <c r="B163" s="21"/>
    </row>
    <row r="164" spans="2:2">
      <c r="B164" s="21"/>
    </row>
    <row r="165" spans="2:2">
      <c r="B165" s="21"/>
    </row>
    <row r="166" spans="2:2">
      <c r="B166" s="21"/>
    </row>
    <row r="167" spans="2:2">
      <c r="B167" s="21"/>
    </row>
    <row r="168" spans="2:2">
      <c r="B168" s="21"/>
    </row>
    <row r="169" spans="2:2">
      <c r="B169" s="21"/>
    </row>
    <row r="170" spans="2:2">
      <c r="B170" s="21"/>
    </row>
    <row r="171" spans="2:2">
      <c r="B171" s="21"/>
    </row>
    <row r="172" spans="2:2">
      <c r="B172" s="21"/>
    </row>
    <row r="173" spans="2:2">
      <c r="B173" s="21"/>
    </row>
    <row r="174" spans="2:2">
      <c r="B174" s="21"/>
    </row>
    <row r="175" spans="2:2">
      <c r="B175" s="21"/>
    </row>
    <row r="176" spans="2:2">
      <c r="B176" s="21"/>
    </row>
    <row r="177" spans="2:2">
      <c r="B177" s="21"/>
    </row>
    <row r="178" spans="2:2">
      <c r="B178" s="21"/>
    </row>
    <row r="179" spans="2:2">
      <c r="B179" s="21"/>
    </row>
    <row r="180" spans="2:2">
      <c r="B180" s="21"/>
    </row>
    <row r="181" spans="2:2">
      <c r="B181" s="21"/>
    </row>
    <row r="182" spans="2:2">
      <c r="B182" s="21"/>
    </row>
    <row r="184" spans="2:2">
      <c r="B184" s="21"/>
    </row>
    <row r="185" spans="2:2">
      <c r="B185" s="21"/>
    </row>
    <row r="186" spans="2:2">
      <c r="B186" s="21"/>
    </row>
    <row r="187" spans="2:2">
      <c r="B187" s="21"/>
    </row>
    <row r="188" spans="2:2">
      <c r="B188" s="21"/>
    </row>
    <row r="189" spans="2:2">
      <c r="B189" s="21"/>
    </row>
    <row r="190" spans="2:2">
      <c r="B190" s="21"/>
    </row>
    <row r="191" spans="2:2">
      <c r="B191" s="21"/>
    </row>
    <row r="192" spans="2:2">
      <c r="B192" s="21"/>
    </row>
    <row r="193" spans="2:2">
      <c r="B193" s="21"/>
    </row>
    <row r="194" spans="2:2">
      <c r="B194" s="21"/>
    </row>
    <row r="195" spans="2:2">
      <c r="B195" s="21"/>
    </row>
    <row r="196" spans="2:2">
      <c r="B196" s="21"/>
    </row>
    <row r="197" spans="2:2">
      <c r="B197" s="21"/>
    </row>
    <row r="198" spans="2:2">
      <c r="B198" s="21"/>
    </row>
    <row r="199" spans="2:2">
      <c r="B199" s="21"/>
    </row>
    <row r="200" spans="2:2">
      <c r="B200" s="21"/>
    </row>
    <row r="201" spans="2:2">
      <c r="B201" s="21"/>
    </row>
    <row r="202" spans="2:2">
      <c r="B202" s="21"/>
    </row>
    <row r="203" spans="2:2">
      <c r="B203" s="21"/>
    </row>
    <row r="204" spans="2:2">
      <c r="B204" s="21"/>
    </row>
    <row r="205" spans="2:2">
      <c r="B205" s="21"/>
    </row>
    <row r="206" spans="2:2">
      <c r="B206" s="21"/>
    </row>
    <row r="207" spans="2:2">
      <c r="B207" s="21"/>
    </row>
    <row r="208" spans="2:2">
      <c r="B208" s="21"/>
    </row>
    <row r="209" spans="2:2">
      <c r="B209" s="21"/>
    </row>
    <row r="210" spans="2:2">
      <c r="B210" s="21"/>
    </row>
    <row r="211" spans="2:2">
      <c r="B211" s="21"/>
    </row>
    <row r="212" spans="2:2">
      <c r="B212" s="21"/>
    </row>
    <row r="214" spans="2:2">
      <c r="B214" s="21"/>
    </row>
    <row r="215" spans="2:2">
      <c r="B215" s="21"/>
    </row>
    <row r="216" spans="2:2">
      <c r="B216" s="21"/>
    </row>
    <row r="217" spans="2:2">
      <c r="B217" s="21"/>
    </row>
    <row r="218" spans="2:2">
      <c r="B218" s="21"/>
    </row>
    <row r="219" spans="2:2">
      <c r="B219" s="21"/>
    </row>
    <row r="220" spans="2:2">
      <c r="B220" s="21"/>
    </row>
    <row r="221" spans="2:2">
      <c r="B221" s="21"/>
    </row>
    <row r="222" spans="2:2">
      <c r="B222" s="21"/>
    </row>
    <row r="223" spans="2:2">
      <c r="B223" s="21"/>
    </row>
    <row r="224" spans="2:2">
      <c r="B224" s="21"/>
    </row>
    <row r="225" spans="2:2">
      <c r="B225" s="21"/>
    </row>
    <row r="226" spans="2:2">
      <c r="B226" s="21"/>
    </row>
    <row r="227" spans="2:2">
      <c r="B227" s="21"/>
    </row>
    <row r="228" spans="2:2">
      <c r="B228" s="21"/>
    </row>
    <row r="229" spans="2:2">
      <c r="B229" s="21"/>
    </row>
    <row r="230" spans="2:2">
      <c r="B230" s="21"/>
    </row>
    <row r="231" spans="2:2">
      <c r="B231" s="21"/>
    </row>
    <row r="232" spans="2:2">
      <c r="B232" s="21"/>
    </row>
    <row r="233" spans="2:2">
      <c r="B233" s="21"/>
    </row>
    <row r="234" spans="2:2">
      <c r="B234" s="21"/>
    </row>
    <row r="235" spans="2:2">
      <c r="B235" s="21"/>
    </row>
    <row r="236" spans="2:2">
      <c r="B236" s="21"/>
    </row>
    <row r="237" spans="2:2">
      <c r="B237" s="21"/>
    </row>
    <row r="238" spans="2:2">
      <c r="B238" s="21"/>
    </row>
    <row r="239" spans="2:2">
      <c r="B239" s="21"/>
    </row>
    <row r="240" spans="2:2">
      <c r="B240" s="21"/>
    </row>
    <row r="241" spans="2:2">
      <c r="B241" s="21"/>
    </row>
    <row r="242" spans="2:2">
      <c r="B242" s="21"/>
    </row>
    <row r="244" spans="2:2">
      <c r="B244" s="21"/>
    </row>
    <row r="245" spans="2:2">
      <c r="B245" s="21"/>
    </row>
    <row r="246" spans="2:2">
      <c r="B246" s="21"/>
    </row>
    <row r="247" spans="2:2">
      <c r="B247" s="21"/>
    </row>
    <row r="248" spans="2:2">
      <c r="B248" s="21"/>
    </row>
    <row r="249" spans="2:2">
      <c r="B249" s="21"/>
    </row>
    <row r="250" spans="2:2">
      <c r="B250" s="21"/>
    </row>
    <row r="251" spans="2:2">
      <c r="B251" s="21"/>
    </row>
    <row r="252" spans="2:2">
      <c r="B252" s="21"/>
    </row>
    <row r="253" spans="2:2">
      <c r="B253" s="21"/>
    </row>
    <row r="254" spans="2:2">
      <c r="B254" s="21"/>
    </row>
    <row r="255" spans="2:2">
      <c r="B255" s="21"/>
    </row>
    <row r="256" spans="2:2">
      <c r="B256" s="21"/>
    </row>
    <row r="257" spans="2:2">
      <c r="B257" s="21"/>
    </row>
    <row r="258" spans="2:2">
      <c r="B258" s="21"/>
    </row>
    <row r="259" spans="2:2">
      <c r="B259" s="21"/>
    </row>
    <row r="260" spans="2:2">
      <c r="B260" s="21"/>
    </row>
    <row r="261" spans="2:2">
      <c r="B261" s="21"/>
    </row>
    <row r="262" spans="2:2">
      <c r="B262" s="21"/>
    </row>
    <row r="263" spans="2:2">
      <c r="B263" s="21"/>
    </row>
    <row r="264" spans="2:2">
      <c r="B264" s="21"/>
    </row>
    <row r="265" spans="2:2">
      <c r="B265" s="21"/>
    </row>
    <row r="266" spans="2:2">
      <c r="B266" s="21"/>
    </row>
    <row r="267" spans="2:2">
      <c r="B267" s="21"/>
    </row>
    <row r="268" spans="2:2">
      <c r="B268" s="21"/>
    </row>
    <row r="269" spans="2:2">
      <c r="B269" s="21"/>
    </row>
    <row r="270" spans="2:2">
      <c r="B270" s="21"/>
    </row>
    <row r="271" spans="2:2">
      <c r="B271" s="21"/>
    </row>
    <row r="272" spans="2:2">
      <c r="B272" s="21"/>
    </row>
    <row r="274" spans="2:2">
      <c r="B274" s="21"/>
    </row>
    <row r="275" spans="2:2">
      <c r="B275" s="21"/>
    </row>
    <row r="276" spans="2:2">
      <c r="B276" s="21"/>
    </row>
    <row r="277" spans="2:2">
      <c r="B277" s="21"/>
    </row>
    <row r="278" spans="2:2">
      <c r="B278" s="21"/>
    </row>
    <row r="279" spans="2:2">
      <c r="B279" s="21"/>
    </row>
    <row r="280" spans="2:2">
      <c r="B280" s="21"/>
    </row>
    <row r="281" spans="2:2">
      <c r="B281" s="21"/>
    </row>
    <row r="282" spans="2:2">
      <c r="B282" s="21"/>
    </row>
    <row r="283" spans="2:2">
      <c r="B283" s="21"/>
    </row>
    <row r="284" spans="2:2">
      <c r="B284" s="21"/>
    </row>
    <row r="285" spans="2:2">
      <c r="B285" s="21"/>
    </row>
    <row r="286" spans="2:2">
      <c r="B286" s="21"/>
    </row>
    <row r="287" spans="2:2">
      <c r="B287" s="21"/>
    </row>
    <row r="288" spans="2:2">
      <c r="B288" s="21"/>
    </row>
    <row r="289" spans="2:2">
      <c r="B289" s="21"/>
    </row>
    <row r="290" spans="2:2">
      <c r="B290" s="21"/>
    </row>
    <row r="291" spans="2:2">
      <c r="B291" s="21"/>
    </row>
    <row r="292" spans="2:2">
      <c r="B292" s="21"/>
    </row>
    <row r="293" spans="2:2">
      <c r="B293" s="21"/>
    </row>
    <row r="294" spans="2:2">
      <c r="B294" s="21"/>
    </row>
    <row r="295" spans="2:2">
      <c r="B295" s="21"/>
    </row>
    <row r="296" spans="2:2">
      <c r="B296" s="21"/>
    </row>
    <row r="297" spans="2:2">
      <c r="B297" s="21"/>
    </row>
    <row r="298" spans="2:2">
      <c r="B298" s="21"/>
    </row>
    <row r="299" spans="2:2">
      <c r="B299" s="21"/>
    </row>
    <row r="300" spans="2:2">
      <c r="B300" s="21"/>
    </row>
    <row r="301" spans="2:2">
      <c r="B301" s="21"/>
    </row>
    <row r="302" spans="2:2">
      <c r="B302" s="21"/>
    </row>
    <row r="304" spans="2:2">
      <c r="B304" s="21"/>
    </row>
    <row r="305" spans="2:2">
      <c r="B305" s="21"/>
    </row>
    <row r="306" spans="2:2">
      <c r="B306" s="21"/>
    </row>
    <row r="307" spans="2:2">
      <c r="B307" s="21"/>
    </row>
    <row r="308" spans="2:2">
      <c r="B308" s="21"/>
    </row>
    <row r="309" spans="2:2">
      <c r="B309" s="21"/>
    </row>
    <row r="310" spans="2:2">
      <c r="B310" s="21"/>
    </row>
    <row r="311" spans="2:2">
      <c r="B311" s="21"/>
    </row>
    <row r="312" spans="2:2">
      <c r="B312" s="21"/>
    </row>
    <row r="313" spans="2:2">
      <c r="B313" s="21"/>
    </row>
    <row r="314" spans="2:2">
      <c r="B314" s="21"/>
    </row>
    <row r="315" spans="2:2">
      <c r="B315" s="21"/>
    </row>
    <row r="316" spans="2:2">
      <c r="B316" s="21"/>
    </row>
    <row r="317" spans="2:2">
      <c r="B317" s="21"/>
    </row>
    <row r="318" spans="2:2">
      <c r="B318" s="21"/>
    </row>
    <row r="319" spans="2:2">
      <c r="B319" s="21"/>
    </row>
    <row r="320" spans="2:2">
      <c r="B320" s="21"/>
    </row>
    <row r="321" spans="2:2">
      <c r="B321" s="21"/>
    </row>
    <row r="322" spans="2:2">
      <c r="B322" s="21"/>
    </row>
    <row r="323" spans="2:2">
      <c r="B323" s="21"/>
    </row>
    <row r="324" spans="2:2">
      <c r="B324" s="21"/>
    </row>
    <row r="325" spans="2:2">
      <c r="B325" s="21"/>
    </row>
    <row r="326" spans="2:2">
      <c r="B326" s="21"/>
    </row>
    <row r="327" spans="2:2">
      <c r="B327" s="21"/>
    </row>
    <row r="328" spans="2:2">
      <c r="B328" s="21"/>
    </row>
    <row r="329" spans="2:2">
      <c r="B329" s="21"/>
    </row>
    <row r="330" spans="2:2">
      <c r="B330" s="21"/>
    </row>
    <row r="331" spans="2:2">
      <c r="B331" s="21"/>
    </row>
    <row r="332" spans="2:2">
      <c r="B332" s="21"/>
    </row>
    <row r="334" spans="2:2">
      <c r="B334" s="21"/>
    </row>
    <row r="335" spans="2:2">
      <c r="B335" s="21"/>
    </row>
    <row r="336" spans="2:2">
      <c r="B336" s="21"/>
    </row>
    <row r="337" spans="2:2">
      <c r="B337" s="21"/>
    </row>
    <row r="338" spans="2:2">
      <c r="B338" s="21"/>
    </row>
    <row r="339" spans="2:2">
      <c r="B339" s="21"/>
    </row>
    <row r="340" spans="2:2">
      <c r="B340" s="21"/>
    </row>
    <row r="341" spans="2:2">
      <c r="B341" s="21"/>
    </row>
    <row r="342" spans="2:2">
      <c r="B342" s="21"/>
    </row>
    <row r="343" spans="2:2">
      <c r="B343" s="21"/>
    </row>
    <row r="344" spans="2:2">
      <c r="B344" s="21"/>
    </row>
    <row r="345" spans="2:2">
      <c r="B345" s="21"/>
    </row>
    <row r="346" spans="2:2">
      <c r="B346" s="21"/>
    </row>
    <row r="347" spans="2:2">
      <c r="B347" s="21"/>
    </row>
    <row r="348" spans="2:2">
      <c r="B348" s="21"/>
    </row>
    <row r="349" spans="2:2">
      <c r="B349" s="21"/>
    </row>
    <row r="350" spans="2:2">
      <c r="B350" s="21"/>
    </row>
    <row r="351" spans="2:2">
      <c r="B351" s="21"/>
    </row>
    <row r="352" spans="2:2">
      <c r="B352" s="21"/>
    </row>
    <row r="353" spans="2:2">
      <c r="B353" s="21"/>
    </row>
    <row r="354" spans="2:2">
      <c r="B354" s="21"/>
    </row>
    <row r="355" spans="2:2">
      <c r="B355" s="21"/>
    </row>
    <row r="356" spans="2:2">
      <c r="B356" s="21"/>
    </row>
    <row r="357" spans="2:2">
      <c r="B357" s="21"/>
    </row>
    <row r="358" spans="2:2">
      <c r="B358" s="21"/>
    </row>
    <row r="359" spans="2:2">
      <c r="B359" s="21"/>
    </row>
    <row r="360" spans="2:2">
      <c r="B360" s="21"/>
    </row>
    <row r="361" spans="2:2">
      <c r="B361" s="21"/>
    </row>
    <row r="362" spans="2:2">
      <c r="B362" s="21"/>
    </row>
    <row r="364" spans="2:2">
      <c r="B364" s="21"/>
    </row>
    <row r="365" spans="2:2">
      <c r="B365" s="21"/>
    </row>
    <row r="366" spans="2:2">
      <c r="B366" s="21"/>
    </row>
    <row r="367" spans="2:2">
      <c r="B367" s="21"/>
    </row>
    <row r="368" spans="2:2">
      <c r="B368" s="21"/>
    </row>
    <row r="369" spans="2:2">
      <c r="B369" s="21"/>
    </row>
    <row r="370" spans="2:2">
      <c r="B370" s="21"/>
    </row>
    <row r="371" spans="2:2">
      <c r="B371" s="21"/>
    </row>
    <row r="372" spans="2:2">
      <c r="B372" s="21"/>
    </row>
    <row r="373" spans="2:2">
      <c r="B373" s="21"/>
    </row>
    <row r="374" spans="2:2">
      <c r="B374" s="21"/>
    </row>
    <row r="375" spans="2:2">
      <c r="B375" s="21"/>
    </row>
    <row r="376" spans="2:2">
      <c r="B376" s="21"/>
    </row>
    <row r="377" spans="2:2">
      <c r="B377" s="21"/>
    </row>
    <row r="378" spans="2:2">
      <c r="B378" s="21"/>
    </row>
    <row r="379" spans="2:2">
      <c r="B379" s="21"/>
    </row>
    <row r="380" spans="2:2">
      <c r="B380" s="21"/>
    </row>
    <row r="381" spans="2:2">
      <c r="B381" s="21"/>
    </row>
    <row r="382" spans="2:2">
      <c r="B382" s="21"/>
    </row>
    <row r="383" spans="2:2">
      <c r="B383" s="21"/>
    </row>
    <row r="384" spans="2:2">
      <c r="B384" s="21"/>
    </row>
    <row r="385" spans="2:2">
      <c r="B385" s="21"/>
    </row>
    <row r="386" spans="2:2">
      <c r="B386" s="21"/>
    </row>
    <row r="387" spans="2:2">
      <c r="B387" s="21"/>
    </row>
    <row r="388" spans="2:2">
      <c r="B388" s="21"/>
    </row>
    <row r="389" spans="2:2">
      <c r="B389" s="21"/>
    </row>
    <row r="390" spans="2:2">
      <c r="B390" s="21"/>
    </row>
    <row r="391" spans="2:2">
      <c r="B391" s="21"/>
    </row>
    <row r="392" spans="2:2">
      <c r="B392" s="21"/>
    </row>
    <row r="394" spans="2:2">
      <c r="B394" s="21"/>
    </row>
    <row r="395" spans="2:2">
      <c r="B395" s="21"/>
    </row>
    <row r="396" spans="2:2">
      <c r="B396" s="21"/>
    </row>
    <row r="397" spans="2:2">
      <c r="B397" s="21"/>
    </row>
    <row r="398" spans="2:2">
      <c r="B398" s="21"/>
    </row>
    <row r="399" spans="2:2">
      <c r="B399" s="21"/>
    </row>
    <row r="400" spans="2:2">
      <c r="B400" s="21"/>
    </row>
    <row r="401" spans="2:2">
      <c r="B401" s="21"/>
    </row>
    <row r="402" spans="2:2">
      <c r="B402" s="21"/>
    </row>
    <row r="403" spans="2:2">
      <c r="B403" s="21"/>
    </row>
    <row r="404" spans="2:2">
      <c r="B404" s="21"/>
    </row>
    <row r="405" spans="2:2">
      <c r="B405" s="21"/>
    </row>
    <row r="406" spans="2:2">
      <c r="B406" s="21"/>
    </row>
    <row r="407" spans="2:2">
      <c r="B407" s="21"/>
    </row>
    <row r="408" spans="2:2">
      <c r="B408" s="21"/>
    </row>
    <row r="409" spans="2:2">
      <c r="B409" s="21"/>
    </row>
    <row r="410" spans="2:2">
      <c r="B410" s="21"/>
    </row>
    <row r="411" spans="2:2">
      <c r="B411" s="21"/>
    </row>
    <row r="412" spans="2:2">
      <c r="B412" s="21"/>
    </row>
    <row r="413" spans="2:2">
      <c r="B413" s="21"/>
    </row>
    <row r="414" spans="2:2">
      <c r="B414" s="21"/>
    </row>
    <row r="415" spans="2:2">
      <c r="B415" s="21"/>
    </row>
    <row r="416" spans="2:2">
      <c r="B416" s="21"/>
    </row>
    <row r="417" spans="2:2">
      <c r="B417" s="21"/>
    </row>
    <row r="418" spans="2:2">
      <c r="B418" s="21"/>
    </row>
    <row r="419" spans="2:2">
      <c r="B419" s="21"/>
    </row>
    <row r="420" spans="2:2">
      <c r="B420" s="21"/>
    </row>
    <row r="421" spans="2:2">
      <c r="B421" s="21"/>
    </row>
    <row r="422" spans="2:2">
      <c r="B422" s="21"/>
    </row>
    <row r="424" spans="2:2">
      <c r="B424" s="21"/>
    </row>
    <row r="425" spans="2:2">
      <c r="B425" s="21"/>
    </row>
    <row r="426" spans="2:2">
      <c r="B426" s="21"/>
    </row>
    <row r="427" spans="2:2">
      <c r="B427" s="21"/>
    </row>
    <row r="428" spans="2:2">
      <c r="B428" s="21"/>
    </row>
    <row r="429" spans="2:2">
      <c r="B429" s="21"/>
    </row>
    <row r="430" spans="2:2">
      <c r="B430" s="21"/>
    </row>
    <row r="431" spans="2:2">
      <c r="B431" s="21"/>
    </row>
    <row r="432" spans="2:2">
      <c r="B432" s="21"/>
    </row>
    <row r="433" spans="2:2">
      <c r="B433" s="21"/>
    </row>
    <row r="434" spans="2:2">
      <c r="B434" s="21"/>
    </row>
    <row r="435" spans="2:2">
      <c r="B435" s="21"/>
    </row>
    <row r="436" spans="2:2">
      <c r="B436" s="21"/>
    </row>
    <row r="437" spans="2:2">
      <c r="B437" s="21"/>
    </row>
    <row r="438" spans="2:2">
      <c r="B438" s="21"/>
    </row>
    <row r="439" spans="2:2">
      <c r="B439" s="21"/>
    </row>
    <row r="440" spans="2:2">
      <c r="B440" s="21"/>
    </row>
    <row r="441" spans="2:2">
      <c r="B441" s="21"/>
    </row>
    <row r="442" spans="2:2">
      <c r="B442" s="21"/>
    </row>
    <row r="443" spans="2:2">
      <c r="B443" s="21"/>
    </row>
    <row r="444" spans="2:2">
      <c r="B444" s="21"/>
    </row>
    <row r="445" spans="2:2">
      <c r="B445" s="21"/>
    </row>
    <row r="446" spans="2:2">
      <c r="B446" s="21"/>
    </row>
    <row r="447" spans="2:2">
      <c r="B447" s="21"/>
    </row>
    <row r="448" spans="2:2">
      <c r="B448" s="21"/>
    </row>
    <row r="449" spans="2:2">
      <c r="B449" s="21"/>
    </row>
    <row r="450" spans="2:2">
      <c r="B450" s="21"/>
    </row>
    <row r="451" spans="2:2">
      <c r="B451" s="21"/>
    </row>
    <row r="452" spans="2:2">
      <c r="B452" s="21"/>
    </row>
    <row r="454" spans="2:2">
      <c r="B454" s="21"/>
    </row>
    <row r="455" spans="2:2">
      <c r="B455" s="21"/>
    </row>
    <row r="456" spans="2:2">
      <c r="B456" s="21"/>
    </row>
    <row r="457" spans="2:2">
      <c r="B457" s="21"/>
    </row>
    <row r="458" spans="2:2">
      <c r="B458" s="21"/>
    </row>
    <row r="459" spans="2:2">
      <c r="B459" s="21"/>
    </row>
    <row r="460" spans="2:2">
      <c r="B460" s="21"/>
    </row>
    <row r="461" spans="2:2">
      <c r="B461" s="21"/>
    </row>
    <row r="462" spans="2:2">
      <c r="B462" s="21"/>
    </row>
    <row r="463" spans="2:2">
      <c r="B463" s="21"/>
    </row>
    <row r="464" spans="2:2">
      <c r="B464" s="21"/>
    </row>
    <row r="465" spans="2:2">
      <c r="B465" s="21"/>
    </row>
    <row r="466" spans="2:2">
      <c r="B466" s="21"/>
    </row>
    <row r="467" spans="2:2">
      <c r="B467" s="21"/>
    </row>
    <row r="468" spans="2:2">
      <c r="B468" s="21"/>
    </row>
    <row r="469" spans="2:2">
      <c r="B469" s="21"/>
    </row>
    <row r="470" spans="2:2">
      <c r="B470" s="21"/>
    </row>
    <row r="471" spans="2:2">
      <c r="B471" s="21"/>
    </row>
    <row r="472" spans="2:2">
      <c r="B472" s="21"/>
    </row>
    <row r="473" spans="2:2">
      <c r="B473" s="21"/>
    </row>
    <row r="474" spans="2:2">
      <c r="B474" s="21"/>
    </row>
    <row r="475" spans="2:2">
      <c r="B475" s="21"/>
    </row>
    <row r="476" spans="2:2">
      <c r="B476" s="21"/>
    </row>
    <row r="477" spans="2:2">
      <c r="B477" s="21"/>
    </row>
    <row r="478" spans="2:2">
      <c r="B478" s="21"/>
    </row>
    <row r="479" spans="2:2">
      <c r="B479" s="21"/>
    </row>
    <row r="480" spans="2:2">
      <c r="B480" s="21"/>
    </row>
    <row r="481" spans="2:2">
      <c r="B481" s="21"/>
    </row>
    <row r="482" spans="2:2">
      <c r="B482" s="21"/>
    </row>
    <row r="484" spans="2:2">
      <c r="B484" s="21"/>
    </row>
    <row r="485" spans="2:2">
      <c r="B485" s="21"/>
    </row>
    <row r="486" spans="2:2">
      <c r="B486" s="21"/>
    </row>
    <row r="487" spans="2:2">
      <c r="B487" s="21"/>
    </row>
    <row r="488" spans="2:2">
      <c r="B488" s="21"/>
    </row>
    <row r="489" spans="2:2">
      <c r="B489" s="21"/>
    </row>
    <row r="490" spans="2:2">
      <c r="B490" s="21"/>
    </row>
    <row r="491" spans="2:2">
      <c r="B491" s="21"/>
    </row>
    <row r="492" spans="2:2">
      <c r="B492" s="21"/>
    </row>
    <row r="493" spans="2:2">
      <c r="B493" s="21"/>
    </row>
    <row r="494" spans="2:2">
      <c r="B494" s="21"/>
    </row>
    <row r="495" spans="2:2">
      <c r="B495" s="21"/>
    </row>
    <row r="496" spans="2:2">
      <c r="B496" s="21"/>
    </row>
    <row r="497" spans="2:2">
      <c r="B497" s="21"/>
    </row>
    <row r="498" spans="2:2">
      <c r="B498" s="21"/>
    </row>
    <row r="499" spans="2:2">
      <c r="B499" s="21"/>
    </row>
    <row r="500" spans="2:2">
      <c r="B500" s="21"/>
    </row>
    <row r="501" spans="2:2">
      <c r="B501" s="21"/>
    </row>
    <row r="502" spans="2:2">
      <c r="B502" s="21"/>
    </row>
    <row r="503" spans="2:2">
      <c r="B503" s="21"/>
    </row>
    <row r="504" spans="2:2">
      <c r="B504" s="21"/>
    </row>
    <row r="505" spans="2:2">
      <c r="B505" s="21"/>
    </row>
    <row r="506" spans="2:2">
      <c r="B506" s="21"/>
    </row>
    <row r="507" spans="2:2">
      <c r="B507" s="21"/>
    </row>
    <row r="508" spans="2:2">
      <c r="B508" s="21"/>
    </row>
    <row r="509" spans="2:2">
      <c r="B509" s="21"/>
    </row>
    <row r="510" spans="2:2">
      <c r="B510" s="21"/>
    </row>
    <row r="511" spans="2:2">
      <c r="B511" s="21"/>
    </row>
    <row r="512" spans="2:2">
      <c r="B512" s="21"/>
    </row>
    <row r="514" spans="2:2">
      <c r="B514" s="21"/>
    </row>
    <row r="515" spans="2:2">
      <c r="B515" s="21"/>
    </row>
    <row r="516" spans="2:2">
      <c r="B516" s="21"/>
    </row>
    <row r="517" spans="2:2">
      <c r="B517" s="21"/>
    </row>
    <row r="518" spans="2:2">
      <c r="B518" s="21"/>
    </row>
    <row r="519" spans="2:2">
      <c r="B519" s="21"/>
    </row>
    <row r="520" spans="2:2">
      <c r="B520" s="21"/>
    </row>
    <row r="521" spans="2:2">
      <c r="B521" s="21"/>
    </row>
    <row r="522" spans="2:2">
      <c r="B522" s="21"/>
    </row>
    <row r="523" spans="2:2">
      <c r="B523" s="21"/>
    </row>
    <row r="524" spans="2:2">
      <c r="B524" s="21"/>
    </row>
    <row r="525" spans="2:2">
      <c r="B525" s="21"/>
    </row>
    <row r="526" spans="2:2">
      <c r="B526" s="21"/>
    </row>
    <row r="527" spans="2:2">
      <c r="B527" s="21"/>
    </row>
    <row r="528" spans="2:2">
      <c r="B528" s="21"/>
    </row>
    <row r="529" spans="2:2">
      <c r="B529" s="21"/>
    </row>
    <row r="530" spans="2:2">
      <c r="B530" s="21"/>
    </row>
    <row r="531" spans="2:2">
      <c r="B531" s="21"/>
    </row>
    <row r="532" spans="2:2">
      <c r="B532" s="21"/>
    </row>
    <row r="533" spans="2:2">
      <c r="B533" s="21"/>
    </row>
    <row r="534" spans="2:2">
      <c r="B534" s="21"/>
    </row>
    <row r="535" spans="2:2">
      <c r="B535" s="21"/>
    </row>
    <row r="536" spans="2:2">
      <c r="B536" s="21"/>
    </row>
    <row r="537" spans="2:2">
      <c r="B537" s="21"/>
    </row>
    <row r="538" spans="2:2">
      <c r="B538" s="21"/>
    </row>
    <row r="539" spans="2:2">
      <c r="B539" s="21"/>
    </row>
    <row r="540" spans="2:2">
      <c r="B540" s="21"/>
    </row>
    <row r="541" spans="2:2">
      <c r="B541" s="21"/>
    </row>
    <row r="542" spans="2:2">
      <c r="B542" s="21"/>
    </row>
    <row r="544" spans="2:2">
      <c r="B544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/>
  <dimension ref="A1:J34"/>
  <sheetViews>
    <sheetView workbookViewId="0">
      <selection activeCell="F19" sqref="F19"/>
    </sheetView>
  </sheetViews>
  <sheetFormatPr defaultColWidth="11.42578125" defaultRowHeight="15"/>
  <cols>
    <col min="1" max="1" width="12.85546875" customWidth="1"/>
    <col min="2" max="2" width="17.5703125" bestFit="1" customWidth="1"/>
    <col min="3" max="3" width="15.42578125" bestFit="1" customWidth="1"/>
    <col min="4" max="4" width="13" bestFit="1" customWidth="1"/>
    <col min="5" max="5" width="14.7109375" bestFit="1" customWidth="1"/>
    <col min="6" max="6" width="18.28515625" bestFit="1" customWidth="1"/>
    <col min="7" max="7" width="11.85546875" bestFit="1" customWidth="1"/>
    <col min="8" max="8" width="16.140625" bestFit="1" customWidth="1"/>
    <col min="9" max="9" width="19.85546875" bestFit="1" customWidth="1"/>
    <col min="10" max="10" width="15.5703125" bestFit="1" customWidth="1"/>
  </cols>
  <sheetData>
    <row r="1" spans="1:10">
      <c r="A1" t="s">
        <v>348</v>
      </c>
    </row>
    <row r="2" spans="1:10">
      <c r="A2" t="s">
        <v>163</v>
      </c>
    </row>
    <row r="3" spans="1:10">
      <c r="A3" t="s">
        <v>456</v>
      </c>
    </row>
    <row r="5" spans="1:10">
      <c r="C5" s="60" t="s">
        <v>480</v>
      </c>
      <c r="D5" s="60" t="s">
        <v>481</v>
      </c>
      <c r="E5" s="60" t="s">
        <v>482</v>
      </c>
      <c r="F5" s="60" t="s">
        <v>483</v>
      </c>
      <c r="G5" s="60" t="s">
        <v>484</v>
      </c>
      <c r="H5" s="60" t="s">
        <v>485</v>
      </c>
      <c r="I5" s="60" t="s">
        <v>486</v>
      </c>
      <c r="J5" s="60" t="s">
        <v>487</v>
      </c>
    </row>
    <row r="6" spans="1:10">
      <c r="C6" s="61">
        <v>2018</v>
      </c>
      <c r="D6" s="57">
        <v>2018</v>
      </c>
      <c r="E6" s="57">
        <v>2018</v>
      </c>
      <c r="F6" s="57">
        <v>2018</v>
      </c>
      <c r="G6" s="57">
        <v>2018</v>
      </c>
      <c r="H6" s="57">
        <v>2018</v>
      </c>
      <c r="I6" s="57">
        <v>2018</v>
      </c>
      <c r="J6" s="57">
        <v>2018</v>
      </c>
    </row>
    <row r="7" spans="1:10">
      <c r="A7" t="s">
        <v>15</v>
      </c>
      <c r="B7" s="59" t="s">
        <v>480</v>
      </c>
      <c r="C7" s="62">
        <v>0</v>
      </c>
      <c r="D7" s="56">
        <v>0</v>
      </c>
      <c r="E7" s="56">
        <v>0</v>
      </c>
      <c r="F7" s="56">
        <v>0</v>
      </c>
      <c r="G7" s="56">
        <v>5.2999999999999999E-2</v>
      </c>
      <c r="H7" s="56">
        <v>0</v>
      </c>
      <c r="I7" s="56">
        <v>0</v>
      </c>
      <c r="J7" s="56">
        <v>0</v>
      </c>
    </row>
    <row r="8" spans="1:10">
      <c r="A8" t="s">
        <v>15</v>
      </c>
      <c r="B8" s="59" t="s">
        <v>481</v>
      </c>
      <c r="C8" s="62">
        <v>0</v>
      </c>
      <c r="D8" s="56">
        <v>0</v>
      </c>
      <c r="E8" s="56">
        <v>0</v>
      </c>
      <c r="F8" s="56">
        <v>0</v>
      </c>
      <c r="G8" s="56">
        <v>0</v>
      </c>
      <c r="H8" s="56">
        <v>0</v>
      </c>
      <c r="I8" s="56">
        <v>0</v>
      </c>
      <c r="J8" s="56">
        <v>5.2999999999999999E-2</v>
      </c>
    </row>
    <row r="9" spans="1:10">
      <c r="A9" t="s">
        <v>15</v>
      </c>
      <c r="B9" s="59" t="s">
        <v>482</v>
      </c>
      <c r="C9" s="62">
        <v>0</v>
      </c>
      <c r="D9" s="56">
        <v>0</v>
      </c>
      <c r="E9" s="56">
        <v>0</v>
      </c>
      <c r="F9" s="56">
        <v>0</v>
      </c>
      <c r="G9" s="56">
        <v>5.2999999999999999E-2</v>
      </c>
      <c r="H9" s="56">
        <v>0</v>
      </c>
      <c r="I9" s="56">
        <v>0</v>
      </c>
      <c r="J9" s="56">
        <v>0</v>
      </c>
    </row>
    <row r="10" spans="1:10">
      <c r="A10" t="s">
        <v>15</v>
      </c>
      <c r="B10" s="59" t="s">
        <v>483</v>
      </c>
      <c r="C10" s="62">
        <v>0</v>
      </c>
      <c r="D10" s="56">
        <v>0</v>
      </c>
      <c r="E10" s="56">
        <v>0</v>
      </c>
      <c r="F10" s="56">
        <v>0</v>
      </c>
      <c r="G10" s="63">
        <v>0.106</v>
      </c>
      <c r="H10" s="56">
        <v>0.20699999999999999</v>
      </c>
      <c r="I10" s="56">
        <v>0</v>
      </c>
      <c r="J10" s="56">
        <v>0</v>
      </c>
    </row>
    <row r="11" spans="1:10">
      <c r="A11" t="s">
        <v>15</v>
      </c>
      <c r="B11" s="59" t="s">
        <v>484</v>
      </c>
      <c r="C11" s="56">
        <v>5.2999999999999999E-2</v>
      </c>
      <c r="D11" s="56">
        <v>0</v>
      </c>
      <c r="E11" s="56">
        <v>5.2999999999999999E-2</v>
      </c>
      <c r="F11" s="56">
        <v>5.2999999999999999E-2</v>
      </c>
      <c r="G11" s="56">
        <v>0</v>
      </c>
      <c r="H11" s="56">
        <v>0</v>
      </c>
      <c r="I11" s="56">
        <v>0</v>
      </c>
      <c r="J11" s="56">
        <v>0</v>
      </c>
    </row>
    <row r="12" spans="1:10">
      <c r="A12" t="s">
        <v>15</v>
      </c>
      <c r="B12" s="59" t="s">
        <v>485</v>
      </c>
      <c r="C12" s="62">
        <v>0</v>
      </c>
      <c r="D12" s="56">
        <v>0</v>
      </c>
      <c r="E12" s="56">
        <v>0</v>
      </c>
      <c r="F12" s="56">
        <v>7.0999999999999994E-2</v>
      </c>
      <c r="G12" s="56">
        <v>0</v>
      </c>
      <c r="H12" s="56">
        <v>0</v>
      </c>
      <c r="I12" s="56">
        <v>7.0999999999999994E-2</v>
      </c>
      <c r="J12" s="56">
        <v>8.3000000000000004E-2</v>
      </c>
    </row>
    <row r="13" spans="1:10">
      <c r="A13" t="s">
        <v>15</v>
      </c>
      <c r="B13" s="59" t="s">
        <v>486</v>
      </c>
      <c r="C13" s="62">
        <v>0</v>
      </c>
      <c r="D13" s="56">
        <v>0</v>
      </c>
      <c r="E13" s="56">
        <v>0</v>
      </c>
      <c r="F13" s="56">
        <v>0</v>
      </c>
      <c r="G13" s="56">
        <v>0</v>
      </c>
      <c r="H13" s="56">
        <v>7.0999999999999994E-2</v>
      </c>
      <c r="I13" s="56">
        <v>0</v>
      </c>
      <c r="J13" s="56">
        <v>0.154</v>
      </c>
    </row>
    <row r="14" spans="1:10">
      <c r="A14" t="s">
        <v>15</v>
      </c>
      <c r="B14" s="59" t="s">
        <v>487</v>
      </c>
      <c r="C14" s="62">
        <v>0</v>
      </c>
      <c r="D14" s="56">
        <v>5.2999999999999999E-2</v>
      </c>
      <c r="E14" s="56">
        <v>0</v>
      </c>
      <c r="F14" s="56">
        <v>0</v>
      </c>
      <c r="G14" s="56">
        <v>0</v>
      </c>
      <c r="H14" s="56">
        <v>8.3000000000000004E-2</v>
      </c>
      <c r="I14" s="56">
        <v>0.154</v>
      </c>
      <c r="J14" s="56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autoFilter ref="B5:I34" xr:uid="{00000000-0009-0000-0000-00000A000000}"/>
  <conditionalFormatting sqref="AG6:AH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/>
  <dimension ref="A1:J41"/>
  <sheetViews>
    <sheetView workbookViewId="0">
      <selection activeCell="E21" sqref="E21"/>
    </sheetView>
  </sheetViews>
  <sheetFormatPr defaultColWidth="11.42578125" defaultRowHeight="15"/>
  <cols>
    <col min="1" max="1" width="7.85546875" customWidth="1"/>
    <col min="2" max="2" width="17.5703125" bestFit="1" customWidth="1"/>
    <col min="3" max="3" width="13.140625" bestFit="1" customWidth="1"/>
    <col min="4" max="4" width="10.7109375" bestFit="1" customWidth="1"/>
    <col min="5" max="5" width="12.42578125" bestFit="1" customWidth="1"/>
    <col min="6" max="6" width="16" bestFit="1" customWidth="1"/>
    <col min="7" max="7" width="9.5703125" bestFit="1" customWidth="1"/>
    <col min="8" max="8" width="13.85546875" bestFit="1" customWidth="1"/>
    <col min="9" max="9" width="17.5703125" bestFit="1" customWidth="1"/>
    <col min="10" max="10" width="15.5703125" bestFit="1" customWidth="1"/>
  </cols>
  <sheetData>
    <row r="1" spans="1:10">
      <c r="A1" t="s">
        <v>350</v>
      </c>
    </row>
    <row r="2" spans="1:10">
      <c r="A2" t="s">
        <v>351</v>
      </c>
    </row>
    <row r="3" spans="1:10">
      <c r="A3" t="s">
        <v>352</v>
      </c>
    </row>
    <row r="5" spans="1:10">
      <c r="C5" s="60" t="s">
        <v>480</v>
      </c>
      <c r="D5" s="60" t="s">
        <v>481</v>
      </c>
      <c r="E5" s="60" t="s">
        <v>482</v>
      </c>
      <c r="F5" s="60" t="s">
        <v>483</v>
      </c>
      <c r="G5" s="60" t="s">
        <v>484</v>
      </c>
      <c r="H5" s="60" t="s">
        <v>485</v>
      </c>
      <c r="I5" s="60" t="s">
        <v>486</v>
      </c>
      <c r="J5" s="60" t="s">
        <v>487</v>
      </c>
    </row>
    <row r="6" spans="1:10">
      <c r="A6" t="s">
        <v>15</v>
      </c>
      <c r="B6" s="59" t="s">
        <v>480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15</v>
      </c>
      <c r="B7" s="59" t="s">
        <v>481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15</v>
      </c>
      <c r="B8" s="59" t="s">
        <v>482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15</v>
      </c>
      <c r="B9" s="59" t="s">
        <v>483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15</v>
      </c>
      <c r="B10" s="59" t="s">
        <v>484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15</v>
      </c>
      <c r="B11" s="59" t="s">
        <v>485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15</v>
      </c>
      <c r="B12" s="59" t="s">
        <v>486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15</v>
      </c>
      <c r="B13" s="59" t="s">
        <v>487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/>
  <dimension ref="A1:K41"/>
  <sheetViews>
    <sheetView workbookViewId="0">
      <selection activeCell="J18" sqref="J18"/>
    </sheetView>
  </sheetViews>
  <sheetFormatPr defaultColWidth="11.42578125" defaultRowHeight="15"/>
  <cols>
    <col min="1" max="1" width="5" bestFit="1" customWidth="1"/>
    <col min="2" max="2" width="9" customWidth="1"/>
    <col min="3" max="3" width="17.5703125" bestFit="1" customWidth="1"/>
    <col min="4" max="4" width="13.140625" bestFit="1" customWidth="1"/>
    <col min="5" max="5" width="10.7109375" bestFit="1" customWidth="1"/>
    <col min="6" max="6" width="12.42578125" bestFit="1" customWidth="1"/>
    <col min="7" max="7" width="16" bestFit="1" customWidth="1"/>
    <col min="8" max="8" width="9.5703125" bestFit="1" customWidth="1"/>
    <col min="9" max="9" width="13.85546875" bestFit="1" customWidth="1"/>
    <col min="10" max="10" width="17.5703125" bestFit="1" customWidth="1"/>
    <col min="11" max="11" width="15.5703125" bestFit="1" customWidth="1"/>
  </cols>
  <sheetData>
    <row r="1" spans="1:11">
      <c r="A1" t="s">
        <v>355</v>
      </c>
    </row>
    <row r="2" spans="1:11">
      <c r="A2" t="s">
        <v>354</v>
      </c>
    </row>
    <row r="3" spans="1:11">
      <c r="A3" t="s">
        <v>353</v>
      </c>
    </row>
    <row r="5" spans="1:11">
      <c r="D5" s="59" t="s">
        <v>480</v>
      </c>
      <c r="E5" s="59" t="s">
        <v>481</v>
      </c>
      <c r="F5" s="59" t="s">
        <v>482</v>
      </c>
      <c r="G5" s="59" t="s">
        <v>483</v>
      </c>
      <c r="H5" s="59" t="s">
        <v>484</v>
      </c>
      <c r="I5" s="59" t="s">
        <v>485</v>
      </c>
      <c r="J5" s="59" t="s">
        <v>486</v>
      </c>
      <c r="K5" s="59" t="s">
        <v>487</v>
      </c>
    </row>
    <row r="6" spans="1:11">
      <c r="A6">
        <v>2018</v>
      </c>
      <c r="B6" t="s">
        <v>15</v>
      </c>
      <c r="C6" s="59" t="s">
        <v>480</v>
      </c>
      <c r="D6">
        <v>0.1</v>
      </c>
      <c r="E6">
        <v>0.1</v>
      </c>
      <c r="F6">
        <v>0.1</v>
      </c>
      <c r="G6">
        <v>0.1</v>
      </c>
      <c r="H6">
        <v>0.1</v>
      </c>
      <c r="I6">
        <v>0.1</v>
      </c>
      <c r="J6">
        <v>0.1</v>
      </c>
      <c r="K6">
        <v>0.1</v>
      </c>
    </row>
    <row r="7" spans="1:11">
      <c r="A7">
        <v>2018</v>
      </c>
      <c r="B7" t="s">
        <v>15</v>
      </c>
      <c r="C7" s="59" t="s">
        <v>481</v>
      </c>
      <c r="D7">
        <v>0.1</v>
      </c>
      <c r="E7">
        <v>0.1</v>
      </c>
      <c r="F7">
        <v>0.1</v>
      </c>
      <c r="G7">
        <v>0.1</v>
      </c>
      <c r="H7">
        <v>0.1</v>
      </c>
      <c r="I7">
        <v>0.1</v>
      </c>
      <c r="J7">
        <v>0.1</v>
      </c>
      <c r="K7">
        <v>0.1</v>
      </c>
    </row>
    <row r="8" spans="1:11">
      <c r="A8">
        <v>2018</v>
      </c>
      <c r="B8" t="s">
        <v>15</v>
      </c>
      <c r="C8" s="59" t="s">
        <v>482</v>
      </c>
      <c r="D8">
        <v>0.1</v>
      </c>
      <c r="E8">
        <v>0.1</v>
      </c>
      <c r="F8">
        <v>0.1</v>
      </c>
      <c r="G8">
        <v>0.1</v>
      </c>
      <c r="H8">
        <v>0.1</v>
      </c>
      <c r="I8">
        <v>0.1</v>
      </c>
      <c r="J8">
        <v>0.1</v>
      </c>
      <c r="K8">
        <v>0.1</v>
      </c>
    </row>
    <row r="9" spans="1:11">
      <c r="A9">
        <v>2018</v>
      </c>
      <c r="B9" t="s">
        <v>15</v>
      </c>
      <c r="C9" s="59" t="s">
        <v>483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</row>
    <row r="10" spans="1:11">
      <c r="A10">
        <v>2018</v>
      </c>
      <c r="B10" t="s">
        <v>15</v>
      </c>
      <c r="C10" s="59" t="s">
        <v>484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</row>
    <row r="11" spans="1:11">
      <c r="A11">
        <v>2018</v>
      </c>
      <c r="B11" t="s">
        <v>15</v>
      </c>
      <c r="C11" s="59" t="s">
        <v>485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</row>
    <row r="12" spans="1:11">
      <c r="A12">
        <v>2018</v>
      </c>
      <c r="B12" t="s">
        <v>15</v>
      </c>
      <c r="C12" s="59" t="s">
        <v>486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</row>
    <row r="13" spans="1:11">
      <c r="A13">
        <v>2018</v>
      </c>
      <c r="B13" t="s">
        <v>15</v>
      </c>
      <c r="C13" s="59" t="s">
        <v>487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D5" sqref="D5"/>
    </sheetView>
  </sheetViews>
  <sheetFormatPr defaultColWidth="11.42578125" defaultRowHeight="15"/>
  <cols>
    <col min="1" max="1" width="24.42578125" customWidth="1"/>
  </cols>
  <sheetData>
    <row r="1" spans="1:11">
      <c r="A1" t="s">
        <v>356</v>
      </c>
    </row>
    <row r="2" spans="1:11">
      <c r="A2" t="s">
        <v>57</v>
      </c>
    </row>
    <row r="3" spans="1:11">
      <c r="A3" t="s">
        <v>359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11</v>
      </c>
      <c r="B5" t="s">
        <v>16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workbookViewId="0">
      <selection activeCell="C5" sqref="C5"/>
    </sheetView>
  </sheetViews>
  <sheetFormatPr defaultColWidth="11.42578125" defaultRowHeight="15"/>
  <cols>
    <col min="1" max="1" width="25.42578125" customWidth="1"/>
    <col min="4" max="4" width="11.42578125" customWidth="1"/>
    <col min="9" max="10" width="11.42578125" customWidth="1"/>
  </cols>
  <sheetData>
    <row r="1" spans="1:14">
      <c r="A1" t="s">
        <v>357</v>
      </c>
    </row>
    <row r="2" spans="1:14">
      <c r="A2" t="s">
        <v>358</v>
      </c>
    </row>
    <row r="3" spans="1:14">
      <c r="A3" t="s">
        <v>359</v>
      </c>
    </row>
    <row r="4" spans="1:14">
      <c r="L4" s="70"/>
      <c r="M4" s="70"/>
      <c r="N4" s="70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D5" sqref="D5"/>
    </sheetView>
  </sheetViews>
  <sheetFormatPr defaultColWidth="11.42578125" defaultRowHeight="15"/>
  <cols>
    <col min="1" max="2" width="25.42578125" customWidth="1"/>
    <col min="5" max="5" width="11.42578125" customWidth="1"/>
    <col min="10" max="11" width="11.42578125" customWidth="1"/>
  </cols>
  <sheetData>
    <row r="1" spans="1:10">
      <c r="A1" t="s">
        <v>360</v>
      </c>
    </row>
    <row r="2" spans="1:10">
      <c r="A2" t="s">
        <v>319</v>
      </c>
    </row>
    <row r="3" spans="1:10">
      <c r="A3" t="s">
        <v>359</v>
      </c>
    </row>
    <row r="5" spans="1:10">
      <c r="A5" t="s">
        <v>16</v>
      </c>
      <c r="B5" t="s">
        <v>306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15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265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300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301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302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303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304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415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/>
  <dimension ref="A1:J41"/>
  <sheetViews>
    <sheetView workbookViewId="0">
      <selection activeCell="D22" sqref="D22"/>
    </sheetView>
  </sheetViews>
  <sheetFormatPr defaultColWidth="11.42578125" defaultRowHeight="15"/>
  <cols>
    <col min="1" max="1" width="25.42578125" customWidth="1"/>
    <col min="4" max="4" width="11.42578125" customWidth="1"/>
    <col min="9" max="10" width="11.42578125" customWidth="1"/>
  </cols>
  <sheetData>
    <row r="1" spans="1:10">
      <c r="A1" t="s">
        <v>361</v>
      </c>
    </row>
    <row r="2" spans="1:10">
      <c r="A2" t="s">
        <v>58</v>
      </c>
    </row>
    <row r="3" spans="1:10">
      <c r="A3" t="s">
        <v>359</v>
      </c>
    </row>
    <row r="5" spans="1:10">
      <c r="A5" t="s">
        <v>11</v>
      </c>
      <c r="B5" t="s">
        <v>16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59" t="s">
        <v>480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59" t="s">
        <v>481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59" t="s">
        <v>482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59" t="s">
        <v>483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59" t="s">
        <v>484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59" t="s">
        <v>485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59" t="s">
        <v>486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59" t="s">
        <v>487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84"/>
  <sheetViews>
    <sheetView zoomScale="90" zoomScaleNormal="90" zoomScalePageLayoutView="90" workbookViewId="0">
      <selection activeCell="E9" sqref="E9"/>
    </sheetView>
  </sheetViews>
  <sheetFormatPr defaultColWidth="11.42578125" defaultRowHeight="15"/>
  <cols>
    <col min="2" max="2" width="23.42578125" customWidth="1"/>
  </cols>
  <sheetData>
    <row r="1" spans="1:12">
      <c r="A1" t="s">
        <v>365</v>
      </c>
    </row>
    <row r="2" spans="1:12">
      <c r="A2" t="s">
        <v>4</v>
      </c>
    </row>
    <row r="3" spans="1:12">
      <c r="A3" t="s">
        <v>364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458</v>
      </c>
      <c r="B6" t="s">
        <v>95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458</v>
      </c>
      <c r="B7" t="s">
        <v>96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458</v>
      </c>
      <c r="B8" t="s">
        <v>97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458</v>
      </c>
      <c r="B9" s="2" t="s">
        <v>121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458</v>
      </c>
      <c r="B10" s="2" t="s">
        <v>117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458</v>
      </c>
      <c r="B11" s="2" t="s">
        <v>117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458</v>
      </c>
      <c r="B12" s="2" t="s">
        <v>118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458</v>
      </c>
      <c r="B13" s="2" t="s">
        <v>118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458</v>
      </c>
      <c r="B14" s="2" t="s">
        <v>50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458</v>
      </c>
      <c r="B15" t="s">
        <v>100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458</v>
      </c>
      <c r="B16" t="s">
        <v>101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458</v>
      </c>
      <c r="B17" t="s">
        <v>103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458</v>
      </c>
      <c r="B18" t="s">
        <v>148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458</v>
      </c>
      <c r="B19" t="s">
        <v>106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458</v>
      </c>
      <c r="B20" t="s">
        <v>107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458</v>
      </c>
      <c r="B21" t="s">
        <v>109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458</v>
      </c>
      <c r="B22" t="s">
        <v>147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458</v>
      </c>
      <c r="B23" t="s">
        <v>94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458</v>
      </c>
      <c r="B24" t="s">
        <v>93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458</v>
      </c>
      <c r="B25" t="s">
        <v>13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458</v>
      </c>
      <c r="B26" t="s">
        <v>49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458</v>
      </c>
      <c r="B27" s="2" t="s">
        <v>53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458</v>
      </c>
      <c r="B28" s="2" t="s">
        <v>119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458</v>
      </c>
      <c r="B29" s="2" t="s">
        <v>54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458</v>
      </c>
      <c r="B30" s="2" t="s">
        <v>54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458</v>
      </c>
      <c r="B31" s="2" t="s">
        <v>115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458</v>
      </c>
      <c r="B32" s="2" t="s">
        <v>115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458</v>
      </c>
      <c r="B33" t="s">
        <v>179</v>
      </c>
      <c r="C33" t="s">
        <v>0</v>
      </c>
      <c r="D33">
        <v>1</v>
      </c>
      <c r="E33">
        <v>-0.7</v>
      </c>
      <c r="F33" s="10">
        <v>-0.7</v>
      </c>
      <c r="G33" s="10">
        <v>-0.7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458</v>
      </c>
      <c r="B34" t="s">
        <v>180</v>
      </c>
      <c r="C34" t="s">
        <v>0</v>
      </c>
      <c r="D34">
        <v>1</v>
      </c>
      <c r="E34">
        <v>-0.7</v>
      </c>
      <c r="F34" s="10">
        <v>-0.7</v>
      </c>
      <c r="G34" s="10">
        <v>-0.7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458</v>
      </c>
      <c r="B35" t="s">
        <v>205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458</v>
      </c>
      <c r="B36" t="s">
        <v>192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458</v>
      </c>
      <c r="B37" t="s">
        <v>188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458</v>
      </c>
      <c r="B38" t="s">
        <v>189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458</v>
      </c>
      <c r="B39" t="s">
        <v>190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458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458</v>
      </c>
      <c r="B41" t="s">
        <v>206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458</v>
      </c>
      <c r="B42" t="s">
        <v>207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458</v>
      </c>
      <c r="B43" t="s">
        <v>197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458</v>
      </c>
      <c r="B44" t="s">
        <v>200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458</v>
      </c>
      <c r="B45" t="s">
        <v>201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458</v>
      </c>
      <c r="B46" t="s">
        <v>202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458</v>
      </c>
      <c r="B47" t="s">
        <v>230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458</v>
      </c>
      <c r="B48" t="s">
        <v>208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458</v>
      </c>
      <c r="B49" t="s">
        <v>204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458</v>
      </c>
      <c r="B50" t="s">
        <v>211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458</v>
      </c>
      <c r="B51" t="s">
        <v>210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458</v>
      </c>
      <c r="B52" t="s">
        <v>212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458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458</v>
      </c>
      <c r="B54" t="s">
        <v>224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458</v>
      </c>
      <c r="B55" t="s">
        <v>224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458</v>
      </c>
      <c r="B56" t="s">
        <v>224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458</v>
      </c>
      <c r="B57" t="s">
        <v>225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458</v>
      </c>
      <c r="B58" t="s">
        <v>229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458</v>
      </c>
      <c r="B59" t="s">
        <v>235</v>
      </c>
      <c r="C59" t="s">
        <v>0</v>
      </c>
      <c r="D59">
        <v>1</v>
      </c>
      <c r="E59">
        <v>0.12</v>
      </c>
      <c r="F59" s="10">
        <v>9.3333333333333338E-2</v>
      </c>
      <c r="G59" s="10">
        <v>8.4444444444444447E-2</v>
      </c>
      <c r="H59" s="10">
        <v>8.2222222222222224E-2</v>
      </c>
      <c r="I59" s="10">
        <v>8.1111111111111106E-2</v>
      </c>
      <c r="J59" s="10">
        <v>8.0555555555555547E-2</v>
      </c>
      <c r="K59" s="10">
        <v>8.0277777777777781E-2</v>
      </c>
      <c r="L59">
        <v>0.08</v>
      </c>
    </row>
    <row r="60" spans="1:12">
      <c r="A60" s="11" t="s">
        <v>458</v>
      </c>
      <c r="B60" t="s">
        <v>235</v>
      </c>
      <c r="C60" t="s">
        <v>0</v>
      </c>
      <c r="D60">
        <v>2</v>
      </c>
      <c r="E60">
        <v>0.12</v>
      </c>
      <c r="F60" s="10">
        <v>9.3333333333333338E-2</v>
      </c>
      <c r="G60" s="10">
        <v>8.4444444444444447E-2</v>
      </c>
      <c r="H60" s="10">
        <v>8.2222222222222224E-2</v>
      </c>
      <c r="I60" s="10">
        <v>8.1111111111111106E-2</v>
      </c>
      <c r="J60" s="10">
        <v>8.0555555555555547E-2</v>
      </c>
      <c r="K60" s="10">
        <v>8.0277777777777781E-2</v>
      </c>
      <c r="L60">
        <v>0.08</v>
      </c>
    </row>
    <row r="61" spans="1:12">
      <c r="A61" s="11" t="s">
        <v>458</v>
      </c>
      <c r="B61" t="s">
        <v>235</v>
      </c>
      <c r="C61" t="s">
        <v>0</v>
      </c>
      <c r="D61">
        <v>3</v>
      </c>
      <c r="E61">
        <v>0.12</v>
      </c>
      <c r="F61" s="10">
        <v>9.3333333333333338E-2</v>
      </c>
      <c r="G61" s="10">
        <v>8.4444444444444447E-2</v>
      </c>
      <c r="H61" s="10">
        <v>8.2222222222222224E-2</v>
      </c>
      <c r="I61" s="10">
        <v>8.1111111111111106E-2</v>
      </c>
      <c r="J61" s="10">
        <v>8.0555555555555547E-2</v>
      </c>
      <c r="K61" s="10">
        <v>8.0277777777777781E-2</v>
      </c>
      <c r="L61">
        <v>0.08</v>
      </c>
    </row>
    <row r="62" spans="1:12">
      <c r="A62" s="11" t="s">
        <v>458</v>
      </c>
      <c r="B62" t="s">
        <v>235</v>
      </c>
      <c r="C62" t="s">
        <v>0</v>
      </c>
      <c r="D62">
        <v>4</v>
      </c>
      <c r="E62">
        <v>0.12</v>
      </c>
      <c r="F62" s="10">
        <v>9.3333333333333338E-2</v>
      </c>
      <c r="G62" s="10">
        <v>8.4444444444444447E-2</v>
      </c>
      <c r="H62" s="10">
        <v>8.2222222222222224E-2</v>
      </c>
      <c r="I62" s="10">
        <v>8.1111111111111106E-2</v>
      </c>
      <c r="J62" s="10">
        <v>8.0555555555555547E-2</v>
      </c>
      <c r="K62" s="10">
        <v>8.0277777777777781E-2</v>
      </c>
      <c r="L62">
        <v>0.08</v>
      </c>
    </row>
    <row r="63" spans="1:12">
      <c r="A63" s="11" t="s">
        <v>458</v>
      </c>
      <c r="B63" t="s">
        <v>236</v>
      </c>
      <c r="C63" t="s">
        <v>0</v>
      </c>
      <c r="D63">
        <v>1</v>
      </c>
      <c r="E63">
        <v>0.12</v>
      </c>
      <c r="F63" s="10">
        <v>9.3333333333333338E-2</v>
      </c>
      <c r="G63" s="10">
        <v>8.4444444444444447E-2</v>
      </c>
      <c r="H63" s="10">
        <v>8.2222222222222224E-2</v>
      </c>
      <c r="I63" s="10">
        <v>8.1111111111111106E-2</v>
      </c>
      <c r="J63" s="10">
        <v>8.0555555555555547E-2</v>
      </c>
      <c r="K63" s="10">
        <v>8.0277777777777781E-2</v>
      </c>
      <c r="L63">
        <v>0.08</v>
      </c>
    </row>
    <row r="64" spans="1:12">
      <c r="A64" s="11" t="s">
        <v>458</v>
      </c>
      <c r="B64" t="s">
        <v>248</v>
      </c>
      <c r="C64" t="s">
        <v>0</v>
      </c>
      <c r="D64">
        <v>1</v>
      </c>
      <c r="E64">
        <v>-0.7</v>
      </c>
      <c r="F64" s="10">
        <v>-0.7</v>
      </c>
      <c r="G64" s="10">
        <v>-0.7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458</v>
      </c>
      <c r="B65" t="s">
        <v>242</v>
      </c>
      <c r="C65" t="s">
        <v>0</v>
      </c>
      <c r="D65">
        <v>1</v>
      </c>
      <c r="E65">
        <v>0.12</v>
      </c>
      <c r="F65" s="10">
        <v>9.3333333333333338E-2</v>
      </c>
      <c r="G65" s="10">
        <v>8.4444444444444447E-2</v>
      </c>
      <c r="H65" s="10">
        <v>8.2222222222222224E-2</v>
      </c>
      <c r="I65" s="10">
        <v>8.1111111111111106E-2</v>
      </c>
      <c r="J65" s="10">
        <v>8.0555555555555547E-2</v>
      </c>
      <c r="K65" s="10">
        <v>8.0277777777777781E-2</v>
      </c>
      <c r="L65">
        <v>0.08</v>
      </c>
    </row>
    <row r="66" spans="1:12">
      <c r="A66" s="11" t="s">
        <v>458</v>
      </c>
      <c r="B66" t="s">
        <v>243</v>
      </c>
      <c r="C66" t="s">
        <v>0</v>
      </c>
      <c r="D66">
        <v>1</v>
      </c>
      <c r="E66">
        <v>0.12</v>
      </c>
      <c r="F66" s="10">
        <v>9.3333333333333338E-2</v>
      </c>
      <c r="G66" s="10">
        <v>8.4444444444444447E-2</v>
      </c>
      <c r="H66" s="10">
        <v>8.2222222222222224E-2</v>
      </c>
      <c r="I66" s="10">
        <v>8.1111111111111106E-2</v>
      </c>
      <c r="J66" s="10">
        <v>8.0555555555555547E-2</v>
      </c>
      <c r="K66" s="10">
        <v>8.0277777777777781E-2</v>
      </c>
      <c r="L66">
        <v>0.08</v>
      </c>
    </row>
    <row r="67" spans="1:12">
      <c r="A67" s="11" t="s">
        <v>458</v>
      </c>
      <c r="B67" t="s">
        <v>249</v>
      </c>
      <c r="C67" t="s">
        <v>0</v>
      </c>
      <c r="D67">
        <v>1</v>
      </c>
      <c r="E67">
        <v>-0.7</v>
      </c>
      <c r="F67" s="10">
        <v>-0.7</v>
      </c>
      <c r="G67" s="10">
        <v>-0.7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458</v>
      </c>
      <c r="B68" t="s">
        <v>240</v>
      </c>
      <c r="C68" t="s">
        <v>0</v>
      </c>
      <c r="D68">
        <v>1</v>
      </c>
      <c r="E68">
        <v>0.12</v>
      </c>
      <c r="F68" s="10">
        <v>9.3333333333333338E-2</v>
      </c>
      <c r="G68" s="10">
        <v>8.4444444444444447E-2</v>
      </c>
      <c r="H68" s="10">
        <v>8.2222222222222224E-2</v>
      </c>
      <c r="I68" s="10">
        <v>8.1111111111111106E-2</v>
      </c>
      <c r="J68" s="10">
        <v>8.0555555555555547E-2</v>
      </c>
      <c r="K68" s="10">
        <v>8.0277777777777781E-2</v>
      </c>
      <c r="L68">
        <v>0.08</v>
      </c>
    </row>
    <row r="69" spans="1:12">
      <c r="A69" s="11" t="s">
        <v>458</v>
      </c>
      <c r="B69" t="s">
        <v>241</v>
      </c>
      <c r="C69" t="s">
        <v>0</v>
      </c>
      <c r="D69">
        <v>1</v>
      </c>
      <c r="E69">
        <v>0.12</v>
      </c>
      <c r="F69" s="10">
        <v>9.3333333333333338E-2</v>
      </c>
      <c r="G69" s="10">
        <v>8.4444444444444447E-2</v>
      </c>
      <c r="H69" s="10">
        <v>8.2222222222222224E-2</v>
      </c>
      <c r="I69" s="10">
        <v>8.1111111111111106E-2</v>
      </c>
      <c r="J69" s="10">
        <v>8.0555555555555547E-2</v>
      </c>
      <c r="K69" s="10">
        <v>8.0277777777777781E-2</v>
      </c>
      <c r="L69">
        <v>0.08</v>
      </c>
    </row>
    <row r="70" spans="1:12">
      <c r="A70" s="11" t="s">
        <v>458</v>
      </c>
      <c r="B70" t="s">
        <v>244</v>
      </c>
      <c r="C70" t="s">
        <v>0</v>
      </c>
      <c r="D70">
        <v>1</v>
      </c>
      <c r="E70">
        <v>0.12</v>
      </c>
      <c r="F70" s="10">
        <v>9.3333333333333338E-2</v>
      </c>
      <c r="G70" s="10">
        <v>8.4444444444444447E-2</v>
      </c>
      <c r="H70" s="10">
        <v>8.2222222222222224E-2</v>
      </c>
      <c r="I70" s="10">
        <v>8.1111111111111106E-2</v>
      </c>
      <c r="J70" s="10">
        <v>8.0555555555555547E-2</v>
      </c>
      <c r="K70" s="10">
        <v>8.0277777777777781E-2</v>
      </c>
      <c r="L70">
        <v>0.08</v>
      </c>
    </row>
    <row r="71" spans="1:12">
      <c r="A71" s="11" t="s">
        <v>458</v>
      </c>
      <c r="B71" t="s">
        <v>245</v>
      </c>
      <c r="C71" t="s">
        <v>0</v>
      </c>
      <c r="D71">
        <v>1</v>
      </c>
      <c r="E71">
        <v>0.12</v>
      </c>
      <c r="F71" s="10">
        <v>9.3333333333333338E-2</v>
      </c>
      <c r="G71" s="10">
        <v>8.4444444444444447E-2</v>
      </c>
      <c r="H71" s="10">
        <v>8.2222222222222224E-2</v>
      </c>
      <c r="I71" s="10">
        <v>8.1111111111111106E-2</v>
      </c>
      <c r="J71" s="10">
        <v>8.0555555555555547E-2</v>
      </c>
      <c r="K71" s="10">
        <v>8.0277777777777781E-2</v>
      </c>
      <c r="L71">
        <v>0.08</v>
      </c>
    </row>
    <row r="72" spans="1:12">
      <c r="A72" s="11" t="s">
        <v>458</v>
      </c>
      <c r="B72" t="s">
        <v>237</v>
      </c>
      <c r="C72" t="s">
        <v>0</v>
      </c>
      <c r="D72">
        <v>1</v>
      </c>
      <c r="E72">
        <v>0.12</v>
      </c>
      <c r="F72" s="10">
        <v>9.3333333333333338E-2</v>
      </c>
      <c r="G72" s="10">
        <v>8.4444444444444447E-2</v>
      </c>
      <c r="H72" s="10">
        <v>8.2222222222222224E-2</v>
      </c>
      <c r="I72" s="10">
        <v>8.1111111111111106E-2</v>
      </c>
      <c r="J72" s="10">
        <v>8.0555555555555547E-2</v>
      </c>
      <c r="K72" s="10">
        <v>8.0277777777777781E-2</v>
      </c>
      <c r="L72">
        <v>0.08</v>
      </c>
    </row>
    <row r="73" spans="1:12">
      <c r="A73" s="11" t="s">
        <v>458</v>
      </c>
      <c r="B73" t="s">
        <v>238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458</v>
      </c>
      <c r="B74" t="s">
        <v>239</v>
      </c>
      <c r="C74" t="s">
        <v>0</v>
      </c>
      <c r="D74">
        <v>1</v>
      </c>
      <c r="E74">
        <v>0.12</v>
      </c>
      <c r="F74" s="10">
        <v>9.3333333333333338E-2</v>
      </c>
      <c r="G74" s="10">
        <v>8.4444444444444447E-2</v>
      </c>
      <c r="H74" s="10">
        <v>8.2222222222222224E-2</v>
      </c>
      <c r="I74" s="10">
        <v>8.1111111111111106E-2</v>
      </c>
      <c r="J74" s="10">
        <v>8.0555555555555547E-2</v>
      </c>
      <c r="K74" s="10">
        <v>8.0277777777777781E-2</v>
      </c>
      <c r="L74">
        <v>0.08</v>
      </c>
    </row>
    <row r="75" spans="1:12">
      <c r="A75" s="11" t="s">
        <v>458</v>
      </c>
      <c r="B75" t="s">
        <v>246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458</v>
      </c>
      <c r="B76" t="s">
        <v>247</v>
      </c>
      <c r="C76" t="s">
        <v>0</v>
      </c>
      <c r="D76">
        <v>1</v>
      </c>
      <c r="E76">
        <v>0.12</v>
      </c>
      <c r="F76" s="10">
        <v>9.3333333333333338E-2</v>
      </c>
      <c r="G76" s="10">
        <v>8.4444444444444447E-2</v>
      </c>
      <c r="H76" s="10">
        <v>8.2222222222222224E-2</v>
      </c>
      <c r="I76" s="10">
        <v>8.1111111111111106E-2</v>
      </c>
      <c r="J76" s="10">
        <v>8.0555555555555547E-2</v>
      </c>
      <c r="K76" s="10">
        <v>8.0277777777777781E-2</v>
      </c>
      <c r="L76">
        <v>0.08</v>
      </c>
    </row>
    <row r="77" spans="1:12">
      <c r="A77" s="11" t="s">
        <v>486</v>
      </c>
      <c r="B77" t="s">
        <v>95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486</v>
      </c>
      <c r="B78" t="s">
        <v>96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486</v>
      </c>
      <c r="B79" t="s">
        <v>97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486</v>
      </c>
      <c r="B80" s="2" t="s">
        <v>121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486</v>
      </c>
      <c r="B81" s="2" t="s">
        <v>117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</row>
    <row r="82" spans="1:12">
      <c r="A82" s="11" t="s">
        <v>486</v>
      </c>
      <c r="B82" s="2" t="s">
        <v>117</v>
      </c>
      <c r="C82" t="s">
        <v>0</v>
      </c>
      <c r="D82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 s="11" t="s">
        <v>486</v>
      </c>
      <c r="B83" s="2" t="s">
        <v>118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s="11" t="s">
        <v>486</v>
      </c>
      <c r="B84" s="2" t="s">
        <v>118</v>
      </c>
      <c r="C84" t="s">
        <v>0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 s="11" t="s">
        <v>486</v>
      </c>
      <c r="B85" s="2" t="s">
        <v>50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>
      <c r="A86" s="11" t="s">
        <v>486</v>
      </c>
      <c r="B86" t="s">
        <v>100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s="11" t="s">
        <v>486</v>
      </c>
      <c r="B87" t="s">
        <v>101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s="11" t="s">
        <v>486</v>
      </c>
      <c r="B88" t="s">
        <v>103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s="11" t="s">
        <v>486</v>
      </c>
      <c r="B89" t="s">
        <v>148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>
      <c r="A90" s="11" t="s">
        <v>486</v>
      </c>
      <c r="B90" t="s">
        <v>106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s="11" t="s">
        <v>486</v>
      </c>
      <c r="B91" t="s">
        <v>107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s="11" t="s">
        <v>486</v>
      </c>
      <c r="B92" t="s">
        <v>109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>
      <c r="A93" s="11" t="s">
        <v>486</v>
      </c>
      <c r="B93" t="s">
        <v>147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 s="11" t="s">
        <v>486</v>
      </c>
      <c r="B94" t="s">
        <v>94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>
      <c r="A95" s="11" t="s">
        <v>486</v>
      </c>
      <c r="B95" t="s">
        <v>93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s="11" t="s">
        <v>486</v>
      </c>
      <c r="B96" t="s">
        <v>13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</row>
    <row r="97" spans="1:12">
      <c r="A97" s="11" t="s">
        <v>486</v>
      </c>
      <c r="B97" t="s">
        <v>49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s="11" t="s">
        <v>486</v>
      </c>
      <c r="B98" s="2" t="s">
        <v>53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s="11" t="s">
        <v>486</v>
      </c>
      <c r="B99" s="2" t="s">
        <v>119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s="11" t="s">
        <v>486</v>
      </c>
      <c r="B100" s="2" t="s">
        <v>54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s="11" t="s">
        <v>486</v>
      </c>
      <c r="B101" s="2" t="s">
        <v>54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s="11" t="s">
        <v>486</v>
      </c>
      <c r="B102" s="2" t="s">
        <v>115</v>
      </c>
      <c r="C102" t="s">
        <v>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>
      <c r="A103" s="11" t="s">
        <v>486</v>
      </c>
      <c r="B103" s="2" t="s">
        <v>115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s="11" t="s">
        <v>486</v>
      </c>
      <c r="B104" t="s">
        <v>179</v>
      </c>
      <c r="C104" t="s">
        <v>0</v>
      </c>
      <c r="D104">
        <v>1</v>
      </c>
      <c r="E104">
        <v>-0.7</v>
      </c>
      <c r="F104" s="10">
        <v>-0.69999999999999984</v>
      </c>
      <c r="G104" s="10">
        <v>-0.69999999999999984</v>
      </c>
      <c r="H104" s="10">
        <v>-0.7</v>
      </c>
      <c r="I104" s="10">
        <v>-0.7</v>
      </c>
      <c r="J104" s="10">
        <v>-0.7</v>
      </c>
      <c r="K104" s="10">
        <v>-0.7</v>
      </c>
      <c r="L104">
        <v>-0.7</v>
      </c>
    </row>
    <row r="105" spans="1:12">
      <c r="A105" s="11" t="s">
        <v>486</v>
      </c>
      <c r="B105" t="s">
        <v>180</v>
      </c>
      <c r="C105" t="s">
        <v>0</v>
      </c>
      <c r="D105">
        <v>1</v>
      </c>
      <c r="E105">
        <v>-0.7</v>
      </c>
      <c r="F105" s="10">
        <v>-0.69999999999999984</v>
      </c>
      <c r="G105" s="10">
        <v>-0.69999999999999984</v>
      </c>
      <c r="H105" s="10">
        <v>-0.7</v>
      </c>
      <c r="I105" s="10">
        <v>-0.7</v>
      </c>
      <c r="J105" s="10">
        <v>-0.7</v>
      </c>
      <c r="K105" s="10">
        <v>-0.7</v>
      </c>
      <c r="L105">
        <v>-0.7</v>
      </c>
    </row>
    <row r="106" spans="1:12">
      <c r="A106" s="11" t="s">
        <v>486</v>
      </c>
      <c r="B106" t="s">
        <v>205</v>
      </c>
      <c r="C106" t="s">
        <v>0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s="11" t="s">
        <v>486</v>
      </c>
      <c r="B107" t="s">
        <v>192</v>
      </c>
      <c r="C107" t="s">
        <v>0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</row>
    <row r="108" spans="1:12">
      <c r="A108" s="11" t="s">
        <v>486</v>
      </c>
      <c r="B108" t="s">
        <v>188</v>
      </c>
      <c r="C108" t="s">
        <v>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s="11" t="s">
        <v>486</v>
      </c>
      <c r="B109" t="s">
        <v>189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s="11" t="s">
        <v>486</v>
      </c>
      <c r="B110" t="s">
        <v>190</v>
      </c>
      <c r="C110" t="s">
        <v>0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s="11" t="s">
        <v>486</v>
      </c>
      <c r="B111" t="s">
        <v>213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s="11" t="s">
        <v>486</v>
      </c>
      <c r="B112" t="s">
        <v>206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s="11" t="s">
        <v>486</v>
      </c>
      <c r="B113" t="s">
        <v>207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>
      <c r="A114" s="11" t="s">
        <v>486</v>
      </c>
      <c r="B114" t="s">
        <v>197</v>
      </c>
      <c r="C114" t="s">
        <v>0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>
      <c r="A115" s="11" t="s">
        <v>486</v>
      </c>
      <c r="B115" t="s">
        <v>200</v>
      </c>
      <c r="C115" t="s">
        <v>0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>
      <c r="A116" s="11" t="s">
        <v>486</v>
      </c>
      <c r="B116" t="s">
        <v>201</v>
      </c>
      <c r="C116" t="s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 s="11" t="s">
        <v>486</v>
      </c>
      <c r="B117" t="s">
        <v>202</v>
      </c>
      <c r="C117" t="s">
        <v>0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 s="11" t="s">
        <v>486</v>
      </c>
      <c r="B118" t="s">
        <v>230</v>
      </c>
      <c r="C118" t="s">
        <v>0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>
      <c r="A119" s="11" t="s">
        <v>486</v>
      </c>
      <c r="B119" t="s">
        <v>208</v>
      </c>
      <c r="C119" t="s">
        <v>0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s="11" t="s">
        <v>486</v>
      </c>
      <c r="B120" t="s">
        <v>204</v>
      </c>
      <c r="C120" t="s">
        <v>0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</row>
    <row r="121" spans="1:12">
      <c r="A121" s="11" t="s">
        <v>486</v>
      </c>
      <c r="B121" t="s">
        <v>211</v>
      </c>
      <c r="C121" t="s">
        <v>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s="11" t="s">
        <v>486</v>
      </c>
      <c r="B122" t="s">
        <v>210</v>
      </c>
      <c r="C122" t="s">
        <v>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</row>
    <row r="123" spans="1:12">
      <c r="A123" s="11" t="s">
        <v>486</v>
      </c>
      <c r="B123" t="s">
        <v>212</v>
      </c>
      <c r="C123" t="s">
        <v>0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s="11" t="s">
        <v>486</v>
      </c>
      <c r="B124" t="s">
        <v>224</v>
      </c>
      <c r="C124" t="s">
        <v>0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</row>
    <row r="125" spans="1:12">
      <c r="A125" s="11" t="s">
        <v>486</v>
      </c>
      <c r="B125" t="s">
        <v>224</v>
      </c>
      <c r="C125" t="s">
        <v>0</v>
      </c>
      <c r="D125">
        <v>2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>
      <c r="A126" s="11" t="s">
        <v>486</v>
      </c>
      <c r="B126" t="s">
        <v>224</v>
      </c>
      <c r="C126" t="s">
        <v>0</v>
      </c>
      <c r="D126">
        <v>3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s="11" t="s">
        <v>486</v>
      </c>
      <c r="B127" t="s">
        <v>224</v>
      </c>
      <c r="C127" t="s">
        <v>0</v>
      </c>
      <c r="D127">
        <v>4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</row>
    <row r="128" spans="1:12">
      <c r="A128" s="11" t="s">
        <v>486</v>
      </c>
      <c r="B128" t="s">
        <v>225</v>
      </c>
      <c r="C128" t="s">
        <v>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>
      <c r="A129" s="11" t="s">
        <v>486</v>
      </c>
      <c r="B129" t="s">
        <v>229</v>
      </c>
      <c r="C129" t="s">
        <v>0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 s="11" t="s">
        <v>486</v>
      </c>
      <c r="B130" t="s">
        <v>235</v>
      </c>
      <c r="C130" t="s">
        <v>0</v>
      </c>
      <c r="D130">
        <v>1</v>
      </c>
      <c r="E130">
        <v>0.12</v>
      </c>
      <c r="F130" s="10">
        <v>0.12</v>
      </c>
      <c r="G130" s="10">
        <v>0.12</v>
      </c>
      <c r="H130" s="10">
        <v>0.12</v>
      </c>
      <c r="I130" s="10">
        <v>0.12</v>
      </c>
      <c r="J130" s="10">
        <v>0.12</v>
      </c>
      <c r="K130" s="10">
        <v>0.12</v>
      </c>
      <c r="L130">
        <v>0.12</v>
      </c>
    </row>
    <row r="131" spans="1:12">
      <c r="A131" s="11" t="s">
        <v>486</v>
      </c>
      <c r="B131" t="s">
        <v>235</v>
      </c>
      <c r="C131" t="s">
        <v>0</v>
      </c>
      <c r="D131">
        <v>2</v>
      </c>
      <c r="E131">
        <v>0.12</v>
      </c>
      <c r="F131" s="10">
        <v>0.12</v>
      </c>
      <c r="G131" s="10">
        <v>0.12</v>
      </c>
      <c r="H131" s="10">
        <v>0.12</v>
      </c>
      <c r="I131" s="10">
        <v>0.12</v>
      </c>
      <c r="J131" s="10">
        <v>0.12</v>
      </c>
      <c r="K131" s="10">
        <v>0.12</v>
      </c>
      <c r="L131">
        <v>0.12</v>
      </c>
    </row>
    <row r="132" spans="1:12">
      <c r="A132" s="11" t="s">
        <v>486</v>
      </c>
      <c r="B132" t="s">
        <v>235</v>
      </c>
      <c r="C132" t="s">
        <v>0</v>
      </c>
      <c r="D132">
        <v>3</v>
      </c>
      <c r="E132">
        <v>0.12</v>
      </c>
      <c r="F132" s="10">
        <v>0.12</v>
      </c>
      <c r="G132" s="10">
        <v>0.12</v>
      </c>
      <c r="H132" s="10">
        <v>0.12</v>
      </c>
      <c r="I132" s="10">
        <v>0.12</v>
      </c>
      <c r="J132" s="10">
        <v>0.12</v>
      </c>
      <c r="K132" s="10">
        <v>0.12</v>
      </c>
      <c r="L132">
        <v>0.12</v>
      </c>
    </row>
    <row r="133" spans="1:12">
      <c r="A133" s="11" t="s">
        <v>486</v>
      </c>
      <c r="B133" t="s">
        <v>235</v>
      </c>
      <c r="C133" t="s">
        <v>0</v>
      </c>
      <c r="D133">
        <v>4</v>
      </c>
      <c r="E133">
        <v>0.12</v>
      </c>
      <c r="F133" s="10">
        <v>0.12</v>
      </c>
      <c r="G133" s="10">
        <v>0.12</v>
      </c>
      <c r="H133" s="10">
        <v>0.12</v>
      </c>
      <c r="I133" s="10">
        <v>0.12</v>
      </c>
      <c r="J133" s="10">
        <v>0.12</v>
      </c>
      <c r="K133" s="10">
        <v>0.12</v>
      </c>
      <c r="L133">
        <v>0.12</v>
      </c>
    </row>
    <row r="134" spans="1:12">
      <c r="A134" s="11" t="s">
        <v>486</v>
      </c>
      <c r="B134" t="s">
        <v>236</v>
      </c>
      <c r="C134" t="s">
        <v>0</v>
      </c>
      <c r="D134">
        <v>1</v>
      </c>
      <c r="E134">
        <v>0.12</v>
      </c>
      <c r="F134" s="10">
        <v>0.12</v>
      </c>
      <c r="G134" s="10">
        <v>0.12</v>
      </c>
      <c r="H134" s="10">
        <v>0.12</v>
      </c>
      <c r="I134" s="10">
        <v>0.12</v>
      </c>
      <c r="J134" s="10">
        <v>0.12</v>
      </c>
      <c r="K134" s="10">
        <v>0.12</v>
      </c>
      <c r="L134">
        <v>0.12</v>
      </c>
    </row>
    <row r="135" spans="1:12">
      <c r="A135" s="11" t="s">
        <v>486</v>
      </c>
      <c r="B135" t="s">
        <v>248</v>
      </c>
      <c r="C135" t="s">
        <v>0</v>
      </c>
      <c r="D135">
        <v>1</v>
      </c>
      <c r="E135">
        <v>-0.7</v>
      </c>
      <c r="F135" s="10">
        <v>-0.69999999999999984</v>
      </c>
      <c r="G135" s="10">
        <v>-0.69999999999999984</v>
      </c>
      <c r="H135" s="10">
        <v>-0.7</v>
      </c>
      <c r="I135" s="10">
        <v>-0.7</v>
      </c>
      <c r="J135" s="10">
        <v>-0.7</v>
      </c>
      <c r="K135" s="10">
        <v>-0.7</v>
      </c>
      <c r="L135">
        <v>-0.7</v>
      </c>
    </row>
    <row r="136" spans="1:12">
      <c r="A136" s="11" t="s">
        <v>486</v>
      </c>
      <c r="B136" t="s">
        <v>242</v>
      </c>
      <c r="C136" t="s">
        <v>0</v>
      </c>
      <c r="D136">
        <v>1</v>
      </c>
      <c r="E136">
        <v>0.12</v>
      </c>
      <c r="F136" s="10">
        <v>0.12</v>
      </c>
      <c r="G136" s="10">
        <v>0.12</v>
      </c>
      <c r="H136" s="10">
        <v>0.12</v>
      </c>
      <c r="I136" s="10">
        <v>0.12</v>
      </c>
      <c r="J136" s="10">
        <v>0.12</v>
      </c>
      <c r="K136" s="10">
        <v>0.12</v>
      </c>
      <c r="L136">
        <v>0.12</v>
      </c>
    </row>
    <row r="137" spans="1:12">
      <c r="A137" s="11" t="s">
        <v>486</v>
      </c>
      <c r="B137" t="s">
        <v>243</v>
      </c>
      <c r="C137" t="s">
        <v>0</v>
      </c>
      <c r="D137">
        <v>1</v>
      </c>
      <c r="E137">
        <v>0.12</v>
      </c>
      <c r="F137" s="10">
        <v>0.12</v>
      </c>
      <c r="G137" s="10">
        <v>0.12</v>
      </c>
      <c r="H137" s="10">
        <v>0.12</v>
      </c>
      <c r="I137" s="10">
        <v>0.12</v>
      </c>
      <c r="J137" s="10">
        <v>0.12</v>
      </c>
      <c r="K137" s="10">
        <v>0.12</v>
      </c>
      <c r="L137">
        <v>0.12</v>
      </c>
    </row>
    <row r="138" spans="1:12">
      <c r="A138" s="11" t="s">
        <v>486</v>
      </c>
      <c r="B138" t="s">
        <v>249</v>
      </c>
      <c r="C138" t="s">
        <v>0</v>
      </c>
      <c r="D138">
        <v>1</v>
      </c>
      <c r="E138">
        <v>-0.7</v>
      </c>
      <c r="F138" s="10">
        <v>-0.69999999999999984</v>
      </c>
      <c r="G138" s="10">
        <v>-0.69999999999999984</v>
      </c>
      <c r="H138" s="10">
        <v>-0.7</v>
      </c>
      <c r="I138" s="10">
        <v>-0.7</v>
      </c>
      <c r="J138" s="10">
        <v>-0.7</v>
      </c>
      <c r="K138" s="10">
        <v>-0.7</v>
      </c>
      <c r="L138">
        <v>-0.7</v>
      </c>
    </row>
    <row r="139" spans="1:12">
      <c r="A139" s="11" t="s">
        <v>486</v>
      </c>
      <c r="B139" t="s">
        <v>240</v>
      </c>
      <c r="C139" t="s">
        <v>0</v>
      </c>
      <c r="D139">
        <v>1</v>
      </c>
      <c r="E139">
        <v>0.12</v>
      </c>
      <c r="F139" s="10">
        <v>0.12</v>
      </c>
      <c r="G139" s="10">
        <v>0.12</v>
      </c>
      <c r="H139" s="10">
        <v>0.12</v>
      </c>
      <c r="I139" s="10">
        <v>0.12</v>
      </c>
      <c r="J139" s="10">
        <v>0.12</v>
      </c>
      <c r="K139" s="10">
        <v>0.12</v>
      </c>
      <c r="L139">
        <v>0.12</v>
      </c>
    </row>
    <row r="140" spans="1:12">
      <c r="A140" s="11" t="s">
        <v>486</v>
      </c>
      <c r="B140" t="s">
        <v>241</v>
      </c>
      <c r="C140" t="s">
        <v>0</v>
      </c>
      <c r="D140">
        <v>1</v>
      </c>
      <c r="E140">
        <v>0.12</v>
      </c>
      <c r="F140" s="10">
        <v>0.12</v>
      </c>
      <c r="G140" s="10">
        <v>0.12</v>
      </c>
      <c r="H140" s="10">
        <v>0.12</v>
      </c>
      <c r="I140" s="10">
        <v>0.12</v>
      </c>
      <c r="J140" s="10">
        <v>0.12</v>
      </c>
      <c r="K140" s="10">
        <v>0.12</v>
      </c>
      <c r="L140">
        <v>0.12</v>
      </c>
    </row>
    <row r="141" spans="1:12">
      <c r="A141" s="11" t="s">
        <v>486</v>
      </c>
      <c r="B141" t="s">
        <v>244</v>
      </c>
      <c r="C141" t="s">
        <v>0</v>
      </c>
      <c r="D141">
        <v>1</v>
      </c>
      <c r="E141">
        <v>0.12</v>
      </c>
      <c r="F141" s="10">
        <v>0.12</v>
      </c>
      <c r="G141" s="10">
        <v>0.12</v>
      </c>
      <c r="H141" s="10">
        <v>0.12</v>
      </c>
      <c r="I141" s="10">
        <v>0.12</v>
      </c>
      <c r="J141" s="10">
        <v>0.12</v>
      </c>
      <c r="K141" s="10">
        <v>0.12</v>
      </c>
      <c r="L141">
        <v>0.12</v>
      </c>
    </row>
    <row r="142" spans="1:12">
      <c r="A142" s="11" t="s">
        <v>486</v>
      </c>
      <c r="B142" t="s">
        <v>245</v>
      </c>
      <c r="C142" t="s">
        <v>0</v>
      </c>
      <c r="D142">
        <v>1</v>
      </c>
      <c r="E142">
        <v>0.12</v>
      </c>
      <c r="F142" s="10">
        <v>0.12</v>
      </c>
      <c r="G142" s="10">
        <v>0.12</v>
      </c>
      <c r="H142" s="10">
        <v>0.12</v>
      </c>
      <c r="I142" s="10">
        <v>0.12</v>
      </c>
      <c r="J142" s="10">
        <v>0.12</v>
      </c>
      <c r="K142" s="10">
        <v>0.12</v>
      </c>
      <c r="L142">
        <v>0.12</v>
      </c>
    </row>
    <row r="143" spans="1:12">
      <c r="A143" s="11" t="s">
        <v>486</v>
      </c>
      <c r="B143" t="s">
        <v>237</v>
      </c>
      <c r="C143" t="s">
        <v>0</v>
      </c>
      <c r="D143">
        <v>1</v>
      </c>
      <c r="E143">
        <v>0.12</v>
      </c>
      <c r="F143" s="10">
        <v>0.12</v>
      </c>
      <c r="G143" s="10">
        <v>0.12</v>
      </c>
      <c r="H143" s="10">
        <v>0.12</v>
      </c>
      <c r="I143" s="10">
        <v>0.12</v>
      </c>
      <c r="J143" s="10">
        <v>0.12</v>
      </c>
      <c r="K143" s="10">
        <v>0.12</v>
      </c>
      <c r="L143">
        <v>0.12</v>
      </c>
    </row>
    <row r="144" spans="1:12">
      <c r="A144" s="11" t="s">
        <v>486</v>
      </c>
      <c r="B144" t="s">
        <v>238</v>
      </c>
      <c r="C144" t="s">
        <v>0</v>
      </c>
      <c r="D144">
        <v>1</v>
      </c>
      <c r="E144">
        <v>0.12</v>
      </c>
      <c r="F144" s="10">
        <v>0.12</v>
      </c>
      <c r="G144" s="10">
        <v>0.12</v>
      </c>
      <c r="H144" s="10">
        <v>0.12</v>
      </c>
      <c r="I144" s="10">
        <v>0.12</v>
      </c>
      <c r="J144" s="10">
        <v>0.12</v>
      </c>
      <c r="K144" s="10">
        <v>0.12</v>
      </c>
      <c r="L144">
        <v>0.12</v>
      </c>
    </row>
    <row r="145" spans="1:12">
      <c r="A145" s="11" t="s">
        <v>486</v>
      </c>
      <c r="B145" t="s">
        <v>239</v>
      </c>
      <c r="C145" t="s">
        <v>0</v>
      </c>
      <c r="D145">
        <v>1</v>
      </c>
      <c r="E145">
        <v>0.12</v>
      </c>
      <c r="F145" s="10">
        <v>0.12</v>
      </c>
      <c r="G145" s="10">
        <v>0.12</v>
      </c>
      <c r="H145" s="10">
        <v>0.12</v>
      </c>
      <c r="I145" s="10">
        <v>0.12</v>
      </c>
      <c r="J145" s="10">
        <v>0.12</v>
      </c>
      <c r="K145" s="10">
        <v>0.12</v>
      </c>
      <c r="L145">
        <v>0.12</v>
      </c>
    </row>
    <row r="146" spans="1:12">
      <c r="A146" s="11" t="s">
        <v>486</v>
      </c>
      <c r="B146" t="s">
        <v>246</v>
      </c>
      <c r="C146" t="s">
        <v>0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>
      <c r="A147" s="11" t="s">
        <v>486</v>
      </c>
      <c r="B147" t="s">
        <v>247</v>
      </c>
      <c r="C147" t="s">
        <v>0</v>
      </c>
      <c r="D147">
        <v>1</v>
      </c>
      <c r="E147">
        <v>0.12</v>
      </c>
      <c r="F147" s="10">
        <v>0.12</v>
      </c>
      <c r="G147" s="10">
        <v>0.12</v>
      </c>
      <c r="H147" s="10">
        <v>0.12</v>
      </c>
      <c r="I147" s="10">
        <v>0.12</v>
      </c>
      <c r="J147" s="10">
        <v>0.12</v>
      </c>
      <c r="K147" s="10">
        <v>0.12</v>
      </c>
      <c r="L147">
        <v>0.12</v>
      </c>
    </row>
    <row r="148" spans="1:12">
      <c r="A148" s="11" t="s">
        <v>486</v>
      </c>
      <c r="B148" t="s">
        <v>250</v>
      </c>
      <c r="C148" t="s">
        <v>0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 s="11" t="s">
        <v>486</v>
      </c>
      <c r="B149" s="2" t="s">
        <v>297</v>
      </c>
      <c r="C149" t="s">
        <v>0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>
      <c r="A150" s="11" t="s">
        <v>486</v>
      </c>
      <c r="B150" s="2" t="s">
        <v>298</v>
      </c>
      <c r="C150" t="s">
        <v>0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>
      <c r="A151" s="11" t="s">
        <v>486</v>
      </c>
      <c r="B151" s="2" t="s">
        <v>299</v>
      </c>
      <c r="C151" t="s">
        <v>0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>
      <c r="A152" s="11" t="s">
        <v>486</v>
      </c>
      <c r="B152" t="s">
        <v>312</v>
      </c>
      <c r="C152" t="s">
        <v>0</v>
      </c>
      <c r="D152">
        <v>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</row>
    <row r="153" spans="1:12">
      <c r="A153" s="11" t="s">
        <v>486</v>
      </c>
      <c r="B153" t="s">
        <v>313</v>
      </c>
      <c r="C153" t="s">
        <v>0</v>
      </c>
      <c r="D153">
        <v>1</v>
      </c>
      <c r="E153">
        <v>-1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</row>
    <row r="154" spans="1:12">
      <c r="A154" s="11" t="s">
        <v>486</v>
      </c>
      <c r="B154" t="s">
        <v>316</v>
      </c>
      <c r="C154" t="s">
        <v>0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>
      <c r="A155" s="11" t="s">
        <v>486</v>
      </c>
      <c r="B155" t="s">
        <v>315</v>
      </c>
      <c r="C155" t="s">
        <v>0</v>
      </c>
      <c r="D155">
        <v>1</v>
      </c>
      <c r="E155">
        <v>-1</v>
      </c>
      <c r="F155">
        <v>-1</v>
      </c>
      <c r="G155">
        <v>-1</v>
      </c>
      <c r="H155">
        <v>-1</v>
      </c>
      <c r="I155">
        <v>-1</v>
      </c>
      <c r="J155">
        <v>-1</v>
      </c>
      <c r="K155">
        <v>-1</v>
      </c>
      <c r="L155">
        <v>-1</v>
      </c>
    </row>
    <row r="156" spans="1:12">
      <c r="A156" s="11" t="s">
        <v>486</v>
      </c>
      <c r="B156" t="s">
        <v>416</v>
      </c>
      <c r="C156" t="s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 s="11" t="s">
        <v>486</v>
      </c>
      <c r="B157" t="s">
        <v>95</v>
      </c>
      <c r="C157" t="s">
        <v>0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>
      <c r="A158" s="11" t="s">
        <v>486</v>
      </c>
      <c r="B158" t="s">
        <v>96</v>
      </c>
      <c r="C158" t="s">
        <v>0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>
      <c r="A159" s="11" t="s">
        <v>486</v>
      </c>
      <c r="B159" t="s">
        <v>422</v>
      </c>
      <c r="C159" t="s">
        <v>0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>
      <c r="A160" s="11" t="s">
        <v>486</v>
      </c>
      <c r="B160" t="s">
        <v>420</v>
      </c>
      <c r="C160" t="s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 s="11" t="s">
        <v>486</v>
      </c>
      <c r="B161" t="s">
        <v>424</v>
      </c>
      <c r="C161" t="s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 s="11" t="s">
        <v>486</v>
      </c>
      <c r="B162" t="s">
        <v>425</v>
      </c>
      <c r="C162" t="s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 s="11" t="s">
        <v>486</v>
      </c>
      <c r="B163" t="s">
        <v>417</v>
      </c>
      <c r="C163" t="s">
        <v>0</v>
      </c>
      <c r="D163">
        <v>1</v>
      </c>
      <c r="E163">
        <v>-0.88</v>
      </c>
      <c r="F163">
        <v>-0.88</v>
      </c>
      <c r="G163">
        <v>-0.88</v>
      </c>
      <c r="H163">
        <v>-0.88</v>
      </c>
      <c r="I163">
        <v>-0.88</v>
      </c>
      <c r="J163">
        <v>-0.88</v>
      </c>
      <c r="K163">
        <v>-0.88</v>
      </c>
      <c r="L163">
        <v>-0.88</v>
      </c>
    </row>
    <row r="164" spans="1:12">
      <c r="A164" s="11" t="s">
        <v>486</v>
      </c>
      <c r="B164" t="s">
        <v>418</v>
      </c>
      <c r="C164" t="s">
        <v>0</v>
      </c>
      <c r="D164">
        <v>1</v>
      </c>
      <c r="E164">
        <v>0.12</v>
      </c>
      <c r="F164">
        <v>0.12</v>
      </c>
      <c r="G164">
        <v>0.12</v>
      </c>
      <c r="H164">
        <v>0.12</v>
      </c>
      <c r="I164">
        <v>0.12</v>
      </c>
      <c r="J164">
        <v>0.12</v>
      </c>
      <c r="K164">
        <v>0.12</v>
      </c>
      <c r="L164">
        <v>0.12</v>
      </c>
    </row>
    <row r="165" spans="1:12">
      <c r="A165" s="11" t="s">
        <v>486</v>
      </c>
      <c r="B165" t="s">
        <v>419</v>
      </c>
      <c r="C165" t="s">
        <v>0</v>
      </c>
      <c r="D165">
        <v>1</v>
      </c>
      <c r="E165">
        <v>0.12</v>
      </c>
      <c r="F165">
        <v>0.12</v>
      </c>
      <c r="G165">
        <v>0.12</v>
      </c>
      <c r="H165">
        <v>0.12</v>
      </c>
      <c r="I165">
        <v>0.12</v>
      </c>
      <c r="J165">
        <v>0.12</v>
      </c>
      <c r="K165">
        <v>0.12</v>
      </c>
      <c r="L165">
        <v>0.12</v>
      </c>
    </row>
    <row r="166" spans="1:12">
      <c r="A166" s="11" t="s">
        <v>486</v>
      </c>
      <c r="B166" t="s">
        <v>423</v>
      </c>
      <c r="C166" t="s">
        <v>0</v>
      </c>
      <c r="D166">
        <v>1</v>
      </c>
      <c r="E166">
        <v>0.12</v>
      </c>
      <c r="F166">
        <v>0.12</v>
      </c>
      <c r="G166">
        <v>0.12</v>
      </c>
      <c r="H166">
        <v>0.12</v>
      </c>
      <c r="I166">
        <v>0.12</v>
      </c>
      <c r="J166">
        <v>0.12</v>
      </c>
      <c r="K166">
        <v>0.12</v>
      </c>
      <c r="L166">
        <v>0.12</v>
      </c>
    </row>
    <row r="167" spans="1:12">
      <c r="A167" s="11" t="s">
        <v>486</v>
      </c>
      <c r="B167" t="s">
        <v>421</v>
      </c>
      <c r="C167" t="s">
        <v>0</v>
      </c>
      <c r="D167">
        <v>1</v>
      </c>
      <c r="E167">
        <v>-0.88</v>
      </c>
      <c r="F167">
        <v>-0.88</v>
      </c>
      <c r="G167">
        <v>-0.88</v>
      </c>
      <c r="H167">
        <v>-0.88</v>
      </c>
      <c r="I167">
        <v>-0.88</v>
      </c>
      <c r="J167">
        <v>-0.88</v>
      </c>
      <c r="K167">
        <v>-0.88</v>
      </c>
      <c r="L167">
        <v>-0.88</v>
      </c>
    </row>
    <row r="168" spans="1:12">
      <c r="A168" s="11" t="s">
        <v>486</v>
      </c>
      <c r="B168" t="s">
        <v>416</v>
      </c>
      <c r="C168" t="s">
        <v>0</v>
      </c>
      <c r="D168">
        <v>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>
      <c r="A169" s="11" t="s">
        <v>486</v>
      </c>
      <c r="B169" t="s">
        <v>95</v>
      </c>
      <c r="C169" t="s">
        <v>0</v>
      </c>
      <c r="D169">
        <v>2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 s="11" t="s">
        <v>486</v>
      </c>
      <c r="B170" t="s">
        <v>96</v>
      </c>
      <c r="C170" t="s">
        <v>0</v>
      </c>
      <c r="D170">
        <v>2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>
      <c r="A171" s="11" t="s">
        <v>486</v>
      </c>
      <c r="B171" t="s">
        <v>422</v>
      </c>
      <c r="C171" t="s">
        <v>0</v>
      </c>
      <c r="D171">
        <v>2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>
      <c r="A172" s="11" t="s">
        <v>486</v>
      </c>
      <c r="B172" t="s">
        <v>420</v>
      </c>
      <c r="C172" t="s">
        <v>0</v>
      </c>
      <c r="D172">
        <v>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>
      <c r="A173" s="11" t="s">
        <v>486</v>
      </c>
      <c r="B173" t="s">
        <v>424</v>
      </c>
      <c r="C173" t="s">
        <v>0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 s="11" t="s">
        <v>486</v>
      </c>
      <c r="B174" t="s">
        <v>425</v>
      </c>
      <c r="C174" t="s">
        <v>0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 s="11" t="s">
        <v>486</v>
      </c>
      <c r="B175" t="s">
        <v>417</v>
      </c>
      <c r="C175" t="s">
        <v>0</v>
      </c>
      <c r="D175">
        <v>2</v>
      </c>
      <c r="E175">
        <v>-0.88</v>
      </c>
      <c r="F175">
        <v>-0.88</v>
      </c>
      <c r="G175">
        <v>-0.88</v>
      </c>
      <c r="H175">
        <v>-0.88</v>
      </c>
      <c r="I175">
        <v>-0.88</v>
      </c>
      <c r="J175">
        <v>-0.88</v>
      </c>
      <c r="K175">
        <v>-0.88</v>
      </c>
      <c r="L175">
        <v>-0.88</v>
      </c>
    </row>
    <row r="176" spans="1:12">
      <c r="A176" s="11" t="s">
        <v>486</v>
      </c>
      <c r="B176" t="s">
        <v>418</v>
      </c>
      <c r="C176" t="s">
        <v>0</v>
      </c>
      <c r="D176">
        <v>2</v>
      </c>
      <c r="E176">
        <v>0.12</v>
      </c>
      <c r="F176">
        <v>0.12</v>
      </c>
      <c r="G176">
        <v>0.12</v>
      </c>
      <c r="H176">
        <v>0.12</v>
      </c>
      <c r="I176">
        <v>0.12</v>
      </c>
      <c r="J176">
        <v>0.12</v>
      </c>
      <c r="K176">
        <v>0.12</v>
      </c>
      <c r="L176">
        <v>0.12</v>
      </c>
    </row>
    <row r="177" spans="1:12">
      <c r="A177" s="11" t="s">
        <v>486</v>
      </c>
      <c r="B177" t="s">
        <v>419</v>
      </c>
      <c r="C177" t="s">
        <v>0</v>
      </c>
      <c r="D177">
        <v>2</v>
      </c>
      <c r="E177">
        <v>0.12</v>
      </c>
      <c r="F177">
        <v>0.12</v>
      </c>
      <c r="G177">
        <v>0.12</v>
      </c>
      <c r="H177">
        <v>0.12</v>
      </c>
      <c r="I177">
        <v>0.12</v>
      </c>
      <c r="J177">
        <v>0.12</v>
      </c>
      <c r="K177">
        <v>0.12</v>
      </c>
      <c r="L177">
        <v>0.12</v>
      </c>
    </row>
    <row r="178" spans="1:12">
      <c r="A178" s="11" t="s">
        <v>486</v>
      </c>
      <c r="B178" t="s">
        <v>423</v>
      </c>
      <c r="C178" t="s">
        <v>0</v>
      </c>
      <c r="D178">
        <v>2</v>
      </c>
      <c r="E178">
        <v>0.12</v>
      </c>
      <c r="F178">
        <v>0.12</v>
      </c>
      <c r="G178">
        <v>0.12</v>
      </c>
      <c r="H178">
        <v>0.12</v>
      </c>
      <c r="I178">
        <v>0.12</v>
      </c>
      <c r="J178">
        <v>0.12</v>
      </c>
      <c r="K178">
        <v>0.12</v>
      </c>
      <c r="L178">
        <v>0.12</v>
      </c>
    </row>
    <row r="179" spans="1:12">
      <c r="A179" s="11" t="s">
        <v>486</v>
      </c>
      <c r="B179" t="s">
        <v>421</v>
      </c>
      <c r="C179" t="s">
        <v>0</v>
      </c>
      <c r="D179">
        <v>2</v>
      </c>
      <c r="E179">
        <v>-0.88</v>
      </c>
      <c r="F179">
        <v>-0.88</v>
      </c>
      <c r="G179">
        <v>-0.88</v>
      </c>
      <c r="H179">
        <v>-0.88</v>
      </c>
      <c r="I179">
        <v>-0.88</v>
      </c>
      <c r="J179">
        <v>-0.88</v>
      </c>
      <c r="K179">
        <v>-0.88</v>
      </c>
      <c r="L179">
        <v>-0.88</v>
      </c>
    </row>
    <row r="180" spans="1:12">
      <c r="A180" s="11" t="s">
        <v>486</v>
      </c>
      <c r="B180" t="s">
        <v>426</v>
      </c>
      <c r="C180" t="s">
        <v>0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</row>
    <row r="181" spans="1:12">
      <c r="A181" s="11" t="s">
        <v>486</v>
      </c>
      <c r="B181" t="s">
        <v>426</v>
      </c>
      <c r="C181" t="s">
        <v>0</v>
      </c>
      <c r="D181">
        <v>2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</row>
    <row r="182" spans="1:12">
      <c r="A182" s="11" t="s">
        <v>486</v>
      </c>
      <c r="B182" t="s">
        <v>429</v>
      </c>
      <c r="C182" t="s">
        <v>0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</row>
    <row r="183" spans="1:12">
      <c r="A183" s="11" t="s">
        <v>486</v>
      </c>
      <c r="B183" t="s">
        <v>431</v>
      </c>
      <c r="C183" t="s">
        <v>0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</row>
    <row r="184" spans="1:12">
      <c r="A184" s="11" t="s">
        <v>486</v>
      </c>
      <c r="B184" t="s">
        <v>430</v>
      </c>
      <c r="C184" t="s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</sheetData>
  <dataValidations count="2">
    <dataValidation type="list" allowBlank="1" showInputMessage="1" showErrorMessage="1" sqref="C154:D155 B83:B91 C77:D105 D130:D139 C106:C149 B150:C150 C151:C153 C156:C184 B12:B20 C6:D34 D59:D68 C35:C76" xr:uid="{00000000-0002-0000-1100-000000000000}">
      <formula1>Technologies</formula1>
    </dataValidation>
    <dataValidation type="list" allowBlank="1" showInputMessage="1" showErrorMessage="1" sqref="A6:A184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75"/>
  <sheetViews>
    <sheetView topLeftCell="A145" zoomScale="90" zoomScaleNormal="90" zoomScalePageLayoutView="90" workbookViewId="0">
      <selection activeCell="D180" sqref="D180"/>
    </sheetView>
  </sheetViews>
  <sheetFormatPr defaultColWidth="11.42578125" defaultRowHeight="15"/>
  <cols>
    <col min="2" max="2" width="23.42578125" customWidth="1"/>
  </cols>
  <sheetData>
    <row r="1" spans="1:11">
      <c r="A1" t="s">
        <v>362</v>
      </c>
    </row>
    <row r="2" spans="1:11">
      <c r="A2" t="s">
        <v>320</v>
      </c>
    </row>
    <row r="3" spans="1:11">
      <c r="A3" t="s">
        <v>363</v>
      </c>
    </row>
    <row r="5" spans="1:11">
      <c r="A5" t="s">
        <v>11</v>
      </c>
      <c r="B5" t="s">
        <v>17</v>
      </c>
      <c r="C5" t="s">
        <v>16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458</v>
      </c>
      <c r="B6" t="s">
        <v>95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458</v>
      </c>
      <c r="B7" t="s">
        <v>96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458</v>
      </c>
      <c r="B8" t="s">
        <v>97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458</v>
      </c>
      <c r="B9" s="2" t="s">
        <v>121</v>
      </c>
      <c r="C9" t="s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1" t="s">
        <v>458</v>
      </c>
      <c r="B10" s="2" t="s">
        <v>117</v>
      </c>
      <c r="C10" t="s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1" t="s">
        <v>458</v>
      </c>
      <c r="B11" s="2" t="s">
        <v>118</v>
      </c>
      <c r="C11" t="s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1" t="s">
        <v>458</v>
      </c>
      <c r="B12" s="2" t="s">
        <v>50</v>
      </c>
      <c r="C12" t="s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1" t="s">
        <v>458</v>
      </c>
      <c r="B13" t="s">
        <v>94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458</v>
      </c>
      <c r="B14" t="s">
        <v>93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458</v>
      </c>
      <c r="B15" t="s">
        <v>13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458</v>
      </c>
      <c r="B16" t="s">
        <v>49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458</v>
      </c>
      <c r="B17" s="2" t="s">
        <v>53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458</v>
      </c>
      <c r="B18" s="2" t="s">
        <v>119</v>
      </c>
      <c r="C18" t="s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s="11" t="s">
        <v>458</v>
      </c>
      <c r="B19" s="2" t="s">
        <v>54</v>
      </c>
      <c r="C19" t="s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s="11" t="s">
        <v>458</v>
      </c>
      <c r="B20" s="2" t="s">
        <v>115</v>
      </c>
      <c r="C20" t="s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s="11" t="s">
        <v>458</v>
      </c>
      <c r="B21" t="s">
        <v>179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458</v>
      </c>
      <c r="B22" t="s">
        <v>180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458</v>
      </c>
      <c r="B23" t="s">
        <v>205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458</v>
      </c>
      <c r="B24" t="s">
        <v>192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458</v>
      </c>
      <c r="B25" t="s">
        <v>187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458</v>
      </c>
      <c r="B26" t="s">
        <v>191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458</v>
      </c>
      <c r="B27" t="s">
        <v>188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458</v>
      </c>
      <c r="B28" t="s">
        <v>189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458</v>
      </c>
      <c r="B29" t="s">
        <v>190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458</v>
      </c>
      <c r="B30" t="s">
        <v>213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458</v>
      </c>
      <c r="B31" t="s">
        <v>214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458</v>
      </c>
      <c r="B32" t="s">
        <v>215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458</v>
      </c>
      <c r="B33" t="s">
        <v>216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458</v>
      </c>
      <c r="B34" t="s">
        <v>217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458</v>
      </c>
      <c r="B35" t="s">
        <v>196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458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458</v>
      </c>
      <c r="B37" t="s">
        <v>207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458</v>
      </c>
      <c r="B38" t="s">
        <v>197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458</v>
      </c>
      <c r="B39" t="s">
        <v>198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458</v>
      </c>
      <c r="B40" t="s">
        <v>199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458</v>
      </c>
      <c r="B41" t="s">
        <v>200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458</v>
      </c>
      <c r="B42" t="s">
        <v>201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458</v>
      </c>
      <c r="B43" t="s">
        <v>202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458</v>
      </c>
      <c r="B44" t="s">
        <v>230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458</v>
      </c>
      <c r="B45" t="s">
        <v>218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458</v>
      </c>
      <c r="B46" t="s">
        <v>219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458</v>
      </c>
      <c r="B47" t="s">
        <v>220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458</v>
      </c>
      <c r="B48" t="s">
        <v>203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458</v>
      </c>
      <c r="B49" t="s">
        <v>208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458</v>
      </c>
      <c r="B50" t="s">
        <v>204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458</v>
      </c>
      <c r="B51" t="s">
        <v>211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458</v>
      </c>
      <c r="B52" t="s">
        <v>209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458</v>
      </c>
      <c r="B53" t="s">
        <v>210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458</v>
      </c>
      <c r="B54" t="s">
        <v>221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458</v>
      </c>
      <c r="B55" t="s">
        <v>212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458</v>
      </c>
      <c r="B56" t="s">
        <v>224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458</v>
      </c>
      <c r="B57" t="s">
        <v>225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458</v>
      </c>
      <c r="B58" t="s">
        <v>226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458</v>
      </c>
      <c r="B59" t="s">
        <v>227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458</v>
      </c>
      <c r="B60" t="s">
        <v>228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458</v>
      </c>
      <c r="B61" t="s">
        <v>229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458</v>
      </c>
      <c r="B62" t="s">
        <v>235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458</v>
      </c>
      <c r="B63" t="s">
        <v>235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458</v>
      </c>
      <c r="B64" t="s">
        <v>235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458</v>
      </c>
      <c r="B65" t="s">
        <v>235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458</v>
      </c>
      <c r="B66" t="s">
        <v>236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458</v>
      </c>
      <c r="B67" t="s">
        <v>248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458</v>
      </c>
      <c r="B68" t="s">
        <v>242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458</v>
      </c>
      <c r="B69" t="s">
        <v>243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458</v>
      </c>
      <c r="B70" t="s">
        <v>249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458</v>
      </c>
      <c r="B71" t="s">
        <v>240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458</v>
      </c>
      <c r="B72" t="s">
        <v>241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458</v>
      </c>
      <c r="B73" t="s">
        <v>244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458</v>
      </c>
      <c r="B74" t="s">
        <v>245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458</v>
      </c>
      <c r="B75" t="s">
        <v>237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458</v>
      </c>
      <c r="B76" t="s">
        <v>238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458</v>
      </c>
      <c r="B77" t="s">
        <v>239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458</v>
      </c>
      <c r="B78" t="s">
        <v>246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458</v>
      </c>
      <c r="B79" t="s">
        <v>247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486</v>
      </c>
      <c r="B80" t="s">
        <v>95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486</v>
      </c>
      <c r="B81" t="s">
        <v>96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486</v>
      </c>
      <c r="B82" t="s">
        <v>97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486</v>
      </c>
      <c r="B83" s="2" t="s">
        <v>121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486</v>
      </c>
      <c r="B84" s="2" t="s">
        <v>117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486</v>
      </c>
      <c r="B85" s="2" t="s">
        <v>118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486</v>
      </c>
      <c r="B86" s="2" t="s">
        <v>50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486</v>
      </c>
      <c r="B87" t="s">
        <v>94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486</v>
      </c>
      <c r="B88" t="s">
        <v>93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486</v>
      </c>
      <c r="B89" t="s">
        <v>13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486</v>
      </c>
      <c r="B90" t="s">
        <v>49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486</v>
      </c>
      <c r="B91" s="2" t="s">
        <v>53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486</v>
      </c>
      <c r="B92" s="2" t="s">
        <v>119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486</v>
      </c>
      <c r="B93" s="2" t="s">
        <v>54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486</v>
      </c>
      <c r="B94" s="2" t="s">
        <v>115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486</v>
      </c>
      <c r="B95" t="s">
        <v>179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486</v>
      </c>
      <c r="B96" t="s">
        <v>180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486</v>
      </c>
      <c r="B97" t="s">
        <v>205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486</v>
      </c>
      <c r="B98" t="s">
        <v>192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486</v>
      </c>
      <c r="B99" t="s">
        <v>187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486</v>
      </c>
      <c r="B100" t="s">
        <v>191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486</v>
      </c>
      <c r="B101" t="s">
        <v>188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  <row r="102" spans="1:11">
      <c r="A102" s="11" t="s">
        <v>486</v>
      </c>
      <c r="B102" t="s">
        <v>189</v>
      </c>
      <c r="C102" t="s">
        <v>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</row>
    <row r="103" spans="1:11">
      <c r="A103" s="11" t="s">
        <v>486</v>
      </c>
      <c r="B103" t="s">
        <v>190</v>
      </c>
      <c r="C103" t="s">
        <v>0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</row>
    <row r="104" spans="1:11">
      <c r="A104" s="11" t="s">
        <v>486</v>
      </c>
      <c r="B104" t="s">
        <v>213</v>
      </c>
      <c r="C104" t="s">
        <v>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</row>
    <row r="105" spans="1:11">
      <c r="A105" s="11" t="s">
        <v>486</v>
      </c>
      <c r="B105" t="s">
        <v>214</v>
      </c>
      <c r="C105" t="s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</row>
    <row r="106" spans="1:11">
      <c r="A106" s="11" t="s">
        <v>486</v>
      </c>
      <c r="B106" t="s">
        <v>215</v>
      </c>
      <c r="C106" t="s">
        <v>0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</row>
    <row r="107" spans="1:11">
      <c r="A107" s="11" t="s">
        <v>486</v>
      </c>
      <c r="B107" t="s">
        <v>216</v>
      </c>
      <c r="C107" t="s">
        <v>0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</row>
    <row r="108" spans="1:11">
      <c r="A108" s="11" t="s">
        <v>486</v>
      </c>
      <c r="B108" t="s">
        <v>217</v>
      </c>
      <c r="C108" t="s">
        <v>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</row>
    <row r="109" spans="1:11">
      <c r="A109" s="11" t="s">
        <v>486</v>
      </c>
      <c r="B109" t="s">
        <v>196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</row>
    <row r="110" spans="1:11">
      <c r="A110" s="11" t="s">
        <v>486</v>
      </c>
      <c r="B110" t="s">
        <v>206</v>
      </c>
      <c r="C110" t="s">
        <v>0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</row>
    <row r="111" spans="1:11">
      <c r="A111" s="11" t="s">
        <v>486</v>
      </c>
      <c r="B111" t="s">
        <v>207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</row>
    <row r="112" spans="1:11">
      <c r="A112" s="11" t="s">
        <v>486</v>
      </c>
      <c r="B112" t="s">
        <v>197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</row>
    <row r="113" spans="1:11">
      <c r="A113" s="11" t="s">
        <v>486</v>
      </c>
      <c r="B113" t="s">
        <v>198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</row>
    <row r="114" spans="1:11">
      <c r="A114" s="11" t="s">
        <v>486</v>
      </c>
      <c r="B114" t="s">
        <v>199</v>
      </c>
      <c r="C114" t="s">
        <v>0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</row>
    <row r="115" spans="1:11">
      <c r="A115" s="11" t="s">
        <v>486</v>
      </c>
      <c r="B115" t="s">
        <v>200</v>
      </c>
      <c r="C115" t="s">
        <v>0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</row>
    <row r="116" spans="1:11">
      <c r="A116" s="11" t="s">
        <v>486</v>
      </c>
      <c r="B116" t="s">
        <v>201</v>
      </c>
      <c r="C116" t="s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</row>
    <row r="117" spans="1:11">
      <c r="A117" s="11" t="s">
        <v>486</v>
      </c>
      <c r="B117" t="s">
        <v>202</v>
      </c>
      <c r="C117" t="s">
        <v>0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</row>
    <row r="118" spans="1:11">
      <c r="A118" s="11" t="s">
        <v>486</v>
      </c>
      <c r="B118" t="s">
        <v>230</v>
      </c>
      <c r="C118" t="s">
        <v>0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</row>
    <row r="119" spans="1:11">
      <c r="A119" s="11" t="s">
        <v>486</v>
      </c>
      <c r="B119" t="s">
        <v>218</v>
      </c>
      <c r="C119" t="s">
        <v>0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</row>
    <row r="120" spans="1:11">
      <c r="A120" s="11" t="s">
        <v>486</v>
      </c>
      <c r="B120" t="s">
        <v>219</v>
      </c>
      <c r="C120" t="s">
        <v>0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</row>
    <row r="121" spans="1:11">
      <c r="A121" s="11" t="s">
        <v>486</v>
      </c>
      <c r="B121" t="s">
        <v>220</v>
      </c>
      <c r="C121" t="s">
        <v>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</row>
    <row r="122" spans="1:11">
      <c r="A122" s="11" t="s">
        <v>486</v>
      </c>
      <c r="B122" t="s">
        <v>203</v>
      </c>
      <c r="C122" t="s">
        <v>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</row>
    <row r="123" spans="1:11">
      <c r="A123" s="11" t="s">
        <v>486</v>
      </c>
      <c r="B123" t="s">
        <v>208</v>
      </c>
      <c r="C123" t="s">
        <v>0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</row>
    <row r="124" spans="1:11">
      <c r="A124" s="11" t="s">
        <v>486</v>
      </c>
      <c r="B124" t="s">
        <v>204</v>
      </c>
      <c r="C124" t="s">
        <v>0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</row>
    <row r="125" spans="1:11">
      <c r="A125" s="11" t="s">
        <v>486</v>
      </c>
      <c r="B125" t="s">
        <v>211</v>
      </c>
      <c r="C125" t="s">
        <v>0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</row>
    <row r="126" spans="1:11">
      <c r="A126" s="11" t="s">
        <v>486</v>
      </c>
      <c r="B126" t="s">
        <v>209</v>
      </c>
      <c r="C126" t="s">
        <v>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</row>
    <row r="127" spans="1:11">
      <c r="A127" s="11" t="s">
        <v>486</v>
      </c>
      <c r="B127" t="s">
        <v>210</v>
      </c>
      <c r="C127" t="s">
        <v>0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</row>
    <row r="128" spans="1:11">
      <c r="A128" s="11" t="s">
        <v>486</v>
      </c>
      <c r="B128" t="s">
        <v>221</v>
      </c>
      <c r="C128" t="s">
        <v>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</row>
    <row r="129" spans="1:11">
      <c r="A129" s="11" t="s">
        <v>486</v>
      </c>
      <c r="B129" t="s">
        <v>212</v>
      </c>
      <c r="C129" t="s">
        <v>0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</row>
    <row r="130" spans="1:11">
      <c r="A130" s="11" t="s">
        <v>486</v>
      </c>
      <c r="B130" t="s">
        <v>224</v>
      </c>
      <c r="C130" t="s">
        <v>0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</row>
    <row r="131" spans="1:11">
      <c r="A131" s="11" t="s">
        <v>486</v>
      </c>
      <c r="B131" t="s">
        <v>225</v>
      </c>
      <c r="C131" t="s">
        <v>0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</row>
    <row r="132" spans="1:11">
      <c r="A132" s="11" t="s">
        <v>486</v>
      </c>
      <c r="B132" t="s">
        <v>226</v>
      </c>
      <c r="C132" t="s">
        <v>0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</row>
    <row r="133" spans="1:11">
      <c r="A133" s="11" t="s">
        <v>486</v>
      </c>
      <c r="B133" t="s">
        <v>227</v>
      </c>
      <c r="C133" t="s">
        <v>0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</row>
    <row r="134" spans="1:11">
      <c r="A134" s="11" t="s">
        <v>486</v>
      </c>
      <c r="B134" t="s">
        <v>228</v>
      </c>
      <c r="C134" t="s">
        <v>0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</row>
    <row r="135" spans="1:11">
      <c r="A135" s="11" t="s">
        <v>486</v>
      </c>
      <c r="B135" t="s">
        <v>229</v>
      </c>
      <c r="C135" t="s">
        <v>0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</row>
    <row r="136" spans="1:11">
      <c r="A136" s="11" t="s">
        <v>486</v>
      </c>
      <c r="B136" t="s">
        <v>235</v>
      </c>
      <c r="C136" t="s">
        <v>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</row>
    <row r="137" spans="1:11">
      <c r="A137" s="11" t="s">
        <v>486</v>
      </c>
      <c r="B137" t="s">
        <v>235</v>
      </c>
      <c r="C137" t="s">
        <v>0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</row>
    <row r="138" spans="1:11">
      <c r="A138" s="11" t="s">
        <v>486</v>
      </c>
      <c r="B138" t="s">
        <v>235</v>
      </c>
      <c r="C138" t="s">
        <v>0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</row>
    <row r="139" spans="1:11">
      <c r="A139" s="11" t="s">
        <v>486</v>
      </c>
      <c r="B139" t="s">
        <v>235</v>
      </c>
      <c r="C139" t="s">
        <v>0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</row>
    <row r="140" spans="1:11">
      <c r="A140" s="11" t="s">
        <v>486</v>
      </c>
      <c r="B140" t="s">
        <v>236</v>
      </c>
      <c r="C140" t="s">
        <v>0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</row>
    <row r="141" spans="1:11">
      <c r="A141" s="11" t="s">
        <v>486</v>
      </c>
      <c r="B141" t="s">
        <v>248</v>
      </c>
      <c r="C141" t="s">
        <v>0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</row>
    <row r="142" spans="1:11">
      <c r="A142" s="11" t="s">
        <v>486</v>
      </c>
      <c r="B142" t="s">
        <v>242</v>
      </c>
      <c r="C142" t="s">
        <v>0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</row>
    <row r="143" spans="1:11">
      <c r="A143" s="11" t="s">
        <v>486</v>
      </c>
      <c r="B143" t="s">
        <v>243</v>
      </c>
      <c r="C143" t="s">
        <v>0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</row>
    <row r="144" spans="1:11">
      <c r="A144" s="11" t="s">
        <v>486</v>
      </c>
      <c r="B144" t="s">
        <v>249</v>
      </c>
      <c r="C144" t="s">
        <v>0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</row>
    <row r="145" spans="1:11">
      <c r="A145" s="11" t="s">
        <v>486</v>
      </c>
      <c r="B145" t="s">
        <v>240</v>
      </c>
      <c r="C145" t="s">
        <v>0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</row>
    <row r="146" spans="1:11">
      <c r="A146" s="11" t="s">
        <v>486</v>
      </c>
      <c r="B146" t="s">
        <v>241</v>
      </c>
      <c r="C146" t="s">
        <v>0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</row>
    <row r="147" spans="1:11">
      <c r="A147" s="11" t="s">
        <v>486</v>
      </c>
      <c r="B147" t="s">
        <v>244</v>
      </c>
      <c r="C147" t="s">
        <v>0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</row>
    <row r="148" spans="1:11">
      <c r="A148" s="11" t="s">
        <v>486</v>
      </c>
      <c r="B148" t="s">
        <v>245</v>
      </c>
      <c r="C148" t="s">
        <v>0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</row>
    <row r="149" spans="1:11">
      <c r="A149" s="11" t="s">
        <v>486</v>
      </c>
      <c r="B149" t="s">
        <v>237</v>
      </c>
      <c r="C149" t="s">
        <v>0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</row>
    <row r="150" spans="1:11">
      <c r="A150" s="11" t="s">
        <v>486</v>
      </c>
      <c r="B150" t="s">
        <v>238</v>
      </c>
      <c r="C150" t="s">
        <v>0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</row>
    <row r="151" spans="1:11">
      <c r="A151" s="11" t="s">
        <v>486</v>
      </c>
      <c r="B151" t="s">
        <v>239</v>
      </c>
      <c r="C151" t="s">
        <v>0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</row>
    <row r="152" spans="1:11">
      <c r="A152" s="11" t="s">
        <v>486</v>
      </c>
      <c r="B152" t="s">
        <v>246</v>
      </c>
      <c r="C152" t="s">
        <v>0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</row>
    <row r="153" spans="1:11">
      <c r="A153" s="11" t="s">
        <v>486</v>
      </c>
      <c r="B153" t="s">
        <v>247</v>
      </c>
      <c r="C153" t="s">
        <v>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</row>
    <row r="154" spans="1:11">
      <c r="A154" s="11" t="s">
        <v>486</v>
      </c>
      <c r="B154" t="s">
        <v>250</v>
      </c>
      <c r="C154" t="s">
        <v>0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</row>
    <row r="155" spans="1:11">
      <c r="A155" s="11" t="s">
        <v>486</v>
      </c>
      <c r="B155" s="2" t="s">
        <v>297</v>
      </c>
      <c r="C155" t="s">
        <v>0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</row>
    <row r="156" spans="1:11">
      <c r="A156" s="11" t="s">
        <v>486</v>
      </c>
      <c r="B156" s="2" t="s">
        <v>298</v>
      </c>
      <c r="C156" t="s">
        <v>0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</row>
    <row r="157" spans="1:11">
      <c r="A157" s="11" t="s">
        <v>486</v>
      </c>
      <c r="B157" s="2" t="s">
        <v>299</v>
      </c>
      <c r="C157" t="s">
        <v>0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</row>
    <row r="158" spans="1:11">
      <c r="A158" s="11" t="s">
        <v>486</v>
      </c>
      <c r="B158" t="s">
        <v>312</v>
      </c>
      <c r="C158" t="s">
        <v>0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</row>
    <row r="159" spans="1:11">
      <c r="A159" s="11" t="s">
        <v>486</v>
      </c>
      <c r="B159" t="s">
        <v>313</v>
      </c>
      <c r="C159" t="s">
        <v>0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</row>
    <row r="160" spans="1:11">
      <c r="A160" s="11" t="s">
        <v>486</v>
      </c>
      <c r="B160" t="s">
        <v>416</v>
      </c>
      <c r="C160" t="s">
        <v>0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</row>
    <row r="161" spans="1:11">
      <c r="A161" s="11" t="s">
        <v>486</v>
      </c>
      <c r="B161" t="s">
        <v>95</v>
      </c>
      <c r="C161" t="s">
        <v>0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</row>
    <row r="162" spans="1:11">
      <c r="A162" s="11" t="s">
        <v>486</v>
      </c>
      <c r="B162" t="s">
        <v>96</v>
      </c>
      <c r="C162" t="s">
        <v>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</row>
    <row r="163" spans="1:11">
      <c r="A163" s="11" t="s">
        <v>486</v>
      </c>
      <c r="B163" t="s">
        <v>422</v>
      </c>
      <c r="C163" t="s">
        <v>0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</row>
    <row r="164" spans="1:11">
      <c r="A164" s="11" t="s">
        <v>486</v>
      </c>
      <c r="B164" t="s">
        <v>420</v>
      </c>
      <c r="C164" t="s">
        <v>0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</row>
    <row r="165" spans="1:11">
      <c r="A165" s="11" t="s">
        <v>486</v>
      </c>
      <c r="B165" t="s">
        <v>424</v>
      </c>
      <c r="C165" t="s">
        <v>0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</row>
    <row r="166" spans="1:11">
      <c r="A166" s="11" t="s">
        <v>486</v>
      </c>
      <c r="B166" t="s">
        <v>425</v>
      </c>
      <c r="C166" t="s">
        <v>0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</row>
    <row r="167" spans="1:11">
      <c r="A167" s="11" t="s">
        <v>486</v>
      </c>
      <c r="B167" t="s">
        <v>417</v>
      </c>
      <c r="C167" t="s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</row>
    <row r="168" spans="1:11">
      <c r="A168" s="11" t="s">
        <v>486</v>
      </c>
      <c r="B168" t="s">
        <v>418</v>
      </c>
      <c r="C168" t="s">
        <v>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</row>
    <row r="169" spans="1:11">
      <c r="A169" s="11" t="s">
        <v>486</v>
      </c>
      <c r="B169" t="s">
        <v>419</v>
      </c>
      <c r="C169" t="s">
        <v>0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</row>
    <row r="170" spans="1:11">
      <c r="A170" s="11" t="s">
        <v>486</v>
      </c>
      <c r="B170" t="s">
        <v>423</v>
      </c>
      <c r="C170" t="s">
        <v>0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</row>
    <row r="171" spans="1:11">
      <c r="A171" s="11" t="s">
        <v>486</v>
      </c>
      <c r="B171" t="s">
        <v>421</v>
      </c>
      <c r="C171" t="s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</row>
    <row r="172" spans="1:11">
      <c r="A172" s="11" t="s">
        <v>486</v>
      </c>
      <c r="B172" t="s">
        <v>426</v>
      </c>
      <c r="C172" t="s">
        <v>0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</row>
    <row r="173" spans="1:11">
      <c r="A173" s="11" t="s">
        <v>486</v>
      </c>
      <c r="B173" t="s">
        <v>429</v>
      </c>
      <c r="C173" t="s">
        <v>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</row>
    <row r="174" spans="1:11">
      <c r="A174" s="11" t="s">
        <v>486</v>
      </c>
      <c r="B174" t="s">
        <v>431</v>
      </c>
      <c r="C174" t="s">
        <v>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</row>
    <row r="175" spans="1:11">
      <c r="A175" s="11" t="s">
        <v>486</v>
      </c>
      <c r="B175" t="s">
        <v>430</v>
      </c>
      <c r="C175" t="s">
        <v>0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</row>
  </sheetData>
  <dataValidations count="2">
    <dataValidation type="list" allowBlank="1" showInputMessage="1" showErrorMessage="1" sqref="B86 B156:C156 C6:C155 C157:C188 B12" xr:uid="{00000000-0002-0000-1200-000000000000}">
      <formula1>Technologies</formula1>
    </dataValidation>
    <dataValidation type="list" allowBlank="1" showInputMessage="1" showErrorMessage="1" sqref="A6:A175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B18" sqref="B18"/>
    </sheetView>
  </sheetViews>
  <sheetFormatPr defaultColWidth="11.42578125" defaultRowHeight="15"/>
  <cols>
    <col min="1" max="1" width="17.5703125" customWidth="1"/>
  </cols>
  <sheetData>
    <row r="1" spans="1:3">
      <c r="A1" t="s">
        <v>367</v>
      </c>
    </row>
    <row r="2" spans="1:3">
      <c r="A2" t="s">
        <v>321</v>
      </c>
    </row>
    <row r="3" spans="1:3">
      <c r="A3" t="s">
        <v>368</v>
      </c>
    </row>
    <row r="5" spans="1:3">
      <c r="A5" t="s">
        <v>143</v>
      </c>
      <c r="B5" t="s">
        <v>0</v>
      </c>
      <c r="C5">
        <f>0.0946</f>
        <v>9.4600000000000004E-2</v>
      </c>
    </row>
    <row r="6" spans="1:3">
      <c r="A6" t="s">
        <v>144</v>
      </c>
      <c r="B6" t="s">
        <v>0</v>
      </c>
      <c r="C6">
        <f>101000/1000000</f>
        <v>0.10100000000000001</v>
      </c>
    </row>
    <row r="7" spans="1:3">
      <c r="A7" t="s">
        <v>183</v>
      </c>
      <c r="B7" t="s">
        <v>0</v>
      </c>
      <c r="C7">
        <f>0.0561</f>
        <v>5.6099999999999997E-2</v>
      </c>
    </row>
    <row r="8" spans="1:3">
      <c r="A8" t="s">
        <v>130</v>
      </c>
      <c r="B8" t="s">
        <v>0</v>
      </c>
      <c r="C8">
        <f>73300/1000000</f>
        <v>7.3300000000000004E-2</v>
      </c>
    </row>
    <row r="9" spans="1:3">
      <c r="A9" t="s">
        <v>133</v>
      </c>
      <c r="B9" t="s">
        <v>0</v>
      </c>
      <c r="C9">
        <v>0.11</v>
      </c>
    </row>
    <row r="10" spans="1:3">
      <c r="A10" t="s">
        <v>252</v>
      </c>
      <c r="B10" t="s">
        <v>0</v>
      </c>
      <c r="C10">
        <v>1</v>
      </c>
    </row>
    <row r="11" spans="1:3">
      <c r="A11" t="s">
        <v>293</v>
      </c>
      <c r="B11" t="s">
        <v>0</v>
      </c>
      <c r="C11">
        <f>C7</f>
        <v>5.6099999999999997E-2</v>
      </c>
    </row>
    <row r="12" spans="1:3">
      <c r="A12" t="s">
        <v>317</v>
      </c>
      <c r="B12" t="s">
        <v>0</v>
      </c>
      <c r="C12">
        <v>1</v>
      </c>
    </row>
    <row r="13" spans="1:3">
      <c r="A13" t="s">
        <v>318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/>
  <dimension ref="A1:J41"/>
  <sheetViews>
    <sheetView workbookViewId="0">
      <selection activeCell="F25" sqref="F25"/>
    </sheetView>
  </sheetViews>
  <sheetFormatPr defaultColWidth="11.42578125" defaultRowHeight="15"/>
  <cols>
    <col min="1" max="1" width="42.42578125" customWidth="1"/>
    <col min="2" max="2" width="21.42578125" customWidth="1"/>
    <col min="3" max="3" width="17.42578125" customWidth="1"/>
    <col min="4" max="4" width="20.42578125" customWidth="1"/>
    <col min="5" max="5" width="17.42578125" customWidth="1"/>
    <col min="6" max="6" width="20.42578125" customWidth="1"/>
    <col min="7" max="7" width="17.42578125" customWidth="1"/>
    <col min="8" max="8" width="20.42578125" customWidth="1"/>
    <col min="9" max="9" width="17.42578125" customWidth="1"/>
    <col min="10" max="10" width="20.42578125" customWidth="1"/>
    <col min="11" max="11" width="5" customWidth="1"/>
    <col min="12" max="12" width="23.42578125" customWidth="1"/>
    <col min="13" max="14" width="16.42578125" customWidth="1"/>
    <col min="15" max="15" width="13.42578125" customWidth="1"/>
  </cols>
  <sheetData>
    <row r="1" spans="1:10">
      <c r="A1" t="s">
        <v>370</v>
      </c>
    </row>
    <row r="2" spans="1:10">
      <c r="A2" t="s">
        <v>5</v>
      </c>
      <c r="B2" s="29"/>
    </row>
    <row r="3" spans="1:10">
      <c r="A3" t="s">
        <v>369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59" t="s">
        <v>480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59" t="s">
        <v>481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59" t="s">
        <v>482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59" t="s">
        <v>483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59" t="s">
        <v>484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59" t="s">
        <v>485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59" t="s">
        <v>486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59" t="s">
        <v>487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 filterMode="1"/>
  <dimension ref="A1:J215"/>
  <sheetViews>
    <sheetView zoomScale="90" zoomScaleNormal="90" zoomScalePageLayoutView="90" workbookViewId="0">
      <selection activeCell="C217" sqref="C217"/>
    </sheetView>
  </sheetViews>
  <sheetFormatPr defaultColWidth="11.42578125" defaultRowHeight="15"/>
  <cols>
    <col min="1" max="1" width="17.42578125" customWidth="1"/>
    <col min="2" max="2" width="25.42578125" customWidth="1"/>
    <col min="3" max="3" width="21.42578125" customWidth="1"/>
    <col min="4" max="4" width="18.42578125" customWidth="1"/>
    <col min="6" max="13" width="13.42578125" customWidth="1"/>
  </cols>
  <sheetData>
    <row r="1" spans="1:10">
      <c r="A1" t="s">
        <v>373</v>
      </c>
    </row>
    <row r="2" spans="1:10">
      <c r="A2" t="s">
        <v>322</v>
      </c>
    </row>
    <row r="3" spans="1:10">
      <c r="A3" t="s">
        <v>372</v>
      </c>
    </row>
    <row r="5" spans="1:10">
      <c r="A5" t="s">
        <v>11</v>
      </c>
      <c r="B5" t="s">
        <v>12</v>
      </c>
      <c r="C5" s="56">
        <v>2018</v>
      </c>
      <c r="D5" s="56">
        <v>2021</v>
      </c>
      <c r="E5" s="56">
        <v>2025</v>
      </c>
      <c r="F5" s="56">
        <v>2030</v>
      </c>
      <c r="G5" s="56">
        <v>2035</v>
      </c>
      <c r="H5" s="56">
        <v>2040</v>
      </c>
      <c r="I5" s="56">
        <v>2045</v>
      </c>
      <c r="J5" s="56">
        <v>2050</v>
      </c>
    </row>
    <row r="6" spans="1:10" hidden="1">
      <c r="A6" s="59" t="s">
        <v>480</v>
      </c>
      <c r="B6" s="59" t="s">
        <v>195</v>
      </c>
      <c r="C6" s="56">
        <v>0</v>
      </c>
      <c r="D6" s="56">
        <v>0</v>
      </c>
      <c r="E6" s="56">
        <v>0</v>
      </c>
      <c r="F6" s="56">
        <v>0</v>
      </c>
      <c r="G6" s="56">
        <v>0</v>
      </c>
      <c r="H6" s="56">
        <v>0</v>
      </c>
      <c r="I6" s="56">
        <v>0</v>
      </c>
      <c r="J6" s="56">
        <v>0</v>
      </c>
    </row>
    <row r="7" spans="1:10" hidden="1">
      <c r="A7" s="59" t="s">
        <v>480</v>
      </c>
      <c r="B7" s="59" t="s">
        <v>193</v>
      </c>
      <c r="C7" s="64">
        <v>0.376776</v>
      </c>
      <c r="D7" s="64">
        <v>0.36</v>
      </c>
      <c r="E7" s="64">
        <v>0.34375628328077751</v>
      </c>
      <c r="F7" s="64">
        <v>0.34375628328077751</v>
      </c>
      <c r="G7" s="64">
        <v>0.34375628328077751</v>
      </c>
      <c r="H7" s="64">
        <v>0.34375628328077751</v>
      </c>
      <c r="I7" s="64">
        <v>0.34375628328077751</v>
      </c>
      <c r="J7" s="64">
        <v>0.34375628328077751</v>
      </c>
    </row>
    <row r="8" spans="1:10" hidden="1">
      <c r="A8" s="59" t="s">
        <v>480</v>
      </c>
      <c r="B8" s="59" t="s">
        <v>257</v>
      </c>
      <c r="C8" s="56">
        <v>8.114346449827026E-3</v>
      </c>
      <c r="D8" s="56">
        <v>1.256734145278088E-2</v>
      </c>
      <c r="E8" s="65">
        <v>1.5040024363583935E-2</v>
      </c>
      <c r="F8" s="65">
        <v>1.5040024363583935E-2</v>
      </c>
      <c r="G8" s="65">
        <v>1.5040024363583935E-2</v>
      </c>
      <c r="H8" s="65">
        <v>1.5040024363583935E-2</v>
      </c>
      <c r="I8" s="65">
        <v>1.5040024363583935E-2</v>
      </c>
      <c r="J8" s="65">
        <v>1.5040024363583935E-2</v>
      </c>
    </row>
    <row r="9" spans="1:10" hidden="1">
      <c r="A9" s="59" t="s">
        <v>480</v>
      </c>
      <c r="B9" s="59" t="s">
        <v>194</v>
      </c>
      <c r="C9" s="56">
        <v>0</v>
      </c>
      <c r="D9" s="56">
        <v>0</v>
      </c>
      <c r="E9" s="56">
        <v>0</v>
      </c>
      <c r="F9" s="56">
        <v>0</v>
      </c>
      <c r="G9" s="56">
        <v>0</v>
      </c>
      <c r="H9" s="56">
        <v>0</v>
      </c>
      <c r="I9" s="56">
        <v>0</v>
      </c>
      <c r="J9" s="56">
        <v>0</v>
      </c>
    </row>
    <row r="10" spans="1:10" hidden="1">
      <c r="A10" s="59" t="s">
        <v>480</v>
      </c>
      <c r="B10" s="59" t="s">
        <v>137</v>
      </c>
      <c r="C10" s="56"/>
      <c r="D10" s="56"/>
      <c r="E10" s="56"/>
      <c r="F10" s="56"/>
      <c r="G10" s="56"/>
      <c r="H10" s="56"/>
      <c r="I10" s="56"/>
      <c r="J10" s="56"/>
    </row>
    <row r="11" spans="1:10" hidden="1">
      <c r="A11" s="59" t="s">
        <v>480</v>
      </c>
      <c r="B11" s="59" t="s">
        <v>15</v>
      </c>
      <c r="C11" s="56">
        <v>0.1165766738660907</v>
      </c>
      <c r="D11" s="60">
        <v>0.11510079193664507</v>
      </c>
      <c r="E11" s="66">
        <v>0.13647275703714637</v>
      </c>
      <c r="F11" s="66">
        <v>0.14070964313144907</v>
      </c>
      <c r="G11" s="66">
        <v>0.1447210325967957</v>
      </c>
      <c r="H11" s="66">
        <v>0.14850774836624264</v>
      </c>
      <c r="I11" s="66">
        <v>0.15207060802400235</v>
      </c>
      <c r="J11" s="66">
        <v>0.15541042385429868</v>
      </c>
    </row>
    <row r="12" spans="1:10" hidden="1">
      <c r="A12" s="59" t="s">
        <v>481</v>
      </c>
      <c r="B12" s="59" t="s">
        <v>195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</row>
    <row r="13" spans="1:10" hidden="1">
      <c r="A13" s="59" t="s">
        <v>481</v>
      </c>
      <c r="B13" s="59" t="s">
        <v>193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</row>
    <row r="14" spans="1:10" hidden="1">
      <c r="A14" s="59" t="s">
        <v>481</v>
      </c>
      <c r="B14" s="59" t="s">
        <v>257</v>
      </c>
      <c r="C14" s="56">
        <v>1.0905437931630502E-3</v>
      </c>
      <c r="D14" s="56">
        <v>1.6890129479476511E-3</v>
      </c>
      <c r="E14" s="65">
        <v>2.0213341049884746E-3</v>
      </c>
      <c r="F14" s="65">
        <v>2.0213341049884746E-3</v>
      </c>
      <c r="G14" s="65">
        <v>2.0213341049884746E-3</v>
      </c>
      <c r="H14" s="65">
        <v>2.0213341049884746E-3</v>
      </c>
      <c r="I14" s="65">
        <v>2.0213341049884746E-3</v>
      </c>
      <c r="J14" s="65">
        <v>2.0213341049884746E-3</v>
      </c>
    </row>
    <row r="15" spans="1:10" hidden="1">
      <c r="A15" s="59" t="s">
        <v>481</v>
      </c>
      <c r="B15" s="59" t="s">
        <v>194</v>
      </c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</row>
    <row r="16" spans="1:10" hidden="1">
      <c r="A16" s="59" t="s">
        <v>481</v>
      </c>
      <c r="B16" s="59" t="s">
        <v>137</v>
      </c>
      <c r="C16" s="56"/>
      <c r="D16" s="56"/>
      <c r="E16" s="56"/>
      <c r="F16" s="56"/>
      <c r="G16" s="56"/>
      <c r="H16" s="56"/>
      <c r="I16" s="56"/>
      <c r="J16" s="56"/>
    </row>
    <row r="17" spans="1:10" hidden="1">
      <c r="A17" s="59" t="s">
        <v>481</v>
      </c>
      <c r="B17" s="59" t="s">
        <v>15</v>
      </c>
      <c r="C17" s="56">
        <v>1.5561555075593952E-2</v>
      </c>
      <c r="D17" s="60">
        <v>1.3898488120950325E-2</v>
      </c>
      <c r="E17" s="66">
        <v>1.6479165439262616E-2</v>
      </c>
      <c r="F17" s="66">
        <v>1.6990771919641122E-2</v>
      </c>
      <c r="G17" s="66">
        <v>1.7475149549842944E-2</v>
      </c>
      <c r="H17" s="66">
        <v>1.7932397699517211E-2</v>
      </c>
      <c r="I17" s="66">
        <v>1.8362615092436998E-2</v>
      </c>
      <c r="J17" s="66">
        <v>1.8765899812398665E-2</v>
      </c>
    </row>
    <row r="18" spans="1:10" hidden="1">
      <c r="A18" s="59" t="s">
        <v>482</v>
      </c>
      <c r="B18" s="59" t="s">
        <v>195</v>
      </c>
      <c r="C18" s="56">
        <v>0</v>
      </c>
      <c r="D18" s="56">
        <v>0</v>
      </c>
      <c r="E18" s="56">
        <v>0</v>
      </c>
      <c r="F18" s="56">
        <v>0</v>
      </c>
      <c r="G18" s="56">
        <v>0</v>
      </c>
      <c r="H18" s="56">
        <v>0</v>
      </c>
      <c r="I18" s="56">
        <v>0</v>
      </c>
      <c r="J18" s="56">
        <v>0</v>
      </c>
    </row>
    <row r="19" spans="1:10" hidden="1">
      <c r="A19" s="59" t="s">
        <v>482</v>
      </c>
      <c r="B19" s="59" t="s">
        <v>193</v>
      </c>
      <c r="C19" s="56">
        <v>0</v>
      </c>
      <c r="D19" s="56">
        <v>0</v>
      </c>
      <c r="E19" s="56">
        <v>0</v>
      </c>
      <c r="F19" s="56">
        <v>0</v>
      </c>
      <c r="G19" s="56">
        <v>0</v>
      </c>
      <c r="H19" s="56">
        <v>0</v>
      </c>
      <c r="I19" s="56">
        <v>0</v>
      </c>
      <c r="J19" s="56">
        <v>0</v>
      </c>
    </row>
    <row r="20" spans="1:10" hidden="1">
      <c r="A20" s="59" t="s">
        <v>482</v>
      </c>
      <c r="B20" s="59" t="s">
        <v>257</v>
      </c>
      <c r="C20" s="56">
        <v>1.9320597788091191E-3</v>
      </c>
      <c r="D20" s="56">
        <v>2.9923364866921722E-3</v>
      </c>
      <c r="E20" s="65">
        <v>3.5810926147735751E-3</v>
      </c>
      <c r="F20" s="65">
        <v>3.5810926147735751E-3</v>
      </c>
      <c r="G20" s="65">
        <v>3.5810926147735751E-3</v>
      </c>
      <c r="H20" s="65">
        <v>3.5810926147735751E-3</v>
      </c>
      <c r="I20" s="65">
        <v>3.5810926147735751E-3</v>
      </c>
      <c r="J20" s="65">
        <v>3.5810926147735751E-3</v>
      </c>
    </row>
    <row r="21" spans="1:10" hidden="1">
      <c r="A21" s="59" t="s">
        <v>482</v>
      </c>
      <c r="B21" s="59" t="s">
        <v>194</v>
      </c>
      <c r="C21" s="56">
        <v>0</v>
      </c>
      <c r="D21" s="56">
        <v>0</v>
      </c>
      <c r="E21" s="56">
        <v>0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</row>
    <row r="22" spans="1:10" hidden="1">
      <c r="A22" s="59" t="s">
        <v>482</v>
      </c>
      <c r="B22" s="59" t="s">
        <v>137</v>
      </c>
      <c r="C22" s="56"/>
      <c r="D22" s="56"/>
      <c r="E22" s="56"/>
      <c r="F22" s="56"/>
      <c r="G22" s="56"/>
      <c r="H22" s="56"/>
      <c r="I22" s="56"/>
      <c r="J22" s="56"/>
    </row>
    <row r="23" spans="1:10" hidden="1">
      <c r="A23" s="59" t="s">
        <v>482</v>
      </c>
      <c r="B23" s="59" t="s">
        <v>15</v>
      </c>
      <c r="C23" s="56">
        <v>3.1504679625629951E-2</v>
      </c>
      <c r="D23" s="60">
        <v>3.0939524838012961E-2</v>
      </c>
      <c r="E23" s="66">
        <v>3.668438926455897E-2</v>
      </c>
      <c r="F23" s="66">
        <v>3.7823280147452842E-2</v>
      </c>
      <c r="G23" s="66">
        <v>3.8901556690209817E-2</v>
      </c>
      <c r="H23" s="66">
        <v>3.9919440100323854E-2</v>
      </c>
      <c r="I23" s="66">
        <v>4.0877150147499611E-2</v>
      </c>
      <c r="J23" s="66">
        <v>4.17749051767849E-2</v>
      </c>
    </row>
    <row r="24" spans="1:10" hidden="1">
      <c r="A24" s="59" t="s">
        <v>483</v>
      </c>
      <c r="B24" s="59" t="s">
        <v>195</v>
      </c>
      <c r="C24" s="56">
        <v>0</v>
      </c>
      <c r="D24" s="56">
        <v>0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6">
        <v>0</v>
      </c>
    </row>
    <row r="25" spans="1:10" hidden="1">
      <c r="A25" s="59" t="s">
        <v>483</v>
      </c>
      <c r="B25" s="59" t="s">
        <v>193</v>
      </c>
      <c r="C25" s="56">
        <v>4.1183999999999998E-2</v>
      </c>
      <c r="D25" s="56">
        <v>3.9600000000000003E-2</v>
      </c>
      <c r="E25" s="64">
        <v>3.7813191161267135E-2</v>
      </c>
      <c r="F25" s="64">
        <v>3.7813191161267135E-2</v>
      </c>
      <c r="G25" s="64">
        <v>3.7813191161267135E-2</v>
      </c>
      <c r="H25" s="64">
        <v>3.7813191161267135E-2</v>
      </c>
      <c r="I25" s="64">
        <v>3.7813191161267135E-2</v>
      </c>
      <c r="J25" s="64">
        <v>3.7813191161267135E-2</v>
      </c>
    </row>
    <row r="26" spans="1:10" hidden="1">
      <c r="A26" s="59" t="s">
        <v>483</v>
      </c>
      <c r="B26" s="59" t="s">
        <v>257</v>
      </c>
      <c r="C26" s="56">
        <v>5.894267353577777E-2</v>
      </c>
      <c r="D26" s="56">
        <v>9.1289262671265595E-2</v>
      </c>
      <c r="E26" s="65">
        <v>0.10925084990076672</v>
      </c>
      <c r="F26" s="65">
        <v>0.10925084990076672</v>
      </c>
      <c r="G26" s="65">
        <v>0.10925084990076672</v>
      </c>
      <c r="H26" s="65">
        <v>0.10925084990076672</v>
      </c>
      <c r="I26" s="65">
        <v>0.10925084990076672</v>
      </c>
      <c r="J26" s="65">
        <v>0.10925084990076672</v>
      </c>
    </row>
    <row r="27" spans="1:10" hidden="1">
      <c r="A27" s="59" t="s">
        <v>483</v>
      </c>
      <c r="B27" s="59" t="s">
        <v>194</v>
      </c>
      <c r="C27" s="56">
        <v>0</v>
      </c>
      <c r="D27" s="56">
        <v>0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6">
        <v>0</v>
      </c>
    </row>
    <row r="28" spans="1:10" hidden="1">
      <c r="A28" s="59" t="s">
        <v>483</v>
      </c>
      <c r="B28" s="59" t="s">
        <v>137</v>
      </c>
      <c r="C28" s="56"/>
      <c r="D28" s="56"/>
      <c r="E28" s="56"/>
      <c r="F28" s="56"/>
      <c r="G28" s="56"/>
      <c r="H28" s="56"/>
      <c r="I28" s="56"/>
      <c r="J28" s="56"/>
    </row>
    <row r="29" spans="1:10" hidden="1">
      <c r="A29" s="59" t="s">
        <v>483</v>
      </c>
      <c r="B29" s="59" t="s">
        <v>15</v>
      </c>
      <c r="C29" s="56">
        <v>0.78448164146868249</v>
      </c>
      <c r="D29" s="60">
        <v>0.78189344852411802</v>
      </c>
      <c r="E29" s="66">
        <v>0.92707576406688252</v>
      </c>
      <c r="F29" s="66">
        <v>0.95585743814173751</v>
      </c>
      <c r="G29" s="66">
        <v>0.98310728664112568</v>
      </c>
      <c r="H29" s="66">
        <v>1.0088308998477424</v>
      </c>
      <c r="I29" s="66">
        <v>1.033033831708946</v>
      </c>
      <c r="J29" s="66">
        <v>1.0557216001686385</v>
      </c>
    </row>
    <row r="30" spans="1:10" hidden="1">
      <c r="A30" s="59" t="s">
        <v>484</v>
      </c>
      <c r="B30" s="59" t="s">
        <v>195</v>
      </c>
      <c r="C30" s="56">
        <v>0</v>
      </c>
      <c r="D30" s="56">
        <v>0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</row>
    <row r="31" spans="1:10" hidden="1">
      <c r="A31" s="59" t="s">
        <v>484</v>
      </c>
      <c r="B31" s="59" t="s">
        <v>193</v>
      </c>
      <c r="C31" s="56">
        <v>8.7840000000000001E-3</v>
      </c>
      <c r="D31" s="56">
        <v>0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</row>
    <row r="32" spans="1:10" hidden="1">
      <c r="A32" s="59" t="s">
        <v>484</v>
      </c>
      <c r="B32" s="59" t="s">
        <v>257</v>
      </c>
      <c r="C32" s="56">
        <v>5.783385247233825E-2</v>
      </c>
      <c r="D32" s="56">
        <v>8.9571942243743374E-2</v>
      </c>
      <c r="E32" s="65">
        <v>0.10719563868787342</v>
      </c>
      <c r="F32" s="65">
        <v>0.10719563868787342</v>
      </c>
      <c r="G32" s="65">
        <v>0.10719563868787342</v>
      </c>
      <c r="H32" s="65">
        <v>0.10719563868787342</v>
      </c>
      <c r="I32" s="65">
        <v>0.10719563868787342</v>
      </c>
      <c r="J32" s="65">
        <v>0.10719563868787342</v>
      </c>
    </row>
    <row r="33" spans="1:10" hidden="1">
      <c r="A33" s="59" t="s">
        <v>484</v>
      </c>
      <c r="B33" s="59" t="s">
        <v>194</v>
      </c>
      <c r="C33" s="56">
        <v>0</v>
      </c>
      <c r="D33" s="56">
        <v>0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6">
        <v>0</v>
      </c>
    </row>
    <row r="34" spans="1:10" hidden="1">
      <c r="A34" s="59" t="s">
        <v>484</v>
      </c>
      <c r="B34" s="59" t="s">
        <v>137</v>
      </c>
      <c r="C34" s="56"/>
      <c r="D34" s="56"/>
      <c r="E34" s="56"/>
      <c r="F34" s="56"/>
      <c r="G34" s="56"/>
      <c r="H34" s="56"/>
      <c r="I34" s="56"/>
      <c r="J34" s="56"/>
    </row>
    <row r="35" spans="1:10" hidden="1">
      <c r="A35" s="59" t="s">
        <v>484</v>
      </c>
      <c r="B35" s="59" t="s">
        <v>15</v>
      </c>
      <c r="C35" s="56">
        <v>0.77597192224622025</v>
      </c>
      <c r="D35" s="60">
        <v>0.77955363570914327</v>
      </c>
      <c r="E35" s="66">
        <v>0.85076199093711924</v>
      </c>
      <c r="F35" s="66">
        <v>0.87717445396064875</v>
      </c>
      <c r="G35" s="66">
        <v>0.90218118616166632</v>
      </c>
      <c r="H35" s="66">
        <v>0.92578731764951205</v>
      </c>
      <c r="I35" s="66">
        <v>0.94799794518919112</v>
      </c>
      <c r="J35" s="66">
        <v>0.96881813250593762</v>
      </c>
    </row>
    <row r="36" spans="1:10" hidden="1">
      <c r="A36" s="59" t="s">
        <v>485</v>
      </c>
      <c r="B36" s="59" t="s">
        <v>195</v>
      </c>
      <c r="C36" s="56">
        <v>0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</row>
    <row r="37" spans="1:10" hidden="1">
      <c r="A37" s="59" t="s">
        <v>485</v>
      </c>
      <c r="B37" s="59" t="s">
        <v>193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</row>
    <row r="38" spans="1:10" hidden="1">
      <c r="A38" s="59" t="s">
        <v>485</v>
      </c>
      <c r="B38" s="59" t="s">
        <v>257</v>
      </c>
      <c r="C38" s="56">
        <v>7.5915403646270016E-2</v>
      </c>
      <c r="D38" s="56">
        <v>0.11757629589117428</v>
      </c>
      <c r="E38" s="65">
        <v>0.14070997922889389</v>
      </c>
      <c r="F38" s="65">
        <v>0.14070997922889389</v>
      </c>
      <c r="G38" s="65">
        <v>0.14070997922889389</v>
      </c>
      <c r="H38" s="65">
        <v>0.14070997922889389</v>
      </c>
      <c r="I38" s="65">
        <v>0.14070997922889389</v>
      </c>
      <c r="J38" s="65">
        <v>0.14070997922889389</v>
      </c>
    </row>
    <row r="39" spans="1:10" hidden="1">
      <c r="A39" s="59" t="s">
        <v>485</v>
      </c>
      <c r="B39" s="59" t="s">
        <v>194</v>
      </c>
      <c r="C39" s="56">
        <v>0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</row>
    <row r="40" spans="1:10" hidden="1">
      <c r="A40" s="59" t="s">
        <v>485</v>
      </c>
      <c r="B40" s="59" t="s">
        <v>137</v>
      </c>
      <c r="C40" s="56"/>
      <c r="D40" s="56"/>
      <c r="E40" s="56"/>
      <c r="F40" s="56"/>
      <c r="G40" s="56"/>
      <c r="H40" s="56"/>
      <c r="I40" s="56"/>
      <c r="J40" s="56"/>
    </row>
    <row r="41" spans="1:10" hidden="1">
      <c r="A41" s="59" t="s">
        <v>485</v>
      </c>
      <c r="B41" s="59" t="s">
        <v>15</v>
      </c>
      <c r="C41" s="56">
        <v>2.0844240460763137</v>
      </c>
      <c r="D41" s="60">
        <v>2.0304895608351332</v>
      </c>
      <c r="E41" s="66">
        <v>2.4075117454868851</v>
      </c>
      <c r="F41" s="66">
        <v>2.482254523882923</v>
      </c>
      <c r="G41" s="66">
        <v>2.5530193231235194</v>
      </c>
      <c r="H41" s="66">
        <v>2.6198206605456287</v>
      </c>
      <c r="I41" s="66">
        <v>2.6826729591274114</v>
      </c>
      <c r="J41" s="66">
        <v>2.7415905483500937</v>
      </c>
    </row>
    <row r="42" spans="1:10" hidden="1">
      <c r="A42" s="59" t="s">
        <v>486</v>
      </c>
      <c r="B42" s="59" t="s">
        <v>195</v>
      </c>
      <c r="C42" s="56">
        <v>0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</row>
    <row r="43" spans="1:10" hidden="1">
      <c r="A43" s="59" t="s">
        <v>486</v>
      </c>
      <c r="B43" s="59" t="s">
        <v>193</v>
      </c>
      <c r="C43" s="56">
        <v>4.3920000000000001E-3</v>
      </c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</row>
    <row r="44" spans="1:10" hidden="1">
      <c r="A44" s="59" t="s">
        <v>486</v>
      </c>
      <c r="B44" s="59" t="s">
        <v>257</v>
      </c>
      <c r="C44" s="56">
        <v>4.354026556320606E-2</v>
      </c>
      <c r="D44" s="56">
        <v>6.7434313738136201E-2</v>
      </c>
      <c r="E44" s="65">
        <v>8.0702328760129921E-2</v>
      </c>
      <c r="F44" s="65">
        <v>8.0702328760129921E-2</v>
      </c>
      <c r="G44" s="65">
        <v>8.0702328760129921E-2</v>
      </c>
      <c r="H44" s="65">
        <v>8.0702328760129921E-2</v>
      </c>
      <c r="I44" s="65">
        <v>8.0702328760129921E-2</v>
      </c>
      <c r="J44" s="65">
        <v>8.0702328760129921E-2</v>
      </c>
    </row>
    <row r="45" spans="1:10" hidden="1">
      <c r="A45" s="59" t="s">
        <v>486</v>
      </c>
      <c r="B45" s="59" t="s">
        <v>194</v>
      </c>
      <c r="C45" s="56">
        <v>0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</row>
    <row r="46" spans="1:10" hidden="1">
      <c r="A46" s="59" t="s">
        <v>486</v>
      </c>
      <c r="B46" s="59" t="s">
        <v>137</v>
      </c>
      <c r="C46" s="56"/>
      <c r="D46" s="56"/>
      <c r="E46" s="56"/>
      <c r="F46" s="56"/>
      <c r="G46" s="56"/>
      <c r="H46" s="56"/>
      <c r="I46" s="56"/>
      <c r="J46" s="56"/>
    </row>
    <row r="47" spans="1:10" hidden="1">
      <c r="A47" s="59" t="s">
        <v>486</v>
      </c>
      <c r="B47" s="59" t="s">
        <v>15</v>
      </c>
      <c r="C47" s="56">
        <v>0.5955903527717783</v>
      </c>
      <c r="D47" s="60">
        <v>0.59399928005759539</v>
      </c>
      <c r="E47" s="66">
        <v>0.70429332469024664</v>
      </c>
      <c r="F47" s="66">
        <v>0.72615857207348877</v>
      </c>
      <c r="G47" s="66">
        <v>0.74686010170117423</v>
      </c>
      <c r="H47" s="66">
        <v>0.76640216047408272</v>
      </c>
      <c r="I47" s="66">
        <v>0.78478896768927908</v>
      </c>
      <c r="J47" s="66">
        <v>0.8020247152922404</v>
      </c>
    </row>
    <row r="48" spans="1:10" hidden="1">
      <c r="A48" s="59" t="s">
        <v>487</v>
      </c>
      <c r="B48" s="59" t="s">
        <v>195</v>
      </c>
      <c r="C48" s="56">
        <v>0</v>
      </c>
      <c r="D48" s="56">
        <v>0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6">
        <v>0</v>
      </c>
    </row>
    <row r="49" spans="1:10" hidden="1">
      <c r="A49" s="59" t="s">
        <v>487</v>
      </c>
      <c r="B49" s="59" t="s">
        <v>193</v>
      </c>
      <c r="C49" s="56">
        <v>0</v>
      </c>
      <c r="D49" s="56">
        <v>0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6">
        <v>0</v>
      </c>
    </row>
    <row r="50" spans="1:10" hidden="1">
      <c r="A50" s="59" t="s">
        <v>487</v>
      </c>
      <c r="B50" s="59" t="s">
        <v>257</v>
      </c>
      <c r="C50" s="56">
        <v>4.7830854760608728E-2</v>
      </c>
      <c r="D50" s="56">
        <v>7.4079494568259852E-2</v>
      </c>
      <c r="E50" s="65">
        <v>8.8654979840789877E-2</v>
      </c>
      <c r="F50" s="65">
        <v>8.8654979840789877E-2</v>
      </c>
      <c r="G50" s="65">
        <v>8.8654979840789877E-2</v>
      </c>
      <c r="H50" s="65">
        <v>8.8654979840789877E-2</v>
      </c>
      <c r="I50" s="65">
        <v>8.8654979840789877E-2</v>
      </c>
      <c r="J50" s="65">
        <v>8.8654979840789877E-2</v>
      </c>
    </row>
    <row r="51" spans="1:10" hidden="1">
      <c r="A51" s="59" t="s">
        <v>487</v>
      </c>
      <c r="B51" s="59" t="s">
        <v>194</v>
      </c>
      <c r="C51" s="56">
        <v>0</v>
      </c>
      <c r="D51" s="56">
        <v>0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6">
        <v>0</v>
      </c>
    </row>
    <row r="52" spans="1:10" hidden="1">
      <c r="A52" s="59" t="s">
        <v>487</v>
      </c>
      <c r="B52" s="59" t="s">
        <v>137</v>
      </c>
      <c r="D52" s="56"/>
      <c r="E52" s="56"/>
      <c r="F52" s="56"/>
      <c r="G52" s="56"/>
      <c r="H52" s="56"/>
      <c r="I52" s="56"/>
      <c r="J52" s="56"/>
    </row>
    <row r="53" spans="1:10" hidden="1">
      <c r="A53" s="59" t="s">
        <v>487</v>
      </c>
      <c r="B53" s="59" t="s">
        <v>15</v>
      </c>
      <c r="C53" s="56">
        <v>0.86984161267098625</v>
      </c>
      <c r="D53" s="60">
        <v>0.83686105111591069</v>
      </c>
      <c r="E53" s="66">
        <v>0.99224977501159628</v>
      </c>
      <c r="F53" s="66">
        <v>1.0230548189272644</v>
      </c>
      <c r="G53" s="66">
        <v>1.0522203489633482</v>
      </c>
      <c r="H53" s="66">
        <v>1.0797523484029423</v>
      </c>
      <c r="I53" s="66">
        <v>1.1056567616394077</v>
      </c>
      <c r="J53" s="66">
        <v>1.1299394945315826</v>
      </c>
    </row>
    <row r="54" spans="1:10">
      <c r="A54" t="s">
        <v>485</v>
      </c>
      <c r="B54" t="s">
        <v>138</v>
      </c>
      <c r="C54">
        <v>6.4918076281656729</v>
      </c>
      <c r="D54">
        <v>5.6721738636433523</v>
      </c>
      <c r="E54">
        <v>5.6721738636433523</v>
      </c>
      <c r="F54">
        <v>5.6721738636433523</v>
      </c>
      <c r="G54">
        <v>5.6721738636433523</v>
      </c>
      <c r="H54">
        <v>5.6721738636433523</v>
      </c>
      <c r="I54">
        <v>5.6721738636433523</v>
      </c>
      <c r="J54">
        <v>5.6721738636433523</v>
      </c>
    </row>
    <row r="55" spans="1:10">
      <c r="A55" t="s">
        <v>487</v>
      </c>
      <c r="B55" t="s">
        <v>138</v>
      </c>
      <c r="C55">
        <v>1.3063877543100479</v>
      </c>
      <c r="D55">
        <v>1.7301026268517314</v>
      </c>
      <c r="E55">
        <v>1.7301026268517314</v>
      </c>
      <c r="F55">
        <v>1.7301026268517314</v>
      </c>
      <c r="G55">
        <v>1.7301026268517314</v>
      </c>
      <c r="H55">
        <v>1.7301026268517314</v>
      </c>
      <c r="I55">
        <v>1.7301026268517314</v>
      </c>
      <c r="J55">
        <v>1.7301026268517314</v>
      </c>
    </row>
    <row r="56" spans="1:10">
      <c r="A56" t="s">
        <v>481</v>
      </c>
      <c r="B56" t="s">
        <v>138</v>
      </c>
      <c r="C56">
        <v>2.9785649118282811E-2</v>
      </c>
      <c r="D56">
        <v>3.9446350910753242E-2</v>
      </c>
      <c r="E56">
        <v>3.9446350910753242E-2</v>
      </c>
      <c r="F56">
        <v>3.9446350910753242E-2</v>
      </c>
      <c r="G56">
        <v>3.9446350910753242E-2</v>
      </c>
      <c r="H56">
        <v>3.9446350910753242E-2</v>
      </c>
      <c r="I56">
        <v>3.9446350910753242E-2</v>
      </c>
      <c r="J56">
        <v>3.9446350910753242E-2</v>
      </c>
    </row>
    <row r="57" spans="1:10">
      <c r="A57" t="s">
        <v>486</v>
      </c>
      <c r="B57" t="s">
        <v>138</v>
      </c>
      <c r="C57">
        <v>1.1892003610611614</v>
      </c>
      <c r="D57">
        <v>1.5749065786455971</v>
      </c>
      <c r="E57">
        <v>1.5749065786455971</v>
      </c>
      <c r="F57">
        <v>1.5749065786455971</v>
      </c>
      <c r="G57">
        <v>1.5749065786455971</v>
      </c>
      <c r="H57">
        <v>1.5749065786455971</v>
      </c>
      <c r="I57">
        <v>1.5749065786455971</v>
      </c>
      <c r="J57">
        <v>1.5749065786455971</v>
      </c>
    </row>
    <row r="58" spans="1:10">
      <c r="A58" t="s">
        <v>480</v>
      </c>
      <c r="B58" t="s">
        <v>138</v>
      </c>
      <c r="C58">
        <v>0.2216243654715806</v>
      </c>
      <c r="D58">
        <v>0.29350619340368422</v>
      </c>
      <c r="E58">
        <v>0.29350619340368422</v>
      </c>
      <c r="F58">
        <v>0.29350619340368422</v>
      </c>
      <c r="G58">
        <v>0.29350619340368422</v>
      </c>
      <c r="H58">
        <v>0.29350619340368422</v>
      </c>
      <c r="I58">
        <v>0.29350619340368422</v>
      </c>
      <c r="J58">
        <v>0.29350619340368422</v>
      </c>
    </row>
    <row r="59" spans="1:10">
      <c r="A59" t="s">
        <v>483</v>
      </c>
      <c r="B59" t="s">
        <v>138</v>
      </c>
      <c r="C59">
        <v>1.6098810547883051</v>
      </c>
      <c r="D59">
        <v>2.1320311925911168</v>
      </c>
      <c r="E59">
        <v>2.1320311925911168</v>
      </c>
      <c r="F59">
        <v>2.1320311925911168</v>
      </c>
      <c r="G59">
        <v>2.1320311925911168</v>
      </c>
      <c r="H59">
        <v>2.1320311925911168</v>
      </c>
      <c r="I59">
        <v>2.1320311925911168</v>
      </c>
      <c r="J59">
        <v>2.1320311925911168</v>
      </c>
    </row>
    <row r="60" spans="1:10">
      <c r="A60" t="s">
        <v>484</v>
      </c>
      <c r="B60" t="s">
        <v>138</v>
      </c>
      <c r="C60">
        <v>1.5795962048468111</v>
      </c>
      <c r="D60">
        <v>2.0919237296539266</v>
      </c>
      <c r="E60">
        <v>2.0919237296539266</v>
      </c>
      <c r="F60">
        <v>2.0919237296539266</v>
      </c>
      <c r="G60">
        <v>2.0919237296539266</v>
      </c>
      <c r="H60">
        <v>2.0919237296539266</v>
      </c>
      <c r="I60">
        <v>2.0919237296539266</v>
      </c>
      <c r="J60">
        <v>2.0919237296539266</v>
      </c>
    </row>
    <row r="61" spans="1:10">
      <c r="A61" t="s">
        <v>482</v>
      </c>
      <c r="B61" t="s">
        <v>138</v>
      </c>
      <c r="C61">
        <v>5.2769687020309708E-2</v>
      </c>
      <c r="D61">
        <v>6.9885050461299558E-2</v>
      </c>
      <c r="E61">
        <v>6.9885050461299558E-2</v>
      </c>
      <c r="F61">
        <v>6.9885050461299558E-2</v>
      </c>
      <c r="G61">
        <v>6.9885050461299558E-2</v>
      </c>
      <c r="H61">
        <v>6.9885050461299558E-2</v>
      </c>
      <c r="I61">
        <v>6.9885050461299558E-2</v>
      </c>
      <c r="J61">
        <v>6.9885050461299558E-2</v>
      </c>
    </row>
    <row r="62" spans="1:10" hidden="1"/>
    <row r="63" spans="1:10" hidden="1"/>
    <row r="64" spans="1:10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</sheetData>
  <autoFilter ref="A5:BH215" xr:uid="{00000000-0009-0000-0000-000015000000}">
    <filterColumn colId="1">
      <filters>
        <filter val="Mobility_Passenger"/>
      </filters>
    </filterColumn>
    <sortState xmlns:xlrd2="http://schemas.microsoft.com/office/spreadsheetml/2017/richdata2" ref="A6:BH215">
      <sortCondition ref="B5:B215"/>
    </sortState>
  </autoFilter>
  <conditionalFormatting sqref="A6:A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/>
  <dimension ref="A1:I41"/>
  <sheetViews>
    <sheetView workbookViewId="0">
      <selection activeCell="K21" sqref="K21"/>
    </sheetView>
  </sheetViews>
  <sheetFormatPr defaultColWidth="11.42578125" defaultRowHeight="15"/>
  <cols>
    <col min="1" max="1" width="17.42578125" customWidth="1"/>
  </cols>
  <sheetData>
    <row r="1" spans="1:9">
      <c r="A1" t="s">
        <v>375</v>
      </c>
    </row>
    <row r="2" spans="1:9">
      <c r="A2" t="s">
        <v>323</v>
      </c>
    </row>
    <row r="3" spans="1:9">
      <c r="A3" t="s">
        <v>374</v>
      </c>
    </row>
    <row r="5" spans="1:9">
      <c r="A5" t="s">
        <v>11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59" t="s">
        <v>480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59" t="s">
        <v>481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59" t="s">
        <v>482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59" t="s">
        <v>483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59" t="s">
        <v>484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59" t="s">
        <v>485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59" t="s">
        <v>486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59" t="s">
        <v>487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6"/>
  <sheetViews>
    <sheetView workbookViewId="0">
      <selection activeCell="C13" sqref="C13"/>
    </sheetView>
  </sheetViews>
  <sheetFormatPr defaultColWidth="11.42578125" defaultRowHeight="15"/>
  <cols>
    <col min="1" max="1" width="15.140625" customWidth="1"/>
  </cols>
  <sheetData>
    <row r="1" spans="1:10">
      <c r="A1" t="s">
        <v>376</v>
      </c>
    </row>
    <row r="2" spans="1:10">
      <c r="A2" t="s">
        <v>6</v>
      </c>
    </row>
    <row r="3" spans="1:10">
      <c r="A3" t="s">
        <v>363</v>
      </c>
    </row>
    <row r="5" spans="1:10">
      <c r="A5" t="s">
        <v>11</v>
      </c>
      <c r="B5" t="s">
        <v>12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7" t="s">
        <v>458</v>
      </c>
      <c r="B6" t="s">
        <v>27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 t="s">
        <v>486</v>
      </c>
      <c r="B7" t="s">
        <v>27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  <row r="16" spans="1:10">
      <c r="A16" s="11"/>
    </row>
  </sheetData>
  <dataValidations count="1">
    <dataValidation type="list" allowBlank="1" showInputMessage="1" showErrorMessage="1" sqref="B6:B39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32"/>
  <sheetViews>
    <sheetView workbookViewId="0">
      <selection activeCell="L23" sqref="L23"/>
    </sheetView>
  </sheetViews>
  <sheetFormatPr defaultColWidth="11.42578125" defaultRowHeight="15"/>
  <cols>
    <col min="2" max="2" width="28.140625" customWidth="1"/>
  </cols>
  <sheetData>
    <row r="1" spans="1:10">
      <c r="A1" t="s">
        <v>377</v>
      </c>
    </row>
    <row r="2" spans="1:10">
      <c r="A2" t="s">
        <v>7</v>
      </c>
    </row>
    <row r="3" spans="1:10" ht="15.75" customHeight="1">
      <c r="A3" t="s">
        <v>364</v>
      </c>
    </row>
    <row r="4" spans="1:10" ht="15.75" customHeight="1"/>
    <row r="5" spans="1:10">
      <c r="A5" t="s">
        <v>11</v>
      </c>
      <c r="B5" t="s">
        <v>17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458</v>
      </c>
      <c r="B6" t="s">
        <v>127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458</v>
      </c>
      <c r="B7" t="s">
        <v>128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458</v>
      </c>
      <c r="B8" t="s">
        <v>126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458</v>
      </c>
      <c r="B9" t="s">
        <v>177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458</v>
      </c>
      <c r="B10" t="s">
        <v>13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458</v>
      </c>
      <c r="B11" t="s">
        <v>49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t="s">
        <v>458</v>
      </c>
      <c r="B12" t="s">
        <v>113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458</v>
      </c>
      <c r="B13" t="s">
        <v>239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t="s">
        <v>486</v>
      </c>
      <c r="B14" t="s">
        <v>127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t="s">
        <v>486</v>
      </c>
      <c r="B15" t="s">
        <v>128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t="s">
        <v>486</v>
      </c>
      <c r="B16" t="s">
        <v>126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t="s">
        <v>486</v>
      </c>
      <c r="B17" t="s">
        <v>177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t="s">
        <v>486</v>
      </c>
      <c r="B18" t="s">
        <v>49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t="s">
        <v>486</v>
      </c>
      <c r="B19" t="s">
        <v>113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486</v>
      </c>
      <c r="B20" t="s">
        <v>239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486</v>
      </c>
      <c r="B21" t="s">
        <v>89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486</v>
      </c>
      <c r="B22" t="s">
        <v>310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486</v>
      </c>
      <c r="B23" t="s">
        <v>429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486</v>
      </c>
      <c r="B24" t="s">
        <v>430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>
      <c r="A25" s="11" t="s">
        <v>486</v>
      </c>
      <c r="B25" t="s">
        <v>431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>
      <c r="A26" s="11" t="s">
        <v>486</v>
      </c>
      <c r="B26" t="s">
        <v>420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>
      <c r="A27" s="11" t="s">
        <v>486</v>
      </c>
      <c r="B27" t="s">
        <v>421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>
      <c r="A28" s="11" t="s">
        <v>486</v>
      </c>
      <c r="B28" t="s">
        <v>422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</row>
    <row r="29" spans="1:10">
      <c r="A29" s="11" t="s">
        <v>486</v>
      </c>
      <c r="B29" t="s">
        <v>423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</row>
    <row r="30" spans="1:10">
      <c r="A30" s="11" t="s">
        <v>486</v>
      </c>
      <c r="B30" t="s">
        <v>424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</row>
    <row r="31" spans="1:10">
      <c r="A31" s="11" t="s">
        <v>486</v>
      </c>
      <c r="B31" t="s">
        <v>425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>
      <c r="A32" s="11" t="s">
        <v>486</v>
      </c>
      <c r="B32" t="s">
        <v>426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</row>
  </sheetData>
  <dataValidations count="2">
    <dataValidation type="list" allowBlank="1" showInputMessage="1" showErrorMessage="1" sqref="B12 B19" xr:uid="{00000000-0002-0000-1800-000000000000}">
      <formula1>Technologies</formula1>
    </dataValidation>
    <dataValidation type="list" allowBlank="1" showInputMessage="1" showErrorMessage="1" sqref="A13 A20:A32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/>
  <dimension ref="A1:R431"/>
  <sheetViews>
    <sheetView topLeftCell="A401" workbookViewId="0">
      <selection activeCell="F431" sqref="F431"/>
    </sheetView>
  </sheetViews>
  <sheetFormatPr defaultColWidth="11.42578125" defaultRowHeight="15"/>
  <cols>
    <col min="1" max="1" width="22.42578125" style="6" customWidth="1"/>
    <col min="2" max="2" width="27.85546875" style="6" bestFit="1" customWidth="1"/>
    <col min="3" max="3" width="24.42578125" style="6" customWidth="1"/>
    <col min="4" max="4" width="19.5703125" style="6" bestFit="1" customWidth="1"/>
    <col min="5" max="5" width="12.42578125" style="6" bestFit="1" customWidth="1"/>
    <col min="6" max="12" width="11.42578125" style="6"/>
    <col min="13" max="13" width="3.42578125" style="6" customWidth="1"/>
    <col min="14" max="16384" width="11.42578125" style="6"/>
  </cols>
  <sheetData>
    <row r="1" spans="1:12">
      <c r="A1" t="s">
        <v>378</v>
      </c>
    </row>
    <row r="2" spans="1:12">
      <c r="A2" t="s">
        <v>325</v>
      </c>
    </row>
    <row r="3" spans="1:12">
      <c r="A3" t="s">
        <v>364</v>
      </c>
    </row>
    <row r="5" spans="1:12">
      <c r="A5" t="s">
        <v>11</v>
      </c>
      <c r="B5" t="s">
        <v>17</v>
      </c>
      <c r="C5" t="s">
        <v>12</v>
      </c>
      <c r="D5" t="s">
        <v>324</v>
      </c>
      <c r="E5" s="30">
        <v>2018</v>
      </c>
      <c r="F5" s="30">
        <v>2021</v>
      </c>
      <c r="G5" s="30">
        <v>2025</v>
      </c>
      <c r="H5" s="30">
        <v>2030</v>
      </c>
      <c r="I5" s="30">
        <v>2035</v>
      </c>
      <c r="J5" s="30">
        <v>2040</v>
      </c>
      <c r="K5" s="30">
        <v>2045</v>
      </c>
      <c r="L5" s="30">
        <v>2050</v>
      </c>
    </row>
    <row r="6" spans="1:12" s="5" customFormat="1">
      <c r="A6" t="s">
        <v>458</v>
      </c>
      <c r="B6" s="5" t="s">
        <v>95</v>
      </c>
      <c r="C6" s="5" t="s">
        <v>143</v>
      </c>
      <c r="D6" s="5">
        <v>1</v>
      </c>
      <c r="E6" s="5">
        <v>2.5641025641025639</v>
      </c>
      <c r="F6" s="5">
        <v>2.4390243902439024</v>
      </c>
      <c r="G6" s="5">
        <v>2.4096385542168677</v>
      </c>
      <c r="H6" s="5">
        <v>2.3809523809523809</v>
      </c>
      <c r="I6" s="5">
        <v>2.3529411764705883</v>
      </c>
      <c r="J6" s="5">
        <v>2.3255813953488373</v>
      </c>
      <c r="K6" s="5">
        <v>2.3255813953488373</v>
      </c>
      <c r="L6" s="5">
        <v>2.3255813953488373</v>
      </c>
    </row>
    <row r="7" spans="1:12" s="5" customFormat="1">
      <c r="A7" t="s">
        <v>458</v>
      </c>
      <c r="B7" s="5" t="s">
        <v>96</v>
      </c>
      <c r="C7" s="5" t="s">
        <v>144</v>
      </c>
      <c r="D7" s="5">
        <v>1</v>
      </c>
      <c r="E7" s="5">
        <v>2.5641025641025639</v>
      </c>
      <c r="F7" s="5">
        <v>2.4390243902439024</v>
      </c>
      <c r="G7" s="5">
        <v>2.4096385542168677</v>
      </c>
      <c r="H7" s="5">
        <v>2.3809523809523809</v>
      </c>
      <c r="I7" s="5">
        <v>2.3529411764705883</v>
      </c>
      <c r="J7" s="5">
        <v>2.3255813953488373</v>
      </c>
      <c r="K7" s="5">
        <v>2.3255813953488373</v>
      </c>
      <c r="L7" s="5">
        <v>2.3255813953488373</v>
      </c>
    </row>
    <row r="8" spans="1:12" s="5" customFormat="1">
      <c r="A8" t="s">
        <v>458</v>
      </c>
      <c r="B8" s="5" t="s">
        <v>97</v>
      </c>
      <c r="C8" s="5" t="s">
        <v>183</v>
      </c>
      <c r="D8" s="5">
        <v>1</v>
      </c>
      <c r="E8" s="5">
        <v>1.7543859649122808</v>
      </c>
      <c r="F8" s="5">
        <v>1.6949152542372883</v>
      </c>
      <c r="G8" s="5">
        <v>1.6666666666666667</v>
      </c>
      <c r="H8" s="5">
        <v>1.639344262295082</v>
      </c>
      <c r="I8" s="5">
        <v>1.6260162601626016</v>
      </c>
      <c r="J8" s="5">
        <v>1.6129032258064517</v>
      </c>
      <c r="K8" s="5">
        <v>1.6</v>
      </c>
      <c r="L8" s="5">
        <v>1.5873015873015872</v>
      </c>
    </row>
    <row r="9" spans="1:12" s="5" customFormat="1">
      <c r="A9" t="s">
        <v>458</v>
      </c>
      <c r="B9" s="5" t="s">
        <v>98</v>
      </c>
      <c r="C9" t="s">
        <v>131</v>
      </c>
      <c r="D9" s="5">
        <v>1</v>
      </c>
      <c r="E9" s="5">
        <v>2.7027027027027026</v>
      </c>
      <c r="F9" s="5">
        <v>2.7027027027027026</v>
      </c>
      <c r="G9" s="5">
        <v>2.6666666666666665</v>
      </c>
      <c r="H9" s="5">
        <v>2.6315789473684212</v>
      </c>
      <c r="I9" s="5">
        <v>2.5</v>
      </c>
      <c r="J9" s="5">
        <v>2.3809523809523809</v>
      </c>
      <c r="K9" s="5">
        <v>2.3809523809523809</v>
      </c>
      <c r="L9" s="5">
        <v>2.3809523809523809</v>
      </c>
    </row>
    <row r="10" spans="1:12" s="5" customFormat="1">
      <c r="A10" t="s">
        <v>458</v>
      </c>
      <c r="B10" t="s">
        <v>146</v>
      </c>
      <c r="C10" t="s">
        <v>133</v>
      </c>
      <c r="D10" s="5">
        <v>1</v>
      </c>
      <c r="E10" s="5">
        <v>3.3333333333333335</v>
      </c>
      <c r="F10" s="5">
        <v>3.125</v>
      </c>
      <c r="G10" s="5">
        <v>3.0769230769230766</v>
      </c>
      <c r="H10" s="5">
        <v>3.0303030303030303</v>
      </c>
      <c r="I10" s="5">
        <v>2.9850746268656714</v>
      </c>
      <c r="J10" s="5">
        <v>2.9411764705882351</v>
      </c>
      <c r="K10" s="5">
        <v>2.8985507246376816</v>
      </c>
      <c r="L10" s="5">
        <v>2.8571428571428572</v>
      </c>
    </row>
    <row r="11" spans="1:12" s="5" customFormat="1">
      <c r="A11" t="s">
        <v>458</v>
      </c>
      <c r="B11" t="s">
        <v>127</v>
      </c>
      <c r="C11" t="s">
        <v>15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</row>
    <row r="12" spans="1:12" s="5" customFormat="1">
      <c r="A12" t="s">
        <v>458</v>
      </c>
      <c r="B12" t="s">
        <v>128</v>
      </c>
      <c r="C12" s="5" t="s">
        <v>15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</row>
    <row r="13" spans="1:12" s="5" customFormat="1">
      <c r="A13" t="s">
        <v>458</v>
      </c>
      <c r="B13" s="5" t="s">
        <v>139</v>
      </c>
      <c r="C13" s="5" t="s">
        <v>132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</row>
    <row r="14" spans="1:12" s="5" customFormat="1">
      <c r="A14" t="s">
        <v>458</v>
      </c>
      <c r="B14" s="5" t="s">
        <v>140</v>
      </c>
      <c r="C14" s="5" t="s">
        <v>183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</row>
    <row r="15" spans="1:12" s="5" customFormat="1">
      <c r="A15" t="s">
        <v>458</v>
      </c>
      <c r="B15" s="48" t="s">
        <v>231</v>
      </c>
      <c r="C15" s="5" t="s">
        <v>193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</row>
    <row r="16" spans="1:12" s="5" customFormat="1">
      <c r="A16" t="s">
        <v>458</v>
      </c>
      <c r="B16" s="48" t="s">
        <v>233</v>
      </c>
      <c r="C16" s="5" t="s">
        <v>257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</row>
    <row r="17" spans="1:12" s="5" customFormat="1">
      <c r="A17" t="s">
        <v>458</v>
      </c>
      <c r="B17" s="48" t="s">
        <v>126</v>
      </c>
      <c r="C17" s="5" t="s">
        <v>15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</row>
    <row r="18" spans="1:12" s="5" customFormat="1">
      <c r="A18" t="s">
        <v>458</v>
      </c>
      <c r="B18" s="48" t="s">
        <v>129</v>
      </c>
      <c r="C18" s="5" t="s">
        <v>15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</row>
    <row r="19" spans="1:12" s="5" customFormat="1">
      <c r="A19" t="s">
        <v>458</v>
      </c>
      <c r="B19" s="48" t="s">
        <v>177</v>
      </c>
      <c r="C19" s="5" t="s">
        <v>15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</row>
    <row r="20" spans="1:12" s="5" customFormat="1">
      <c r="A20" t="s">
        <v>458</v>
      </c>
      <c r="B20" s="48" t="s">
        <v>121</v>
      </c>
      <c r="C20" s="5" t="s">
        <v>130</v>
      </c>
      <c r="D20" s="5">
        <v>1</v>
      </c>
      <c r="E20" s="5">
        <v>0.15977443609022557</v>
      </c>
      <c r="F20" s="5">
        <v>0.15776047261009665</v>
      </c>
      <c r="G20" s="5">
        <v>0.15574650912996779</v>
      </c>
      <c r="H20" s="5">
        <v>0.15373254564983888</v>
      </c>
      <c r="I20" s="5">
        <v>0.15171858216970999</v>
      </c>
      <c r="J20" s="5">
        <v>0.1497046186895811</v>
      </c>
      <c r="K20" s="5">
        <v>0.14769065520945221</v>
      </c>
      <c r="L20" s="5">
        <v>0.14567669172932332</v>
      </c>
    </row>
    <row r="21" spans="1:12" s="5" customFormat="1">
      <c r="A21" t="s">
        <v>458</v>
      </c>
      <c r="B21" s="48" t="s">
        <v>122</v>
      </c>
      <c r="C21" t="s">
        <v>15</v>
      </c>
      <c r="D21" s="5">
        <v>1</v>
      </c>
      <c r="E21" s="5">
        <v>9.3984962406015032E-2</v>
      </c>
      <c r="F21" s="5">
        <v>9.1702470461868954E-2</v>
      </c>
      <c r="G21" s="5">
        <v>8.9419978517722876E-2</v>
      </c>
      <c r="H21" s="5">
        <v>8.7137486573576783E-2</v>
      </c>
      <c r="I21" s="5">
        <v>8.4854994629430719E-2</v>
      </c>
      <c r="J21" s="5">
        <v>8.2572502685284641E-2</v>
      </c>
      <c r="K21" s="5">
        <v>8.0290010741138562E-2</v>
      </c>
      <c r="L21" s="5">
        <v>7.8007518796992484E-2</v>
      </c>
    </row>
    <row r="22" spans="1:12" s="5" customFormat="1">
      <c r="A22" t="s">
        <v>458</v>
      </c>
      <c r="B22" s="48" t="s">
        <v>162</v>
      </c>
      <c r="C22" s="5" t="s">
        <v>15</v>
      </c>
      <c r="D22" s="5">
        <v>1</v>
      </c>
      <c r="E22" s="5">
        <v>0.10984285714285714</v>
      </c>
      <c r="F22" s="5">
        <v>0.10513530612244897</v>
      </c>
      <c r="G22" s="5">
        <v>0.10042775510204083</v>
      </c>
      <c r="H22" s="5">
        <v>9.5720214081632601E-2</v>
      </c>
      <c r="I22" s="5">
        <v>9.1012653061224483E-2</v>
      </c>
      <c r="J22" s="5">
        <v>8.6305102040816317E-2</v>
      </c>
      <c r="K22" s="5">
        <v>8.1597551020408152E-2</v>
      </c>
      <c r="L22" s="5">
        <v>7.689E-2</v>
      </c>
    </row>
    <row r="23" spans="1:12" s="5" customFormat="1">
      <c r="A23" t="s">
        <v>458</v>
      </c>
      <c r="B23" s="48" t="s">
        <v>116</v>
      </c>
      <c r="C23" s="5" t="s">
        <v>15</v>
      </c>
      <c r="D23" s="5">
        <v>1</v>
      </c>
      <c r="E23" s="5">
        <v>0.59499999999999997</v>
      </c>
      <c r="F23" s="5">
        <v>0.59250000000000003</v>
      </c>
      <c r="G23" s="5">
        <v>0.59166666666666667</v>
      </c>
      <c r="H23" s="5">
        <v>0.59145833333333342</v>
      </c>
      <c r="I23" s="5">
        <v>0.59135416666666674</v>
      </c>
      <c r="J23" s="5">
        <v>0.59130208333333334</v>
      </c>
      <c r="K23" s="5">
        <v>0.5912760416666667</v>
      </c>
      <c r="L23" s="5">
        <v>0.59125000000000005</v>
      </c>
    </row>
    <row r="24" spans="1:12" s="5" customFormat="1">
      <c r="A24" t="s">
        <v>458</v>
      </c>
      <c r="B24" s="48" t="s">
        <v>52</v>
      </c>
      <c r="C24" s="5" t="s">
        <v>132</v>
      </c>
      <c r="D24" s="5">
        <v>1</v>
      </c>
      <c r="E24" s="5">
        <v>0.59699999999999998</v>
      </c>
      <c r="F24" s="5">
        <v>0.59471428571428564</v>
      </c>
      <c r="G24" s="5">
        <v>0.59242857142857142</v>
      </c>
      <c r="H24" s="5">
        <v>0.59014285714285708</v>
      </c>
      <c r="I24" s="5">
        <v>0.58785714285714286</v>
      </c>
      <c r="J24" s="5">
        <v>0.58557142857142852</v>
      </c>
      <c r="K24" s="5">
        <v>0.58328571428571419</v>
      </c>
      <c r="L24" s="5">
        <v>0.58099999999999996</v>
      </c>
    </row>
    <row r="25" spans="1:12" s="5" customFormat="1">
      <c r="A25" t="s">
        <v>458</v>
      </c>
      <c r="B25" s="48" t="s">
        <v>117</v>
      </c>
      <c r="C25" t="s">
        <v>130</v>
      </c>
      <c r="D25" s="5">
        <v>1</v>
      </c>
      <c r="E25" s="5">
        <v>0.63600000000000001</v>
      </c>
      <c r="F25" s="5">
        <v>0.62946938775510208</v>
      </c>
      <c r="G25" s="5">
        <v>0.62293877551020405</v>
      </c>
      <c r="H25" s="5">
        <v>0.61640816326530612</v>
      </c>
      <c r="I25" s="5">
        <v>0.60987755102040819</v>
      </c>
      <c r="J25" s="5">
        <v>0.60334693877551016</v>
      </c>
      <c r="K25" s="5">
        <v>0.59681632653061223</v>
      </c>
      <c r="L25" s="5">
        <v>0.5902857142857143</v>
      </c>
    </row>
    <row r="26" spans="1:12" s="5" customFormat="1">
      <c r="A26" t="s">
        <v>458</v>
      </c>
      <c r="B26" s="48" t="s">
        <v>117</v>
      </c>
      <c r="C26" t="s">
        <v>256</v>
      </c>
      <c r="D26" s="5">
        <v>2</v>
      </c>
      <c r="E26" s="5">
        <v>0.76319999999999999</v>
      </c>
      <c r="F26" s="5">
        <v>0.76319999999999999</v>
      </c>
      <c r="G26" s="5">
        <v>0.76319999999999999</v>
      </c>
      <c r="H26" s="5">
        <v>0.76319999999999999</v>
      </c>
      <c r="I26" s="5">
        <v>0.76319999999999999</v>
      </c>
      <c r="J26" s="5">
        <v>0.76319999999999999</v>
      </c>
      <c r="K26" s="5">
        <v>0.76319999999999999</v>
      </c>
      <c r="L26" s="5">
        <v>0.76319999999999999</v>
      </c>
    </row>
    <row r="27" spans="1:12" s="5" customFormat="1">
      <c r="A27" t="s">
        <v>458</v>
      </c>
      <c r="B27" s="48" t="s">
        <v>118</v>
      </c>
      <c r="C27" s="5" t="s">
        <v>15</v>
      </c>
      <c r="D27" s="5">
        <v>1</v>
      </c>
      <c r="E27" s="5">
        <v>0.12428214285714301</v>
      </c>
      <c r="F27" s="5">
        <v>0.12324147959183686</v>
      </c>
      <c r="G27" s="5">
        <v>0.12220081632653071</v>
      </c>
      <c r="H27" s="5">
        <v>0.12116015306122457</v>
      </c>
      <c r="I27" s="5">
        <v>0.12011948979591842</v>
      </c>
      <c r="J27" s="5">
        <v>0.11907882653061228</v>
      </c>
      <c r="K27" s="5">
        <v>0.11803816326530614</v>
      </c>
      <c r="L27" s="5">
        <v>0.1169975</v>
      </c>
    </row>
    <row r="28" spans="1:12" s="5" customFormat="1">
      <c r="A28" t="s">
        <v>458</v>
      </c>
      <c r="B28" s="5" t="s">
        <v>118</v>
      </c>
      <c r="C28" s="5" t="s">
        <v>130</v>
      </c>
      <c r="D28" s="5">
        <v>1</v>
      </c>
      <c r="E28" s="5">
        <v>0.49712857142857203</v>
      </c>
      <c r="F28" s="5">
        <v>0.49296591836734743</v>
      </c>
      <c r="G28" s="5">
        <v>0.48880326530612284</v>
      </c>
      <c r="H28" s="5">
        <v>0.48464061224489829</v>
      </c>
      <c r="I28" s="5">
        <v>0.4804779591836737</v>
      </c>
      <c r="J28" s="5">
        <v>0.4763153061224491</v>
      </c>
      <c r="K28" s="5">
        <v>0.47215265306122456</v>
      </c>
      <c r="L28" s="5">
        <v>0.46799000000000002</v>
      </c>
    </row>
    <row r="29" spans="1:12" s="5" customFormat="1">
      <c r="A29" t="s">
        <v>458</v>
      </c>
      <c r="B29" s="5" t="s">
        <v>118</v>
      </c>
      <c r="C29" s="5" t="s">
        <v>15</v>
      </c>
      <c r="D29" s="5">
        <v>2</v>
      </c>
      <c r="E29" s="5">
        <v>0.14913857142857159</v>
      </c>
      <c r="F29" s="5">
        <v>0.14788977551020421</v>
      </c>
      <c r="G29" s="5">
        <v>0.14664097959183683</v>
      </c>
      <c r="H29" s="5">
        <v>0.14539218367346948</v>
      </c>
      <c r="I29" s="5">
        <v>0.1441433877551021</v>
      </c>
      <c r="J29" s="5">
        <v>0.14289459183673472</v>
      </c>
      <c r="K29" s="5">
        <v>0.14164579591836737</v>
      </c>
      <c r="L29" s="5">
        <v>0.14039699999999999</v>
      </c>
    </row>
    <row r="30" spans="1:12" s="5" customFormat="1">
      <c r="A30" t="s">
        <v>458</v>
      </c>
      <c r="B30" s="5" t="s">
        <v>118</v>
      </c>
      <c r="C30" s="5" t="s">
        <v>256</v>
      </c>
      <c r="D30" s="5">
        <v>2</v>
      </c>
      <c r="E30" s="5">
        <v>0.76319999999999999</v>
      </c>
      <c r="F30" s="5">
        <v>0.76319999999999999</v>
      </c>
      <c r="G30" s="5">
        <v>0.76319999999999999</v>
      </c>
      <c r="H30" s="5">
        <v>0.76319999999999999</v>
      </c>
      <c r="I30" s="5">
        <v>0.76319999999999999</v>
      </c>
      <c r="J30" s="5">
        <v>0.76319999999999999</v>
      </c>
      <c r="K30" s="5">
        <v>0.76319999999999999</v>
      </c>
      <c r="L30" s="5">
        <v>0.76319999999999999</v>
      </c>
    </row>
    <row r="31" spans="1:12" s="5" customFormat="1">
      <c r="A31" t="s">
        <v>458</v>
      </c>
      <c r="B31" s="5" t="s">
        <v>51</v>
      </c>
      <c r="C31" s="5" t="s">
        <v>256</v>
      </c>
      <c r="D31" s="5">
        <v>1</v>
      </c>
      <c r="E31" s="5">
        <v>0.11383720930232559</v>
      </c>
      <c r="F31" s="5">
        <v>0.11219269102990033</v>
      </c>
      <c r="G31" s="5">
        <v>0.11054817275747508</v>
      </c>
      <c r="H31" s="5">
        <v>0.10890365448504984</v>
      </c>
      <c r="I31" s="5">
        <v>0.10725913621262458</v>
      </c>
      <c r="J31" s="5">
        <v>0.10561461794019934</v>
      </c>
      <c r="K31" s="5">
        <v>0.10397009966777408</v>
      </c>
      <c r="L31" s="5">
        <v>0.10232558139534885</v>
      </c>
    </row>
    <row r="32" spans="1:12" s="5" customFormat="1">
      <c r="A32" t="s">
        <v>458</v>
      </c>
      <c r="B32" s="5" t="s">
        <v>50</v>
      </c>
      <c r="C32" t="s">
        <v>130</v>
      </c>
      <c r="D32" s="5">
        <v>1</v>
      </c>
      <c r="E32" s="5">
        <v>0.10348837209302325</v>
      </c>
      <c r="F32" s="5">
        <v>0.10199335548172757</v>
      </c>
      <c r="G32" s="5">
        <v>0.10049833887043189</v>
      </c>
      <c r="H32" s="5">
        <v>9.9003322259136203E-2</v>
      </c>
      <c r="I32" s="5">
        <v>9.7508305647840521E-2</v>
      </c>
      <c r="J32" s="5">
        <v>9.6013289036544852E-2</v>
      </c>
      <c r="K32" s="5">
        <v>9.4518272425249156E-2</v>
      </c>
      <c r="L32" s="5">
        <v>9.3023255813953487E-2</v>
      </c>
    </row>
    <row r="33" spans="1:12" s="5" customFormat="1">
      <c r="A33" t="s">
        <v>458</v>
      </c>
      <c r="B33" s="5" t="s">
        <v>99</v>
      </c>
      <c r="C33" s="5" t="s">
        <v>133</v>
      </c>
      <c r="D33" s="5">
        <v>1</v>
      </c>
      <c r="E33" s="5">
        <v>1.25</v>
      </c>
      <c r="F33" s="5">
        <v>1.2195121951219512</v>
      </c>
      <c r="G33" s="5">
        <v>1.2048192771084338</v>
      </c>
      <c r="H33" s="5">
        <v>1.1904761904761905</v>
      </c>
      <c r="I33" s="5">
        <v>1.1764705882352942</v>
      </c>
      <c r="J33" s="5">
        <v>1.1764705882352942</v>
      </c>
      <c r="K33" s="5">
        <v>1.1764705882352942</v>
      </c>
      <c r="L33" s="5">
        <v>1.1764705882352942</v>
      </c>
    </row>
    <row r="34" spans="1:12" s="5" customFormat="1">
      <c r="A34" t="s">
        <v>458</v>
      </c>
      <c r="B34" s="48" t="s">
        <v>100</v>
      </c>
      <c r="C34" t="s">
        <v>143</v>
      </c>
      <c r="D34" s="5">
        <v>1</v>
      </c>
      <c r="E34" s="5">
        <v>1.3333333333333333</v>
      </c>
      <c r="F34" s="5">
        <v>1.3333333333333333</v>
      </c>
      <c r="G34" s="5">
        <v>1.3333333333333333</v>
      </c>
      <c r="H34" s="5">
        <v>1.3333333333333333</v>
      </c>
      <c r="I34" s="5">
        <v>1.3333333333333333</v>
      </c>
      <c r="J34" s="5">
        <v>1.3333333333333333</v>
      </c>
      <c r="K34" s="5">
        <v>1.3333333333333333</v>
      </c>
      <c r="L34" s="5">
        <v>1.3333333333333333</v>
      </c>
    </row>
    <row r="35" spans="1:12" s="5" customFormat="1">
      <c r="A35" t="s">
        <v>458</v>
      </c>
      <c r="B35" s="48" t="s">
        <v>101</v>
      </c>
      <c r="C35" s="5" t="s">
        <v>144</v>
      </c>
      <c r="D35" s="5">
        <v>1</v>
      </c>
      <c r="E35" s="5">
        <v>1.3333333333333333</v>
      </c>
      <c r="F35" s="5">
        <v>1.3333333333333333</v>
      </c>
      <c r="G35" s="5">
        <v>1.3333333333333333</v>
      </c>
      <c r="H35" s="5">
        <v>1.3333333333333333</v>
      </c>
      <c r="I35" s="5">
        <v>1.3333333333333333</v>
      </c>
      <c r="J35" s="5">
        <v>1.3333333333333333</v>
      </c>
      <c r="K35" s="5">
        <v>1.3333333333333333</v>
      </c>
      <c r="L35" s="5">
        <v>1.3333333333333333</v>
      </c>
    </row>
    <row r="36" spans="1:12" s="5" customFormat="1">
      <c r="A36" t="s">
        <v>458</v>
      </c>
      <c r="B36" s="48" t="s">
        <v>102</v>
      </c>
      <c r="C36" s="5" t="s">
        <v>15</v>
      </c>
      <c r="D36" s="5">
        <v>1</v>
      </c>
      <c r="E36" s="5">
        <v>1.0416666666666667</v>
      </c>
      <c r="F36" s="5">
        <v>1.0309278350515465</v>
      </c>
      <c r="G36" s="5">
        <v>1.0256410256410258</v>
      </c>
      <c r="H36" s="5">
        <v>1.0204081632653061</v>
      </c>
      <c r="I36" s="5">
        <v>1.015228426395939</v>
      </c>
      <c r="J36" s="5">
        <v>1.0101010101010102</v>
      </c>
      <c r="K36" s="5">
        <v>1.0050251256281406</v>
      </c>
      <c r="L36" s="5">
        <v>1</v>
      </c>
    </row>
    <row r="37" spans="1:12" s="5" customFormat="1">
      <c r="A37" t="s">
        <v>458</v>
      </c>
      <c r="B37" s="48" t="s">
        <v>103</v>
      </c>
      <c r="C37" s="5" t="s">
        <v>183</v>
      </c>
      <c r="D37" s="5">
        <v>1</v>
      </c>
      <c r="E37" s="5">
        <v>1.1111111111111112</v>
      </c>
      <c r="F37" s="5">
        <v>1.1111111111111112</v>
      </c>
      <c r="G37" s="5">
        <v>1.1111111111111112</v>
      </c>
      <c r="H37" s="5">
        <v>1.1111111111111112</v>
      </c>
      <c r="I37" s="5">
        <v>1.1111111111111112</v>
      </c>
      <c r="J37" s="5">
        <v>1.1111111111111112</v>
      </c>
      <c r="K37" s="5">
        <v>1.1111111111111112</v>
      </c>
      <c r="L37" s="5">
        <v>1.1111111111111112</v>
      </c>
    </row>
    <row r="38" spans="1:12" s="5" customFormat="1">
      <c r="A38" t="s">
        <v>458</v>
      </c>
      <c r="B38" s="48" t="s">
        <v>148</v>
      </c>
      <c r="C38" s="5" t="s">
        <v>130</v>
      </c>
      <c r="D38" s="5">
        <v>1</v>
      </c>
      <c r="E38" s="5">
        <v>1.1764705882352942</v>
      </c>
      <c r="F38" s="5">
        <v>1.1764705882352942</v>
      </c>
      <c r="G38" s="5">
        <v>1.1764705882352942</v>
      </c>
      <c r="H38" s="5">
        <v>1.1764705882352942</v>
      </c>
      <c r="I38" s="5">
        <v>1.1764705882352942</v>
      </c>
      <c r="J38" s="5">
        <v>1.1764705882352942</v>
      </c>
      <c r="K38" s="5">
        <v>1.1764705882352942</v>
      </c>
      <c r="L38" s="5">
        <v>1.1764705882352942</v>
      </c>
    </row>
    <row r="39" spans="1:12" s="5" customFormat="1">
      <c r="A39" t="s">
        <v>458</v>
      </c>
      <c r="B39" s="48" t="s">
        <v>104</v>
      </c>
      <c r="C39" s="5" t="s">
        <v>15</v>
      </c>
      <c r="D39" s="5">
        <v>1</v>
      </c>
      <c r="E39" s="5">
        <v>0.29411764705882354</v>
      </c>
      <c r="F39" s="5">
        <v>0.27777777777777779</v>
      </c>
      <c r="G39" s="5">
        <v>0.27397260273972601</v>
      </c>
      <c r="H39" s="5">
        <v>0.27027027027027023</v>
      </c>
      <c r="I39" s="5">
        <v>0.26666666666666666</v>
      </c>
      <c r="J39" s="5">
        <v>0.26315789473684209</v>
      </c>
      <c r="K39" s="5">
        <v>0.25974025974025972</v>
      </c>
      <c r="L39" s="5">
        <v>0.25641025641025644</v>
      </c>
    </row>
    <row r="40" spans="1:12" s="5" customFormat="1">
      <c r="A40" t="s">
        <v>458</v>
      </c>
      <c r="B40" s="48" t="s">
        <v>176</v>
      </c>
      <c r="C40" s="5" t="s">
        <v>132</v>
      </c>
      <c r="D40" s="5">
        <v>1</v>
      </c>
      <c r="E40" s="5">
        <v>2.1276595744680851</v>
      </c>
      <c r="F40" s="5">
        <v>2.0833333333333335</v>
      </c>
      <c r="G40" s="5">
        <v>2.0408163265306123</v>
      </c>
      <c r="H40" s="5">
        <v>2</v>
      </c>
      <c r="I40" s="5">
        <v>1.9801980198019802</v>
      </c>
      <c r="J40" s="5">
        <v>1.9607843137254901</v>
      </c>
      <c r="K40" s="5">
        <v>1.9607843137254901</v>
      </c>
      <c r="L40" s="5">
        <v>1.9607843137254901</v>
      </c>
    </row>
    <row r="41" spans="1:12" s="5" customFormat="1">
      <c r="A41" t="s">
        <v>458</v>
      </c>
      <c r="B41" s="48" t="s">
        <v>105</v>
      </c>
      <c r="C41" s="5" t="s">
        <v>133</v>
      </c>
      <c r="D41" s="5">
        <v>1</v>
      </c>
      <c r="E41" s="5">
        <v>1.25</v>
      </c>
      <c r="F41" s="5">
        <v>1.2195121951219512</v>
      </c>
      <c r="G41" s="5">
        <v>1.2048192771084338</v>
      </c>
      <c r="H41" s="5">
        <v>1.1904761904761905</v>
      </c>
      <c r="I41" s="5">
        <v>1.1764705882352942</v>
      </c>
      <c r="J41" s="5">
        <v>1.1764705882352942</v>
      </c>
      <c r="K41" s="5">
        <v>1.1764705882352942</v>
      </c>
      <c r="L41" s="5">
        <v>1.1764705882352942</v>
      </c>
    </row>
    <row r="42" spans="1:12" s="5" customFormat="1">
      <c r="A42" t="s">
        <v>458</v>
      </c>
      <c r="B42" s="48" t="s">
        <v>106</v>
      </c>
      <c r="C42" t="s">
        <v>143</v>
      </c>
      <c r="D42" s="5">
        <v>1</v>
      </c>
      <c r="E42" s="5">
        <v>1.3333333333333333</v>
      </c>
      <c r="F42" s="5">
        <v>1.3333333333333333</v>
      </c>
      <c r="G42" s="5">
        <v>1.3333333333333333</v>
      </c>
      <c r="H42" s="5">
        <v>1.3333333333333333</v>
      </c>
      <c r="I42" s="5">
        <v>1.3333333333333333</v>
      </c>
      <c r="J42" s="5">
        <v>1.3333333333333333</v>
      </c>
      <c r="K42" s="5">
        <v>1.3333333333333333</v>
      </c>
      <c r="L42" s="5">
        <v>1.3333333333333333</v>
      </c>
    </row>
    <row r="43" spans="1:12" s="5" customFormat="1">
      <c r="A43" t="s">
        <v>458</v>
      </c>
      <c r="B43" s="48" t="s">
        <v>107</v>
      </c>
      <c r="C43" s="5" t="s">
        <v>144</v>
      </c>
      <c r="D43" s="5">
        <v>1</v>
      </c>
      <c r="E43" s="5">
        <v>1.3333333333333333</v>
      </c>
      <c r="F43" s="5">
        <v>1.3333333333333333</v>
      </c>
      <c r="G43" s="5">
        <v>1.3333333333333333</v>
      </c>
      <c r="H43" s="5">
        <v>1.3333333333333333</v>
      </c>
      <c r="I43" s="5">
        <v>1.3333333333333333</v>
      </c>
      <c r="J43" s="5">
        <v>1.3333333333333333</v>
      </c>
      <c r="K43" s="5">
        <v>1.3333333333333333</v>
      </c>
      <c r="L43" s="5">
        <v>1.3333333333333333</v>
      </c>
    </row>
    <row r="44" spans="1:12" s="5" customFormat="1">
      <c r="A44" t="s">
        <v>458</v>
      </c>
      <c r="B44" s="48" t="s">
        <v>108</v>
      </c>
      <c r="C44" s="5" t="s">
        <v>15</v>
      </c>
      <c r="D44" s="5">
        <v>1</v>
      </c>
      <c r="E44" s="5">
        <v>1.0416666666666667</v>
      </c>
      <c r="F44" s="5">
        <v>1.0309278350515465</v>
      </c>
      <c r="G44" s="5">
        <v>1.0256410256410258</v>
      </c>
      <c r="H44" s="5">
        <v>1.0204081632653061</v>
      </c>
      <c r="I44" s="5">
        <v>1.015228426395939</v>
      </c>
      <c r="J44" s="5">
        <v>1.0101010101010102</v>
      </c>
      <c r="K44" s="5">
        <v>1.0050251256281406</v>
      </c>
      <c r="L44" s="5">
        <v>1</v>
      </c>
    </row>
    <row r="45" spans="1:12" s="5" customFormat="1">
      <c r="A45" t="s">
        <v>458</v>
      </c>
      <c r="B45" s="48" t="s">
        <v>109</v>
      </c>
      <c r="C45" s="5" t="s">
        <v>183</v>
      </c>
      <c r="D45" s="5">
        <v>1</v>
      </c>
      <c r="E45" s="5">
        <v>1.1111111111111112</v>
      </c>
      <c r="F45" s="5">
        <v>1.1111111111111112</v>
      </c>
      <c r="G45" s="5">
        <v>1.1111111111111112</v>
      </c>
      <c r="H45" s="5">
        <v>1.1111111111111112</v>
      </c>
      <c r="I45" s="5">
        <v>1.1111111111111112</v>
      </c>
      <c r="J45" s="5">
        <v>1.1111111111111112</v>
      </c>
      <c r="K45" s="5">
        <v>1.1111111111111112</v>
      </c>
      <c r="L45" s="5">
        <v>1.1111111111111112</v>
      </c>
    </row>
    <row r="46" spans="1:12" s="5" customFormat="1">
      <c r="A46" t="s">
        <v>458</v>
      </c>
      <c r="B46" s="48" t="s">
        <v>111</v>
      </c>
      <c r="C46" t="s">
        <v>15</v>
      </c>
      <c r="D46" s="5">
        <v>1</v>
      </c>
      <c r="E46" s="5">
        <v>0.33333333333333331</v>
      </c>
      <c r="F46" s="5">
        <v>0.3125</v>
      </c>
      <c r="G46" s="5">
        <v>0.30769230769230771</v>
      </c>
      <c r="H46" s="5">
        <v>0.30303030303030304</v>
      </c>
      <c r="I46" s="5">
        <v>0.29850746268656714</v>
      </c>
      <c r="J46" s="5">
        <v>0.29411764705882354</v>
      </c>
      <c r="K46" s="5">
        <v>0.28985507246376813</v>
      </c>
      <c r="L46" s="5">
        <v>0.2857142857142857</v>
      </c>
    </row>
    <row r="47" spans="1:12" s="5" customFormat="1">
      <c r="A47" t="s">
        <v>458</v>
      </c>
      <c r="B47" s="5" t="s">
        <v>160</v>
      </c>
      <c r="C47" s="5" t="s">
        <v>155</v>
      </c>
      <c r="D47" s="5">
        <v>1</v>
      </c>
      <c r="E47" s="5">
        <v>0.16582635717909688</v>
      </c>
      <c r="F47" s="5">
        <v>0.16582635717909688</v>
      </c>
      <c r="G47" s="5">
        <v>0.16582635717909688</v>
      </c>
      <c r="H47" s="5">
        <v>0.16582635717909688</v>
      </c>
      <c r="I47" s="5">
        <v>0.16582635717909688</v>
      </c>
      <c r="J47" s="5">
        <v>0.16582635717909688</v>
      </c>
      <c r="K47" s="5">
        <v>0.16582635717909688</v>
      </c>
      <c r="L47" s="5">
        <v>0.16582635717909688</v>
      </c>
    </row>
    <row r="48" spans="1:12" s="5" customFormat="1">
      <c r="A48" t="s">
        <v>458</v>
      </c>
      <c r="B48" s="5" t="s">
        <v>161</v>
      </c>
      <c r="C48" s="5" t="s">
        <v>154</v>
      </c>
      <c r="D48" s="5">
        <v>1</v>
      </c>
      <c r="E48" s="5">
        <v>0.16582635717909688</v>
      </c>
      <c r="F48" s="5">
        <v>0.16582635717909688</v>
      </c>
      <c r="G48" s="5">
        <v>0.16582635717909688</v>
      </c>
      <c r="H48" s="5">
        <v>0.16582635717909688</v>
      </c>
      <c r="I48" s="5">
        <v>0.16582635717909688</v>
      </c>
      <c r="J48" s="5">
        <v>0.16582635717909688</v>
      </c>
      <c r="K48" s="5">
        <v>0.16582635717909688</v>
      </c>
      <c r="L48" s="5">
        <v>0.16582635717909688</v>
      </c>
    </row>
    <row r="49" spans="1:12" s="5" customFormat="1">
      <c r="A49" t="s">
        <v>458</v>
      </c>
      <c r="B49" s="5" t="s">
        <v>147</v>
      </c>
      <c r="C49" s="5" t="s">
        <v>130</v>
      </c>
      <c r="D49" s="5">
        <v>1</v>
      </c>
      <c r="E49" s="5">
        <v>1.1764705882352942</v>
      </c>
      <c r="F49" s="5">
        <v>1.1764705882352942</v>
      </c>
      <c r="G49" s="5">
        <v>1.1764705882352942</v>
      </c>
      <c r="H49" s="5">
        <v>1.1764705882352942</v>
      </c>
      <c r="I49" s="5">
        <v>1.1764705882352942</v>
      </c>
      <c r="J49" s="5">
        <v>1.1764705882352942</v>
      </c>
      <c r="K49" s="5">
        <v>1.1764705882352942</v>
      </c>
      <c r="L49" s="5">
        <v>1.1764705882352942</v>
      </c>
    </row>
    <row r="50" spans="1:12" s="5" customFormat="1">
      <c r="A50" t="s">
        <v>458</v>
      </c>
      <c r="B50" s="5" t="s">
        <v>110</v>
      </c>
      <c r="C50" s="5" t="s">
        <v>15</v>
      </c>
      <c r="D50" s="5">
        <v>1</v>
      </c>
      <c r="E50" s="5">
        <v>0.2857142857142857</v>
      </c>
      <c r="F50" s="5">
        <v>0.27027027027027023</v>
      </c>
      <c r="G50" s="5">
        <v>0.26666666666666666</v>
      </c>
      <c r="H50" s="5">
        <v>0.26315789473684209</v>
      </c>
      <c r="I50" s="5">
        <v>0.25974025974025972</v>
      </c>
      <c r="J50" s="5">
        <v>0.25641025641025644</v>
      </c>
      <c r="K50" s="5">
        <v>0.25316455696202528</v>
      </c>
      <c r="L50" s="5">
        <v>0.25</v>
      </c>
    </row>
    <row r="51" spans="1:12" s="5" customFormat="1">
      <c r="A51" t="s">
        <v>458</v>
      </c>
      <c r="B51" s="5" t="s">
        <v>94</v>
      </c>
      <c r="C51" s="5" t="s">
        <v>143</v>
      </c>
      <c r="D51" s="5">
        <v>1</v>
      </c>
      <c r="E51" s="5">
        <v>2.5555555555555554</v>
      </c>
      <c r="F51" s="5">
        <v>2.5126050420168062</v>
      </c>
      <c r="G51" s="5">
        <v>2.4696545284780576</v>
      </c>
      <c r="H51" s="5">
        <v>2.4267040149393084</v>
      </c>
      <c r="I51" s="5">
        <v>2.3837535014005597</v>
      </c>
      <c r="J51" s="5">
        <v>2.3408029878618111</v>
      </c>
      <c r="K51" s="5">
        <v>2.2978524743230619</v>
      </c>
      <c r="L51" s="5">
        <v>2.2549019607843133</v>
      </c>
    </row>
    <row r="52" spans="1:12" s="5" customFormat="1">
      <c r="A52" t="s">
        <v>458</v>
      </c>
      <c r="B52" s="5" t="s">
        <v>93</v>
      </c>
      <c r="C52" s="5" t="s">
        <v>144</v>
      </c>
      <c r="D52" s="5">
        <v>1</v>
      </c>
      <c r="E52" s="5">
        <v>2.3809523809523809</v>
      </c>
      <c r="F52" s="5">
        <v>2.2222222222222223</v>
      </c>
      <c r="G52" s="5">
        <v>2.1739130434782608</v>
      </c>
      <c r="H52" s="5">
        <v>2.1276595744680851</v>
      </c>
      <c r="I52" s="5">
        <v>2.1276595744680851</v>
      </c>
      <c r="J52" s="5">
        <v>2.1276595744680851</v>
      </c>
      <c r="K52" s="5">
        <v>2.1276595744680851</v>
      </c>
      <c r="L52" s="5">
        <v>2.1276595744680851</v>
      </c>
    </row>
    <row r="53" spans="1:12" s="5" customFormat="1">
      <c r="A53" t="s">
        <v>458</v>
      </c>
      <c r="B53" s="5" t="s">
        <v>13</v>
      </c>
      <c r="C53" s="5" t="s">
        <v>183</v>
      </c>
      <c r="D53" s="5">
        <v>1</v>
      </c>
      <c r="E53" s="5">
        <v>1.7241379310344829</v>
      </c>
      <c r="F53" s="5">
        <v>1.6666666666666667</v>
      </c>
      <c r="G53" s="5">
        <v>1.639344262295082</v>
      </c>
      <c r="H53" s="5">
        <v>1.6129032258064517</v>
      </c>
      <c r="I53" s="5">
        <v>1.6129032258064517</v>
      </c>
      <c r="J53" s="5">
        <v>1.6129032258064517</v>
      </c>
      <c r="K53" s="5">
        <v>1.6</v>
      </c>
      <c r="L53" s="5">
        <v>1.5873015873015872</v>
      </c>
    </row>
    <row r="54" spans="1:12" s="5" customFormat="1">
      <c r="A54" t="s">
        <v>458</v>
      </c>
      <c r="B54" t="s">
        <v>14</v>
      </c>
      <c r="C54" s="5" t="s">
        <v>131</v>
      </c>
      <c r="D54" s="5">
        <v>1</v>
      </c>
      <c r="E54" s="5">
        <v>2.7027027027027026</v>
      </c>
      <c r="F54" s="5">
        <v>2.7027027027027026</v>
      </c>
      <c r="G54" s="5">
        <v>2.6666666666666665</v>
      </c>
      <c r="H54" s="5">
        <v>2.6315789473684212</v>
      </c>
      <c r="I54" s="5">
        <v>2.5</v>
      </c>
      <c r="J54" s="5">
        <v>2.3809523809523809</v>
      </c>
      <c r="K54" s="5">
        <v>2.3809523809523809</v>
      </c>
      <c r="L54" s="5">
        <v>2.3809523809523809</v>
      </c>
    </row>
    <row r="55" spans="1:12" s="5" customFormat="1">
      <c r="A55" t="s">
        <v>458</v>
      </c>
      <c r="B55" t="s">
        <v>49</v>
      </c>
      <c r="C55" s="5" t="s">
        <v>130</v>
      </c>
      <c r="D55" s="5">
        <v>1</v>
      </c>
      <c r="E55" s="5">
        <v>2.6315789473684212</v>
      </c>
      <c r="F55" s="5">
        <v>2.6315789473684212</v>
      </c>
      <c r="G55" s="5">
        <v>2.6315789473684212</v>
      </c>
      <c r="H55" s="5">
        <v>2.6315789473684212</v>
      </c>
      <c r="I55" s="5">
        <v>2.6315789473684212</v>
      </c>
      <c r="J55" s="5">
        <v>2.6315789473684212</v>
      </c>
      <c r="K55" s="5">
        <v>2.6315789473684212</v>
      </c>
      <c r="L55" s="5">
        <v>2.6315789473684212</v>
      </c>
    </row>
    <row r="56" spans="1:12" s="5" customFormat="1">
      <c r="A56" t="s">
        <v>458</v>
      </c>
      <c r="B56" t="s">
        <v>150</v>
      </c>
      <c r="C56" t="s">
        <v>133</v>
      </c>
      <c r="D56" s="5">
        <v>1</v>
      </c>
      <c r="E56" s="5">
        <v>2.9411764705882351</v>
      </c>
      <c r="F56" s="5">
        <v>2.8694404591104727</v>
      </c>
      <c r="G56" s="5">
        <v>2.7977044476327118</v>
      </c>
      <c r="H56" s="5">
        <v>2.7259684361549494</v>
      </c>
      <c r="I56" s="5">
        <v>2.6542324246771876</v>
      </c>
      <c r="J56" s="5">
        <v>2.5824964131994257</v>
      </c>
      <c r="K56" s="5">
        <v>2.5107604017216638</v>
      </c>
      <c r="L56" s="5">
        <v>2.4390243902439024</v>
      </c>
    </row>
    <row r="57" spans="1:12" s="5" customFormat="1">
      <c r="A57" t="s">
        <v>458</v>
      </c>
      <c r="B57" t="s">
        <v>124</v>
      </c>
      <c r="C57" t="s">
        <v>256</v>
      </c>
      <c r="D57" s="5">
        <v>1</v>
      </c>
      <c r="E57" s="5">
        <v>1.3642458100558659</v>
      </c>
      <c r="F57" s="5">
        <v>1.3396648044692738</v>
      </c>
      <c r="G57" s="5">
        <v>1.3150837988826816</v>
      </c>
      <c r="H57" s="5">
        <v>1.2905027932960895</v>
      </c>
      <c r="I57" s="5">
        <v>1.2659217877094973</v>
      </c>
      <c r="J57" s="5">
        <v>1.2413407821229052</v>
      </c>
      <c r="K57" s="5">
        <v>1.216759776536313</v>
      </c>
      <c r="L57" s="5">
        <v>1.1921787709497209</v>
      </c>
    </row>
    <row r="58" spans="1:12" s="5" customFormat="1">
      <c r="A58" t="s">
        <v>458</v>
      </c>
      <c r="B58" s="5" t="s">
        <v>53</v>
      </c>
      <c r="C58" t="s">
        <v>130</v>
      </c>
      <c r="D58" s="5">
        <v>1</v>
      </c>
      <c r="E58" s="5">
        <v>1.2402234636871508</v>
      </c>
      <c r="F58" s="5">
        <v>1.217877094972067</v>
      </c>
      <c r="G58" s="5">
        <v>1.1955307262569832</v>
      </c>
      <c r="H58" s="5">
        <v>1.1731843575418994</v>
      </c>
      <c r="I58" s="5">
        <v>1.1508379888268156</v>
      </c>
      <c r="J58" s="5">
        <v>1.1284916201117319</v>
      </c>
      <c r="K58" s="5">
        <v>1.1061452513966481</v>
      </c>
      <c r="L58" s="5">
        <v>1.0837988826815643</v>
      </c>
    </row>
    <row r="59" spans="1:12" s="5" customFormat="1">
      <c r="A59" t="s">
        <v>458</v>
      </c>
      <c r="B59" s="5" t="s">
        <v>125</v>
      </c>
      <c r="C59" t="s">
        <v>132</v>
      </c>
      <c r="D59" s="5">
        <v>1</v>
      </c>
      <c r="E59" s="5">
        <v>1.2650279329608938</v>
      </c>
      <c r="F59" s="5">
        <v>1.2422346368715083</v>
      </c>
      <c r="G59" s="5">
        <v>1.219441340782123</v>
      </c>
      <c r="H59" s="5">
        <v>1.1966480446927374</v>
      </c>
      <c r="I59" s="5">
        <v>1.1738547486033519</v>
      </c>
      <c r="J59" s="5">
        <v>1.1510614525139666</v>
      </c>
      <c r="K59" s="5">
        <v>1.1282681564245811</v>
      </c>
      <c r="L59" s="5">
        <v>1.1054748603351956</v>
      </c>
    </row>
    <row r="60" spans="1:12" s="5" customFormat="1">
      <c r="A60" t="s">
        <v>458</v>
      </c>
      <c r="B60" s="5" t="s">
        <v>119</v>
      </c>
      <c r="C60" t="s">
        <v>130</v>
      </c>
      <c r="D60" s="5">
        <v>1</v>
      </c>
      <c r="E60" s="5">
        <v>0.67391304347826086</v>
      </c>
      <c r="F60" s="5">
        <v>0.65965033356337699</v>
      </c>
      <c r="G60" s="5">
        <v>0.64538762364849322</v>
      </c>
      <c r="H60" s="5">
        <v>0.63112491373360935</v>
      </c>
      <c r="I60" s="5">
        <v>0.61686220381872559</v>
      </c>
      <c r="J60" s="5">
        <v>0.60259949390384171</v>
      </c>
      <c r="K60" s="5">
        <v>0.58833678398895795</v>
      </c>
      <c r="L60" s="5">
        <v>0.57407407407407418</v>
      </c>
    </row>
    <row r="61" spans="1:12" s="5" customFormat="1">
      <c r="A61" t="s">
        <v>458</v>
      </c>
      <c r="B61" s="5" t="s">
        <v>120</v>
      </c>
      <c r="C61" t="s">
        <v>15</v>
      </c>
      <c r="D61" s="5">
        <v>1</v>
      </c>
      <c r="E61" s="5">
        <v>0.375</v>
      </c>
      <c r="F61" s="5">
        <v>0.36607142857142855</v>
      </c>
      <c r="G61" s="5">
        <v>0.3571428571428571</v>
      </c>
      <c r="H61" s="5">
        <v>0.3482142857142857</v>
      </c>
      <c r="I61" s="5">
        <v>0.33928571428571425</v>
      </c>
      <c r="J61" s="5">
        <v>0.33035714285714285</v>
      </c>
      <c r="K61" s="5">
        <v>0.3214285714285714</v>
      </c>
      <c r="L61" s="5">
        <v>0.3125</v>
      </c>
    </row>
    <row r="62" spans="1:12" s="5" customFormat="1">
      <c r="A62" t="s">
        <v>458</v>
      </c>
      <c r="B62" s="5" t="s">
        <v>55</v>
      </c>
      <c r="C62" t="s">
        <v>15</v>
      </c>
      <c r="D62" s="5">
        <v>1</v>
      </c>
      <c r="E62" s="5">
        <v>0.45999999999999996</v>
      </c>
      <c r="F62" s="5">
        <v>0.36000000000000004</v>
      </c>
      <c r="G62" s="5">
        <v>0.32666666666666666</v>
      </c>
      <c r="H62" s="5">
        <v>0.31833333333333336</v>
      </c>
      <c r="I62" s="5">
        <v>0.31416666666666671</v>
      </c>
      <c r="J62" s="5">
        <v>0.31208333333333338</v>
      </c>
      <c r="K62" s="5">
        <v>0.31104166666666666</v>
      </c>
      <c r="L62" s="5">
        <v>0.31</v>
      </c>
    </row>
    <row r="63" spans="1:12" s="5" customFormat="1">
      <c r="A63" t="s">
        <v>458</v>
      </c>
      <c r="B63" s="5" t="s">
        <v>114</v>
      </c>
      <c r="C63" t="s">
        <v>132</v>
      </c>
      <c r="D63" s="5">
        <v>1</v>
      </c>
      <c r="E63" s="5">
        <v>0.45333333333333337</v>
      </c>
      <c r="F63" s="5">
        <v>0.43142857142857144</v>
      </c>
      <c r="G63" s="5">
        <v>0.40952380952380951</v>
      </c>
      <c r="H63" s="5">
        <v>0.38761904761904759</v>
      </c>
      <c r="I63" s="5">
        <v>0.36571428571428566</v>
      </c>
      <c r="J63" s="5">
        <v>0.34380952380952379</v>
      </c>
      <c r="K63" s="5">
        <v>0.32190476190476186</v>
      </c>
      <c r="L63" s="5">
        <v>0.3</v>
      </c>
    </row>
    <row r="64" spans="1:12" s="5" customFormat="1">
      <c r="A64" t="s">
        <v>458</v>
      </c>
      <c r="B64" s="5" t="s">
        <v>54</v>
      </c>
      <c r="C64" t="s">
        <v>130</v>
      </c>
      <c r="D64" s="5">
        <v>1</v>
      </c>
      <c r="E64" s="5">
        <v>1.4266666666666667</v>
      </c>
      <c r="F64" s="5">
        <v>1.3757142857142857</v>
      </c>
      <c r="G64" s="5">
        <v>1.324761904761905</v>
      </c>
      <c r="H64" s="5">
        <v>1.2738095238095237</v>
      </c>
      <c r="I64" s="5">
        <v>1.2228571428571429</v>
      </c>
      <c r="J64" s="5">
        <v>1.171904761904762</v>
      </c>
      <c r="K64" s="5">
        <v>1.1209523809523809</v>
      </c>
      <c r="L64" s="5">
        <v>1.07</v>
      </c>
    </row>
    <row r="65" spans="1:12" s="5" customFormat="1">
      <c r="A65" t="s">
        <v>458</v>
      </c>
      <c r="B65" s="5" t="s">
        <v>54</v>
      </c>
      <c r="C65" t="s">
        <v>256</v>
      </c>
      <c r="D65" s="5">
        <v>2</v>
      </c>
      <c r="E65" s="5">
        <v>1.712</v>
      </c>
      <c r="F65" s="5">
        <v>1.712</v>
      </c>
      <c r="G65" s="5">
        <v>1.712</v>
      </c>
      <c r="H65" s="5">
        <v>1.712</v>
      </c>
      <c r="I65" s="5">
        <v>1.712</v>
      </c>
      <c r="J65" s="5">
        <v>1.712</v>
      </c>
      <c r="K65" s="5">
        <v>1.712</v>
      </c>
      <c r="L65" s="5">
        <v>1.712</v>
      </c>
    </row>
    <row r="66" spans="1:12" s="5" customFormat="1">
      <c r="A66" t="s">
        <v>458</v>
      </c>
      <c r="B66" t="s">
        <v>115</v>
      </c>
      <c r="C66" t="s">
        <v>15</v>
      </c>
      <c r="D66">
        <v>1</v>
      </c>
      <c r="E66" s="5">
        <v>0.19600000000000001</v>
      </c>
      <c r="F66" s="5">
        <v>0.14866666666666667</v>
      </c>
      <c r="G66" s="5">
        <v>0.13288888888888889</v>
      </c>
      <c r="H66" s="5">
        <v>0.12894444444444444</v>
      </c>
      <c r="I66" s="5">
        <v>0.12697222222222221</v>
      </c>
      <c r="J66" s="5">
        <v>0.1259861111111111</v>
      </c>
      <c r="K66" s="5">
        <v>0.12549305555555557</v>
      </c>
      <c r="L66" s="5">
        <v>0.125</v>
      </c>
    </row>
    <row r="67" spans="1:12" s="5" customFormat="1">
      <c r="A67" t="s">
        <v>458</v>
      </c>
      <c r="B67" t="s">
        <v>115</v>
      </c>
      <c r="C67" t="s">
        <v>130</v>
      </c>
      <c r="D67">
        <v>1</v>
      </c>
      <c r="E67" s="5">
        <v>0.78400000000000003</v>
      </c>
      <c r="F67" s="5">
        <v>0.59466666666666668</v>
      </c>
      <c r="G67" s="5">
        <v>0.53155555555555556</v>
      </c>
      <c r="H67" s="5">
        <v>0.51577777777777778</v>
      </c>
      <c r="I67" s="5">
        <v>0.50788888888888883</v>
      </c>
      <c r="J67" s="5">
        <v>0.50394444444444442</v>
      </c>
      <c r="K67" s="5">
        <v>0.50197222222222226</v>
      </c>
      <c r="L67" s="5">
        <v>0.5</v>
      </c>
    </row>
    <row r="68" spans="1:12" s="5" customFormat="1">
      <c r="A68" t="s">
        <v>458</v>
      </c>
      <c r="B68" t="s">
        <v>115</v>
      </c>
      <c r="C68" t="s">
        <v>15</v>
      </c>
      <c r="D68">
        <v>2</v>
      </c>
      <c r="E68" s="5">
        <v>0.23519999999999999</v>
      </c>
      <c r="F68" s="5">
        <v>0.1784</v>
      </c>
      <c r="G68" s="5">
        <v>0.15946666666666667</v>
      </c>
      <c r="H68" s="5">
        <v>0.15473333333333333</v>
      </c>
      <c r="I68" s="5">
        <v>0.15236666666666665</v>
      </c>
      <c r="J68" s="5">
        <v>0.15118333333333334</v>
      </c>
      <c r="K68" s="5">
        <v>0.15059166666666668</v>
      </c>
      <c r="L68" s="5">
        <v>0.15</v>
      </c>
    </row>
    <row r="69" spans="1:12" s="5" customFormat="1">
      <c r="A69" t="s">
        <v>458</v>
      </c>
      <c r="B69" t="s">
        <v>115</v>
      </c>
      <c r="C69" t="s">
        <v>256</v>
      </c>
      <c r="D69">
        <v>2</v>
      </c>
      <c r="E69" s="5">
        <v>0.94079999999999997</v>
      </c>
      <c r="F69" s="5">
        <v>0.71360000000000001</v>
      </c>
      <c r="G69" s="5">
        <v>0.63786666666666669</v>
      </c>
      <c r="H69" s="5">
        <v>0.61893333333333334</v>
      </c>
      <c r="I69" s="5">
        <v>0.6094666666666666</v>
      </c>
      <c r="J69" s="5">
        <v>0.60473333333333334</v>
      </c>
      <c r="K69" s="5">
        <v>0.60236666666666672</v>
      </c>
      <c r="L69" s="5">
        <v>0.6</v>
      </c>
    </row>
    <row r="70" spans="1:12" s="5" customFormat="1">
      <c r="A70" t="s">
        <v>458</v>
      </c>
      <c r="B70" t="s">
        <v>158</v>
      </c>
      <c r="C70" s="5" t="s">
        <v>155</v>
      </c>
      <c r="D70">
        <v>1</v>
      </c>
      <c r="E70" s="5">
        <v>0.16582635717909688</v>
      </c>
      <c r="F70" s="5">
        <v>0.16582635717909688</v>
      </c>
      <c r="G70" s="5">
        <v>0.16582635717909688</v>
      </c>
      <c r="H70" s="5">
        <v>0.16582635717909688</v>
      </c>
      <c r="I70" s="5">
        <v>0.16582635717909688</v>
      </c>
      <c r="J70" s="5">
        <v>0.16582635717909688</v>
      </c>
      <c r="K70" s="5">
        <v>0.16582635717909688</v>
      </c>
      <c r="L70" s="5">
        <v>0.16582635717909688</v>
      </c>
    </row>
    <row r="71" spans="1:12" s="5" customFormat="1">
      <c r="A71" t="s">
        <v>458</v>
      </c>
      <c r="B71" t="s">
        <v>159</v>
      </c>
      <c r="C71" s="5" t="s">
        <v>154</v>
      </c>
      <c r="D71">
        <v>1</v>
      </c>
      <c r="E71" s="5">
        <v>0.16582635717909688</v>
      </c>
      <c r="F71" s="5">
        <v>0.16582635717909688</v>
      </c>
      <c r="G71" s="5">
        <v>0.16582635717909688</v>
      </c>
      <c r="H71" s="5">
        <v>0.16582635717909688</v>
      </c>
      <c r="I71" s="5">
        <v>0.16582635717909688</v>
      </c>
      <c r="J71" s="5">
        <v>0.16582635717909688</v>
      </c>
      <c r="K71" s="5">
        <v>0.16582635717909688</v>
      </c>
      <c r="L71" s="5">
        <v>0.16582635717909688</v>
      </c>
    </row>
    <row r="72" spans="1:12" s="5" customFormat="1">
      <c r="A72" t="s">
        <v>458</v>
      </c>
      <c r="B72" t="s">
        <v>112</v>
      </c>
      <c r="C72" s="5" t="s">
        <v>15</v>
      </c>
      <c r="D72">
        <v>1</v>
      </c>
      <c r="E72" s="5">
        <v>1.5625</v>
      </c>
      <c r="F72" s="5">
        <v>1.3647151898734176</v>
      </c>
      <c r="G72" s="5">
        <v>1.2987869198312234</v>
      </c>
      <c r="H72" s="5">
        <v>1.2823048523206748</v>
      </c>
      <c r="I72" s="5">
        <v>1.2740638185654007</v>
      </c>
      <c r="J72" s="5">
        <v>1.2699433016877637</v>
      </c>
      <c r="K72" s="5">
        <v>1.2678830432489452</v>
      </c>
      <c r="L72" s="5">
        <v>1.2658227848101264</v>
      </c>
    </row>
    <row r="73" spans="1:12" s="5" customFormat="1">
      <c r="A73" t="s">
        <v>458</v>
      </c>
      <c r="B73" t="s">
        <v>113</v>
      </c>
      <c r="C73" s="5" t="s">
        <v>132</v>
      </c>
      <c r="D73">
        <v>1</v>
      </c>
      <c r="E73" s="5">
        <v>2.1276595744680851</v>
      </c>
      <c r="F73" s="5">
        <v>2.0833333333333335</v>
      </c>
      <c r="G73" s="5">
        <v>2.0408163265306123</v>
      </c>
      <c r="H73" s="5">
        <v>2</v>
      </c>
      <c r="I73" s="5">
        <v>1.9801980198019802</v>
      </c>
      <c r="J73" s="5">
        <v>1.9607843137254901</v>
      </c>
      <c r="K73" s="5">
        <v>1.9607843137254901</v>
      </c>
      <c r="L73" s="5">
        <v>1.9607843137254901</v>
      </c>
    </row>
    <row r="74" spans="1:12" s="5" customFormat="1">
      <c r="A74" t="s">
        <v>458</v>
      </c>
      <c r="B74" t="s">
        <v>113</v>
      </c>
      <c r="C74" s="5" t="s">
        <v>132</v>
      </c>
      <c r="D74">
        <v>2</v>
      </c>
      <c r="E74" s="5">
        <v>2.7027027027027026</v>
      </c>
      <c r="F74" s="5">
        <v>2.6315789473684212</v>
      </c>
      <c r="G74" s="5">
        <v>2.5974025974025974</v>
      </c>
      <c r="H74" s="5">
        <v>2.5641025641025639</v>
      </c>
      <c r="I74" s="5">
        <v>2.5316455696202529</v>
      </c>
      <c r="J74" s="5">
        <v>2.5</v>
      </c>
      <c r="K74" s="5">
        <v>2.5</v>
      </c>
      <c r="L74" s="5">
        <v>2.5</v>
      </c>
    </row>
    <row r="75" spans="1:12" s="5" customFormat="1">
      <c r="A75" t="s">
        <v>458</v>
      </c>
      <c r="B75" t="s">
        <v>149</v>
      </c>
      <c r="C75" s="5" t="s">
        <v>132</v>
      </c>
      <c r="D75">
        <v>1</v>
      </c>
      <c r="E75" s="5">
        <v>1.6666666666666667</v>
      </c>
      <c r="F75" s="5">
        <v>1.6141001855287569</v>
      </c>
      <c r="G75" s="5">
        <v>1.5615337043908473</v>
      </c>
      <c r="H75" s="5">
        <v>1.5089672232529374</v>
      </c>
      <c r="I75" s="5">
        <v>1.4564007421150278</v>
      </c>
      <c r="J75" s="5">
        <v>1.4038342609771179</v>
      </c>
      <c r="K75" s="5">
        <v>1.3512677798392083</v>
      </c>
      <c r="L75" s="5">
        <v>1.2987012987012987</v>
      </c>
    </row>
    <row r="76" spans="1:12" s="5" customFormat="1">
      <c r="A76" t="s">
        <v>458</v>
      </c>
      <c r="B76" t="s">
        <v>149</v>
      </c>
      <c r="C76" t="s">
        <v>133</v>
      </c>
      <c r="D76">
        <v>2</v>
      </c>
      <c r="E76" s="5">
        <v>2.5641025641025639</v>
      </c>
      <c r="F76" s="5">
        <v>2.3908523908523907</v>
      </c>
      <c r="G76" s="5">
        <v>2.2176022176022174</v>
      </c>
      <c r="H76" s="5">
        <v>2.0443520443520438</v>
      </c>
      <c r="I76" s="5">
        <v>1.871101871101871</v>
      </c>
      <c r="J76" s="5">
        <v>1.6978516978516978</v>
      </c>
      <c r="K76" s="5">
        <v>1.5246015246015245</v>
      </c>
      <c r="L76" s="5">
        <v>1.3513513513513513</v>
      </c>
    </row>
    <row r="77" spans="1:12" s="5" customFormat="1">
      <c r="A77" t="s">
        <v>458</v>
      </c>
      <c r="B77" t="s">
        <v>179</v>
      </c>
      <c r="C77" s="5" t="s">
        <v>133</v>
      </c>
      <c r="D77" s="5">
        <v>1</v>
      </c>
      <c r="E77" s="5">
        <v>3.3333333333333335</v>
      </c>
      <c r="F77" s="5">
        <v>3.125</v>
      </c>
      <c r="G77" s="5">
        <v>3.0769230769230766</v>
      </c>
      <c r="H77" s="5">
        <v>3.0303030303030303</v>
      </c>
      <c r="I77" s="5">
        <v>2.9850746268656714</v>
      </c>
      <c r="J77" s="5">
        <v>2.9411764705882351</v>
      </c>
      <c r="K77" s="5">
        <v>2.8985507246376816</v>
      </c>
      <c r="L77" s="5">
        <v>2.8571428571428572</v>
      </c>
    </row>
    <row r="78" spans="1:12" s="5" customFormat="1">
      <c r="A78" t="s">
        <v>458</v>
      </c>
      <c r="B78" t="s">
        <v>180</v>
      </c>
      <c r="C78" t="s">
        <v>133</v>
      </c>
      <c r="D78">
        <v>1</v>
      </c>
      <c r="E78" s="5">
        <v>2.9411764705882351</v>
      </c>
      <c r="F78" s="5">
        <v>2.8571428571428572</v>
      </c>
      <c r="G78" s="5">
        <v>2.8169014084507045</v>
      </c>
      <c r="H78" s="5">
        <v>1.6666666666666667</v>
      </c>
      <c r="I78" s="5">
        <v>2.7027027027027026</v>
      </c>
      <c r="J78" s="5">
        <v>2.6315789473684212</v>
      </c>
      <c r="K78" s="5">
        <v>2.6315789473684212</v>
      </c>
      <c r="L78" s="5">
        <v>2.6315789473684212</v>
      </c>
    </row>
    <row r="79" spans="1:12" s="5" customFormat="1">
      <c r="A79" t="s">
        <v>458</v>
      </c>
      <c r="B79" t="s">
        <v>179</v>
      </c>
      <c r="C79" t="s">
        <v>182</v>
      </c>
      <c r="D79">
        <v>1</v>
      </c>
      <c r="E79" s="5">
        <v>0.25666666666666665</v>
      </c>
      <c r="F79" s="5">
        <v>0.24062500000000001</v>
      </c>
      <c r="G79" s="5">
        <v>0.2369230769230769</v>
      </c>
      <c r="H79" s="5">
        <v>0.23333333333333334</v>
      </c>
      <c r="I79" s="5">
        <v>0.2298507462686567</v>
      </c>
      <c r="J79" s="5">
        <v>0.22647058823529409</v>
      </c>
      <c r="K79" s="5">
        <v>0.22318840579710147</v>
      </c>
      <c r="L79" s="5">
        <v>0.22</v>
      </c>
    </row>
    <row r="80" spans="1:12" s="5" customFormat="1">
      <c r="A80" t="s">
        <v>458</v>
      </c>
      <c r="B80" t="s">
        <v>180</v>
      </c>
      <c r="C80" t="s">
        <v>182</v>
      </c>
      <c r="D80">
        <v>1</v>
      </c>
      <c r="E80" s="5">
        <v>0.22647058823529409</v>
      </c>
      <c r="F80" s="5">
        <v>0.22</v>
      </c>
      <c r="G80" s="5">
        <v>0.21690140845070424</v>
      </c>
      <c r="H80" s="5">
        <v>0.12833333333333333</v>
      </c>
      <c r="I80" s="5">
        <v>0.20810810810810809</v>
      </c>
      <c r="J80" s="5">
        <v>0.20263157894736844</v>
      </c>
      <c r="K80" s="5">
        <v>0.20263157894736844</v>
      </c>
      <c r="L80" s="5">
        <v>0.20263157894736844</v>
      </c>
    </row>
    <row r="81" spans="1:12" s="5" customFormat="1">
      <c r="A81" t="s">
        <v>458</v>
      </c>
      <c r="B81" t="s">
        <v>97</v>
      </c>
      <c r="C81" s="5" t="s">
        <v>184</v>
      </c>
      <c r="D81">
        <v>2</v>
      </c>
      <c r="E81" s="5">
        <v>1.7543859649122808</v>
      </c>
      <c r="F81" s="5">
        <v>1.6949152542372883</v>
      </c>
      <c r="G81" s="5">
        <v>1.6666666666666667</v>
      </c>
      <c r="H81" s="5">
        <v>1.639344262295082</v>
      </c>
      <c r="I81" s="5">
        <v>1.6260162601626016</v>
      </c>
      <c r="J81" s="5">
        <v>1.6129032258064517</v>
      </c>
      <c r="K81" s="5">
        <v>1.6</v>
      </c>
      <c r="L81" s="5">
        <v>1.5873015873015872</v>
      </c>
    </row>
    <row r="82" spans="1:12" s="5" customFormat="1">
      <c r="A82" t="s">
        <v>458</v>
      </c>
      <c r="B82" t="s">
        <v>103</v>
      </c>
      <c r="C82" t="s">
        <v>184</v>
      </c>
      <c r="D82">
        <v>2</v>
      </c>
      <c r="E82" s="5">
        <v>1.1111111111111112</v>
      </c>
      <c r="F82" s="5">
        <v>1.1111111111111112</v>
      </c>
      <c r="G82" s="5">
        <v>1.1111111111111112</v>
      </c>
      <c r="H82" s="5">
        <v>1.1111111111111112</v>
      </c>
      <c r="I82" s="5">
        <v>1.1111111111111112</v>
      </c>
      <c r="J82" s="5">
        <v>1.1111111111111112</v>
      </c>
      <c r="K82" s="5">
        <v>1.1111111111111112</v>
      </c>
      <c r="L82" s="5">
        <v>1.1111111111111112</v>
      </c>
    </row>
    <row r="83" spans="1:12" s="5" customFormat="1">
      <c r="A83" t="s">
        <v>458</v>
      </c>
      <c r="B83" t="s">
        <v>109</v>
      </c>
      <c r="C83" t="s">
        <v>184</v>
      </c>
      <c r="D83">
        <v>2</v>
      </c>
      <c r="E83" s="5">
        <v>1.1111111111111112</v>
      </c>
      <c r="F83" s="5">
        <v>1.1111111111111112</v>
      </c>
      <c r="G83" s="5">
        <v>1.1111111111111112</v>
      </c>
      <c r="H83" s="5">
        <v>1.1111111111111112</v>
      </c>
      <c r="I83" s="5">
        <v>1.1111111111111112</v>
      </c>
      <c r="J83" s="5">
        <v>1.1111111111111112</v>
      </c>
      <c r="K83" s="5">
        <v>1.1111111111111112</v>
      </c>
      <c r="L83" s="5">
        <v>1.1111111111111112</v>
      </c>
    </row>
    <row r="84" spans="1:12" s="5" customFormat="1">
      <c r="A84" t="s">
        <v>458</v>
      </c>
      <c r="B84" t="s">
        <v>13</v>
      </c>
      <c r="C84" t="s">
        <v>184</v>
      </c>
      <c r="D84">
        <v>2</v>
      </c>
      <c r="E84" s="5">
        <v>1.7241379310344829</v>
      </c>
      <c r="F84" s="5">
        <v>1.6666666666666667</v>
      </c>
      <c r="G84" s="5">
        <v>1.639344262295082</v>
      </c>
      <c r="H84" s="5">
        <v>1.6129032258064517</v>
      </c>
      <c r="I84" s="5">
        <v>1.6129032258064517</v>
      </c>
      <c r="J84" s="5">
        <v>1.6129032258064517</v>
      </c>
      <c r="K84" s="5">
        <v>1.6</v>
      </c>
      <c r="L84" s="5">
        <v>1.5873015873015872</v>
      </c>
    </row>
    <row r="85" spans="1:12" s="5" customFormat="1">
      <c r="A85" t="s">
        <v>458</v>
      </c>
      <c r="B85" t="s">
        <v>97</v>
      </c>
      <c r="C85" t="s">
        <v>185</v>
      </c>
      <c r="D85">
        <v>3</v>
      </c>
      <c r="E85" s="5">
        <v>1.7543859649122808</v>
      </c>
      <c r="F85" s="5">
        <v>1.6949152542372883</v>
      </c>
      <c r="G85" s="5">
        <v>1.6666666666666667</v>
      </c>
      <c r="H85" s="5">
        <v>1.639344262295082</v>
      </c>
      <c r="I85" s="5">
        <v>1.6260162601626016</v>
      </c>
      <c r="J85" s="5">
        <v>1.6129032258064517</v>
      </c>
      <c r="K85" s="5">
        <v>1.6</v>
      </c>
      <c r="L85" s="5">
        <v>1.5873015873015872</v>
      </c>
    </row>
    <row r="86" spans="1:12" s="5" customFormat="1">
      <c r="A86" t="s">
        <v>458</v>
      </c>
      <c r="B86" t="s">
        <v>103</v>
      </c>
      <c r="C86" t="s">
        <v>185</v>
      </c>
      <c r="D86">
        <v>3</v>
      </c>
      <c r="E86" s="5">
        <v>1.1111111111111112</v>
      </c>
      <c r="F86" s="5">
        <v>1.1111111111111112</v>
      </c>
      <c r="G86" s="5">
        <v>1.1111111111111112</v>
      </c>
      <c r="H86" s="5">
        <v>1.1111111111111112</v>
      </c>
      <c r="I86" s="5">
        <v>1.1111111111111112</v>
      </c>
      <c r="J86" s="5">
        <v>1.1111111111111112</v>
      </c>
      <c r="K86" s="5">
        <v>1.1111111111111112</v>
      </c>
      <c r="L86" s="5">
        <v>1.1111111111111112</v>
      </c>
    </row>
    <row r="87" spans="1:12" s="5" customFormat="1">
      <c r="A87" t="s">
        <v>458</v>
      </c>
      <c r="B87" t="s">
        <v>109</v>
      </c>
      <c r="C87" t="s">
        <v>185</v>
      </c>
      <c r="D87">
        <v>3</v>
      </c>
      <c r="E87" s="5">
        <v>1.1111111111111112</v>
      </c>
      <c r="F87" s="5">
        <v>1.1111111111111112</v>
      </c>
      <c r="G87" s="5">
        <v>1.1111111111111112</v>
      </c>
      <c r="H87" s="5">
        <v>1.1111111111111112</v>
      </c>
      <c r="I87" s="5">
        <v>1.1111111111111112</v>
      </c>
      <c r="J87" s="5">
        <v>1.1111111111111112</v>
      </c>
      <c r="K87" s="5">
        <v>1.1111111111111112</v>
      </c>
      <c r="L87" s="5">
        <v>1.1111111111111112</v>
      </c>
    </row>
    <row r="88" spans="1:12" s="5" customFormat="1">
      <c r="A88" t="s">
        <v>458</v>
      </c>
      <c r="B88" t="s">
        <v>13</v>
      </c>
      <c r="C88" s="5" t="s">
        <v>185</v>
      </c>
      <c r="D88">
        <v>3</v>
      </c>
      <c r="E88" s="5">
        <v>1.7241379310344829</v>
      </c>
      <c r="F88" s="5">
        <v>1.6666666666666667</v>
      </c>
      <c r="G88" s="5">
        <v>1.639344262295082</v>
      </c>
      <c r="H88" s="5">
        <v>1.6129032258064517</v>
      </c>
      <c r="I88" s="5">
        <v>1.6129032258064517</v>
      </c>
      <c r="J88" s="5">
        <v>1.6129032258064517</v>
      </c>
      <c r="K88" s="5">
        <v>1.6</v>
      </c>
      <c r="L88" s="5">
        <v>1.5873015873015872</v>
      </c>
    </row>
    <row r="89" spans="1:12" s="5" customFormat="1">
      <c r="A89" t="s">
        <v>458</v>
      </c>
      <c r="B89" t="s">
        <v>205</v>
      </c>
      <c r="C89" s="5" t="s">
        <v>183</v>
      </c>
      <c r="D89">
        <v>1</v>
      </c>
      <c r="E89" s="5">
        <v>1.1111111111111112</v>
      </c>
      <c r="F89" s="5">
        <v>1.1111111111111112</v>
      </c>
      <c r="G89" s="5">
        <v>1.1111111111111112</v>
      </c>
      <c r="H89" s="5">
        <v>1.1111111111111112</v>
      </c>
      <c r="I89" s="5">
        <v>1.1111111111111112</v>
      </c>
      <c r="J89" s="5">
        <v>1.1111111111111112</v>
      </c>
      <c r="K89" s="5">
        <v>1.1111111111111112</v>
      </c>
      <c r="L89" s="5">
        <v>1.1111111111111112</v>
      </c>
    </row>
    <row r="90" spans="1:12" s="5" customFormat="1">
      <c r="A90" t="s">
        <v>458</v>
      </c>
      <c r="B90" t="s">
        <v>205</v>
      </c>
      <c r="C90" s="5" t="s">
        <v>184</v>
      </c>
      <c r="D90">
        <v>2</v>
      </c>
      <c r="E90" s="5">
        <v>1.1111111111111112</v>
      </c>
      <c r="F90" s="5">
        <v>1.1111111111111112</v>
      </c>
      <c r="G90" s="5">
        <v>1.1111111111111112</v>
      </c>
      <c r="H90" s="5">
        <v>1.1111111111111112</v>
      </c>
      <c r="I90" s="5">
        <v>1.1111111111111112</v>
      </c>
      <c r="J90" s="5">
        <v>1.1111111111111112</v>
      </c>
      <c r="K90" s="5">
        <v>1.1111111111111112</v>
      </c>
      <c r="L90" s="5">
        <v>1.1111111111111112</v>
      </c>
    </row>
    <row r="91" spans="1:12" s="5" customFormat="1">
      <c r="A91" t="s">
        <v>458</v>
      </c>
      <c r="B91" t="s">
        <v>205</v>
      </c>
      <c r="C91" s="5" t="s">
        <v>185</v>
      </c>
      <c r="D91">
        <v>3</v>
      </c>
      <c r="E91" s="5">
        <v>1.1111111111111112</v>
      </c>
      <c r="F91" s="5">
        <v>1.1111111111111112</v>
      </c>
      <c r="G91" s="5">
        <v>1.1111111111111112</v>
      </c>
      <c r="H91" s="5">
        <v>1.1111111111111112</v>
      </c>
      <c r="I91" s="5">
        <v>1.1111111111111112</v>
      </c>
      <c r="J91" s="5">
        <v>1.1111111111111112</v>
      </c>
      <c r="K91" s="5">
        <v>1.1111111111111112</v>
      </c>
      <c r="L91" s="5">
        <v>1.1111111111111112</v>
      </c>
    </row>
    <row r="92" spans="1:12" s="5" customFormat="1">
      <c r="A92" t="s">
        <v>458</v>
      </c>
      <c r="B92" t="s">
        <v>192</v>
      </c>
      <c r="C92" s="5" t="s">
        <v>183</v>
      </c>
      <c r="D92">
        <v>1</v>
      </c>
      <c r="E92" s="5">
        <v>1.2195121951219512</v>
      </c>
      <c r="F92" s="5">
        <v>1.2195121951219512</v>
      </c>
      <c r="G92" s="5">
        <v>1.2195121951219512</v>
      </c>
      <c r="H92" s="5">
        <v>1.2195121951219512</v>
      </c>
      <c r="I92" s="5">
        <v>1.2195121951219512</v>
      </c>
      <c r="J92" s="5">
        <v>1.2195121951219512</v>
      </c>
      <c r="K92" s="5">
        <v>1.2195121951219512</v>
      </c>
      <c r="L92" s="5">
        <v>1.2195121951219512</v>
      </c>
    </row>
    <row r="93" spans="1:12" s="5" customFormat="1">
      <c r="A93" t="s">
        <v>458</v>
      </c>
      <c r="B93" t="s">
        <v>192</v>
      </c>
      <c r="C93" s="5" t="s">
        <v>184</v>
      </c>
      <c r="D93">
        <v>2</v>
      </c>
      <c r="E93" s="5">
        <v>1.2195121951219512</v>
      </c>
      <c r="F93" s="5">
        <v>1.2195121951219512</v>
      </c>
      <c r="G93" s="5">
        <v>1.2195121951219512</v>
      </c>
      <c r="H93" s="5">
        <v>1.2195121951219512</v>
      </c>
      <c r="I93" s="5">
        <v>1.2195121951219512</v>
      </c>
      <c r="J93" s="5">
        <v>1.2195121951219512</v>
      </c>
      <c r="K93" s="5">
        <v>1.2195121951219512</v>
      </c>
      <c r="L93" s="5">
        <v>1.2195121951219512</v>
      </c>
    </row>
    <row r="94" spans="1:12" s="5" customFormat="1">
      <c r="A94" t="s">
        <v>458</v>
      </c>
      <c r="B94" t="s">
        <v>192</v>
      </c>
      <c r="C94" t="s">
        <v>185</v>
      </c>
      <c r="D94">
        <v>3</v>
      </c>
      <c r="E94" s="5">
        <v>1.2195121951219512</v>
      </c>
      <c r="F94" s="5">
        <v>1.2195121951219512</v>
      </c>
      <c r="G94" s="5">
        <v>1.2195121951219512</v>
      </c>
      <c r="H94" s="5">
        <v>1.2195121951219512</v>
      </c>
      <c r="I94" s="5">
        <v>1.2195121951219512</v>
      </c>
      <c r="J94" s="5">
        <v>1.2195121951219512</v>
      </c>
      <c r="K94" s="5">
        <v>1.2195121951219512</v>
      </c>
      <c r="L94" s="5">
        <v>1.2195121951219512</v>
      </c>
    </row>
    <row r="95" spans="1:12" s="5" customFormat="1">
      <c r="A95" t="s">
        <v>458</v>
      </c>
      <c r="B95" t="s">
        <v>187</v>
      </c>
      <c r="C95" s="5" t="s">
        <v>133</v>
      </c>
      <c r="D95" s="5">
        <v>1</v>
      </c>
      <c r="E95" s="5">
        <v>1.25</v>
      </c>
      <c r="F95" s="5">
        <v>1.2195121951219512</v>
      </c>
      <c r="G95" s="5">
        <v>1.2048192771084338</v>
      </c>
      <c r="H95" s="5">
        <v>1.1904761904761905</v>
      </c>
      <c r="I95" s="5">
        <v>1.1764705882352942</v>
      </c>
      <c r="J95" s="5">
        <v>1.1764705882352942</v>
      </c>
      <c r="K95" s="5">
        <v>1.1764705882352942</v>
      </c>
      <c r="L95" s="5">
        <v>1.1764705882352942</v>
      </c>
    </row>
    <row r="96" spans="1:12" s="5" customFormat="1">
      <c r="A96" t="s">
        <v>458</v>
      </c>
      <c r="B96" t="s">
        <v>191</v>
      </c>
      <c r="C96" s="5" t="s">
        <v>133</v>
      </c>
      <c r="D96" s="5">
        <v>1</v>
      </c>
      <c r="E96" s="5">
        <v>1.5384615384615383</v>
      </c>
      <c r="F96" s="5">
        <v>1.346153846153846</v>
      </c>
      <c r="G96" s="5">
        <v>1.2820512820512819</v>
      </c>
      <c r="H96" s="5">
        <v>1.266025641025641</v>
      </c>
      <c r="I96" s="5">
        <v>1.2580128205128205</v>
      </c>
      <c r="J96" s="5">
        <v>1.2540064102564101</v>
      </c>
      <c r="K96" s="5">
        <v>1.2520032051282051</v>
      </c>
      <c r="L96" s="5">
        <v>1.25</v>
      </c>
    </row>
    <row r="97" spans="1:12" s="5" customFormat="1">
      <c r="A97" t="s">
        <v>458</v>
      </c>
      <c r="B97" t="s">
        <v>188</v>
      </c>
      <c r="C97" s="5" t="s">
        <v>143</v>
      </c>
      <c r="D97" s="5">
        <v>1</v>
      </c>
      <c r="E97" s="5">
        <v>1.3333333333333333</v>
      </c>
      <c r="F97" s="5">
        <v>1.3333333333333333</v>
      </c>
      <c r="G97" s="5">
        <v>1.3333333333333333</v>
      </c>
      <c r="H97" s="5">
        <v>1.3333333333333333</v>
      </c>
      <c r="I97" s="5">
        <v>1.3333333333333333</v>
      </c>
      <c r="J97" s="5">
        <v>1.3333333333333333</v>
      </c>
      <c r="K97" s="5">
        <v>1.3333333333333333</v>
      </c>
      <c r="L97" s="5">
        <v>1.3333333333333333</v>
      </c>
    </row>
    <row r="98" spans="1:12" s="5" customFormat="1">
      <c r="A98" t="s">
        <v>458</v>
      </c>
      <c r="B98" t="s">
        <v>189</v>
      </c>
      <c r="C98" t="s">
        <v>144</v>
      </c>
      <c r="D98">
        <v>1</v>
      </c>
      <c r="E98" s="5">
        <v>1.3333333333333333</v>
      </c>
      <c r="F98" s="5">
        <v>1.3333333333333333</v>
      </c>
      <c r="G98" s="5">
        <v>1.3333333333333333</v>
      </c>
      <c r="H98" s="5">
        <v>1.3333333333333333</v>
      </c>
      <c r="I98" s="5">
        <v>1.3333333333333333</v>
      </c>
      <c r="J98" s="5">
        <v>1.3333333333333333</v>
      </c>
      <c r="K98" s="5">
        <v>1.3333333333333333</v>
      </c>
      <c r="L98" s="5">
        <v>1.3333333333333333</v>
      </c>
    </row>
    <row r="99" spans="1:12" s="5" customFormat="1">
      <c r="A99" t="s">
        <v>458</v>
      </c>
      <c r="B99" t="s">
        <v>190</v>
      </c>
      <c r="C99" s="5" t="s">
        <v>143</v>
      </c>
      <c r="D99">
        <v>1</v>
      </c>
      <c r="E99" s="5">
        <v>1.6666666666666667</v>
      </c>
      <c r="F99" s="5">
        <v>1.6666666666666667</v>
      </c>
      <c r="G99" s="5">
        <v>1.6666666666666667</v>
      </c>
      <c r="H99" s="5">
        <v>1.6666666666666667</v>
      </c>
      <c r="I99" s="5">
        <v>1.6666666666666667</v>
      </c>
      <c r="J99" s="5">
        <v>1.6666666666666667</v>
      </c>
      <c r="K99" s="5">
        <v>1.6666666666666667</v>
      </c>
      <c r="L99" s="5">
        <v>1.6666666666666667</v>
      </c>
    </row>
    <row r="100" spans="1:12" s="5" customFormat="1">
      <c r="A100" t="s">
        <v>458</v>
      </c>
      <c r="B100" t="s">
        <v>213</v>
      </c>
      <c r="C100" s="5" t="s">
        <v>144</v>
      </c>
      <c r="D100">
        <v>1</v>
      </c>
      <c r="E100" s="5">
        <v>1.6666666666666667</v>
      </c>
      <c r="F100" s="5">
        <v>1.6666666666666667</v>
      </c>
      <c r="G100" s="5">
        <v>1.6666666666666667</v>
      </c>
      <c r="H100" s="5">
        <v>1.6666666666666667</v>
      </c>
      <c r="I100" s="5">
        <v>1.6666666666666667</v>
      </c>
      <c r="J100" s="5">
        <v>1.6666666666666667</v>
      </c>
      <c r="K100" s="5">
        <v>1.6666666666666667</v>
      </c>
      <c r="L100" s="5">
        <v>1.6666666666666667</v>
      </c>
    </row>
    <row r="101" spans="1:12" s="5" customFormat="1">
      <c r="A101" t="s">
        <v>458</v>
      </c>
      <c r="B101" t="s">
        <v>214</v>
      </c>
      <c r="C101" t="s">
        <v>15</v>
      </c>
      <c r="D101">
        <v>1</v>
      </c>
      <c r="E101" s="5">
        <v>1.0416666666666667</v>
      </c>
      <c r="F101" s="5">
        <v>1.0309278350515465</v>
      </c>
      <c r="G101" s="5">
        <v>1.0256410256410258</v>
      </c>
      <c r="H101" s="5">
        <v>1.0204081632653061</v>
      </c>
      <c r="I101" s="5">
        <v>1.015228426395939</v>
      </c>
      <c r="J101" s="5">
        <v>1.0101010101010102</v>
      </c>
      <c r="K101" s="5">
        <v>1.0050251256281406</v>
      </c>
      <c r="L101" s="5">
        <v>1</v>
      </c>
    </row>
    <row r="102" spans="1:12" s="5" customFormat="1">
      <c r="A102" t="s">
        <v>458</v>
      </c>
      <c r="B102" t="s">
        <v>215</v>
      </c>
      <c r="C102" t="s">
        <v>154</v>
      </c>
      <c r="D102">
        <v>1</v>
      </c>
      <c r="E102" s="5">
        <v>0.16582635717909688</v>
      </c>
      <c r="F102" s="5">
        <v>0.16582635717909688</v>
      </c>
      <c r="G102" s="5">
        <v>0.16582635717909688</v>
      </c>
      <c r="H102" s="5">
        <v>0.16582635717909688</v>
      </c>
      <c r="I102" s="5">
        <v>0.16582635717909688</v>
      </c>
      <c r="J102" s="5">
        <v>0.16582635717909688</v>
      </c>
      <c r="K102" s="5">
        <v>0.16582635717909688</v>
      </c>
      <c r="L102" s="5">
        <v>0.16582635717909688</v>
      </c>
    </row>
    <row r="103" spans="1:12" s="5" customFormat="1">
      <c r="A103" t="s">
        <v>458</v>
      </c>
      <c r="B103" t="s">
        <v>216</v>
      </c>
      <c r="C103" t="s">
        <v>15</v>
      </c>
      <c r="D103">
        <v>1</v>
      </c>
      <c r="E103" s="5">
        <v>0.4</v>
      </c>
      <c r="F103" s="5">
        <v>0.35555555555555557</v>
      </c>
      <c r="G103" s="5">
        <v>0.34074074074074073</v>
      </c>
      <c r="H103" s="5">
        <v>0.33703703703703702</v>
      </c>
      <c r="I103" s="5">
        <v>0.33518518518518514</v>
      </c>
      <c r="J103" s="5">
        <v>0.33425925925925926</v>
      </c>
      <c r="K103" s="5">
        <v>0.33379629629629626</v>
      </c>
      <c r="L103" s="5">
        <v>0.33333333333333331</v>
      </c>
    </row>
    <row r="104" spans="1:12" s="5" customFormat="1">
      <c r="A104" t="s">
        <v>458</v>
      </c>
      <c r="B104" t="s">
        <v>217</v>
      </c>
      <c r="C104" s="5" t="s">
        <v>15</v>
      </c>
      <c r="D104">
        <v>1</v>
      </c>
      <c r="E104" s="5">
        <v>0.2857142857142857</v>
      </c>
      <c r="F104" s="5">
        <v>0.26190476190476192</v>
      </c>
      <c r="G104" s="5">
        <v>0.25396825396825395</v>
      </c>
      <c r="H104" s="5">
        <v>0.25198412698412698</v>
      </c>
      <c r="I104" s="5">
        <v>0.25099206349206349</v>
      </c>
      <c r="J104" s="5">
        <v>0.25049603174603174</v>
      </c>
      <c r="K104" s="5">
        <v>0.25024801587301587</v>
      </c>
      <c r="L104" s="5">
        <v>0.25</v>
      </c>
    </row>
    <row r="105" spans="1:12" s="5" customFormat="1">
      <c r="A105" t="s">
        <v>458</v>
      </c>
      <c r="B105" t="s">
        <v>196</v>
      </c>
      <c r="C105" s="5" t="s">
        <v>223</v>
      </c>
      <c r="D105">
        <v>1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</row>
    <row r="106" spans="1:12" s="5" customFormat="1">
      <c r="A106" t="s">
        <v>458</v>
      </c>
      <c r="B106" t="s">
        <v>206</v>
      </c>
      <c r="C106" s="5" t="s">
        <v>130</v>
      </c>
      <c r="D106">
        <v>1</v>
      </c>
      <c r="E106" s="5">
        <v>1.1764705882352942</v>
      </c>
      <c r="F106" s="5">
        <v>1.1764705882352942</v>
      </c>
      <c r="G106" s="5">
        <v>1.1764705882352942</v>
      </c>
      <c r="H106" s="5">
        <v>1.1764705882352942</v>
      </c>
      <c r="I106" s="5">
        <v>1.1764705882352942</v>
      </c>
      <c r="J106" s="5">
        <v>1.1764705882352942</v>
      </c>
      <c r="K106" s="5">
        <v>1.1764705882352942</v>
      </c>
      <c r="L106" s="5">
        <v>1.1764705882352942</v>
      </c>
    </row>
    <row r="107" spans="1:12" s="5" customFormat="1">
      <c r="A107" t="s">
        <v>458</v>
      </c>
      <c r="B107" t="s">
        <v>207</v>
      </c>
      <c r="C107" t="s">
        <v>183</v>
      </c>
      <c r="D107">
        <v>1</v>
      </c>
      <c r="E107" s="5">
        <v>1.1111111111111112</v>
      </c>
      <c r="F107" s="5">
        <v>1.1111111111111112</v>
      </c>
      <c r="G107" s="5">
        <v>1.1111111111111112</v>
      </c>
      <c r="H107" s="5">
        <v>1.1111111111111112</v>
      </c>
      <c r="I107" s="5">
        <v>1.1111111111111112</v>
      </c>
      <c r="J107" s="5">
        <v>1.1111111111111112</v>
      </c>
      <c r="K107" s="5">
        <v>1.1111111111111112</v>
      </c>
      <c r="L107" s="5">
        <v>1.1111111111111112</v>
      </c>
    </row>
    <row r="108" spans="1:12" s="5" customFormat="1">
      <c r="A108" t="s">
        <v>458</v>
      </c>
      <c r="B108" t="s">
        <v>207</v>
      </c>
      <c r="C108" s="5" t="s">
        <v>184</v>
      </c>
      <c r="D108">
        <v>2</v>
      </c>
      <c r="E108" s="5">
        <v>1.1111111111111112</v>
      </c>
      <c r="F108" s="5">
        <v>1.1111111111111112</v>
      </c>
      <c r="G108" s="5">
        <v>1.1111111111111112</v>
      </c>
      <c r="H108" s="5">
        <v>1.1111111111111112</v>
      </c>
      <c r="I108" s="5">
        <v>1.1111111111111112</v>
      </c>
      <c r="J108" s="5">
        <v>1.1111111111111112</v>
      </c>
      <c r="K108" s="5">
        <v>1.1111111111111112</v>
      </c>
      <c r="L108" s="5">
        <v>1.1111111111111112</v>
      </c>
    </row>
    <row r="109" spans="1:12" s="5" customFormat="1">
      <c r="A109" t="s">
        <v>458</v>
      </c>
      <c r="B109" t="s">
        <v>207</v>
      </c>
      <c r="C109" s="5" t="s">
        <v>185</v>
      </c>
      <c r="D109">
        <v>3</v>
      </c>
      <c r="E109" s="5">
        <v>1.1111111111111112</v>
      </c>
      <c r="F109" s="5">
        <v>1.1111111111111112</v>
      </c>
      <c r="G109" s="5">
        <v>1.1111111111111112</v>
      </c>
      <c r="H109" s="5">
        <v>1.1111111111111112</v>
      </c>
      <c r="I109" s="5">
        <v>1.1111111111111112</v>
      </c>
      <c r="J109" s="5">
        <v>1.1111111111111112</v>
      </c>
      <c r="K109" s="5">
        <v>1.1111111111111112</v>
      </c>
      <c r="L109" s="5">
        <v>1.1111111111111112</v>
      </c>
    </row>
    <row r="110" spans="1:12" s="5" customFormat="1">
      <c r="A110" t="s">
        <v>458</v>
      </c>
      <c r="B110" t="s">
        <v>197</v>
      </c>
      <c r="C110" s="5" t="s">
        <v>183</v>
      </c>
      <c r="D110">
        <v>1</v>
      </c>
      <c r="E110" s="5">
        <v>1.2195121951219512</v>
      </c>
      <c r="F110" s="5">
        <v>1.2195121951219512</v>
      </c>
      <c r="G110" s="5">
        <v>1.2195121951219512</v>
      </c>
      <c r="H110" s="5">
        <v>1.2195121951219512</v>
      </c>
      <c r="I110" s="5">
        <v>1.2195121951219512</v>
      </c>
      <c r="J110" s="5">
        <v>1.2195121951219512</v>
      </c>
      <c r="K110" s="5">
        <v>1.2195121951219512</v>
      </c>
      <c r="L110" s="5">
        <v>1.2195121951219512</v>
      </c>
    </row>
    <row r="111" spans="1:12" s="5" customFormat="1">
      <c r="A111" t="s">
        <v>458</v>
      </c>
      <c r="B111" t="s">
        <v>197</v>
      </c>
      <c r="C111" t="s">
        <v>184</v>
      </c>
      <c r="D111">
        <v>2</v>
      </c>
      <c r="E111" s="5">
        <v>1.2195121951219512</v>
      </c>
      <c r="F111" s="5">
        <v>1.2195121951219512</v>
      </c>
      <c r="G111" s="5">
        <v>1.2195121951219512</v>
      </c>
      <c r="H111" s="5">
        <v>1.2195121951219512</v>
      </c>
      <c r="I111" s="5">
        <v>1.2195121951219512</v>
      </c>
      <c r="J111" s="5">
        <v>1.2195121951219512</v>
      </c>
      <c r="K111" s="5">
        <v>1.2195121951219512</v>
      </c>
      <c r="L111" s="5">
        <v>1.2195121951219512</v>
      </c>
    </row>
    <row r="112" spans="1:12" s="5" customFormat="1">
      <c r="A112" t="s">
        <v>458</v>
      </c>
      <c r="B112" t="s">
        <v>197</v>
      </c>
      <c r="C112" s="5" t="s">
        <v>185</v>
      </c>
      <c r="D112">
        <v>3</v>
      </c>
      <c r="E112" s="5">
        <v>1.2195121951219512</v>
      </c>
      <c r="F112" s="5">
        <v>1.2195121951219512</v>
      </c>
      <c r="G112" s="5">
        <v>1.2195121951219512</v>
      </c>
      <c r="H112" s="5">
        <v>1.2195121951219512</v>
      </c>
      <c r="I112" s="5">
        <v>1.2195121951219512</v>
      </c>
      <c r="J112" s="5">
        <v>1.2195121951219512</v>
      </c>
      <c r="K112" s="5">
        <v>1.2195121951219512</v>
      </c>
      <c r="L112" s="5">
        <v>1.2195121951219512</v>
      </c>
    </row>
    <row r="113" spans="1:12" s="5" customFormat="1">
      <c r="A113" t="s">
        <v>458</v>
      </c>
      <c r="B113" t="s">
        <v>198</v>
      </c>
      <c r="C113" t="s">
        <v>133</v>
      </c>
      <c r="D113">
        <v>1</v>
      </c>
      <c r="E113" s="5">
        <v>1.25</v>
      </c>
      <c r="F113" s="5">
        <v>1.2195121951219512</v>
      </c>
      <c r="G113" s="5">
        <v>1.2048192771084338</v>
      </c>
      <c r="H113" s="5">
        <v>1.1904761904761905</v>
      </c>
      <c r="I113" s="5">
        <v>1.1764705882352942</v>
      </c>
      <c r="J113" s="5">
        <v>1.1764705882352942</v>
      </c>
      <c r="K113" s="5">
        <v>1.1764705882352942</v>
      </c>
      <c r="L113" s="5">
        <v>1.1764705882352942</v>
      </c>
    </row>
    <row r="114" spans="1:12" s="5" customFormat="1">
      <c r="A114" t="s">
        <v>458</v>
      </c>
      <c r="B114" t="s">
        <v>199</v>
      </c>
      <c r="C114" s="5" t="s">
        <v>133</v>
      </c>
      <c r="D114">
        <v>1</v>
      </c>
      <c r="E114" s="5">
        <v>1.5384615384615383</v>
      </c>
      <c r="F114" s="5">
        <v>1.346153846153846</v>
      </c>
      <c r="G114" s="5">
        <v>1.2820512820512819</v>
      </c>
      <c r="H114" s="5">
        <v>1.266025641025641</v>
      </c>
      <c r="I114" s="5">
        <v>1.2580128205128205</v>
      </c>
      <c r="J114" s="5">
        <v>1.2540064102564101</v>
      </c>
      <c r="K114" s="5">
        <v>1.2520032051282051</v>
      </c>
      <c r="L114" s="5">
        <v>1.25</v>
      </c>
    </row>
    <row r="115" spans="1:12" s="5" customFormat="1">
      <c r="A115" t="s">
        <v>458</v>
      </c>
      <c r="B115" t="s">
        <v>200</v>
      </c>
      <c r="C115" t="s">
        <v>143</v>
      </c>
      <c r="D115">
        <v>1</v>
      </c>
      <c r="E115" s="5">
        <v>1.3333333333333333</v>
      </c>
      <c r="F115" s="5">
        <v>1.3333333333333333</v>
      </c>
      <c r="G115" s="5">
        <v>1.3333333333333333</v>
      </c>
      <c r="H115" s="5">
        <v>1.3333333333333333</v>
      </c>
      <c r="I115" s="5">
        <v>1.3333333333333333</v>
      </c>
      <c r="J115" s="5">
        <v>1.3333333333333333</v>
      </c>
      <c r="K115" s="5">
        <v>1.3333333333333333</v>
      </c>
      <c r="L115" s="5">
        <v>1.3333333333333333</v>
      </c>
    </row>
    <row r="116" spans="1:12" s="5" customFormat="1">
      <c r="A116" t="s">
        <v>458</v>
      </c>
      <c r="B116" t="s">
        <v>201</v>
      </c>
      <c r="C116" t="s">
        <v>144</v>
      </c>
      <c r="D116">
        <v>1</v>
      </c>
      <c r="E116" s="5">
        <v>1.3333333333333333</v>
      </c>
      <c r="F116" s="5">
        <v>1.3333333333333333</v>
      </c>
      <c r="G116" s="5">
        <v>1.3333333333333333</v>
      </c>
      <c r="H116" s="5">
        <v>1.3333333333333333</v>
      </c>
      <c r="I116" s="5">
        <v>1.3333333333333333</v>
      </c>
      <c r="J116" s="5">
        <v>1.3333333333333333</v>
      </c>
      <c r="K116" s="5">
        <v>1.3333333333333333</v>
      </c>
      <c r="L116" s="5">
        <v>1.3333333333333333</v>
      </c>
    </row>
    <row r="117" spans="1:12" s="5" customFormat="1">
      <c r="A117" t="s">
        <v>458</v>
      </c>
      <c r="B117" t="s">
        <v>202</v>
      </c>
      <c r="C117" t="s">
        <v>143</v>
      </c>
      <c r="D117">
        <v>1</v>
      </c>
      <c r="E117" s="5">
        <v>1.6666666666666667</v>
      </c>
      <c r="F117" s="5">
        <v>1.6666666666666667</v>
      </c>
      <c r="G117" s="5">
        <v>1.6666666666666667</v>
      </c>
      <c r="H117" s="5">
        <v>1.6666666666666667</v>
      </c>
      <c r="I117" s="5">
        <v>1.6666666666666667</v>
      </c>
      <c r="J117" s="5">
        <v>1.6666666666666667</v>
      </c>
      <c r="K117" s="5">
        <v>1.6666666666666667</v>
      </c>
      <c r="L117" s="5">
        <v>1.6666666666666667</v>
      </c>
    </row>
    <row r="118" spans="1:12" s="5" customFormat="1">
      <c r="A118" t="s">
        <v>458</v>
      </c>
      <c r="B118" t="s">
        <v>230</v>
      </c>
      <c r="C118" t="s">
        <v>144</v>
      </c>
      <c r="D118">
        <v>1</v>
      </c>
      <c r="E118" s="5">
        <v>1.6666666666666667</v>
      </c>
      <c r="F118" s="5">
        <v>1.6666666666666667</v>
      </c>
      <c r="G118" s="5">
        <v>1.6666666666666667</v>
      </c>
      <c r="H118" s="5">
        <v>1.6666666666666667</v>
      </c>
      <c r="I118" s="5">
        <v>1.6666666666666667</v>
      </c>
      <c r="J118" s="5">
        <v>1.6666666666666667</v>
      </c>
      <c r="K118" s="5">
        <v>1.6666666666666667</v>
      </c>
      <c r="L118" s="5">
        <v>1.6666666666666667</v>
      </c>
    </row>
    <row r="119" spans="1:12" s="5" customFormat="1">
      <c r="A119" t="s">
        <v>458</v>
      </c>
      <c r="B119" t="s">
        <v>218</v>
      </c>
      <c r="C119" t="s">
        <v>15</v>
      </c>
      <c r="D119">
        <v>1</v>
      </c>
      <c r="E119" s="5">
        <v>1.0101010101010102</v>
      </c>
      <c r="F119" s="5">
        <v>1.0101010101010102</v>
      </c>
      <c r="G119" s="5">
        <v>1.0101010101010102</v>
      </c>
      <c r="H119" s="5">
        <v>1.0101010101010102</v>
      </c>
      <c r="I119" s="5">
        <v>1.0101010101010102</v>
      </c>
      <c r="J119" s="5">
        <v>1.0101010101010102</v>
      </c>
      <c r="K119" s="5">
        <v>1.0101010101010102</v>
      </c>
      <c r="L119" s="5">
        <v>1.0101010101010102</v>
      </c>
    </row>
    <row r="120" spans="1:12" s="5" customFormat="1">
      <c r="A120" t="s">
        <v>458</v>
      </c>
      <c r="B120" t="s">
        <v>219</v>
      </c>
      <c r="C120" t="s">
        <v>155</v>
      </c>
      <c r="D120">
        <v>1</v>
      </c>
      <c r="E120" s="5">
        <v>0.16582635717909688</v>
      </c>
      <c r="F120" s="5">
        <v>0.16582635717909688</v>
      </c>
      <c r="G120" s="5">
        <v>0.16582635717909688</v>
      </c>
      <c r="H120" s="5">
        <v>0.16582635717909688</v>
      </c>
      <c r="I120" s="5">
        <v>0.16582635717909688</v>
      </c>
      <c r="J120" s="5">
        <v>0.16582635717909688</v>
      </c>
      <c r="K120" s="5">
        <v>0.16582635717909688</v>
      </c>
      <c r="L120" s="5">
        <v>0.16582635717909688</v>
      </c>
    </row>
    <row r="121" spans="1:12" s="5" customFormat="1">
      <c r="A121" t="s">
        <v>458</v>
      </c>
      <c r="B121" t="s">
        <v>220</v>
      </c>
      <c r="C121" t="s">
        <v>132</v>
      </c>
      <c r="D121">
        <v>1</v>
      </c>
      <c r="E121" s="5">
        <v>2.1276595744680851</v>
      </c>
      <c r="F121" s="5">
        <v>2.0833333333333335</v>
      </c>
      <c r="G121" s="5">
        <v>2.0408163265306123</v>
      </c>
      <c r="H121" s="5">
        <v>2</v>
      </c>
      <c r="I121" s="5">
        <v>1.9801980198019802</v>
      </c>
      <c r="J121" s="5">
        <v>1.9607843137254901</v>
      </c>
      <c r="K121" s="5">
        <v>1.9607843137254901</v>
      </c>
      <c r="L121" s="5">
        <v>1.9607843137254901</v>
      </c>
    </row>
    <row r="122" spans="1:12" s="5" customFormat="1">
      <c r="A122" t="s">
        <v>458</v>
      </c>
      <c r="B122" t="s">
        <v>220</v>
      </c>
      <c r="C122" t="s">
        <v>132</v>
      </c>
      <c r="D122">
        <v>2</v>
      </c>
      <c r="E122" s="5">
        <v>2.7027027027027026</v>
      </c>
      <c r="F122" s="5">
        <v>2.6315789473684212</v>
      </c>
      <c r="G122" s="5">
        <v>2.5974025974025974</v>
      </c>
      <c r="H122" s="5">
        <v>2.5641025641025639</v>
      </c>
      <c r="I122" s="5">
        <v>2.5316455696202529</v>
      </c>
      <c r="J122" s="5">
        <v>2.5</v>
      </c>
      <c r="K122" s="5">
        <v>2.5</v>
      </c>
      <c r="L122" s="5">
        <v>2.5</v>
      </c>
    </row>
    <row r="123" spans="1:12" s="5" customFormat="1">
      <c r="A123" t="s">
        <v>458</v>
      </c>
      <c r="B123" t="s">
        <v>203</v>
      </c>
      <c r="C123" t="s">
        <v>223</v>
      </c>
      <c r="D123">
        <v>1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</row>
    <row r="124" spans="1:12" s="5" customFormat="1">
      <c r="A124" t="s">
        <v>458</v>
      </c>
      <c r="B124" t="s">
        <v>208</v>
      </c>
      <c r="C124" s="5" t="s">
        <v>130</v>
      </c>
      <c r="D124">
        <v>1</v>
      </c>
      <c r="E124" s="5">
        <v>1.1764705882352942</v>
      </c>
      <c r="F124" s="5">
        <v>1.1764705882352942</v>
      </c>
      <c r="G124" s="5">
        <v>1.1764705882352942</v>
      </c>
      <c r="H124" s="5">
        <v>1.1764705882352942</v>
      </c>
      <c r="I124" s="5">
        <v>1.1764705882352942</v>
      </c>
      <c r="J124" s="5">
        <v>1.1764705882352942</v>
      </c>
      <c r="K124" s="5">
        <v>1.1764705882352942</v>
      </c>
      <c r="L124" s="5">
        <v>1.1764705882352942</v>
      </c>
    </row>
    <row r="125" spans="1:12" s="5" customFormat="1">
      <c r="A125" t="s">
        <v>458</v>
      </c>
      <c r="B125" t="s">
        <v>204</v>
      </c>
      <c r="C125" t="s">
        <v>130</v>
      </c>
      <c r="D125">
        <v>1</v>
      </c>
      <c r="E125" s="5">
        <v>1.3513513513513513</v>
      </c>
      <c r="F125" s="5">
        <v>1.3513513513513513</v>
      </c>
      <c r="G125" s="5">
        <v>1.3513513513513513</v>
      </c>
      <c r="H125" s="5">
        <v>1.3513513513513513</v>
      </c>
      <c r="I125" s="5">
        <v>1.3513513513513513</v>
      </c>
      <c r="J125" s="5">
        <v>1.3513513513513513</v>
      </c>
      <c r="K125" s="5">
        <v>1.3513513513513513</v>
      </c>
      <c r="L125" s="5">
        <v>1.3513513513513513</v>
      </c>
    </row>
    <row r="126" spans="1:12" s="5" customFormat="1">
      <c r="A126" t="s">
        <v>458</v>
      </c>
      <c r="B126" t="s">
        <v>211</v>
      </c>
      <c r="C126" s="5" t="s">
        <v>183</v>
      </c>
      <c r="D126">
        <v>1</v>
      </c>
      <c r="E126" s="5">
        <v>1.0989010989010988</v>
      </c>
      <c r="F126" s="5">
        <v>1.0989010989010988</v>
      </c>
      <c r="G126" s="5">
        <v>1.0989010989010988</v>
      </c>
      <c r="H126" s="5">
        <v>1.0989010989010988</v>
      </c>
      <c r="I126" s="5">
        <v>1.0989010989010988</v>
      </c>
      <c r="J126" s="5">
        <v>1.0989010989010988</v>
      </c>
      <c r="K126" s="5">
        <v>1.0989010989010988</v>
      </c>
      <c r="L126" s="5">
        <v>1.0989010989010988</v>
      </c>
    </row>
    <row r="127" spans="1:12" s="5" customFormat="1">
      <c r="A127" t="s">
        <v>458</v>
      </c>
      <c r="B127" t="s">
        <v>211</v>
      </c>
      <c r="C127" t="s">
        <v>184</v>
      </c>
      <c r="D127">
        <v>2</v>
      </c>
      <c r="E127" s="5">
        <v>1.0989010989010988</v>
      </c>
      <c r="F127" s="5">
        <v>1.0989010989010988</v>
      </c>
      <c r="G127" s="5">
        <v>1.0989010989010988</v>
      </c>
      <c r="H127" s="5">
        <v>1.0989010989010988</v>
      </c>
      <c r="I127" s="5">
        <v>1.0989010989010988</v>
      </c>
      <c r="J127" s="5">
        <v>1.0989010989010988</v>
      </c>
      <c r="K127" s="5">
        <v>1.0989010989010988</v>
      </c>
      <c r="L127" s="5">
        <v>1.0989010989010988</v>
      </c>
    </row>
    <row r="128" spans="1:12" s="5" customFormat="1">
      <c r="A128" t="s">
        <v>458</v>
      </c>
      <c r="B128" t="s">
        <v>211</v>
      </c>
      <c r="C128" s="5" t="s">
        <v>185</v>
      </c>
      <c r="D128">
        <v>3</v>
      </c>
      <c r="E128" s="5">
        <v>1.0989010989010988</v>
      </c>
      <c r="F128" s="5">
        <v>1.0989010989010988</v>
      </c>
      <c r="G128" s="5">
        <v>1.0989010989010988</v>
      </c>
      <c r="H128" s="5">
        <v>1.0989010989010988</v>
      </c>
      <c r="I128" s="5">
        <v>1.0989010989010988</v>
      </c>
      <c r="J128" s="5">
        <v>1.0989010989010988</v>
      </c>
      <c r="K128" s="5">
        <v>1.0989010989010988</v>
      </c>
      <c r="L128" s="5">
        <v>1.0989010989010988</v>
      </c>
    </row>
    <row r="129" spans="1:12" s="5" customFormat="1">
      <c r="A129" t="s">
        <v>458</v>
      </c>
      <c r="B129" t="s">
        <v>222</v>
      </c>
      <c r="C129" t="s">
        <v>132</v>
      </c>
      <c r="D129">
        <v>1</v>
      </c>
      <c r="E129" s="5">
        <v>1.0989010989010988</v>
      </c>
      <c r="F129" s="5">
        <v>1.0989010989010988</v>
      </c>
      <c r="G129" s="5">
        <v>1.0989010989010988</v>
      </c>
      <c r="H129" s="5">
        <v>1.0989010989010988</v>
      </c>
      <c r="I129" s="5">
        <v>1.0989010989010988</v>
      </c>
      <c r="J129" s="5">
        <v>1.0989010989010988</v>
      </c>
      <c r="K129" s="5">
        <v>1.0989010989010988</v>
      </c>
      <c r="L129" s="5">
        <v>1.0989010989010988</v>
      </c>
    </row>
    <row r="130" spans="1:12" s="5" customFormat="1">
      <c r="A130" t="s">
        <v>458</v>
      </c>
      <c r="B130" t="s">
        <v>209</v>
      </c>
      <c r="C130" s="5" t="s">
        <v>133</v>
      </c>
      <c r="D130">
        <v>1</v>
      </c>
      <c r="E130" s="5">
        <v>1.3574660633484159</v>
      </c>
      <c r="F130" s="5">
        <v>1.3574660633484159</v>
      </c>
      <c r="G130" s="5">
        <v>1.3574660633484159</v>
      </c>
      <c r="H130" s="5">
        <v>1.3574660633484159</v>
      </c>
      <c r="I130" s="5">
        <v>1.3574660633484159</v>
      </c>
      <c r="J130" s="5">
        <v>1.3574660633484159</v>
      </c>
      <c r="K130" s="5">
        <v>1.3574660633484159</v>
      </c>
      <c r="L130" s="5">
        <v>1.3574660633484159</v>
      </c>
    </row>
    <row r="131" spans="1:12" s="5" customFormat="1">
      <c r="A131" t="s">
        <v>458</v>
      </c>
      <c r="B131" t="s">
        <v>210</v>
      </c>
      <c r="C131" t="s">
        <v>143</v>
      </c>
      <c r="D131">
        <v>1</v>
      </c>
      <c r="E131" s="5">
        <v>1.416361416361416</v>
      </c>
      <c r="F131" s="5">
        <v>1.416361416361416</v>
      </c>
      <c r="G131" s="5">
        <v>1.416361416361416</v>
      </c>
      <c r="H131" s="5">
        <v>1.416361416361416</v>
      </c>
      <c r="I131" s="5">
        <v>1.416361416361416</v>
      </c>
      <c r="J131" s="5">
        <v>1.416361416361416</v>
      </c>
      <c r="K131" s="5">
        <v>1.416361416361416</v>
      </c>
      <c r="L131" s="5">
        <v>1.416361416361416</v>
      </c>
    </row>
    <row r="132" spans="1:12" s="5" customFormat="1">
      <c r="A132" s="11" t="s">
        <v>458</v>
      </c>
      <c r="B132" t="s">
        <v>221</v>
      </c>
      <c r="C132" s="5" t="s">
        <v>15</v>
      </c>
      <c r="D132">
        <v>1</v>
      </c>
      <c r="E132" s="5">
        <v>1.0309278350515465</v>
      </c>
      <c r="F132" s="5">
        <v>1.0309278350515465</v>
      </c>
      <c r="G132" s="5">
        <v>1.0309278350515465</v>
      </c>
      <c r="H132" s="5">
        <v>1.0309278350515465</v>
      </c>
      <c r="I132" s="5">
        <v>1.0309278350515465</v>
      </c>
      <c r="J132" s="5">
        <v>1.0309278350515465</v>
      </c>
      <c r="K132" s="5">
        <v>1.0309278350515465</v>
      </c>
      <c r="L132" s="5">
        <v>1.0309278350515465</v>
      </c>
    </row>
    <row r="133" spans="1:12" s="5" customFormat="1">
      <c r="A133" s="11" t="s">
        <v>458</v>
      </c>
      <c r="B133" t="s">
        <v>212</v>
      </c>
      <c r="C133" t="s">
        <v>130</v>
      </c>
      <c r="D133">
        <v>1</v>
      </c>
      <c r="E133" s="5">
        <v>1.6772700983227298</v>
      </c>
      <c r="F133" s="5">
        <v>1.6772700983227298</v>
      </c>
      <c r="G133" s="5">
        <v>1.6772700983227298</v>
      </c>
      <c r="H133" s="5">
        <v>1.6772700983227298</v>
      </c>
      <c r="I133" s="5">
        <v>1.6772700983227298</v>
      </c>
      <c r="J133" s="5">
        <v>1.6772700983227298</v>
      </c>
      <c r="K133" s="5">
        <v>1.6772700983227298</v>
      </c>
      <c r="L133" s="5">
        <v>1.6772700983227298</v>
      </c>
    </row>
    <row r="134" spans="1:12" s="5" customFormat="1">
      <c r="A134" s="11" t="s">
        <v>458</v>
      </c>
      <c r="B134" t="s">
        <v>224</v>
      </c>
      <c r="C134" s="5" t="s">
        <v>143</v>
      </c>
      <c r="D134">
        <v>1</v>
      </c>
      <c r="E134" s="5">
        <v>2.2624434389140271</v>
      </c>
      <c r="F134" s="5">
        <v>2.2330610565904681</v>
      </c>
      <c r="G134" s="5">
        <v>2.2036786742669094</v>
      </c>
      <c r="H134" s="5">
        <v>2.1742962919433504</v>
      </c>
      <c r="I134" s="5">
        <v>2.1449139096197918</v>
      </c>
      <c r="J134" s="5">
        <v>2.1155315272962332</v>
      </c>
      <c r="K134" s="5">
        <v>2.0861491449726741</v>
      </c>
      <c r="L134" s="5">
        <v>2.0567667626491155</v>
      </c>
    </row>
    <row r="135" spans="1:12" s="5" customFormat="1">
      <c r="A135" s="11" t="s">
        <v>458</v>
      </c>
      <c r="B135" t="s">
        <v>224</v>
      </c>
      <c r="C135" t="s">
        <v>143</v>
      </c>
      <c r="D135">
        <v>2</v>
      </c>
      <c r="E135" s="5">
        <v>1.6017298682577186</v>
      </c>
      <c r="F135" s="5">
        <v>1.5809281816569689</v>
      </c>
      <c r="G135" s="5">
        <v>1.5601264950562195</v>
      </c>
      <c r="H135" s="5">
        <v>1.5393248084554698</v>
      </c>
      <c r="I135" s="5">
        <v>1.5185231218547202</v>
      </c>
      <c r="J135" s="5">
        <v>1.4977214352539705</v>
      </c>
      <c r="K135" s="5">
        <v>1.4769197486532211</v>
      </c>
      <c r="L135" s="5">
        <v>1.4561180620524714</v>
      </c>
    </row>
    <row r="136" spans="1:12" s="5" customFormat="1">
      <c r="A136" s="11" t="s">
        <v>458</v>
      </c>
      <c r="B136" t="s">
        <v>224</v>
      </c>
      <c r="C136" t="s">
        <v>183</v>
      </c>
      <c r="D136">
        <v>2</v>
      </c>
      <c r="E136" s="5">
        <v>0.40043246706442964</v>
      </c>
      <c r="F136" s="5">
        <v>0.39523204541424223</v>
      </c>
      <c r="G136" s="5">
        <v>0.39003162376405487</v>
      </c>
      <c r="H136" s="5">
        <v>0.38483120211386745</v>
      </c>
      <c r="I136" s="5">
        <v>0.37963078046368004</v>
      </c>
      <c r="J136" s="5">
        <v>0.37443035881349263</v>
      </c>
      <c r="K136" s="5">
        <v>0.36922993716330527</v>
      </c>
      <c r="L136" s="5">
        <v>0.36402951551311785</v>
      </c>
    </row>
    <row r="137" spans="1:12" s="5" customFormat="1">
      <c r="A137" s="11" t="s">
        <v>458</v>
      </c>
      <c r="B137" t="s">
        <v>224</v>
      </c>
      <c r="C137" s="5" t="s">
        <v>143</v>
      </c>
      <c r="D137">
        <v>3</v>
      </c>
      <c r="E137" s="5">
        <v>1.6017298682577186</v>
      </c>
      <c r="F137" s="5">
        <v>1.5809281816569689</v>
      </c>
      <c r="G137" s="5">
        <v>1.5601264950562195</v>
      </c>
      <c r="H137" s="5">
        <v>1.5393248084554698</v>
      </c>
      <c r="I137" s="5">
        <v>1.5185231218547202</v>
      </c>
      <c r="J137" s="5">
        <v>1.4977214352539705</v>
      </c>
      <c r="K137" s="5">
        <v>1.4769197486532211</v>
      </c>
      <c r="L137" s="5">
        <v>1.4561180620524714</v>
      </c>
    </row>
    <row r="138" spans="1:12" s="5" customFormat="1">
      <c r="A138" s="11" t="s">
        <v>458</v>
      </c>
      <c r="B138" t="s">
        <v>224</v>
      </c>
      <c r="C138" t="s">
        <v>185</v>
      </c>
      <c r="D138">
        <v>3</v>
      </c>
      <c r="E138" s="5">
        <v>0.40043246706442964</v>
      </c>
      <c r="F138" s="5">
        <v>0.39523204541424223</v>
      </c>
      <c r="G138" s="5">
        <v>0.39003162376405487</v>
      </c>
      <c r="H138" s="5">
        <v>0.38483120211386745</v>
      </c>
      <c r="I138" s="5">
        <v>0.37963078046368004</v>
      </c>
      <c r="J138" s="5">
        <v>0.37443035881349263</v>
      </c>
      <c r="K138" s="5">
        <v>0.36922993716330527</v>
      </c>
      <c r="L138" s="5">
        <v>0.36402951551311785</v>
      </c>
    </row>
    <row r="139" spans="1:12" s="5" customFormat="1">
      <c r="A139" s="11" t="s">
        <v>458</v>
      </c>
      <c r="B139" t="s">
        <v>224</v>
      </c>
      <c r="C139" t="s">
        <v>143</v>
      </c>
      <c r="D139">
        <v>4</v>
      </c>
      <c r="E139" s="5">
        <v>1.6017298682577186</v>
      </c>
      <c r="F139" s="5">
        <v>1.5809281816569689</v>
      </c>
      <c r="G139" s="5">
        <v>1.5601264950562195</v>
      </c>
      <c r="H139" s="5">
        <v>1.5393248084554698</v>
      </c>
      <c r="I139" s="5">
        <v>1.5185231218547202</v>
      </c>
      <c r="J139" s="5">
        <v>1.4977214352539705</v>
      </c>
      <c r="K139" s="5">
        <v>1.4769197486532211</v>
      </c>
      <c r="L139" s="5">
        <v>1.4561180620524714</v>
      </c>
    </row>
    <row r="140" spans="1:12" s="5" customFormat="1">
      <c r="A140" s="11" t="s">
        <v>458</v>
      </c>
      <c r="B140" t="s">
        <v>224</v>
      </c>
      <c r="C140" s="5" t="s">
        <v>184</v>
      </c>
      <c r="D140">
        <v>4</v>
      </c>
      <c r="E140" s="5">
        <v>0.40043246706442964</v>
      </c>
      <c r="F140" s="5">
        <v>0.39523204541424223</v>
      </c>
      <c r="G140" s="5">
        <v>0.39003162376405487</v>
      </c>
      <c r="H140" s="5">
        <v>0.38483120211386745</v>
      </c>
      <c r="I140" s="5">
        <v>0.37963078046368004</v>
      </c>
      <c r="J140" s="5">
        <v>0.37443035881349263</v>
      </c>
      <c r="K140" s="5">
        <v>0.36922993716330527</v>
      </c>
      <c r="L140" s="5">
        <v>0.36402951551311785</v>
      </c>
    </row>
    <row r="141" spans="1:12" s="5" customFormat="1">
      <c r="A141" s="11" t="s">
        <v>458</v>
      </c>
      <c r="B141" t="s">
        <v>225</v>
      </c>
      <c r="C141" t="s">
        <v>15</v>
      </c>
      <c r="D141">
        <v>1</v>
      </c>
      <c r="E141" s="5">
        <v>0.47031158142269258</v>
      </c>
      <c r="F141" s="5">
        <v>0.45911368662691415</v>
      </c>
      <c r="G141" s="5">
        <v>0.44791579183113583</v>
      </c>
      <c r="H141" s="5">
        <v>0.43671789703535741</v>
      </c>
      <c r="I141" s="5">
        <v>0.42552000223957898</v>
      </c>
      <c r="J141" s="5">
        <v>0.4143221074438006</v>
      </c>
      <c r="K141" s="5">
        <v>0.40312421264802223</v>
      </c>
      <c r="L141" s="5">
        <v>0.39192631785224386</v>
      </c>
    </row>
    <row r="142" spans="1:12" s="5" customFormat="1">
      <c r="A142" s="11" t="s">
        <v>458</v>
      </c>
      <c r="B142" t="s">
        <v>225</v>
      </c>
      <c r="C142" t="s">
        <v>183</v>
      </c>
      <c r="D142">
        <v>1</v>
      </c>
      <c r="E142" s="5">
        <v>2.4691358024691357</v>
      </c>
      <c r="F142" s="5">
        <v>2.4103468547912992</v>
      </c>
      <c r="G142" s="5">
        <v>2.3515579071134627</v>
      </c>
      <c r="H142" s="5">
        <v>2.2927689594356258</v>
      </c>
      <c r="I142" s="5">
        <v>2.2339800117577893</v>
      </c>
      <c r="J142" s="5">
        <v>2.1751910640799528</v>
      </c>
      <c r="K142" s="5">
        <v>2.1164021164021163</v>
      </c>
      <c r="L142" s="5">
        <v>2.0576131687242798</v>
      </c>
    </row>
    <row r="143" spans="1:12" s="5" customFormat="1">
      <c r="A143" s="11" t="s">
        <v>458</v>
      </c>
      <c r="B143" t="s">
        <v>225</v>
      </c>
      <c r="C143" t="s">
        <v>15</v>
      </c>
      <c r="D143">
        <v>2</v>
      </c>
      <c r="E143" s="5">
        <v>0.47031158142269258</v>
      </c>
      <c r="F143" s="5">
        <v>0.45911368662691415</v>
      </c>
      <c r="G143" s="5">
        <v>0.44791579183113583</v>
      </c>
      <c r="H143" s="5">
        <v>0.43671789703535741</v>
      </c>
      <c r="I143" s="5">
        <v>0.42552000223957898</v>
      </c>
      <c r="J143" s="5">
        <v>0.4143221074438006</v>
      </c>
      <c r="K143" s="5">
        <v>0.40312421264802223</v>
      </c>
      <c r="L143" s="5">
        <v>0.39192631785224386</v>
      </c>
    </row>
    <row r="144" spans="1:12" s="5" customFormat="1">
      <c r="A144" s="11" t="s">
        <v>458</v>
      </c>
      <c r="B144" t="s">
        <v>225</v>
      </c>
      <c r="C144" t="s">
        <v>185</v>
      </c>
      <c r="D144">
        <v>2</v>
      </c>
      <c r="E144" s="5">
        <v>2.4691358024691357</v>
      </c>
      <c r="F144" s="5">
        <v>2.4103468547912992</v>
      </c>
      <c r="G144" s="5">
        <v>2.3515579071134627</v>
      </c>
      <c r="H144" s="5">
        <v>2.2927689594356258</v>
      </c>
      <c r="I144" s="5">
        <v>2.2339800117577893</v>
      </c>
      <c r="J144" s="5">
        <v>2.1751910640799528</v>
      </c>
      <c r="K144" s="5">
        <v>2.1164021164021163</v>
      </c>
      <c r="L144" s="5">
        <v>2.0576131687242798</v>
      </c>
    </row>
    <row r="145" spans="1:12" s="5" customFormat="1">
      <c r="A145" s="11" t="s">
        <v>458</v>
      </c>
      <c r="B145" t="s">
        <v>225</v>
      </c>
      <c r="C145" s="5" t="s">
        <v>15</v>
      </c>
      <c r="D145">
        <v>3</v>
      </c>
      <c r="E145" s="5">
        <v>0.47031158142269258</v>
      </c>
      <c r="F145" s="5">
        <v>0.45911368662691415</v>
      </c>
      <c r="G145" s="5">
        <v>0.44791579183113583</v>
      </c>
      <c r="H145" s="5">
        <v>0.43671789703535741</v>
      </c>
      <c r="I145" s="5">
        <v>0.42552000223957898</v>
      </c>
      <c r="J145" s="5">
        <v>0.4143221074438006</v>
      </c>
      <c r="K145" s="5">
        <v>0.40312421264802223</v>
      </c>
      <c r="L145" s="5">
        <v>0.39192631785224386</v>
      </c>
    </row>
    <row r="146" spans="1:12" s="5" customFormat="1">
      <c r="A146" s="11" t="s">
        <v>458</v>
      </c>
      <c r="B146" t="s">
        <v>225</v>
      </c>
      <c r="C146" t="s">
        <v>184</v>
      </c>
      <c r="D146">
        <v>3</v>
      </c>
      <c r="E146" s="5">
        <v>2.4691358024691357</v>
      </c>
      <c r="F146" s="5">
        <v>2.4103468547912992</v>
      </c>
      <c r="G146" s="5">
        <v>2.3515579071134627</v>
      </c>
      <c r="H146" s="5">
        <v>2.2927689594356258</v>
      </c>
      <c r="I146" s="5">
        <v>2.2339800117577893</v>
      </c>
      <c r="J146" s="5">
        <v>2.1751910640799528</v>
      </c>
      <c r="K146" s="5">
        <v>2.1164021164021163</v>
      </c>
      <c r="L146" s="5">
        <v>2.0576131687242798</v>
      </c>
    </row>
    <row r="147" spans="1:12" s="5" customFormat="1">
      <c r="A147" s="11" t="s">
        <v>458</v>
      </c>
      <c r="B147" t="s">
        <v>226</v>
      </c>
      <c r="C147" t="s">
        <v>15</v>
      </c>
      <c r="D147">
        <v>1</v>
      </c>
      <c r="E147" s="5">
        <v>1.5873015873015872</v>
      </c>
      <c r="F147" s="5">
        <v>1.5495086923658352</v>
      </c>
      <c r="G147" s="5">
        <v>1.511715797430083</v>
      </c>
      <c r="H147" s="5">
        <v>1.473922902494331</v>
      </c>
      <c r="I147" s="5">
        <v>1.436130007558579</v>
      </c>
      <c r="J147" s="5">
        <v>1.398337112622827</v>
      </c>
      <c r="K147" s="5">
        <v>1.3605442176870748</v>
      </c>
      <c r="L147" s="5">
        <v>1.3227513227513228</v>
      </c>
    </row>
    <row r="148" spans="1:12" s="5" customFormat="1">
      <c r="A148" s="11" t="s">
        <v>458</v>
      </c>
      <c r="B148" t="s">
        <v>227</v>
      </c>
      <c r="C148" s="5" t="s">
        <v>15</v>
      </c>
      <c r="D148">
        <v>1</v>
      </c>
      <c r="E148" s="5">
        <v>0.97001763668430341</v>
      </c>
      <c r="F148" s="5">
        <v>0.9700176366843033</v>
      </c>
      <c r="G148" s="5">
        <v>0.97001763668430341</v>
      </c>
      <c r="H148" s="5">
        <v>0.9700176366843033</v>
      </c>
      <c r="I148" s="5">
        <v>0.9700176366843033</v>
      </c>
      <c r="J148" s="5">
        <v>0.97001763668430341</v>
      </c>
      <c r="K148" s="5">
        <v>0.9700176366843033</v>
      </c>
      <c r="L148" s="5">
        <v>0.97001763668430341</v>
      </c>
    </row>
    <row r="149" spans="1:12" s="5" customFormat="1">
      <c r="A149" s="11" t="s">
        <v>458</v>
      </c>
      <c r="B149" t="s">
        <v>227</v>
      </c>
      <c r="C149" s="5" t="s">
        <v>132</v>
      </c>
      <c r="D149">
        <v>1</v>
      </c>
      <c r="E149" s="5">
        <v>1.9694297472075253</v>
      </c>
      <c r="F149" s="5">
        <v>1.9694297472075251</v>
      </c>
      <c r="G149" s="5">
        <v>1.9694297472075253</v>
      </c>
      <c r="H149" s="5">
        <v>1.9694297472075251</v>
      </c>
      <c r="I149" s="5">
        <v>1.9694297472075251</v>
      </c>
      <c r="J149" s="5">
        <v>1.9694297472075253</v>
      </c>
      <c r="K149" s="5">
        <v>1.9694297472075251</v>
      </c>
      <c r="L149" s="5">
        <v>1.9694297472075253</v>
      </c>
    </row>
    <row r="150" spans="1:12" s="5" customFormat="1">
      <c r="A150" s="11" t="s">
        <v>458</v>
      </c>
      <c r="B150" t="s">
        <v>228</v>
      </c>
      <c r="C150" t="s">
        <v>15</v>
      </c>
      <c r="D150">
        <v>1</v>
      </c>
      <c r="E150" s="5">
        <v>1.25</v>
      </c>
      <c r="F150" s="5">
        <v>1.25</v>
      </c>
      <c r="G150" s="5">
        <v>1.25</v>
      </c>
      <c r="H150" s="5">
        <v>1.25</v>
      </c>
      <c r="I150" s="5">
        <v>1.25</v>
      </c>
      <c r="J150" s="5">
        <v>1.25</v>
      </c>
      <c r="K150" s="5">
        <v>1.25</v>
      </c>
      <c r="L150" s="5">
        <v>1.25</v>
      </c>
    </row>
    <row r="151" spans="1:12" s="5" customFormat="1">
      <c r="A151" s="11" t="s">
        <v>458</v>
      </c>
      <c r="B151" t="s">
        <v>229</v>
      </c>
      <c r="C151" t="s">
        <v>133</v>
      </c>
      <c r="D151">
        <v>1</v>
      </c>
      <c r="E151" s="5">
        <v>2.0452511824108401</v>
      </c>
      <c r="F151" s="5">
        <v>2.0186894787431666</v>
      </c>
      <c r="G151" s="5">
        <v>1.9921277750754935</v>
      </c>
      <c r="H151" s="5">
        <v>1.9655660714078202</v>
      </c>
      <c r="I151" s="5">
        <v>1.939004367740147</v>
      </c>
      <c r="J151" s="5">
        <v>1.9124426640724739</v>
      </c>
      <c r="K151" s="5">
        <v>1.8858809604048004</v>
      </c>
      <c r="L151" s="5">
        <v>1.8593192567371273</v>
      </c>
    </row>
    <row r="152" spans="1:12" s="5" customFormat="1">
      <c r="A152" s="11" t="s">
        <v>458</v>
      </c>
      <c r="B152" t="s">
        <v>229</v>
      </c>
      <c r="C152" s="5" t="s">
        <v>183</v>
      </c>
      <c r="D152">
        <v>1</v>
      </c>
      <c r="E152" s="5">
        <v>0.51131279560271004</v>
      </c>
      <c r="F152" s="5">
        <v>0.50467236968579166</v>
      </c>
      <c r="G152" s="5">
        <v>0.49803194376887339</v>
      </c>
      <c r="H152" s="5">
        <v>0.49139151785195506</v>
      </c>
      <c r="I152" s="5">
        <v>0.48475109193503674</v>
      </c>
      <c r="J152" s="5">
        <v>0.47811066601811847</v>
      </c>
      <c r="K152" s="5">
        <v>0.47147024010120009</v>
      </c>
      <c r="L152" s="5">
        <v>0.46482981418428182</v>
      </c>
    </row>
    <row r="153" spans="1:12" s="5" customFormat="1">
      <c r="A153" s="11" t="s">
        <v>458</v>
      </c>
      <c r="B153" t="s">
        <v>229</v>
      </c>
      <c r="C153" t="s">
        <v>133</v>
      </c>
      <c r="D153">
        <v>2</v>
      </c>
      <c r="E153" s="5">
        <v>2.0452511824108401</v>
      </c>
      <c r="F153" s="5">
        <v>2.0186894787431666</v>
      </c>
      <c r="G153" s="5">
        <v>1.9921277750754935</v>
      </c>
      <c r="H153" s="5">
        <v>1.9655660714078202</v>
      </c>
      <c r="I153" s="5">
        <v>1.939004367740147</v>
      </c>
      <c r="J153" s="5">
        <v>1.9124426640724739</v>
      </c>
      <c r="K153" s="5">
        <v>1.8858809604048004</v>
      </c>
      <c r="L153" s="5">
        <v>1.8593192567371273</v>
      </c>
    </row>
    <row r="154" spans="1:12" s="5" customFormat="1">
      <c r="A154" s="11" t="s">
        <v>458</v>
      </c>
      <c r="B154" t="s">
        <v>229</v>
      </c>
      <c r="C154" s="5" t="s">
        <v>185</v>
      </c>
      <c r="D154">
        <v>2</v>
      </c>
      <c r="E154" s="5">
        <v>0.51131279560271004</v>
      </c>
      <c r="F154" s="5">
        <v>0.50467236968579166</v>
      </c>
      <c r="G154" s="5">
        <v>0.49803194376887339</v>
      </c>
      <c r="H154" s="5">
        <v>0.49139151785195506</v>
      </c>
      <c r="I154" s="5">
        <v>0.48475109193503674</v>
      </c>
      <c r="J154" s="5">
        <v>0.47811066601811847</v>
      </c>
      <c r="K154" s="5">
        <v>0.47147024010120009</v>
      </c>
      <c r="L154" s="5">
        <v>0.46482981418428182</v>
      </c>
    </row>
    <row r="155" spans="1:12" s="5" customFormat="1">
      <c r="A155" s="11" t="s">
        <v>458</v>
      </c>
      <c r="B155" t="s">
        <v>229</v>
      </c>
      <c r="C155" s="5" t="s">
        <v>133</v>
      </c>
      <c r="D155">
        <v>3</v>
      </c>
      <c r="E155" s="5">
        <v>2.0452511824108401</v>
      </c>
      <c r="F155" s="5">
        <v>2.0186894787431666</v>
      </c>
      <c r="G155" s="5">
        <v>1.9921277750754935</v>
      </c>
      <c r="H155" s="5">
        <v>1.9655660714078202</v>
      </c>
      <c r="I155" s="5">
        <v>1.939004367740147</v>
      </c>
      <c r="J155" s="5">
        <v>1.9124426640724739</v>
      </c>
      <c r="K155" s="5">
        <v>1.8858809604048004</v>
      </c>
      <c r="L155" s="5">
        <v>1.8593192567371273</v>
      </c>
    </row>
    <row r="156" spans="1:12" s="5" customFormat="1">
      <c r="A156" s="11" t="s">
        <v>458</v>
      </c>
      <c r="B156" t="s">
        <v>229</v>
      </c>
      <c r="C156" s="5" t="s">
        <v>184</v>
      </c>
      <c r="D156">
        <v>3</v>
      </c>
      <c r="E156" s="5">
        <v>0.51131279560271004</v>
      </c>
      <c r="F156" s="5">
        <v>0.50467236968579166</v>
      </c>
      <c r="G156" s="5">
        <v>0.49803194376887339</v>
      </c>
      <c r="H156" s="5">
        <v>0.49139151785195506</v>
      </c>
      <c r="I156" s="5">
        <v>0.48475109193503674</v>
      </c>
      <c r="J156" s="5">
        <v>0.47811066601811847</v>
      </c>
      <c r="K156" s="5">
        <v>0.47147024010120009</v>
      </c>
      <c r="L156" s="5">
        <v>0.46482981418428182</v>
      </c>
    </row>
    <row r="157" spans="1:12" s="5" customFormat="1">
      <c r="A157" s="11" t="s">
        <v>458</v>
      </c>
      <c r="B157" t="s">
        <v>235</v>
      </c>
      <c r="C157" t="s">
        <v>143</v>
      </c>
      <c r="D157">
        <v>1</v>
      </c>
      <c r="E157" s="5">
        <v>2.2624434389140271</v>
      </c>
      <c r="F157" s="5">
        <v>2.2330610565904681</v>
      </c>
      <c r="G157" s="5">
        <v>2.2036786742669094</v>
      </c>
      <c r="H157" s="5">
        <v>2.1742962919433504</v>
      </c>
      <c r="I157" s="5">
        <v>2.1449139096197918</v>
      </c>
      <c r="J157" s="5">
        <v>2.1155315272962332</v>
      </c>
      <c r="K157" s="5">
        <v>2.0861491449726741</v>
      </c>
      <c r="L157" s="5">
        <v>2.0567667626491155</v>
      </c>
    </row>
    <row r="158" spans="1:12" s="5" customFormat="1">
      <c r="A158" s="11" t="s">
        <v>458</v>
      </c>
      <c r="B158" t="s">
        <v>235</v>
      </c>
      <c r="C158" t="s">
        <v>182</v>
      </c>
      <c r="D158">
        <v>1</v>
      </c>
      <c r="E158" s="5">
        <v>2.5683257918552038E-2</v>
      </c>
      <c r="F158" s="5">
        <v>2.5349709114414996E-2</v>
      </c>
      <c r="G158" s="5">
        <v>2.5016160310277959E-2</v>
      </c>
      <c r="H158" s="5">
        <v>2.4682611506140918E-2</v>
      </c>
      <c r="I158" s="5">
        <v>2.4349062702003876E-2</v>
      </c>
      <c r="J158" s="5">
        <v>2.4015513897866839E-2</v>
      </c>
      <c r="K158" s="5">
        <v>2.3681965093729801E-2</v>
      </c>
      <c r="L158" s="5">
        <v>2.334841628959276E-2</v>
      </c>
    </row>
    <row r="159" spans="1:12" s="5" customFormat="1">
      <c r="A159" s="11" t="s">
        <v>458</v>
      </c>
      <c r="B159" t="s">
        <v>235</v>
      </c>
      <c r="C159" t="s">
        <v>143</v>
      </c>
      <c r="D159">
        <v>2</v>
      </c>
      <c r="E159" s="5">
        <v>1.6017298682577186</v>
      </c>
      <c r="F159" s="5">
        <v>1.5809281816569689</v>
      </c>
      <c r="G159" s="5">
        <v>1.5601264950562195</v>
      </c>
      <c r="H159" s="5">
        <v>1.5393248084554698</v>
      </c>
      <c r="I159" s="5">
        <v>1.5185231218547202</v>
      </c>
      <c r="J159" s="5">
        <v>1.4977214352539705</v>
      </c>
      <c r="K159" s="5">
        <v>1.4769197486532211</v>
      </c>
      <c r="L159" s="5">
        <v>1.4561180620524714</v>
      </c>
    </row>
    <row r="160" spans="1:12" s="5" customFormat="1">
      <c r="A160" s="11" t="s">
        <v>458</v>
      </c>
      <c r="B160" t="s">
        <v>235</v>
      </c>
      <c r="C160" t="s">
        <v>183</v>
      </c>
      <c r="D160">
        <v>2</v>
      </c>
      <c r="E160" s="5">
        <v>0.40043246706442964</v>
      </c>
      <c r="F160" s="5">
        <v>0.39523204541424223</v>
      </c>
      <c r="G160" s="5">
        <v>0.39003162376405487</v>
      </c>
      <c r="H160" s="5">
        <v>0.38483120211386745</v>
      </c>
      <c r="I160" s="5">
        <v>0.37963078046368004</v>
      </c>
      <c r="J160" s="5">
        <v>0.37443035881349263</v>
      </c>
      <c r="K160" s="5">
        <v>0.36922993716330527</v>
      </c>
      <c r="L160" s="5">
        <v>0.36402951551311785</v>
      </c>
    </row>
    <row r="161" spans="1:12" s="5" customFormat="1">
      <c r="A161" s="11" t="s">
        <v>458</v>
      </c>
      <c r="B161" t="s">
        <v>235</v>
      </c>
      <c r="C161" t="s">
        <v>182</v>
      </c>
      <c r="D161">
        <v>2</v>
      </c>
      <c r="E161" s="5">
        <v>2.087854883273936E-2</v>
      </c>
      <c r="F161" s="5">
        <v>2.0607398847898587E-2</v>
      </c>
      <c r="G161" s="5">
        <v>2.0336248863057817E-2</v>
      </c>
      <c r="H161" s="5">
        <v>2.0065098878217044E-2</v>
      </c>
      <c r="I161" s="5">
        <v>1.9793948893376274E-2</v>
      </c>
      <c r="J161" s="5">
        <v>1.9522798908535505E-2</v>
      </c>
      <c r="K161" s="5">
        <v>1.9251648923694731E-2</v>
      </c>
      <c r="L161" s="5">
        <v>1.8980498938853962E-2</v>
      </c>
    </row>
    <row r="162" spans="1:12" s="5" customFormat="1">
      <c r="A162" s="11" t="s">
        <v>458</v>
      </c>
      <c r="B162" t="s">
        <v>235</v>
      </c>
      <c r="C162" t="s">
        <v>143</v>
      </c>
      <c r="D162">
        <v>3</v>
      </c>
      <c r="E162" s="5">
        <v>1.6017298682577186</v>
      </c>
      <c r="F162" s="5">
        <v>1.5809281816569689</v>
      </c>
      <c r="G162" s="5">
        <v>1.5601264950562195</v>
      </c>
      <c r="H162" s="5">
        <v>1.5393248084554698</v>
      </c>
      <c r="I162" s="5">
        <v>1.5185231218547202</v>
      </c>
      <c r="J162" s="5">
        <v>1.4977214352539705</v>
      </c>
      <c r="K162" s="5">
        <v>1.4769197486532211</v>
      </c>
      <c r="L162" s="5">
        <v>1.4561180620524714</v>
      </c>
    </row>
    <row r="163" spans="1:12" s="5" customFormat="1">
      <c r="A163" s="11" t="s">
        <v>458</v>
      </c>
      <c r="B163" t="s">
        <v>235</v>
      </c>
      <c r="C163" t="s">
        <v>185</v>
      </c>
      <c r="D163" s="5">
        <v>3</v>
      </c>
      <c r="E163" s="5">
        <v>0.40043246706442964</v>
      </c>
      <c r="F163" s="5">
        <v>0.39523204541424223</v>
      </c>
      <c r="G163" s="5">
        <v>0.39003162376405487</v>
      </c>
      <c r="H163" s="5">
        <v>0.38483120211386745</v>
      </c>
      <c r="I163" s="5">
        <v>0.37963078046368004</v>
      </c>
      <c r="J163" s="5">
        <v>0.37443035881349263</v>
      </c>
      <c r="K163" s="5">
        <v>0.36922993716330527</v>
      </c>
      <c r="L163" s="5">
        <v>0.36402951551311785</v>
      </c>
    </row>
    <row r="164" spans="1:12" s="5" customFormat="1">
      <c r="A164" s="11" t="s">
        <v>458</v>
      </c>
      <c r="B164" t="s">
        <v>235</v>
      </c>
      <c r="C164" t="s">
        <v>182</v>
      </c>
      <c r="D164" s="5">
        <v>3</v>
      </c>
      <c r="E164" s="5">
        <v>1.8182837464461619E-2</v>
      </c>
      <c r="F164" s="5">
        <v>1.7946696718169911E-2</v>
      </c>
      <c r="G164" s="5">
        <v>1.7710555971878199E-2</v>
      </c>
      <c r="H164" s="5">
        <v>1.7474415225586487E-2</v>
      </c>
      <c r="I164" s="5">
        <v>1.7238274479294779E-2</v>
      </c>
      <c r="J164" s="5">
        <v>1.7002133733003071E-2</v>
      </c>
      <c r="K164" s="5">
        <v>1.6765992986711359E-2</v>
      </c>
      <c r="L164" s="5">
        <v>1.6529852240419651E-2</v>
      </c>
    </row>
    <row r="165" spans="1:12" s="5" customFormat="1">
      <c r="A165" s="11" t="s">
        <v>458</v>
      </c>
      <c r="B165" t="s">
        <v>235</v>
      </c>
      <c r="C165" t="s">
        <v>143</v>
      </c>
      <c r="D165" s="5">
        <v>4</v>
      </c>
      <c r="E165" s="5">
        <v>1.6017298682577186</v>
      </c>
      <c r="F165" s="5">
        <v>1.5809281816569689</v>
      </c>
      <c r="G165" s="5">
        <v>1.5601264950562195</v>
      </c>
      <c r="H165" s="5">
        <v>1.5393248084554698</v>
      </c>
      <c r="I165" s="5">
        <v>1.5185231218547202</v>
      </c>
      <c r="J165" s="5">
        <v>1.4977214352539705</v>
      </c>
      <c r="K165" s="5">
        <v>1.4769197486532211</v>
      </c>
      <c r="L165" s="5">
        <v>1.4561180620524714</v>
      </c>
    </row>
    <row r="166" spans="1:12" s="5" customFormat="1">
      <c r="A166" s="5" t="s">
        <v>458</v>
      </c>
      <c r="B166" s="5" t="s">
        <v>235</v>
      </c>
      <c r="C166" s="5" t="s">
        <v>184</v>
      </c>
      <c r="D166" s="5">
        <v>4</v>
      </c>
      <c r="E166" s="5">
        <v>0.40043246706442964</v>
      </c>
      <c r="F166" s="5">
        <v>0.39523204541424223</v>
      </c>
      <c r="G166" s="5">
        <v>0.39003162376405487</v>
      </c>
      <c r="H166" s="5">
        <v>0.38483120211386745</v>
      </c>
      <c r="I166" s="5">
        <v>0.37963078046368004</v>
      </c>
      <c r="J166" s="5">
        <v>0.37443035881349263</v>
      </c>
      <c r="K166" s="5">
        <v>0.36922993716330527</v>
      </c>
      <c r="L166" s="5">
        <v>0.36402951551311785</v>
      </c>
    </row>
    <row r="167" spans="1:12" s="5" customFormat="1">
      <c r="A167" s="5" t="s">
        <v>458</v>
      </c>
      <c r="B167" s="5" t="s">
        <v>235</v>
      </c>
      <c r="C167" s="5" t="s">
        <v>182</v>
      </c>
      <c r="D167" s="5">
        <v>4</v>
      </c>
      <c r="E167" s="5">
        <v>1.8182837464461619E-2</v>
      </c>
      <c r="F167" s="5">
        <v>1.7946696718169911E-2</v>
      </c>
      <c r="G167" s="5">
        <v>1.7710555971878199E-2</v>
      </c>
      <c r="H167" s="5">
        <v>1.7474415225586487E-2</v>
      </c>
      <c r="I167" s="5">
        <v>1.7238274479294779E-2</v>
      </c>
      <c r="J167" s="5">
        <v>1.7002133733003071E-2</v>
      </c>
      <c r="K167" s="5">
        <v>1.6765992986711359E-2</v>
      </c>
      <c r="L167" s="5">
        <v>1.6529852240419651E-2</v>
      </c>
    </row>
    <row r="168" spans="1:12" s="5" customFormat="1">
      <c r="A168" s="5" t="s">
        <v>458</v>
      </c>
      <c r="B168" s="5" t="s">
        <v>236</v>
      </c>
      <c r="C168" s="5" t="s">
        <v>15</v>
      </c>
      <c r="D168" s="5">
        <v>1</v>
      </c>
      <c r="E168" s="5">
        <v>0.47031158142269258</v>
      </c>
      <c r="F168" s="5">
        <v>0.45911368662691415</v>
      </c>
      <c r="G168" s="5">
        <v>0.44791579183113583</v>
      </c>
      <c r="H168" s="5">
        <v>0.43671789703535741</v>
      </c>
      <c r="I168" s="5">
        <v>0.42552000223957898</v>
      </c>
      <c r="J168" s="5">
        <v>0.4143221074438006</v>
      </c>
      <c r="K168" s="5">
        <v>0.40312421264802223</v>
      </c>
      <c r="L168" s="5">
        <v>0.39192631785224386</v>
      </c>
    </row>
    <row r="169" spans="1:12" s="5" customFormat="1">
      <c r="A169" s="5" t="s">
        <v>458</v>
      </c>
      <c r="B169" s="5" t="s">
        <v>236</v>
      </c>
      <c r="C169" s="5" t="s">
        <v>183</v>
      </c>
      <c r="D169" s="5">
        <v>1</v>
      </c>
      <c r="E169" s="5">
        <v>2.4691358024691357</v>
      </c>
      <c r="F169" s="5">
        <v>2.4103468547912992</v>
      </c>
      <c r="G169" s="5">
        <v>2.3515579071134627</v>
      </c>
      <c r="H169" s="5">
        <v>2.2927689594356258</v>
      </c>
      <c r="I169" s="5">
        <v>2.2339800117577893</v>
      </c>
      <c r="J169" s="5">
        <v>2.1751910640799528</v>
      </c>
      <c r="K169" s="5">
        <v>2.1164021164021163</v>
      </c>
      <c r="L169" s="5">
        <v>2.0576131687242798</v>
      </c>
    </row>
    <row r="170" spans="1:12" s="5" customFormat="1">
      <c r="A170" s="5" t="s">
        <v>458</v>
      </c>
      <c r="B170" s="5" t="s">
        <v>236</v>
      </c>
      <c r="C170" s="5" t="s">
        <v>182</v>
      </c>
      <c r="D170" s="5">
        <v>1</v>
      </c>
      <c r="E170" s="5">
        <v>1.6622222222222219E-2</v>
      </c>
      <c r="F170" s="5">
        <v>1.6226455026455023E-2</v>
      </c>
      <c r="G170" s="5">
        <v>1.5830687830687827E-2</v>
      </c>
      <c r="H170" s="5">
        <v>1.5434920634920631E-2</v>
      </c>
      <c r="I170" s="5">
        <v>1.5039153439153435E-2</v>
      </c>
      <c r="J170" s="5">
        <v>1.464338624338624E-2</v>
      </c>
      <c r="K170" s="5">
        <v>1.4247619047619044E-2</v>
      </c>
      <c r="L170" s="5">
        <v>1.385185185185185E-2</v>
      </c>
    </row>
    <row r="171" spans="1:12" s="5" customFormat="1">
      <c r="A171" s="5" t="s">
        <v>458</v>
      </c>
      <c r="B171" s="5" t="s">
        <v>248</v>
      </c>
      <c r="C171" s="5" t="s">
        <v>133</v>
      </c>
      <c r="D171" s="5">
        <v>1</v>
      </c>
      <c r="E171" s="5">
        <v>1.5384615384615383</v>
      </c>
      <c r="F171" s="5">
        <v>1.346153846153846</v>
      </c>
      <c r="G171" s="5">
        <v>1.2820512820512819</v>
      </c>
      <c r="H171" s="5">
        <v>1.266025641025641</v>
      </c>
      <c r="I171" s="5">
        <v>1.2580128205128205</v>
      </c>
      <c r="J171" s="5">
        <v>1.2540064102564101</v>
      </c>
      <c r="K171" s="5">
        <v>1.2520032051282051</v>
      </c>
      <c r="L171" s="5">
        <v>1.25</v>
      </c>
    </row>
    <row r="172" spans="1:12" s="5" customFormat="1">
      <c r="A172" s="5" t="s">
        <v>458</v>
      </c>
      <c r="B172" s="5" t="s">
        <v>248</v>
      </c>
      <c r="C172" s="5" t="s">
        <v>182</v>
      </c>
      <c r="D172" s="5">
        <v>1</v>
      </c>
      <c r="E172" s="5">
        <v>0.11846153846153845</v>
      </c>
      <c r="F172" s="5">
        <v>0.10365384615384614</v>
      </c>
      <c r="G172" s="5">
        <v>9.8717948717948714E-2</v>
      </c>
      <c r="H172" s="5">
        <v>9.7483974358974351E-2</v>
      </c>
      <c r="I172" s="5">
        <v>9.6866987179487177E-2</v>
      </c>
      <c r="J172" s="5">
        <v>9.6558493589743583E-2</v>
      </c>
      <c r="K172" s="5">
        <v>9.6404246794871792E-2</v>
      </c>
      <c r="L172" s="5">
        <v>9.6250000000000002E-2</v>
      </c>
    </row>
    <row r="173" spans="1:12" s="5" customFormat="1">
      <c r="A173" s="5" t="s">
        <v>458</v>
      </c>
      <c r="B173" s="5" t="s">
        <v>242</v>
      </c>
      <c r="C173" s="5" t="s">
        <v>143</v>
      </c>
      <c r="D173" s="5">
        <v>1</v>
      </c>
      <c r="E173" s="5">
        <v>1.6666666666666667</v>
      </c>
      <c r="F173" s="5">
        <v>1.6666666666666667</v>
      </c>
      <c r="G173" s="5">
        <v>1.6666666666666667</v>
      </c>
      <c r="H173" s="5">
        <v>1.6666666666666667</v>
      </c>
      <c r="I173" s="5">
        <v>1.6666666666666667</v>
      </c>
      <c r="J173" s="5">
        <v>1.6666666666666667</v>
      </c>
      <c r="K173" s="5">
        <v>1.6666666666666667</v>
      </c>
      <c r="L173" s="5">
        <v>1.6666666666666667</v>
      </c>
    </row>
    <row r="174" spans="1:12" s="5" customFormat="1">
      <c r="A174" s="5" t="s">
        <v>458</v>
      </c>
      <c r="B174" s="5" t="s">
        <v>242</v>
      </c>
      <c r="C174" s="5" t="s">
        <v>182</v>
      </c>
      <c r="D174" s="5">
        <v>1</v>
      </c>
      <c r="E174" s="5">
        <v>1.8919999999999999E-2</v>
      </c>
      <c r="F174" s="5">
        <v>1.8919999999999999E-2</v>
      </c>
      <c r="G174" s="5">
        <v>1.8919999999999999E-2</v>
      </c>
      <c r="H174" s="5">
        <v>1.8919999999999999E-2</v>
      </c>
      <c r="I174" s="5">
        <v>1.8919999999999999E-2</v>
      </c>
      <c r="J174" s="5">
        <v>1.8919999999999999E-2</v>
      </c>
      <c r="K174" s="5">
        <v>1.8919999999999999E-2</v>
      </c>
      <c r="L174" s="5">
        <v>1.8919999999999999E-2</v>
      </c>
    </row>
    <row r="175" spans="1:12" s="5" customFormat="1">
      <c r="A175" s="5" t="s">
        <v>458</v>
      </c>
      <c r="B175" s="5" t="s">
        <v>243</v>
      </c>
      <c r="C175" s="5" t="s">
        <v>144</v>
      </c>
      <c r="D175" s="5">
        <v>1</v>
      </c>
      <c r="E175" s="5">
        <v>1.6666666666666667</v>
      </c>
      <c r="F175" s="5">
        <v>1.6666666666666667</v>
      </c>
      <c r="G175" s="5">
        <v>1.6666666666666667</v>
      </c>
      <c r="H175" s="5">
        <v>1.6666666666666667</v>
      </c>
      <c r="I175" s="5">
        <v>1.6666666666666667</v>
      </c>
      <c r="J175" s="5">
        <v>1.6666666666666667</v>
      </c>
      <c r="K175" s="5">
        <v>1.6666666666666667</v>
      </c>
      <c r="L175" s="5">
        <v>1.6666666666666667</v>
      </c>
    </row>
    <row r="176" spans="1:12" s="5" customFormat="1">
      <c r="A176" s="5" t="s">
        <v>458</v>
      </c>
      <c r="B176" s="2" t="s">
        <v>243</v>
      </c>
      <c r="C176" t="s">
        <v>182</v>
      </c>
      <c r="D176">
        <v>1</v>
      </c>
      <c r="E176" s="5">
        <v>2.0200000000000003E-2</v>
      </c>
      <c r="F176" s="5">
        <v>2.0200000000000003E-2</v>
      </c>
      <c r="G176" s="5">
        <v>2.0200000000000003E-2</v>
      </c>
      <c r="H176" s="5">
        <v>2.0200000000000003E-2</v>
      </c>
      <c r="I176" s="5">
        <v>2.0200000000000003E-2</v>
      </c>
      <c r="J176" s="5">
        <v>2.0200000000000003E-2</v>
      </c>
      <c r="K176" s="5">
        <v>2.0200000000000003E-2</v>
      </c>
      <c r="L176" s="5">
        <v>2.0200000000000003E-2</v>
      </c>
    </row>
    <row r="177" spans="1:12" s="5" customFormat="1">
      <c r="A177" s="5" t="s">
        <v>458</v>
      </c>
      <c r="B177" s="2" t="s">
        <v>249</v>
      </c>
      <c r="C177" t="s">
        <v>133</v>
      </c>
      <c r="D177">
        <v>1</v>
      </c>
      <c r="E177" s="5">
        <v>1.5384615384615383</v>
      </c>
      <c r="F177" s="5">
        <v>1.346153846153846</v>
      </c>
      <c r="G177" s="5">
        <v>1.2820512820512819</v>
      </c>
      <c r="H177" s="5">
        <v>1.266025641025641</v>
      </c>
      <c r="I177" s="5">
        <v>1.2580128205128205</v>
      </c>
      <c r="J177" s="5">
        <v>1.2540064102564101</v>
      </c>
      <c r="K177" s="5">
        <v>1.2520032051282051</v>
      </c>
      <c r="L177" s="5">
        <v>1.25</v>
      </c>
    </row>
    <row r="178" spans="1:12" s="5" customFormat="1">
      <c r="A178" s="5" t="s">
        <v>458</v>
      </c>
      <c r="B178" s="2" t="s">
        <v>249</v>
      </c>
      <c r="C178" t="s">
        <v>182</v>
      </c>
      <c r="D178">
        <v>1</v>
      </c>
      <c r="E178" s="5">
        <v>0.11846153846153845</v>
      </c>
      <c r="F178" s="5">
        <v>0.10365384615384614</v>
      </c>
      <c r="G178" s="5">
        <v>9.8717948717948714E-2</v>
      </c>
      <c r="H178" s="5">
        <v>9.7483974358974351E-2</v>
      </c>
      <c r="I178" s="5">
        <v>9.6866987179487177E-2</v>
      </c>
      <c r="J178" s="5">
        <v>9.6558493589743583E-2</v>
      </c>
      <c r="K178" s="5">
        <v>9.6404246794871792E-2</v>
      </c>
      <c r="L178" s="5">
        <v>9.6250000000000002E-2</v>
      </c>
    </row>
    <row r="179" spans="1:12" s="5" customFormat="1">
      <c r="A179" s="5" t="s">
        <v>458</v>
      </c>
      <c r="B179" s="2" t="s">
        <v>240</v>
      </c>
      <c r="C179" t="s">
        <v>143</v>
      </c>
      <c r="D179">
        <v>1</v>
      </c>
      <c r="E179" s="5">
        <v>1.6666666666666667</v>
      </c>
      <c r="F179" s="5">
        <v>1.6666666666666667</v>
      </c>
      <c r="G179" s="5">
        <v>1.6666666666666667</v>
      </c>
      <c r="H179" s="5">
        <v>1.6666666666666667</v>
      </c>
      <c r="I179" s="5">
        <v>1.6666666666666667</v>
      </c>
      <c r="J179" s="5">
        <v>1.6666666666666667</v>
      </c>
      <c r="K179" s="5">
        <v>1.6666666666666667</v>
      </c>
      <c r="L179" s="5">
        <v>1.6666666666666667</v>
      </c>
    </row>
    <row r="180" spans="1:12" s="5" customFormat="1">
      <c r="A180" s="5" t="s">
        <v>458</v>
      </c>
      <c r="B180" s="2" t="s">
        <v>240</v>
      </c>
      <c r="C180" t="s">
        <v>182</v>
      </c>
      <c r="D180">
        <v>1</v>
      </c>
      <c r="E180" s="5">
        <v>1.8919999999999999E-2</v>
      </c>
      <c r="F180" s="5">
        <v>1.8919999999999999E-2</v>
      </c>
      <c r="G180" s="5">
        <v>1.8919999999999999E-2</v>
      </c>
      <c r="H180" s="5">
        <v>1.8919999999999999E-2</v>
      </c>
      <c r="I180" s="5">
        <v>1.8919999999999999E-2</v>
      </c>
      <c r="J180" s="5">
        <v>1.8919999999999999E-2</v>
      </c>
      <c r="K180" s="5">
        <v>1.8919999999999999E-2</v>
      </c>
      <c r="L180" s="5">
        <v>1.8919999999999999E-2</v>
      </c>
    </row>
    <row r="181" spans="1:12" s="5" customFormat="1">
      <c r="A181" s="5" t="s">
        <v>458</v>
      </c>
      <c r="B181" s="2" t="s">
        <v>241</v>
      </c>
      <c r="C181" t="s">
        <v>144</v>
      </c>
      <c r="D181">
        <v>1</v>
      </c>
      <c r="E181" s="5">
        <v>1.6666666666666667</v>
      </c>
      <c r="F181" s="5">
        <v>1.6666666666666667</v>
      </c>
      <c r="G181" s="5">
        <v>1.6666666666666667</v>
      </c>
      <c r="H181" s="5">
        <v>1.6666666666666667</v>
      </c>
      <c r="I181" s="5">
        <v>1.6666666666666667</v>
      </c>
      <c r="J181" s="5">
        <v>1.6666666666666667</v>
      </c>
      <c r="K181" s="5">
        <v>1.6666666666666667</v>
      </c>
      <c r="L181" s="5">
        <v>1.6666666666666667</v>
      </c>
    </row>
    <row r="182" spans="1:12" s="5" customFormat="1">
      <c r="A182" s="5" t="s">
        <v>458</v>
      </c>
      <c r="B182" s="2" t="s">
        <v>241</v>
      </c>
      <c r="C182" t="s">
        <v>182</v>
      </c>
      <c r="D182">
        <v>1</v>
      </c>
      <c r="E182" s="5">
        <v>2.0200000000000003E-2</v>
      </c>
      <c r="F182" s="5">
        <v>2.0200000000000003E-2</v>
      </c>
      <c r="G182" s="5">
        <v>2.0200000000000003E-2</v>
      </c>
      <c r="H182" s="5">
        <v>2.0200000000000003E-2</v>
      </c>
      <c r="I182" s="5">
        <v>2.0200000000000003E-2</v>
      </c>
      <c r="J182" s="5">
        <v>2.0200000000000003E-2</v>
      </c>
      <c r="K182" s="5">
        <v>2.0200000000000003E-2</v>
      </c>
      <c r="L182" s="5">
        <v>2.0200000000000003E-2</v>
      </c>
    </row>
    <row r="183" spans="1:12" s="5" customFormat="1">
      <c r="A183" s="5" t="s">
        <v>458</v>
      </c>
      <c r="B183" s="2" t="s">
        <v>244</v>
      </c>
      <c r="C183" t="s">
        <v>183</v>
      </c>
      <c r="D183">
        <v>1</v>
      </c>
      <c r="E183" s="5">
        <v>1.0989010989010988</v>
      </c>
      <c r="F183" s="5">
        <v>1.0989010989010988</v>
      </c>
      <c r="G183" s="5">
        <v>1.0989010989010988</v>
      </c>
      <c r="H183" s="5">
        <v>1.0989010989010988</v>
      </c>
      <c r="I183" s="5">
        <v>1.0989010989010988</v>
      </c>
      <c r="J183" s="5">
        <v>1.0989010989010988</v>
      </c>
      <c r="K183" s="5">
        <v>1.0989010989010988</v>
      </c>
      <c r="L183" s="5">
        <v>1.0989010989010988</v>
      </c>
    </row>
    <row r="184" spans="1:12" s="5" customFormat="1">
      <c r="A184" s="5" t="s">
        <v>458</v>
      </c>
      <c r="B184" s="2" t="s">
        <v>244</v>
      </c>
      <c r="C184" t="s">
        <v>182</v>
      </c>
      <c r="D184">
        <v>1</v>
      </c>
      <c r="E184" s="5">
        <v>7.3978021978021967E-3</v>
      </c>
      <c r="F184" s="5">
        <v>7.3978021978021967E-3</v>
      </c>
      <c r="G184" s="5">
        <v>7.3978021978021967E-3</v>
      </c>
      <c r="H184" s="5">
        <v>7.3978021978021967E-3</v>
      </c>
      <c r="I184" s="5">
        <v>7.3978021978021967E-3</v>
      </c>
      <c r="J184" s="5">
        <v>7.3978021978021967E-3</v>
      </c>
      <c r="K184" s="5">
        <v>7.3978021978021967E-3</v>
      </c>
      <c r="L184" s="5">
        <v>7.3978021978021967E-3</v>
      </c>
    </row>
    <row r="185" spans="1:12" s="5" customFormat="1">
      <c r="A185" s="5" t="s">
        <v>458</v>
      </c>
      <c r="B185" s="2" t="s">
        <v>245</v>
      </c>
      <c r="C185" t="s">
        <v>143</v>
      </c>
      <c r="D185">
        <v>1</v>
      </c>
      <c r="E185" s="5">
        <v>1.416361416361416</v>
      </c>
      <c r="F185" s="5">
        <v>1.416361416361416</v>
      </c>
      <c r="G185" s="5">
        <v>1.416361416361416</v>
      </c>
      <c r="H185" s="5">
        <v>1.416361416361416</v>
      </c>
      <c r="I185" s="5">
        <v>1.416361416361416</v>
      </c>
      <c r="J185" s="5">
        <v>1.416361416361416</v>
      </c>
      <c r="K185" s="5">
        <v>1.416361416361416</v>
      </c>
      <c r="L185" s="5">
        <v>1.416361416361416</v>
      </c>
    </row>
    <row r="186" spans="1:12" s="5" customFormat="1">
      <c r="A186" s="5" t="s">
        <v>458</v>
      </c>
      <c r="B186" s="2" t="s">
        <v>245</v>
      </c>
      <c r="C186" t="s">
        <v>182</v>
      </c>
      <c r="D186">
        <v>1</v>
      </c>
      <c r="E186" s="5">
        <v>1.6078534798534796E-2</v>
      </c>
      <c r="F186" s="5">
        <v>1.6078534798534796E-2</v>
      </c>
      <c r="G186" s="5">
        <v>1.6078534798534796E-2</v>
      </c>
      <c r="H186" s="5">
        <v>1.6078534798534796E-2</v>
      </c>
      <c r="I186" s="5">
        <v>1.6078534798534796E-2</v>
      </c>
      <c r="J186" s="5">
        <v>1.6078534798534796E-2</v>
      </c>
      <c r="K186" s="5">
        <v>1.6078534798534796E-2</v>
      </c>
      <c r="L186" s="5">
        <v>1.6078534798534796E-2</v>
      </c>
    </row>
    <row r="187" spans="1:12" s="5" customFormat="1">
      <c r="A187" s="11" t="s">
        <v>458</v>
      </c>
      <c r="B187" t="s">
        <v>237</v>
      </c>
      <c r="C187" t="s">
        <v>143</v>
      </c>
      <c r="D187">
        <v>1</v>
      </c>
      <c r="E187" s="5">
        <v>2.5555555555555554</v>
      </c>
      <c r="F187" s="5">
        <v>2.5126050420168062</v>
      </c>
      <c r="G187" s="5">
        <v>2.4696545284780576</v>
      </c>
      <c r="H187" s="5">
        <v>2.4267040149393084</v>
      </c>
      <c r="I187" s="5">
        <v>2.3837535014005597</v>
      </c>
      <c r="J187" s="5">
        <v>2.3408029878618111</v>
      </c>
      <c r="K187" s="5">
        <v>2.2978524743230619</v>
      </c>
      <c r="L187" s="5">
        <v>2.2549019607843133</v>
      </c>
    </row>
    <row r="188" spans="1:12" s="5" customFormat="1">
      <c r="A188" t="s">
        <v>458</v>
      </c>
      <c r="B188" s="2" t="s">
        <v>237</v>
      </c>
      <c r="C188" t="s">
        <v>182</v>
      </c>
      <c r="D188" s="5">
        <v>1</v>
      </c>
      <c r="E188" s="5">
        <v>2.9010666666666667E-2</v>
      </c>
      <c r="F188" s="5">
        <v>2.8523092436974783E-2</v>
      </c>
      <c r="G188" s="5">
        <v>2.8035518207282912E-2</v>
      </c>
      <c r="H188" s="5">
        <v>2.7547943977591031E-2</v>
      </c>
      <c r="I188" s="5">
        <v>2.7060369747899153E-2</v>
      </c>
      <c r="J188" s="5">
        <v>2.6572795518207279E-2</v>
      </c>
      <c r="K188" s="5">
        <v>2.6085221288515398E-2</v>
      </c>
      <c r="L188" s="5">
        <v>2.5597647058823524E-2</v>
      </c>
    </row>
    <row r="189" spans="1:12" s="5" customFormat="1">
      <c r="A189" s="5" t="s">
        <v>458</v>
      </c>
      <c r="B189" s="2" t="s">
        <v>238</v>
      </c>
      <c r="C189" t="s">
        <v>144</v>
      </c>
      <c r="D189" s="5">
        <v>1</v>
      </c>
      <c r="E189" s="5">
        <v>2.3809523809523809</v>
      </c>
      <c r="F189" s="5">
        <v>2.2222222222222223</v>
      </c>
      <c r="G189" s="5">
        <v>2.1739130434782608</v>
      </c>
      <c r="H189" s="5">
        <v>2.1276595744680851</v>
      </c>
      <c r="I189" s="5">
        <v>2.1276595744680851</v>
      </c>
      <c r="J189" s="5">
        <v>2.1276595744680851</v>
      </c>
      <c r="K189" s="5">
        <v>2.1276595744680851</v>
      </c>
      <c r="L189" s="5">
        <v>2.1276595744680851</v>
      </c>
    </row>
    <row r="190" spans="1:12" s="5" customFormat="1">
      <c r="A190" s="5" t="s">
        <v>458</v>
      </c>
      <c r="B190" s="2" t="s">
        <v>238</v>
      </c>
      <c r="C190" t="s">
        <v>182</v>
      </c>
      <c r="D190" s="5">
        <v>1</v>
      </c>
      <c r="E190" s="5">
        <v>2.8857142857142856E-2</v>
      </c>
      <c r="F190" s="5">
        <v>2.6933333333333337E-2</v>
      </c>
      <c r="G190" s="5">
        <v>2.6347826086956523E-2</v>
      </c>
      <c r="H190" s="5">
        <v>2.5787234042553193E-2</v>
      </c>
      <c r="I190" s="5">
        <v>2.5787234042553193E-2</v>
      </c>
      <c r="J190" s="5">
        <v>2.5787234042553193E-2</v>
      </c>
      <c r="K190" s="5">
        <v>2.5787234042553193E-2</v>
      </c>
      <c r="L190" s="5">
        <v>2.5787234042553193E-2</v>
      </c>
    </row>
    <row r="191" spans="1:12" s="5" customFormat="1">
      <c r="A191" t="s">
        <v>458</v>
      </c>
      <c r="B191" s="2" t="s">
        <v>239</v>
      </c>
      <c r="C191" t="s">
        <v>183</v>
      </c>
      <c r="D191" s="5">
        <v>1</v>
      </c>
      <c r="E191" s="5">
        <v>1.7241379310344829</v>
      </c>
      <c r="F191" s="5">
        <v>1.6666666666666667</v>
      </c>
      <c r="G191" s="5">
        <v>1.639344262295082</v>
      </c>
      <c r="H191" s="5">
        <v>1.6129032258064517</v>
      </c>
      <c r="I191" s="5">
        <v>1.6129032258064517</v>
      </c>
      <c r="J191" s="5">
        <v>1.6129032258064517</v>
      </c>
      <c r="K191" s="5">
        <v>1.6</v>
      </c>
      <c r="L191" s="5">
        <v>1.5873015873015872</v>
      </c>
    </row>
    <row r="192" spans="1:12" s="5" customFormat="1">
      <c r="A192" s="5" t="s">
        <v>458</v>
      </c>
      <c r="B192" s="2" t="s">
        <v>239</v>
      </c>
      <c r="C192" t="s">
        <v>182</v>
      </c>
      <c r="D192" s="5">
        <v>1</v>
      </c>
      <c r="E192" s="5">
        <v>1.9572413793103451E-2</v>
      </c>
      <c r="F192" s="5">
        <v>1.8919999999999999E-2</v>
      </c>
      <c r="G192" s="5">
        <v>1.860983606557377E-2</v>
      </c>
      <c r="H192" s="5">
        <v>1.8309677419354839E-2</v>
      </c>
      <c r="I192" s="5">
        <v>1.8309677419354839E-2</v>
      </c>
      <c r="J192" s="5">
        <v>1.8309677419354839E-2</v>
      </c>
      <c r="K192" s="5">
        <v>1.8163200000000001E-2</v>
      </c>
      <c r="L192" s="5">
        <v>1.8019047619047619E-2</v>
      </c>
    </row>
    <row r="193" spans="1:12" s="5" customFormat="1">
      <c r="A193" s="5" t="s">
        <v>458</v>
      </c>
      <c r="B193" t="s">
        <v>246</v>
      </c>
      <c r="C193" t="s">
        <v>183</v>
      </c>
      <c r="D193" s="5">
        <v>1</v>
      </c>
      <c r="E193" s="5">
        <v>1.6666666666666667</v>
      </c>
      <c r="F193" s="5">
        <v>1.5079365079365079</v>
      </c>
      <c r="G193" s="5">
        <v>1.4550264550264551</v>
      </c>
      <c r="H193" s="5">
        <v>1.4417989417989419</v>
      </c>
      <c r="I193" s="5">
        <v>1.4351851851851851</v>
      </c>
      <c r="J193" s="5">
        <v>1.431878306878307</v>
      </c>
      <c r="K193" s="5">
        <v>1.4302248677248679</v>
      </c>
      <c r="L193" s="5">
        <v>1.4285714285714286</v>
      </c>
    </row>
    <row r="194" spans="1:12" s="5" customFormat="1">
      <c r="A194" t="s">
        <v>458</v>
      </c>
      <c r="B194" t="s">
        <v>246</v>
      </c>
      <c r="C194" t="s">
        <v>194</v>
      </c>
      <c r="D194">
        <v>1</v>
      </c>
      <c r="E194" s="5">
        <v>0.33301002263174917</v>
      </c>
      <c r="F194" s="5">
        <v>0.30129478238110635</v>
      </c>
      <c r="G194" s="5">
        <v>0.29072303563089213</v>
      </c>
      <c r="H194" s="5">
        <v>0.28808009894333853</v>
      </c>
      <c r="I194" s="5">
        <v>0.28675863059956175</v>
      </c>
      <c r="J194" s="5">
        <v>0.28609789642767336</v>
      </c>
      <c r="K194" s="5">
        <v>0.28576752934172922</v>
      </c>
      <c r="L194" s="5">
        <v>0.28543716225578497</v>
      </c>
    </row>
    <row r="195" spans="1:12" s="5" customFormat="1">
      <c r="A195" s="5" t="s">
        <v>458</v>
      </c>
      <c r="B195" s="5" t="s">
        <v>247</v>
      </c>
      <c r="C195" s="5" t="s">
        <v>183</v>
      </c>
      <c r="D195" s="5">
        <v>1</v>
      </c>
      <c r="E195" s="5">
        <v>1.6666666666666667</v>
      </c>
      <c r="F195" s="5">
        <v>1.5079365079365079</v>
      </c>
      <c r="G195" s="5">
        <v>1.4550264550264551</v>
      </c>
      <c r="H195" s="5">
        <v>1.4417989417989419</v>
      </c>
      <c r="I195" s="5">
        <v>1.4351851851851851</v>
      </c>
      <c r="J195" s="5">
        <v>1.431878306878307</v>
      </c>
      <c r="K195" s="5">
        <v>1.4302248677248679</v>
      </c>
      <c r="L195" s="5">
        <v>1.4285714285714286</v>
      </c>
    </row>
    <row r="196" spans="1:12" s="5" customFormat="1">
      <c r="A196" s="5" t="s">
        <v>458</v>
      </c>
      <c r="B196" s="5" t="s">
        <v>247</v>
      </c>
      <c r="C196" s="5" t="s">
        <v>194</v>
      </c>
      <c r="D196" s="5">
        <v>1</v>
      </c>
      <c r="E196" s="5">
        <v>0.33301002263174917</v>
      </c>
      <c r="F196" s="5">
        <v>0.30129478238110635</v>
      </c>
      <c r="G196" s="5">
        <v>0.29072303563089213</v>
      </c>
      <c r="H196" s="5">
        <v>0.28808009894333853</v>
      </c>
      <c r="I196" s="5">
        <v>0.28675863059956175</v>
      </c>
      <c r="J196" s="5">
        <v>0.28609789642767336</v>
      </c>
      <c r="K196" s="5">
        <v>0.28576752934172922</v>
      </c>
      <c r="L196" s="5">
        <v>0.28543716225578497</v>
      </c>
    </row>
    <row r="197" spans="1:12" s="5" customFormat="1">
      <c r="A197" s="5" t="s">
        <v>458</v>
      </c>
      <c r="B197" s="5" t="s">
        <v>247</v>
      </c>
      <c r="C197" s="5" t="s">
        <v>182</v>
      </c>
      <c r="D197" s="5">
        <v>1</v>
      </c>
      <c r="E197" s="5">
        <v>1.1219999999999999E-2</v>
      </c>
      <c r="F197" s="5">
        <v>1.015142857142857E-2</v>
      </c>
      <c r="G197" s="5">
        <v>9.7952380952380947E-3</v>
      </c>
      <c r="H197" s="5">
        <v>9.7061904761904759E-3</v>
      </c>
      <c r="I197" s="5">
        <v>9.6616666666666656E-3</v>
      </c>
      <c r="J197" s="5">
        <v>9.6394047619047622E-3</v>
      </c>
      <c r="K197" s="5">
        <v>9.6282738095238088E-3</v>
      </c>
      <c r="L197" s="5">
        <v>9.6171428571428571E-3</v>
      </c>
    </row>
    <row r="198" spans="1:12" s="5" customFormat="1">
      <c r="A198" s="5" t="s">
        <v>458</v>
      </c>
      <c r="B198" s="5" t="s">
        <v>253</v>
      </c>
      <c r="C198" s="5" t="s">
        <v>132</v>
      </c>
      <c r="D198" s="5">
        <v>1</v>
      </c>
      <c r="E198" s="5">
        <v>1.1764705882352942</v>
      </c>
      <c r="F198" s="5">
        <v>1.1247575953458304</v>
      </c>
      <c r="G198" s="5">
        <v>1.1075199310493427</v>
      </c>
      <c r="H198" s="5">
        <v>1.1032105149752207</v>
      </c>
      <c r="I198" s="5">
        <v>1.1010558069381597</v>
      </c>
      <c r="J198" s="5">
        <v>1.0999784529196293</v>
      </c>
      <c r="K198" s="5">
        <v>1.099439775910364</v>
      </c>
      <c r="L198" s="5">
        <v>1.0989010989010988</v>
      </c>
    </row>
    <row r="199" spans="1:12" s="5" customFormat="1">
      <c r="A199" s="5" t="s">
        <v>458</v>
      </c>
      <c r="B199" s="5" t="s">
        <v>254</v>
      </c>
      <c r="C199" s="5" t="s">
        <v>132</v>
      </c>
      <c r="D199" s="5">
        <v>1</v>
      </c>
      <c r="E199" s="5">
        <v>1.1764705882352942</v>
      </c>
      <c r="F199" s="5">
        <v>1.1247575953458304</v>
      </c>
      <c r="G199" s="5">
        <v>1.1075199310493427</v>
      </c>
      <c r="H199" s="5">
        <v>1.1032105149752207</v>
      </c>
      <c r="I199" s="5">
        <v>1.1010558069381597</v>
      </c>
      <c r="J199" s="5">
        <v>1.0999784529196293</v>
      </c>
      <c r="K199" s="5">
        <v>1.099439775910364</v>
      </c>
      <c r="L199" s="5">
        <v>1.0989010989010988</v>
      </c>
    </row>
    <row r="200" spans="1:12" s="5" customFormat="1">
      <c r="A200" s="5" t="s">
        <v>458</v>
      </c>
      <c r="B200" s="5" t="s">
        <v>255</v>
      </c>
      <c r="C200" s="5" t="s">
        <v>133</v>
      </c>
      <c r="D200" s="5">
        <v>1</v>
      </c>
      <c r="E200" s="5">
        <v>1.4285714285714286</v>
      </c>
      <c r="F200" s="5">
        <v>1.3650793650793649</v>
      </c>
      <c r="G200" s="5">
        <v>1.343915343915344</v>
      </c>
      <c r="H200" s="5">
        <v>1.3386243386243386</v>
      </c>
      <c r="I200" s="5">
        <v>1.3359788359788358</v>
      </c>
      <c r="J200" s="5">
        <v>1.3346560846560847</v>
      </c>
      <c r="K200" s="5">
        <v>1.3339947089947088</v>
      </c>
      <c r="L200" s="5">
        <v>1.3333333333333333</v>
      </c>
    </row>
    <row r="201" spans="1:12">
      <c r="A201" t="s">
        <v>486</v>
      </c>
      <c r="B201" s="6" t="s">
        <v>127</v>
      </c>
      <c r="C201" s="6" t="s">
        <v>15</v>
      </c>
      <c r="D201" s="6">
        <v>1</v>
      </c>
      <c r="E201" s="6">
        <v>1</v>
      </c>
      <c r="F201" s="6">
        <v>1</v>
      </c>
      <c r="G201" s="6">
        <v>1</v>
      </c>
      <c r="H201" s="6">
        <v>1</v>
      </c>
      <c r="I201" s="6">
        <v>1</v>
      </c>
      <c r="J201" s="6">
        <v>1</v>
      </c>
      <c r="K201" s="6">
        <v>1</v>
      </c>
      <c r="L201" s="6">
        <v>1</v>
      </c>
    </row>
    <row r="202" spans="1:12">
      <c r="A202" t="s">
        <v>486</v>
      </c>
      <c r="B202" s="6" t="s">
        <v>128</v>
      </c>
      <c r="C202" s="6" t="s">
        <v>15</v>
      </c>
      <c r="D202" s="6">
        <v>1</v>
      </c>
      <c r="E202" s="6">
        <v>1</v>
      </c>
      <c r="F202" s="6">
        <v>1</v>
      </c>
      <c r="G202" s="6">
        <v>1</v>
      </c>
      <c r="H202" s="6">
        <v>1</v>
      </c>
      <c r="I202" s="6">
        <v>1</v>
      </c>
      <c r="J202" s="6">
        <v>1</v>
      </c>
      <c r="K202" s="6">
        <v>1</v>
      </c>
      <c r="L202" s="6">
        <v>1</v>
      </c>
    </row>
    <row r="203" spans="1:12">
      <c r="A203" t="s">
        <v>486</v>
      </c>
      <c r="B203" s="6" t="s">
        <v>139</v>
      </c>
      <c r="C203" s="6" t="s">
        <v>132</v>
      </c>
      <c r="D203" s="6">
        <v>1</v>
      </c>
      <c r="E203" s="6">
        <v>1</v>
      </c>
      <c r="F203" s="6">
        <v>1</v>
      </c>
      <c r="G203" s="6">
        <v>1</v>
      </c>
      <c r="H203" s="6">
        <v>1</v>
      </c>
      <c r="I203" s="6">
        <v>1</v>
      </c>
      <c r="J203" s="6">
        <v>1</v>
      </c>
      <c r="K203" s="6">
        <v>1</v>
      </c>
      <c r="L203" s="6">
        <v>1</v>
      </c>
    </row>
    <row r="204" spans="1:12">
      <c r="A204" t="s">
        <v>486</v>
      </c>
      <c r="B204" s="6" t="s">
        <v>140</v>
      </c>
      <c r="C204" t="s">
        <v>183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>
      <c r="A205" t="s">
        <v>486</v>
      </c>
      <c r="B205" t="s">
        <v>231</v>
      </c>
      <c r="C205" t="s">
        <v>193</v>
      </c>
      <c r="D205" s="6">
        <v>1</v>
      </c>
      <c r="E205" s="6">
        <v>1</v>
      </c>
      <c r="F205" s="6">
        <v>1</v>
      </c>
      <c r="G205" s="6">
        <v>1</v>
      </c>
      <c r="H205" s="6">
        <v>1</v>
      </c>
      <c r="I205" s="6">
        <v>1</v>
      </c>
      <c r="J205" s="6">
        <v>1</v>
      </c>
      <c r="K205" s="6">
        <v>1</v>
      </c>
      <c r="L205" s="6">
        <v>1</v>
      </c>
    </row>
    <row r="206" spans="1:12">
      <c r="A206" t="s">
        <v>486</v>
      </c>
      <c r="B206" t="s">
        <v>233</v>
      </c>
      <c r="C206" t="s">
        <v>257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>
      <c r="A207" t="s">
        <v>486</v>
      </c>
      <c r="B207" t="s">
        <v>126</v>
      </c>
      <c r="C207" s="6" t="s">
        <v>15</v>
      </c>
      <c r="D207" s="6">
        <v>1</v>
      </c>
      <c r="E207" s="6">
        <v>1</v>
      </c>
      <c r="F207" s="6">
        <v>1</v>
      </c>
      <c r="G207" s="6">
        <v>1</v>
      </c>
      <c r="H207" s="6">
        <v>1</v>
      </c>
      <c r="I207" s="6">
        <v>1</v>
      </c>
      <c r="J207" s="6">
        <v>1</v>
      </c>
      <c r="K207" s="6">
        <v>1</v>
      </c>
      <c r="L207" s="6">
        <v>1</v>
      </c>
    </row>
    <row r="208" spans="1:12">
      <c r="A208" t="s">
        <v>486</v>
      </c>
      <c r="B208" s="6" t="s">
        <v>129</v>
      </c>
      <c r="C208" s="6" t="s">
        <v>15</v>
      </c>
      <c r="D208" s="6">
        <v>1</v>
      </c>
      <c r="E208" s="6">
        <v>1</v>
      </c>
      <c r="F208" s="6">
        <v>1</v>
      </c>
      <c r="G208" s="6">
        <v>1</v>
      </c>
      <c r="H208" s="6">
        <v>1</v>
      </c>
      <c r="I208" s="6">
        <v>1</v>
      </c>
      <c r="J208" s="6">
        <v>1</v>
      </c>
      <c r="K208" s="6">
        <v>1</v>
      </c>
      <c r="L208" s="6">
        <v>1</v>
      </c>
    </row>
    <row r="209" spans="1:12">
      <c r="A209" t="s">
        <v>486</v>
      </c>
      <c r="B209" s="6" t="s">
        <v>177</v>
      </c>
      <c r="C209" s="6" t="s">
        <v>15</v>
      </c>
      <c r="D209" s="6">
        <v>1</v>
      </c>
      <c r="E209" s="6">
        <v>1</v>
      </c>
      <c r="F209" s="6">
        <v>1</v>
      </c>
      <c r="G209" s="6">
        <v>1</v>
      </c>
      <c r="H209" s="6">
        <v>1</v>
      </c>
      <c r="I209" s="6">
        <v>1</v>
      </c>
      <c r="J209" s="6">
        <v>1</v>
      </c>
      <c r="K209" s="6">
        <v>1</v>
      </c>
      <c r="L209" s="6">
        <v>1</v>
      </c>
    </row>
    <row r="210" spans="1:12">
      <c r="A210" t="s">
        <v>486</v>
      </c>
      <c r="B210" s="13" t="s">
        <v>121</v>
      </c>
      <c r="C210" s="6" t="s">
        <v>130</v>
      </c>
      <c r="D210" s="6">
        <v>1</v>
      </c>
      <c r="E210" s="6">
        <v>0.79887218045112784</v>
      </c>
      <c r="F210" s="6">
        <v>0.78699938622065357</v>
      </c>
      <c r="G210" s="6">
        <v>0.77250268528464028</v>
      </c>
      <c r="H210" s="6">
        <v>0.7581210679760626</v>
      </c>
      <c r="I210" s="6">
        <v>0.74385453429492099</v>
      </c>
      <c r="J210" s="6">
        <v>0.72970308424121533</v>
      </c>
      <c r="K210" s="6">
        <v>0.71566671781494551</v>
      </c>
      <c r="L210" s="6">
        <v>0.70174543501611175</v>
      </c>
    </row>
    <row r="211" spans="1:12">
      <c r="A211" t="s">
        <v>486</v>
      </c>
      <c r="B211" s="13" t="s">
        <v>121</v>
      </c>
      <c r="C211" s="6" t="s">
        <v>256</v>
      </c>
      <c r="D211" s="6">
        <v>2</v>
      </c>
      <c r="E211" s="6">
        <v>0.95864661654135341</v>
      </c>
      <c r="F211" s="6">
        <v>0.9443992634647842</v>
      </c>
      <c r="G211" s="6">
        <v>0.92700322234156829</v>
      </c>
      <c r="H211" s="6">
        <v>0.9097452815712751</v>
      </c>
      <c r="I211" s="6">
        <v>0.89262544115390507</v>
      </c>
      <c r="J211" s="6">
        <v>0.87564370108945833</v>
      </c>
      <c r="K211" s="6">
        <v>0.85880006137793463</v>
      </c>
      <c r="L211" s="6">
        <v>0.8420945220193341</v>
      </c>
    </row>
    <row r="212" spans="1:12">
      <c r="A212" t="s">
        <v>486</v>
      </c>
      <c r="B212" s="13" t="s">
        <v>121</v>
      </c>
      <c r="C212" s="6" t="s">
        <v>280</v>
      </c>
      <c r="D212" s="6">
        <v>3</v>
      </c>
      <c r="E212" s="6">
        <v>0.79887218045112784</v>
      </c>
      <c r="F212" s="6">
        <v>0.78699938622065357</v>
      </c>
      <c r="G212" s="6">
        <v>0.77250268528464028</v>
      </c>
      <c r="H212" s="6">
        <v>0.7581210679760626</v>
      </c>
      <c r="I212" s="6">
        <v>0.74385453429492099</v>
      </c>
      <c r="J212" s="6">
        <v>0.72970308424121533</v>
      </c>
      <c r="K212" s="6">
        <v>0.71566671781494551</v>
      </c>
      <c r="L212" s="6">
        <v>0.70174543501611175</v>
      </c>
    </row>
    <row r="213" spans="1:12">
      <c r="A213" t="s">
        <v>486</v>
      </c>
      <c r="B213" s="13" t="s">
        <v>122</v>
      </c>
      <c r="C213" s="6" t="s">
        <v>15</v>
      </c>
      <c r="D213" s="6">
        <v>1</v>
      </c>
      <c r="E213" s="6">
        <v>0.46992481203007519</v>
      </c>
      <c r="F213" s="6">
        <v>0.45523726407856374</v>
      </c>
      <c r="G213" s="6">
        <v>0.43592239527389903</v>
      </c>
      <c r="H213" s="6">
        <v>0.4170151143164032</v>
      </c>
      <c r="I213" s="6">
        <v>0.39851542120607636</v>
      </c>
      <c r="J213" s="6">
        <v>0.38042331594291851</v>
      </c>
      <c r="K213" s="6">
        <v>0.36273879852692958</v>
      </c>
      <c r="L213" s="6">
        <v>0.34546186895810954</v>
      </c>
    </row>
    <row r="214" spans="1:12">
      <c r="A214" t="s">
        <v>486</v>
      </c>
      <c r="B214" s="13" t="s">
        <v>162</v>
      </c>
      <c r="C214" s="6" t="s">
        <v>15</v>
      </c>
      <c r="D214" s="6">
        <v>1</v>
      </c>
      <c r="E214" s="6">
        <v>0.54921428571428577</v>
      </c>
      <c r="F214" s="6">
        <v>0.52192169825072887</v>
      </c>
      <c r="G214" s="6">
        <v>0.48958530612244905</v>
      </c>
      <c r="H214" s="6">
        <v>0.45808954810495622</v>
      </c>
      <c r="I214" s="6">
        <v>0.42743442419825067</v>
      </c>
      <c r="J214" s="6">
        <v>0.39761993440233229</v>
      </c>
      <c r="K214" s="6">
        <v>0.36864607871720112</v>
      </c>
      <c r="L214" s="6">
        <v>0.34051285714285712</v>
      </c>
    </row>
    <row r="215" spans="1:12">
      <c r="A215" t="s">
        <v>486</v>
      </c>
      <c r="B215" s="13" t="s">
        <v>116</v>
      </c>
      <c r="C215" s="6" t="s">
        <v>15</v>
      </c>
      <c r="D215" s="6">
        <v>1</v>
      </c>
      <c r="E215" s="6">
        <v>2.9749999999999996</v>
      </c>
      <c r="F215" s="6">
        <v>2.9484821428571433</v>
      </c>
      <c r="G215" s="6">
        <v>2.9093749999999998</v>
      </c>
      <c r="H215" s="6">
        <v>2.8734077380952385</v>
      </c>
      <c r="I215" s="6">
        <v>2.8379668898809527</v>
      </c>
      <c r="J215" s="6">
        <v>2.8027845982142856</v>
      </c>
      <c r="K215" s="6">
        <v>2.7677292596726195</v>
      </c>
      <c r="L215" s="6">
        <v>2.7326785714285715</v>
      </c>
    </row>
    <row r="216" spans="1:12">
      <c r="A216" t="s">
        <v>486</v>
      </c>
      <c r="B216" s="13" t="s">
        <v>52</v>
      </c>
      <c r="C216" t="s">
        <v>132</v>
      </c>
      <c r="D216" s="6">
        <v>1</v>
      </c>
      <c r="E216" s="6">
        <v>2.9849999999999999</v>
      </c>
      <c r="F216" s="6">
        <v>2.9594744897959182</v>
      </c>
      <c r="G216" s="6">
        <v>2.9130892857142858</v>
      </c>
      <c r="H216" s="6">
        <v>2.8671122448979593</v>
      </c>
      <c r="I216" s="6">
        <v>2.8215433673469388</v>
      </c>
      <c r="J216" s="6">
        <v>2.7763826530612241</v>
      </c>
      <c r="K216" s="6">
        <v>2.7316301020408158</v>
      </c>
      <c r="L216" s="6">
        <v>2.6872857142857143</v>
      </c>
    </row>
    <row r="217" spans="1:12">
      <c r="A217" t="s">
        <v>486</v>
      </c>
      <c r="B217" s="13" t="s">
        <v>117</v>
      </c>
      <c r="C217" s="6" t="s">
        <v>130</v>
      </c>
      <c r="D217" s="6">
        <v>1</v>
      </c>
      <c r="E217" s="6">
        <v>3.18</v>
      </c>
      <c r="F217" s="6">
        <v>3.1424387172011663</v>
      </c>
      <c r="G217" s="6">
        <v>3.097776326530612</v>
      </c>
      <c r="H217" s="6">
        <v>3.0534871137026238</v>
      </c>
      <c r="I217" s="6">
        <v>3.009571078717201</v>
      </c>
      <c r="J217" s="6">
        <v>2.9660282215743434</v>
      </c>
      <c r="K217" s="6">
        <v>2.9228585422740521</v>
      </c>
      <c r="L217" s="6">
        <v>2.8800620408163269</v>
      </c>
    </row>
    <row r="218" spans="1:12">
      <c r="A218" t="s">
        <v>486</v>
      </c>
      <c r="B218" s="13" t="s">
        <v>117</v>
      </c>
      <c r="C218" s="6" t="s">
        <v>256</v>
      </c>
      <c r="D218" s="6">
        <v>2</v>
      </c>
      <c r="E218" s="6">
        <v>3.8159999999999998</v>
      </c>
      <c r="F218" s="6">
        <v>3.7704693177842565</v>
      </c>
      <c r="G218" s="6">
        <v>3.7157315918367346</v>
      </c>
      <c r="H218" s="6">
        <v>3.6614416793002915</v>
      </c>
      <c r="I218" s="6">
        <v>3.6075995801749268</v>
      </c>
      <c r="J218" s="6">
        <v>3.5542052944606408</v>
      </c>
      <c r="K218" s="6">
        <v>3.5012588221574346</v>
      </c>
      <c r="L218" s="6">
        <v>3.4487601632653062</v>
      </c>
    </row>
    <row r="219" spans="1:12">
      <c r="A219" t="s">
        <v>486</v>
      </c>
      <c r="B219" s="13" t="s">
        <v>117</v>
      </c>
      <c r="C219" s="6" t="s">
        <v>280</v>
      </c>
      <c r="D219" s="6">
        <v>3</v>
      </c>
      <c r="E219" s="6">
        <v>3.18</v>
      </c>
      <c r="F219" s="6">
        <v>3.1424387172011663</v>
      </c>
      <c r="G219" s="6">
        <v>3.097776326530612</v>
      </c>
      <c r="H219" s="6">
        <v>3.0534871137026238</v>
      </c>
      <c r="I219" s="6">
        <v>3.009571078717201</v>
      </c>
      <c r="J219" s="6">
        <v>2.9660282215743434</v>
      </c>
      <c r="K219" s="6">
        <v>2.9228585422740521</v>
      </c>
      <c r="L219" s="6">
        <v>2.8800620408163269</v>
      </c>
    </row>
    <row r="220" spans="1:12">
      <c r="A220" t="s">
        <v>486</v>
      </c>
      <c r="B220" s="13" t="s">
        <v>118</v>
      </c>
      <c r="C220" t="s">
        <v>15</v>
      </c>
      <c r="D220" s="6">
        <v>1</v>
      </c>
      <c r="E220" s="6">
        <v>0.62141071428571504</v>
      </c>
      <c r="F220" s="6">
        <v>0.61180591654519012</v>
      </c>
      <c r="G220" s="6">
        <v>0.59572897959183713</v>
      </c>
      <c r="H220" s="6">
        <v>0.57983787536443188</v>
      </c>
      <c r="I220" s="6">
        <v>0.56413260386297404</v>
      </c>
      <c r="J220" s="6">
        <v>0.54861316508746372</v>
      </c>
      <c r="K220" s="6">
        <v>0.53327955903790092</v>
      </c>
      <c r="L220" s="6">
        <v>0.51813178571428564</v>
      </c>
    </row>
    <row r="221" spans="1:12">
      <c r="A221" t="s">
        <v>486</v>
      </c>
      <c r="B221" s="13" t="s">
        <v>118</v>
      </c>
      <c r="C221" t="s">
        <v>130</v>
      </c>
      <c r="D221" s="6">
        <v>1</v>
      </c>
      <c r="E221" s="6">
        <v>2.4856428571428602</v>
      </c>
      <c r="F221" s="6">
        <v>2.4614814099125391</v>
      </c>
      <c r="G221" s="6">
        <v>2.432464195918369</v>
      </c>
      <c r="H221" s="6">
        <v>2.4036848478134125</v>
      </c>
      <c r="I221" s="6">
        <v>2.3751433655976686</v>
      </c>
      <c r="J221" s="6">
        <v>2.3468397492711377</v>
      </c>
      <c r="K221" s="6">
        <v>2.3187739988338194</v>
      </c>
      <c r="L221" s="6">
        <v>2.2909461142857142</v>
      </c>
    </row>
    <row r="222" spans="1:12">
      <c r="A222" t="s">
        <v>486</v>
      </c>
      <c r="B222" s="13" t="s">
        <v>118</v>
      </c>
      <c r="C222" s="6" t="s">
        <v>15</v>
      </c>
      <c r="D222" s="6">
        <v>2</v>
      </c>
      <c r="E222" s="6">
        <v>0.74569285714285793</v>
      </c>
      <c r="F222" s="6">
        <v>0.73416709985422812</v>
      </c>
      <c r="G222" s="6">
        <v>0.71487477551020462</v>
      </c>
      <c r="H222" s="6">
        <v>0.69580545043731834</v>
      </c>
      <c r="I222" s="6">
        <v>0.67695912463556884</v>
      </c>
      <c r="J222" s="6">
        <v>0.65833579810495635</v>
      </c>
      <c r="K222" s="6">
        <v>0.63993547084548119</v>
      </c>
      <c r="L222" s="6">
        <v>0.62175814285714281</v>
      </c>
    </row>
    <row r="223" spans="1:12">
      <c r="A223" t="s">
        <v>486</v>
      </c>
      <c r="B223" s="6" t="s">
        <v>118</v>
      </c>
      <c r="C223" s="6" t="s">
        <v>256</v>
      </c>
      <c r="D223" s="6">
        <v>2</v>
      </c>
      <c r="E223" s="6">
        <v>3.8159999999999998</v>
      </c>
      <c r="F223" s="6">
        <v>3.8095634285714284</v>
      </c>
      <c r="G223" s="6">
        <v>3.793472</v>
      </c>
      <c r="H223" s="6">
        <v>3.7773805714285715</v>
      </c>
      <c r="I223" s="6">
        <v>3.7612891428571427</v>
      </c>
      <c r="J223" s="6">
        <v>3.7451977142857142</v>
      </c>
      <c r="K223" s="6">
        <v>3.7291062857142854</v>
      </c>
      <c r="L223" s="6">
        <v>3.713014857142857</v>
      </c>
    </row>
    <row r="224" spans="1:12">
      <c r="A224" t="s">
        <v>486</v>
      </c>
      <c r="B224" s="6" t="s">
        <v>118</v>
      </c>
      <c r="C224" s="6" t="s">
        <v>15</v>
      </c>
      <c r="D224" s="6">
        <v>3</v>
      </c>
      <c r="E224" s="6">
        <v>0.62141071428571504</v>
      </c>
      <c r="F224" s="6">
        <v>0.61180591654519012</v>
      </c>
      <c r="G224" s="6">
        <v>0.59572897959183713</v>
      </c>
      <c r="H224" s="6">
        <v>0.57983787536443188</v>
      </c>
      <c r="I224" s="6">
        <v>0.56413260386297404</v>
      </c>
      <c r="J224" s="6">
        <v>0.54861316508746372</v>
      </c>
      <c r="K224" s="6">
        <v>0.53327955903790092</v>
      </c>
      <c r="L224" s="6">
        <v>0.51813178571428564</v>
      </c>
    </row>
    <row r="225" spans="1:12">
      <c r="A225" t="s">
        <v>486</v>
      </c>
      <c r="B225" s="6" t="s">
        <v>118</v>
      </c>
      <c r="C225" s="6" t="s">
        <v>280</v>
      </c>
      <c r="D225" s="6">
        <v>3</v>
      </c>
      <c r="E225" s="6">
        <v>2.4856428571428602</v>
      </c>
      <c r="F225" s="6">
        <v>2.4614814099125391</v>
      </c>
      <c r="G225" s="6">
        <v>2.432464195918369</v>
      </c>
      <c r="H225" s="6">
        <v>2.4036848478134125</v>
      </c>
      <c r="I225" s="6">
        <v>2.3751433655976686</v>
      </c>
      <c r="J225" s="6">
        <v>2.3468397492711377</v>
      </c>
      <c r="K225" s="6">
        <v>2.3187739988338194</v>
      </c>
      <c r="L225" s="6">
        <v>2.2909461142857142</v>
      </c>
    </row>
    <row r="226" spans="1:12">
      <c r="A226" t="s">
        <v>486</v>
      </c>
      <c r="B226" s="6" t="s">
        <v>51</v>
      </c>
      <c r="C226" s="6" t="s">
        <v>256</v>
      </c>
      <c r="D226" s="6">
        <v>1</v>
      </c>
      <c r="E226" s="6">
        <v>0.62093023255813951</v>
      </c>
      <c r="F226" s="6">
        <v>0.6105613668723302</v>
      </c>
      <c r="G226" s="6">
        <v>0.59816611295681066</v>
      </c>
      <c r="H226" s="6">
        <v>0.58587337446606547</v>
      </c>
      <c r="I226" s="6">
        <v>0.57368315140009485</v>
      </c>
      <c r="J226" s="6">
        <v>0.56159544375889892</v>
      </c>
      <c r="K226" s="6">
        <v>0.54961025154247733</v>
      </c>
      <c r="L226" s="6">
        <v>0.53772757475083055</v>
      </c>
    </row>
    <row r="227" spans="1:12">
      <c r="A227" t="s">
        <v>486</v>
      </c>
      <c r="B227" s="6" t="s">
        <v>50</v>
      </c>
      <c r="C227" t="s">
        <v>130</v>
      </c>
      <c r="D227" s="6">
        <v>1</v>
      </c>
      <c r="E227" s="6">
        <v>0.51744186046511631</v>
      </c>
      <c r="F227" s="6">
        <v>0.50880113906027524</v>
      </c>
      <c r="G227" s="6">
        <v>0.49847176079734218</v>
      </c>
      <c r="H227" s="6">
        <v>0.48822781205505456</v>
      </c>
      <c r="I227" s="6">
        <v>0.47806929283341237</v>
      </c>
      <c r="J227" s="6">
        <v>0.46799620313241574</v>
      </c>
      <c r="K227" s="6">
        <v>0.45800854295206445</v>
      </c>
      <c r="L227" s="6">
        <v>0.44810631229235881</v>
      </c>
    </row>
    <row r="228" spans="1:12">
      <c r="A228" t="s">
        <v>486</v>
      </c>
      <c r="B228" s="6" t="s">
        <v>50</v>
      </c>
      <c r="C228" s="6" t="s">
        <v>280</v>
      </c>
      <c r="D228" s="6">
        <v>2</v>
      </c>
      <c r="E228" s="6">
        <v>0.51744186046511631</v>
      </c>
      <c r="F228" s="6">
        <v>0.50880113906027524</v>
      </c>
      <c r="G228" s="6">
        <v>0.49847176079734218</v>
      </c>
      <c r="H228" s="6">
        <v>0.48822781205505456</v>
      </c>
      <c r="I228" s="6">
        <v>0.47806929283341237</v>
      </c>
      <c r="J228" s="6">
        <v>0.46799620313241574</v>
      </c>
      <c r="K228" s="6">
        <v>0.45800854295206445</v>
      </c>
      <c r="L228" s="6">
        <v>0.44810631229235881</v>
      </c>
    </row>
    <row r="229" spans="1:12">
      <c r="A229" t="s">
        <v>486</v>
      </c>
      <c r="B229" s="13" t="s">
        <v>94</v>
      </c>
      <c r="C229" t="s">
        <v>143</v>
      </c>
      <c r="D229" s="6">
        <v>1</v>
      </c>
      <c r="E229" s="6">
        <v>2.2222222222222223</v>
      </c>
      <c r="F229" s="6">
        <v>2.1707187222715172</v>
      </c>
      <c r="G229" s="6">
        <v>2.1169199594731509</v>
      </c>
      <c r="H229" s="6">
        <v>2.0656462585034014</v>
      </c>
      <c r="I229" s="6">
        <v>2.0582766439909301</v>
      </c>
      <c r="J229" s="6">
        <v>2.0096626405664306</v>
      </c>
      <c r="K229" s="6">
        <v>2.0025822573927528</v>
      </c>
      <c r="L229" s="6">
        <v>1.9955018742190753</v>
      </c>
    </row>
    <row r="230" spans="1:12">
      <c r="A230" t="s">
        <v>486</v>
      </c>
      <c r="B230" s="13" t="s">
        <v>93</v>
      </c>
      <c r="C230" s="6" t="s">
        <v>144</v>
      </c>
      <c r="D230" s="6">
        <v>1</v>
      </c>
      <c r="E230" s="6">
        <v>2.3809523809523809</v>
      </c>
      <c r="F230" s="6">
        <v>2.2188964474678761</v>
      </c>
      <c r="G230" s="6">
        <v>2.1627329192546583</v>
      </c>
      <c r="H230" s="6">
        <v>2.1092488059053407</v>
      </c>
      <c r="I230" s="6">
        <v>2.1015776523375305</v>
      </c>
      <c r="J230" s="6">
        <v>2.0939064987697207</v>
      </c>
      <c r="K230" s="6">
        <v>2.0862353452019105</v>
      </c>
      <c r="L230" s="6">
        <v>2.0785641916341007</v>
      </c>
    </row>
    <row r="231" spans="1:12">
      <c r="A231" t="s">
        <v>486</v>
      </c>
      <c r="B231" s="13" t="s">
        <v>13</v>
      </c>
      <c r="C231" s="6" t="s">
        <v>183</v>
      </c>
      <c r="D231" s="6">
        <v>1</v>
      </c>
      <c r="E231" s="6">
        <v>1.7241379310344829</v>
      </c>
      <c r="F231" s="6">
        <v>1.6648526077097507</v>
      </c>
      <c r="G231" s="6">
        <v>1.6332552693208431</v>
      </c>
      <c r="H231" s="6">
        <v>1.6028966425279791</v>
      </c>
      <c r="I231" s="6">
        <v>1.5987272328286153</v>
      </c>
      <c r="J231" s="6">
        <v>1.5945578231292519</v>
      </c>
      <c r="K231" s="6">
        <v>1.5779591836734694</v>
      </c>
      <c r="L231" s="6">
        <v>1.5617319943850556</v>
      </c>
    </row>
    <row r="232" spans="1:12">
      <c r="A232" t="s">
        <v>486</v>
      </c>
      <c r="B232" s="13" t="s">
        <v>14</v>
      </c>
      <c r="C232" s="6" t="s">
        <v>131</v>
      </c>
      <c r="D232" s="6">
        <v>1</v>
      </c>
      <c r="E232" s="6">
        <v>2.7027027027027026</v>
      </c>
      <c r="F232" s="6">
        <v>2.6980694980694979</v>
      </c>
      <c r="G232" s="6">
        <v>2.6507936507936507</v>
      </c>
      <c r="H232" s="6">
        <v>2.6049409237379164</v>
      </c>
      <c r="I232" s="6">
        <v>2.4653061224489798</v>
      </c>
      <c r="J232" s="6">
        <v>2.33961775186265</v>
      </c>
      <c r="K232" s="6">
        <v>2.3302235179786202</v>
      </c>
      <c r="L232" s="6">
        <v>2.3208292840945903</v>
      </c>
    </row>
    <row r="233" spans="1:12">
      <c r="A233" t="s">
        <v>486</v>
      </c>
      <c r="B233" s="13" t="s">
        <v>49</v>
      </c>
      <c r="C233" s="6" t="s">
        <v>130</v>
      </c>
      <c r="D233" s="6">
        <v>1</v>
      </c>
      <c r="E233" s="6">
        <v>2.6315789473684212</v>
      </c>
      <c r="F233" s="6">
        <v>2.6271392767633373</v>
      </c>
      <c r="G233" s="6">
        <v>2.6160401002506268</v>
      </c>
      <c r="H233" s="6">
        <v>2.6049409237379164</v>
      </c>
      <c r="I233" s="6">
        <v>2.593841747225206</v>
      </c>
      <c r="J233" s="6">
        <v>2.5827425707124956</v>
      </c>
      <c r="K233" s="6">
        <v>2.5716433941997856</v>
      </c>
      <c r="L233" s="6">
        <v>2.5605442176870747</v>
      </c>
    </row>
    <row r="234" spans="1:12">
      <c r="A234" t="s">
        <v>486</v>
      </c>
      <c r="B234" s="13" t="s">
        <v>150</v>
      </c>
      <c r="C234" s="6" t="s">
        <v>133</v>
      </c>
      <c r="D234" s="6">
        <v>1</v>
      </c>
      <c r="E234" s="6">
        <v>2.9411764705882351</v>
      </c>
      <c r="F234" s="6">
        <v>2.8516362642618018</v>
      </c>
      <c r="G234" s="6">
        <v>2.737780966044955</v>
      </c>
      <c r="H234" s="6">
        <v>2.6273416683746667</v>
      </c>
      <c r="I234" s="6">
        <v>2.5203183712509389</v>
      </c>
      <c r="J234" s="6">
        <v>2.4167110746737714</v>
      </c>
      <c r="K234" s="6">
        <v>2.3165197786431642</v>
      </c>
      <c r="L234" s="6">
        <v>2.2197444831591175</v>
      </c>
    </row>
    <row r="235" spans="1:12">
      <c r="A235" t="s">
        <v>486</v>
      </c>
      <c r="B235" s="13" t="s">
        <v>124</v>
      </c>
      <c r="C235" s="6" t="s">
        <v>256</v>
      </c>
      <c r="D235" s="6">
        <v>1</v>
      </c>
      <c r="E235" s="6">
        <v>1.8603351955307261</v>
      </c>
      <c r="F235" s="6">
        <v>1.8249257781324819</v>
      </c>
      <c r="G235" s="6">
        <v>1.786949720670391</v>
      </c>
      <c r="H235" s="6">
        <v>1.7493567438148445</v>
      </c>
      <c r="I235" s="6">
        <v>1.7121468475658421</v>
      </c>
      <c r="J235" s="6">
        <v>1.6753200319233839</v>
      </c>
      <c r="K235" s="6">
        <v>1.6388762968874702</v>
      </c>
      <c r="L235" s="6">
        <v>1.6028156424581008</v>
      </c>
    </row>
    <row r="236" spans="1:12">
      <c r="A236" t="s">
        <v>486</v>
      </c>
      <c r="B236" s="13" t="s">
        <v>53</v>
      </c>
      <c r="C236" s="6" t="s">
        <v>130</v>
      </c>
      <c r="D236" s="6">
        <v>1</v>
      </c>
      <c r="E236" s="6">
        <v>1.2402234636871508</v>
      </c>
      <c r="F236" s="6">
        <v>1.2173790901835595</v>
      </c>
      <c r="G236" s="6">
        <v>1.1939664804469272</v>
      </c>
      <c r="H236" s="6">
        <v>1.1708092577813247</v>
      </c>
      <c r="I236" s="6">
        <v>1.1479074221867518</v>
      </c>
      <c r="J236" s="6">
        <v>1.1252609736632082</v>
      </c>
      <c r="K236" s="6">
        <v>1.1028699122106944</v>
      </c>
      <c r="L236" s="6">
        <v>1.08073423782921</v>
      </c>
    </row>
    <row r="237" spans="1:12">
      <c r="A237" t="s">
        <v>486</v>
      </c>
      <c r="B237" s="13" t="s">
        <v>53</v>
      </c>
      <c r="C237" t="s">
        <v>280</v>
      </c>
      <c r="D237" s="6">
        <v>2</v>
      </c>
      <c r="E237" s="6">
        <v>1.2402234636871508</v>
      </c>
      <c r="F237" s="6">
        <v>1.2173790901835595</v>
      </c>
      <c r="G237" s="6">
        <v>1.1939664804469272</v>
      </c>
      <c r="H237" s="6">
        <v>1.1708092577813247</v>
      </c>
      <c r="I237" s="6">
        <v>1.1479074221867518</v>
      </c>
      <c r="J237" s="6">
        <v>1.1252609736632082</v>
      </c>
      <c r="K237" s="6">
        <v>1.1028699122106944</v>
      </c>
      <c r="L237" s="6">
        <v>1.08073423782921</v>
      </c>
    </row>
    <row r="238" spans="1:12">
      <c r="A238" t="s">
        <v>486</v>
      </c>
      <c r="B238" s="13" t="s">
        <v>125</v>
      </c>
      <c r="C238" s="6" t="s">
        <v>132</v>
      </c>
      <c r="D238" s="6">
        <v>1</v>
      </c>
      <c r="E238" s="6">
        <v>1.3022346368715083</v>
      </c>
      <c r="F238" s="6">
        <v>1.276779728651237</v>
      </c>
      <c r="G238" s="6">
        <v>1.2489245810055867</v>
      </c>
      <c r="H238" s="6">
        <v>1.2219074221867519</v>
      </c>
      <c r="I238" s="6">
        <v>1.1957282521947326</v>
      </c>
      <c r="J238" s="6">
        <v>1.1703870710295292</v>
      </c>
      <c r="K238" s="6">
        <v>1.1458838786911414</v>
      </c>
      <c r="L238" s="6">
        <v>1.1222186751795691</v>
      </c>
    </row>
    <row r="239" spans="1:12">
      <c r="A239" t="s">
        <v>486</v>
      </c>
      <c r="B239" s="13" t="s">
        <v>119</v>
      </c>
      <c r="C239" s="6" t="s">
        <v>130</v>
      </c>
      <c r="D239" s="6">
        <v>1</v>
      </c>
      <c r="E239" s="6">
        <v>0.67391304347826086</v>
      </c>
      <c r="F239" s="6">
        <v>0.65814256137237492</v>
      </c>
      <c r="G239" s="6">
        <v>0.6402245226593053</v>
      </c>
      <c r="H239" s="6">
        <v>0.62246948634526278</v>
      </c>
      <c r="I239" s="6">
        <v>0.60487745243024749</v>
      </c>
      <c r="J239" s="6">
        <v>0.58744842091425942</v>
      </c>
      <c r="K239" s="6">
        <v>0.57018239179729868</v>
      </c>
      <c r="L239" s="6">
        <v>0.55307936507936517</v>
      </c>
    </row>
    <row r="240" spans="1:12">
      <c r="A240" t="s">
        <v>486</v>
      </c>
      <c r="B240" s="13" t="s">
        <v>119</v>
      </c>
      <c r="C240" s="6" t="s">
        <v>256</v>
      </c>
      <c r="D240" s="6">
        <v>2</v>
      </c>
      <c r="E240" s="6">
        <v>0.80869565217391304</v>
      </c>
      <c r="F240" s="6">
        <v>0.78977107364684995</v>
      </c>
      <c r="G240" s="6">
        <v>0.76826942719116631</v>
      </c>
      <c r="H240" s="6">
        <v>0.74696338361431525</v>
      </c>
      <c r="I240" s="6">
        <v>0.72585294291629698</v>
      </c>
      <c r="J240" s="6">
        <v>0.7049381050971113</v>
      </c>
      <c r="K240" s="6">
        <v>0.68421887015675842</v>
      </c>
      <c r="L240" s="6">
        <v>0.66369523809523823</v>
      </c>
    </row>
    <row r="241" spans="1:12">
      <c r="A241" t="s">
        <v>486</v>
      </c>
      <c r="B241" s="13" t="s">
        <v>119</v>
      </c>
      <c r="C241" t="s">
        <v>280</v>
      </c>
      <c r="D241" s="6">
        <v>3</v>
      </c>
      <c r="E241" s="6">
        <v>0.67391304347826086</v>
      </c>
      <c r="F241" s="6">
        <v>0.65814256137237492</v>
      </c>
      <c r="G241" s="6">
        <v>0.6402245226593053</v>
      </c>
      <c r="H241" s="6">
        <v>0.62246948634526278</v>
      </c>
      <c r="I241" s="6">
        <v>0.60487745243024749</v>
      </c>
      <c r="J241" s="6">
        <v>0.58744842091425942</v>
      </c>
      <c r="K241" s="6">
        <v>0.57018239179729868</v>
      </c>
      <c r="L241" s="6">
        <v>0.55307936507936517</v>
      </c>
    </row>
    <row r="242" spans="1:12">
      <c r="A242" t="s">
        <v>486</v>
      </c>
      <c r="B242" s="6" t="s">
        <v>120</v>
      </c>
      <c r="C242" s="6" t="s">
        <v>15</v>
      </c>
      <c r="D242" s="6">
        <v>1</v>
      </c>
      <c r="E242" s="6">
        <v>0.375</v>
      </c>
      <c r="F242" s="6">
        <v>0.36345663265306122</v>
      </c>
      <c r="G242" s="6">
        <v>0.34821428571428564</v>
      </c>
      <c r="H242" s="6">
        <v>0.33329081632653063</v>
      </c>
      <c r="I242" s="6">
        <v>0.31868622448979589</v>
      </c>
      <c r="J242" s="6">
        <v>0.3044005102040816</v>
      </c>
      <c r="K242" s="6">
        <v>0.29043367346938775</v>
      </c>
      <c r="L242" s="6">
        <v>0.2767857142857143</v>
      </c>
    </row>
    <row r="243" spans="1:12">
      <c r="A243" t="s">
        <v>486</v>
      </c>
      <c r="B243" s="6" t="s">
        <v>55</v>
      </c>
      <c r="C243" s="6" t="s">
        <v>15</v>
      </c>
      <c r="D243" s="6">
        <v>1</v>
      </c>
      <c r="E243" s="6">
        <v>0.45999999999999996</v>
      </c>
      <c r="F243" s="6">
        <v>0.35742857142857148</v>
      </c>
      <c r="G243" s="6">
        <v>0.31850000000000001</v>
      </c>
      <c r="H243" s="6">
        <v>0.30469047619047623</v>
      </c>
      <c r="I243" s="6">
        <v>0.29509226190476195</v>
      </c>
      <c r="J243" s="6">
        <v>0.2875625</v>
      </c>
      <c r="K243" s="6">
        <v>0.28104836309523812</v>
      </c>
      <c r="L243" s="6">
        <v>0.27457142857142858</v>
      </c>
    </row>
    <row r="244" spans="1:12">
      <c r="A244" t="s">
        <v>486</v>
      </c>
      <c r="B244" s="6" t="s">
        <v>114</v>
      </c>
      <c r="C244" s="6" t="s">
        <v>132</v>
      </c>
      <c r="D244" s="6">
        <v>1</v>
      </c>
      <c r="E244" s="6">
        <v>0.45333333333333337</v>
      </c>
      <c r="F244" s="6">
        <v>0.42834693877551022</v>
      </c>
      <c r="G244" s="6">
        <v>0.39928571428571424</v>
      </c>
      <c r="H244" s="6">
        <v>0.37100680272108844</v>
      </c>
      <c r="I244" s="6">
        <v>0.34351020408163258</v>
      </c>
      <c r="J244" s="6">
        <v>0.31679591836734688</v>
      </c>
      <c r="K244" s="6">
        <v>0.29086394557823125</v>
      </c>
      <c r="L244" s="6">
        <v>0.26571428571428568</v>
      </c>
    </row>
    <row r="245" spans="1:12">
      <c r="A245" t="s">
        <v>486</v>
      </c>
      <c r="B245" s="6" t="s">
        <v>54</v>
      </c>
      <c r="C245" s="6" t="s">
        <v>130</v>
      </c>
      <c r="D245" s="6">
        <v>1</v>
      </c>
      <c r="E245" s="6">
        <v>1.4266666666666667</v>
      </c>
      <c r="F245" s="6">
        <v>1.3748555102040816</v>
      </c>
      <c r="G245" s="6">
        <v>1.3221638095238097</v>
      </c>
      <c r="H245" s="6">
        <v>1.2700544217687075</v>
      </c>
      <c r="I245" s="6">
        <v>1.2185273469387754</v>
      </c>
      <c r="J245" s="6">
        <v>1.1675825850340138</v>
      </c>
      <c r="K245" s="6">
        <v>1.1172201360544218</v>
      </c>
      <c r="L245" s="6">
        <v>1.0674399999999999</v>
      </c>
    </row>
    <row r="246" spans="1:12">
      <c r="A246" t="s">
        <v>486</v>
      </c>
      <c r="B246" s="6" t="s">
        <v>54</v>
      </c>
      <c r="C246" s="6" t="s">
        <v>256</v>
      </c>
      <c r="D246" s="6">
        <v>2</v>
      </c>
      <c r="E246" s="6">
        <v>1.712</v>
      </c>
      <c r="F246" s="6">
        <v>1.7103725714285714</v>
      </c>
      <c r="G246" s="6">
        <v>1.7063039999999998</v>
      </c>
      <c r="H246" s="6">
        <v>1.7022354285714285</v>
      </c>
      <c r="I246" s="6">
        <v>1.6981668571428572</v>
      </c>
      <c r="J246" s="6">
        <v>1.6940982857142857</v>
      </c>
      <c r="K246" s="6">
        <v>1.6900297142857141</v>
      </c>
      <c r="L246" s="6">
        <v>1.6859611428571428</v>
      </c>
    </row>
    <row r="247" spans="1:12">
      <c r="A247" t="s">
        <v>486</v>
      </c>
      <c r="B247" s="6" t="s">
        <v>54</v>
      </c>
      <c r="C247" s="6" t="s">
        <v>280</v>
      </c>
      <c r="D247" s="6">
        <v>3</v>
      </c>
      <c r="E247" s="6">
        <v>1.4266666666666667</v>
      </c>
      <c r="F247" s="6">
        <v>1.3748555102040816</v>
      </c>
      <c r="G247" s="6">
        <v>1.3221638095238097</v>
      </c>
      <c r="H247" s="6">
        <v>1.2700544217687075</v>
      </c>
      <c r="I247" s="6">
        <v>1.2185273469387754</v>
      </c>
      <c r="J247" s="6">
        <v>1.1675825850340138</v>
      </c>
      <c r="K247" s="6">
        <v>1.1172201360544218</v>
      </c>
      <c r="L247" s="6">
        <v>1.0674399999999999</v>
      </c>
    </row>
    <row r="248" spans="1:12">
      <c r="A248" t="s">
        <v>486</v>
      </c>
      <c r="B248" s="6" t="s">
        <v>115</v>
      </c>
      <c r="C248" s="6" t="s">
        <v>15</v>
      </c>
      <c r="D248" s="6">
        <v>1</v>
      </c>
      <c r="E248" s="6">
        <v>0.19600000000000001</v>
      </c>
      <c r="F248" s="6">
        <v>0.14760476190476191</v>
      </c>
      <c r="G248" s="6">
        <v>0.12956666666666666</v>
      </c>
      <c r="H248" s="6">
        <v>0.12341825396825397</v>
      </c>
      <c r="I248" s="6">
        <v>0.11926319444444443</v>
      </c>
      <c r="J248" s="6">
        <v>0.11608720238095237</v>
      </c>
      <c r="K248" s="6">
        <v>0.113391939484127</v>
      </c>
      <c r="L248" s="6">
        <v>0.11071428571428571</v>
      </c>
    </row>
    <row r="249" spans="1:12">
      <c r="A249" t="s">
        <v>486</v>
      </c>
      <c r="B249" t="s">
        <v>115</v>
      </c>
      <c r="C249" s="6" t="s">
        <v>130</v>
      </c>
      <c r="D249" s="6">
        <v>1</v>
      </c>
      <c r="E249" s="6">
        <v>0.78400000000000003</v>
      </c>
      <c r="F249" s="6">
        <v>0.5933074285714286</v>
      </c>
      <c r="G249" s="6">
        <v>0.52730311111111106</v>
      </c>
      <c r="H249" s="6">
        <v>0.50870425396825403</v>
      </c>
      <c r="I249" s="6">
        <v>0.49802133333333326</v>
      </c>
      <c r="J249" s="6">
        <v>0.49127384126984125</v>
      </c>
      <c r="K249" s="6">
        <v>0.48648279365079367</v>
      </c>
      <c r="L249" s="6">
        <v>0.48171428571428571</v>
      </c>
    </row>
    <row r="250" spans="1:12">
      <c r="A250" t="s">
        <v>486</v>
      </c>
      <c r="B250" t="s">
        <v>115</v>
      </c>
      <c r="C250" s="6" t="s">
        <v>15</v>
      </c>
      <c r="D250" s="6">
        <v>2</v>
      </c>
      <c r="E250" s="6">
        <v>0.23519999999999999</v>
      </c>
      <c r="F250" s="6">
        <v>0.1771257142857143</v>
      </c>
      <c r="G250" s="6">
        <v>0.15548000000000001</v>
      </c>
      <c r="H250" s="6">
        <v>0.14810190476190477</v>
      </c>
      <c r="I250" s="6">
        <v>0.1431158333333333</v>
      </c>
      <c r="J250" s="6">
        <v>0.13930464285714286</v>
      </c>
      <c r="K250" s="6">
        <v>0.1360703273809524</v>
      </c>
      <c r="L250" s="6">
        <v>0.13285714285714284</v>
      </c>
    </row>
    <row r="251" spans="1:12">
      <c r="A251" t="s">
        <v>486</v>
      </c>
      <c r="B251" t="s">
        <v>115</v>
      </c>
      <c r="C251" t="s">
        <v>256</v>
      </c>
      <c r="D251" s="6">
        <v>2</v>
      </c>
      <c r="E251" s="6">
        <v>0.94079999999999997</v>
      </c>
      <c r="F251" s="6">
        <v>0.71196891428571429</v>
      </c>
      <c r="G251" s="6">
        <v>0.63276373333333336</v>
      </c>
      <c r="H251" s="6">
        <v>0.61044510476190483</v>
      </c>
      <c r="I251" s="6">
        <v>0.59762559999999987</v>
      </c>
      <c r="J251" s="6">
        <v>0.58952860952380959</v>
      </c>
      <c r="K251" s="6">
        <v>0.58377935238095235</v>
      </c>
      <c r="L251" s="6">
        <v>0.57805714285714282</v>
      </c>
    </row>
    <row r="252" spans="1:12">
      <c r="A252" t="s">
        <v>486</v>
      </c>
      <c r="B252" t="s">
        <v>115</v>
      </c>
      <c r="C252" t="s">
        <v>15</v>
      </c>
      <c r="D252" s="6">
        <v>3</v>
      </c>
      <c r="E252" s="6">
        <v>0.19600000000000001</v>
      </c>
      <c r="F252" s="6">
        <v>0.14760476190476191</v>
      </c>
      <c r="G252" s="6">
        <v>0.12956666666666666</v>
      </c>
      <c r="H252" s="6">
        <v>0.12341825396825397</v>
      </c>
      <c r="I252" s="6">
        <v>0.11926319444444443</v>
      </c>
      <c r="J252" s="6">
        <v>0.11608720238095237</v>
      </c>
      <c r="K252" s="6">
        <v>0.113391939484127</v>
      </c>
      <c r="L252" s="6">
        <v>0.11071428571428571</v>
      </c>
    </row>
    <row r="253" spans="1:12">
      <c r="A253" t="s">
        <v>486</v>
      </c>
      <c r="B253" s="6" t="s">
        <v>115</v>
      </c>
      <c r="C253" t="s">
        <v>280</v>
      </c>
      <c r="D253" s="6">
        <v>3</v>
      </c>
      <c r="E253" s="6">
        <v>0.78400000000000003</v>
      </c>
      <c r="F253" s="6">
        <v>0.5933074285714286</v>
      </c>
      <c r="G253" s="6">
        <v>0.52730311111111106</v>
      </c>
      <c r="H253" s="6">
        <v>0.50870425396825403</v>
      </c>
      <c r="I253" s="6">
        <v>0.49802133333333326</v>
      </c>
      <c r="J253" s="6">
        <v>0.49127384126984125</v>
      </c>
      <c r="K253" s="6">
        <v>0.48648279365079367</v>
      </c>
      <c r="L253" s="6">
        <v>0.48171428571428571</v>
      </c>
    </row>
    <row r="254" spans="1:12">
      <c r="A254" t="s">
        <v>486</v>
      </c>
      <c r="B254" s="6" t="s">
        <v>112</v>
      </c>
      <c r="C254" t="s">
        <v>15</v>
      </c>
      <c r="D254" s="6">
        <v>1</v>
      </c>
      <c r="E254" s="6">
        <v>1.5625</v>
      </c>
      <c r="F254" s="6">
        <v>1.3587606561611985</v>
      </c>
      <c r="G254" s="6">
        <v>1.2817133815551536</v>
      </c>
      <c r="H254" s="6">
        <v>1.2546504994402823</v>
      </c>
      <c r="I254" s="6">
        <v>1.2360304723155084</v>
      </c>
      <c r="J254" s="6">
        <v>1.2214636883234307</v>
      </c>
      <c r="K254" s="6">
        <v>1.2088394337165247</v>
      </c>
      <c r="L254" s="6">
        <v>1.1963833634719709</v>
      </c>
    </row>
    <row r="255" spans="1:12">
      <c r="A255" t="s">
        <v>486</v>
      </c>
      <c r="B255" s="6" t="s">
        <v>113</v>
      </c>
      <c r="C255" t="s">
        <v>132</v>
      </c>
      <c r="D255" s="6">
        <v>1</v>
      </c>
      <c r="E255" s="6">
        <v>2.1276595744680851</v>
      </c>
      <c r="F255" s="6">
        <v>2.0656462585034014</v>
      </c>
      <c r="G255" s="6">
        <v>1.98134110787172</v>
      </c>
      <c r="H255" s="6">
        <v>1.9020408163265308</v>
      </c>
      <c r="I255" s="6">
        <v>1.84417053950293</v>
      </c>
      <c r="J255" s="6">
        <v>1.7882352941176469</v>
      </c>
      <c r="K255" s="6">
        <v>1.7490196078431373</v>
      </c>
      <c r="L255" s="6">
        <v>1.7098039215686274</v>
      </c>
    </row>
    <row r="256" spans="1:12">
      <c r="A256" t="s">
        <v>486</v>
      </c>
      <c r="B256" s="6" t="s">
        <v>113</v>
      </c>
      <c r="C256" t="s">
        <v>132</v>
      </c>
      <c r="D256" s="6">
        <v>2</v>
      </c>
      <c r="E256" s="6">
        <v>2.7027027027027026</v>
      </c>
      <c r="F256" s="6">
        <v>2.6049409237379164</v>
      </c>
      <c r="G256" s="6">
        <v>2.5061224489795917</v>
      </c>
      <c r="H256" s="6">
        <v>2.4108843537414968</v>
      </c>
      <c r="I256" s="6">
        <v>2.3190906742443813</v>
      </c>
      <c r="J256" s="6">
        <v>2.2306122448979591</v>
      </c>
      <c r="K256" s="6">
        <v>2.1693877551020408</v>
      </c>
      <c r="L256" s="6">
        <v>2.1081632653061222</v>
      </c>
    </row>
    <row r="257" spans="1:12">
      <c r="A257" t="s">
        <v>486</v>
      </c>
      <c r="B257" s="6" t="s">
        <v>149</v>
      </c>
      <c r="C257" t="s">
        <v>132</v>
      </c>
      <c r="D257" s="6">
        <v>1</v>
      </c>
      <c r="E257" s="6">
        <v>1.6666666666666667</v>
      </c>
      <c r="F257" s="6">
        <v>1.6040740600507364</v>
      </c>
      <c r="G257" s="6">
        <v>1.5294460641399417</v>
      </c>
      <c r="H257" s="6">
        <v>1.4591092095465272</v>
      </c>
      <c r="I257" s="6">
        <v>1.3930634962704933</v>
      </c>
      <c r="J257" s="6">
        <v>1.3313089243118397</v>
      </c>
      <c r="K257" s="6">
        <v>1.2738454936705665</v>
      </c>
      <c r="L257" s="6">
        <v>1.2206732043466737</v>
      </c>
    </row>
    <row r="258" spans="1:12">
      <c r="A258" t="s">
        <v>486</v>
      </c>
      <c r="B258" s="6" t="s">
        <v>149</v>
      </c>
      <c r="C258" t="s">
        <v>133</v>
      </c>
      <c r="D258" s="6">
        <v>2</v>
      </c>
      <c r="E258" s="6">
        <v>2.5641025641025639</v>
      </c>
      <c r="F258" s="6">
        <v>2.3776061776061774</v>
      </c>
      <c r="G258" s="6">
        <v>2.1770154770154768</v>
      </c>
      <c r="H258" s="6">
        <v>1.9846747846747841</v>
      </c>
      <c r="I258" s="6">
        <v>1.8005841005841006</v>
      </c>
      <c r="J258" s="6">
        <v>1.6247434247434247</v>
      </c>
      <c r="K258" s="6">
        <v>1.4571527571527572</v>
      </c>
      <c r="L258" s="6">
        <v>1.2978120978120977</v>
      </c>
    </row>
    <row r="259" spans="1:12">
      <c r="A259" t="s">
        <v>486</v>
      </c>
      <c r="B259" t="s">
        <v>179</v>
      </c>
      <c r="C259" t="s">
        <v>133</v>
      </c>
      <c r="D259">
        <v>1</v>
      </c>
      <c r="E259" s="6">
        <v>3.3333333333333335</v>
      </c>
      <c r="F259" s="6">
        <v>3.1047619047619048</v>
      </c>
      <c r="G259" s="6">
        <v>3.0076923076923077</v>
      </c>
      <c r="H259" s="6">
        <v>2.9142857142857141</v>
      </c>
      <c r="I259" s="6">
        <v>2.824378109452736</v>
      </c>
      <c r="J259" s="6">
        <v>2.7378151260504202</v>
      </c>
      <c r="K259" s="6">
        <v>2.6544513457556942</v>
      </c>
      <c r="L259" s="6">
        <v>2.5741496598639455</v>
      </c>
    </row>
    <row r="260" spans="1:12">
      <c r="A260" t="s">
        <v>486</v>
      </c>
      <c r="B260" t="s">
        <v>180</v>
      </c>
      <c r="C260" t="s">
        <v>133</v>
      </c>
      <c r="D260">
        <v>1</v>
      </c>
      <c r="E260" s="6">
        <v>2.9411764705882351</v>
      </c>
      <c r="F260" s="6">
        <v>2.8394557823129256</v>
      </c>
      <c r="G260" s="6">
        <v>2.7563380281690142</v>
      </c>
      <c r="H260" s="6">
        <v>1.6285714285714286</v>
      </c>
      <c r="I260" s="6">
        <v>2.5648648648648651</v>
      </c>
      <c r="J260" s="6">
        <v>2.4606516290726819</v>
      </c>
      <c r="K260" s="6">
        <v>2.4218045112781956</v>
      </c>
      <c r="L260" s="6">
        <v>2.3829573934837094</v>
      </c>
    </row>
    <row r="261" spans="1:12">
      <c r="A261" t="s">
        <v>486</v>
      </c>
      <c r="B261" t="s">
        <v>97</v>
      </c>
      <c r="C261" t="s">
        <v>184</v>
      </c>
      <c r="D261">
        <v>2</v>
      </c>
      <c r="E261" s="6">
        <v>1.7543859649122808</v>
      </c>
      <c r="F261" s="6">
        <v>1.6930243283754183</v>
      </c>
      <c r="G261" s="6">
        <v>1.6603174603174604</v>
      </c>
      <c r="H261" s="6">
        <v>1.6289059886249584</v>
      </c>
      <c r="I261" s="6">
        <v>1.6115369725125821</v>
      </c>
      <c r="J261" s="6">
        <v>1.5945578231292519</v>
      </c>
      <c r="K261" s="6">
        <v>1.5779591836734694</v>
      </c>
      <c r="L261" s="6">
        <v>1.5617319943850556</v>
      </c>
    </row>
    <row r="262" spans="1:12">
      <c r="A262" t="s">
        <v>486</v>
      </c>
      <c r="B262" t="s">
        <v>103</v>
      </c>
      <c r="C262" t="s">
        <v>184</v>
      </c>
      <c r="D262">
        <v>2</v>
      </c>
      <c r="E262" s="6">
        <v>1.1111111111111112</v>
      </c>
      <c r="F262" s="6">
        <v>1.1108087679516252</v>
      </c>
      <c r="G262" s="6">
        <v>1.1100529100529102</v>
      </c>
      <c r="H262" s="6">
        <v>1.1092970521541952</v>
      </c>
      <c r="I262" s="6">
        <v>1.1085411942554799</v>
      </c>
      <c r="J262" s="6">
        <v>1.1077853363567649</v>
      </c>
      <c r="K262" s="6">
        <v>1.1070294784580499</v>
      </c>
      <c r="L262" s="6">
        <v>1.1062736205593349</v>
      </c>
    </row>
    <row r="263" spans="1:12">
      <c r="A263" t="s">
        <v>486</v>
      </c>
      <c r="B263" t="s">
        <v>109</v>
      </c>
      <c r="C263" s="6" t="s">
        <v>184</v>
      </c>
      <c r="D263">
        <v>2</v>
      </c>
      <c r="E263" s="6">
        <v>1.1111111111111112</v>
      </c>
      <c r="F263" s="6">
        <v>1.1108087679516252</v>
      </c>
      <c r="G263" s="6">
        <v>1.1100529100529102</v>
      </c>
      <c r="H263" s="6">
        <v>1.1092970521541952</v>
      </c>
      <c r="I263" s="6">
        <v>1.1085411942554799</v>
      </c>
      <c r="J263" s="6">
        <v>1.1077853363567649</v>
      </c>
      <c r="K263" s="6">
        <v>1.1070294784580499</v>
      </c>
      <c r="L263" s="6">
        <v>1.1062736205593349</v>
      </c>
    </row>
    <row r="264" spans="1:12">
      <c r="A264" t="s">
        <v>486</v>
      </c>
      <c r="B264" t="s">
        <v>13</v>
      </c>
      <c r="C264" s="6" t="s">
        <v>184</v>
      </c>
      <c r="D264">
        <v>2</v>
      </c>
      <c r="E264" s="6">
        <v>1.7241379310344829</v>
      </c>
      <c r="F264" s="6">
        <v>1.6648526077097507</v>
      </c>
      <c r="G264" s="6">
        <v>1.6332552693208431</v>
      </c>
      <c r="H264" s="6">
        <v>1.6028966425279791</v>
      </c>
      <c r="I264" s="6">
        <v>1.5987272328286153</v>
      </c>
      <c r="J264" s="6">
        <v>1.5945578231292519</v>
      </c>
      <c r="K264" s="6">
        <v>1.5779591836734694</v>
      </c>
      <c r="L264" s="6">
        <v>1.5617319943850556</v>
      </c>
    </row>
    <row r="265" spans="1:12">
      <c r="A265" t="s">
        <v>486</v>
      </c>
      <c r="B265" t="s">
        <v>97</v>
      </c>
      <c r="C265" s="6" t="s">
        <v>185</v>
      </c>
      <c r="D265">
        <v>3</v>
      </c>
      <c r="E265" s="6">
        <v>1.7543859649122808</v>
      </c>
      <c r="F265" s="6">
        <v>1.6930243283754183</v>
      </c>
      <c r="G265" s="6">
        <v>1.6603174603174604</v>
      </c>
      <c r="H265" s="6">
        <v>1.6289059886249584</v>
      </c>
      <c r="I265" s="6">
        <v>1.6115369725125821</v>
      </c>
      <c r="J265" s="6">
        <v>1.5945578231292519</v>
      </c>
      <c r="K265" s="6">
        <v>1.5779591836734694</v>
      </c>
      <c r="L265" s="6">
        <v>1.5617319943850556</v>
      </c>
    </row>
    <row r="266" spans="1:12">
      <c r="A266" t="s">
        <v>486</v>
      </c>
      <c r="B266" t="s">
        <v>103</v>
      </c>
      <c r="C266" s="6" t="s">
        <v>185</v>
      </c>
      <c r="D266">
        <v>3</v>
      </c>
      <c r="E266" s="6">
        <v>1.1111111111111112</v>
      </c>
      <c r="F266" s="6">
        <v>1.1108087679516252</v>
      </c>
      <c r="G266" s="6">
        <v>1.1100529100529102</v>
      </c>
      <c r="H266" s="6">
        <v>1.1092970521541952</v>
      </c>
      <c r="I266" s="6">
        <v>1.1085411942554799</v>
      </c>
      <c r="J266" s="6">
        <v>1.1077853363567649</v>
      </c>
      <c r="K266" s="6">
        <v>1.1070294784580499</v>
      </c>
      <c r="L266" s="6">
        <v>1.1062736205593349</v>
      </c>
    </row>
    <row r="267" spans="1:12">
      <c r="A267" t="s">
        <v>486</v>
      </c>
      <c r="B267" t="s">
        <v>109</v>
      </c>
      <c r="C267" s="6" t="s">
        <v>185</v>
      </c>
      <c r="D267">
        <v>3</v>
      </c>
      <c r="E267" s="6">
        <v>1.1111111111111112</v>
      </c>
      <c r="F267" s="6">
        <v>1.1108087679516252</v>
      </c>
      <c r="G267" s="6">
        <v>1.1100529100529102</v>
      </c>
      <c r="H267" s="6">
        <v>1.1092970521541952</v>
      </c>
      <c r="I267" s="6">
        <v>1.1085411942554799</v>
      </c>
      <c r="J267" s="6">
        <v>1.1077853363567649</v>
      </c>
      <c r="K267" s="6">
        <v>1.1070294784580499</v>
      </c>
      <c r="L267" s="6">
        <v>1.1062736205593349</v>
      </c>
    </row>
    <row r="268" spans="1:12">
      <c r="A268" t="s">
        <v>486</v>
      </c>
      <c r="B268" t="s">
        <v>13</v>
      </c>
      <c r="C268" s="6" t="s">
        <v>185</v>
      </c>
      <c r="D268">
        <v>3</v>
      </c>
      <c r="E268" s="6">
        <v>1.7241379310344829</v>
      </c>
      <c r="F268" s="6">
        <v>1.6648526077097507</v>
      </c>
      <c r="G268" s="6">
        <v>1.6332552693208431</v>
      </c>
      <c r="H268" s="6">
        <v>1.6028966425279791</v>
      </c>
      <c r="I268" s="6">
        <v>1.5987272328286153</v>
      </c>
      <c r="J268" s="6">
        <v>1.5945578231292519</v>
      </c>
      <c r="K268" s="6">
        <v>1.5779591836734694</v>
      </c>
      <c r="L268" s="6">
        <v>1.5617319943850556</v>
      </c>
    </row>
    <row r="269" spans="1:12">
      <c r="A269" t="s">
        <v>486</v>
      </c>
      <c r="B269" t="s">
        <v>205</v>
      </c>
      <c r="C269" t="s">
        <v>183</v>
      </c>
      <c r="D269">
        <v>1</v>
      </c>
      <c r="E269" s="6">
        <v>1.1111111111111112</v>
      </c>
      <c r="F269" s="6">
        <v>1.1108087679516252</v>
      </c>
      <c r="G269" s="6">
        <v>1.1100529100529102</v>
      </c>
      <c r="H269" s="6">
        <v>1.1092970521541952</v>
      </c>
      <c r="I269" s="6">
        <v>1.1085411942554799</v>
      </c>
      <c r="J269" s="6">
        <v>1.1077853363567649</v>
      </c>
      <c r="K269" s="6">
        <v>1.1070294784580499</v>
      </c>
      <c r="L269" s="6">
        <v>1.1062736205593349</v>
      </c>
    </row>
    <row r="270" spans="1:12">
      <c r="A270" t="s">
        <v>486</v>
      </c>
      <c r="B270" t="s">
        <v>205</v>
      </c>
      <c r="C270" s="6" t="s">
        <v>184</v>
      </c>
      <c r="D270" s="6">
        <v>2</v>
      </c>
      <c r="E270" s="6">
        <v>1.1111111111111112</v>
      </c>
      <c r="F270" s="6">
        <v>1.1108087679516252</v>
      </c>
      <c r="G270" s="6">
        <v>1.1100529100529102</v>
      </c>
      <c r="H270" s="6">
        <v>1.1092970521541952</v>
      </c>
      <c r="I270" s="6">
        <v>1.1085411942554799</v>
      </c>
      <c r="J270" s="6">
        <v>1.1077853363567649</v>
      </c>
      <c r="K270" s="6">
        <v>1.1070294784580499</v>
      </c>
      <c r="L270" s="6">
        <v>1.1062736205593349</v>
      </c>
    </row>
    <row r="271" spans="1:12">
      <c r="A271" t="s">
        <v>486</v>
      </c>
      <c r="B271" t="s">
        <v>205</v>
      </c>
      <c r="C271" t="s">
        <v>185</v>
      </c>
      <c r="D271">
        <v>3</v>
      </c>
      <c r="E271" s="6">
        <v>1.1111111111111112</v>
      </c>
      <c r="F271" s="6">
        <v>1.1108087679516252</v>
      </c>
      <c r="G271" s="6">
        <v>1.1100529100529102</v>
      </c>
      <c r="H271" s="6">
        <v>1.1092970521541952</v>
      </c>
      <c r="I271" s="6">
        <v>1.1085411942554799</v>
      </c>
      <c r="J271" s="6">
        <v>1.1077853363567649</v>
      </c>
      <c r="K271" s="6">
        <v>1.1070294784580499</v>
      </c>
      <c r="L271" s="6">
        <v>1.1062736205593349</v>
      </c>
    </row>
    <row r="272" spans="1:12">
      <c r="A272" t="s">
        <v>486</v>
      </c>
      <c r="B272" t="s">
        <v>192</v>
      </c>
      <c r="C272" t="s">
        <v>183</v>
      </c>
      <c r="D272">
        <v>1</v>
      </c>
      <c r="E272" s="6">
        <v>1.2195121951219512</v>
      </c>
      <c r="F272" s="6">
        <v>1.2189148830263812</v>
      </c>
      <c r="G272" s="6">
        <v>1.2174216027874565</v>
      </c>
      <c r="H272" s="6">
        <v>1.2159283225485316</v>
      </c>
      <c r="I272" s="6">
        <v>1.2144350423096069</v>
      </c>
      <c r="J272" s="6">
        <v>1.2129417620706819</v>
      </c>
      <c r="K272" s="6">
        <v>1.211448481831757</v>
      </c>
      <c r="L272" s="6">
        <v>1.2099552015928323</v>
      </c>
    </row>
    <row r="273" spans="1:12">
      <c r="A273" t="s">
        <v>486</v>
      </c>
      <c r="B273" t="s">
        <v>192</v>
      </c>
      <c r="C273" t="s">
        <v>184</v>
      </c>
      <c r="D273">
        <v>2</v>
      </c>
      <c r="E273" s="6">
        <v>1.2195121951219512</v>
      </c>
      <c r="F273" s="6">
        <v>1.2189148830263812</v>
      </c>
      <c r="G273" s="6">
        <v>1.2174216027874565</v>
      </c>
      <c r="H273" s="6">
        <v>1.2159283225485316</v>
      </c>
      <c r="I273" s="6">
        <v>1.2144350423096069</v>
      </c>
      <c r="J273" s="6">
        <v>1.2129417620706819</v>
      </c>
      <c r="K273" s="6">
        <v>1.211448481831757</v>
      </c>
      <c r="L273" s="6">
        <v>1.2099552015928323</v>
      </c>
    </row>
    <row r="274" spans="1:12">
      <c r="A274" t="s">
        <v>486</v>
      </c>
      <c r="B274" t="s">
        <v>192</v>
      </c>
      <c r="C274" s="6" t="s">
        <v>185</v>
      </c>
      <c r="D274">
        <v>3</v>
      </c>
      <c r="E274" s="6">
        <v>1.2195121951219512</v>
      </c>
      <c r="F274" s="6">
        <v>1.2189148830263812</v>
      </c>
      <c r="G274" s="6">
        <v>1.2174216027874565</v>
      </c>
      <c r="H274" s="6">
        <v>1.2159283225485316</v>
      </c>
      <c r="I274" s="6">
        <v>1.2144350423096069</v>
      </c>
      <c r="J274" s="6">
        <v>1.2129417620706819</v>
      </c>
      <c r="K274" s="6">
        <v>1.211448481831757</v>
      </c>
      <c r="L274" s="6">
        <v>1.2099552015928323</v>
      </c>
    </row>
    <row r="275" spans="1:12">
      <c r="A275" t="s">
        <v>486</v>
      </c>
      <c r="B275" t="s">
        <v>187</v>
      </c>
      <c r="C275" t="s">
        <v>133</v>
      </c>
      <c r="D275">
        <v>1</v>
      </c>
      <c r="E275" s="6">
        <v>1.25</v>
      </c>
      <c r="F275" s="6">
        <v>1.2476190476190476</v>
      </c>
      <c r="G275" s="6">
        <v>1.2416666666666667</v>
      </c>
      <c r="H275" s="6">
        <v>1.2357142857142858</v>
      </c>
      <c r="I275" s="6">
        <v>1.2297619047619048</v>
      </c>
      <c r="J275" s="6">
        <v>1.2238095238095239</v>
      </c>
      <c r="K275" s="6">
        <v>1.217857142857143</v>
      </c>
      <c r="L275" s="6">
        <v>1.2119047619047618</v>
      </c>
    </row>
    <row r="276" spans="1:12">
      <c r="A276" t="s">
        <v>486</v>
      </c>
      <c r="B276" t="s">
        <v>191</v>
      </c>
      <c r="C276" t="s">
        <v>133</v>
      </c>
      <c r="D276">
        <v>1</v>
      </c>
      <c r="E276" s="6">
        <v>1.5384615384615383</v>
      </c>
      <c r="F276" s="6">
        <v>1.5333333333333332</v>
      </c>
      <c r="G276" s="6">
        <v>1.5205128205128204</v>
      </c>
      <c r="H276" s="6">
        <v>1.5076923076923077</v>
      </c>
      <c r="I276" s="6">
        <v>1.4948717948717949</v>
      </c>
      <c r="J276" s="6">
        <v>1.4820512820512819</v>
      </c>
      <c r="K276" s="6">
        <v>1.4692307692307691</v>
      </c>
      <c r="L276" s="6">
        <v>1.4564102564102563</v>
      </c>
    </row>
    <row r="277" spans="1:12">
      <c r="A277" t="s">
        <v>486</v>
      </c>
      <c r="B277" t="s">
        <v>188</v>
      </c>
      <c r="C277" t="s">
        <v>143</v>
      </c>
      <c r="D277">
        <v>1</v>
      </c>
      <c r="E277" s="6">
        <v>1.3333333333333333</v>
      </c>
      <c r="F277" s="6">
        <v>1.3324263038548751</v>
      </c>
      <c r="G277" s="6">
        <v>1.3301587301587301</v>
      </c>
      <c r="H277" s="6">
        <v>1.327891156462585</v>
      </c>
      <c r="I277" s="6">
        <v>1.3256235827664398</v>
      </c>
      <c r="J277" s="6">
        <v>1.3233560090702947</v>
      </c>
      <c r="K277" s="6">
        <v>1.3210884353741497</v>
      </c>
      <c r="L277" s="6">
        <v>1.3188208616780044</v>
      </c>
    </row>
    <row r="278" spans="1:12">
      <c r="A278" t="s">
        <v>486</v>
      </c>
      <c r="B278" t="s">
        <v>189</v>
      </c>
      <c r="C278" t="s">
        <v>144</v>
      </c>
      <c r="D278">
        <v>1</v>
      </c>
      <c r="E278" s="6">
        <v>1.3333333333333333</v>
      </c>
      <c r="F278" s="6">
        <v>1.3324263038548751</v>
      </c>
      <c r="G278" s="6">
        <v>1.3301587301587301</v>
      </c>
      <c r="H278" s="6">
        <v>1.327891156462585</v>
      </c>
      <c r="I278" s="6">
        <v>1.3256235827664398</v>
      </c>
      <c r="J278" s="6">
        <v>1.3233560090702947</v>
      </c>
      <c r="K278" s="6">
        <v>1.3210884353741497</v>
      </c>
      <c r="L278" s="6">
        <v>1.3188208616780044</v>
      </c>
    </row>
    <row r="279" spans="1:12">
      <c r="A279" t="s">
        <v>486</v>
      </c>
      <c r="B279" t="s">
        <v>190</v>
      </c>
      <c r="C279" t="s">
        <v>143</v>
      </c>
      <c r="D279">
        <v>1</v>
      </c>
      <c r="E279" s="6">
        <v>1.6666666666666667</v>
      </c>
      <c r="F279" s="6">
        <v>1.6648526077097507</v>
      </c>
      <c r="G279" s="6">
        <v>1.6603174603174604</v>
      </c>
      <c r="H279" s="6">
        <v>1.6557823129251701</v>
      </c>
      <c r="I279" s="6">
        <v>1.65124716553288</v>
      </c>
      <c r="J279" s="6">
        <v>1.6467120181405897</v>
      </c>
      <c r="K279" s="6">
        <v>1.6421768707482993</v>
      </c>
      <c r="L279" s="6">
        <v>1.6376417233560092</v>
      </c>
    </row>
    <row r="280" spans="1:12">
      <c r="A280" t="s">
        <v>486</v>
      </c>
      <c r="B280" t="s">
        <v>213</v>
      </c>
      <c r="C280" t="s">
        <v>144</v>
      </c>
      <c r="D280">
        <v>1</v>
      </c>
      <c r="E280" s="6">
        <v>1.6666666666666667</v>
      </c>
      <c r="F280" s="6">
        <v>1.6648526077097507</v>
      </c>
      <c r="G280" s="6">
        <v>1.6603174603174604</v>
      </c>
      <c r="H280" s="6">
        <v>1.6557823129251701</v>
      </c>
      <c r="I280" s="6">
        <v>1.65124716553288</v>
      </c>
      <c r="J280" s="6">
        <v>1.6467120181405897</v>
      </c>
      <c r="K280" s="6">
        <v>1.6421768707482993</v>
      </c>
      <c r="L280" s="6">
        <v>1.6376417233560092</v>
      </c>
    </row>
    <row r="281" spans="1:12">
      <c r="A281" t="s">
        <v>486</v>
      </c>
      <c r="B281" t="s">
        <v>214</v>
      </c>
      <c r="C281" s="6" t="s">
        <v>15</v>
      </c>
      <c r="D281">
        <v>1</v>
      </c>
      <c r="E281" s="6">
        <v>1.0416666666666667</v>
      </c>
      <c r="F281" s="6">
        <v>1.0306332842415318</v>
      </c>
      <c r="G281" s="6">
        <v>1.0247863247863249</v>
      </c>
      <c r="H281" s="6">
        <v>1.0192419825072887</v>
      </c>
      <c r="I281" s="6">
        <v>1.0139956490210296</v>
      </c>
      <c r="J281" s="6">
        <v>1.0090428090428092</v>
      </c>
      <c r="K281" s="6">
        <v>1.0043790380473796</v>
      </c>
      <c r="L281" s="6">
        <v>1</v>
      </c>
    </row>
    <row r="282" spans="1:12">
      <c r="A282" t="s">
        <v>486</v>
      </c>
      <c r="B282" t="s">
        <v>215</v>
      </c>
      <c r="C282" s="6" t="s">
        <v>154</v>
      </c>
      <c r="D282">
        <v>1</v>
      </c>
      <c r="E282" s="6">
        <v>0.16582635717909688</v>
      </c>
      <c r="F282" s="6">
        <v>0.16424705853929597</v>
      </c>
      <c r="G282" s="6">
        <v>0.16029881193979365</v>
      </c>
      <c r="H282" s="6">
        <v>0.15635056534029135</v>
      </c>
      <c r="I282" s="6">
        <v>0.15240231874078905</v>
      </c>
      <c r="J282" s="6">
        <v>0.14845407214128675</v>
      </c>
      <c r="K282" s="6">
        <v>0.14450582554178443</v>
      </c>
      <c r="L282" s="6">
        <v>0.14055757894228213</v>
      </c>
    </row>
    <row r="283" spans="1:12">
      <c r="A283" t="s">
        <v>486</v>
      </c>
      <c r="B283" t="s">
        <v>216</v>
      </c>
      <c r="C283" s="6" t="s">
        <v>15</v>
      </c>
      <c r="D283">
        <v>1</v>
      </c>
      <c r="E283" s="6">
        <v>0.4</v>
      </c>
      <c r="F283" s="6">
        <v>0.35216931216931219</v>
      </c>
      <c r="G283" s="6">
        <v>0.32938271604938268</v>
      </c>
      <c r="H283" s="6">
        <v>0.31777777777777777</v>
      </c>
      <c r="I283" s="6">
        <v>0.30805114638447972</v>
      </c>
      <c r="J283" s="6">
        <v>0.2992416225749559</v>
      </c>
      <c r="K283" s="6">
        <v>0.2908796296296296</v>
      </c>
      <c r="L283" s="6">
        <v>0.28253968253968254</v>
      </c>
    </row>
    <row r="284" spans="1:12">
      <c r="A284" t="s">
        <v>486</v>
      </c>
      <c r="B284" t="s">
        <v>217</v>
      </c>
      <c r="C284" s="6" t="s">
        <v>15</v>
      </c>
      <c r="D284">
        <v>1</v>
      </c>
      <c r="E284" s="6">
        <v>0.2857142857142857</v>
      </c>
      <c r="F284" s="6">
        <v>0.25941043083900228</v>
      </c>
      <c r="G284" s="6">
        <v>0.2455026455026455</v>
      </c>
      <c r="H284" s="6">
        <v>0.23758503401360542</v>
      </c>
      <c r="I284" s="6">
        <v>0.2306736583522298</v>
      </c>
      <c r="J284" s="6">
        <v>0.2242535903250189</v>
      </c>
      <c r="K284" s="6">
        <v>0.21807327097505669</v>
      </c>
      <c r="L284" s="6">
        <v>0.2119047619047619</v>
      </c>
    </row>
    <row r="285" spans="1:12">
      <c r="A285" t="s">
        <v>486</v>
      </c>
      <c r="B285" t="s">
        <v>196</v>
      </c>
      <c r="C285" s="6" t="s">
        <v>223</v>
      </c>
      <c r="D285">
        <v>1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spans="1:12">
      <c r="A286" t="s">
        <v>486</v>
      </c>
      <c r="B286" t="s">
        <v>206</v>
      </c>
      <c r="C286" s="6" t="s">
        <v>130</v>
      </c>
      <c r="D286">
        <v>1</v>
      </c>
      <c r="E286" s="6">
        <v>1.1764705882352942</v>
      </c>
      <c r="F286" s="6">
        <v>1.1759903961584635</v>
      </c>
      <c r="G286" s="6">
        <v>1.1747899159663866</v>
      </c>
      <c r="H286" s="6">
        <v>1.1735894357743097</v>
      </c>
      <c r="I286" s="6">
        <v>1.1723889555822329</v>
      </c>
      <c r="J286" s="6">
        <v>1.171188475390156</v>
      </c>
      <c r="K286" s="6">
        <v>1.1699879951980794</v>
      </c>
      <c r="L286" s="6">
        <v>1.1687875150060025</v>
      </c>
    </row>
    <row r="287" spans="1:12">
      <c r="A287" t="s">
        <v>486</v>
      </c>
      <c r="B287" t="s">
        <v>207</v>
      </c>
      <c r="C287" t="s">
        <v>183</v>
      </c>
      <c r="D287">
        <v>1</v>
      </c>
      <c r="E287" s="6">
        <v>1.1111111111111112</v>
      </c>
      <c r="F287" s="6">
        <v>1.1108087679516252</v>
      </c>
      <c r="G287" s="6">
        <v>1.1100529100529102</v>
      </c>
      <c r="H287" s="6">
        <v>1.1092970521541952</v>
      </c>
      <c r="I287" s="6">
        <v>1.1085411942554799</v>
      </c>
      <c r="J287" s="6">
        <v>1.1077853363567649</v>
      </c>
      <c r="K287" s="6">
        <v>1.1070294784580499</v>
      </c>
      <c r="L287" s="6">
        <v>1.1062736205593349</v>
      </c>
    </row>
    <row r="288" spans="1:12">
      <c r="A288" t="s">
        <v>486</v>
      </c>
      <c r="B288" t="s">
        <v>207</v>
      </c>
      <c r="C288" s="6" t="s">
        <v>184</v>
      </c>
      <c r="D288" s="6">
        <v>2</v>
      </c>
      <c r="E288" s="6">
        <v>1.1111111111111112</v>
      </c>
      <c r="F288" s="6">
        <v>1.1108087679516252</v>
      </c>
      <c r="G288" s="6">
        <v>1.1100529100529102</v>
      </c>
      <c r="H288" s="6">
        <v>1.1092970521541952</v>
      </c>
      <c r="I288" s="6">
        <v>1.1085411942554799</v>
      </c>
      <c r="J288" s="6">
        <v>1.1077853363567649</v>
      </c>
      <c r="K288" s="6">
        <v>1.1070294784580499</v>
      </c>
      <c r="L288" s="6">
        <v>1.1062736205593349</v>
      </c>
    </row>
    <row r="289" spans="1:12">
      <c r="A289" t="s">
        <v>486</v>
      </c>
      <c r="B289" t="s">
        <v>207</v>
      </c>
      <c r="C289" s="6" t="s">
        <v>185</v>
      </c>
      <c r="D289" s="6">
        <v>3</v>
      </c>
      <c r="E289" s="6">
        <v>1.1111111111111112</v>
      </c>
      <c r="F289" s="6">
        <v>1.1108087679516252</v>
      </c>
      <c r="G289" s="6">
        <v>1.1100529100529102</v>
      </c>
      <c r="H289" s="6">
        <v>1.1092970521541952</v>
      </c>
      <c r="I289" s="6">
        <v>1.1085411942554799</v>
      </c>
      <c r="J289" s="6">
        <v>1.1077853363567649</v>
      </c>
      <c r="K289" s="6">
        <v>1.1070294784580499</v>
      </c>
      <c r="L289" s="6">
        <v>1.1062736205593349</v>
      </c>
    </row>
    <row r="290" spans="1:12">
      <c r="A290" t="s">
        <v>486</v>
      </c>
      <c r="B290" t="s">
        <v>197</v>
      </c>
      <c r="C290" s="6" t="s">
        <v>183</v>
      </c>
      <c r="D290" s="6">
        <v>1</v>
      </c>
      <c r="E290" s="6">
        <v>1.2195121951219512</v>
      </c>
      <c r="F290" s="6">
        <v>1.2189148830263812</v>
      </c>
      <c r="G290" s="6">
        <v>1.2174216027874565</v>
      </c>
      <c r="H290" s="6">
        <v>1.2159283225485316</v>
      </c>
      <c r="I290" s="6">
        <v>1.2144350423096069</v>
      </c>
      <c r="J290" s="6">
        <v>1.2129417620706819</v>
      </c>
      <c r="K290" s="6">
        <v>1.211448481831757</v>
      </c>
      <c r="L290" s="6">
        <v>1.2099552015928323</v>
      </c>
    </row>
    <row r="291" spans="1:12">
      <c r="A291" t="s">
        <v>486</v>
      </c>
      <c r="B291" t="s">
        <v>197</v>
      </c>
      <c r="C291" t="s">
        <v>184</v>
      </c>
      <c r="D291">
        <v>2</v>
      </c>
      <c r="E291" s="6">
        <v>1.2195121951219512</v>
      </c>
      <c r="F291" s="6">
        <v>1.2189148830263812</v>
      </c>
      <c r="G291" s="6">
        <v>1.2174216027874565</v>
      </c>
      <c r="H291" s="6">
        <v>1.2159283225485316</v>
      </c>
      <c r="I291" s="6">
        <v>1.2144350423096069</v>
      </c>
      <c r="J291" s="6">
        <v>1.2129417620706819</v>
      </c>
      <c r="K291" s="6">
        <v>1.211448481831757</v>
      </c>
      <c r="L291" s="6">
        <v>1.2099552015928323</v>
      </c>
    </row>
    <row r="292" spans="1:12">
      <c r="A292" t="s">
        <v>486</v>
      </c>
      <c r="B292" t="s">
        <v>197</v>
      </c>
      <c r="C292" s="6" t="s">
        <v>185</v>
      </c>
      <c r="D292">
        <v>3</v>
      </c>
      <c r="E292" s="6">
        <v>1.2195121951219512</v>
      </c>
      <c r="F292" s="6">
        <v>1.2189148830263812</v>
      </c>
      <c r="G292" s="6">
        <v>1.2174216027874565</v>
      </c>
      <c r="H292" s="6">
        <v>1.2159283225485316</v>
      </c>
      <c r="I292" s="6">
        <v>1.2144350423096069</v>
      </c>
      <c r="J292" s="6">
        <v>1.2129417620706819</v>
      </c>
      <c r="K292" s="6">
        <v>1.211448481831757</v>
      </c>
      <c r="L292" s="6">
        <v>1.2099552015928323</v>
      </c>
    </row>
    <row r="293" spans="1:12">
      <c r="A293" t="s">
        <v>486</v>
      </c>
      <c r="B293" t="s">
        <v>198</v>
      </c>
      <c r="C293" s="6" t="s">
        <v>133</v>
      </c>
      <c r="D293">
        <v>1</v>
      </c>
      <c r="E293" s="6">
        <v>1.25</v>
      </c>
      <c r="F293" s="6">
        <v>1.2476190476190476</v>
      </c>
      <c r="G293" s="6">
        <v>1.2416666666666667</v>
      </c>
      <c r="H293" s="6">
        <v>1.2357142857142858</v>
      </c>
      <c r="I293" s="6">
        <v>1.2297619047619048</v>
      </c>
      <c r="J293" s="6">
        <v>1.2238095238095239</v>
      </c>
      <c r="K293" s="6">
        <v>1.217857142857143</v>
      </c>
      <c r="L293" s="6">
        <v>1.2119047619047618</v>
      </c>
    </row>
    <row r="294" spans="1:12">
      <c r="A294" t="s">
        <v>486</v>
      </c>
      <c r="B294" t="s">
        <v>199</v>
      </c>
      <c r="C294" t="s">
        <v>133</v>
      </c>
      <c r="D294">
        <v>1</v>
      </c>
      <c r="E294" s="6">
        <v>1.5384615384615383</v>
      </c>
      <c r="F294" s="6">
        <v>1.5333333333333332</v>
      </c>
      <c r="G294" s="6">
        <v>1.5205128205128204</v>
      </c>
      <c r="H294" s="6">
        <v>1.5076923076923077</v>
      </c>
      <c r="I294" s="6">
        <v>1.4948717948717949</v>
      </c>
      <c r="J294" s="6">
        <v>1.4820512820512819</v>
      </c>
      <c r="K294" s="6">
        <v>1.4692307692307691</v>
      </c>
      <c r="L294" s="6">
        <v>1.4564102564102563</v>
      </c>
    </row>
    <row r="295" spans="1:12">
      <c r="A295" t="s">
        <v>486</v>
      </c>
      <c r="B295" t="s">
        <v>200</v>
      </c>
      <c r="C295" t="s">
        <v>143</v>
      </c>
      <c r="D295">
        <v>1</v>
      </c>
      <c r="E295" s="6">
        <v>1.3333333333333333</v>
      </c>
      <c r="F295" s="6">
        <v>1.3324263038548751</v>
      </c>
      <c r="G295" s="6">
        <v>1.3301587301587301</v>
      </c>
      <c r="H295" s="6">
        <v>1.327891156462585</v>
      </c>
      <c r="I295" s="6">
        <v>1.3256235827664398</v>
      </c>
      <c r="J295" s="6">
        <v>1.3233560090702947</v>
      </c>
      <c r="K295" s="6">
        <v>1.3210884353741497</v>
      </c>
      <c r="L295" s="6">
        <v>1.3188208616780044</v>
      </c>
    </row>
    <row r="296" spans="1:12">
      <c r="A296" t="s">
        <v>486</v>
      </c>
      <c r="B296" t="s">
        <v>201</v>
      </c>
      <c r="C296" t="s">
        <v>144</v>
      </c>
      <c r="D296">
        <v>1</v>
      </c>
      <c r="E296" s="6">
        <v>1.3333333333333333</v>
      </c>
      <c r="F296" s="6">
        <v>1.3324263038548751</v>
      </c>
      <c r="G296" s="6">
        <v>1.3301587301587301</v>
      </c>
      <c r="H296" s="6">
        <v>1.327891156462585</v>
      </c>
      <c r="I296" s="6">
        <v>1.3256235827664398</v>
      </c>
      <c r="J296" s="6">
        <v>1.3233560090702947</v>
      </c>
      <c r="K296" s="6">
        <v>1.3210884353741497</v>
      </c>
      <c r="L296" s="6">
        <v>1.3188208616780044</v>
      </c>
    </row>
    <row r="297" spans="1:12">
      <c r="A297" t="s">
        <v>486</v>
      </c>
      <c r="B297" t="s">
        <v>202</v>
      </c>
      <c r="C297" s="6" t="s">
        <v>143</v>
      </c>
      <c r="D297">
        <v>1</v>
      </c>
      <c r="E297" s="6">
        <v>1.6666666666666667</v>
      </c>
      <c r="F297" s="6">
        <v>1.6648526077097507</v>
      </c>
      <c r="G297" s="6">
        <v>1.6603174603174604</v>
      </c>
      <c r="H297" s="6">
        <v>1.6557823129251701</v>
      </c>
      <c r="I297" s="6">
        <v>1.65124716553288</v>
      </c>
      <c r="J297" s="6">
        <v>1.6467120181405897</v>
      </c>
      <c r="K297" s="6">
        <v>1.6421768707482993</v>
      </c>
      <c r="L297" s="6">
        <v>1.6376417233560092</v>
      </c>
    </row>
    <row r="298" spans="1:12">
      <c r="A298" t="s">
        <v>486</v>
      </c>
      <c r="B298" t="s">
        <v>230</v>
      </c>
      <c r="C298" s="6" t="s">
        <v>144</v>
      </c>
      <c r="D298">
        <v>1</v>
      </c>
      <c r="E298" s="6">
        <v>1.6666666666666667</v>
      </c>
      <c r="F298" s="6">
        <v>1.6648526077097507</v>
      </c>
      <c r="G298" s="6">
        <v>1.6603174603174604</v>
      </c>
      <c r="H298" s="6">
        <v>1.6557823129251701</v>
      </c>
      <c r="I298" s="6">
        <v>1.65124716553288</v>
      </c>
      <c r="J298" s="6">
        <v>1.6467120181405897</v>
      </c>
      <c r="K298" s="6">
        <v>1.6421768707482993</v>
      </c>
      <c r="L298" s="6">
        <v>1.6376417233560092</v>
      </c>
    </row>
    <row r="299" spans="1:12">
      <c r="A299" t="s">
        <v>486</v>
      </c>
      <c r="B299" t="s">
        <v>218</v>
      </c>
      <c r="C299" s="6" t="s">
        <v>15</v>
      </c>
      <c r="D299">
        <v>1</v>
      </c>
      <c r="E299" s="6">
        <v>1.0101010101010102</v>
      </c>
      <c r="F299" s="6">
        <v>1.01000481000481</v>
      </c>
      <c r="G299" s="6">
        <v>1.0097643097643099</v>
      </c>
      <c r="H299" s="6">
        <v>1.0095238095238095</v>
      </c>
      <c r="I299" s="6">
        <v>1.0092833092833093</v>
      </c>
      <c r="J299" s="6">
        <v>1.0090428090428092</v>
      </c>
      <c r="K299" s="6">
        <v>1.0088023088023088</v>
      </c>
      <c r="L299" s="6">
        <v>1.0085618085618087</v>
      </c>
    </row>
    <row r="300" spans="1:12">
      <c r="A300" t="s">
        <v>486</v>
      </c>
      <c r="B300" t="s">
        <v>219</v>
      </c>
      <c r="C300" t="s">
        <v>155</v>
      </c>
      <c r="D300">
        <v>1</v>
      </c>
      <c r="E300" s="6">
        <v>0.16582635717909688</v>
      </c>
      <c r="F300" s="6">
        <v>0.16424705853929597</v>
      </c>
      <c r="G300" s="6">
        <v>0.16029881193979365</v>
      </c>
      <c r="H300" s="6">
        <v>0.15635056534029135</v>
      </c>
      <c r="I300" s="6">
        <v>0.15240231874078905</v>
      </c>
      <c r="J300" s="6">
        <v>0.14845407214128675</v>
      </c>
      <c r="K300" s="6">
        <v>0.14450582554178443</v>
      </c>
      <c r="L300" s="6">
        <v>0.14055757894228213</v>
      </c>
    </row>
    <row r="301" spans="1:12">
      <c r="A301" t="s">
        <v>486</v>
      </c>
      <c r="B301" t="s">
        <v>220</v>
      </c>
      <c r="C301" s="6" t="s">
        <v>132</v>
      </c>
      <c r="D301">
        <v>1</v>
      </c>
      <c r="E301" s="6">
        <v>2.1276595744680851</v>
      </c>
      <c r="F301" s="6">
        <v>2.0656462585034014</v>
      </c>
      <c r="G301" s="6">
        <v>1.98134110787172</v>
      </c>
      <c r="H301" s="6">
        <v>1.9020408163265308</v>
      </c>
      <c r="I301" s="6">
        <v>1.84417053950293</v>
      </c>
      <c r="J301" s="6">
        <v>1.7882352941176469</v>
      </c>
      <c r="K301" s="6">
        <v>1.7490196078431373</v>
      </c>
      <c r="L301" s="6">
        <v>1.7098039215686274</v>
      </c>
    </row>
    <row r="302" spans="1:12">
      <c r="A302" t="s">
        <v>486</v>
      </c>
      <c r="B302" t="s">
        <v>220</v>
      </c>
      <c r="C302" s="6" t="s">
        <v>132</v>
      </c>
      <c r="D302">
        <v>2</v>
      </c>
      <c r="E302" s="6">
        <v>2.7027027027027026</v>
      </c>
      <c r="F302" s="6">
        <v>2.6049409237379164</v>
      </c>
      <c r="G302" s="6">
        <v>2.5061224489795917</v>
      </c>
      <c r="H302" s="6">
        <v>2.4108843537414968</v>
      </c>
      <c r="I302" s="6">
        <v>2.3190906742443813</v>
      </c>
      <c r="J302" s="6">
        <v>2.2306122448979591</v>
      </c>
      <c r="K302" s="6">
        <v>2.1693877551020408</v>
      </c>
      <c r="L302" s="6">
        <v>2.1081632653061222</v>
      </c>
    </row>
    <row r="303" spans="1:12">
      <c r="A303" t="s">
        <v>486</v>
      </c>
      <c r="B303" t="s">
        <v>203</v>
      </c>
      <c r="C303" s="6" t="s">
        <v>223</v>
      </c>
      <c r="D303">
        <v>1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</row>
    <row r="304" spans="1:12">
      <c r="A304" t="s">
        <v>486</v>
      </c>
      <c r="B304" t="s">
        <v>208</v>
      </c>
      <c r="C304" t="s">
        <v>130</v>
      </c>
      <c r="D304">
        <v>1</v>
      </c>
      <c r="E304" s="6">
        <v>1.1764705882352942</v>
      </c>
      <c r="F304" s="6">
        <v>1.1759903961584635</v>
      </c>
      <c r="G304" s="6">
        <v>1.1747899159663866</v>
      </c>
      <c r="H304" s="6">
        <v>1.1735894357743097</v>
      </c>
      <c r="I304" s="6">
        <v>1.1723889555822329</v>
      </c>
      <c r="J304" s="6">
        <v>1.171188475390156</v>
      </c>
      <c r="K304" s="6">
        <v>1.1699879951980794</v>
      </c>
      <c r="L304" s="6">
        <v>1.1687875150060025</v>
      </c>
    </row>
    <row r="305" spans="1:12">
      <c r="A305" t="s">
        <v>486</v>
      </c>
      <c r="B305" t="s">
        <v>204</v>
      </c>
      <c r="C305" s="6" t="s">
        <v>130</v>
      </c>
      <c r="D305">
        <v>1</v>
      </c>
      <c r="E305" s="6">
        <v>1.3513513513513513</v>
      </c>
      <c r="F305" s="6">
        <v>1.3503952932524361</v>
      </c>
      <c r="G305" s="6">
        <v>1.348005148005148</v>
      </c>
      <c r="H305" s="6">
        <v>1.3456150027578599</v>
      </c>
      <c r="I305" s="6">
        <v>1.3432248575105716</v>
      </c>
      <c r="J305" s="6">
        <v>1.3408347122632835</v>
      </c>
      <c r="K305" s="6">
        <v>1.3384445670159955</v>
      </c>
      <c r="L305" s="6">
        <v>1.3360544217687074</v>
      </c>
    </row>
    <row r="306" spans="1:12">
      <c r="A306" t="s">
        <v>486</v>
      </c>
      <c r="B306" t="s">
        <v>211</v>
      </c>
      <c r="C306" t="s">
        <v>183</v>
      </c>
      <c r="D306">
        <v>1</v>
      </c>
      <c r="E306" s="6">
        <v>1.0989010989010988</v>
      </c>
      <c r="F306" s="6">
        <v>1.0986319802646332</v>
      </c>
      <c r="G306" s="6">
        <v>1.0979591836734692</v>
      </c>
      <c r="H306" s="6">
        <v>1.0972863870823053</v>
      </c>
      <c r="I306" s="6">
        <v>1.0966135904911414</v>
      </c>
      <c r="J306" s="6">
        <v>1.0959407938999775</v>
      </c>
      <c r="K306" s="6">
        <v>1.0952679973088135</v>
      </c>
      <c r="L306" s="6">
        <v>1.0945952007176496</v>
      </c>
    </row>
    <row r="307" spans="1:12">
      <c r="A307" t="s">
        <v>486</v>
      </c>
      <c r="B307" t="s">
        <v>211</v>
      </c>
      <c r="C307" s="6" t="s">
        <v>184</v>
      </c>
      <c r="D307">
        <v>2</v>
      </c>
      <c r="E307" s="6">
        <v>1.0989010989010988</v>
      </c>
      <c r="F307" s="6">
        <v>1.0986319802646332</v>
      </c>
      <c r="G307" s="6">
        <v>1.0979591836734692</v>
      </c>
      <c r="H307" s="6">
        <v>1.0972863870823053</v>
      </c>
      <c r="I307" s="6">
        <v>1.0966135904911414</v>
      </c>
      <c r="J307" s="6">
        <v>1.0959407938999775</v>
      </c>
      <c r="K307" s="6">
        <v>1.0952679973088135</v>
      </c>
      <c r="L307" s="6">
        <v>1.0945952007176496</v>
      </c>
    </row>
    <row r="308" spans="1:12">
      <c r="A308" t="s">
        <v>486</v>
      </c>
      <c r="B308" t="s">
        <v>211</v>
      </c>
      <c r="C308" t="s">
        <v>185</v>
      </c>
      <c r="D308">
        <v>3</v>
      </c>
      <c r="E308" s="6">
        <v>1.0989010989010988</v>
      </c>
      <c r="F308" s="6">
        <v>1.0986319802646332</v>
      </c>
      <c r="G308" s="6">
        <v>1.0979591836734692</v>
      </c>
      <c r="H308" s="6">
        <v>1.0972863870823053</v>
      </c>
      <c r="I308" s="6">
        <v>1.0966135904911414</v>
      </c>
      <c r="J308" s="6">
        <v>1.0959407938999775</v>
      </c>
      <c r="K308" s="6">
        <v>1.0952679973088135</v>
      </c>
      <c r="L308" s="6">
        <v>1.0945952007176496</v>
      </c>
    </row>
    <row r="309" spans="1:12">
      <c r="A309" t="s">
        <v>486</v>
      </c>
      <c r="B309" t="s">
        <v>222</v>
      </c>
      <c r="C309" t="s">
        <v>132</v>
      </c>
      <c r="D309">
        <v>1</v>
      </c>
      <c r="E309" s="6">
        <v>1.0989010989010988</v>
      </c>
      <c r="F309" s="6">
        <v>1.0972863870823053</v>
      </c>
      <c r="G309" s="6">
        <v>1.0932496075353217</v>
      </c>
      <c r="H309" s="6">
        <v>1.0892128279883382</v>
      </c>
      <c r="I309" s="6">
        <v>1.0851760484413544</v>
      </c>
      <c r="J309" s="6">
        <v>1.0811392688943708</v>
      </c>
      <c r="K309" s="6">
        <v>1.0771024893473873</v>
      </c>
      <c r="L309" s="6">
        <v>1.0730657098004035</v>
      </c>
    </row>
    <row r="310" spans="1:12">
      <c r="A310" t="s">
        <v>486</v>
      </c>
      <c r="B310" t="s">
        <v>209</v>
      </c>
      <c r="C310" t="s">
        <v>133</v>
      </c>
      <c r="D310">
        <v>1</v>
      </c>
      <c r="E310" s="6">
        <v>1.3574660633484159</v>
      </c>
      <c r="F310" s="6">
        <v>1.3540616246498596</v>
      </c>
      <c r="G310" s="6">
        <v>1.3455505279034687</v>
      </c>
      <c r="H310" s="6">
        <v>1.3370394311570779</v>
      </c>
      <c r="I310" s="6">
        <v>1.3285283344106871</v>
      </c>
      <c r="J310" s="6">
        <v>1.3200172376642962</v>
      </c>
      <c r="K310" s="6">
        <v>1.3115061409179054</v>
      </c>
      <c r="L310" s="6">
        <v>1.3029950441715143</v>
      </c>
    </row>
    <row r="311" spans="1:12">
      <c r="A311" t="s">
        <v>486</v>
      </c>
      <c r="B311" t="s">
        <v>210</v>
      </c>
      <c r="C311" t="s">
        <v>143</v>
      </c>
      <c r="D311">
        <v>1</v>
      </c>
      <c r="E311" s="6">
        <v>1.416361416361416</v>
      </c>
      <c r="F311" s="6">
        <v>1.4152284601264189</v>
      </c>
      <c r="G311" s="6">
        <v>1.4123960695389264</v>
      </c>
      <c r="H311" s="6">
        <v>1.4095636789514336</v>
      </c>
      <c r="I311" s="6">
        <v>1.4067312883639411</v>
      </c>
      <c r="J311" s="6">
        <v>1.4038988977764484</v>
      </c>
      <c r="K311" s="6">
        <v>1.4010665071889559</v>
      </c>
      <c r="L311" s="6">
        <v>1.3982341166014631</v>
      </c>
    </row>
    <row r="312" spans="1:12">
      <c r="A312" t="s">
        <v>486</v>
      </c>
      <c r="B312" t="s">
        <v>221</v>
      </c>
      <c r="C312" t="s">
        <v>15</v>
      </c>
      <c r="D312">
        <v>1</v>
      </c>
      <c r="E312" s="6">
        <v>1.0309278350515465</v>
      </c>
      <c r="F312" s="6">
        <v>1.0306332842415318</v>
      </c>
      <c r="G312" s="6">
        <v>1.029896907216495</v>
      </c>
      <c r="H312" s="6">
        <v>1.0291605301914581</v>
      </c>
      <c r="I312" s="6">
        <v>1.0284241531664213</v>
      </c>
      <c r="J312" s="6">
        <v>1.0276877761413845</v>
      </c>
      <c r="K312" s="6">
        <v>1.0269513991163477</v>
      </c>
      <c r="L312" s="6">
        <v>1.0262150220913109</v>
      </c>
    </row>
    <row r="313" spans="1:12">
      <c r="A313" t="s">
        <v>486</v>
      </c>
      <c r="B313" t="s">
        <v>212</v>
      </c>
      <c r="C313" t="s">
        <v>130</v>
      </c>
      <c r="D313">
        <v>1</v>
      </c>
      <c r="E313" s="6">
        <v>1.6772700983227298</v>
      </c>
      <c r="F313" s="6">
        <v>1.675427186490559</v>
      </c>
      <c r="G313" s="6">
        <v>1.6708199069101324</v>
      </c>
      <c r="H313" s="6">
        <v>1.6662126273297058</v>
      </c>
      <c r="I313" s="6">
        <v>1.6616053477492789</v>
      </c>
      <c r="J313" s="6">
        <v>1.6569980681688521</v>
      </c>
      <c r="K313" s="6">
        <v>1.6523907885884253</v>
      </c>
      <c r="L313" s="6">
        <v>1.6477835090079986</v>
      </c>
    </row>
    <row r="314" spans="1:12">
      <c r="A314" t="s">
        <v>486</v>
      </c>
      <c r="B314" t="s">
        <v>224</v>
      </c>
      <c r="C314" t="s">
        <v>143</v>
      </c>
      <c r="D314">
        <v>1</v>
      </c>
      <c r="E314" s="6">
        <v>2.2624434389140271</v>
      </c>
      <c r="F314" s="6">
        <v>2.2297057884092695</v>
      </c>
      <c r="G314" s="6">
        <v>2.1922150678453196</v>
      </c>
      <c r="H314" s="6">
        <v>2.1551241075850918</v>
      </c>
      <c r="I314" s="6">
        <v>2.1184329076285859</v>
      </c>
      <c r="J314" s="6">
        <v>2.0821414679758017</v>
      </c>
      <c r="K314" s="6">
        <v>2.0462497886267395</v>
      </c>
      <c r="L314" s="6">
        <v>2.0107578695813988</v>
      </c>
    </row>
    <row r="315" spans="1:12">
      <c r="A315" t="s">
        <v>486</v>
      </c>
      <c r="B315" t="s">
        <v>224</v>
      </c>
      <c r="C315" t="s">
        <v>143</v>
      </c>
      <c r="D315">
        <v>2</v>
      </c>
      <c r="E315" s="6">
        <v>1.6017298682577186</v>
      </c>
      <c r="F315" s="6">
        <v>1.5793474247000794</v>
      </c>
      <c r="G315" s="6">
        <v>1.5547919570080651</v>
      </c>
      <c r="H315" s="6">
        <v>1.5305195054602785</v>
      </c>
      <c r="I315" s="6">
        <v>1.5065300700567197</v>
      </c>
      <c r="J315" s="6">
        <v>1.4828236507973891</v>
      </c>
      <c r="K315" s="6">
        <v>1.4594002476822865</v>
      </c>
      <c r="L315" s="6">
        <v>1.4362598607114114</v>
      </c>
    </row>
    <row r="316" spans="1:12">
      <c r="A316" t="s">
        <v>486</v>
      </c>
      <c r="B316" t="s">
        <v>224</v>
      </c>
      <c r="C316" t="s">
        <v>183</v>
      </c>
      <c r="D316">
        <v>2</v>
      </c>
      <c r="E316" s="6">
        <v>0.40043246706442964</v>
      </c>
      <c r="F316" s="6">
        <v>0.39415658406617626</v>
      </c>
      <c r="G316" s="6">
        <v>0.38631703687106389</v>
      </c>
      <c r="H316" s="6">
        <v>0.3785482437120084</v>
      </c>
      <c r="I316" s="6">
        <v>0.37085020458900991</v>
      </c>
      <c r="J316" s="6">
        <v>0.36322291950206836</v>
      </c>
      <c r="K316" s="6">
        <v>0.35566638845118387</v>
      </c>
      <c r="L316" s="6">
        <v>0.34818061143635626</v>
      </c>
    </row>
    <row r="317" spans="1:12">
      <c r="A317" t="s">
        <v>486</v>
      </c>
      <c r="B317" t="s">
        <v>224</v>
      </c>
      <c r="C317" s="6" t="s">
        <v>143</v>
      </c>
      <c r="D317">
        <v>3</v>
      </c>
      <c r="E317" s="6">
        <v>1.6017298682577186</v>
      </c>
      <c r="F317" s="6">
        <v>1.5793474247000794</v>
      </c>
      <c r="G317" s="6">
        <v>1.5547919570080651</v>
      </c>
      <c r="H317" s="6">
        <v>1.5305195054602785</v>
      </c>
      <c r="I317" s="6">
        <v>1.5065300700567197</v>
      </c>
      <c r="J317" s="6">
        <v>1.4828236507973891</v>
      </c>
      <c r="K317" s="6">
        <v>1.4594002476822865</v>
      </c>
      <c r="L317" s="6">
        <v>1.4362598607114114</v>
      </c>
    </row>
    <row r="318" spans="1:12">
      <c r="A318" t="s">
        <v>486</v>
      </c>
      <c r="B318" t="s">
        <v>224</v>
      </c>
      <c r="C318" t="s">
        <v>185</v>
      </c>
      <c r="D318">
        <v>3</v>
      </c>
      <c r="E318" s="6">
        <v>0.40043246706442964</v>
      </c>
      <c r="F318" s="6">
        <v>0.39415658406617626</v>
      </c>
      <c r="G318" s="6">
        <v>0.38631703687106389</v>
      </c>
      <c r="H318" s="6">
        <v>0.3785482437120084</v>
      </c>
      <c r="I318" s="6">
        <v>0.37085020458900991</v>
      </c>
      <c r="J318" s="6">
        <v>0.36322291950206836</v>
      </c>
      <c r="K318" s="6">
        <v>0.35566638845118387</v>
      </c>
      <c r="L318" s="6">
        <v>0.34818061143635626</v>
      </c>
    </row>
    <row r="319" spans="1:12">
      <c r="A319" t="s">
        <v>486</v>
      </c>
      <c r="B319" t="s">
        <v>224</v>
      </c>
      <c r="C319" s="6" t="s">
        <v>143</v>
      </c>
      <c r="D319">
        <v>4</v>
      </c>
      <c r="E319" s="6">
        <v>1.6017298682577186</v>
      </c>
      <c r="F319" s="6">
        <v>1.5793474247000794</v>
      </c>
      <c r="G319" s="6">
        <v>1.5547919570080651</v>
      </c>
      <c r="H319" s="6">
        <v>1.5305195054602785</v>
      </c>
      <c r="I319" s="6">
        <v>1.5065300700567197</v>
      </c>
      <c r="J319" s="6">
        <v>1.4828236507973891</v>
      </c>
      <c r="K319" s="6">
        <v>1.4594002476822865</v>
      </c>
      <c r="L319" s="6">
        <v>1.4362598607114114</v>
      </c>
    </row>
    <row r="320" spans="1:12">
      <c r="A320" t="s">
        <v>486</v>
      </c>
      <c r="B320" t="s">
        <v>224</v>
      </c>
      <c r="C320" t="s">
        <v>184</v>
      </c>
      <c r="D320">
        <v>4</v>
      </c>
      <c r="E320" s="6">
        <v>0.40043246706442964</v>
      </c>
      <c r="F320" s="6">
        <v>0.39415658406617626</v>
      </c>
      <c r="G320" s="6">
        <v>0.38631703687106389</v>
      </c>
      <c r="H320" s="6">
        <v>0.3785482437120084</v>
      </c>
      <c r="I320" s="6">
        <v>0.37085020458900991</v>
      </c>
      <c r="J320" s="6">
        <v>0.36322291950206836</v>
      </c>
      <c r="K320" s="6">
        <v>0.35566638845118387</v>
      </c>
      <c r="L320" s="6">
        <v>0.34818061143635626</v>
      </c>
    </row>
    <row r="321" spans="1:12">
      <c r="A321" t="s">
        <v>486</v>
      </c>
      <c r="B321" t="s">
        <v>225</v>
      </c>
      <c r="C321" s="6" t="s">
        <v>15</v>
      </c>
      <c r="D321">
        <v>1</v>
      </c>
      <c r="E321" s="6">
        <v>0.47031158142269258</v>
      </c>
      <c r="F321" s="6">
        <v>0.45474117532570546</v>
      </c>
      <c r="G321" s="6">
        <v>0.43298526543676463</v>
      </c>
      <c r="H321" s="6">
        <v>0.41176258863333698</v>
      </c>
      <c r="I321" s="6">
        <v>0.39107314491542261</v>
      </c>
      <c r="J321" s="6">
        <v>0.37091693428302153</v>
      </c>
      <c r="K321" s="6">
        <v>0.35129395673613367</v>
      </c>
      <c r="L321" s="6">
        <v>0.33220421227475905</v>
      </c>
    </row>
    <row r="322" spans="1:12">
      <c r="A322" t="s">
        <v>486</v>
      </c>
      <c r="B322" t="s">
        <v>225</v>
      </c>
      <c r="C322" t="s">
        <v>183</v>
      </c>
      <c r="D322">
        <v>1</v>
      </c>
      <c r="E322" s="6">
        <v>2.4691358024691357</v>
      </c>
      <c r="F322" s="6">
        <v>2.4065091762748603</v>
      </c>
      <c r="G322" s="6">
        <v>2.3386859270457157</v>
      </c>
      <c r="H322" s="6">
        <v>2.2716625274448399</v>
      </c>
      <c r="I322" s="6">
        <v>2.2054389774722347</v>
      </c>
      <c r="J322" s="6">
        <v>2.1400152771278997</v>
      </c>
      <c r="K322" s="6">
        <v>2.0753914264118345</v>
      </c>
      <c r="L322" s="6">
        <v>2.011567425324039</v>
      </c>
    </row>
    <row r="323" spans="1:12">
      <c r="A323" t="s">
        <v>486</v>
      </c>
      <c r="B323" t="s">
        <v>225</v>
      </c>
      <c r="C323" s="6" t="s">
        <v>15</v>
      </c>
      <c r="D323">
        <v>2</v>
      </c>
      <c r="E323" s="6">
        <v>0.47031158142269258</v>
      </c>
      <c r="F323" s="6">
        <v>0.45474117532570546</v>
      </c>
      <c r="G323" s="6">
        <v>0.43298526543676463</v>
      </c>
      <c r="H323" s="6">
        <v>0.41176258863333698</v>
      </c>
      <c r="I323" s="6">
        <v>0.39107314491542261</v>
      </c>
      <c r="J323" s="6">
        <v>0.37091693428302153</v>
      </c>
      <c r="K323" s="6">
        <v>0.35129395673613367</v>
      </c>
      <c r="L323" s="6">
        <v>0.33220421227475905</v>
      </c>
    </row>
    <row r="324" spans="1:12">
      <c r="A324" t="s">
        <v>486</v>
      </c>
      <c r="B324" t="s">
        <v>225</v>
      </c>
      <c r="C324" t="s">
        <v>185</v>
      </c>
      <c r="D324">
        <v>2</v>
      </c>
      <c r="E324" s="6">
        <v>2.4691358024691357</v>
      </c>
      <c r="F324" s="6">
        <v>2.4065091762748603</v>
      </c>
      <c r="G324" s="6">
        <v>2.3386859270457157</v>
      </c>
      <c r="H324" s="6">
        <v>2.2716625274448399</v>
      </c>
      <c r="I324" s="6">
        <v>2.2054389774722347</v>
      </c>
      <c r="J324" s="6">
        <v>2.1400152771278997</v>
      </c>
      <c r="K324" s="6">
        <v>2.0753914264118345</v>
      </c>
      <c r="L324" s="6">
        <v>2.011567425324039</v>
      </c>
    </row>
    <row r="325" spans="1:12">
      <c r="A325" t="s">
        <v>486</v>
      </c>
      <c r="B325" t="s">
        <v>225</v>
      </c>
      <c r="C325" s="6" t="s">
        <v>15</v>
      </c>
      <c r="D325">
        <v>3</v>
      </c>
      <c r="E325" s="6">
        <v>0.47031158142269258</v>
      </c>
      <c r="F325" s="6">
        <v>0.45474117532570546</v>
      </c>
      <c r="G325" s="6">
        <v>0.43298526543676463</v>
      </c>
      <c r="H325" s="6">
        <v>0.41176258863333698</v>
      </c>
      <c r="I325" s="6">
        <v>0.39107314491542261</v>
      </c>
      <c r="J325" s="6">
        <v>0.37091693428302153</v>
      </c>
      <c r="K325" s="6">
        <v>0.35129395673613367</v>
      </c>
      <c r="L325" s="6">
        <v>0.33220421227475905</v>
      </c>
    </row>
    <row r="326" spans="1:12">
      <c r="A326" t="s">
        <v>486</v>
      </c>
      <c r="B326" t="s">
        <v>225</v>
      </c>
      <c r="C326" t="s">
        <v>184</v>
      </c>
      <c r="D326">
        <v>3</v>
      </c>
      <c r="E326" s="6">
        <v>2.4691358024691357</v>
      </c>
      <c r="F326" s="6">
        <v>2.4065091762748603</v>
      </c>
      <c r="G326" s="6">
        <v>2.3386859270457157</v>
      </c>
      <c r="H326" s="6">
        <v>2.2716625274448399</v>
      </c>
      <c r="I326" s="6">
        <v>2.2054389774722347</v>
      </c>
      <c r="J326" s="6">
        <v>2.1400152771278997</v>
      </c>
      <c r="K326" s="6">
        <v>2.0753914264118345</v>
      </c>
      <c r="L326" s="6">
        <v>2.011567425324039</v>
      </c>
    </row>
    <row r="327" spans="1:12">
      <c r="A327" t="s">
        <v>486</v>
      </c>
      <c r="B327" t="s">
        <v>226</v>
      </c>
      <c r="C327" s="6" t="s">
        <v>15</v>
      </c>
      <c r="D327">
        <v>1</v>
      </c>
      <c r="E327" s="6">
        <v>1.5873015873015872</v>
      </c>
      <c r="F327" s="6">
        <v>1.5442752762480654</v>
      </c>
      <c r="G327" s="6">
        <v>1.4946586041824137</v>
      </c>
      <c r="H327" s="6">
        <v>1.4468415937803691</v>
      </c>
      <c r="I327" s="6">
        <v>1.4008242450419321</v>
      </c>
      <c r="J327" s="6">
        <v>1.3566065579671023</v>
      </c>
      <c r="K327" s="6">
        <v>1.3141885325558795</v>
      </c>
      <c r="L327" s="6">
        <v>1.2735701688082641</v>
      </c>
    </row>
    <row r="328" spans="1:12">
      <c r="A328" t="s">
        <v>486</v>
      </c>
      <c r="B328" t="s">
        <v>227</v>
      </c>
      <c r="C328" t="s">
        <v>15</v>
      </c>
      <c r="D328">
        <v>1</v>
      </c>
      <c r="E328" s="6">
        <v>0.97001763668430341</v>
      </c>
      <c r="F328" s="6">
        <v>0.96077937347778619</v>
      </c>
      <c r="G328" s="6">
        <v>0.93768371546149332</v>
      </c>
      <c r="H328" s="6">
        <v>0.91458805744520022</v>
      </c>
      <c r="I328" s="6">
        <v>0.89149239942890735</v>
      </c>
      <c r="J328" s="6">
        <v>0.86839674141261447</v>
      </c>
      <c r="K328" s="6">
        <v>0.84530108339632148</v>
      </c>
      <c r="L328" s="6">
        <v>0.82220542538002861</v>
      </c>
    </row>
    <row r="329" spans="1:12">
      <c r="A329" t="s">
        <v>486</v>
      </c>
      <c r="B329" t="s">
        <v>227</v>
      </c>
      <c r="C329" t="s">
        <v>132</v>
      </c>
      <c r="D329">
        <v>1</v>
      </c>
      <c r="E329" s="6">
        <v>1.9694297472075253</v>
      </c>
      <c r="F329" s="6">
        <v>1.9536023227633206</v>
      </c>
      <c r="G329" s="6">
        <v>1.9140337616528096</v>
      </c>
      <c r="H329" s="6">
        <v>1.8744652005422981</v>
      </c>
      <c r="I329" s="6">
        <v>1.8348966394317869</v>
      </c>
      <c r="J329" s="6">
        <v>1.7953280783212757</v>
      </c>
      <c r="K329" s="6">
        <v>1.7557595172107645</v>
      </c>
      <c r="L329" s="6">
        <v>1.7161909561002533</v>
      </c>
    </row>
    <row r="330" spans="1:12">
      <c r="A330" t="s">
        <v>486</v>
      </c>
      <c r="B330" t="s">
        <v>228</v>
      </c>
      <c r="C330" s="6" t="s">
        <v>15</v>
      </c>
      <c r="D330">
        <v>1</v>
      </c>
      <c r="E330" s="6">
        <v>1.25</v>
      </c>
      <c r="F330" s="6">
        <v>1.2476190476190476</v>
      </c>
      <c r="G330" s="6">
        <v>1.2416666666666667</v>
      </c>
      <c r="H330" s="6">
        <v>1.2357142857142858</v>
      </c>
      <c r="I330" s="6">
        <v>1.2297619047619048</v>
      </c>
      <c r="J330" s="6">
        <v>1.2238095238095239</v>
      </c>
      <c r="K330" s="6">
        <v>1.217857142857143</v>
      </c>
      <c r="L330" s="6">
        <v>1.2119047619047618</v>
      </c>
    </row>
    <row r="331" spans="1:12">
      <c r="A331" t="s">
        <v>486</v>
      </c>
      <c r="B331" t="s">
        <v>229</v>
      </c>
      <c r="C331" t="s">
        <v>133</v>
      </c>
      <c r="D331">
        <v>1</v>
      </c>
      <c r="E331" s="6">
        <v>2.0452511824108401</v>
      </c>
      <c r="F331" s="6">
        <v>2.0089876741837078</v>
      </c>
      <c r="G331" s="6">
        <v>1.9590568492396438</v>
      </c>
      <c r="H331" s="6">
        <v>1.9103908673273735</v>
      </c>
      <c r="I331" s="6">
        <v>1.862989728446897</v>
      </c>
      <c r="J331" s="6">
        <v>1.8168534325982146</v>
      </c>
      <c r="K331" s="6">
        <v>1.7719819797813261</v>
      </c>
      <c r="L331" s="6">
        <v>1.7283753699962316</v>
      </c>
    </row>
    <row r="332" spans="1:12">
      <c r="A332" t="s">
        <v>486</v>
      </c>
      <c r="B332" t="s">
        <v>229</v>
      </c>
      <c r="C332" t="s">
        <v>183</v>
      </c>
      <c r="D332">
        <v>1</v>
      </c>
      <c r="E332" s="6">
        <v>0.51131279560271004</v>
      </c>
      <c r="F332" s="6">
        <v>0.50329911153698681</v>
      </c>
      <c r="G332" s="6">
        <v>0.49328878239964602</v>
      </c>
      <c r="H332" s="6">
        <v>0.48336879919314762</v>
      </c>
      <c r="I332" s="6">
        <v>0.47353916191749168</v>
      </c>
      <c r="J332" s="6">
        <v>0.46379987057267819</v>
      </c>
      <c r="K332" s="6">
        <v>0.45415092515870703</v>
      </c>
      <c r="L332" s="6">
        <v>0.44459232567557838</v>
      </c>
    </row>
    <row r="333" spans="1:12">
      <c r="A333" t="s">
        <v>486</v>
      </c>
      <c r="B333" t="s">
        <v>229</v>
      </c>
      <c r="C333" s="6" t="s">
        <v>133</v>
      </c>
      <c r="D333">
        <v>2</v>
      </c>
      <c r="E333" s="6">
        <v>2.0452511824108401</v>
      </c>
      <c r="F333" s="6">
        <v>2.0089876741837078</v>
      </c>
      <c r="G333" s="6">
        <v>1.9590568492396438</v>
      </c>
      <c r="H333" s="6">
        <v>1.9103908673273735</v>
      </c>
      <c r="I333" s="6">
        <v>1.862989728446897</v>
      </c>
      <c r="J333" s="6">
        <v>1.8168534325982146</v>
      </c>
      <c r="K333" s="6">
        <v>1.7719819797813261</v>
      </c>
      <c r="L333" s="6">
        <v>1.7283753699962316</v>
      </c>
    </row>
    <row r="334" spans="1:12">
      <c r="A334" t="s">
        <v>486</v>
      </c>
      <c r="B334" t="s">
        <v>229</v>
      </c>
      <c r="C334" t="s">
        <v>185</v>
      </c>
      <c r="D334">
        <v>2</v>
      </c>
      <c r="E334" s="6">
        <v>0.51131279560271004</v>
      </c>
      <c r="F334" s="6">
        <v>0.50329911153698681</v>
      </c>
      <c r="G334" s="6">
        <v>0.49328878239964602</v>
      </c>
      <c r="H334" s="6">
        <v>0.48336879919314762</v>
      </c>
      <c r="I334" s="6">
        <v>0.47353916191749168</v>
      </c>
      <c r="J334" s="6">
        <v>0.46379987057267819</v>
      </c>
      <c r="K334" s="6">
        <v>0.45415092515870703</v>
      </c>
      <c r="L334" s="6">
        <v>0.44459232567557838</v>
      </c>
    </row>
    <row r="335" spans="1:12">
      <c r="A335" t="s">
        <v>486</v>
      </c>
      <c r="B335" t="s">
        <v>229</v>
      </c>
      <c r="C335" t="s">
        <v>133</v>
      </c>
      <c r="D335">
        <v>3</v>
      </c>
      <c r="E335" s="6">
        <v>2.0452511824108401</v>
      </c>
      <c r="F335" s="6">
        <v>2.0089876741837078</v>
      </c>
      <c r="G335" s="6">
        <v>1.9590568492396438</v>
      </c>
      <c r="H335" s="6">
        <v>1.9103908673273735</v>
      </c>
      <c r="I335" s="6">
        <v>1.862989728446897</v>
      </c>
      <c r="J335" s="6">
        <v>1.8168534325982146</v>
      </c>
      <c r="K335" s="6">
        <v>1.7719819797813261</v>
      </c>
      <c r="L335" s="6">
        <v>1.7283753699962316</v>
      </c>
    </row>
    <row r="336" spans="1:12">
      <c r="A336" t="s">
        <v>486</v>
      </c>
      <c r="B336" t="s">
        <v>229</v>
      </c>
      <c r="C336" t="s">
        <v>184</v>
      </c>
      <c r="D336">
        <v>3</v>
      </c>
      <c r="E336" s="6">
        <v>0.51131279560271004</v>
      </c>
      <c r="F336" s="6">
        <v>0.50329911153698681</v>
      </c>
      <c r="G336" s="6">
        <v>0.49328878239964602</v>
      </c>
      <c r="H336" s="6">
        <v>0.48336879919314762</v>
      </c>
      <c r="I336" s="6">
        <v>0.47353916191749168</v>
      </c>
      <c r="J336" s="6">
        <v>0.46379987057267819</v>
      </c>
      <c r="K336" s="6">
        <v>0.45415092515870703</v>
      </c>
      <c r="L336" s="6">
        <v>0.44459232567557838</v>
      </c>
    </row>
    <row r="337" spans="1:12">
      <c r="A337" t="s">
        <v>486</v>
      </c>
      <c r="B337" t="s">
        <v>235</v>
      </c>
      <c r="C337" t="s">
        <v>143</v>
      </c>
      <c r="D337">
        <v>1</v>
      </c>
      <c r="E337" s="6">
        <v>2.2624434389140271</v>
      </c>
      <c r="F337" s="6">
        <v>2.2297057884092695</v>
      </c>
      <c r="G337" s="6">
        <v>2.1922150678453196</v>
      </c>
      <c r="H337" s="6">
        <v>2.1551241075850918</v>
      </c>
      <c r="I337" s="6">
        <v>2.1184329076285859</v>
      </c>
      <c r="J337" s="6">
        <v>2.0821414679758017</v>
      </c>
      <c r="K337" s="6">
        <v>2.0462497886267395</v>
      </c>
      <c r="L337" s="6">
        <v>2.0107578695813988</v>
      </c>
    </row>
    <row r="338" spans="1:12">
      <c r="A338" t="s">
        <v>486</v>
      </c>
      <c r="B338" t="s">
        <v>235</v>
      </c>
      <c r="C338" s="6" t="s">
        <v>143</v>
      </c>
      <c r="D338">
        <v>2</v>
      </c>
      <c r="E338" s="6">
        <v>1.6017298682577186</v>
      </c>
      <c r="F338" s="6">
        <v>1.5793474247000794</v>
      </c>
      <c r="G338" s="6">
        <v>1.5547919570080651</v>
      </c>
      <c r="H338" s="6">
        <v>1.5305195054602785</v>
      </c>
      <c r="I338" s="6">
        <v>1.5065300700567197</v>
      </c>
      <c r="J338" s="6">
        <v>1.4828236507973891</v>
      </c>
      <c r="K338" s="6">
        <v>1.4594002476822865</v>
      </c>
      <c r="L338" s="6">
        <v>1.4362598607114114</v>
      </c>
    </row>
    <row r="339" spans="1:12">
      <c r="A339" t="s">
        <v>486</v>
      </c>
      <c r="B339" t="s">
        <v>235</v>
      </c>
      <c r="C339" t="s">
        <v>183</v>
      </c>
      <c r="D339">
        <v>2</v>
      </c>
      <c r="E339" s="6">
        <v>0.40043246706442964</v>
      </c>
      <c r="F339" s="6">
        <v>0.39415658406617626</v>
      </c>
      <c r="G339" s="6">
        <v>0.38631703687106389</v>
      </c>
      <c r="H339" s="6">
        <v>0.3785482437120084</v>
      </c>
      <c r="I339" s="6">
        <v>0.37085020458900991</v>
      </c>
      <c r="J339" s="6">
        <v>0.36322291950206836</v>
      </c>
      <c r="K339" s="6">
        <v>0.35566638845118387</v>
      </c>
      <c r="L339" s="6">
        <v>0.34818061143635626</v>
      </c>
    </row>
    <row r="340" spans="1:12">
      <c r="A340" t="s">
        <v>486</v>
      </c>
      <c r="B340" t="s">
        <v>235</v>
      </c>
      <c r="C340" t="s">
        <v>143</v>
      </c>
      <c r="D340">
        <v>3</v>
      </c>
      <c r="E340" s="6">
        <v>1.6017298682577186</v>
      </c>
      <c r="F340" s="6">
        <v>1.5793474247000794</v>
      </c>
      <c r="G340" s="6">
        <v>1.5547919570080651</v>
      </c>
      <c r="H340" s="6">
        <v>1.5305195054602785</v>
      </c>
      <c r="I340" s="6">
        <v>1.5065300700567197</v>
      </c>
      <c r="J340" s="6">
        <v>1.4828236507973891</v>
      </c>
      <c r="K340" s="6">
        <v>1.4594002476822865</v>
      </c>
      <c r="L340" s="6">
        <v>1.4362598607114114</v>
      </c>
    </row>
    <row r="341" spans="1:12">
      <c r="A341" t="s">
        <v>486</v>
      </c>
      <c r="B341" t="s">
        <v>235</v>
      </c>
      <c r="C341" s="6" t="s">
        <v>185</v>
      </c>
      <c r="D341">
        <v>3</v>
      </c>
      <c r="E341" s="6">
        <v>0.40043246706442964</v>
      </c>
      <c r="F341" s="6">
        <v>0.39415658406617626</v>
      </c>
      <c r="G341" s="6">
        <v>0.38631703687106389</v>
      </c>
      <c r="H341" s="6">
        <v>0.3785482437120084</v>
      </c>
      <c r="I341" s="6">
        <v>0.37085020458900991</v>
      </c>
      <c r="J341" s="6">
        <v>0.36322291950206836</v>
      </c>
      <c r="K341" s="6">
        <v>0.35566638845118387</v>
      </c>
      <c r="L341" s="6">
        <v>0.34818061143635626</v>
      </c>
    </row>
    <row r="342" spans="1:12">
      <c r="A342" t="s">
        <v>486</v>
      </c>
      <c r="B342" t="s">
        <v>235</v>
      </c>
      <c r="C342" s="6" t="s">
        <v>143</v>
      </c>
      <c r="D342">
        <v>4</v>
      </c>
      <c r="E342" s="6">
        <v>1.6017298682577186</v>
      </c>
      <c r="F342" s="6">
        <v>1.5793474247000794</v>
      </c>
      <c r="G342" s="6">
        <v>1.5547919570080651</v>
      </c>
      <c r="H342" s="6">
        <v>1.5305195054602785</v>
      </c>
      <c r="I342" s="6">
        <v>1.5065300700567197</v>
      </c>
      <c r="J342" s="6">
        <v>1.4828236507973891</v>
      </c>
      <c r="K342" s="6">
        <v>1.4594002476822865</v>
      </c>
      <c r="L342" s="6">
        <v>1.4362598607114114</v>
      </c>
    </row>
    <row r="343" spans="1:12">
      <c r="A343" t="s">
        <v>486</v>
      </c>
      <c r="B343" t="s">
        <v>235</v>
      </c>
      <c r="C343" t="s">
        <v>184</v>
      </c>
      <c r="D343">
        <v>4</v>
      </c>
      <c r="E343" s="6">
        <v>0.40043246706442964</v>
      </c>
      <c r="F343" s="6">
        <v>0.39415658406617626</v>
      </c>
      <c r="G343" s="6">
        <v>0.38631703687106389</v>
      </c>
      <c r="H343" s="6">
        <v>0.3785482437120084</v>
      </c>
      <c r="I343" s="6">
        <v>0.37085020458900991</v>
      </c>
      <c r="J343" s="6">
        <v>0.36322291950206836</v>
      </c>
      <c r="K343" s="6">
        <v>0.35566638845118387</v>
      </c>
      <c r="L343" s="6">
        <v>0.34818061143635626</v>
      </c>
    </row>
    <row r="344" spans="1:12">
      <c r="A344" t="s">
        <v>486</v>
      </c>
      <c r="B344" t="s">
        <v>236</v>
      </c>
      <c r="C344" t="s">
        <v>15</v>
      </c>
      <c r="D344">
        <v>1</v>
      </c>
      <c r="E344" s="6">
        <v>0.47031158142269258</v>
      </c>
      <c r="F344" s="6">
        <v>0.45474117532570546</v>
      </c>
      <c r="G344" s="6">
        <v>0.43298526543676463</v>
      </c>
      <c r="H344" s="6">
        <v>0.41176258863333698</v>
      </c>
      <c r="I344" s="6">
        <v>0.39107314491542261</v>
      </c>
      <c r="J344" s="6">
        <v>0.37091693428302153</v>
      </c>
      <c r="K344" s="6">
        <v>0.35129395673613367</v>
      </c>
      <c r="L344" s="6">
        <v>0.33220421227475905</v>
      </c>
    </row>
    <row r="345" spans="1:12">
      <c r="A345" t="s">
        <v>486</v>
      </c>
      <c r="B345" t="s">
        <v>236</v>
      </c>
      <c r="C345" s="6" t="s">
        <v>183</v>
      </c>
      <c r="D345">
        <v>1</v>
      </c>
      <c r="E345" s="6">
        <v>2.4691358024691357</v>
      </c>
      <c r="F345" s="6">
        <v>2.4065091762748603</v>
      </c>
      <c r="G345" s="6">
        <v>2.3386859270457157</v>
      </c>
      <c r="H345" s="6">
        <v>2.2716625274448399</v>
      </c>
      <c r="I345" s="6">
        <v>2.2054389774722347</v>
      </c>
      <c r="J345" s="6">
        <v>2.1400152771278997</v>
      </c>
      <c r="K345" s="6">
        <v>2.0753914264118345</v>
      </c>
      <c r="L345" s="6">
        <v>2.011567425324039</v>
      </c>
    </row>
    <row r="346" spans="1:12">
      <c r="A346" t="s">
        <v>486</v>
      </c>
      <c r="B346" t="s">
        <v>248</v>
      </c>
      <c r="C346" t="s">
        <v>133</v>
      </c>
      <c r="D346">
        <v>1</v>
      </c>
      <c r="E346" s="6">
        <v>1.5384615384615383</v>
      </c>
      <c r="F346" s="6">
        <v>1.5333333333333332</v>
      </c>
      <c r="G346" s="6">
        <v>1.5205128205128204</v>
      </c>
      <c r="H346" s="6">
        <v>1.5076923076923077</v>
      </c>
      <c r="I346" s="6">
        <v>1.4948717948717949</v>
      </c>
      <c r="J346" s="6">
        <v>1.4820512820512819</v>
      </c>
      <c r="K346" s="6">
        <v>1.4692307692307691</v>
      </c>
      <c r="L346" s="6">
        <v>1.4564102564102563</v>
      </c>
    </row>
    <row r="347" spans="1:12">
      <c r="A347" t="s">
        <v>486</v>
      </c>
      <c r="B347" t="s">
        <v>242</v>
      </c>
      <c r="C347" s="6" t="s">
        <v>143</v>
      </c>
      <c r="D347">
        <v>1</v>
      </c>
      <c r="E347" s="6">
        <v>1.6666666666666667</v>
      </c>
      <c r="F347" s="6">
        <v>1.6648526077097507</v>
      </c>
      <c r="G347" s="6">
        <v>1.6603174603174604</v>
      </c>
      <c r="H347" s="6">
        <v>1.6557823129251701</v>
      </c>
      <c r="I347" s="6">
        <v>1.65124716553288</v>
      </c>
      <c r="J347" s="6">
        <v>1.6467120181405897</v>
      </c>
      <c r="K347" s="6">
        <v>1.6421768707482993</v>
      </c>
      <c r="L347" s="6">
        <v>1.6376417233560092</v>
      </c>
    </row>
    <row r="348" spans="1:12">
      <c r="A348" t="s">
        <v>486</v>
      </c>
      <c r="B348" t="s">
        <v>243</v>
      </c>
      <c r="C348" s="6" t="s">
        <v>144</v>
      </c>
      <c r="D348">
        <v>1</v>
      </c>
      <c r="E348" s="6">
        <v>1.6666666666666667</v>
      </c>
      <c r="F348" s="6">
        <v>1.6648526077097507</v>
      </c>
      <c r="G348" s="6">
        <v>1.6603174603174604</v>
      </c>
      <c r="H348" s="6">
        <v>1.6557823129251701</v>
      </c>
      <c r="I348" s="6">
        <v>1.65124716553288</v>
      </c>
      <c r="J348" s="6">
        <v>1.6467120181405897</v>
      </c>
      <c r="K348" s="6">
        <v>1.6421768707482993</v>
      </c>
      <c r="L348" s="6">
        <v>1.6376417233560092</v>
      </c>
    </row>
    <row r="349" spans="1:12">
      <c r="A349" t="s">
        <v>486</v>
      </c>
      <c r="B349" t="s">
        <v>249</v>
      </c>
      <c r="C349" s="6" t="s">
        <v>133</v>
      </c>
      <c r="D349">
        <v>1</v>
      </c>
      <c r="E349" s="6">
        <v>1.5384615384615383</v>
      </c>
      <c r="F349" s="6">
        <v>1.5333333333333332</v>
      </c>
      <c r="G349" s="6">
        <v>1.5205128205128204</v>
      </c>
      <c r="H349" s="6">
        <v>1.5076923076923077</v>
      </c>
      <c r="I349" s="6">
        <v>1.4948717948717949</v>
      </c>
      <c r="J349" s="6">
        <v>1.4820512820512819</v>
      </c>
      <c r="K349" s="6">
        <v>1.4692307692307691</v>
      </c>
      <c r="L349" s="6">
        <v>1.4564102564102563</v>
      </c>
    </row>
    <row r="350" spans="1:12">
      <c r="A350" t="s">
        <v>486</v>
      </c>
      <c r="B350" t="s">
        <v>240</v>
      </c>
      <c r="C350" t="s">
        <v>143</v>
      </c>
      <c r="D350">
        <v>1</v>
      </c>
      <c r="E350" s="6">
        <v>1.6666666666666667</v>
      </c>
      <c r="F350" s="6">
        <v>1.6648526077097507</v>
      </c>
      <c r="G350" s="6">
        <v>1.6603174603174604</v>
      </c>
      <c r="H350" s="6">
        <v>1.6557823129251701</v>
      </c>
      <c r="I350" s="6">
        <v>1.65124716553288</v>
      </c>
      <c r="J350" s="6">
        <v>1.6467120181405897</v>
      </c>
      <c r="K350" s="6">
        <v>1.6421768707482993</v>
      </c>
      <c r="L350" s="6">
        <v>1.6376417233560092</v>
      </c>
    </row>
    <row r="351" spans="1:12">
      <c r="A351" t="s">
        <v>486</v>
      </c>
      <c r="B351" t="s">
        <v>241</v>
      </c>
      <c r="C351" t="s">
        <v>144</v>
      </c>
      <c r="D351">
        <v>1</v>
      </c>
      <c r="E351" s="6">
        <v>1.6666666666666667</v>
      </c>
      <c r="F351" s="6">
        <v>1.6648526077097507</v>
      </c>
      <c r="G351" s="6">
        <v>1.6603174603174604</v>
      </c>
      <c r="H351" s="6">
        <v>1.6557823129251701</v>
      </c>
      <c r="I351" s="6">
        <v>1.65124716553288</v>
      </c>
      <c r="J351" s="6">
        <v>1.6467120181405897</v>
      </c>
      <c r="K351" s="6">
        <v>1.6421768707482993</v>
      </c>
      <c r="L351" s="6">
        <v>1.6376417233560092</v>
      </c>
    </row>
    <row r="352" spans="1:12">
      <c r="A352" t="s">
        <v>486</v>
      </c>
      <c r="B352" t="s">
        <v>244</v>
      </c>
      <c r="C352" t="s">
        <v>183</v>
      </c>
      <c r="D352">
        <v>1</v>
      </c>
      <c r="E352" s="6">
        <v>1.0989010989010988</v>
      </c>
      <c r="F352" s="6">
        <v>1.0986319802646332</v>
      </c>
      <c r="G352" s="6">
        <v>1.0979591836734692</v>
      </c>
      <c r="H352" s="6">
        <v>1.0972863870823053</v>
      </c>
      <c r="I352" s="6">
        <v>1.0966135904911414</v>
      </c>
      <c r="J352" s="6">
        <v>1.0959407938999775</v>
      </c>
      <c r="K352" s="6">
        <v>1.0952679973088135</v>
      </c>
      <c r="L352" s="6">
        <v>1.0945952007176496</v>
      </c>
    </row>
    <row r="353" spans="1:12">
      <c r="A353" t="s">
        <v>486</v>
      </c>
      <c r="B353" t="s">
        <v>245</v>
      </c>
      <c r="C353" t="s">
        <v>143</v>
      </c>
      <c r="D353">
        <v>1</v>
      </c>
      <c r="E353" s="6">
        <v>1.416361416361416</v>
      </c>
      <c r="F353" s="6">
        <v>1.4152284601264189</v>
      </c>
      <c r="G353" s="6">
        <v>1.4123960695389264</v>
      </c>
      <c r="H353" s="6">
        <v>1.4095636789514336</v>
      </c>
      <c r="I353" s="6">
        <v>1.4067312883639411</v>
      </c>
      <c r="J353" s="6">
        <v>1.4038988977764484</v>
      </c>
      <c r="K353" s="6">
        <v>1.4010665071889559</v>
      </c>
      <c r="L353" s="6">
        <v>1.3982341166014631</v>
      </c>
    </row>
    <row r="354" spans="1:12">
      <c r="A354" t="s">
        <v>486</v>
      </c>
      <c r="B354" t="s">
        <v>237</v>
      </c>
      <c r="C354" t="s">
        <v>143</v>
      </c>
      <c r="D354">
        <v>1</v>
      </c>
      <c r="E354" s="6">
        <v>2.6315789473684212</v>
      </c>
      <c r="F354" s="6">
        <v>2.6271392767633373</v>
      </c>
      <c r="G354" s="6">
        <v>2.6160401002506268</v>
      </c>
      <c r="H354" s="6">
        <v>2.6049409237379164</v>
      </c>
      <c r="I354" s="6">
        <v>2.593841747225206</v>
      </c>
      <c r="J354" s="6">
        <v>2.5827425707124956</v>
      </c>
      <c r="K354" s="6">
        <v>2.5716433941997856</v>
      </c>
      <c r="L354" s="6">
        <v>2.5605442176870747</v>
      </c>
    </row>
    <row r="355" spans="1:12">
      <c r="A355" t="s">
        <v>486</v>
      </c>
      <c r="B355" t="s">
        <v>238</v>
      </c>
      <c r="C355" t="s">
        <v>144</v>
      </c>
      <c r="D355">
        <v>1</v>
      </c>
      <c r="E355" s="6">
        <v>2.7027027027027026</v>
      </c>
      <c r="F355" s="6">
        <v>2.6980694980694979</v>
      </c>
      <c r="G355" s="6">
        <v>2.6864864864864866</v>
      </c>
      <c r="H355" s="6">
        <v>2.6749034749034748</v>
      </c>
      <c r="I355" s="6">
        <v>2.6633204633204635</v>
      </c>
      <c r="J355" s="6">
        <v>2.6517374517374517</v>
      </c>
      <c r="K355" s="6">
        <v>2.6401544401544399</v>
      </c>
      <c r="L355" s="6">
        <v>2.6285714285714286</v>
      </c>
    </row>
    <row r="356" spans="1:12">
      <c r="A356" t="s">
        <v>486</v>
      </c>
      <c r="B356" t="s">
        <v>239</v>
      </c>
      <c r="C356" t="s">
        <v>183</v>
      </c>
      <c r="D356" s="5">
        <v>1</v>
      </c>
      <c r="E356" s="6">
        <v>1.8518518518518516</v>
      </c>
      <c r="F356" s="6">
        <v>1.8495338876291254</v>
      </c>
      <c r="G356" s="6">
        <v>1.8437389770723103</v>
      </c>
      <c r="H356" s="6">
        <v>1.8379440665154949</v>
      </c>
      <c r="I356" s="6">
        <v>1.8321491559586796</v>
      </c>
      <c r="J356" s="6">
        <v>1.8263542454018644</v>
      </c>
      <c r="K356" s="6">
        <v>1.8205593348450488</v>
      </c>
      <c r="L356" s="6">
        <v>1.8147644242882337</v>
      </c>
    </row>
    <row r="357" spans="1:12">
      <c r="A357" t="s">
        <v>486</v>
      </c>
      <c r="B357" t="s">
        <v>239</v>
      </c>
      <c r="C357" t="s">
        <v>184</v>
      </c>
      <c r="D357" s="5">
        <v>2</v>
      </c>
      <c r="E357" s="6">
        <v>1.8518518518518516</v>
      </c>
      <c r="F357" s="6">
        <v>1.8495338876291254</v>
      </c>
      <c r="G357" s="6">
        <v>1.8437389770723103</v>
      </c>
      <c r="H357" s="6">
        <v>1.8379440665154949</v>
      </c>
      <c r="I357" s="6">
        <v>1.8321491559586796</v>
      </c>
      <c r="J357" s="6">
        <v>1.8263542454018644</v>
      </c>
      <c r="K357" s="6">
        <v>1.8205593348450488</v>
      </c>
      <c r="L357" s="6">
        <v>1.8147644242882337</v>
      </c>
    </row>
    <row r="358" spans="1:12">
      <c r="A358" t="s">
        <v>486</v>
      </c>
      <c r="B358" t="s">
        <v>239</v>
      </c>
      <c r="C358" t="s">
        <v>185</v>
      </c>
      <c r="D358" s="5">
        <v>3</v>
      </c>
      <c r="E358" s="6">
        <v>1.8518518518518516</v>
      </c>
      <c r="F358" s="6">
        <v>1.8495338876291254</v>
      </c>
      <c r="G358" s="6">
        <v>1.8437389770723103</v>
      </c>
      <c r="H358" s="6">
        <v>1.8379440665154949</v>
      </c>
      <c r="I358" s="6">
        <v>1.8321491559586796</v>
      </c>
      <c r="J358" s="6">
        <v>1.8263542454018644</v>
      </c>
      <c r="K358" s="6">
        <v>1.8205593348450488</v>
      </c>
      <c r="L358" s="6">
        <v>1.8147644242882337</v>
      </c>
    </row>
    <row r="359" spans="1:12">
      <c r="A359" t="s">
        <v>486</v>
      </c>
      <c r="B359" s="6" t="s">
        <v>246</v>
      </c>
      <c r="C359" s="6" t="s">
        <v>183</v>
      </c>
      <c r="D359" s="6">
        <v>1</v>
      </c>
      <c r="E359" s="6">
        <v>1.6666666666666667</v>
      </c>
      <c r="F359" s="6">
        <v>1.5021315192743763</v>
      </c>
      <c r="G359" s="6">
        <v>1.4368253968253968</v>
      </c>
      <c r="H359" s="6">
        <v>1.411504157218443</v>
      </c>
      <c r="I359" s="6">
        <v>1.3929100529100529</v>
      </c>
      <c r="J359" s="6">
        <v>1.3775850340136055</v>
      </c>
      <c r="K359" s="6">
        <v>1.3638473167044598</v>
      </c>
      <c r="L359" s="6">
        <v>1.350204081632653</v>
      </c>
    </row>
    <row r="360" spans="1:12">
      <c r="A360" t="s">
        <v>486</v>
      </c>
      <c r="B360" s="6" t="s">
        <v>246</v>
      </c>
      <c r="C360" s="6" t="s">
        <v>194</v>
      </c>
      <c r="D360" s="6">
        <v>1</v>
      </c>
      <c r="E360" s="6">
        <v>0.33301002263174917</v>
      </c>
      <c r="F360" s="6">
        <v>0.29785141343960797</v>
      </c>
      <c r="G360" s="6">
        <v>0.27909411420565644</v>
      </c>
      <c r="H360" s="6">
        <v>0.26832603501579533</v>
      </c>
      <c r="I360" s="6">
        <v>0.25890207791274722</v>
      </c>
      <c r="J360" s="6">
        <v>0.25013130373390874</v>
      </c>
      <c r="K360" s="6">
        <v>0.24167768195757672</v>
      </c>
      <c r="L360" s="6">
        <v>0.23324293830044143</v>
      </c>
    </row>
    <row r="361" spans="1:12">
      <c r="A361" t="s">
        <v>486</v>
      </c>
      <c r="B361" s="6" t="s">
        <v>247</v>
      </c>
      <c r="C361" s="6" t="s">
        <v>183</v>
      </c>
      <c r="D361" s="6">
        <v>1</v>
      </c>
      <c r="E361" s="6">
        <v>1.6666666666666667</v>
      </c>
      <c r="F361" s="6">
        <v>1.5021315192743763</v>
      </c>
      <c r="G361" s="6">
        <v>1.4368253968253968</v>
      </c>
      <c r="H361" s="6">
        <v>1.411504157218443</v>
      </c>
      <c r="I361" s="6">
        <v>1.3929100529100529</v>
      </c>
      <c r="J361" s="6">
        <v>1.3775850340136055</v>
      </c>
      <c r="K361" s="6">
        <v>1.3638473167044598</v>
      </c>
      <c r="L361" s="6">
        <v>1.350204081632653</v>
      </c>
    </row>
    <row r="362" spans="1:12">
      <c r="A362" t="s">
        <v>486</v>
      </c>
      <c r="B362" s="6" t="s">
        <v>247</v>
      </c>
      <c r="C362" s="6" t="s">
        <v>194</v>
      </c>
      <c r="D362" s="6">
        <v>1</v>
      </c>
      <c r="E362" s="6">
        <v>0.33301002263174917</v>
      </c>
      <c r="F362" s="6">
        <v>0.29785141343960797</v>
      </c>
      <c r="G362" s="6">
        <v>0.27909411420565644</v>
      </c>
      <c r="H362" s="6">
        <v>0.26832603501579533</v>
      </c>
      <c r="I362" s="6">
        <v>0.25890207791274722</v>
      </c>
      <c r="J362" s="6">
        <v>0.25013130373390874</v>
      </c>
      <c r="K362" s="6">
        <v>0.24167768195757672</v>
      </c>
      <c r="L362" s="6">
        <v>0.23324293830044143</v>
      </c>
    </row>
    <row r="363" spans="1:12">
      <c r="A363" t="s">
        <v>486</v>
      </c>
      <c r="B363" s="6" t="s">
        <v>253</v>
      </c>
      <c r="C363" s="6" t="s">
        <v>132</v>
      </c>
      <c r="D363" s="6">
        <v>1</v>
      </c>
      <c r="E363" s="6">
        <v>1.1764705882352942</v>
      </c>
      <c r="F363" s="6">
        <v>1.1227207366463066</v>
      </c>
      <c r="G363" s="6">
        <v>1.1013759349893801</v>
      </c>
      <c r="H363" s="6">
        <v>1.0931000971817297</v>
      </c>
      <c r="I363" s="6">
        <v>1.0870317357712314</v>
      </c>
      <c r="J363" s="6">
        <v>1.0820231389258999</v>
      </c>
      <c r="K363" s="6">
        <v>1.0775224375464472</v>
      </c>
      <c r="L363" s="6">
        <v>1.0730657098004035</v>
      </c>
    </row>
    <row r="364" spans="1:12">
      <c r="A364" t="s">
        <v>486</v>
      </c>
      <c r="B364" s="6" t="s">
        <v>254</v>
      </c>
      <c r="C364" s="6" t="s">
        <v>132</v>
      </c>
      <c r="D364" s="6">
        <v>1</v>
      </c>
      <c r="E364" s="6">
        <v>1.1764705882352942</v>
      </c>
      <c r="F364" s="6">
        <v>1.1227207366463066</v>
      </c>
      <c r="G364" s="6">
        <v>1.1013759349893801</v>
      </c>
      <c r="H364" s="6">
        <v>1.0931000971817297</v>
      </c>
      <c r="I364" s="6">
        <v>1.0870317357712314</v>
      </c>
      <c r="J364" s="6">
        <v>1.0820231389258999</v>
      </c>
      <c r="K364" s="6">
        <v>1.0775224375464472</v>
      </c>
      <c r="L364" s="6">
        <v>1.0730657098004035</v>
      </c>
    </row>
    <row r="365" spans="1:12">
      <c r="A365" t="s">
        <v>486</v>
      </c>
      <c r="B365" s="6" t="s">
        <v>255</v>
      </c>
      <c r="C365" s="6" t="s">
        <v>133</v>
      </c>
      <c r="D365" s="6">
        <v>1</v>
      </c>
      <c r="E365" s="6">
        <v>1.4285714285714286</v>
      </c>
      <c r="F365" s="6">
        <v>1.3616024187452758</v>
      </c>
      <c r="G365" s="6">
        <v>1.3324514991181657</v>
      </c>
      <c r="H365" s="6">
        <v>1.3192743764172334</v>
      </c>
      <c r="I365" s="6">
        <v>1.3087805492567397</v>
      </c>
      <c r="J365" s="6">
        <v>1.2995968757873519</v>
      </c>
      <c r="K365" s="6">
        <v>1.2910525321239605</v>
      </c>
      <c r="L365" s="6">
        <v>1.2825396825396824</v>
      </c>
    </row>
    <row r="366" spans="1:12">
      <c r="A366" t="s">
        <v>486</v>
      </c>
      <c r="B366" s="6" t="s">
        <v>281</v>
      </c>
      <c r="C366" s="6" t="s">
        <v>132</v>
      </c>
      <c r="D366" s="6">
        <v>1</v>
      </c>
      <c r="E366" s="6">
        <v>2.2435897435897436</v>
      </c>
      <c r="F366" s="6">
        <v>2.1681122448979595</v>
      </c>
      <c r="G366" s="6">
        <v>2.0693379790940769</v>
      </c>
      <c r="H366" s="6">
        <v>1.8917903525046382</v>
      </c>
      <c r="I366" s="6">
        <v>1.7769742679680567</v>
      </c>
      <c r="J366" s="6">
        <v>1.6751275510204082</v>
      </c>
      <c r="K366" s="6">
        <v>1.6125364431486882</v>
      </c>
      <c r="L366" s="6">
        <v>1.5540816326530611</v>
      </c>
    </row>
    <row r="367" spans="1:12">
      <c r="A367" t="s">
        <v>486</v>
      </c>
      <c r="B367" s="6" t="s">
        <v>281</v>
      </c>
      <c r="C367" s="6" t="s">
        <v>15</v>
      </c>
      <c r="D367" s="6">
        <v>1</v>
      </c>
      <c r="E367" s="6">
        <v>0.32051282051282048</v>
      </c>
      <c r="F367" s="6">
        <v>0.30952380952380953</v>
      </c>
      <c r="G367" s="6">
        <v>0.29471544715447157</v>
      </c>
      <c r="H367" s="6">
        <v>0.26785714285714285</v>
      </c>
      <c r="I367" s="6">
        <v>0.24974120082815734</v>
      </c>
      <c r="J367" s="6">
        <v>0.23313492063492067</v>
      </c>
      <c r="K367" s="6">
        <v>0.22230320699708456</v>
      </c>
      <c r="L367" s="6">
        <v>0.2119047619047619</v>
      </c>
    </row>
    <row r="368" spans="1:12">
      <c r="A368" t="s">
        <v>486</v>
      </c>
      <c r="B368" s="6" t="s">
        <v>281</v>
      </c>
      <c r="C368" s="6" t="s">
        <v>185</v>
      </c>
      <c r="D368" s="6">
        <v>2</v>
      </c>
      <c r="E368" s="6">
        <v>2.1276595744680851</v>
      </c>
      <c r="F368" s="6">
        <v>2.0379841732611412</v>
      </c>
      <c r="G368" s="6">
        <v>1.9516339869281045</v>
      </c>
      <c r="H368" s="6">
        <v>1.8723142087023485</v>
      </c>
      <c r="I368" s="6">
        <v>1.7992578849721705</v>
      </c>
      <c r="J368" s="6">
        <v>1.7318057047380355</v>
      </c>
      <c r="K368" s="6">
        <v>1.6693877551020404</v>
      </c>
      <c r="L368" s="6">
        <v>1.6115088658414183</v>
      </c>
    </row>
    <row r="369" spans="1:13">
      <c r="A369" t="s">
        <v>486</v>
      </c>
      <c r="B369" s="2" t="s">
        <v>291</v>
      </c>
      <c r="C369" t="s">
        <v>295</v>
      </c>
      <c r="D369">
        <v>4</v>
      </c>
      <c r="E369" s="6">
        <v>1</v>
      </c>
      <c r="F369" s="6">
        <v>1</v>
      </c>
      <c r="G369" s="6">
        <v>1</v>
      </c>
      <c r="H369" s="6">
        <v>1</v>
      </c>
      <c r="I369" s="6">
        <v>1</v>
      </c>
      <c r="J369" s="6">
        <v>1</v>
      </c>
      <c r="K369" s="6">
        <v>1</v>
      </c>
      <c r="L369" s="6">
        <v>1</v>
      </c>
    </row>
    <row r="370" spans="1:13">
      <c r="A370" t="s">
        <v>486</v>
      </c>
      <c r="B370" s="2" t="s">
        <v>291</v>
      </c>
      <c r="C370" t="s">
        <v>296</v>
      </c>
      <c r="D370">
        <v>3</v>
      </c>
      <c r="E370" s="6">
        <v>1</v>
      </c>
      <c r="F370" s="6">
        <v>1</v>
      </c>
      <c r="G370" s="6">
        <v>1</v>
      </c>
      <c r="H370" s="6">
        <v>1</v>
      </c>
      <c r="I370" s="6">
        <v>1</v>
      </c>
      <c r="J370" s="6">
        <v>1</v>
      </c>
      <c r="K370" s="6">
        <v>1</v>
      </c>
      <c r="L370" s="6">
        <v>1</v>
      </c>
    </row>
    <row r="371" spans="1:13">
      <c r="A371" t="s">
        <v>486</v>
      </c>
      <c r="B371" s="2" t="s">
        <v>291</v>
      </c>
      <c r="C371" t="s">
        <v>294</v>
      </c>
      <c r="D371">
        <v>2</v>
      </c>
      <c r="E371" s="6">
        <v>1</v>
      </c>
      <c r="F371" s="6">
        <v>1</v>
      </c>
      <c r="G371" s="6">
        <v>1</v>
      </c>
      <c r="H371" s="6">
        <v>1</v>
      </c>
      <c r="I371" s="6">
        <v>1</v>
      </c>
      <c r="J371" s="6">
        <v>1</v>
      </c>
      <c r="K371" s="6">
        <v>1</v>
      </c>
      <c r="L371" s="6">
        <v>1</v>
      </c>
    </row>
    <row r="372" spans="1:13">
      <c r="A372" t="s">
        <v>486</v>
      </c>
      <c r="B372" s="2" t="s">
        <v>291</v>
      </c>
      <c r="C372" t="s">
        <v>293</v>
      </c>
      <c r="D372">
        <v>1</v>
      </c>
      <c r="E372" s="6">
        <v>1</v>
      </c>
      <c r="F372" s="6">
        <v>1</v>
      </c>
      <c r="G372" s="6">
        <v>1</v>
      </c>
      <c r="H372" s="6">
        <v>1</v>
      </c>
      <c r="I372" s="6">
        <v>1</v>
      </c>
      <c r="J372" s="6">
        <v>1</v>
      </c>
      <c r="K372" s="6">
        <v>1</v>
      </c>
      <c r="L372" s="6">
        <v>1</v>
      </c>
    </row>
    <row r="373" spans="1:13">
      <c r="A373" t="s">
        <v>486</v>
      </c>
      <c r="B373" s="2" t="s">
        <v>292</v>
      </c>
      <c r="C373" t="s">
        <v>132</v>
      </c>
      <c r="D373">
        <v>4</v>
      </c>
      <c r="E373" s="6">
        <v>1</v>
      </c>
      <c r="F373" s="6">
        <v>1</v>
      </c>
      <c r="G373" s="6">
        <v>1</v>
      </c>
      <c r="H373" s="6">
        <v>1</v>
      </c>
      <c r="I373" s="6">
        <v>1</v>
      </c>
      <c r="J373" s="6">
        <v>1</v>
      </c>
      <c r="K373" s="6">
        <v>1</v>
      </c>
      <c r="L373" s="6">
        <v>1</v>
      </c>
    </row>
    <row r="374" spans="1:13">
      <c r="A374" t="s">
        <v>486</v>
      </c>
      <c r="B374" s="2" t="s">
        <v>292</v>
      </c>
      <c r="C374" t="s">
        <v>185</v>
      </c>
      <c r="D374">
        <v>3</v>
      </c>
      <c r="E374" s="6">
        <v>1</v>
      </c>
      <c r="F374" s="6">
        <v>1</v>
      </c>
      <c r="G374" s="6">
        <v>1</v>
      </c>
      <c r="H374" s="6">
        <v>1</v>
      </c>
      <c r="I374" s="6">
        <v>1</v>
      </c>
      <c r="J374" s="6">
        <v>1</v>
      </c>
      <c r="K374" s="6">
        <v>1</v>
      </c>
      <c r="L374" s="6">
        <v>1</v>
      </c>
    </row>
    <row r="375" spans="1:13">
      <c r="A375" t="s">
        <v>486</v>
      </c>
      <c r="B375" s="2" t="s">
        <v>292</v>
      </c>
      <c r="C375" t="s">
        <v>184</v>
      </c>
      <c r="D375">
        <v>2</v>
      </c>
      <c r="E375" s="6">
        <v>1</v>
      </c>
      <c r="F375" s="6">
        <v>1</v>
      </c>
      <c r="G375" s="6">
        <v>1</v>
      </c>
      <c r="H375" s="6">
        <v>1</v>
      </c>
      <c r="I375" s="6">
        <v>1</v>
      </c>
      <c r="J375" s="6">
        <v>1</v>
      </c>
      <c r="K375" s="6">
        <v>1</v>
      </c>
      <c r="L375" s="6">
        <v>1</v>
      </c>
    </row>
    <row r="376" spans="1:13">
      <c r="A376" t="s">
        <v>486</v>
      </c>
      <c r="B376" s="2" t="s">
        <v>292</v>
      </c>
      <c r="C376" t="s">
        <v>183</v>
      </c>
      <c r="D376">
        <v>1</v>
      </c>
      <c r="E376" s="6">
        <v>1</v>
      </c>
      <c r="F376" s="6">
        <v>1</v>
      </c>
      <c r="G376" s="6">
        <v>1</v>
      </c>
      <c r="H376" s="6">
        <v>1</v>
      </c>
      <c r="I376" s="6">
        <v>1</v>
      </c>
      <c r="J376" s="6">
        <v>1</v>
      </c>
      <c r="K376" s="6">
        <v>1</v>
      </c>
      <c r="L376" s="6">
        <v>1</v>
      </c>
    </row>
    <row r="377" spans="1:13">
      <c r="A377" t="s">
        <v>486</v>
      </c>
      <c r="B377" s="2" t="s">
        <v>297</v>
      </c>
      <c r="C377" t="s">
        <v>293</v>
      </c>
      <c r="D377">
        <v>1</v>
      </c>
      <c r="E377" s="6">
        <v>0.59699999999999998</v>
      </c>
      <c r="F377" s="6">
        <v>0.59563542857142848</v>
      </c>
      <c r="G377" s="6">
        <v>0.59222399999999997</v>
      </c>
      <c r="H377" s="6">
        <v>0.58881257142857146</v>
      </c>
      <c r="I377" s="6">
        <v>0.58540114285714284</v>
      </c>
      <c r="J377" s="6">
        <v>0.58198971428571422</v>
      </c>
      <c r="K377" s="6">
        <v>0.5785782857142856</v>
      </c>
      <c r="L377" s="6">
        <v>0.57516685714285709</v>
      </c>
    </row>
    <row r="378" spans="1:13">
      <c r="A378" t="s">
        <v>486</v>
      </c>
      <c r="B378" s="2" t="s">
        <v>298</v>
      </c>
      <c r="C378" t="s">
        <v>293</v>
      </c>
      <c r="D378">
        <v>1</v>
      </c>
      <c r="E378" s="6">
        <v>0.10348837209302325</v>
      </c>
      <c r="F378" s="6">
        <v>0.10325182724252491</v>
      </c>
      <c r="G378" s="6">
        <v>0.10266046511627906</v>
      </c>
      <c r="H378" s="6">
        <v>0.10206910299003322</v>
      </c>
      <c r="I378" s="6">
        <v>0.10147774086378737</v>
      </c>
      <c r="J378" s="6">
        <v>0.10088637873754153</v>
      </c>
      <c r="K378" s="6">
        <v>0.10029501661129567</v>
      </c>
      <c r="L378" s="6">
        <v>9.9703654485049822E-2</v>
      </c>
    </row>
    <row r="379" spans="1:13">
      <c r="A379" t="s">
        <v>486</v>
      </c>
      <c r="B379" s="2" t="s">
        <v>299</v>
      </c>
      <c r="C379" t="s">
        <v>293</v>
      </c>
      <c r="D379">
        <v>1</v>
      </c>
      <c r="E379" s="6">
        <v>0.68</v>
      </c>
      <c r="F379" s="6">
        <v>0.67844571428571432</v>
      </c>
      <c r="G379" s="6">
        <v>0.67456000000000005</v>
      </c>
      <c r="H379" s="6">
        <v>0.67067428571428578</v>
      </c>
      <c r="I379" s="6">
        <v>0.66678857142857151</v>
      </c>
      <c r="J379" s="6">
        <v>0.66290285714285724</v>
      </c>
      <c r="K379" s="6">
        <v>0.65901714285714286</v>
      </c>
      <c r="L379" s="6">
        <v>0.65513142857142859</v>
      </c>
    </row>
    <row r="380" spans="1:13">
      <c r="A380" t="s">
        <v>486</v>
      </c>
      <c r="B380" t="s">
        <v>310</v>
      </c>
      <c r="C380" t="s">
        <v>132</v>
      </c>
      <c r="D380">
        <v>1</v>
      </c>
      <c r="E380" s="6">
        <v>2.6315789473684212</v>
      </c>
      <c r="F380" s="6">
        <v>2.4755102040816328</v>
      </c>
      <c r="G380" s="6">
        <v>2.3020408163265307</v>
      </c>
      <c r="H380" s="6">
        <v>2.1480519480519482</v>
      </c>
      <c r="I380" s="6">
        <v>2.0526077097505668</v>
      </c>
      <c r="J380" s="6">
        <v>2.0027210884353739</v>
      </c>
      <c r="K380" s="6">
        <v>1.9528344671201814</v>
      </c>
      <c r="L380" s="6">
        <v>1.9029478458049887</v>
      </c>
      <c r="M380" s="5"/>
    </row>
    <row r="381" spans="1:13">
      <c r="A381" t="s">
        <v>486</v>
      </c>
      <c r="B381" s="2" t="s">
        <v>312</v>
      </c>
      <c r="C381" t="s">
        <v>252</v>
      </c>
      <c r="D381" s="6">
        <v>1</v>
      </c>
      <c r="E381" s="6">
        <v>1</v>
      </c>
      <c r="F381" s="6">
        <v>1</v>
      </c>
      <c r="G381" s="6">
        <v>1</v>
      </c>
      <c r="H381" s="6">
        <v>1</v>
      </c>
      <c r="I381" s="6">
        <v>1</v>
      </c>
      <c r="J381" s="6">
        <v>1</v>
      </c>
      <c r="K381" s="6">
        <v>1</v>
      </c>
      <c r="L381" s="6">
        <v>1</v>
      </c>
    </row>
    <row r="382" spans="1:13">
      <c r="A382" t="s">
        <v>486</v>
      </c>
      <c r="B382" s="2" t="s">
        <v>312</v>
      </c>
      <c r="C382" t="s">
        <v>15</v>
      </c>
      <c r="D382" s="6">
        <v>1</v>
      </c>
      <c r="E382" s="6">
        <v>0.9</v>
      </c>
      <c r="F382" s="6">
        <v>0.88971428571428568</v>
      </c>
      <c r="G382" s="6">
        <v>0.82079999999999997</v>
      </c>
      <c r="H382" s="6">
        <v>0.75445714285714283</v>
      </c>
      <c r="I382" s="6">
        <v>0.69556114285714288</v>
      </c>
      <c r="J382" s="6">
        <v>0.63892800000000005</v>
      </c>
      <c r="K382" s="6">
        <v>0.58607999999999993</v>
      </c>
      <c r="L382" s="6">
        <v>0.53539199999999998</v>
      </c>
    </row>
    <row r="383" spans="1:13">
      <c r="A383" t="s">
        <v>486</v>
      </c>
      <c r="B383" s="2" t="s">
        <v>312</v>
      </c>
      <c r="C383" t="s">
        <v>193</v>
      </c>
      <c r="D383" s="6">
        <v>1</v>
      </c>
      <c r="E383" s="6">
        <v>6.3</v>
      </c>
      <c r="F383" s="6">
        <v>6.2394285714285713</v>
      </c>
      <c r="G383" s="6">
        <v>5.6559999999999997</v>
      </c>
      <c r="H383" s="6">
        <v>5.0982857142857139</v>
      </c>
      <c r="I383" s="6">
        <v>4.6247908571428571</v>
      </c>
      <c r="J383" s="6">
        <v>4.1733074285714284</v>
      </c>
      <c r="K383" s="6">
        <v>3.789504</v>
      </c>
      <c r="L383" s="6">
        <v>3.424626285714286</v>
      </c>
    </row>
    <row r="384" spans="1:13">
      <c r="A384" t="s">
        <v>486</v>
      </c>
      <c r="B384" s="2" t="s">
        <v>313</v>
      </c>
      <c r="C384" t="s">
        <v>252</v>
      </c>
      <c r="D384" s="6">
        <v>1</v>
      </c>
      <c r="E384" s="6">
        <v>1</v>
      </c>
      <c r="F384" s="6">
        <v>1</v>
      </c>
      <c r="G384" s="6">
        <v>1</v>
      </c>
      <c r="H384" s="6">
        <v>1</v>
      </c>
      <c r="I384" s="6">
        <v>1</v>
      </c>
      <c r="J384" s="6">
        <v>1</v>
      </c>
      <c r="K384" s="6">
        <v>1</v>
      </c>
      <c r="L384" s="6">
        <v>1</v>
      </c>
    </row>
    <row r="385" spans="1:18">
      <c r="A385" t="s">
        <v>486</v>
      </c>
      <c r="B385" s="2" t="s">
        <v>313</v>
      </c>
      <c r="C385" t="s">
        <v>15</v>
      </c>
      <c r="D385" s="6">
        <v>1</v>
      </c>
      <c r="E385" s="6">
        <v>5.5259999999999998</v>
      </c>
      <c r="F385" s="6">
        <v>5.4742742857142854</v>
      </c>
      <c r="G385" s="6">
        <v>5.2119039999999996</v>
      </c>
      <c r="H385" s="6">
        <v>4.9574537142857142</v>
      </c>
      <c r="I385" s="6">
        <v>4.7174240000000003</v>
      </c>
      <c r="J385" s="6">
        <v>4.4849028571428571</v>
      </c>
      <c r="K385" s="6">
        <v>4.2659794285714288</v>
      </c>
      <c r="L385" s="6">
        <v>4.0541531428571425</v>
      </c>
    </row>
    <row r="386" spans="1:18">
      <c r="A386" t="s">
        <v>486</v>
      </c>
      <c r="B386" t="s">
        <v>315</v>
      </c>
      <c r="C386" t="s">
        <v>317</v>
      </c>
      <c r="D386" s="5">
        <v>1</v>
      </c>
      <c r="E386" s="6">
        <v>1</v>
      </c>
      <c r="F386" s="6">
        <v>1</v>
      </c>
      <c r="G386" s="6">
        <v>1</v>
      </c>
      <c r="H386" s="6">
        <v>1</v>
      </c>
      <c r="I386" s="6">
        <v>1</v>
      </c>
      <c r="J386" s="6">
        <v>1</v>
      </c>
      <c r="K386" s="6">
        <v>1</v>
      </c>
      <c r="L386" s="6">
        <v>1</v>
      </c>
    </row>
    <row r="387" spans="1:18">
      <c r="A387" t="s">
        <v>486</v>
      </c>
      <c r="B387" t="s">
        <v>316</v>
      </c>
      <c r="C387" t="s">
        <v>318</v>
      </c>
      <c r="D387">
        <v>1</v>
      </c>
      <c r="E387" s="6">
        <v>1</v>
      </c>
      <c r="F387" s="6">
        <v>1</v>
      </c>
      <c r="G387" s="6">
        <v>1</v>
      </c>
      <c r="H387" s="6">
        <v>1</v>
      </c>
      <c r="I387" s="6">
        <v>1</v>
      </c>
      <c r="J387" s="6">
        <v>1</v>
      </c>
      <c r="K387" s="6">
        <v>1</v>
      </c>
      <c r="L387" s="6">
        <v>1</v>
      </c>
    </row>
    <row r="388" spans="1:18">
      <c r="A388" t="s">
        <v>486</v>
      </c>
      <c r="B388" s="6" t="s">
        <v>416</v>
      </c>
      <c r="C388" s="6" t="s">
        <v>133</v>
      </c>
      <c r="D388" s="6">
        <v>1</v>
      </c>
      <c r="E388" s="6">
        <v>2.8901734104046244</v>
      </c>
      <c r="F388" s="6">
        <v>2.8901734104046244</v>
      </c>
      <c r="G388" s="6">
        <v>2.8901734104046244</v>
      </c>
      <c r="H388" s="6">
        <v>2.8901734104046244</v>
      </c>
      <c r="I388" s="6">
        <v>2.8901734104046244</v>
      </c>
      <c r="J388" s="6">
        <v>2.8901734104046244</v>
      </c>
      <c r="K388" s="6">
        <v>2.8901734104046244</v>
      </c>
      <c r="L388" s="6">
        <v>2.8901734104046244</v>
      </c>
      <c r="P388" s="6" t="s">
        <v>432</v>
      </c>
      <c r="Q388" s="6" t="s">
        <v>433</v>
      </c>
    </row>
    <row r="389" spans="1:18">
      <c r="A389" t="s">
        <v>486</v>
      </c>
      <c r="B389" s="6" t="s">
        <v>95</v>
      </c>
      <c r="C389" s="6" t="s">
        <v>143</v>
      </c>
      <c r="D389" s="6">
        <v>1</v>
      </c>
      <c r="E389" s="6">
        <v>2.6525198938992043</v>
      </c>
      <c r="F389" s="6">
        <v>2.6525198938992043</v>
      </c>
      <c r="G389" s="6">
        <v>2.6525198938992043</v>
      </c>
      <c r="H389" s="6">
        <v>2.6525198938992043</v>
      </c>
      <c r="I389" s="6">
        <v>2.6525198938992043</v>
      </c>
      <c r="J389" s="6">
        <v>2.6525198938992043</v>
      </c>
      <c r="K389" s="6">
        <v>2.6525198938992043</v>
      </c>
      <c r="L389" s="6">
        <v>2.6525198938992043</v>
      </c>
      <c r="P389" s="6" t="s">
        <v>432</v>
      </c>
      <c r="Q389" s="6" t="s">
        <v>433</v>
      </c>
    </row>
    <row r="390" spans="1:18">
      <c r="A390" t="s">
        <v>486</v>
      </c>
      <c r="B390" s="6" t="s">
        <v>96</v>
      </c>
      <c r="C390" s="6" t="s">
        <v>144</v>
      </c>
      <c r="D390" s="6">
        <v>1</v>
      </c>
      <c r="E390" s="6">
        <v>2.8248587570621471</v>
      </c>
      <c r="F390" s="6">
        <v>2.8248587570621471</v>
      </c>
      <c r="G390" s="6">
        <v>2.8248587570621471</v>
      </c>
      <c r="H390" s="6">
        <v>2.8248587570621471</v>
      </c>
      <c r="I390" s="6">
        <v>2.8248587570621471</v>
      </c>
      <c r="J390" s="6">
        <v>2.8248587570621471</v>
      </c>
      <c r="K390" s="6">
        <v>2.8248587570621471</v>
      </c>
      <c r="L390" s="6">
        <v>2.8248587570621471</v>
      </c>
      <c r="P390" s="6" t="s">
        <v>432</v>
      </c>
      <c r="Q390" s="6" t="s">
        <v>433</v>
      </c>
    </row>
    <row r="391" spans="1:18">
      <c r="A391" t="s">
        <v>486</v>
      </c>
      <c r="B391" s="6" t="s">
        <v>422</v>
      </c>
      <c r="C391" s="6" t="s">
        <v>183</v>
      </c>
      <c r="D391" s="6">
        <v>1</v>
      </c>
      <c r="E391" s="6">
        <v>1.8484288354898335</v>
      </c>
      <c r="F391" s="6">
        <v>1.8484288354898335</v>
      </c>
      <c r="G391" s="6">
        <v>1.8484288354898335</v>
      </c>
      <c r="H391" s="6">
        <v>1.8484288354898335</v>
      </c>
      <c r="I391" s="6">
        <v>1.8484288354898335</v>
      </c>
      <c r="J391" s="6">
        <v>1.8484288354898335</v>
      </c>
      <c r="K391" s="6">
        <v>1.8484288354898335</v>
      </c>
      <c r="L391" s="6">
        <v>1.8484288354898335</v>
      </c>
      <c r="P391" s="6" t="s">
        <v>432</v>
      </c>
      <c r="Q391" s="6" t="s">
        <v>433</v>
      </c>
    </row>
    <row r="392" spans="1:18">
      <c r="A392" t="s">
        <v>486</v>
      </c>
      <c r="B392" s="6" t="s">
        <v>420</v>
      </c>
      <c r="C392" s="6" t="s">
        <v>184</v>
      </c>
      <c r="D392" s="6">
        <v>1</v>
      </c>
      <c r="E392" s="6">
        <v>1.8484288354898335</v>
      </c>
      <c r="F392" s="6">
        <v>1.8484288354898335</v>
      </c>
      <c r="G392" s="6">
        <v>1.8484288354898335</v>
      </c>
      <c r="H392" s="6">
        <v>1.8484288354898335</v>
      </c>
      <c r="I392" s="6">
        <v>1.8484288354898335</v>
      </c>
      <c r="J392" s="6">
        <v>1.8484288354898335</v>
      </c>
      <c r="K392" s="6">
        <v>1.8484288354898335</v>
      </c>
      <c r="L392" s="6">
        <v>1.8484288354898335</v>
      </c>
      <c r="P392" s="6" t="s">
        <v>432</v>
      </c>
      <c r="Q392" s="6" t="s">
        <v>433</v>
      </c>
    </row>
    <row r="393" spans="1:18">
      <c r="A393" t="s">
        <v>486</v>
      </c>
      <c r="B393" s="6" t="s">
        <v>424</v>
      </c>
      <c r="C393" s="6" t="s">
        <v>185</v>
      </c>
      <c r="D393" s="6">
        <v>1</v>
      </c>
      <c r="E393" s="6">
        <v>1.8484288354898335</v>
      </c>
      <c r="F393" s="6">
        <v>1.8484288354898335</v>
      </c>
      <c r="G393" s="6">
        <v>1.8484288354898335</v>
      </c>
      <c r="H393" s="6">
        <v>1.8484288354898335</v>
      </c>
      <c r="I393" s="6">
        <v>1.8484288354898335</v>
      </c>
      <c r="J393" s="6">
        <v>1.8484288354898335</v>
      </c>
      <c r="K393" s="6">
        <v>1.8484288354898335</v>
      </c>
      <c r="L393" s="6">
        <v>1.8484288354898335</v>
      </c>
      <c r="P393" s="6" t="s">
        <v>432</v>
      </c>
      <c r="Q393" s="6" t="s">
        <v>433</v>
      </c>
    </row>
    <row r="394" spans="1:18">
      <c r="A394" t="s">
        <v>486</v>
      </c>
      <c r="B394" s="6" t="s">
        <v>417</v>
      </c>
      <c r="C394" s="6" t="s">
        <v>133</v>
      </c>
      <c r="D394" s="6">
        <v>1</v>
      </c>
      <c r="E394" s="6">
        <v>3.0346820809248558</v>
      </c>
      <c r="F394" s="6">
        <v>3.0346820809248558</v>
      </c>
      <c r="G394" s="6">
        <v>3.0346820809248558</v>
      </c>
      <c r="H394" s="6">
        <v>3.0346820809248558</v>
      </c>
      <c r="I394" s="6">
        <v>3.0346820809248558</v>
      </c>
      <c r="J394" s="6">
        <v>3.0346820809248558</v>
      </c>
      <c r="K394" s="6">
        <v>3.0346820809248558</v>
      </c>
      <c r="L394" s="6">
        <v>3.0346820809248558</v>
      </c>
      <c r="P394" s="6" t="s">
        <v>432</v>
      </c>
      <c r="Q394" s="6" t="s">
        <v>433</v>
      </c>
      <c r="R394" s="6" t="s">
        <v>434</v>
      </c>
    </row>
    <row r="395" spans="1:18">
      <c r="A395" t="s">
        <v>486</v>
      </c>
      <c r="B395" s="6" t="s">
        <v>418</v>
      </c>
      <c r="C395" s="6" t="s">
        <v>143</v>
      </c>
      <c r="D395" s="6">
        <v>1</v>
      </c>
      <c r="E395" s="6">
        <v>2.7851458885941645</v>
      </c>
      <c r="F395" s="6">
        <v>2.7851458885941645</v>
      </c>
      <c r="G395" s="6">
        <v>2.7851458885941645</v>
      </c>
      <c r="H395" s="6">
        <v>2.7851458885941645</v>
      </c>
      <c r="I395" s="6">
        <v>2.7851458885941645</v>
      </c>
      <c r="J395" s="6">
        <v>2.7851458885941645</v>
      </c>
      <c r="K395" s="6">
        <v>2.7851458885941645</v>
      </c>
      <c r="L395" s="6">
        <v>2.7851458885941645</v>
      </c>
      <c r="P395" s="6" t="s">
        <v>432</v>
      </c>
      <c r="Q395" s="6" t="s">
        <v>433</v>
      </c>
      <c r="R395" s="6" t="s">
        <v>434</v>
      </c>
    </row>
    <row r="396" spans="1:18">
      <c r="A396" t="s">
        <v>486</v>
      </c>
      <c r="B396" s="6" t="s">
        <v>419</v>
      </c>
      <c r="C396" s="6" t="s">
        <v>144</v>
      </c>
      <c r="D396" s="6">
        <v>1</v>
      </c>
      <c r="E396" s="6">
        <v>2.9661016949152543</v>
      </c>
      <c r="F396" s="6">
        <v>2.9661016949152543</v>
      </c>
      <c r="G396" s="6">
        <v>2.9661016949152543</v>
      </c>
      <c r="H396" s="6">
        <v>2.9661016949152543</v>
      </c>
      <c r="I396" s="6">
        <v>2.9661016949152543</v>
      </c>
      <c r="J396" s="6">
        <v>2.9661016949152543</v>
      </c>
      <c r="K396" s="6">
        <v>2.9661016949152543</v>
      </c>
      <c r="L396" s="6">
        <v>2.9661016949152543</v>
      </c>
      <c r="P396" s="6" t="s">
        <v>432</v>
      </c>
      <c r="Q396" s="6" t="s">
        <v>433</v>
      </c>
      <c r="R396" s="6" t="s">
        <v>434</v>
      </c>
    </row>
    <row r="397" spans="1:18">
      <c r="A397" t="s">
        <v>486</v>
      </c>
      <c r="B397" s="6" t="s">
        <v>423</v>
      </c>
      <c r="C397" s="6" t="s">
        <v>183</v>
      </c>
      <c r="D397" s="6">
        <v>1</v>
      </c>
      <c r="E397" s="6">
        <v>1.9408502772643252</v>
      </c>
      <c r="F397" s="6">
        <v>1.9408502772643252</v>
      </c>
      <c r="G397" s="6">
        <v>1.9408502772643252</v>
      </c>
      <c r="H397" s="6">
        <v>1.9408502772643252</v>
      </c>
      <c r="I397" s="6">
        <v>1.9408502772643252</v>
      </c>
      <c r="J397" s="6">
        <v>1.9408502772643252</v>
      </c>
      <c r="K397" s="6">
        <v>1.9408502772643252</v>
      </c>
      <c r="L397" s="6">
        <v>1.9408502772643252</v>
      </c>
      <c r="P397" s="6" t="s">
        <v>432</v>
      </c>
      <c r="Q397" s="6" t="s">
        <v>433</v>
      </c>
      <c r="R397" s="6" t="s">
        <v>434</v>
      </c>
    </row>
    <row r="398" spans="1:18">
      <c r="A398" t="s">
        <v>486</v>
      </c>
      <c r="B398" s="6" t="s">
        <v>421</v>
      </c>
      <c r="C398" s="6" t="s">
        <v>184</v>
      </c>
      <c r="D398" s="6">
        <v>1</v>
      </c>
      <c r="E398" s="6">
        <v>1.9408502772643252</v>
      </c>
      <c r="F398" s="6">
        <v>1.9408502772643252</v>
      </c>
      <c r="G398" s="6">
        <v>1.9408502772643252</v>
      </c>
      <c r="H398" s="6">
        <v>1.9408502772643252</v>
      </c>
      <c r="I398" s="6">
        <v>1.9408502772643252</v>
      </c>
      <c r="J398" s="6">
        <v>1.9408502772643252</v>
      </c>
      <c r="K398" s="6">
        <v>1.9408502772643252</v>
      </c>
      <c r="L398" s="6">
        <v>1.9408502772643252</v>
      </c>
      <c r="P398" s="6" t="s">
        <v>432</v>
      </c>
      <c r="Q398" s="6" t="s">
        <v>433</v>
      </c>
      <c r="R398" s="6" t="s">
        <v>434</v>
      </c>
    </row>
    <row r="399" spans="1:18">
      <c r="A399" t="s">
        <v>486</v>
      </c>
      <c r="B399" s="6" t="s">
        <v>416</v>
      </c>
      <c r="C399" s="6" t="s">
        <v>133</v>
      </c>
      <c r="D399" s="6">
        <v>2</v>
      </c>
      <c r="E399" s="6">
        <v>3.5714285714285712</v>
      </c>
      <c r="F399" s="6">
        <v>3.5714285714285712</v>
      </c>
      <c r="G399" s="6">
        <v>3.5714285714285712</v>
      </c>
      <c r="H399" s="6">
        <v>3.5714285714285712</v>
      </c>
      <c r="I399" s="6">
        <v>3.5714285714285712</v>
      </c>
      <c r="J399" s="6">
        <v>3.5714285714285712</v>
      </c>
      <c r="K399" s="6">
        <v>3.5714285714285712</v>
      </c>
      <c r="L399" s="6">
        <v>3.5714285714285712</v>
      </c>
      <c r="P399" s="6" t="s">
        <v>432</v>
      </c>
      <c r="Q399" s="6" t="s">
        <v>435</v>
      </c>
    </row>
    <row r="400" spans="1:18">
      <c r="A400" t="s">
        <v>486</v>
      </c>
      <c r="B400" s="6" t="s">
        <v>95</v>
      </c>
      <c r="C400" s="6" t="s">
        <v>143</v>
      </c>
      <c r="D400" s="6">
        <v>2</v>
      </c>
      <c r="E400" s="6">
        <v>3.5335689045936398</v>
      </c>
      <c r="F400" s="6">
        <v>3.5335689045936398</v>
      </c>
      <c r="G400" s="6">
        <v>3.5335689045936398</v>
      </c>
      <c r="H400" s="6">
        <v>3.5335689045936398</v>
      </c>
      <c r="I400" s="6">
        <v>3.5335689045936398</v>
      </c>
      <c r="J400" s="6">
        <v>3.5335689045936398</v>
      </c>
      <c r="K400" s="6">
        <v>3.5335689045936398</v>
      </c>
      <c r="L400" s="6">
        <v>3.5335689045936398</v>
      </c>
      <c r="P400" s="6" t="s">
        <v>432</v>
      </c>
      <c r="Q400" s="6" t="s">
        <v>435</v>
      </c>
    </row>
    <row r="401" spans="1:18">
      <c r="A401" t="s">
        <v>486</v>
      </c>
      <c r="B401" s="6" t="s">
        <v>96</v>
      </c>
      <c r="C401" s="6" t="s">
        <v>144</v>
      </c>
      <c r="D401" s="6">
        <v>2</v>
      </c>
      <c r="E401" s="6">
        <v>3.7593984962406015</v>
      </c>
      <c r="F401" s="6">
        <v>3.7593984962406015</v>
      </c>
      <c r="G401" s="6">
        <v>3.7593984962406015</v>
      </c>
      <c r="H401" s="6">
        <v>3.7593984962406015</v>
      </c>
      <c r="I401" s="6">
        <v>3.7593984962406015</v>
      </c>
      <c r="J401" s="6">
        <v>3.7593984962406015</v>
      </c>
      <c r="K401" s="6">
        <v>3.7593984962406015</v>
      </c>
      <c r="L401" s="6">
        <v>3.7593984962406015</v>
      </c>
      <c r="P401" s="6" t="s">
        <v>432</v>
      </c>
      <c r="Q401" s="6" t="s">
        <v>435</v>
      </c>
    </row>
    <row r="402" spans="1:18">
      <c r="A402" t="s">
        <v>486</v>
      </c>
      <c r="B402" s="6" t="s">
        <v>422</v>
      </c>
      <c r="C402" s="6" t="s">
        <v>183</v>
      </c>
      <c r="D402" s="6">
        <v>2</v>
      </c>
      <c r="E402" s="6">
        <v>2.0080321285140563</v>
      </c>
      <c r="F402" s="6">
        <v>2.0080321285140563</v>
      </c>
      <c r="G402" s="6">
        <v>2.0080321285140563</v>
      </c>
      <c r="H402" s="6">
        <v>2.0080321285140563</v>
      </c>
      <c r="I402" s="6">
        <v>2.0080321285140563</v>
      </c>
      <c r="J402" s="6">
        <v>2.0080321285140563</v>
      </c>
      <c r="K402" s="6">
        <v>2.0080321285140563</v>
      </c>
      <c r="L402" s="6">
        <v>2.0080321285140563</v>
      </c>
      <c r="P402" s="6" t="s">
        <v>432</v>
      </c>
      <c r="Q402" s="6" t="s">
        <v>435</v>
      </c>
    </row>
    <row r="403" spans="1:18">
      <c r="A403" t="s">
        <v>486</v>
      </c>
      <c r="B403" s="6" t="s">
        <v>420</v>
      </c>
      <c r="C403" s="6" t="s">
        <v>184</v>
      </c>
      <c r="D403" s="6">
        <v>2</v>
      </c>
      <c r="E403" s="6">
        <v>2.0080321285140563</v>
      </c>
      <c r="F403" s="6">
        <v>2.0080321285140563</v>
      </c>
      <c r="G403" s="6">
        <v>2.0080321285140563</v>
      </c>
      <c r="H403" s="6">
        <v>2.0080321285140563</v>
      </c>
      <c r="I403" s="6">
        <v>2.0080321285140563</v>
      </c>
      <c r="J403" s="6">
        <v>2.0080321285140563</v>
      </c>
      <c r="K403" s="6">
        <v>2.0080321285140563</v>
      </c>
      <c r="L403" s="6">
        <v>2.0080321285140563</v>
      </c>
      <c r="P403" s="6" t="s">
        <v>432</v>
      </c>
      <c r="Q403" s="6" t="s">
        <v>435</v>
      </c>
    </row>
    <row r="404" spans="1:18">
      <c r="A404" t="s">
        <v>486</v>
      </c>
      <c r="B404" s="6" t="s">
        <v>424</v>
      </c>
      <c r="C404" s="6" t="s">
        <v>185</v>
      </c>
      <c r="D404" s="6">
        <v>2</v>
      </c>
      <c r="E404" s="6">
        <v>2.0080321285140563</v>
      </c>
      <c r="F404" s="6">
        <v>2.0080321285140563</v>
      </c>
      <c r="G404" s="6">
        <v>2.0080321285140563</v>
      </c>
      <c r="H404" s="6">
        <v>2.0080321285140563</v>
      </c>
      <c r="I404" s="6">
        <v>2.0080321285140563</v>
      </c>
      <c r="J404" s="6">
        <v>2.0080321285140563</v>
      </c>
      <c r="K404" s="6">
        <v>2.0080321285140563</v>
      </c>
      <c r="L404" s="6">
        <v>2.0080321285140563</v>
      </c>
      <c r="P404" s="6" t="s">
        <v>432</v>
      </c>
      <c r="Q404" s="6" t="s">
        <v>435</v>
      </c>
    </row>
    <row r="405" spans="1:18">
      <c r="A405" t="s">
        <v>486</v>
      </c>
      <c r="B405" s="6" t="s">
        <v>417</v>
      </c>
      <c r="C405" s="6" t="s">
        <v>133</v>
      </c>
      <c r="D405" s="6">
        <v>2</v>
      </c>
      <c r="E405" s="6">
        <v>3.75</v>
      </c>
      <c r="F405" s="6">
        <v>3.75</v>
      </c>
      <c r="G405" s="6">
        <v>3.75</v>
      </c>
      <c r="H405" s="6">
        <v>3.75</v>
      </c>
      <c r="I405" s="6">
        <v>3.75</v>
      </c>
      <c r="J405" s="6">
        <v>3.75</v>
      </c>
      <c r="K405" s="6">
        <v>3.75</v>
      </c>
      <c r="L405" s="6">
        <v>3.75</v>
      </c>
      <c r="P405" s="6" t="s">
        <v>432</v>
      </c>
      <c r="Q405" s="6" t="s">
        <v>435</v>
      </c>
      <c r="R405" s="6" t="s">
        <v>434</v>
      </c>
    </row>
    <row r="406" spans="1:18">
      <c r="A406" t="s">
        <v>486</v>
      </c>
      <c r="B406" s="6" t="s">
        <v>418</v>
      </c>
      <c r="C406" s="6" t="s">
        <v>143</v>
      </c>
      <c r="D406" s="6">
        <v>2</v>
      </c>
      <c r="E406" s="6">
        <v>3.7102473498233222</v>
      </c>
      <c r="F406" s="6">
        <v>3.7102473498233222</v>
      </c>
      <c r="G406" s="6">
        <v>3.7102473498233222</v>
      </c>
      <c r="H406" s="6">
        <v>3.7102473498233222</v>
      </c>
      <c r="I406" s="6">
        <v>3.7102473498233222</v>
      </c>
      <c r="J406" s="6">
        <v>3.7102473498233222</v>
      </c>
      <c r="K406" s="6">
        <v>3.7102473498233222</v>
      </c>
      <c r="L406" s="6">
        <v>3.7102473498233222</v>
      </c>
      <c r="P406" s="6" t="s">
        <v>432</v>
      </c>
      <c r="Q406" s="6" t="s">
        <v>435</v>
      </c>
      <c r="R406" s="6" t="s">
        <v>434</v>
      </c>
    </row>
    <row r="407" spans="1:18">
      <c r="A407" t="s">
        <v>486</v>
      </c>
      <c r="B407" s="6" t="s">
        <v>419</v>
      </c>
      <c r="C407" s="6" t="s">
        <v>144</v>
      </c>
      <c r="D407" s="6">
        <v>2</v>
      </c>
      <c r="E407" s="6">
        <v>3.9473684210526319</v>
      </c>
      <c r="F407" s="6">
        <v>3.9473684210526319</v>
      </c>
      <c r="G407" s="6">
        <v>3.9473684210526319</v>
      </c>
      <c r="H407" s="6">
        <v>3.9473684210526319</v>
      </c>
      <c r="I407" s="6">
        <v>3.9473684210526319</v>
      </c>
      <c r="J407" s="6">
        <v>3.9473684210526319</v>
      </c>
      <c r="K407" s="6">
        <v>3.9473684210526319</v>
      </c>
      <c r="L407" s="6">
        <v>3.9473684210526319</v>
      </c>
      <c r="P407" s="6" t="s">
        <v>432</v>
      </c>
      <c r="Q407" s="6" t="s">
        <v>435</v>
      </c>
      <c r="R407" s="6" t="s">
        <v>434</v>
      </c>
    </row>
    <row r="408" spans="1:18">
      <c r="A408" t="s">
        <v>486</v>
      </c>
      <c r="B408" s="6" t="s">
        <v>423</v>
      </c>
      <c r="C408" s="6" t="s">
        <v>183</v>
      </c>
      <c r="D408" s="6">
        <v>2</v>
      </c>
      <c r="E408" s="6">
        <v>2.1084337349397591</v>
      </c>
      <c r="F408" s="6">
        <v>2.1084337349397591</v>
      </c>
      <c r="G408" s="6">
        <v>2.1084337349397591</v>
      </c>
      <c r="H408" s="6">
        <v>2.1084337349397591</v>
      </c>
      <c r="I408" s="6">
        <v>2.1084337349397591</v>
      </c>
      <c r="J408" s="6">
        <v>2.1084337349397591</v>
      </c>
      <c r="K408" s="6">
        <v>2.1084337349397591</v>
      </c>
      <c r="L408" s="6">
        <v>2.1084337349397591</v>
      </c>
      <c r="P408" s="6" t="s">
        <v>432</v>
      </c>
      <c r="Q408" s="6" t="s">
        <v>435</v>
      </c>
      <c r="R408" s="6" t="s">
        <v>434</v>
      </c>
    </row>
    <row r="409" spans="1:18">
      <c r="A409" t="s">
        <v>486</v>
      </c>
      <c r="B409" s="6" t="s">
        <v>421</v>
      </c>
      <c r="C409" s="6" t="s">
        <v>184</v>
      </c>
      <c r="D409" s="6">
        <v>2</v>
      </c>
      <c r="E409" s="6">
        <v>2.1084337349397591</v>
      </c>
      <c r="F409" s="6">
        <v>2.1084337349397591</v>
      </c>
      <c r="G409" s="6">
        <v>2.1084337349397591</v>
      </c>
      <c r="H409" s="6">
        <v>2.1084337349397591</v>
      </c>
      <c r="I409" s="6">
        <v>2.1084337349397591</v>
      </c>
      <c r="J409" s="6">
        <v>2.1084337349397591</v>
      </c>
      <c r="K409" s="6">
        <v>2.1084337349397591</v>
      </c>
      <c r="L409" s="6">
        <v>2.1084337349397591</v>
      </c>
      <c r="P409" s="6" t="s">
        <v>432</v>
      </c>
      <c r="Q409" s="6" t="s">
        <v>435</v>
      </c>
      <c r="R409" s="6" t="s">
        <v>434</v>
      </c>
    </row>
    <row r="410" spans="1:18">
      <c r="A410" t="s">
        <v>486</v>
      </c>
      <c r="B410" s="6" t="s">
        <v>425</v>
      </c>
      <c r="C410" s="6" t="s">
        <v>132</v>
      </c>
      <c r="D410" s="6">
        <v>2</v>
      </c>
      <c r="E410" s="6">
        <v>1</v>
      </c>
      <c r="F410" s="6">
        <v>1</v>
      </c>
      <c r="G410" s="6">
        <v>1</v>
      </c>
      <c r="H410" s="6">
        <v>1</v>
      </c>
      <c r="I410" s="6">
        <v>1</v>
      </c>
      <c r="J410" s="6">
        <v>1</v>
      </c>
      <c r="K410" s="6">
        <v>1</v>
      </c>
      <c r="L410" s="6">
        <v>1</v>
      </c>
      <c r="P410" s="6" t="s">
        <v>436</v>
      </c>
      <c r="Q410" s="6" t="s">
        <v>435</v>
      </c>
    </row>
    <row r="411" spans="1:18">
      <c r="A411" t="s">
        <v>486</v>
      </c>
      <c r="B411" s="6" t="s">
        <v>427</v>
      </c>
      <c r="C411" s="6" t="s">
        <v>414</v>
      </c>
      <c r="D411" s="6">
        <v>1</v>
      </c>
      <c r="E411" s="6">
        <v>1</v>
      </c>
      <c r="F411" s="6">
        <v>1</v>
      </c>
      <c r="G411" s="6">
        <v>1</v>
      </c>
      <c r="H411" s="6">
        <v>1</v>
      </c>
      <c r="I411" s="6">
        <v>1</v>
      </c>
      <c r="J411" s="6">
        <v>1</v>
      </c>
      <c r="K411" s="6">
        <v>1</v>
      </c>
      <c r="L411" s="6">
        <v>1</v>
      </c>
    </row>
    <row r="412" spans="1:18">
      <c r="A412" t="s">
        <v>486</v>
      </c>
      <c r="B412" s="6" t="s">
        <v>428</v>
      </c>
      <c r="C412" s="6" t="s">
        <v>414</v>
      </c>
      <c r="D412" s="6">
        <v>1</v>
      </c>
      <c r="E412" s="6">
        <v>1</v>
      </c>
      <c r="F412" s="6">
        <v>1</v>
      </c>
      <c r="G412" s="6">
        <v>1</v>
      </c>
      <c r="H412" s="6">
        <v>1</v>
      </c>
      <c r="I412" s="6">
        <v>1</v>
      </c>
      <c r="J412" s="6">
        <v>1</v>
      </c>
      <c r="K412" s="6">
        <v>1</v>
      </c>
      <c r="L412" s="6">
        <v>1</v>
      </c>
    </row>
    <row r="413" spans="1:18">
      <c r="A413" t="s">
        <v>486</v>
      </c>
      <c r="B413" s="6" t="s">
        <v>426</v>
      </c>
      <c r="C413" s="6" t="s">
        <v>130</v>
      </c>
      <c r="D413" s="6">
        <v>1</v>
      </c>
      <c r="E413" s="6">
        <v>2.8248587570621471</v>
      </c>
      <c r="F413" s="6">
        <v>2.8248587570621471</v>
      </c>
      <c r="G413" s="6">
        <v>2.8248587570621471</v>
      </c>
      <c r="H413" s="6">
        <v>2.8248587570621471</v>
      </c>
      <c r="I413" s="6">
        <v>2.8248587570621471</v>
      </c>
      <c r="J413" s="6">
        <v>2.8248587570621471</v>
      </c>
      <c r="K413" s="6">
        <v>2.8248587570621471</v>
      </c>
      <c r="L413" s="6">
        <v>2.8248587570621471</v>
      </c>
      <c r="P413" s="6" t="s">
        <v>437</v>
      </c>
    </row>
    <row r="414" spans="1:18">
      <c r="A414" t="s">
        <v>486</v>
      </c>
      <c r="B414" s="6" t="s">
        <v>426</v>
      </c>
      <c r="C414" s="6" t="s">
        <v>130</v>
      </c>
      <c r="D414" s="6">
        <v>2</v>
      </c>
      <c r="E414" s="6">
        <v>3.7593984962406015</v>
      </c>
      <c r="F414" s="6">
        <v>3.7593984962406015</v>
      </c>
      <c r="G414" s="6">
        <v>3.7593984962406015</v>
      </c>
      <c r="H414" s="6">
        <v>3.7593984962406015</v>
      </c>
      <c r="I414" s="6">
        <v>3.7593984962406015</v>
      </c>
      <c r="J414" s="6">
        <v>3.7593984962406015</v>
      </c>
      <c r="K414" s="6">
        <v>3.7593984962406015</v>
      </c>
      <c r="L414" s="6">
        <v>3.7593984962406015</v>
      </c>
      <c r="P414" s="6" t="s">
        <v>437</v>
      </c>
    </row>
    <row r="415" spans="1:18">
      <c r="A415" t="s">
        <v>486</v>
      </c>
      <c r="B415" s="6" t="s">
        <v>429</v>
      </c>
      <c r="C415" s="6" t="s">
        <v>183</v>
      </c>
      <c r="D415" s="6">
        <v>1</v>
      </c>
      <c r="E415" s="6">
        <v>1.7241379310344829</v>
      </c>
      <c r="F415" s="6">
        <v>1.6666666666666667</v>
      </c>
      <c r="G415" s="6">
        <v>1.639344262295082</v>
      </c>
      <c r="H415" s="6">
        <v>1.6129032258064517</v>
      </c>
      <c r="I415" s="6">
        <v>1.6129032258064517</v>
      </c>
      <c r="J415" s="6">
        <v>1.6129032258064517</v>
      </c>
      <c r="K415" s="6">
        <v>1.6</v>
      </c>
      <c r="L415" s="6">
        <v>1.5873015873015872</v>
      </c>
      <c r="P415" s="6" t="s">
        <v>438</v>
      </c>
    </row>
    <row r="416" spans="1:18">
      <c r="A416" t="s">
        <v>486</v>
      </c>
      <c r="B416" s="6" t="s">
        <v>431</v>
      </c>
      <c r="C416" s="6" t="s">
        <v>183</v>
      </c>
      <c r="D416" s="6">
        <v>1</v>
      </c>
      <c r="E416" s="6">
        <v>2.6315789473684212</v>
      </c>
      <c r="F416" s="6">
        <v>2.5</v>
      </c>
      <c r="G416" s="6">
        <v>2.3809523809523809</v>
      </c>
      <c r="H416" s="6">
        <v>2.2727272727272729</v>
      </c>
      <c r="I416" s="6">
        <v>2.2222222222222223</v>
      </c>
      <c r="J416" s="6">
        <v>2.2222222222222223</v>
      </c>
      <c r="K416" s="6">
        <v>2.2222222222222223</v>
      </c>
      <c r="L416" s="6">
        <v>2.2222222222222223</v>
      </c>
    </row>
    <row r="417" spans="1:16">
      <c r="A417" t="s">
        <v>486</v>
      </c>
      <c r="B417" s="6" t="s">
        <v>430</v>
      </c>
      <c r="C417" s="6" t="s">
        <v>183</v>
      </c>
      <c r="D417" s="6">
        <v>1</v>
      </c>
      <c r="E417" s="6">
        <v>2.8571428571428572</v>
      </c>
      <c r="F417" s="6">
        <v>2.7777777777777777</v>
      </c>
      <c r="G417" s="6">
        <v>2.7027027027027026</v>
      </c>
      <c r="H417" s="6">
        <v>2.6315789473684212</v>
      </c>
      <c r="I417" s="6">
        <v>2.5641025641025639</v>
      </c>
      <c r="J417" s="6">
        <v>2.5641025641025639</v>
      </c>
      <c r="K417" s="6">
        <v>2.5641025641025639</v>
      </c>
      <c r="L417" s="6">
        <v>2.5641025641025639</v>
      </c>
    </row>
    <row r="418" spans="1:16">
      <c r="A418" t="s">
        <v>486</v>
      </c>
      <c r="B418" s="6" t="s">
        <v>429</v>
      </c>
      <c r="C418" s="6" t="s">
        <v>184</v>
      </c>
      <c r="D418" s="6">
        <v>2</v>
      </c>
      <c r="E418" s="6">
        <v>1.7241379310344829</v>
      </c>
      <c r="F418" s="6">
        <v>1.6666666666666667</v>
      </c>
      <c r="G418" s="6">
        <v>1.639344262295082</v>
      </c>
      <c r="H418" s="6">
        <v>1.6129032258064517</v>
      </c>
      <c r="I418" s="6">
        <v>1.6129032258064517</v>
      </c>
      <c r="J418" s="6">
        <v>1.6129032258064517</v>
      </c>
      <c r="K418" s="6">
        <v>1.6</v>
      </c>
      <c r="L418" s="6">
        <v>1.5873015873015872</v>
      </c>
      <c r="P418" s="6" t="s">
        <v>438</v>
      </c>
    </row>
    <row r="419" spans="1:16">
      <c r="A419" t="s">
        <v>486</v>
      </c>
      <c r="B419" s="6" t="s">
        <v>431</v>
      </c>
      <c r="C419" s="6" t="s">
        <v>184</v>
      </c>
      <c r="D419" s="6">
        <v>2</v>
      </c>
      <c r="E419" s="6">
        <v>2.6315789473684212</v>
      </c>
      <c r="F419" s="6">
        <v>2.5</v>
      </c>
      <c r="G419" s="6">
        <v>2.3809523809523809</v>
      </c>
      <c r="H419" s="6">
        <v>2.2727272727272729</v>
      </c>
      <c r="I419" s="6">
        <v>2.2222222222222223</v>
      </c>
      <c r="J419" s="6">
        <v>2.2222222222222223</v>
      </c>
      <c r="K419" s="6">
        <v>2.2222222222222223</v>
      </c>
      <c r="L419" s="6">
        <v>2.2222222222222223</v>
      </c>
    </row>
    <row r="420" spans="1:16">
      <c r="A420" t="s">
        <v>486</v>
      </c>
      <c r="B420" s="6" t="s">
        <v>430</v>
      </c>
      <c r="C420" s="6" t="s">
        <v>184</v>
      </c>
      <c r="D420" s="6">
        <v>2</v>
      </c>
      <c r="E420" s="6">
        <v>2.8571428571428572</v>
      </c>
      <c r="F420" s="6">
        <v>2.7777777777777777</v>
      </c>
      <c r="G420" s="6">
        <v>2.7027027027027026</v>
      </c>
      <c r="H420" s="6">
        <v>2.6315789473684212</v>
      </c>
      <c r="I420" s="6">
        <v>2.5641025641025639</v>
      </c>
      <c r="J420" s="6">
        <v>2.5641025641025639</v>
      </c>
      <c r="K420" s="6">
        <v>2.5641025641025639</v>
      </c>
      <c r="L420" s="6">
        <v>2.5641025641025639</v>
      </c>
    </row>
    <row r="421" spans="1:16">
      <c r="A421" t="s">
        <v>486</v>
      </c>
      <c r="B421" s="6" t="s">
        <v>429</v>
      </c>
      <c r="C421" s="6" t="s">
        <v>185</v>
      </c>
      <c r="D421" s="6">
        <v>3</v>
      </c>
      <c r="E421" s="6">
        <v>1.7241379310344829</v>
      </c>
      <c r="F421" s="6">
        <v>1.6666666666666667</v>
      </c>
      <c r="G421" s="6">
        <v>1.639344262295082</v>
      </c>
      <c r="H421" s="6">
        <v>1.6129032258064517</v>
      </c>
      <c r="I421" s="6">
        <v>1.6129032258064517</v>
      </c>
      <c r="J421" s="6">
        <v>1.6129032258064517</v>
      </c>
      <c r="K421" s="6">
        <v>1.6</v>
      </c>
      <c r="L421" s="6">
        <v>1.5873015873015872</v>
      </c>
      <c r="P421" s="6" t="s">
        <v>438</v>
      </c>
    </row>
    <row r="422" spans="1:16">
      <c r="A422" t="s">
        <v>486</v>
      </c>
      <c r="B422" s="6" t="s">
        <v>431</v>
      </c>
      <c r="C422" s="6" t="s">
        <v>185</v>
      </c>
      <c r="D422" s="6">
        <v>3</v>
      </c>
      <c r="E422" s="6">
        <v>2.6315789473684212</v>
      </c>
      <c r="F422" s="6">
        <v>2.5</v>
      </c>
      <c r="G422" s="6">
        <v>2.3809523809523809</v>
      </c>
      <c r="H422" s="6">
        <v>2.2727272727272729</v>
      </c>
      <c r="I422" s="6">
        <v>2.2222222222222223</v>
      </c>
      <c r="J422" s="6">
        <v>2.2222222222222223</v>
      </c>
      <c r="K422" s="6">
        <v>2.2222222222222223</v>
      </c>
      <c r="L422" s="6">
        <v>2.2222222222222223</v>
      </c>
    </row>
    <row r="423" spans="1:16">
      <c r="A423" t="s">
        <v>486</v>
      </c>
      <c r="B423" s="6" t="s">
        <v>430</v>
      </c>
      <c r="C423" s="6" t="s">
        <v>185</v>
      </c>
      <c r="D423" s="6">
        <v>3</v>
      </c>
      <c r="E423" s="6">
        <v>2.8571428571428572</v>
      </c>
      <c r="F423" s="6">
        <v>2.7777777777777777</v>
      </c>
      <c r="G423" s="6">
        <v>2.7027027027027026</v>
      </c>
      <c r="H423" s="6">
        <v>2.6315789473684212</v>
      </c>
      <c r="I423" s="6">
        <v>2.5641025641025639</v>
      </c>
      <c r="J423" s="6">
        <v>2.5641025641025639</v>
      </c>
      <c r="K423" s="6">
        <v>2.5641025641025639</v>
      </c>
      <c r="L423" s="6">
        <v>2.5641025641025639</v>
      </c>
    </row>
    <row r="424" spans="1:16">
      <c r="A424" t="s">
        <v>486</v>
      </c>
      <c r="B424" s="5" t="s">
        <v>488</v>
      </c>
      <c r="C424" s="5" t="s">
        <v>256</v>
      </c>
      <c r="D424" s="5">
        <v>1</v>
      </c>
      <c r="E424" s="5">
        <v>0.51</v>
      </c>
      <c r="F424" s="5">
        <v>0.50749999999999995</v>
      </c>
      <c r="G424" s="5">
        <v>0.50490000000000002</v>
      </c>
      <c r="H424" s="5">
        <v>0.50239999999999996</v>
      </c>
      <c r="I424" s="5">
        <v>0.49990000000000001</v>
      </c>
      <c r="J424" s="5">
        <v>0.49740000000000001</v>
      </c>
      <c r="K424" s="5">
        <v>0.49490000000000001</v>
      </c>
      <c r="L424" s="5">
        <v>0.49249999999999999</v>
      </c>
    </row>
    <row r="425" spans="1:16">
      <c r="A425" t="s">
        <v>486</v>
      </c>
      <c r="B425" s="5" t="s">
        <v>489</v>
      </c>
      <c r="C425" t="s">
        <v>130</v>
      </c>
      <c r="D425" s="5">
        <v>1</v>
      </c>
      <c r="E425" s="5">
        <v>0.51</v>
      </c>
      <c r="F425" s="5">
        <v>0.50749999999999995</v>
      </c>
      <c r="G425" s="5">
        <v>0.50490000000000002</v>
      </c>
      <c r="H425" s="5">
        <v>0.50239999999999996</v>
      </c>
      <c r="I425" s="5">
        <v>0.49990000000000001</v>
      </c>
      <c r="J425" s="5">
        <v>0.49740000000000001</v>
      </c>
      <c r="K425" s="5">
        <v>0.49490000000000001</v>
      </c>
      <c r="L425" s="5">
        <v>0.49249999999999999</v>
      </c>
    </row>
    <row r="426" spans="1:16">
      <c r="A426" t="s">
        <v>486</v>
      </c>
      <c r="B426" s="5" t="s">
        <v>489</v>
      </c>
      <c r="C426" s="5" t="s">
        <v>280</v>
      </c>
      <c r="D426" s="5">
        <v>2</v>
      </c>
      <c r="E426" s="5">
        <v>0.51</v>
      </c>
      <c r="F426" s="5">
        <v>0.50749999999999995</v>
      </c>
      <c r="G426" s="5">
        <v>0.50490000000000002</v>
      </c>
      <c r="H426" s="5">
        <v>0.50239999999999996</v>
      </c>
      <c r="I426" s="5">
        <v>0.49990000000000001</v>
      </c>
      <c r="J426" s="5">
        <v>0.49740000000000001</v>
      </c>
      <c r="K426" s="5">
        <v>0.49490000000000001</v>
      </c>
      <c r="L426" s="5">
        <v>0.49249999999999999</v>
      </c>
    </row>
    <row r="427" spans="1:16">
      <c r="A427" s="5" t="s">
        <v>486</v>
      </c>
      <c r="B427" s="2" t="s">
        <v>490</v>
      </c>
      <c r="C427" t="s">
        <v>293</v>
      </c>
      <c r="D427">
        <v>1</v>
      </c>
      <c r="E427" s="5">
        <v>0.62</v>
      </c>
      <c r="F427" s="5">
        <v>0.6169</v>
      </c>
      <c r="G427" s="5">
        <v>0.61380000000000001</v>
      </c>
      <c r="H427" s="5">
        <v>0.61080000000000001</v>
      </c>
      <c r="I427" s="5">
        <v>0.60770000000000002</v>
      </c>
      <c r="J427" s="5">
        <v>0.60470000000000002</v>
      </c>
      <c r="K427" s="5">
        <v>0.60170000000000001</v>
      </c>
      <c r="L427" s="5">
        <v>0.59870000000000001</v>
      </c>
    </row>
    <row r="428" spans="1:16" s="5" customFormat="1">
      <c r="A428" s="5" t="s">
        <v>486</v>
      </c>
      <c r="B428" s="2" t="s">
        <v>500</v>
      </c>
      <c r="C428" t="s">
        <v>132</v>
      </c>
      <c r="D428" s="5">
        <v>1</v>
      </c>
      <c r="E428" s="5">
        <v>0.9502920908105067</v>
      </c>
      <c r="F428" s="5">
        <v>0.93656395466717834</v>
      </c>
      <c r="G428" s="5">
        <v>0.92283581852384844</v>
      </c>
      <c r="H428" s="5">
        <v>0.90910768238051842</v>
      </c>
      <c r="I428" s="5">
        <v>0.89537954623718852</v>
      </c>
      <c r="J428" s="5">
        <v>0.88165141009385861</v>
      </c>
      <c r="K428" s="5">
        <v>0.8679232739505286</v>
      </c>
      <c r="L428" s="5">
        <v>0.85419513780719836</v>
      </c>
      <c r="P428"/>
    </row>
    <row r="429" spans="1:16" s="5" customFormat="1">
      <c r="A429" s="5" t="s">
        <v>486</v>
      </c>
      <c r="B429" s="2" t="s">
        <v>499</v>
      </c>
      <c r="C429" s="5" t="s">
        <v>15</v>
      </c>
      <c r="D429" s="5">
        <v>1</v>
      </c>
      <c r="E429" s="5">
        <v>0.60533606184629374</v>
      </c>
      <c r="F429" s="5">
        <v>0.59659123912299261</v>
      </c>
      <c r="G429" s="5">
        <v>0.58784641639969148</v>
      </c>
      <c r="H429" s="5">
        <v>0.57910159367639025</v>
      </c>
      <c r="I429" s="5">
        <v>0.57035677095308912</v>
      </c>
      <c r="J429" s="5">
        <v>0.56161194822978788</v>
      </c>
      <c r="K429" s="5">
        <v>0.55286712550648665</v>
      </c>
      <c r="L429" s="5">
        <v>0.54412230278318541</v>
      </c>
    </row>
    <row r="430" spans="1:16">
      <c r="E430" s="5"/>
      <c r="F430" s="5"/>
      <c r="G430" s="5"/>
      <c r="H430" s="5"/>
      <c r="I430" s="5"/>
      <c r="J430" s="5"/>
      <c r="K430" s="5"/>
      <c r="L430" s="5"/>
    </row>
    <row r="431" spans="1:16">
      <c r="E431" s="5"/>
      <c r="F431" s="5"/>
      <c r="G431" s="5"/>
      <c r="H431" s="5"/>
      <c r="I431" s="5"/>
      <c r="J431" s="5"/>
      <c r="K431" s="5"/>
      <c r="L431" s="5"/>
    </row>
  </sheetData>
  <autoFilter ref="A5:R423" xr:uid="{00000000-0001-0000-1900-000000000000}"/>
  <dataValidations count="2">
    <dataValidation type="list" allowBlank="1" showInputMessage="1" showErrorMessage="1" sqref="B217:B228 B378 B22:B33 B185 B428:B429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/>
  <dimension ref="A1:S577"/>
  <sheetViews>
    <sheetView topLeftCell="A553" zoomScaleNormal="100" zoomScalePageLayoutView="90" workbookViewId="0">
      <selection activeCell="B576" sqref="B576:B577"/>
    </sheetView>
  </sheetViews>
  <sheetFormatPr defaultColWidth="11.42578125" defaultRowHeight="15"/>
  <cols>
    <col min="1" max="1" width="19" customWidth="1"/>
    <col min="2" max="2" width="23.5703125" customWidth="1"/>
    <col min="3" max="3" width="23.42578125" bestFit="1" customWidth="1"/>
    <col min="4" max="4" width="19.5703125" bestFit="1" customWidth="1"/>
  </cols>
  <sheetData>
    <row r="1" spans="1:14">
      <c r="A1" t="s">
        <v>379</v>
      </c>
    </row>
    <row r="2" spans="1:14">
      <c r="A2" t="s">
        <v>326</v>
      </c>
    </row>
    <row r="3" spans="1:14">
      <c r="A3" t="s">
        <v>364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11</v>
      </c>
      <c r="B5" t="s">
        <v>17</v>
      </c>
      <c r="C5" t="s">
        <v>12</v>
      </c>
      <c r="D5" t="s">
        <v>324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>
      <c r="A6" t="s">
        <v>458</v>
      </c>
      <c r="B6" t="s">
        <v>156</v>
      </c>
      <c r="C6" t="s">
        <v>155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>
      <c r="A7" t="s">
        <v>458</v>
      </c>
      <c r="B7" t="s">
        <v>157</v>
      </c>
      <c r="C7" t="s">
        <v>154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458</v>
      </c>
      <c r="B8" t="s">
        <v>127</v>
      </c>
      <c r="C8" t="s">
        <v>15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458</v>
      </c>
      <c r="B9" t="s">
        <v>128</v>
      </c>
      <c r="C9" t="s">
        <v>15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>
      <c r="A10" t="s">
        <v>458</v>
      </c>
      <c r="B10" t="s">
        <v>139</v>
      </c>
      <c r="C10" t="s">
        <v>132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>
      <c r="A11" t="s">
        <v>458</v>
      </c>
      <c r="B11" t="s">
        <v>140</v>
      </c>
      <c r="C11" t="s">
        <v>183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5" customFormat="1">
      <c r="A12" t="s">
        <v>458</v>
      </c>
      <c r="B12" t="s">
        <v>231</v>
      </c>
      <c r="C12" t="s">
        <v>193</v>
      </c>
      <c r="D12" s="5">
        <v>2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</row>
    <row r="13" spans="1:14" s="5" customFormat="1">
      <c r="A13" t="s">
        <v>458</v>
      </c>
      <c r="B13" t="s">
        <v>233</v>
      </c>
      <c r="C13" t="s">
        <v>257</v>
      </c>
      <c r="D13" s="5">
        <v>2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</row>
    <row r="14" spans="1:14">
      <c r="A14" t="s">
        <v>458</v>
      </c>
      <c r="B14" t="s">
        <v>126</v>
      </c>
      <c r="C14" t="s">
        <v>15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458</v>
      </c>
      <c r="B15" t="s">
        <v>129</v>
      </c>
      <c r="C15" t="s">
        <v>15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458</v>
      </c>
      <c r="B16" t="s">
        <v>177</v>
      </c>
      <c r="C16" t="s">
        <v>15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t="s">
        <v>458</v>
      </c>
      <c r="B17" s="2" t="s">
        <v>121</v>
      </c>
      <c r="C17" t="s">
        <v>137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t="s">
        <v>458</v>
      </c>
      <c r="B18" s="2" t="s">
        <v>121</v>
      </c>
      <c r="C18" t="s">
        <v>137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t="s">
        <v>458</v>
      </c>
      <c r="B19" s="2" t="s">
        <v>121</v>
      </c>
      <c r="C19" t="s">
        <v>137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t="s">
        <v>458</v>
      </c>
      <c r="B20" s="2" t="s">
        <v>122</v>
      </c>
      <c r="C20" t="s">
        <v>137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t="s">
        <v>458</v>
      </c>
      <c r="B21" s="2" t="s">
        <v>162</v>
      </c>
      <c r="C21" t="s">
        <v>137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t="s">
        <v>458</v>
      </c>
      <c r="B22" s="2" t="s">
        <v>116</v>
      </c>
      <c r="C22" t="s">
        <v>137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t="s">
        <v>458</v>
      </c>
      <c r="B23" s="2" t="s">
        <v>52</v>
      </c>
      <c r="C23" t="s">
        <v>137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t="s">
        <v>458</v>
      </c>
      <c r="B24" s="2" t="s">
        <v>117</v>
      </c>
      <c r="C24" t="s">
        <v>137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t="s">
        <v>458</v>
      </c>
      <c r="B25" s="2" t="s">
        <v>118</v>
      </c>
      <c r="C25" t="s">
        <v>137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t="s">
        <v>458</v>
      </c>
      <c r="B26" s="2" t="s">
        <v>117</v>
      </c>
      <c r="C26" t="s">
        <v>137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t="s">
        <v>458</v>
      </c>
      <c r="B27" s="2" t="s">
        <v>117</v>
      </c>
      <c r="C27" t="s">
        <v>137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t="s">
        <v>458</v>
      </c>
      <c r="B28" t="s">
        <v>118</v>
      </c>
      <c r="C28" t="s">
        <v>137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t="s">
        <v>458</v>
      </c>
      <c r="B29" t="s">
        <v>118</v>
      </c>
      <c r="C29" t="s">
        <v>137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t="s">
        <v>458</v>
      </c>
      <c r="B30" t="s">
        <v>51</v>
      </c>
      <c r="C30" t="s">
        <v>137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>
      <c r="A31" t="s">
        <v>458</v>
      </c>
      <c r="B31" t="s">
        <v>50</v>
      </c>
      <c r="C31" t="s">
        <v>137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t="s">
        <v>458</v>
      </c>
      <c r="B32" t="s">
        <v>50</v>
      </c>
      <c r="C32" t="s">
        <v>137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458</v>
      </c>
      <c r="B33" t="s">
        <v>94</v>
      </c>
      <c r="C33" t="s">
        <v>15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458</v>
      </c>
      <c r="B34" s="2" t="s">
        <v>93</v>
      </c>
      <c r="C34" t="s">
        <v>15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458</v>
      </c>
      <c r="B35" s="2" t="s">
        <v>13</v>
      </c>
      <c r="C35" t="s">
        <v>15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458</v>
      </c>
      <c r="B36" s="2" t="s">
        <v>14</v>
      </c>
      <c r="C36" t="s">
        <v>15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458</v>
      </c>
      <c r="B37" s="2" t="s">
        <v>49</v>
      </c>
      <c r="C37" t="s">
        <v>15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458</v>
      </c>
      <c r="B38" s="2" t="s">
        <v>150</v>
      </c>
      <c r="C38" t="s">
        <v>15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t="s">
        <v>458</v>
      </c>
      <c r="B39" s="2" t="s">
        <v>124</v>
      </c>
      <c r="C39" t="s">
        <v>138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t="s">
        <v>458</v>
      </c>
      <c r="B40" s="2" t="s">
        <v>53</v>
      </c>
      <c r="C40" t="s">
        <v>138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t="s">
        <v>458</v>
      </c>
      <c r="B41" s="2" t="s">
        <v>53</v>
      </c>
      <c r="C41" t="s">
        <v>138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t="s">
        <v>458</v>
      </c>
      <c r="B42" s="2" t="s">
        <v>125</v>
      </c>
      <c r="C42" t="s">
        <v>138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t="s">
        <v>458</v>
      </c>
      <c r="B43" s="2" t="s">
        <v>119</v>
      </c>
      <c r="C43" t="s">
        <v>138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t="s">
        <v>458</v>
      </c>
      <c r="B44" s="2" t="s">
        <v>119</v>
      </c>
      <c r="C44" t="s">
        <v>138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t="s">
        <v>458</v>
      </c>
      <c r="B45" t="s">
        <v>119</v>
      </c>
      <c r="C45" t="s">
        <v>138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t="s">
        <v>458</v>
      </c>
      <c r="B46" t="s">
        <v>120</v>
      </c>
      <c r="C46" t="s">
        <v>138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t="s">
        <v>458</v>
      </c>
      <c r="B47" t="s">
        <v>55</v>
      </c>
      <c r="C47" t="s">
        <v>138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t="s">
        <v>458</v>
      </c>
      <c r="B48" t="s">
        <v>114</v>
      </c>
      <c r="C48" t="s">
        <v>138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t="s">
        <v>458</v>
      </c>
      <c r="B49" t="s">
        <v>54</v>
      </c>
      <c r="C49" t="s">
        <v>138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t="s">
        <v>458</v>
      </c>
      <c r="B50" t="s">
        <v>54</v>
      </c>
      <c r="C50" t="s">
        <v>138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t="s">
        <v>458</v>
      </c>
      <c r="B51" t="s">
        <v>54</v>
      </c>
      <c r="C51" t="s">
        <v>138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t="s">
        <v>458</v>
      </c>
      <c r="B52" t="s">
        <v>115</v>
      </c>
      <c r="C52" t="s">
        <v>138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t="s">
        <v>458</v>
      </c>
      <c r="B53" t="s">
        <v>115</v>
      </c>
      <c r="C53" t="s">
        <v>138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t="s">
        <v>458</v>
      </c>
      <c r="B54" t="s">
        <v>115</v>
      </c>
      <c r="C54" t="s">
        <v>138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t="s">
        <v>458</v>
      </c>
      <c r="B55" t="s">
        <v>77</v>
      </c>
      <c r="C55" t="s">
        <v>143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t="s">
        <v>458</v>
      </c>
      <c r="B56" t="s">
        <v>76</v>
      </c>
      <c r="C56" t="s">
        <v>144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t="s">
        <v>458</v>
      </c>
      <c r="B57" t="s">
        <v>75</v>
      </c>
      <c r="C57" t="s">
        <v>183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t="s">
        <v>458</v>
      </c>
      <c r="B58" t="s">
        <v>78</v>
      </c>
      <c r="C58" t="s">
        <v>131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t="s">
        <v>458</v>
      </c>
      <c r="B59" t="s">
        <v>79</v>
      </c>
      <c r="C59" t="s">
        <v>130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458</v>
      </c>
      <c r="B60" t="s">
        <v>87</v>
      </c>
      <c r="C60" t="s">
        <v>15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458</v>
      </c>
      <c r="B61" t="s">
        <v>88</v>
      </c>
      <c r="C61" t="s">
        <v>15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458</v>
      </c>
      <c r="B62" t="s">
        <v>92</v>
      </c>
      <c r="C62" t="s">
        <v>15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458</v>
      </c>
      <c r="B63" t="s">
        <v>89</v>
      </c>
      <c r="C63" t="s">
        <v>15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458</v>
      </c>
      <c r="B64" t="s">
        <v>90</v>
      </c>
      <c r="C64" t="s">
        <v>15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458</v>
      </c>
      <c r="B65" t="s">
        <v>91</v>
      </c>
      <c r="C65" t="s">
        <v>15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458</v>
      </c>
      <c r="B66" t="s">
        <v>158</v>
      </c>
      <c r="C66" t="s">
        <v>15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458</v>
      </c>
      <c r="B67" t="s">
        <v>159</v>
      </c>
      <c r="C67" t="s">
        <v>15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458</v>
      </c>
      <c r="B68" t="s">
        <v>81</v>
      </c>
      <c r="C68" t="s">
        <v>15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458</v>
      </c>
      <c r="B69" t="s">
        <v>80</v>
      </c>
      <c r="C69" t="s">
        <v>15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458</v>
      </c>
      <c r="B70" t="s">
        <v>82</v>
      </c>
      <c r="C70" t="s">
        <v>15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458</v>
      </c>
      <c r="B71" t="s">
        <v>151</v>
      </c>
      <c r="C71" t="s">
        <v>15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458</v>
      </c>
      <c r="B72" t="s">
        <v>152</v>
      </c>
      <c r="C72" t="s">
        <v>15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458</v>
      </c>
      <c r="B73" t="s">
        <v>153</v>
      </c>
      <c r="C73" t="s">
        <v>15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458</v>
      </c>
      <c r="B74" t="s">
        <v>84</v>
      </c>
      <c r="C74" t="s">
        <v>15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458</v>
      </c>
      <c r="B75" t="s">
        <v>83</v>
      </c>
      <c r="C75" t="s">
        <v>15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458</v>
      </c>
      <c r="B76" t="s">
        <v>85</v>
      </c>
      <c r="C76" t="s">
        <v>15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 t="s">
        <v>458</v>
      </c>
      <c r="B77" t="s">
        <v>145</v>
      </c>
      <c r="C77" t="s">
        <v>133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t="s">
        <v>458</v>
      </c>
      <c r="B78" t="s">
        <v>112</v>
      </c>
      <c r="C78" t="s">
        <v>132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458</v>
      </c>
      <c r="B79" t="s">
        <v>113</v>
      </c>
      <c r="C79" t="s">
        <v>15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458</v>
      </c>
      <c r="B80" t="s">
        <v>113</v>
      </c>
      <c r="C80" t="s">
        <v>15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>
      <c r="A81" t="s">
        <v>458</v>
      </c>
      <c r="B81" t="s">
        <v>113</v>
      </c>
      <c r="C81" t="s">
        <v>25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>
      <c r="A82" t="s">
        <v>458</v>
      </c>
      <c r="B82" t="s">
        <v>149</v>
      </c>
      <c r="C82" t="s">
        <v>185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>
      <c r="A83" t="s">
        <v>458</v>
      </c>
      <c r="B83" t="s">
        <v>149</v>
      </c>
      <c r="C83" t="s">
        <v>184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458</v>
      </c>
      <c r="B84" t="s">
        <v>168</v>
      </c>
      <c r="C84" t="s">
        <v>130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>
      <c r="A85" t="s">
        <v>458</v>
      </c>
      <c r="B85" t="s">
        <v>167</v>
      </c>
      <c r="C85" t="s">
        <v>143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>
      <c r="A86" t="s">
        <v>458</v>
      </c>
      <c r="B86" t="s">
        <v>166</v>
      </c>
      <c r="C86" t="s">
        <v>183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458</v>
      </c>
      <c r="B87" t="s">
        <v>179</v>
      </c>
      <c r="C87" t="s">
        <v>25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458</v>
      </c>
      <c r="B88" t="s">
        <v>179</v>
      </c>
      <c r="C88" t="s">
        <v>15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458</v>
      </c>
      <c r="B89" t="s">
        <v>180</v>
      </c>
      <c r="C89" t="s">
        <v>15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>
      <c r="A90" t="s">
        <v>458</v>
      </c>
      <c r="B90" t="s">
        <v>181</v>
      </c>
      <c r="C90" t="s">
        <v>182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458</v>
      </c>
      <c r="B91" t="s">
        <v>13</v>
      </c>
      <c r="C91" t="s">
        <v>15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458</v>
      </c>
      <c r="B92" t="s">
        <v>13</v>
      </c>
      <c r="C92" t="s">
        <v>15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>
      <c r="A93" t="s">
        <v>458</v>
      </c>
      <c r="B93" t="s">
        <v>205</v>
      </c>
      <c r="C93" t="s">
        <v>257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 t="s">
        <v>458</v>
      </c>
      <c r="B94" t="s">
        <v>205</v>
      </c>
      <c r="C94" t="s">
        <v>257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>
      <c r="A95" t="s">
        <v>458</v>
      </c>
      <c r="B95" t="s">
        <v>205</v>
      </c>
      <c r="C95" t="s">
        <v>257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458</v>
      </c>
      <c r="B96" t="s">
        <v>192</v>
      </c>
      <c r="C96" t="s">
        <v>15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>
      <c r="A97" t="s">
        <v>458</v>
      </c>
      <c r="B97" t="s">
        <v>192</v>
      </c>
      <c r="C97" t="s">
        <v>257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458</v>
      </c>
      <c r="B98" t="s">
        <v>192</v>
      </c>
      <c r="C98" t="s">
        <v>15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>
      <c r="A99" t="s">
        <v>458</v>
      </c>
      <c r="B99" t="s">
        <v>192</v>
      </c>
      <c r="C99" t="s">
        <v>257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458</v>
      </c>
      <c r="B100" t="s">
        <v>192</v>
      </c>
      <c r="C100" t="s">
        <v>15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>
      <c r="A101" t="s">
        <v>458</v>
      </c>
      <c r="B101" t="s">
        <v>192</v>
      </c>
      <c r="C101" t="s">
        <v>257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>
      <c r="A102" t="s">
        <v>458</v>
      </c>
      <c r="B102" t="s">
        <v>187</v>
      </c>
      <c r="C102" t="s">
        <v>257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>
      <c r="A103" t="s">
        <v>458</v>
      </c>
      <c r="B103" t="s">
        <v>191</v>
      </c>
      <c r="C103" t="s">
        <v>257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>
      <c r="A104" t="s">
        <v>458</v>
      </c>
      <c r="B104" t="s">
        <v>191</v>
      </c>
      <c r="C104" t="s">
        <v>257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>
      <c r="A105" t="s">
        <v>458</v>
      </c>
      <c r="B105" t="s">
        <v>188</v>
      </c>
      <c r="C105" t="s">
        <v>257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>
      <c r="A106" t="s">
        <v>458</v>
      </c>
      <c r="B106" t="s">
        <v>189</v>
      </c>
      <c r="C106" t="s">
        <v>257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458</v>
      </c>
      <c r="B107" t="s">
        <v>190</v>
      </c>
      <c r="C107" t="s">
        <v>15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>
      <c r="A108" t="s">
        <v>458</v>
      </c>
      <c r="B108" t="s">
        <v>190</v>
      </c>
      <c r="C108" t="s">
        <v>257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458</v>
      </c>
      <c r="B109" t="s">
        <v>213</v>
      </c>
      <c r="C109" t="s">
        <v>15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>
      <c r="A110" t="s">
        <v>458</v>
      </c>
      <c r="B110" t="s">
        <v>213</v>
      </c>
      <c r="C110" t="s">
        <v>257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458</v>
      </c>
      <c r="B111" t="s">
        <v>214</v>
      </c>
      <c r="C111" t="s">
        <v>257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458</v>
      </c>
      <c r="B112" t="s">
        <v>215</v>
      </c>
      <c r="C112" t="s">
        <v>257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458</v>
      </c>
      <c r="B113" t="s">
        <v>216</v>
      </c>
      <c r="C113" t="s">
        <v>257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>
      <c r="A114" t="s">
        <v>458</v>
      </c>
      <c r="B114" t="s">
        <v>217</v>
      </c>
      <c r="C114" t="s">
        <v>257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>
      <c r="A115" t="s">
        <v>458</v>
      </c>
      <c r="B115" t="s">
        <v>196</v>
      </c>
      <c r="C115" t="s">
        <v>257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>
      <c r="A116" t="s">
        <v>458</v>
      </c>
      <c r="B116" t="s">
        <v>206</v>
      </c>
      <c r="C116" t="s">
        <v>257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 t="s">
        <v>458</v>
      </c>
      <c r="B117" t="s">
        <v>207</v>
      </c>
      <c r="C117" t="s">
        <v>193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 t="s">
        <v>458</v>
      </c>
      <c r="B118" t="s">
        <v>207</v>
      </c>
      <c r="C118" t="s">
        <v>193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>
      <c r="A119" t="s">
        <v>458</v>
      </c>
      <c r="B119" t="s">
        <v>207</v>
      </c>
      <c r="C119" t="s">
        <v>193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458</v>
      </c>
      <c r="B120" t="s">
        <v>197</v>
      </c>
      <c r="C120" t="s">
        <v>15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>
      <c r="A121" t="s">
        <v>458</v>
      </c>
      <c r="B121" t="s">
        <v>197</v>
      </c>
      <c r="C121" t="s">
        <v>193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458</v>
      </c>
      <c r="B122" t="s">
        <v>197</v>
      </c>
      <c r="C122" t="s">
        <v>15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>
      <c r="A123" t="s">
        <v>458</v>
      </c>
      <c r="B123" t="s">
        <v>197</v>
      </c>
      <c r="C123" t="s">
        <v>193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458</v>
      </c>
      <c r="B124" t="s">
        <v>197</v>
      </c>
      <c r="C124" t="s">
        <v>15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>
      <c r="A125" t="s">
        <v>458</v>
      </c>
      <c r="B125" t="s">
        <v>197</v>
      </c>
      <c r="C125" t="s">
        <v>193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>
      <c r="A126" t="s">
        <v>458</v>
      </c>
      <c r="B126" t="s">
        <v>198</v>
      </c>
      <c r="C126" t="s">
        <v>193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458</v>
      </c>
      <c r="B127" t="s">
        <v>199</v>
      </c>
      <c r="C127" t="s">
        <v>15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>
      <c r="A128" t="s">
        <v>458</v>
      </c>
      <c r="B128" t="s">
        <v>199</v>
      </c>
      <c r="C128" t="s">
        <v>193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>
      <c r="A129" t="s">
        <v>458</v>
      </c>
      <c r="B129" t="s">
        <v>200</v>
      </c>
      <c r="C129" t="s">
        <v>193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 t="s">
        <v>458</v>
      </c>
      <c r="B130" t="s">
        <v>201</v>
      </c>
      <c r="C130" t="s">
        <v>193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458</v>
      </c>
      <c r="B131" t="s">
        <v>202</v>
      </c>
      <c r="C131" t="s">
        <v>15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>
      <c r="A132" t="s">
        <v>458</v>
      </c>
      <c r="B132" t="s">
        <v>202</v>
      </c>
      <c r="C132" t="s">
        <v>193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5" customFormat="1">
      <c r="A133" t="s">
        <v>458</v>
      </c>
      <c r="B133" t="s">
        <v>230</v>
      </c>
      <c r="C133" t="s">
        <v>15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>
      <c r="A134" t="s">
        <v>458</v>
      </c>
      <c r="B134" s="15" t="s">
        <v>230</v>
      </c>
      <c r="C134" t="s">
        <v>193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>
      <c r="A135" t="s">
        <v>458</v>
      </c>
      <c r="B135" s="15" t="s">
        <v>219</v>
      </c>
      <c r="C135" t="s">
        <v>193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458</v>
      </c>
      <c r="B136" s="15" t="s">
        <v>220</v>
      </c>
      <c r="C136" t="s">
        <v>15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458</v>
      </c>
      <c r="B137" s="15" t="s">
        <v>220</v>
      </c>
      <c r="C137" t="s">
        <v>15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>
      <c r="A138" t="s">
        <v>458</v>
      </c>
      <c r="B138" s="15" t="s">
        <v>220</v>
      </c>
      <c r="C138" t="s">
        <v>193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>
      <c r="A139" t="s">
        <v>458</v>
      </c>
      <c r="B139" s="15" t="s">
        <v>203</v>
      </c>
      <c r="C139" t="s">
        <v>193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>
      <c r="A140" t="s">
        <v>458</v>
      </c>
      <c r="B140" s="15" t="s">
        <v>208</v>
      </c>
      <c r="C140" t="s">
        <v>193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>
      <c r="A141" t="s">
        <v>458</v>
      </c>
      <c r="B141" s="15" t="s">
        <v>204</v>
      </c>
      <c r="C141" t="s">
        <v>193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458</v>
      </c>
      <c r="B142" t="s">
        <v>204</v>
      </c>
      <c r="C142" t="s">
        <v>15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>
      <c r="A143" t="s">
        <v>458</v>
      </c>
      <c r="B143" t="s">
        <v>218</v>
      </c>
      <c r="C143" t="s">
        <v>193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>
      <c r="A144" t="s">
        <v>458</v>
      </c>
      <c r="B144" t="s">
        <v>211</v>
      </c>
      <c r="C144" t="s">
        <v>194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>
      <c r="A145" t="s">
        <v>458</v>
      </c>
      <c r="B145" t="s">
        <v>211</v>
      </c>
      <c r="C145" t="s">
        <v>194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>
      <c r="A146" t="s">
        <v>458</v>
      </c>
      <c r="B146" t="s">
        <v>211</v>
      </c>
      <c r="C146" t="s">
        <v>194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>
      <c r="A147" t="s">
        <v>458</v>
      </c>
      <c r="B147" t="s">
        <v>222</v>
      </c>
      <c r="C147" t="s">
        <v>194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>
      <c r="A148" t="s">
        <v>458</v>
      </c>
      <c r="B148" t="s">
        <v>209</v>
      </c>
      <c r="C148" t="s">
        <v>194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 t="s">
        <v>458</v>
      </c>
      <c r="B149" t="s">
        <v>210</v>
      </c>
      <c r="C149" t="s">
        <v>194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>
      <c r="A150" t="s">
        <v>458</v>
      </c>
      <c r="B150" t="s">
        <v>221</v>
      </c>
      <c r="C150" t="s">
        <v>194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>
      <c r="A151" t="s">
        <v>458</v>
      </c>
      <c r="B151" t="s">
        <v>212</v>
      </c>
      <c r="C151" t="s">
        <v>194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>
      <c r="A152" t="s">
        <v>458</v>
      </c>
      <c r="B152" t="s">
        <v>224</v>
      </c>
      <c r="C152" t="s">
        <v>195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>
      <c r="A153" t="s">
        <v>458</v>
      </c>
      <c r="B153" t="s">
        <v>224</v>
      </c>
      <c r="C153" t="s">
        <v>195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>
      <c r="A154" t="s">
        <v>458</v>
      </c>
      <c r="B154" t="s">
        <v>224</v>
      </c>
      <c r="C154" t="s">
        <v>195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>
      <c r="A155" t="s">
        <v>458</v>
      </c>
      <c r="B155" t="s">
        <v>224</v>
      </c>
      <c r="C155" t="s">
        <v>195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>
      <c r="A156" t="s">
        <v>458</v>
      </c>
      <c r="B156" t="s">
        <v>225</v>
      </c>
      <c r="C156" t="s">
        <v>195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>
      <c r="A157" t="s">
        <v>458</v>
      </c>
      <c r="B157" t="s">
        <v>225</v>
      </c>
      <c r="C157" t="s">
        <v>195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>
      <c r="A158" t="s">
        <v>458</v>
      </c>
      <c r="B158" t="s">
        <v>225</v>
      </c>
      <c r="C158" t="s">
        <v>195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>
      <c r="A159" t="s">
        <v>458</v>
      </c>
      <c r="B159" t="s">
        <v>226</v>
      </c>
      <c r="C159" t="s">
        <v>195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>
      <c r="A160" t="s">
        <v>458</v>
      </c>
      <c r="B160" t="s">
        <v>227</v>
      </c>
      <c r="C160" t="s">
        <v>195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>
      <c r="A161" t="s">
        <v>458</v>
      </c>
      <c r="B161" t="s">
        <v>228</v>
      </c>
      <c r="C161" t="s">
        <v>195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>
      <c r="A162" t="s">
        <v>458</v>
      </c>
      <c r="B162" t="s">
        <v>229</v>
      </c>
      <c r="C162" t="s">
        <v>195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>
      <c r="A163" t="s">
        <v>458</v>
      </c>
      <c r="B163" t="s">
        <v>229</v>
      </c>
      <c r="C163" t="s">
        <v>195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>
      <c r="A164" t="s">
        <v>458</v>
      </c>
      <c r="B164" t="s">
        <v>229</v>
      </c>
      <c r="C164" t="s">
        <v>195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>
      <c r="A165" t="s">
        <v>458</v>
      </c>
      <c r="B165" t="s">
        <v>235</v>
      </c>
      <c r="C165" t="s">
        <v>195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>
      <c r="A166" t="s">
        <v>458</v>
      </c>
      <c r="B166" t="s">
        <v>235</v>
      </c>
      <c r="C166" t="s">
        <v>195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>
      <c r="A167" t="s">
        <v>458</v>
      </c>
      <c r="B167" t="s">
        <v>235</v>
      </c>
      <c r="C167" t="s">
        <v>195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>
      <c r="A168" t="s">
        <v>458</v>
      </c>
      <c r="B168" t="s">
        <v>235</v>
      </c>
      <c r="C168" t="s">
        <v>195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 t="s">
        <v>458</v>
      </c>
      <c r="B169" t="s">
        <v>236</v>
      </c>
      <c r="C169" t="s">
        <v>195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 t="s">
        <v>458</v>
      </c>
      <c r="B170" t="s">
        <v>248</v>
      </c>
      <c r="C170" t="s">
        <v>193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>
      <c r="A171" t="s">
        <v>458</v>
      </c>
      <c r="B171" t="s">
        <v>242</v>
      </c>
      <c r="C171" t="s">
        <v>193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>
      <c r="A172" t="s">
        <v>458</v>
      </c>
      <c r="B172" t="s">
        <v>243</v>
      </c>
      <c r="C172" t="s">
        <v>193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>
      <c r="A173" t="s">
        <v>458</v>
      </c>
      <c r="B173" t="s">
        <v>249</v>
      </c>
      <c r="C173" t="s">
        <v>257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>
      <c r="A174" t="s">
        <v>458</v>
      </c>
      <c r="B174" t="s">
        <v>240</v>
      </c>
      <c r="C174" t="s">
        <v>257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>
      <c r="A175" t="s">
        <v>458</v>
      </c>
      <c r="B175" t="s">
        <v>241</v>
      </c>
      <c r="C175" t="s">
        <v>257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458</v>
      </c>
      <c r="B176" t="s">
        <v>248</v>
      </c>
      <c r="C176" t="s">
        <v>15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458</v>
      </c>
      <c r="B177" t="s">
        <v>242</v>
      </c>
      <c r="C177" t="s">
        <v>15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458</v>
      </c>
      <c r="B178" t="s">
        <v>243</v>
      </c>
      <c r="C178" t="s">
        <v>15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458</v>
      </c>
      <c r="B179" t="s">
        <v>191</v>
      </c>
      <c r="C179" t="s">
        <v>15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458</v>
      </c>
      <c r="B180" t="s">
        <v>249</v>
      </c>
      <c r="C180" t="s">
        <v>15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t="s">
        <v>458</v>
      </c>
      <c r="B181" t="s">
        <v>240</v>
      </c>
      <c r="C181" t="s">
        <v>15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t="s">
        <v>458</v>
      </c>
      <c r="B182" t="s">
        <v>241</v>
      </c>
      <c r="C182" t="s">
        <v>15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>
      <c r="A183" t="s">
        <v>458</v>
      </c>
      <c r="B183" t="s">
        <v>244</v>
      </c>
      <c r="C183" t="s">
        <v>194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>
      <c r="A184" t="s">
        <v>458</v>
      </c>
      <c r="B184" t="s">
        <v>245</v>
      </c>
      <c r="C184" t="s">
        <v>194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458</v>
      </c>
      <c r="B185" t="s">
        <v>237</v>
      </c>
      <c r="C185" t="s">
        <v>15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458</v>
      </c>
      <c r="B186" t="s">
        <v>238</v>
      </c>
      <c r="C186" t="s">
        <v>15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458</v>
      </c>
      <c r="B187" t="s">
        <v>239</v>
      </c>
      <c r="C187" t="s">
        <v>15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>
      <c r="A188" t="s">
        <v>458</v>
      </c>
      <c r="B188" t="s">
        <v>246</v>
      </c>
      <c r="C188" t="s">
        <v>132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>
      <c r="A189" t="s">
        <v>458</v>
      </c>
      <c r="B189" t="s">
        <v>247</v>
      </c>
      <c r="C189" t="s">
        <v>132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>
      <c r="A190" t="s">
        <v>458</v>
      </c>
      <c r="B190" t="s">
        <v>251</v>
      </c>
      <c r="C190" t="s">
        <v>252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>
      <c r="A191" t="s">
        <v>458</v>
      </c>
      <c r="B191" t="s">
        <v>253</v>
      </c>
      <c r="C191" t="s">
        <v>257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>
      <c r="A192" t="s">
        <v>458</v>
      </c>
      <c r="B192" t="s">
        <v>254</v>
      </c>
      <c r="C192" t="s">
        <v>193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>
      <c r="A193" t="s">
        <v>458</v>
      </c>
      <c r="B193" t="s">
        <v>255</v>
      </c>
      <c r="C193" t="s">
        <v>256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458</v>
      </c>
      <c r="B194" t="s">
        <v>281</v>
      </c>
      <c r="C194" t="s">
        <v>280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458</v>
      </c>
      <c r="B195" t="s">
        <v>281</v>
      </c>
      <c r="C195" t="s">
        <v>280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>
      <c r="A196" t="s">
        <v>458</v>
      </c>
      <c r="B196" t="s">
        <v>282</v>
      </c>
      <c r="C196" t="s">
        <v>133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>
      <c r="A197" t="s">
        <v>458</v>
      </c>
      <c r="B197" t="s">
        <v>283</v>
      </c>
      <c r="C197" t="s">
        <v>133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>
      <c r="A198" t="s">
        <v>458</v>
      </c>
      <c r="B198" t="s">
        <v>284</v>
      </c>
      <c r="C198" t="s">
        <v>133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 t="s">
        <v>458</v>
      </c>
      <c r="B199" t="s">
        <v>285</v>
      </c>
      <c r="C199" t="s">
        <v>133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>
      <c r="A200" t="s">
        <v>458</v>
      </c>
      <c r="B200" t="s">
        <v>286</v>
      </c>
      <c r="C200" t="s">
        <v>133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>
      <c r="A201" t="s">
        <v>458</v>
      </c>
      <c r="B201" s="2" t="s">
        <v>287</v>
      </c>
      <c r="C201" t="s">
        <v>184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>
      <c r="A202" t="s">
        <v>458</v>
      </c>
      <c r="B202" s="2" t="s">
        <v>291</v>
      </c>
      <c r="C202" t="s">
        <v>132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>
      <c r="A203" t="s">
        <v>458</v>
      </c>
      <c r="B203" s="2" t="s">
        <v>291</v>
      </c>
      <c r="C203" t="s">
        <v>185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 t="s">
        <v>458</v>
      </c>
      <c r="B204" s="2" t="s">
        <v>291</v>
      </c>
      <c r="C204" t="s">
        <v>184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>
      <c r="A205" t="s">
        <v>458</v>
      </c>
      <c r="B205" s="2" t="s">
        <v>291</v>
      </c>
      <c r="C205" t="s">
        <v>183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>
      <c r="A206" t="s">
        <v>458</v>
      </c>
      <c r="B206" s="2" t="s">
        <v>292</v>
      </c>
      <c r="C206" t="s">
        <v>295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>
      <c r="A207" t="s">
        <v>458</v>
      </c>
      <c r="B207" s="2" t="s">
        <v>292</v>
      </c>
      <c r="C207" t="s">
        <v>296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>
      <c r="A208" t="s">
        <v>458</v>
      </c>
      <c r="B208" s="2" t="s">
        <v>292</v>
      </c>
      <c r="C208" t="s">
        <v>294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>
      <c r="A209" t="s">
        <v>458</v>
      </c>
      <c r="B209" s="2" t="s">
        <v>292</v>
      </c>
      <c r="C209" t="s">
        <v>293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>
      <c r="A210" t="s">
        <v>458</v>
      </c>
      <c r="B210" s="2" t="s">
        <v>297</v>
      </c>
      <c r="C210" t="s">
        <v>137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>
      <c r="A211" t="s">
        <v>458</v>
      </c>
      <c r="B211" s="2" t="s">
        <v>298</v>
      </c>
      <c r="C211" t="s">
        <v>137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>
      <c r="A212" t="s">
        <v>458</v>
      </c>
      <c r="B212" t="s">
        <v>299</v>
      </c>
      <c r="C212" t="s">
        <v>138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>
      <c r="A213" t="s">
        <v>458</v>
      </c>
      <c r="B213" t="s">
        <v>290</v>
      </c>
      <c r="C213" t="s">
        <v>293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>
      <c r="A214" t="s">
        <v>458</v>
      </c>
      <c r="B214" t="s">
        <v>179</v>
      </c>
      <c r="C214" t="s">
        <v>182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>
      <c r="A215" t="s">
        <v>458</v>
      </c>
      <c r="B215" t="s">
        <v>180</v>
      </c>
      <c r="C215" t="s">
        <v>182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>
      <c r="A216" t="s">
        <v>458</v>
      </c>
      <c r="B216" t="s">
        <v>235</v>
      </c>
      <c r="C216" t="s">
        <v>182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>
      <c r="A217" t="s">
        <v>458</v>
      </c>
      <c r="B217" t="s">
        <v>235</v>
      </c>
      <c r="C217" t="s">
        <v>182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>
      <c r="A218" t="s">
        <v>458</v>
      </c>
      <c r="B218" t="s">
        <v>235</v>
      </c>
      <c r="C218" t="s">
        <v>182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>
      <c r="A219" t="s">
        <v>458</v>
      </c>
      <c r="B219" t="s">
        <v>235</v>
      </c>
      <c r="C219" t="s">
        <v>182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>
      <c r="A220" t="s">
        <v>458</v>
      </c>
      <c r="B220" t="s">
        <v>236</v>
      </c>
      <c r="C220" t="s">
        <v>182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>
      <c r="A221" t="s">
        <v>458</v>
      </c>
      <c r="B221" t="s">
        <v>248</v>
      </c>
      <c r="C221" t="s">
        <v>182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>
      <c r="A222" t="s">
        <v>458</v>
      </c>
      <c r="B222" t="s">
        <v>242</v>
      </c>
      <c r="C222" t="s">
        <v>182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>
      <c r="A223" t="s">
        <v>458</v>
      </c>
      <c r="B223" t="s">
        <v>243</v>
      </c>
      <c r="C223" t="s">
        <v>182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>
      <c r="A224" t="s">
        <v>458</v>
      </c>
      <c r="B224" t="s">
        <v>249</v>
      </c>
      <c r="C224" t="s">
        <v>182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3">
      <c r="A225" t="s">
        <v>458</v>
      </c>
      <c r="B225" t="s">
        <v>240</v>
      </c>
      <c r="C225" t="s">
        <v>182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3">
      <c r="A226" t="s">
        <v>458</v>
      </c>
      <c r="B226" t="s">
        <v>241</v>
      </c>
      <c r="C226" t="s">
        <v>182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3">
      <c r="A227" t="s">
        <v>458</v>
      </c>
      <c r="B227" t="s">
        <v>244</v>
      </c>
      <c r="C227" t="s">
        <v>182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3">
      <c r="A228" t="s">
        <v>458</v>
      </c>
      <c r="B228" t="s">
        <v>245</v>
      </c>
      <c r="C228" t="s">
        <v>182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3">
      <c r="A229" t="s">
        <v>458</v>
      </c>
      <c r="B229" t="s">
        <v>237</v>
      </c>
      <c r="C229" t="s">
        <v>182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3">
      <c r="A230" t="s">
        <v>458</v>
      </c>
      <c r="B230" t="s">
        <v>238</v>
      </c>
      <c r="C230" t="s">
        <v>182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3">
      <c r="A231" t="s">
        <v>458</v>
      </c>
      <c r="B231" t="s">
        <v>239</v>
      </c>
      <c r="C231" t="s">
        <v>182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3">
      <c r="A232" t="s">
        <v>458</v>
      </c>
      <c r="B232" t="s">
        <v>247</v>
      </c>
      <c r="C232" t="s">
        <v>182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3">
      <c r="A233" t="s">
        <v>458</v>
      </c>
      <c r="B233" s="2" t="s">
        <v>310</v>
      </c>
      <c r="C233" t="s">
        <v>15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3">
      <c r="A234" t="s">
        <v>458</v>
      </c>
      <c r="B234" s="2" t="s">
        <v>312</v>
      </c>
      <c r="C234" t="s">
        <v>311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3">
      <c r="A235" t="s">
        <v>458</v>
      </c>
      <c r="B235" t="s">
        <v>313</v>
      </c>
      <c r="C235" t="s">
        <v>311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3">
      <c r="A236" t="s">
        <v>458</v>
      </c>
      <c r="B236" t="s">
        <v>314</v>
      </c>
      <c r="C236" t="s">
        <v>132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3">
      <c r="A237" t="s">
        <v>458</v>
      </c>
      <c r="B237" t="s">
        <v>316</v>
      </c>
      <c r="C237" t="s">
        <v>317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3">
      <c r="A238" t="s">
        <v>458</v>
      </c>
      <c r="B238" t="s">
        <v>316</v>
      </c>
      <c r="C238" t="s">
        <v>318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3">
      <c r="A239" t="s">
        <v>458</v>
      </c>
      <c r="B239" t="s">
        <v>416</v>
      </c>
      <c r="C239" t="s">
        <v>15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</row>
    <row r="240" spans="1:13">
      <c r="A240" t="s">
        <v>458</v>
      </c>
      <c r="B240" t="s">
        <v>95</v>
      </c>
      <c r="C240" t="s">
        <v>15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</row>
    <row r="241" spans="1:12">
      <c r="A241" t="s">
        <v>458</v>
      </c>
      <c r="B241" t="s">
        <v>96</v>
      </c>
      <c r="C241" t="s">
        <v>15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</row>
    <row r="242" spans="1:12">
      <c r="A242" t="s">
        <v>458</v>
      </c>
      <c r="B242" t="s">
        <v>422</v>
      </c>
      <c r="C242" t="s">
        <v>15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</row>
    <row r="243" spans="1:12">
      <c r="A243" t="s">
        <v>458</v>
      </c>
      <c r="B243" t="s">
        <v>420</v>
      </c>
      <c r="C243" t="s">
        <v>15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</row>
    <row r="244" spans="1:12">
      <c r="A244" t="s">
        <v>458</v>
      </c>
      <c r="B244" t="s">
        <v>424</v>
      </c>
      <c r="C244" t="s">
        <v>15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</row>
    <row r="245" spans="1:12">
      <c r="A245" t="s">
        <v>458</v>
      </c>
      <c r="B245" t="s">
        <v>417</v>
      </c>
      <c r="C245" t="s">
        <v>15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</row>
    <row r="246" spans="1:12">
      <c r="A246" t="s">
        <v>458</v>
      </c>
      <c r="B246" t="s">
        <v>418</v>
      </c>
      <c r="C246" t="s">
        <v>15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</row>
    <row r="247" spans="1:12">
      <c r="A247" t="s">
        <v>458</v>
      </c>
      <c r="B247" t="s">
        <v>419</v>
      </c>
      <c r="C247" t="s">
        <v>15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</row>
    <row r="248" spans="1:12">
      <c r="A248" t="s">
        <v>458</v>
      </c>
      <c r="B248" t="s">
        <v>423</v>
      </c>
      <c r="C248" t="s">
        <v>15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</row>
    <row r="249" spans="1:12">
      <c r="A249" t="s">
        <v>458</v>
      </c>
      <c r="B249" t="s">
        <v>421</v>
      </c>
      <c r="C249" t="s">
        <v>15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</row>
    <row r="250" spans="1:12">
      <c r="A250" t="s">
        <v>458</v>
      </c>
      <c r="B250" t="s">
        <v>416</v>
      </c>
      <c r="C250" t="s">
        <v>15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</row>
    <row r="251" spans="1:12">
      <c r="A251" t="s">
        <v>458</v>
      </c>
      <c r="B251" t="s">
        <v>95</v>
      </c>
      <c r="C251" t="s">
        <v>15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</row>
    <row r="252" spans="1:12">
      <c r="A252" t="s">
        <v>458</v>
      </c>
      <c r="B252" t="s">
        <v>96</v>
      </c>
      <c r="C252" t="s">
        <v>15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</row>
    <row r="253" spans="1:12">
      <c r="A253" t="s">
        <v>458</v>
      </c>
      <c r="B253" t="s">
        <v>422</v>
      </c>
      <c r="C253" t="s">
        <v>15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</row>
    <row r="254" spans="1:12">
      <c r="A254" t="s">
        <v>458</v>
      </c>
      <c r="B254" t="s">
        <v>420</v>
      </c>
      <c r="C254" t="s">
        <v>15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</row>
    <row r="255" spans="1:12">
      <c r="A255" t="s">
        <v>458</v>
      </c>
      <c r="B255" t="s">
        <v>424</v>
      </c>
      <c r="C255" t="s">
        <v>15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</row>
    <row r="256" spans="1:12">
      <c r="A256" t="s">
        <v>458</v>
      </c>
      <c r="B256" t="s">
        <v>417</v>
      </c>
      <c r="C256" t="s">
        <v>15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</row>
    <row r="257" spans="1:12">
      <c r="A257" t="s">
        <v>458</v>
      </c>
      <c r="B257" t="s">
        <v>418</v>
      </c>
      <c r="C257" t="s">
        <v>15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</row>
    <row r="258" spans="1:12">
      <c r="A258" t="s">
        <v>458</v>
      </c>
      <c r="B258" t="s">
        <v>419</v>
      </c>
      <c r="C258" t="s">
        <v>15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</row>
    <row r="259" spans="1:12">
      <c r="A259" t="s">
        <v>458</v>
      </c>
      <c r="B259" t="s">
        <v>423</v>
      </c>
      <c r="C259" t="s">
        <v>15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</row>
    <row r="260" spans="1:12">
      <c r="A260" t="s">
        <v>458</v>
      </c>
      <c r="B260" t="s">
        <v>421</v>
      </c>
      <c r="C260" t="s">
        <v>15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</row>
    <row r="261" spans="1:12">
      <c r="A261" t="s">
        <v>458</v>
      </c>
      <c r="B261" t="s">
        <v>425</v>
      </c>
      <c r="C261" t="s">
        <v>15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</row>
    <row r="262" spans="1:12">
      <c r="A262" t="s">
        <v>458</v>
      </c>
      <c r="B262" t="s">
        <v>416</v>
      </c>
      <c r="C262" t="s">
        <v>414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</row>
    <row r="263" spans="1:12">
      <c r="A263" t="s">
        <v>458</v>
      </c>
      <c r="B263" t="s">
        <v>95</v>
      </c>
      <c r="C263" t="s">
        <v>414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</row>
    <row r="264" spans="1:12">
      <c r="A264" t="s">
        <v>458</v>
      </c>
      <c r="B264" t="s">
        <v>96</v>
      </c>
      <c r="C264" t="s">
        <v>414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</row>
    <row r="265" spans="1:12">
      <c r="A265" t="s">
        <v>458</v>
      </c>
      <c r="B265" t="s">
        <v>422</v>
      </c>
      <c r="C265" t="s">
        <v>414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</row>
    <row r="266" spans="1:12">
      <c r="A266" t="s">
        <v>458</v>
      </c>
      <c r="B266" t="s">
        <v>420</v>
      </c>
      <c r="C266" t="s">
        <v>414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</row>
    <row r="267" spans="1:12">
      <c r="A267" t="s">
        <v>458</v>
      </c>
      <c r="B267" t="s">
        <v>424</v>
      </c>
      <c r="C267" t="s">
        <v>414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</row>
    <row r="268" spans="1:12">
      <c r="A268" t="s">
        <v>458</v>
      </c>
      <c r="B268" t="s">
        <v>417</v>
      </c>
      <c r="C268" t="s">
        <v>414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</row>
    <row r="269" spans="1:12">
      <c r="A269" t="s">
        <v>458</v>
      </c>
      <c r="B269" t="s">
        <v>418</v>
      </c>
      <c r="C269" t="s">
        <v>414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</row>
    <row r="270" spans="1:12">
      <c r="A270" t="s">
        <v>458</v>
      </c>
      <c r="B270" t="s">
        <v>419</v>
      </c>
      <c r="C270" t="s">
        <v>414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</row>
    <row r="271" spans="1:12">
      <c r="A271" t="s">
        <v>458</v>
      </c>
      <c r="B271" t="s">
        <v>423</v>
      </c>
      <c r="C271" t="s">
        <v>414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</row>
    <row r="272" spans="1:12">
      <c r="A272" t="s">
        <v>458</v>
      </c>
      <c r="B272" t="s">
        <v>421</v>
      </c>
      <c r="C272" t="s">
        <v>414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</row>
    <row r="273" spans="1:12">
      <c r="A273" t="s">
        <v>458</v>
      </c>
      <c r="B273" t="s">
        <v>425</v>
      </c>
      <c r="C273" t="s">
        <v>414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</row>
    <row r="274" spans="1:12">
      <c r="A274" t="s">
        <v>458</v>
      </c>
      <c r="B274" t="s">
        <v>427</v>
      </c>
      <c r="C274" t="s">
        <v>193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2">
      <c r="A275" t="s">
        <v>458</v>
      </c>
      <c r="B275" t="s">
        <v>428</v>
      </c>
      <c r="C275" t="s">
        <v>257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2">
      <c r="A276" t="s">
        <v>458</v>
      </c>
      <c r="B276" t="s">
        <v>426</v>
      </c>
      <c r="C276" t="s">
        <v>15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</row>
    <row r="277" spans="1:12">
      <c r="A277" t="s">
        <v>458</v>
      </c>
      <c r="B277" t="s">
        <v>426</v>
      </c>
      <c r="C277" t="s">
        <v>15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</row>
    <row r="278" spans="1:12">
      <c r="A278" t="s">
        <v>458</v>
      </c>
      <c r="B278" t="s">
        <v>426</v>
      </c>
      <c r="C278" t="s">
        <v>414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</row>
    <row r="279" spans="1:12">
      <c r="A279" t="s">
        <v>458</v>
      </c>
      <c r="B279" t="s">
        <v>440</v>
      </c>
      <c r="C279" t="s">
        <v>15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2">
      <c r="A280" t="s">
        <v>458</v>
      </c>
      <c r="B280" t="s">
        <v>429</v>
      </c>
      <c r="C280" t="s">
        <v>15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2">
      <c r="A281" t="s">
        <v>458</v>
      </c>
      <c r="B281" t="s">
        <v>431</v>
      </c>
      <c r="C281" t="s">
        <v>15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2">
      <c r="A282" t="s">
        <v>458</v>
      </c>
      <c r="B282" t="s">
        <v>430</v>
      </c>
      <c r="C282" t="s">
        <v>15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2">
      <c r="A283" t="s">
        <v>458</v>
      </c>
      <c r="B283" t="s">
        <v>429</v>
      </c>
      <c r="C283" t="s">
        <v>15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2">
      <c r="A284" t="s">
        <v>458</v>
      </c>
      <c r="B284" t="s">
        <v>431</v>
      </c>
      <c r="C284" t="s">
        <v>15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2">
      <c r="A285" t="s">
        <v>458</v>
      </c>
      <c r="B285" t="s">
        <v>430</v>
      </c>
      <c r="C285" t="s">
        <v>15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2">
      <c r="A286" t="s">
        <v>458</v>
      </c>
      <c r="B286" t="s">
        <v>429</v>
      </c>
      <c r="C286" t="s">
        <v>15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2">
      <c r="A287" t="s">
        <v>458</v>
      </c>
      <c r="B287" t="s">
        <v>431</v>
      </c>
      <c r="C287" t="s">
        <v>15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2">
      <c r="A288" t="s">
        <v>458</v>
      </c>
      <c r="B288" t="s">
        <v>430</v>
      </c>
      <c r="C288" t="s">
        <v>15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  <row r="289" spans="1:12">
      <c r="A289" t="s">
        <v>486</v>
      </c>
      <c r="B289" t="s">
        <v>156</v>
      </c>
      <c r="C289" t="s">
        <v>155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</row>
    <row r="290" spans="1:12">
      <c r="A290" t="s">
        <v>486</v>
      </c>
      <c r="B290" t="s">
        <v>157</v>
      </c>
      <c r="C290" t="s">
        <v>154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</row>
    <row r="291" spans="1:12">
      <c r="A291" t="s">
        <v>486</v>
      </c>
      <c r="B291" t="s">
        <v>127</v>
      </c>
      <c r="C291" t="s">
        <v>15</v>
      </c>
      <c r="D291">
        <v>2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</row>
    <row r="292" spans="1:12">
      <c r="A292" t="s">
        <v>486</v>
      </c>
      <c r="B292" t="s">
        <v>128</v>
      </c>
      <c r="C292" t="s">
        <v>15</v>
      </c>
      <c r="D292">
        <v>2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</row>
    <row r="293" spans="1:12">
      <c r="A293" t="s">
        <v>486</v>
      </c>
      <c r="B293" t="s">
        <v>139</v>
      </c>
      <c r="C293" t="s">
        <v>132</v>
      </c>
      <c r="D293">
        <v>2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</row>
    <row r="294" spans="1:12">
      <c r="A294" t="s">
        <v>486</v>
      </c>
      <c r="B294" t="s">
        <v>140</v>
      </c>
      <c r="C294" t="s">
        <v>183</v>
      </c>
      <c r="D294">
        <v>2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</row>
    <row r="295" spans="1:12" s="6" customFormat="1">
      <c r="A295" t="s">
        <v>486</v>
      </c>
      <c r="B295" t="s">
        <v>231</v>
      </c>
      <c r="C295" t="s">
        <v>193</v>
      </c>
      <c r="D295" s="6">
        <v>2</v>
      </c>
      <c r="E295" s="6">
        <v>1</v>
      </c>
      <c r="F295" s="6">
        <v>1</v>
      </c>
      <c r="G295" s="6">
        <v>1</v>
      </c>
      <c r="H295" s="6">
        <v>1</v>
      </c>
      <c r="I295" s="6">
        <v>1</v>
      </c>
      <c r="J295" s="6">
        <v>1</v>
      </c>
      <c r="K295" s="6">
        <v>1</v>
      </c>
      <c r="L295" s="6">
        <v>1</v>
      </c>
    </row>
    <row r="296" spans="1:12" s="6" customFormat="1">
      <c r="A296" t="s">
        <v>486</v>
      </c>
      <c r="B296" t="s">
        <v>233</v>
      </c>
      <c r="C296" t="s">
        <v>257</v>
      </c>
      <c r="D296" s="6">
        <v>2</v>
      </c>
      <c r="E296" s="6">
        <v>1</v>
      </c>
      <c r="F296" s="6">
        <v>1</v>
      </c>
      <c r="G296" s="6">
        <v>1</v>
      </c>
      <c r="H296" s="6">
        <v>1</v>
      </c>
      <c r="I296" s="6">
        <v>1</v>
      </c>
      <c r="J296" s="6">
        <v>1</v>
      </c>
      <c r="K296" s="6">
        <v>1</v>
      </c>
      <c r="L296" s="6">
        <v>1</v>
      </c>
    </row>
    <row r="297" spans="1:12">
      <c r="A297" t="s">
        <v>486</v>
      </c>
      <c r="B297" t="s">
        <v>126</v>
      </c>
      <c r="C297" t="s">
        <v>15</v>
      </c>
      <c r="D297">
        <v>2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</row>
    <row r="298" spans="1:12">
      <c r="A298" t="s">
        <v>486</v>
      </c>
      <c r="B298" t="s">
        <v>129</v>
      </c>
      <c r="C298" t="s">
        <v>15</v>
      </c>
      <c r="D298">
        <v>2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</row>
    <row r="299" spans="1:12">
      <c r="A299" t="s">
        <v>486</v>
      </c>
      <c r="B299" t="s">
        <v>177</v>
      </c>
      <c r="C299" t="s">
        <v>15</v>
      </c>
      <c r="D299">
        <v>2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</row>
    <row r="300" spans="1:12">
      <c r="A300" t="s">
        <v>486</v>
      </c>
      <c r="B300" s="2" t="s">
        <v>121</v>
      </c>
      <c r="C300" t="s">
        <v>137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</row>
    <row r="301" spans="1:12">
      <c r="A301" t="s">
        <v>486</v>
      </c>
      <c r="B301" s="2" t="s">
        <v>121</v>
      </c>
      <c r="C301" t="s">
        <v>137</v>
      </c>
      <c r="D301">
        <v>2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</row>
    <row r="302" spans="1:12">
      <c r="A302" t="s">
        <v>486</v>
      </c>
      <c r="B302" s="2" t="s">
        <v>121</v>
      </c>
      <c r="C302" t="s">
        <v>137</v>
      </c>
      <c r="D302">
        <v>3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</row>
    <row r="303" spans="1:12">
      <c r="A303" t="s">
        <v>486</v>
      </c>
      <c r="B303" s="2" t="s">
        <v>122</v>
      </c>
      <c r="C303" t="s">
        <v>137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</row>
    <row r="304" spans="1:12">
      <c r="A304" t="s">
        <v>486</v>
      </c>
      <c r="B304" s="2" t="s">
        <v>162</v>
      </c>
      <c r="C304" t="s">
        <v>137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</row>
    <row r="305" spans="1:12">
      <c r="A305" t="s">
        <v>486</v>
      </c>
      <c r="B305" s="2" t="s">
        <v>116</v>
      </c>
      <c r="C305" t="s">
        <v>137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</row>
    <row r="306" spans="1:12">
      <c r="A306" t="s">
        <v>486</v>
      </c>
      <c r="B306" s="2" t="s">
        <v>52</v>
      </c>
      <c r="C306" t="s">
        <v>137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</row>
    <row r="307" spans="1:12">
      <c r="A307" t="s">
        <v>486</v>
      </c>
      <c r="B307" s="2" t="s">
        <v>117</v>
      </c>
      <c r="C307" t="s">
        <v>137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</row>
    <row r="308" spans="1:12">
      <c r="A308" t="s">
        <v>486</v>
      </c>
      <c r="B308" s="2" t="s">
        <v>118</v>
      </c>
      <c r="C308" t="s">
        <v>137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</row>
    <row r="309" spans="1:12">
      <c r="A309" t="s">
        <v>486</v>
      </c>
      <c r="B309" s="2" t="s">
        <v>117</v>
      </c>
      <c r="C309" t="s">
        <v>137</v>
      </c>
      <c r="D309">
        <v>2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</row>
    <row r="310" spans="1:12">
      <c r="A310" t="s">
        <v>486</v>
      </c>
      <c r="B310" s="2" t="s">
        <v>117</v>
      </c>
      <c r="C310" t="s">
        <v>137</v>
      </c>
      <c r="D310">
        <v>3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</row>
    <row r="311" spans="1:12">
      <c r="A311" t="s">
        <v>486</v>
      </c>
      <c r="B311" t="s">
        <v>118</v>
      </c>
      <c r="C311" t="s">
        <v>137</v>
      </c>
      <c r="D311">
        <v>2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</row>
    <row r="312" spans="1:12">
      <c r="A312" t="s">
        <v>486</v>
      </c>
      <c r="B312" t="s">
        <v>118</v>
      </c>
      <c r="C312" t="s">
        <v>137</v>
      </c>
      <c r="D312">
        <v>3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</row>
    <row r="313" spans="1:12">
      <c r="A313" t="s">
        <v>486</v>
      </c>
      <c r="B313" t="s">
        <v>51</v>
      </c>
      <c r="C313" t="s">
        <v>137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</row>
    <row r="314" spans="1:12">
      <c r="A314" t="s">
        <v>486</v>
      </c>
      <c r="B314" t="s">
        <v>50</v>
      </c>
      <c r="C314" t="s">
        <v>137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</row>
    <row r="315" spans="1:12">
      <c r="A315" t="s">
        <v>486</v>
      </c>
      <c r="B315" t="s">
        <v>50</v>
      </c>
      <c r="C315" t="s">
        <v>137</v>
      </c>
      <c r="D315">
        <v>2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</row>
    <row r="316" spans="1:12">
      <c r="A316" t="s">
        <v>486</v>
      </c>
      <c r="B316" t="s">
        <v>94</v>
      </c>
      <c r="C316" t="s">
        <v>15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</row>
    <row r="317" spans="1:12">
      <c r="A317" t="s">
        <v>486</v>
      </c>
      <c r="B317" s="2" t="s">
        <v>93</v>
      </c>
      <c r="C317" t="s">
        <v>15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</row>
    <row r="318" spans="1:12">
      <c r="A318" t="s">
        <v>486</v>
      </c>
      <c r="B318" s="2" t="s">
        <v>13</v>
      </c>
      <c r="C318" t="s">
        <v>15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</row>
    <row r="319" spans="1:12">
      <c r="A319" t="s">
        <v>486</v>
      </c>
      <c r="B319" s="2" t="s">
        <v>14</v>
      </c>
      <c r="C319" t="s">
        <v>15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</row>
    <row r="320" spans="1:12">
      <c r="A320" t="s">
        <v>486</v>
      </c>
      <c r="B320" s="2" t="s">
        <v>49</v>
      </c>
      <c r="C320" t="s">
        <v>15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</row>
    <row r="321" spans="1:12">
      <c r="A321" t="s">
        <v>486</v>
      </c>
      <c r="B321" s="2" t="s">
        <v>150</v>
      </c>
      <c r="C321" t="s">
        <v>15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</row>
    <row r="322" spans="1:12">
      <c r="A322" t="s">
        <v>486</v>
      </c>
      <c r="B322" s="2" t="s">
        <v>124</v>
      </c>
      <c r="C322" t="s">
        <v>138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</row>
    <row r="323" spans="1:12">
      <c r="A323" t="s">
        <v>486</v>
      </c>
      <c r="B323" s="2" t="s">
        <v>53</v>
      </c>
      <c r="C323" t="s">
        <v>138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</row>
    <row r="324" spans="1:12">
      <c r="A324" t="s">
        <v>486</v>
      </c>
      <c r="B324" s="2" t="s">
        <v>53</v>
      </c>
      <c r="C324" t="s">
        <v>138</v>
      </c>
      <c r="D324">
        <v>2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</row>
    <row r="325" spans="1:12">
      <c r="A325" t="s">
        <v>486</v>
      </c>
      <c r="B325" s="2" t="s">
        <v>125</v>
      </c>
      <c r="C325" t="s">
        <v>138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</row>
    <row r="326" spans="1:12">
      <c r="A326" t="s">
        <v>486</v>
      </c>
      <c r="B326" s="2" t="s">
        <v>119</v>
      </c>
      <c r="C326" t="s">
        <v>138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</row>
    <row r="327" spans="1:12">
      <c r="A327" t="s">
        <v>486</v>
      </c>
      <c r="B327" s="2" t="s">
        <v>119</v>
      </c>
      <c r="C327" t="s">
        <v>138</v>
      </c>
      <c r="D327">
        <v>2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</row>
    <row r="328" spans="1:12">
      <c r="A328" t="s">
        <v>486</v>
      </c>
      <c r="B328" t="s">
        <v>119</v>
      </c>
      <c r="C328" t="s">
        <v>138</v>
      </c>
      <c r="D328">
        <v>3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</row>
    <row r="329" spans="1:12">
      <c r="A329" t="s">
        <v>486</v>
      </c>
      <c r="B329" t="s">
        <v>120</v>
      </c>
      <c r="C329" t="s">
        <v>138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</row>
    <row r="330" spans="1:12">
      <c r="A330" t="s">
        <v>486</v>
      </c>
      <c r="B330" t="s">
        <v>55</v>
      </c>
      <c r="C330" t="s">
        <v>138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</row>
    <row r="331" spans="1:12">
      <c r="A331" t="s">
        <v>486</v>
      </c>
      <c r="B331" t="s">
        <v>114</v>
      </c>
      <c r="C331" t="s">
        <v>138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</row>
    <row r="332" spans="1:12">
      <c r="A332" t="s">
        <v>486</v>
      </c>
      <c r="B332" t="s">
        <v>54</v>
      </c>
      <c r="C332" t="s">
        <v>138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</row>
    <row r="333" spans="1:12">
      <c r="A333" t="s">
        <v>486</v>
      </c>
      <c r="B333" t="s">
        <v>54</v>
      </c>
      <c r="C333" t="s">
        <v>138</v>
      </c>
      <c r="D333">
        <v>2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</row>
    <row r="334" spans="1:12">
      <c r="A334" t="s">
        <v>486</v>
      </c>
      <c r="B334" t="s">
        <v>54</v>
      </c>
      <c r="C334" t="s">
        <v>138</v>
      </c>
      <c r="D334">
        <v>3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</row>
    <row r="335" spans="1:12">
      <c r="A335" t="s">
        <v>486</v>
      </c>
      <c r="B335" t="s">
        <v>115</v>
      </c>
      <c r="C335" t="s">
        <v>138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</row>
    <row r="336" spans="1:12">
      <c r="A336" t="s">
        <v>486</v>
      </c>
      <c r="B336" t="s">
        <v>115</v>
      </c>
      <c r="C336" t="s">
        <v>138</v>
      </c>
      <c r="D336">
        <v>2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</row>
    <row r="337" spans="1:12">
      <c r="A337" t="s">
        <v>486</v>
      </c>
      <c r="B337" t="s">
        <v>115</v>
      </c>
      <c r="C337" t="s">
        <v>138</v>
      </c>
      <c r="D337">
        <v>3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</row>
    <row r="338" spans="1:12">
      <c r="A338" t="s">
        <v>486</v>
      </c>
      <c r="B338" t="s">
        <v>77</v>
      </c>
      <c r="C338" t="s">
        <v>143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</row>
    <row r="339" spans="1:12">
      <c r="A339" t="s">
        <v>486</v>
      </c>
      <c r="B339" t="s">
        <v>76</v>
      </c>
      <c r="C339" t="s">
        <v>144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</row>
    <row r="340" spans="1:12">
      <c r="A340" t="s">
        <v>486</v>
      </c>
      <c r="B340" t="s">
        <v>75</v>
      </c>
      <c r="C340" t="s">
        <v>183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</row>
    <row r="341" spans="1:12">
      <c r="A341" t="s">
        <v>486</v>
      </c>
      <c r="B341" t="s">
        <v>78</v>
      </c>
      <c r="C341" t="s">
        <v>131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</row>
    <row r="342" spans="1:12">
      <c r="A342" t="s">
        <v>486</v>
      </c>
      <c r="B342" t="s">
        <v>79</v>
      </c>
      <c r="C342" t="s">
        <v>130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</row>
    <row r="343" spans="1:12">
      <c r="A343" t="s">
        <v>486</v>
      </c>
      <c r="B343" t="s">
        <v>87</v>
      </c>
      <c r="C343" t="s">
        <v>15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</row>
    <row r="344" spans="1:12">
      <c r="A344" t="s">
        <v>486</v>
      </c>
      <c r="B344" t="s">
        <v>88</v>
      </c>
      <c r="C344" t="s">
        <v>15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</row>
    <row r="345" spans="1:12">
      <c r="A345" t="s">
        <v>486</v>
      </c>
      <c r="B345" t="s">
        <v>92</v>
      </c>
      <c r="C345" t="s">
        <v>15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</row>
    <row r="346" spans="1:12">
      <c r="A346" t="s">
        <v>486</v>
      </c>
      <c r="B346" t="s">
        <v>89</v>
      </c>
      <c r="C346" t="s">
        <v>15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</row>
    <row r="347" spans="1:12">
      <c r="A347" t="s">
        <v>486</v>
      </c>
      <c r="B347" t="s">
        <v>90</v>
      </c>
      <c r="C347" t="s">
        <v>15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</row>
    <row r="348" spans="1:12">
      <c r="A348" t="s">
        <v>486</v>
      </c>
      <c r="B348" t="s">
        <v>91</v>
      </c>
      <c r="C348" t="s">
        <v>15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</row>
    <row r="349" spans="1:12">
      <c r="A349" t="s">
        <v>486</v>
      </c>
      <c r="B349" t="s">
        <v>158</v>
      </c>
      <c r="C349" t="s">
        <v>15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</row>
    <row r="350" spans="1:12">
      <c r="A350" t="s">
        <v>486</v>
      </c>
      <c r="B350" t="s">
        <v>159</v>
      </c>
      <c r="C350" t="s">
        <v>15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</row>
    <row r="351" spans="1:12">
      <c r="A351" t="s">
        <v>486</v>
      </c>
      <c r="B351" t="s">
        <v>81</v>
      </c>
      <c r="C351" t="s">
        <v>15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</row>
    <row r="352" spans="1:12">
      <c r="A352" t="s">
        <v>486</v>
      </c>
      <c r="B352" t="s">
        <v>80</v>
      </c>
      <c r="C352" t="s">
        <v>15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</row>
    <row r="353" spans="1:12">
      <c r="A353" t="s">
        <v>486</v>
      </c>
      <c r="B353" t="s">
        <v>82</v>
      </c>
      <c r="C353" t="s">
        <v>15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</row>
    <row r="354" spans="1:12">
      <c r="A354" t="s">
        <v>486</v>
      </c>
      <c r="B354" t="s">
        <v>151</v>
      </c>
      <c r="C354" t="s">
        <v>15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</row>
    <row r="355" spans="1:12">
      <c r="A355" t="s">
        <v>486</v>
      </c>
      <c r="B355" t="s">
        <v>152</v>
      </c>
      <c r="C355" t="s">
        <v>15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</row>
    <row r="356" spans="1:12">
      <c r="A356" t="s">
        <v>486</v>
      </c>
      <c r="B356" t="s">
        <v>153</v>
      </c>
      <c r="C356" t="s">
        <v>15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</row>
    <row r="357" spans="1:12">
      <c r="A357" t="s">
        <v>486</v>
      </c>
      <c r="B357" t="s">
        <v>84</v>
      </c>
      <c r="C357" t="s">
        <v>15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</row>
    <row r="358" spans="1:12">
      <c r="A358" t="s">
        <v>486</v>
      </c>
      <c r="B358" t="s">
        <v>83</v>
      </c>
      <c r="C358" t="s">
        <v>15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</row>
    <row r="359" spans="1:12">
      <c r="A359" t="s">
        <v>486</v>
      </c>
      <c r="B359" t="s">
        <v>85</v>
      </c>
      <c r="C359" t="s">
        <v>15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</row>
    <row r="360" spans="1:12">
      <c r="A360" t="s">
        <v>486</v>
      </c>
      <c r="B360" t="s">
        <v>145</v>
      </c>
      <c r="C360" t="s">
        <v>133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</row>
    <row r="361" spans="1:12">
      <c r="A361" t="s">
        <v>486</v>
      </c>
      <c r="B361" t="s">
        <v>112</v>
      </c>
      <c r="C361" t="s">
        <v>132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</row>
    <row r="362" spans="1:12">
      <c r="A362" t="s">
        <v>486</v>
      </c>
      <c r="B362" t="s">
        <v>113</v>
      </c>
      <c r="C362" t="s">
        <v>15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</row>
    <row r="363" spans="1:12">
      <c r="A363" t="s">
        <v>486</v>
      </c>
      <c r="B363" t="s">
        <v>113</v>
      </c>
      <c r="C363" t="s">
        <v>15</v>
      </c>
      <c r="D363">
        <v>2</v>
      </c>
      <c r="E363">
        <v>0.6</v>
      </c>
      <c r="F363">
        <v>0.6</v>
      </c>
      <c r="G363">
        <v>0.6</v>
      </c>
      <c r="H363">
        <v>0.6</v>
      </c>
      <c r="I363">
        <v>0.6</v>
      </c>
      <c r="J363">
        <v>0.6</v>
      </c>
      <c r="K363">
        <v>0.6</v>
      </c>
      <c r="L363">
        <v>0.6</v>
      </c>
    </row>
    <row r="364" spans="1:12">
      <c r="A364" t="s">
        <v>486</v>
      </c>
      <c r="B364" t="s">
        <v>113</v>
      </c>
      <c r="C364" t="s">
        <v>25</v>
      </c>
      <c r="D364">
        <v>2</v>
      </c>
      <c r="E364">
        <v>0.4</v>
      </c>
      <c r="F364">
        <v>0.4</v>
      </c>
      <c r="G364">
        <v>0.4</v>
      </c>
      <c r="H364">
        <v>0.4</v>
      </c>
      <c r="I364">
        <v>0.4</v>
      </c>
      <c r="J364">
        <v>0.4</v>
      </c>
      <c r="K364">
        <v>0.4</v>
      </c>
      <c r="L364">
        <v>0.4</v>
      </c>
    </row>
    <row r="365" spans="1:12">
      <c r="A365" t="s">
        <v>486</v>
      </c>
      <c r="B365" t="s">
        <v>149</v>
      </c>
      <c r="C365" t="s">
        <v>185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</row>
    <row r="366" spans="1:12">
      <c r="A366" t="s">
        <v>486</v>
      </c>
      <c r="B366" t="s">
        <v>149</v>
      </c>
      <c r="C366" t="s">
        <v>184</v>
      </c>
      <c r="D366">
        <v>2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</row>
    <row r="367" spans="1:12">
      <c r="A367" t="s">
        <v>486</v>
      </c>
      <c r="B367" t="s">
        <v>168</v>
      </c>
      <c r="C367" t="s">
        <v>130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</row>
    <row r="368" spans="1:12">
      <c r="A368" t="s">
        <v>486</v>
      </c>
      <c r="B368" t="s">
        <v>167</v>
      </c>
      <c r="C368" t="s">
        <v>143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</row>
    <row r="369" spans="1:12">
      <c r="A369" t="s">
        <v>486</v>
      </c>
      <c r="B369" t="s">
        <v>166</v>
      </c>
      <c r="C369" t="s">
        <v>183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</row>
    <row r="370" spans="1:12">
      <c r="A370" t="s">
        <v>486</v>
      </c>
      <c r="B370" t="s">
        <v>179</v>
      </c>
      <c r="C370" t="s">
        <v>25</v>
      </c>
      <c r="D370">
        <v>1</v>
      </c>
      <c r="E370">
        <v>0.7</v>
      </c>
      <c r="F370">
        <v>0.7</v>
      </c>
      <c r="G370">
        <v>0.7</v>
      </c>
      <c r="H370">
        <v>0.7</v>
      </c>
      <c r="I370">
        <v>0.7</v>
      </c>
      <c r="J370">
        <v>0.7</v>
      </c>
      <c r="K370">
        <v>0.7</v>
      </c>
      <c r="L370">
        <v>0.7</v>
      </c>
    </row>
    <row r="371" spans="1:12">
      <c r="A371" t="s">
        <v>486</v>
      </c>
      <c r="B371" t="s">
        <v>179</v>
      </c>
      <c r="C371" t="s">
        <v>15</v>
      </c>
      <c r="D371">
        <v>1</v>
      </c>
      <c r="E371">
        <v>0.55000000000000004</v>
      </c>
      <c r="F371">
        <v>0.55000000000000004</v>
      </c>
      <c r="G371">
        <v>0.55000000000000004</v>
      </c>
      <c r="H371">
        <v>0.55000000000000004</v>
      </c>
      <c r="I371">
        <v>0.55000000000000004</v>
      </c>
      <c r="J371">
        <v>0.55000000000000004</v>
      </c>
      <c r="K371">
        <v>0.55000000000000004</v>
      </c>
      <c r="L371">
        <v>0.55000000000000004</v>
      </c>
    </row>
    <row r="372" spans="1:12">
      <c r="A372" t="s">
        <v>486</v>
      </c>
      <c r="B372" t="s">
        <v>180</v>
      </c>
      <c r="C372" t="s">
        <v>15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</row>
    <row r="373" spans="1:12">
      <c r="A373" t="s">
        <v>486</v>
      </c>
      <c r="B373" t="s">
        <v>181</v>
      </c>
      <c r="C373" t="s">
        <v>182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</row>
    <row r="374" spans="1:12">
      <c r="A374" t="s">
        <v>486</v>
      </c>
      <c r="B374" t="s">
        <v>13</v>
      </c>
      <c r="C374" t="s">
        <v>15</v>
      </c>
      <c r="D374">
        <v>2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</row>
    <row r="375" spans="1:12">
      <c r="A375" t="s">
        <v>486</v>
      </c>
      <c r="B375" t="s">
        <v>13</v>
      </c>
      <c r="C375" t="s">
        <v>15</v>
      </c>
      <c r="D375">
        <v>3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</row>
    <row r="376" spans="1:12">
      <c r="A376" t="s">
        <v>486</v>
      </c>
      <c r="B376" t="s">
        <v>205</v>
      </c>
      <c r="C376" t="s">
        <v>257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</row>
    <row r="377" spans="1:12">
      <c r="A377" t="s">
        <v>486</v>
      </c>
      <c r="B377" t="s">
        <v>205</v>
      </c>
      <c r="C377" t="s">
        <v>257</v>
      </c>
      <c r="D377">
        <v>2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</row>
    <row r="378" spans="1:12">
      <c r="A378" t="s">
        <v>486</v>
      </c>
      <c r="B378" t="s">
        <v>205</v>
      </c>
      <c r="C378" t="s">
        <v>257</v>
      </c>
      <c r="D378">
        <v>3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</row>
    <row r="379" spans="1:12">
      <c r="A379" t="s">
        <v>486</v>
      </c>
      <c r="B379" t="s">
        <v>192</v>
      </c>
      <c r="C379" t="s">
        <v>15</v>
      </c>
      <c r="D379">
        <v>1</v>
      </c>
      <c r="E379">
        <v>0.31</v>
      </c>
      <c r="F379">
        <v>0.31</v>
      </c>
      <c r="G379">
        <v>0.31</v>
      </c>
      <c r="H379">
        <v>0.31</v>
      </c>
      <c r="I379">
        <v>0.31</v>
      </c>
      <c r="J379">
        <v>0.31</v>
      </c>
      <c r="K379">
        <v>0.31</v>
      </c>
      <c r="L379">
        <v>0.31</v>
      </c>
    </row>
    <row r="380" spans="1:12">
      <c r="A380" t="s">
        <v>486</v>
      </c>
      <c r="B380" t="s">
        <v>192</v>
      </c>
      <c r="C380" t="s">
        <v>257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</row>
    <row r="381" spans="1:12">
      <c r="A381" t="s">
        <v>486</v>
      </c>
      <c r="B381" t="s">
        <v>192</v>
      </c>
      <c r="C381" t="s">
        <v>15</v>
      </c>
      <c r="D381">
        <v>2</v>
      </c>
      <c r="E381">
        <v>0.31</v>
      </c>
      <c r="F381">
        <v>0.31</v>
      </c>
      <c r="G381">
        <v>0.31</v>
      </c>
      <c r="H381">
        <v>0.31</v>
      </c>
      <c r="I381">
        <v>0.31</v>
      </c>
      <c r="J381">
        <v>0.31</v>
      </c>
      <c r="K381">
        <v>0.31</v>
      </c>
      <c r="L381">
        <v>0.31</v>
      </c>
    </row>
    <row r="382" spans="1:12">
      <c r="A382" t="s">
        <v>486</v>
      </c>
      <c r="B382" t="s">
        <v>192</v>
      </c>
      <c r="C382" t="s">
        <v>257</v>
      </c>
      <c r="D382">
        <v>2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</row>
    <row r="383" spans="1:12">
      <c r="A383" t="s">
        <v>486</v>
      </c>
      <c r="B383" t="s">
        <v>192</v>
      </c>
      <c r="C383" t="s">
        <v>15</v>
      </c>
      <c r="D383">
        <v>3</v>
      </c>
      <c r="E383">
        <v>0.31</v>
      </c>
      <c r="F383">
        <v>0.31</v>
      </c>
      <c r="G383">
        <v>0.31</v>
      </c>
      <c r="H383">
        <v>0.31</v>
      </c>
      <c r="I383">
        <v>0.31</v>
      </c>
      <c r="J383">
        <v>0.31</v>
      </c>
      <c r="K383">
        <v>0.31</v>
      </c>
      <c r="L383">
        <v>0.31</v>
      </c>
    </row>
    <row r="384" spans="1:12">
      <c r="A384" t="s">
        <v>486</v>
      </c>
      <c r="B384" t="s">
        <v>192</v>
      </c>
      <c r="C384" t="s">
        <v>257</v>
      </c>
      <c r="D384">
        <v>3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</row>
    <row r="385" spans="1:12">
      <c r="A385" t="s">
        <v>486</v>
      </c>
      <c r="B385" t="s">
        <v>187</v>
      </c>
      <c r="C385" t="s">
        <v>257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</row>
    <row r="386" spans="1:12">
      <c r="A386" t="s">
        <v>486</v>
      </c>
      <c r="B386" t="s">
        <v>191</v>
      </c>
      <c r="C386" t="s">
        <v>257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</row>
    <row r="387" spans="1:12">
      <c r="A387" t="s">
        <v>486</v>
      </c>
      <c r="B387" t="s">
        <v>191</v>
      </c>
      <c r="C387" t="s">
        <v>257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</row>
    <row r="388" spans="1:12">
      <c r="A388" t="s">
        <v>486</v>
      </c>
      <c r="B388" t="s">
        <v>188</v>
      </c>
      <c r="C388" t="s">
        <v>257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</row>
    <row r="389" spans="1:12">
      <c r="A389" t="s">
        <v>486</v>
      </c>
      <c r="B389" t="s">
        <v>189</v>
      </c>
      <c r="C389" t="s">
        <v>257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</row>
    <row r="390" spans="1:12">
      <c r="A390" t="s">
        <v>486</v>
      </c>
      <c r="B390" t="s">
        <v>190</v>
      </c>
      <c r="C390" t="s">
        <v>15</v>
      </c>
      <c r="D390">
        <v>1</v>
      </c>
      <c r="E390">
        <v>0.31</v>
      </c>
      <c r="F390">
        <v>0.31</v>
      </c>
      <c r="G390">
        <v>0.31</v>
      </c>
      <c r="H390">
        <v>0.31</v>
      </c>
      <c r="I390">
        <v>0.31</v>
      </c>
      <c r="J390">
        <v>0.31</v>
      </c>
      <c r="K390">
        <v>0.31</v>
      </c>
      <c r="L390">
        <v>0.31</v>
      </c>
    </row>
    <row r="391" spans="1:12">
      <c r="A391" t="s">
        <v>486</v>
      </c>
      <c r="B391" t="s">
        <v>190</v>
      </c>
      <c r="C391" t="s">
        <v>257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</row>
    <row r="392" spans="1:12">
      <c r="A392" t="s">
        <v>486</v>
      </c>
      <c r="B392" t="s">
        <v>213</v>
      </c>
      <c r="C392" t="s">
        <v>15</v>
      </c>
      <c r="D392">
        <v>1</v>
      </c>
      <c r="E392">
        <v>0.31</v>
      </c>
      <c r="F392">
        <v>0.31</v>
      </c>
      <c r="G392">
        <v>0.31</v>
      </c>
      <c r="H392">
        <v>0.31</v>
      </c>
      <c r="I392">
        <v>0.31</v>
      </c>
      <c r="J392">
        <v>0.31</v>
      </c>
      <c r="K392">
        <v>0.31</v>
      </c>
      <c r="L392">
        <v>0.31</v>
      </c>
    </row>
    <row r="393" spans="1:12">
      <c r="A393" t="s">
        <v>486</v>
      </c>
      <c r="B393" t="s">
        <v>213</v>
      </c>
      <c r="C393" t="s">
        <v>257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</row>
    <row r="394" spans="1:12">
      <c r="A394" t="s">
        <v>486</v>
      </c>
      <c r="B394" t="s">
        <v>214</v>
      </c>
      <c r="C394" t="s">
        <v>257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</row>
    <row r="395" spans="1:12">
      <c r="A395" t="s">
        <v>486</v>
      </c>
      <c r="B395" t="s">
        <v>215</v>
      </c>
      <c r="C395" t="s">
        <v>257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</row>
    <row r="396" spans="1:12">
      <c r="A396" t="s">
        <v>486</v>
      </c>
      <c r="B396" t="s">
        <v>216</v>
      </c>
      <c r="C396" t="s">
        <v>257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</row>
    <row r="397" spans="1:12">
      <c r="A397" t="s">
        <v>486</v>
      </c>
      <c r="B397" t="s">
        <v>217</v>
      </c>
      <c r="C397" t="s">
        <v>257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</row>
    <row r="398" spans="1:12">
      <c r="A398" t="s">
        <v>486</v>
      </c>
      <c r="B398" t="s">
        <v>196</v>
      </c>
      <c r="C398" t="s">
        <v>257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</row>
    <row r="399" spans="1:12">
      <c r="A399" t="s">
        <v>486</v>
      </c>
      <c r="B399" t="s">
        <v>206</v>
      </c>
      <c r="C399" t="s">
        <v>257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</row>
    <row r="400" spans="1:12">
      <c r="A400" t="s">
        <v>486</v>
      </c>
      <c r="B400" t="s">
        <v>207</v>
      </c>
      <c r="C400" t="s">
        <v>193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</row>
    <row r="401" spans="1:12">
      <c r="A401" t="s">
        <v>486</v>
      </c>
      <c r="B401" t="s">
        <v>207</v>
      </c>
      <c r="C401" t="s">
        <v>193</v>
      </c>
      <c r="D401">
        <v>2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</row>
    <row r="402" spans="1:12">
      <c r="A402" t="s">
        <v>486</v>
      </c>
      <c r="B402" t="s">
        <v>207</v>
      </c>
      <c r="C402" t="s">
        <v>193</v>
      </c>
      <c r="D402">
        <v>3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</row>
    <row r="403" spans="1:12">
      <c r="A403" t="s">
        <v>486</v>
      </c>
      <c r="B403" t="s">
        <v>197</v>
      </c>
      <c r="C403" t="s">
        <v>15</v>
      </c>
      <c r="D403">
        <v>1</v>
      </c>
      <c r="E403">
        <v>0.31</v>
      </c>
      <c r="F403">
        <v>0.31</v>
      </c>
      <c r="G403">
        <v>0.31</v>
      </c>
      <c r="H403">
        <v>0.31</v>
      </c>
      <c r="I403">
        <v>0.31</v>
      </c>
      <c r="J403">
        <v>0.31</v>
      </c>
      <c r="K403">
        <v>0.31</v>
      </c>
      <c r="L403">
        <v>0.31</v>
      </c>
    </row>
    <row r="404" spans="1:12">
      <c r="A404" t="s">
        <v>486</v>
      </c>
      <c r="B404" t="s">
        <v>197</v>
      </c>
      <c r="C404" t="s">
        <v>193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</row>
    <row r="405" spans="1:12">
      <c r="A405" t="s">
        <v>486</v>
      </c>
      <c r="B405" t="s">
        <v>197</v>
      </c>
      <c r="C405" t="s">
        <v>15</v>
      </c>
      <c r="D405">
        <v>2</v>
      </c>
      <c r="E405">
        <v>0.31</v>
      </c>
      <c r="F405">
        <v>0.31</v>
      </c>
      <c r="G405">
        <v>0.31</v>
      </c>
      <c r="H405">
        <v>0.31</v>
      </c>
      <c r="I405">
        <v>0.31</v>
      </c>
      <c r="J405">
        <v>0.31</v>
      </c>
      <c r="K405">
        <v>0.31</v>
      </c>
      <c r="L405">
        <v>0.31</v>
      </c>
    </row>
    <row r="406" spans="1:12">
      <c r="A406" t="s">
        <v>486</v>
      </c>
      <c r="B406" t="s">
        <v>197</v>
      </c>
      <c r="C406" t="s">
        <v>193</v>
      </c>
      <c r="D406">
        <v>2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</row>
    <row r="407" spans="1:12">
      <c r="A407" t="s">
        <v>486</v>
      </c>
      <c r="B407" t="s">
        <v>197</v>
      </c>
      <c r="C407" t="s">
        <v>15</v>
      </c>
      <c r="D407">
        <v>3</v>
      </c>
      <c r="E407">
        <v>0.31</v>
      </c>
      <c r="F407">
        <v>0.31</v>
      </c>
      <c r="G407">
        <v>0.31</v>
      </c>
      <c r="H407">
        <v>0.31</v>
      </c>
      <c r="I407">
        <v>0.31</v>
      </c>
      <c r="J407">
        <v>0.31</v>
      </c>
      <c r="K407">
        <v>0.31</v>
      </c>
      <c r="L407">
        <v>0.31</v>
      </c>
    </row>
    <row r="408" spans="1:12">
      <c r="A408" t="s">
        <v>486</v>
      </c>
      <c r="B408" t="s">
        <v>197</v>
      </c>
      <c r="C408" t="s">
        <v>193</v>
      </c>
      <c r="D408">
        <v>3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</row>
    <row r="409" spans="1:12">
      <c r="A409" t="s">
        <v>486</v>
      </c>
      <c r="B409" t="s">
        <v>198</v>
      </c>
      <c r="C409" t="s">
        <v>193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</row>
    <row r="410" spans="1:12">
      <c r="A410" t="s">
        <v>486</v>
      </c>
      <c r="B410" t="s">
        <v>199</v>
      </c>
      <c r="C410" t="s">
        <v>15</v>
      </c>
      <c r="D410">
        <v>1</v>
      </c>
      <c r="E410">
        <v>0.31</v>
      </c>
      <c r="F410">
        <v>0.31</v>
      </c>
      <c r="G410">
        <v>0.31</v>
      </c>
      <c r="H410">
        <v>0.31</v>
      </c>
      <c r="I410">
        <v>0.31</v>
      </c>
      <c r="J410">
        <v>0.31</v>
      </c>
      <c r="K410">
        <v>0.31</v>
      </c>
      <c r="L410">
        <v>0.31</v>
      </c>
    </row>
    <row r="411" spans="1:12">
      <c r="A411" t="s">
        <v>486</v>
      </c>
      <c r="B411" t="s">
        <v>199</v>
      </c>
      <c r="C411" t="s">
        <v>193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</row>
    <row r="412" spans="1:12">
      <c r="A412" t="s">
        <v>486</v>
      </c>
      <c r="B412" t="s">
        <v>200</v>
      </c>
      <c r="C412" t="s">
        <v>193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</row>
    <row r="413" spans="1:12">
      <c r="A413" t="s">
        <v>486</v>
      </c>
      <c r="B413" t="s">
        <v>201</v>
      </c>
      <c r="C413" t="s">
        <v>193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</row>
    <row r="414" spans="1:12">
      <c r="A414" t="s">
        <v>486</v>
      </c>
      <c r="B414" t="s">
        <v>202</v>
      </c>
      <c r="C414" t="s">
        <v>15</v>
      </c>
      <c r="D414">
        <v>1</v>
      </c>
      <c r="E414">
        <v>0.31</v>
      </c>
      <c r="F414">
        <v>0.31</v>
      </c>
      <c r="G414">
        <v>0.31</v>
      </c>
      <c r="H414">
        <v>0.31</v>
      </c>
      <c r="I414">
        <v>0.31</v>
      </c>
      <c r="J414">
        <v>0.31</v>
      </c>
      <c r="K414">
        <v>0.31</v>
      </c>
      <c r="L414">
        <v>0.31</v>
      </c>
    </row>
    <row r="415" spans="1:12">
      <c r="A415" t="s">
        <v>486</v>
      </c>
      <c r="B415" t="s">
        <v>202</v>
      </c>
      <c r="C415" t="s">
        <v>193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</row>
    <row r="416" spans="1:12" s="6" customFormat="1">
      <c r="A416" t="s">
        <v>486</v>
      </c>
      <c r="B416" t="s">
        <v>230</v>
      </c>
      <c r="C416" t="s">
        <v>15</v>
      </c>
      <c r="D416">
        <v>1</v>
      </c>
      <c r="E416">
        <v>0.31</v>
      </c>
      <c r="F416">
        <v>0.31</v>
      </c>
      <c r="G416">
        <v>0.31</v>
      </c>
      <c r="H416">
        <v>0.31</v>
      </c>
      <c r="I416">
        <v>0.31</v>
      </c>
      <c r="J416">
        <v>0.31</v>
      </c>
      <c r="K416">
        <v>0.31</v>
      </c>
      <c r="L416">
        <v>0.31</v>
      </c>
    </row>
    <row r="417" spans="1:12">
      <c r="A417" t="s">
        <v>486</v>
      </c>
      <c r="B417" s="15" t="s">
        <v>230</v>
      </c>
      <c r="C417" t="s">
        <v>193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</row>
    <row r="418" spans="1:12">
      <c r="A418" t="s">
        <v>486</v>
      </c>
      <c r="B418" s="15" t="s">
        <v>219</v>
      </c>
      <c r="C418" t="s">
        <v>193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</row>
    <row r="419" spans="1:12">
      <c r="A419" t="s">
        <v>486</v>
      </c>
      <c r="B419" s="15" t="s">
        <v>220</v>
      </c>
      <c r="C419" t="s">
        <v>15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</row>
    <row r="420" spans="1:12">
      <c r="A420" t="s">
        <v>486</v>
      </c>
      <c r="B420" s="15" t="s">
        <v>220</v>
      </c>
      <c r="C420" t="s">
        <v>15</v>
      </c>
      <c r="D420">
        <v>1</v>
      </c>
      <c r="E420">
        <v>0.6</v>
      </c>
      <c r="F420">
        <v>0.6</v>
      </c>
      <c r="G420">
        <v>0.6</v>
      </c>
      <c r="H420">
        <v>0.6</v>
      </c>
      <c r="I420">
        <v>0.6</v>
      </c>
      <c r="J420">
        <v>0.6</v>
      </c>
      <c r="K420">
        <v>0.6</v>
      </c>
      <c r="L420">
        <v>0.6</v>
      </c>
    </row>
    <row r="421" spans="1:12">
      <c r="A421" t="s">
        <v>486</v>
      </c>
      <c r="B421" s="15" t="s">
        <v>220</v>
      </c>
      <c r="C421" t="s">
        <v>193</v>
      </c>
      <c r="D421">
        <v>2</v>
      </c>
      <c r="E421">
        <v>0.4</v>
      </c>
      <c r="F421">
        <v>0.4</v>
      </c>
      <c r="G421">
        <v>0.4</v>
      </c>
      <c r="H421">
        <v>0.4</v>
      </c>
      <c r="I421">
        <v>0.4</v>
      </c>
      <c r="J421">
        <v>0.4</v>
      </c>
      <c r="K421">
        <v>0.4</v>
      </c>
      <c r="L421">
        <v>0.4</v>
      </c>
    </row>
    <row r="422" spans="1:12">
      <c r="A422" t="s">
        <v>486</v>
      </c>
      <c r="B422" s="15" t="s">
        <v>203</v>
      </c>
      <c r="C422" t="s">
        <v>193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</row>
    <row r="423" spans="1:12">
      <c r="A423" t="s">
        <v>486</v>
      </c>
      <c r="B423" s="15" t="s">
        <v>208</v>
      </c>
      <c r="C423" t="s">
        <v>193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</row>
    <row r="424" spans="1:12">
      <c r="A424" t="s">
        <v>486</v>
      </c>
      <c r="B424" s="15" t="s">
        <v>204</v>
      </c>
      <c r="C424" t="s">
        <v>193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</row>
    <row r="425" spans="1:12">
      <c r="A425" t="s">
        <v>486</v>
      </c>
      <c r="B425" t="s">
        <v>204</v>
      </c>
      <c r="C425" t="s">
        <v>15</v>
      </c>
      <c r="D425">
        <v>1</v>
      </c>
      <c r="E425">
        <v>0.31</v>
      </c>
      <c r="F425">
        <v>0.31</v>
      </c>
      <c r="G425">
        <v>0.31</v>
      </c>
      <c r="H425">
        <v>0.31</v>
      </c>
      <c r="I425">
        <v>0.31</v>
      </c>
      <c r="J425">
        <v>0.31</v>
      </c>
      <c r="K425">
        <v>0.31</v>
      </c>
      <c r="L425">
        <v>0.31</v>
      </c>
    </row>
    <row r="426" spans="1:12">
      <c r="A426" t="s">
        <v>486</v>
      </c>
      <c r="B426" t="s">
        <v>218</v>
      </c>
      <c r="C426" t="s">
        <v>193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</row>
    <row r="427" spans="1:12">
      <c r="A427" t="s">
        <v>486</v>
      </c>
      <c r="B427" t="s">
        <v>211</v>
      </c>
      <c r="C427" t="s">
        <v>194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</row>
    <row r="428" spans="1:12">
      <c r="A428" t="s">
        <v>486</v>
      </c>
      <c r="B428" t="s">
        <v>211</v>
      </c>
      <c r="C428" t="s">
        <v>194</v>
      </c>
      <c r="D428">
        <v>2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</row>
    <row r="429" spans="1:12">
      <c r="A429" t="s">
        <v>486</v>
      </c>
      <c r="B429" t="s">
        <v>211</v>
      </c>
      <c r="C429" t="s">
        <v>194</v>
      </c>
      <c r="D429">
        <v>3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</row>
    <row r="430" spans="1:12">
      <c r="A430" t="s">
        <v>486</v>
      </c>
      <c r="B430" t="s">
        <v>222</v>
      </c>
      <c r="C430" t="s">
        <v>194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</row>
    <row r="431" spans="1:12">
      <c r="A431" t="s">
        <v>486</v>
      </c>
      <c r="B431" t="s">
        <v>209</v>
      </c>
      <c r="C431" t="s">
        <v>194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</row>
    <row r="432" spans="1:12">
      <c r="A432" t="s">
        <v>486</v>
      </c>
      <c r="B432" t="s">
        <v>210</v>
      </c>
      <c r="C432" t="s">
        <v>194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</row>
    <row r="433" spans="1:12">
      <c r="A433" t="s">
        <v>486</v>
      </c>
      <c r="B433" t="s">
        <v>221</v>
      </c>
      <c r="C433" t="s">
        <v>194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</row>
    <row r="434" spans="1:12">
      <c r="A434" t="s">
        <v>486</v>
      </c>
      <c r="B434" t="s">
        <v>212</v>
      </c>
      <c r="C434" t="s">
        <v>194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</row>
    <row r="435" spans="1:12">
      <c r="A435" t="s">
        <v>486</v>
      </c>
      <c r="B435" t="s">
        <v>224</v>
      </c>
      <c r="C435" t="s">
        <v>195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</row>
    <row r="436" spans="1:12">
      <c r="A436" t="s">
        <v>486</v>
      </c>
      <c r="B436" t="s">
        <v>224</v>
      </c>
      <c r="C436" t="s">
        <v>195</v>
      </c>
      <c r="D436">
        <v>2</v>
      </c>
      <c r="E436">
        <v>0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</row>
    <row r="437" spans="1:12">
      <c r="A437" t="s">
        <v>486</v>
      </c>
      <c r="B437" t="s">
        <v>224</v>
      </c>
      <c r="C437" t="s">
        <v>195</v>
      </c>
      <c r="D437">
        <v>3</v>
      </c>
      <c r="E437">
        <v>0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</row>
    <row r="438" spans="1:12">
      <c r="A438" t="s">
        <v>486</v>
      </c>
      <c r="B438" t="s">
        <v>224</v>
      </c>
      <c r="C438" t="s">
        <v>195</v>
      </c>
      <c r="D438">
        <v>4</v>
      </c>
      <c r="E438">
        <v>0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</row>
    <row r="439" spans="1:12">
      <c r="A439" t="s">
        <v>486</v>
      </c>
      <c r="B439" t="s">
        <v>225</v>
      </c>
      <c r="C439" t="s">
        <v>195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</row>
    <row r="440" spans="1:12">
      <c r="A440" t="s">
        <v>486</v>
      </c>
      <c r="B440" t="s">
        <v>225</v>
      </c>
      <c r="C440" t="s">
        <v>195</v>
      </c>
      <c r="D440">
        <v>2</v>
      </c>
      <c r="E440">
        <v>0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</row>
    <row r="441" spans="1:12">
      <c r="A441" t="s">
        <v>486</v>
      </c>
      <c r="B441" t="s">
        <v>225</v>
      </c>
      <c r="C441" t="s">
        <v>195</v>
      </c>
      <c r="D441">
        <v>3</v>
      </c>
      <c r="E441">
        <v>0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</row>
    <row r="442" spans="1:12">
      <c r="A442" t="s">
        <v>486</v>
      </c>
      <c r="B442" t="s">
        <v>226</v>
      </c>
      <c r="C442" t="s">
        <v>195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</row>
    <row r="443" spans="1:12">
      <c r="A443" t="s">
        <v>486</v>
      </c>
      <c r="B443" t="s">
        <v>227</v>
      </c>
      <c r="C443" t="s">
        <v>195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</row>
    <row r="444" spans="1:12">
      <c r="A444" t="s">
        <v>486</v>
      </c>
      <c r="B444" t="s">
        <v>228</v>
      </c>
      <c r="C444" t="s">
        <v>195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</row>
    <row r="445" spans="1:12">
      <c r="A445" t="s">
        <v>486</v>
      </c>
      <c r="B445" t="s">
        <v>229</v>
      </c>
      <c r="C445" t="s">
        <v>195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</row>
    <row r="446" spans="1:12">
      <c r="A446" t="s">
        <v>486</v>
      </c>
      <c r="B446" t="s">
        <v>229</v>
      </c>
      <c r="C446" t="s">
        <v>195</v>
      </c>
      <c r="D446">
        <v>2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</row>
    <row r="447" spans="1:12">
      <c r="A447" t="s">
        <v>486</v>
      </c>
      <c r="B447" t="s">
        <v>229</v>
      </c>
      <c r="C447" t="s">
        <v>195</v>
      </c>
      <c r="D447">
        <v>3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</row>
    <row r="448" spans="1:12">
      <c r="A448" t="s">
        <v>486</v>
      </c>
      <c r="B448" t="s">
        <v>235</v>
      </c>
      <c r="C448" t="s">
        <v>195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</row>
    <row r="449" spans="1:12">
      <c r="A449" t="s">
        <v>486</v>
      </c>
      <c r="B449" t="s">
        <v>235</v>
      </c>
      <c r="C449" t="s">
        <v>195</v>
      </c>
      <c r="D449">
        <v>2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</row>
    <row r="450" spans="1:12">
      <c r="A450" t="s">
        <v>486</v>
      </c>
      <c r="B450" t="s">
        <v>235</v>
      </c>
      <c r="C450" t="s">
        <v>195</v>
      </c>
      <c r="D450">
        <v>3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</row>
    <row r="451" spans="1:12">
      <c r="A451" t="s">
        <v>486</v>
      </c>
      <c r="B451" t="s">
        <v>235</v>
      </c>
      <c r="C451" t="s">
        <v>195</v>
      </c>
      <c r="D451">
        <v>4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</row>
    <row r="452" spans="1:12">
      <c r="A452" t="s">
        <v>486</v>
      </c>
      <c r="B452" t="s">
        <v>236</v>
      </c>
      <c r="C452" t="s">
        <v>195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</row>
    <row r="453" spans="1:12">
      <c r="A453" t="s">
        <v>486</v>
      </c>
      <c r="B453" t="s">
        <v>248</v>
      </c>
      <c r="C453" t="s">
        <v>193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</row>
    <row r="454" spans="1:12">
      <c r="A454" t="s">
        <v>486</v>
      </c>
      <c r="B454" t="s">
        <v>242</v>
      </c>
      <c r="C454" t="s">
        <v>193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</row>
    <row r="455" spans="1:12">
      <c r="A455" t="s">
        <v>486</v>
      </c>
      <c r="B455" t="s">
        <v>243</v>
      </c>
      <c r="C455" t="s">
        <v>193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</row>
    <row r="456" spans="1:12">
      <c r="A456" t="s">
        <v>486</v>
      </c>
      <c r="B456" t="s">
        <v>249</v>
      </c>
      <c r="C456" t="s">
        <v>257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</row>
    <row r="457" spans="1:12">
      <c r="A457" t="s">
        <v>486</v>
      </c>
      <c r="B457" t="s">
        <v>240</v>
      </c>
      <c r="C457" t="s">
        <v>257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</row>
    <row r="458" spans="1:12">
      <c r="A458" t="s">
        <v>486</v>
      </c>
      <c r="B458" t="s">
        <v>241</v>
      </c>
      <c r="C458" t="s">
        <v>257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</row>
    <row r="459" spans="1:12">
      <c r="A459" t="s">
        <v>486</v>
      </c>
      <c r="B459" t="s">
        <v>248</v>
      </c>
      <c r="C459" t="s">
        <v>15</v>
      </c>
      <c r="D459">
        <v>1</v>
      </c>
      <c r="E459">
        <v>0.31</v>
      </c>
      <c r="F459">
        <v>0.31</v>
      </c>
      <c r="G459">
        <v>0.31</v>
      </c>
      <c r="H459">
        <v>0.31</v>
      </c>
      <c r="I459">
        <v>0.31</v>
      </c>
      <c r="J459">
        <v>0.31</v>
      </c>
      <c r="K459">
        <v>0.31</v>
      </c>
      <c r="L459">
        <v>0.31</v>
      </c>
    </row>
    <row r="460" spans="1:12">
      <c r="A460" t="s">
        <v>486</v>
      </c>
      <c r="B460" t="s">
        <v>242</v>
      </c>
      <c r="C460" t="s">
        <v>15</v>
      </c>
      <c r="D460">
        <v>1</v>
      </c>
      <c r="E460">
        <v>0.31</v>
      </c>
      <c r="F460">
        <v>0.31</v>
      </c>
      <c r="G460">
        <v>0.31</v>
      </c>
      <c r="H460">
        <v>0.31</v>
      </c>
      <c r="I460">
        <v>0.31</v>
      </c>
      <c r="J460">
        <v>0.31</v>
      </c>
      <c r="K460">
        <v>0.31</v>
      </c>
      <c r="L460">
        <v>0.31</v>
      </c>
    </row>
    <row r="461" spans="1:12">
      <c r="A461" t="s">
        <v>486</v>
      </c>
      <c r="B461" t="s">
        <v>243</v>
      </c>
      <c r="C461" t="s">
        <v>15</v>
      </c>
      <c r="D461">
        <v>1</v>
      </c>
      <c r="E461">
        <v>0.31</v>
      </c>
      <c r="F461">
        <v>0.31</v>
      </c>
      <c r="G461">
        <v>0.31</v>
      </c>
      <c r="H461">
        <v>0.31</v>
      </c>
      <c r="I461">
        <v>0.31</v>
      </c>
      <c r="J461">
        <v>0.31</v>
      </c>
      <c r="K461">
        <v>0.31</v>
      </c>
      <c r="L461">
        <v>0.31</v>
      </c>
    </row>
    <row r="462" spans="1:12">
      <c r="A462" t="s">
        <v>486</v>
      </c>
      <c r="B462" t="s">
        <v>191</v>
      </c>
      <c r="C462" t="s">
        <v>15</v>
      </c>
      <c r="D462">
        <v>1</v>
      </c>
      <c r="E462">
        <v>0.31</v>
      </c>
      <c r="F462">
        <v>0.31</v>
      </c>
      <c r="G462">
        <v>0.31</v>
      </c>
      <c r="H462">
        <v>0.31</v>
      </c>
      <c r="I462">
        <v>0.31</v>
      </c>
      <c r="J462">
        <v>0.31</v>
      </c>
      <c r="K462">
        <v>0.31</v>
      </c>
      <c r="L462">
        <v>0.31</v>
      </c>
    </row>
    <row r="463" spans="1:12">
      <c r="A463" t="s">
        <v>486</v>
      </c>
      <c r="B463" t="s">
        <v>249</v>
      </c>
      <c r="C463" t="s">
        <v>15</v>
      </c>
      <c r="D463">
        <v>1</v>
      </c>
      <c r="E463">
        <v>0.31</v>
      </c>
      <c r="F463">
        <v>0.31</v>
      </c>
      <c r="G463">
        <v>0.31</v>
      </c>
      <c r="H463">
        <v>0.31</v>
      </c>
      <c r="I463">
        <v>0.31</v>
      </c>
      <c r="J463">
        <v>0.31</v>
      </c>
      <c r="K463">
        <v>0.31</v>
      </c>
      <c r="L463">
        <v>0.31</v>
      </c>
    </row>
    <row r="464" spans="1:12">
      <c r="A464" t="s">
        <v>486</v>
      </c>
      <c r="B464" t="s">
        <v>240</v>
      </c>
      <c r="C464" t="s">
        <v>15</v>
      </c>
      <c r="D464">
        <v>1</v>
      </c>
      <c r="E464">
        <v>0.31</v>
      </c>
      <c r="F464">
        <v>0.31</v>
      </c>
      <c r="G464">
        <v>0.31</v>
      </c>
      <c r="H464">
        <v>0.31</v>
      </c>
      <c r="I464">
        <v>0.31</v>
      </c>
      <c r="J464">
        <v>0.31</v>
      </c>
      <c r="K464">
        <v>0.31</v>
      </c>
      <c r="L464">
        <v>0.31</v>
      </c>
    </row>
    <row r="465" spans="1:12">
      <c r="A465" t="s">
        <v>486</v>
      </c>
      <c r="B465" t="s">
        <v>241</v>
      </c>
      <c r="C465" t="s">
        <v>15</v>
      </c>
      <c r="D465">
        <v>1</v>
      </c>
      <c r="E465">
        <v>0.31</v>
      </c>
      <c r="F465">
        <v>0.31</v>
      </c>
      <c r="G465">
        <v>0.31</v>
      </c>
      <c r="H465">
        <v>0.31</v>
      </c>
      <c r="I465">
        <v>0.31</v>
      </c>
      <c r="J465">
        <v>0.31</v>
      </c>
      <c r="K465">
        <v>0.31</v>
      </c>
      <c r="L465">
        <v>0.31</v>
      </c>
    </row>
    <row r="466" spans="1:12">
      <c r="A466" t="s">
        <v>486</v>
      </c>
      <c r="B466" t="s">
        <v>244</v>
      </c>
      <c r="C466" t="s">
        <v>194</v>
      </c>
      <c r="D466">
        <v>1</v>
      </c>
      <c r="E466" s="5">
        <v>1</v>
      </c>
      <c r="F466" s="5">
        <v>1</v>
      </c>
      <c r="G466" s="5">
        <v>1</v>
      </c>
      <c r="H466" s="5">
        <v>1</v>
      </c>
      <c r="I466" s="5">
        <v>1</v>
      </c>
      <c r="J466" s="5">
        <v>1</v>
      </c>
      <c r="K466" s="5">
        <v>1</v>
      </c>
      <c r="L466" s="5">
        <v>1</v>
      </c>
    </row>
    <row r="467" spans="1:12">
      <c r="A467" t="s">
        <v>486</v>
      </c>
      <c r="B467" t="s">
        <v>245</v>
      </c>
      <c r="C467" t="s">
        <v>194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</row>
    <row r="468" spans="1:12">
      <c r="A468" t="s">
        <v>486</v>
      </c>
      <c r="B468" t="s">
        <v>237</v>
      </c>
      <c r="C468" t="s">
        <v>15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</row>
    <row r="469" spans="1:12">
      <c r="A469" t="s">
        <v>486</v>
      </c>
      <c r="B469" t="s">
        <v>238</v>
      </c>
      <c r="C469" t="s">
        <v>15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</row>
    <row r="470" spans="1:12">
      <c r="A470" t="s">
        <v>486</v>
      </c>
      <c r="B470" t="s">
        <v>239</v>
      </c>
      <c r="C470" t="s">
        <v>15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</row>
    <row r="471" spans="1:12">
      <c r="A471" t="s">
        <v>486</v>
      </c>
      <c r="B471" t="s">
        <v>246</v>
      </c>
      <c r="C471" t="s">
        <v>132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</row>
    <row r="472" spans="1:12">
      <c r="A472" t="s">
        <v>486</v>
      </c>
      <c r="B472" t="s">
        <v>247</v>
      </c>
      <c r="C472" t="s">
        <v>132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</row>
    <row r="473" spans="1:12">
      <c r="A473" t="s">
        <v>486</v>
      </c>
      <c r="B473" t="s">
        <v>251</v>
      </c>
      <c r="C473" t="s">
        <v>252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</row>
    <row r="474" spans="1:12">
      <c r="A474" t="s">
        <v>486</v>
      </c>
      <c r="B474" t="s">
        <v>253</v>
      </c>
      <c r="C474" t="s">
        <v>257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</row>
    <row r="475" spans="1:12">
      <c r="A475" t="s">
        <v>486</v>
      </c>
      <c r="B475" t="s">
        <v>254</v>
      </c>
      <c r="C475" t="s">
        <v>193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</row>
    <row r="476" spans="1:12">
      <c r="A476" t="s">
        <v>486</v>
      </c>
      <c r="B476" t="s">
        <v>255</v>
      </c>
      <c r="C476" t="s">
        <v>256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</row>
    <row r="477" spans="1:12">
      <c r="A477" t="s">
        <v>486</v>
      </c>
      <c r="B477" t="s">
        <v>281</v>
      </c>
      <c r="C477" t="s">
        <v>280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</row>
    <row r="478" spans="1:12">
      <c r="A478" t="s">
        <v>486</v>
      </c>
      <c r="B478" t="s">
        <v>281</v>
      </c>
      <c r="C478" t="s">
        <v>280</v>
      </c>
      <c r="D478">
        <v>2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</row>
    <row r="479" spans="1:12">
      <c r="A479" t="s">
        <v>486</v>
      </c>
      <c r="B479" t="s">
        <v>282</v>
      </c>
      <c r="C479" t="s">
        <v>133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</row>
    <row r="480" spans="1:12">
      <c r="A480" t="s">
        <v>486</v>
      </c>
      <c r="B480" t="s">
        <v>283</v>
      </c>
      <c r="C480" t="s">
        <v>133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</row>
    <row r="481" spans="1:12">
      <c r="A481" t="s">
        <v>486</v>
      </c>
      <c r="B481" t="s">
        <v>284</v>
      </c>
      <c r="C481" t="s">
        <v>133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</row>
    <row r="482" spans="1:12">
      <c r="A482" t="s">
        <v>486</v>
      </c>
      <c r="B482" t="s">
        <v>285</v>
      </c>
      <c r="C482" t="s">
        <v>133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</row>
    <row r="483" spans="1:12">
      <c r="A483" t="s">
        <v>486</v>
      </c>
      <c r="B483" t="s">
        <v>286</v>
      </c>
      <c r="C483" t="s">
        <v>133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</row>
    <row r="484" spans="1:12">
      <c r="A484" t="s">
        <v>486</v>
      </c>
      <c r="B484" s="2" t="s">
        <v>287</v>
      </c>
      <c r="C484" t="s">
        <v>184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</row>
    <row r="485" spans="1:12">
      <c r="A485" t="s">
        <v>486</v>
      </c>
      <c r="B485" s="2" t="s">
        <v>291</v>
      </c>
      <c r="C485" t="s">
        <v>132</v>
      </c>
      <c r="D485">
        <v>4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</row>
    <row r="486" spans="1:12">
      <c r="A486" t="s">
        <v>486</v>
      </c>
      <c r="B486" s="2" t="s">
        <v>291</v>
      </c>
      <c r="C486" t="s">
        <v>185</v>
      </c>
      <c r="D486">
        <v>3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</row>
    <row r="487" spans="1:12">
      <c r="A487" t="s">
        <v>486</v>
      </c>
      <c r="B487" s="2" t="s">
        <v>291</v>
      </c>
      <c r="C487" t="s">
        <v>184</v>
      </c>
      <c r="D487">
        <v>2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</row>
    <row r="488" spans="1:12">
      <c r="A488" t="s">
        <v>486</v>
      </c>
      <c r="B488" s="2" t="s">
        <v>291</v>
      </c>
      <c r="C488" t="s">
        <v>183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</row>
    <row r="489" spans="1:12">
      <c r="A489" t="s">
        <v>486</v>
      </c>
      <c r="B489" s="2" t="s">
        <v>292</v>
      </c>
      <c r="C489" t="s">
        <v>295</v>
      </c>
      <c r="D489">
        <v>4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</row>
    <row r="490" spans="1:12">
      <c r="A490" t="s">
        <v>486</v>
      </c>
      <c r="B490" s="2" t="s">
        <v>292</v>
      </c>
      <c r="C490" t="s">
        <v>296</v>
      </c>
      <c r="D490">
        <v>3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</row>
    <row r="491" spans="1:12">
      <c r="A491" t="s">
        <v>486</v>
      </c>
      <c r="B491" s="2" t="s">
        <v>292</v>
      </c>
      <c r="C491" t="s">
        <v>294</v>
      </c>
      <c r="D491">
        <v>2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</row>
    <row r="492" spans="1:12">
      <c r="A492" t="s">
        <v>486</v>
      </c>
      <c r="B492" s="2" t="s">
        <v>292</v>
      </c>
      <c r="C492" t="s">
        <v>293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</row>
    <row r="493" spans="1:12">
      <c r="A493" t="s">
        <v>486</v>
      </c>
      <c r="B493" s="2" t="s">
        <v>297</v>
      </c>
      <c r="C493" t="s">
        <v>137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</row>
    <row r="494" spans="1:12">
      <c r="A494" t="s">
        <v>486</v>
      </c>
      <c r="B494" s="2" t="s">
        <v>298</v>
      </c>
      <c r="C494" t="s">
        <v>137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</row>
    <row r="495" spans="1:12">
      <c r="A495" t="s">
        <v>486</v>
      </c>
      <c r="B495" t="s">
        <v>299</v>
      </c>
      <c r="C495" t="s">
        <v>138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</row>
    <row r="496" spans="1:12">
      <c r="A496" t="s">
        <v>486</v>
      </c>
      <c r="B496" t="s">
        <v>290</v>
      </c>
      <c r="C496" t="s">
        <v>293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</row>
    <row r="497" spans="1:12">
      <c r="A497" t="s">
        <v>486</v>
      </c>
      <c r="B497" t="s">
        <v>179</v>
      </c>
      <c r="C497" t="s">
        <v>182</v>
      </c>
      <c r="D497">
        <v>1</v>
      </c>
      <c r="E497">
        <v>0.25666666666666665</v>
      </c>
      <c r="F497">
        <v>0.24062500000000001</v>
      </c>
      <c r="G497">
        <v>0.2369230769230769</v>
      </c>
      <c r="H497">
        <v>0.23333333333333334</v>
      </c>
      <c r="I497">
        <v>0.2298507462686567</v>
      </c>
      <c r="J497">
        <v>0.22647058823529409</v>
      </c>
      <c r="K497">
        <v>0.22318840579710147</v>
      </c>
      <c r="L497">
        <v>0.22</v>
      </c>
    </row>
    <row r="498" spans="1:12">
      <c r="A498" t="s">
        <v>486</v>
      </c>
      <c r="B498" t="s">
        <v>180</v>
      </c>
      <c r="C498" t="s">
        <v>182</v>
      </c>
      <c r="D498">
        <v>1</v>
      </c>
      <c r="E498">
        <v>0.22647058823529409</v>
      </c>
      <c r="F498">
        <v>0.22</v>
      </c>
      <c r="G498">
        <v>0.21690140845070424</v>
      </c>
      <c r="H498">
        <v>0.12833333333333333</v>
      </c>
      <c r="I498">
        <v>0.20810810810810809</v>
      </c>
      <c r="J498">
        <v>0.20263157894736844</v>
      </c>
      <c r="K498">
        <v>0.20263157894736844</v>
      </c>
      <c r="L498">
        <v>0.20263157894736844</v>
      </c>
    </row>
    <row r="499" spans="1:12">
      <c r="A499" t="s">
        <v>486</v>
      </c>
      <c r="B499" t="s">
        <v>235</v>
      </c>
      <c r="C499" t="s">
        <v>182</v>
      </c>
      <c r="D499">
        <v>1</v>
      </c>
      <c r="E499">
        <v>2.5683257918552038E-2</v>
      </c>
      <c r="F499">
        <v>2.5349709114414996E-2</v>
      </c>
      <c r="G499">
        <v>2.5016160310277959E-2</v>
      </c>
      <c r="H499">
        <v>2.4682611506140918E-2</v>
      </c>
      <c r="I499">
        <v>2.4349062702003876E-2</v>
      </c>
      <c r="J499">
        <v>2.4015513897866839E-2</v>
      </c>
      <c r="K499">
        <v>2.3681965093729801E-2</v>
      </c>
      <c r="L499">
        <v>2.334841628959276E-2</v>
      </c>
    </row>
    <row r="500" spans="1:12">
      <c r="A500" t="s">
        <v>486</v>
      </c>
      <c r="B500" t="s">
        <v>235</v>
      </c>
      <c r="C500" t="s">
        <v>182</v>
      </c>
      <c r="D500">
        <v>2</v>
      </c>
      <c r="E500">
        <v>2.087854883273936E-2</v>
      </c>
      <c r="F500">
        <v>2.0607398847898587E-2</v>
      </c>
      <c r="G500">
        <v>2.0336248863057817E-2</v>
      </c>
      <c r="H500">
        <v>2.0065098878217044E-2</v>
      </c>
      <c r="I500">
        <v>1.9793948893376274E-2</v>
      </c>
      <c r="J500">
        <v>1.9522798908535505E-2</v>
      </c>
      <c r="K500">
        <v>1.9251648923694731E-2</v>
      </c>
      <c r="L500">
        <v>1.8980498938853962E-2</v>
      </c>
    </row>
    <row r="501" spans="1:12">
      <c r="A501" t="s">
        <v>486</v>
      </c>
      <c r="B501" t="s">
        <v>235</v>
      </c>
      <c r="C501" t="s">
        <v>182</v>
      </c>
      <c r="D501">
        <v>3</v>
      </c>
      <c r="E501">
        <v>1.8182837464461619E-2</v>
      </c>
      <c r="F501">
        <v>1.7946696718169911E-2</v>
      </c>
      <c r="G501">
        <v>1.7710555971878199E-2</v>
      </c>
      <c r="H501">
        <v>1.7474415225586487E-2</v>
      </c>
      <c r="I501">
        <v>1.7238274479294779E-2</v>
      </c>
      <c r="J501">
        <v>1.7002133733003071E-2</v>
      </c>
      <c r="K501">
        <v>1.6765992986711359E-2</v>
      </c>
      <c r="L501">
        <v>1.6529852240419651E-2</v>
      </c>
    </row>
    <row r="502" spans="1:12">
      <c r="A502" t="s">
        <v>486</v>
      </c>
      <c r="B502" t="s">
        <v>235</v>
      </c>
      <c r="C502" t="s">
        <v>182</v>
      </c>
      <c r="D502">
        <v>4</v>
      </c>
      <c r="E502">
        <v>1.8182837464461619E-2</v>
      </c>
      <c r="F502">
        <v>1.7946696718169911E-2</v>
      </c>
      <c r="G502">
        <v>1.7710555971878199E-2</v>
      </c>
      <c r="H502">
        <v>1.7474415225586487E-2</v>
      </c>
      <c r="I502">
        <v>1.7238274479294779E-2</v>
      </c>
      <c r="J502">
        <v>1.7002133733003071E-2</v>
      </c>
      <c r="K502">
        <v>1.6765992986711359E-2</v>
      </c>
      <c r="L502">
        <v>1.6529852240419651E-2</v>
      </c>
    </row>
    <row r="503" spans="1:12">
      <c r="A503" t="s">
        <v>486</v>
      </c>
      <c r="B503" t="s">
        <v>236</v>
      </c>
      <c r="C503" t="s">
        <v>182</v>
      </c>
      <c r="D503">
        <v>1</v>
      </c>
      <c r="E503">
        <v>1.6622222222222219E-2</v>
      </c>
      <c r="F503">
        <v>1.6226455026455023E-2</v>
      </c>
      <c r="G503">
        <v>1.5830687830687827E-2</v>
      </c>
      <c r="H503">
        <v>1.5434920634920631E-2</v>
      </c>
      <c r="I503">
        <v>1.5039153439153435E-2</v>
      </c>
      <c r="J503">
        <v>1.464338624338624E-2</v>
      </c>
      <c r="K503">
        <v>1.4247619047619044E-2</v>
      </c>
      <c r="L503">
        <v>1.385185185185185E-2</v>
      </c>
    </row>
    <row r="504" spans="1:12">
      <c r="A504" t="s">
        <v>486</v>
      </c>
      <c r="B504" t="s">
        <v>248</v>
      </c>
      <c r="C504" t="s">
        <v>182</v>
      </c>
      <c r="D504">
        <v>1</v>
      </c>
      <c r="E504">
        <v>0.11846153846153845</v>
      </c>
      <c r="F504">
        <v>0.10365384615384614</v>
      </c>
      <c r="G504">
        <v>9.8717948717948714E-2</v>
      </c>
      <c r="H504">
        <v>9.7483974358974351E-2</v>
      </c>
      <c r="I504">
        <v>9.6866987179487177E-2</v>
      </c>
      <c r="J504">
        <v>9.6558493589743583E-2</v>
      </c>
      <c r="K504">
        <v>9.6404246794871792E-2</v>
      </c>
      <c r="L504">
        <v>9.6250000000000002E-2</v>
      </c>
    </row>
    <row r="505" spans="1:12">
      <c r="A505" t="s">
        <v>486</v>
      </c>
      <c r="B505" t="s">
        <v>242</v>
      </c>
      <c r="C505" t="s">
        <v>182</v>
      </c>
      <c r="D505">
        <v>1</v>
      </c>
      <c r="E505">
        <v>1.8919999999999999E-2</v>
      </c>
      <c r="F505">
        <v>1.8919999999999999E-2</v>
      </c>
      <c r="G505">
        <v>1.8919999999999999E-2</v>
      </c>
      <c r="H505">
        <v>1.8919999999999999E-2</v>
      </c>
      <c r="I505">
        <v>1.8919999999999999E-2</v>
      </c>
      <c r="J505">
        <v>1.8919999999999999E-2</v>
      </c>
      <c r="K505">
        <v>1.8919999999999999E-2</v>
      </c>
      <c r="L505">
        <v>1.8919999999999999E-2</v>
      </c>
    </row>
    <row r="506" spans="1:12">
      <c r="A506" t="s">
        <v>486</v>
      </c>
      <c r="B506" t="s">
        <v>243</v>
      </c>
      <c r="C506" t="s">
        <v>182</v>
      </c>
      <c r="D506">
        <v>1</v>
      </c>
      <c r="E506">
        <v>2.0200000000000003E-2</v>
      </c>
      <c r="F506">
        <v>2.0200000000000003E-2</v>
      </c>
      <c r="G506">
        <v>2.0200000000000003E-2</v>
      </c>
      <c r="H506">
        <v>2.0200000000000003E-2</v>
      </c>
      <c r="I506">
        <v>2.0200000000000003E-2</v>
      </c>
      <c r="J506">
        <v>2.0200000000000003E-2</v>
      </c>
      <c r="K506">
        <v>2.0200000000000003E-2</v>
      </c>
      <c r="L506">
        <v>2.0200000000000003E-2</v>
      </c>
    </row>
    <row r="507" spans="1:12">
      <c r="A507" t="s">
        <v>486</v>
      </c>
      <c r="B507" t="s">
        <v>249</v>
      </c>
      <c r="C507" t="s">
        <v>182</v>
      </c>
      <c r="D507">
        <v>1</v>
      </c>
      <c r="E507">
        <v>0.11846153846153845</v>
      </c>
      <c r="F507">
        <v>0.10365384615384614</v>
      </c>
      <c r="G507">
        <v>9.8717948717948714E-2</v>
      </c>
      <c r="H507">
        <v>9.7483974358974351E-2</v>
      </c>
      <c r="I507">
        <v>9.6866987179487177E-2</v>
      </c>
      <c r="J507">
        <v>9.6558493589743583E-2</v>
      </c>
      <c r="K507">
        <v>9.6404246794871792E-2</v>
      </c>
      <c r="L507">
        <v>9.6250000000000002E-2</v>
      </c>
    </row>
    <row r="508" spans="1:12">
      <c r="A508" t="s">
        <v>486</v>
      </c>
      <c r="B508" t="s">
        <v>240</v>
      </c>
      <c r="C508" t="s">
        <v>182</v>
      </c>
      <c r="D508">
        <v>1</v>
      </c>
      <c r="E508">
        <v>1.8919999999999999E-2</v>
      </c>
      <c r="F508">
        <v>1.8919999999999999E-2</v>
      </c>
      <c r="G508">
        <v>1.8919999999999999E-2</v>
      </c>
      <c r="H508">
        <v>1.8919999999999999E-2</v>
      </c>
      <c r="I508">
        <v>1.8919999999999999E-2</v>
      </c>
      <c r="J508">
        <v>1.8919999999999999E-2</v>
      </c>
      <c r="K508">
        <v>1.8919999999999999E-2</v>
      </c>
      <c r="L508">
        <v>1.8919999999999999E-2</v>
      </c>
    </row>
    <row r="509" spans="1:12">
      <c r="A509" t="s">
        <v>486</v>
      </c>
      <c r="B509" t="s">
        <v>241</v>
      </c>
      <c r="C509" t="s">
        <v>182</v>
      </c>
      <c r="D509">
        <v>1</v>
      </c>
      <c r="E509">
        <v>2.0200000000000003E-2</v>
      </c>
      <c r="F509">
        <v>2.0200000000000003E-2</v>
      </c>
      <c r="G509">
        <v>2.0200000000000003E-2</v>
      </c>
      <c r="H509">
        <v>2.0200000000000003E-2</v>
      </c>
      <c r="I509">
        <v>2.0200000000000003E-2</v>
      </c>
      <c r="J509">
        <v>2.0200000000000003E-2</v>
      </c>
      <c r="K509">
        <v>2.0200000000000003E-2</v>
      </c>
      <c r="L509">
        <v>2.0200000000000003E-2</v>
      </c>
    </row>
    <row r="510" spans="1:12">
      <c r="A510" t="s">
        <v>486</v>
      </c>
      <c r="B510" t="s">
        <v>244</v>
      </c>
      <c r="C510" t="s">
        <v>182</v>
      </c>
      <c r="D510">
        <v>1</v>
      </c>
      <c r="E510">
        <v>7.3978021978021967E-3</v>
      </c>
      <c r="F510">
        <v>7.3978021978021967E-3</v>
      </c>
      <c r="G510">
        <v>7.3978021978021967E-3</v>
      </c>
      <c r="H510">
        <v>7.3978021978021967E-3</v>
      </c>
      <c r="I510">
        <v>7.3978021978021967E-3</v>
      </c>
      <c r="J510">
        <v>7.3978021978021967E-3</v>
      </c>
      <c r="K510">
        <v>7.3978021978021967E-3</v>
      </c>
      <c r="L510">
        <v>7.3978021978021967E-3</v>
      </c>
    </row>
    <row r="511" spans="1:12">
      <c r="A511" t="s">
        <v>486</v>
      </c>
      <c r="B511" t="s">
        <v>245</v>
      </c>
      <c r="C511" t="s">
        <v>182</v>
      </c>
      <c r="D511">
        <v>1</v>
      </c>
      <c r="E511">
        <v>1.6078534798534796E-2</v>
      </c>
      <c r="F511">
        <v>1.6078534798534796E-2</v>
      </c>
      <c r="G511">
        <v>1.6078534798534796E-2</v>
      </c>
      <c r="H511">
        <v>1.6078534798534796E-2</v>
      </c>
      <c r="I511">
        <v>1.6078534798534796E-2</v>
      </c>
      <c r="J511">
        <v>1.6078534798534796E-2</v>
      </c>
      <c r="K511">
        <v>1.6078534798534796E-2</v>
      </c>
      <c r="L511">
        <v>1.6078534798534796E-2</v>
      </c>
    </row>
    <row r="512" spans="1:12">
      <c r="A512" t="s">
        <v>486</v>
      </c>
      <c r="B512" t="s">
        <v>237</v>
      </c>
      <c r="C512" t="s">
        <v>182</v>
      </c>
      <c r="D512">
        <v>1</v>
      </c>
      <c r="E512">
        <v>2.9010666666666667E-2</v>
      </c>
      <c r="F512">
        <v>2.8523092436974783E-2</v>
      </c>
      <c r="G512">
        <v>2.8035518207282912E-2</v>
      </c>
      <c r="H512">
        <v>2.7547943977591031E-2</v>
      </c>
      <c r="I512">
        <v>2.7060369747899153E-2</v>
      </c>
      <c r="J512">
        <v>2.6572795518207279E-2</v>
      </c>
      <c r="K512">
        <v>2.6085221288515398E-2</v>
      </c>
      <c r="L512">
        <v>2.5597647058823524E-2</v>
      </c>
    </row>
    <row r="513" spans="1:17">
      <c r="A513" t="s">
        <v>486</v>
      </c>
      <c r="B513" t="s">
        <v>238</v>
      </c>
      <c r="C513" t="s">
        <v>182</v>
      </c>
      <c r="D513">
        <v>1</v>
      </c>
      <c r="E513">
        <v>2.8857142857142856E-2</v>
      </c>
      <c r="F513">
        <v>2.6933333333333337E-2</v>
      </c>
      <c r="G513">
        <v>2.6347826086956523E-2</v>
      </c>
      <c r="H513">
        <v>2.5787234042553193E-2</v>
      </c>
      <c r="I513">
        <v>2.5787234042553193E-2</v>
      </c>
      <c r="J513">
        <v>2.5787234042553193E-2</v>
      </c>
      <c r="K513">
        <v>2.5787234042553193E-2</v>
      </c>
      <c r="L513">
        <v>2.5787234042553193E-2</v>
      </c>
    </row>
    <row r="514" spans="1:17">
      <c r="A514" t="s">
        <v>486</v>
      </c>
      <c r="B514" t="s">
        <v>239</v>
      </c>
      <c r="C514" t="s">
        <v>182</v>
      </c>
      <c r="D514">
        <v>1</v>
      </c>
      <c r="E514">
        <v>1.9572413793103451E-2</v>
      </c>
      <c r="F514">
        <v>1.8919999999999999E-2</v>
      </c>
      <c r="G514">
        <v>1.860983606557377E-2</v>
      </c>
      <c r="H514">
        <v>1.8309677419354839E-2</v>
      </c>
      <c r="I514">
        <v>1.8309677419354839E-2</v>
      </c>
      <c r="J514">
        <v>1.8309677419354839E-2</v>
      </c>
      <c r="K514">
        <v>1.8163200000000001E-2</v>
      </c>
      <c r="L514">
        <v>1.8019047619047619E-2</v>
      </c>
    </row>
    <row r="515" spans="1:17">
      <c r="A515" t="s">
        <v>486</v>
      </c>
      <c r="B515" t="s">
        <v>247</v>
      </c>
      <c r="C515" t="s">
        <v>182</v>
      </c>
      <c r="D515">
        <v>1</v>
      </c>
      <c r="E515">
        <v>1.1219999999999999E-2</v>
      </c>
      <c r="F515">
        <v>1.015142857142857E-2</v>
      </c>
      <c r="G515">
        <v>9.7952380952380947E-3</v>
      </c>
      <c r="H515">
        <v>9.7061904761904759E-3</v>
      </c>
      <c r="I515">
        <v>9.6616666666666656E-3</v>
      </c>
      <c r="J515">
        <v>9.6394047619047622E-3</v>
      </c>
      <c r="K515">
        <v>9.6282738095238088E-3</v>
      </c>
      <c r="L515">
        <v>9.6171428571428571E-3</v>
      </c>
      <c r="M515" s="5"/>
    </row>
    <row r="516" spans="1:17">
      <c r="A516" t="s">
        <v>486</v>
      </c>
      <c r="B516" s="2" t="s">
        <v>310</v>
      </c>
      <c r="C516" t="s">
        <v>15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</row>
    <row r="517" spans="1:17">
      <c r="A517" t="s">
        <v>486</v>
      </c>
      <c r="B517" s="2" t="s">
        <v>312</v>
      </c>
      <c r="C517" t="s">
        <v>311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</row>
    <row r="518" spans="1:17">
      <c r="A518" t="s">
        <v>486</v>
      </c>
      <c r="B518" t="s">
        <v>313</v>
      </c>
      <c r="C518" t="s">
        <v>311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</row>
    <row r="519" spans="1:17">
      <c r="A519" t="s">
        <v>486</v>
      </c>
      <c r="B519" t="s">
        <v>314</v>
      </c>
      <c r="C519" t="s">
        <v>132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</row>
    <row r="520" spans="1:17">
      <c r="A520" t="s">
        <v>486</v>
      </c>
      <c r="B520" t="s">
        <v>316</v>
      </c>
      <c r="C520" t="s">
        <v>317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</row>
    <row r="521" spans="1:17">
      <c r="A521" t="s">
        <v>486</v>
      </c>
      <c r="B521" t="s">
        <v>316</v>
      </c>
      <c r="C521" t="s">
        <v>318</v>
      </c>
      <c r="D521">
        <v>2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</row>
    <row r="522" spans="1:17">
      <c r="A522" t="s">
        <v>486</v>
      </c>
      <c r="B522" t="s">
        <v>416</v>
      </c>
      <c r="C522" t="s">
        <v>15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P522" t="s">
        <v>432</v>
      </c>
      <c r="Q522" t="s">
        <v>433</v>
      </c>
    </row>
    <row r="523" spans="1:17">
      <c r="A523" t="s">
        <v>486</v>
      </c>
      <c r="B523" t="s">
        <v>95</v>
      </c>
      <c r="C523" t="s">
        <v>15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P523" t="s">
        <v>432</v>
      </c>
      <c r="Q523" t="s">
        <v>433</v>
      </c>
    </row>
    <row r="524" spans="1:17">
      <c r="A524" t="s">
        <v>486</v>
      </c>
      <c r="B524" t="s">
        <v>96</v>
      </c>
      <c r="C524" t="s">
        <v>15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P524" t="s">
        <v>432</v>
      </c>
      <c r="Q524" t="s">
        <v>433</v>
      </c>
    </row>
    <row r="525" spans="1:17">
      <c r="A525" t="s">
        <v>486</v>
      </c>
      <c r="B525" t="s">
        <v>422</v>
      </c>
      <c r="C525" t="s">
        <v>15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P525" t="s">
        <v>432</v>
      </c>
      <c r="Q525" t="s">
        <v>433</v>
      </c>
    </row>
    <row r="526" spans="1:17">
      <c r="A526" t="s">
        <v>486</v>
      </c>
      <c r="B526" t="s">
        <v>420</v>
      </c>
      <c r="C526" t="s">
        <v>15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P526" t="s">
        <v>432</v>
      </c>
      <c r="Q526" t="s">
        <v>433</v>
      </c>
    </row>
    <row r="527" spans="1:17">
      <c r="A527" t="s">
        <v>486</v>
      </c>
      <c r="B527" t="s">
        <v>424</v>
      </c>
      <c r="C527" t="s">
        <v>15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P527" t="s">
        <v>432</v>
      </c>
      <c r="Q527" t="s">
        <v>433</v>
      </c>
    </row>
    <row r="528" spans="1:17">
      <c r="A528" t="s">
        <v>486</v>
      </c>
      <c r="B528" t="s">
        <v>417</v>
      </c>
      <c r="C528" t="s">
        <v>15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P528" t="s">
        <v>432</v>
      </c>
      <c r="Q528" t="s">
        <v>433</v>
      </c>
    </row>
    <row r="529" spans="1:17">
      <c r="A529" t="s">
        <v>486</v>
      </c>
      <c r="B529" t="s">
        <v>418</v>
      </c>
      <c r="C529" t="s">
        <v>15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P529" t="s">
        <v>432</v>
      </c>
      <c r="Q529" t="s">
        <v>433</v>
      </c>
    </row>
    <row r="530" spans="1:17">
      <c r="A530" t="s">
        <v>486</v>
      </c>
      <c r="B530" t="s">
        <v>419</v>
      </c>
      <c r="C530" t="s">
        <v>15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P530" t="s">
        <v>432</v>
      </c>
      <c r="Q530" t="s">
        <v>433</v>
      </c>
    </row>
    <row r="531" spans="1:17">
      <c r="A531" t="s">
        <v>486</v>
      </c>
      <c r="B531" t="s">
        <v>423</v>
      </c>
      <c r="C531" t="s">
        <v>15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P531" t="s">
        <v>432</v>
      </c>
      <c r="Q531" t="s">
        <v>433</v>
      </c>
    </row>
    <row r="532" spans="1:17">
      <c r="A532" t="s">
        <v>486</v>
      </c>
      <c r="B532" t="s">
        <v>421</v>
      </c>
      <c r="C532" t="s">
        <v>15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P532" t="s">
        <v>432</v>
      </c>
      <c r="Q532" t="s">
        <v>433</v>
      </c>
    </row>
    <row r="533" spans="1:17">
      <c r="A533" t="s">
        <v>486</v>
      </c>
      <c r="B533" t="s">
        <v>416</v>
      </c>
      <c r="C533" t="s">
        <v>15</v>
      </c>
      <c r="D533">
        <v>2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P533" t="s">
        <v>432</v>
      </c>
      <c r="Q533" t="s">
        <v>435</v>
      </c>
    </row>
    <row r="534" spans="1:17">
      <c r="A534" t="s">
        <v>486</v>
      </c>
      <c r="B534" t="s">
        <v>95</v>
      </c>
      <c r="C534" t="s">
        <v>15</v>
      </c>
      <c r="D534">
        <v>2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P534" t="s">
        <v>432</v>
      </c>
      <c r="Q534" t="s">
        <v>435</v>
      </c>
    </row>
    <row r="535" spans="1:17">
      <c r="A535" t="s">
        <v>486</v>
      </c>
      <c r="B535" t="s">
        <v>96</v>
      </c>
      <c r="C535" t="s">
        <v>15</v>
      </c>
      <c r="D535">
        <v>2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P535" t="s">
        <v>432</v>
      </c>
      <c r="Q535" t="s">
        <v>435</v>
      </c>
    </row>
    <row r="536" spans="1:17">
      <c r="A536" t="s">
        <v>486</v>
      </c>
      <c r="B536" t="s">
        <v>422</v>
      </c>
      <c r="C536" t="s">
        <v>15</v>
      </c>
      <c r="D536">
        <v>2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P536" t="s">
        <v>432</v>
      </c>
      <c r="Q536" t="s">
        <v>435</v>
      </c>
    </row>
    <row r="537" spans="1:17">
      <c r="A537" t="s">
        <v>486</v>
      </c>
      <c r="B537" t="s">
        <v>420</v>
      </c>
      <c r="C537" t="s">
        <v>15</v>
      </c>
      <c r="D537">
        <v>2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P537" t="s">
        <v>432</v>
      </c>
      <c r="Q537" t="s">
        <v>435</v>
      </c>
    </row>
    <row r="538" spans="1:17">
      <c r="A538" t="s">
        <v>486</v>
      </c>
      <c r="B538" t="s">
        <v>424</v>
      </c>
      <c r="C538" t="s">
        <v>15</v>
      </c>
      <c r="D538">
        <v>2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P538" t="s">
        <v>432</v>
      </c>
      <c r="Q538" t="s">
        <v>435</v>
      </c>
    </row>
    <row r="539" spans="1:17">
      <c r="A539" t="s">
        <v>486</v>
      </c>
      <c r="B539" t="s">
        <v>417</v>
      </c>
      <c r="C539" t="s">
        <v>15</v>
      </c>
      <c r="D539">
        <v>2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P539" t="s">
        <v>432</v>
      </c>
      <c r="Q539" t="s">
        <v>435</v>
      </c>
    </row>
    <row r="540" spans="1:17">
      <c r="A540" t="s">
        <v>486</v>
      </c>
      <c r="B540" t="s">
        <v>418</v>
      </c>
      <c r="C540" t="s">
        <v>15</v>
      </c>
      <c r="D540">
        <v>2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P540" t="s">
        <v>432</v>
      </c>
      <c r="Q540" t="s">
        <v>435</v>
      </c>
    </row>
    <row r="541" spans="1:17">
      <c r="A541" t="s">
        <v>486</v>
      </c>
      <c r="B541" t="s">
        <v>419</v>
      </c>
      <c r="C541" t="s">
        <v>15</v>
      </c>
      <c r="D541">
        <v>2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P541" t="s">
        <v>432</v>
      </c>
      <c r="Q541" t="s">
        <v>435</v>
      </c>
    </row>
    <row r="542" spans="1:17">
      <c r="A542" t="s">
        <v>486</v>
      </c>
      <c r="B542" t="s">
        <v>423</v>
      </c>
      <c r="C542" t="s">
        <v>15</v>
      </c>
      <c r="D542">
        <v>2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P542" t="s">
        <v>432</v>
      </c>
      <c r="Q542" t="s">
        <v>435</v>
      </c>
    </row>
    <row r="543" spans="1:17">
      <c r="A543" t="s">
        <v>486</v>
      </c>
      <c r="B543" t="s">
        <v>421</v>
      </c>
      <c r="C543" t="s">
        <v>15</v>
      </c>
      <c r="D543">
        <v>2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P543" t="s">
        <v>432</v>
      </c>
      <c r="Q543" t="s">
        <v>435</v>
      </c>
    </row>
    <row r="544" spans="1:17">
      <c r="A544" t="s">
        <v>486</v>
      </c>
      <c r="B544" t="s">
        <v>425</v>
      </c>
      <c r="C544" t="s">
        <v>15</v>
      </c>
      <c r="D544">
        <v>2</v>
      </c>
      <c r="E544">
        <v>0.5</v>
      </c>
      <c r="F544">
        <v>0.5</v>
      </c>
      <c r="G544">
        <v>0.5</v>
      </c>
      <c r="H544">
        <v>0.5</v>
      </c>
      <c r="I544">
        <v>0.5</v>
      </c>
      <c r="J544">
        <v>0.5</v>
      </c>
      <c r="K544">
        <v>0.5</v>
      </c>
      <c r="L544">
        <v>0.5</v>
      </c>
      <c r="P544" t="s">
        <v>436</v>
      </c>
      <c r="Q544" t="s">
        <v>435</v>
      </c>
    </row>
    <row r="545" spans="1:19">
      <c r="A545" t="s">
        <v>486</v>
      </c>
      <c r="B545" t="s">
        <v>416</v>
      </c>
      <c r="C545" t="s">
        <v>414</v>
      </c>
      <c r="D545">
        <v>2</v>
      </c>
      <c r="E545">
        <v>2.5680000000000001</v>
      </c>
      <c r="F545">
        <v>2.5680000000000001</v>
      </c>
      <c r="G545">
        <v>2.5680000000000001</v>
      </c>
      <c r="H545">
        <v>2.5680000000000001</v>
      </c>
      <c r="I545">
        <v>2.5680000000000001</v>
      </c>
      <c r="J545">
        <v>2.5680000000000001</v>
      </c>
      <c r="K545">
        <v>2.5680000000000001</v>
      </c>
      <c r="L545">
        <v>2.5680000000000001</v>
      </c>
      <c r="P545" t="s">
        <v>432</v>
      </c>
      <c r="Q545" t="s">
        <v>435</v>
      </c>
      <c r="R545">
        <v>2.5680000000000001</v>
      </c>
      <c r="S545" t="s">
        <v>439</v>
      </c>
    </row>
    <row r="546" spans="1:19">
      <c r="A546" t="s">
        <v>486</v>
      </c>
      <c r="B546" t="s">
        <v>95</v>
      </c>
      <c r="C546" t="s">
        <v>414</v>
      </c>
      <c r="D546">
        <v>2</v>
      </c>
      <c r="E546">
        <v>1.5309999999999999</v>
      </c>
      <c r="F546">
        <v>1.5309999999999999</v>
      </c>
      <c r="G546">
        <v>1.5309999999999999</v>
      </c>
      <c r="H546">
        <v>1.5309999999999999</v>
      </c>
      <c r="I546">
        <v>1.5309999999999999</v>
      </c>
      <c r="J546">
        <v>1.5309999999999999</v>
      </c>
      <c r="K546">
        <v>1.5309999999999999</v>
      </c>
      <c r="L546">
        <v>1.5309999999999999</v>
      </c>
      <c r="P546" t="s">
        <v>432</v>
      </c>
      <c r="Q546" t="s">
        <v>435</v>
      </c>
      <c r="R546">
        <v>1.5309999999999999</v>
      </c>
      <c r="S546" t="s">
        <v>439</v>
      </c>
    </row>
    <row r="547" spans="1:19">
      <c r="A547" t="s">
        <v>486</v>
      </c>
      <c r="B547" t="s">
        <v>96</v>
      </c>
      <c r="C547" t="s">
        <v>414</v>
      </c>
      <c r="D547">
        <v>2</v>
      </c>
      <c r="E547">
        <v>1.651</v>
      </c>
      <c r="F547">
        <v>1.651</v>
      </c>
      <c r="G547">
        <v>1.651</v>
      </c>
      <c r="H547">
        <v>1.651</v>
      </c>
      <c r="I547">
        <v>1.651</v>
      </c>
      <c r="J547">
        <v>1.651</v>
      </c>
      <c r="K547">
        <v>1.651</v>
      </c>
      <c r="L547">
        <v>1.651</v>
      </c>
      <c r="P547" t="s">
        <v>432</v>
      </c>
      <c r="Q547" t="s">
        <v>435</v>
      </c>
      <c r="R547">
        <v>1.651</v>
      </c>
      <c r="S547" t="s">
        <v>439</v>
      </c>
    </row>
    <row r="548" spans="1:19">
      <c r="A548" t="s">
        <v>486</v>
      </c>
      <c r="B548" t="s">
        <v>422</v>
      </c>
      <c r="C548" t="s">
        <v>414</v>
      </c>
      <c r="D548">
        <v>2</v>
      </c>
      <c r="E548">
        <v>1.006</v>
      </c>
      <c r="F548">
        <v>1.006</v>
      </c>
      <c r="G548">
        <v>1.006</v>
      </c>
      <c r="H548">
        <v>1.006</v>
      </c>
      <c r="I548">
        <v>1.006</v>
      </c>
      <c r="J548">
        <v>1.006</v>
      </c>
      <c r="K548">
        <v>1.006</v>
      </c>
      <c r="L548">
        <v>1.006</v>
      </c>
      <c r="P548" t="s">
        <v>432</v>
      </c>
      <c r="Q548" t="s">
        <v>435</v>
      </c>
      <c r="R548">
        <v>1.006</v>
      </c>
      <c r="S548" t="s">
        <v>439</v>
      </c>
    </row>
    <row r="549" spans="1:19">
      <c r="A549" t="s">
        <v>486</v>
      </c>
      <c r="B549" t="s">
        <v>420</v>
      </c>
      <c r="C549" t="s">
        <v>414</v>
      </c>
      <c r="D549">
        <v>2</v>
      </c>
      <c r="E549">
        <v>1.006</v>
      </c>
      <c r="F549">
        <v>1.006</v>
      </c>
      <c r="G549">
        <v>1.006</v>
      </c>
      <c r="H549">
        <v>1.006</v>
      </c>
      <c r="I549">
        <v>1.006</v>
      </c>
      <c r="J549">
        <v>1.006</v>
      </c>
      <c r="K549">
        <v>1.006</v>
      </c>
      <c r="L549">
        <v>1.006</v>
      </c>
      <c r="P549" t="s">
        <v>432</v>
      </c>
      <c r="Q549" t="s">
        <v>435</v>
      </c>
      <c r="R549">
        <v>1.006</v>
      </c>
      <c r="S549" t="s">
        <v>439</v>
      </c>
    </row>
    <row r="550" spans="1:19">
      <c r="A550" t="s">
        <v>486</v>
      </c>
      <c r="B550" t="s">
        <v>424</v>
      </c>
      <c r="C550" t="s">
        <v>414</v>
      </c>
      <c r="D550">
        <v>2</v>
      </c>
      <c r="E550">
        <v>1.006</v>
      </c>
      <c r="F550">
        <v>1.006</v>
      </c>
      <c r="G550">
        <v>1.006</v>
      </c>
      <c r="H550">
        <v>1.006</v>
      </c>
      <c r="I550">
        <v>1.006</v>
      </c>
      <c r="J550">
        <v>1.006</v>
      </c>
      <c r="K550">
        <v>1.006</v>
      </c>
      <c r="L550">
        <v>1.006</v>
      </c>
      <c r="P550" t="s">
        <v>432</v>
      </c>
      <c r="Q550" t="s">
        <v>435</v>
      </c>
      <c r="R550">
        <v>1.006</v>
      </c>
      <c r="S550" t="s">
        <v>439</v>
      </c>
    </row>
    <row r="551" spans="1:19">
      <c r="A551" t="s">
        <v>486</v>
      </c>
      <c r="B551" t="s">
        <v>417</v>
      </c>
      <c r="C551" t="s">
        <v>414</v>
      </c>
      <c r="D551">
        <v>2</v>
      </c>
      <c r="E551">
        <v>2.5680000000000001</v>
      </c>
      <c r="F551">
        <v>2.5680000000000001</v>
      </c>
      <c r="G551">
        <v>2.5680000000000001</v>
      </c>
      <c r="H551">
        <v>2.5680000000000001</v>
      </c>
      <c r="I551">
        <v>2.5680000000000001</v>
      </c>
      <c r="J551">
        <v>2.5680000000000001</v>
      </c>
      <c r="K551">
        <v>2.5680000000000001</v>
      </c>
      <c r="L551">
        <v>2.5680000000000001</v>
      </c>
      <c r="P551" t="s">
        <v>432</v>
      </c>
      <c r="Q551" t="s">
        <v>435</v>
      </c>
      <c r="R551">
        <v>2.5680000000000001</v>
      </c>
      <c r="S551" t="s">
        <v>439</v>
      </c>
    </row>
    <row r="552" spans="1:19">
      <c r="A552" t="s">
        <v>486</v>
      </c>
      <c r="B552" t="s">
        <v>418</v>
      </c>
      <c r="C552" t="s">
        <v>414</v>
      </c>
      <c r="D552">
        <v>2</v>
      </c>
      <c r="E552">
        <v>1.8320000000000001</v>
      </c>
      <c r="F552">
        <v>1.8320000000000001</v>
      </c>
      <c r="G552">
        <v>1.8320000000000001</v>
      </c>
      <c r="H552">
        <v>1.8320000000000001</v>
      </c>
      <c r="I552">
        <v>1.8320000000000001</v>
      </c>
      <c r="J552">
        <v>1.8320000000000001</v>
      </c>
      <c r="K552">
        <v>1.8320000000000001</v>
      </c>
      <c r="L552">
        <v>1.8320000000000001</v>
      </c>
      <c r="P552" t="s">
        <v>432</v>
      </c>
      <c r="Q552" t="s">
        <v>435</v>
      </c>
      <c r="R552">
        <v>1.8320000000000001</v>
      </c>
      <c r="S552" t="s">
        <v>439</v>
      </c>
    </row>
    <row r="553" spans="1:19">
      <c r="A553" t="s">
        <v>486</v>
      </c>
      <c r="B553" t="s">
        <v>419</v>
      </c>
      <c r="C553" t="s">
        <v>414</v>
      </c>
      <c r="D553">
        <v>2</v>
      </c>
      <c r="E553">
        <v>1.006</v>
      </c>
      <c r="F553">
        <v>1.006</v>
      </c>
      <c r="G553">
        <v>1.006</v>
      </c>
      <c r="H553">
        <v>1.006</v>
      </c>
      <c r="I553">
        <v>1.006</v>
      </c>
      <c r="J553">
        <v>1.006</v>
      </c>
      <c r="K553">
        <v>1.006</v>
      </c>
      <c r="L553">
        <v>1.006</v>
      </c>
      <c r="P553" t="s">
        <v>432</v>
      </c>
      <c r="Q553" t="s">
        <v>435</v>
      </c>
      <c r="R553">
        <v>1.006</v>
      </c>
      <c r="S553" t="s">
        <v>439</v>
      </c>
    </row>
    <row r="554" spans="1:19">
      <c r="A554" t="s">
        <v>486</v>
      </c>
      <c r="B554" t="s">
        <v>423</v>
      </c>
      <c r="C554" t="s">
        <v>414</v>
      </c>
      <c r="D554">
        <v>2</v>
      </c>
      <c r="E554">
        <v>1.006</v>
      </c>
      <c r="F554">
        <v>1.006</v>
      </c>
      <c r="G554">
        <v>1.006</v>
      </c>
      <c r="H554">
        <v>1.006</v>
      </c>
      <c r="I554">
        <v>1.006</v>
      </c>
      <c r="J554">
        <v>1.006</v>
      </c>
      <c r="K554">
        <v>1.006</v>
      </c>
      <c r="L554">
        <v>1.006</v>
      </c>
      <c r="P554" t="s">
        <v>432</v>
      </c>
      <c r="Q554" t="s">
        <v>435</v>
      </c>
      <c r="R554">
        <v>1.006</v>
      </c>
      <c r="S554" t="s">
        <v>439</v>
      </c>
    </row>
    <row r="555" spans="1:19">
      <c r="A555" t="s">
        <v>486</v>
      </c>
      <c r="B555" t="s">
        <v>421</v>
      </c>
      <c r="C555" t="s">
        <v>414</v>
      </c>
      <c r="D555">
        <v>2</v>
      </c>
      <c r="E555">
        <v>1.006</v>
      </c>
      <c r="F555">
        <v>1.006</v>
      </c>
      <c r="G555">
        <v>1.006</v>
      </c>
      <c r="H555">
        <v>1.006</v>
      </c>
      <c r="I555">
        <v>1.006</v>
      </c>
      <c r="J555">
        <v>1.006</v>
      </c>
      <c r="K555">
        <v>1.006</v>
      </c>
      <c r="L555">
        <v>1.006</v>
      </c>
      <c r="P555" t="s">
        <v>432</v>
      </c>
      <c r="Q555" t="s">
        <v>435</v>
      </c>
      <c r="R555">
        <v>1.006</v>
      </c>
      <c r="S555" t="s">
        <v>439</v>
      </c>
    </row>
    <row r="556" spans="1:19">
      <c r="A556" t="s">
        <v>486</v>
      </c>
      <c r="B556" t="s">
        <v>425</v>
      </c>
      <c r="C556" t="s">
        <v>414</v>
      </c>
      <c r="D556">
        <v>2</v>
      </c>
      <c r="E556">
        <v>0.4</v>
      </c>
      <c r="F556">
        <v>0.4</v>
      </c>
      <c r="G556">
        <v>0.4</v>
      </c>
      <c r="H556">
        <v>0.4</v>
      </c>
      <c r="I556">
        <v>0.4</v>
      </c>
      <c r="J556">
        <v>0.4</v>
      </c>
      <c r="K556">
        <v>0.4</v>
      </c>
      <c r="L556">
        <v>0.4</v>
      </c>
      <c r="P556" t="s">
        <v>436</v>
      </c>
      <c r="Q556" t="s">
        <v>435</v>
      </c>
    </row>
    <row r="557" spans="1:19">
      <c r="A557" t="s">
        <v>486</v>
      </c>
      <c r="B557" t="s">
        <v>427</v>
      </c>
      <c r="C557" t="s">
        <v>193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</row>
    <row r="558" spans="1:19">
      <c r="A558" t="s">
        <v>486</v>
      </c>
      <c r="B558" t="s">
        <v>428</v>
      </c>
      <c r="C558" t="s">
        <v>257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</row>
    <row r="559" spans="1:19">
      <c r="A559" t="s">
        <v>486</v>
      </c>
      <c r="B559" t="s">
        <v>426</v>
      </c>
      <c r="C559" t="s">
        <v>15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P559" t="s">
        <v>437</v>
      </c>
    </row>
    <row r="560" spans="1:19">
      <c r="A560" t="s">
        <v>486</v>
      </c>
      <c r="B560" t="s">
        <v>426</v>
      </c>
      <c r="C560" t="s">
        <v>15</v>
      </c>
      <c r="D560">
        <v>2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P560" t="s">
        <v>437</v>
      </c>
    </row>
    <row r="561" spans="1:16">
      <c r="A561" t="s">
        <v>486</v>
      </c>
      <c r="B561" t="s">
        <v>426</v>
      </c>
      <c r="C561" t="s">
        <v>414</v>
      </c>
      <c r="D561">
        <v>2</v>
      </c>
      <c r="E561">
        <v>1.651</v>
      </c>
      <c r="F561">
        <v>1.651</v>
      </c>
      <c r="G561">
        <v>1.651</v>
      </c>
      <c r="H561">
        <v>1.651</v>
      </c>
      <c r="I561">
        <v>1.651</v>
      </c>
      <c r="J561">
        <v>1.651</v>
      </c>
      <c r="K561">
        <v>1.651</v>
      </c>
      <c r="L561">
        <v>1.651</v>
      </c>
      <c r="P561" t="s">
        <v>437</v>
      </c>
    </row>
    <row r="562" spans="1:16">
      <c r="A562" t="s">
        <v>486</v>
      </c>
      <c r="B562" t="s">
        <v>440</v>
      </c>
      <c r="C562" t="s">
        <v>15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</row>
    <row r="563" spans="1:16">
      <c r="A563" t="s">
        <v>486</v>
      </c>
      <c r="B563" t="s">
        <v>429</v>
      </c>
      <c r="C563" t="s">
        <v>15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</row>
    <row r="564" spans="1:16">
      <c r="A564" t="s">
        <v>486</v>
      </c>
      <c r="B564" t="s">
        <v>431</v>
      </c>
      <c r="C564" t="s">
        <v>15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</row>
    <row r="565" spans="1:16">
      <c r="A565" t="s">
        <v>486</v>
      </c>
      <c r="B565" t="s">
        <v>430</v>
      </c>
      <c r="C565" t="s">
        <v>15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</row>
    <row r="566" spans="1:16">
      <c r="A566" t="s">
        <v>486</v>
      </c>
      <c r="B566" t="s">
        <v>429</v>
      </c>
      <c r="C566" t="s">
        <v>15</v>
      </c>
      <c r="D566">
        <v>2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</row>
    <row r="567" spans="1:16">
      <c r="A567" t="s">
        <v>486</v>
      </c>
      <c r="B567" t="s">
        <v>431</v>
      </c>
      <c r="C567" t="s">
        <v>15</v>
      </c>
      <c r="D567">
        <v>2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</row>
    <row r="568" spans="1:16">
      <c r="A568" t="s">
        <v>486</v>
      </c>
      <c r="B568" t="s">
        <v>430</v>
      </c>
      <c r="C568" t="s">
        <v>15</v>
      </c>
      <c r="D568">
        <v>2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</row>
    <row r="569" spans="1:16">
      <c r="A569" t="s">
        <v>486</v>
      </c>
      <c r="B569" t="s">
        <v>429</v>
      </c>
      <c r="C569" t="s">
        <v>15</v>
      </c>
      <c r="D569">
        <v>3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</row>
    <row r="570" spans="1:16">
      <c r="A570" t="s">
        <v>486</v>
      </c>
      <c r="B570" t="s">
        <v>431</v>
      </c>
      <c r="C570" t="s">
        <v>15</v>
      </c>
      <c r="D570">
        <v>3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</row>
    <row r="571" spans="1:16">
      <c r="A571" t="s">
        <v>486</v>
      </c>
      <c r="B571" t="s">
        <v>430</v>
      </c>
      <c r="C571" t="s">
        <v>15</v>
      </c>
      <c r="D571">
        <v>3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</row>
    <row r="572" spans="1:16">
      <c r="A572" t="s">
        <v>486</v>
      </c>
      <c r="B572" t="s">
        <v>488</v>
      </c>
      <c r="C572" t="s">
        <v>138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</row>
    <row r="573" spans="1:16">
      <c r="A573" t="s">
        <v>486</v>
      </c>
      <c r="B573" t="s">
        <v>489</v>
      </c>
      <c r="C573" t="s">
        <v>138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</row>
    <row r="574" spans="1:16">
      <c r="A574" t="s">
        <v>486</v>
      </c>
      <c r="B574" t="s">
        <v>489</v>
      </c>
      <c r="C574" t="s">
        <v>138</v>
      </c>
      <c r="D574">
        <v>2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</row>
    <row r="575" spans="1:16">
      <c r="A575" s="5" t="s">
        <v>486</v>
      </c>
      <c r="B575" s="2" t="s">
        <v>490</v>
      </c>
      <c r="C575" t="s">
        <v>138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</row>
    <row r="576" spans="1:16">
      <c r="A576" t="s">
        <v>486</v>
      </c>
      <c r="B576" s="2" t="s">
        <v>500</v>
      </c>
      <c r="C576" t="s">
        <v>138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</row>
    <row r="577" spans="1:12">
      <c r="A577" s="5" t="s">
        <v>486</v>
      </c>
      <c r="B577" s="2" t="s">
        <v>499</v>
      </c>
      <c r="C577" t="s">
        <v>138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</row>
  </sheetData>
  <autoFilter ref="A5:S571" xr:uid="{00000000-0001-0000-1A00-000000000000}"/>
  <dataValidations count="1">
    <dataValidation type="list" allowBlank="1" showInputMessage="1" showErrorMessage="1" sqref="B306 B308:B310 B493 B23 B25:B27 B210 B576:B577" xr:uid="{00000000-0002-0000-1A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AG284"/>
  <sheetViews>
    <sheetView topLeftCell="A162" zoomScale="85" zoomScaleNormal="85" zoomScalePageLayoutView="85" workbookViewId="0">
      <selection activeCell="H186" sqref="H186"/>
    </sheetView>
  </sheetViews>
  <sheetFormatPr defaultColWidth="11.42578125" defaultRowHeight="15"/>
  <cols>
    <col min="1" max="1" width="18" customWidth="1"/>
    <col min="2" max="2" width="25.5703125" customWidth="1"/>
    <col min="3" max="9" width="15.42578125" customWidth="1"/>
    <col min="10" max="10" width="13.5703125" bestFit="1" customWidth="1"/>
    <col min="11" max="11" width="2" customWidth="1"/>
    <col min="12" max="12" width="20.42578125" bestFit="1" customWidth="1"/>
    <col min="13" max="13" width="30" bestFit="1" customWidth="1"/>
    <col min="14" max="14" width="26.42578125" bestFit="1" customWidth="1"/>
  </cols>
  <sheetData>
    <row r="1" spans="1:12">
      <c r="A1" t="s">
        <v>380</v>
      </c>
    </row>
    <row r="2" spans="1:12">
      <c r="A2" t="s">
        <v>2</v>
      </c>
    </row>
    <row r="3" spans="1:12">
      <c r="A3" t="s">
        <v>352</v>
      </c>
    </row>
    <row r="5" spans="1:12">
      <c r="A5" t="s">
        <v>11</v>
      </c>
      <c r="B5" t="s">
        <v>17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2">
      <c r="A6" t="s">
        <v>458</v>
      </c>
      <c r="B6" t="s">
        <v>95</v>
      </c>
      <c r="C6" s="16">
        <v>2030</v>
      </c>
      <c r="D6" s="16">
        <v>2030</v>
      </c>
      <c r="E6" s="16">
        <v>2030</v>
      </c>
      <c r="F6" s="16">
        <v>2030</v>
      </c>
      <c r="G6" s="16">
        <v>2030</v>
      </c>
      <c r="H6" s="16">
        <v>2030</v>
      </c>
      <c r="I6" s="16">
        <v>2030</v>
      </c>
      <c r="J6" s="16">
        <v>2030</v>
      </c>
      <c r="L6" s="2"/>
    </row>
    <row r="7" spans="1:12">
      <c r="A7" t="s">
        <v>458</v>
      </c>
      <c r="B7" t="s">
        <v>96</v>
      </c>
      <c r="C7" s="16">
        <v>2030</v>
      </c>
      <c r="D7" s="16">
        <v>2030</v>
      </c>
      <c r="E7" s="16">
        <v>2030</v>
      </c>
      <c r="F7" s="16">
        <v>2030</v>
      </c>
      <c r="G7" s="16">
        <v>2030</v>
      </c>
      <c r="H7" s="16">
        <v>2030</v>
      </c>
      <c r="I7" s="16">
        <v>2030</v>
      </c>
      <c r="J7" s="16">
        <v>2030</v>
      </c>
      <c r="L7" s="2"/>
    </row>
    <row r="8" spans="1:12">
      <c r="A8" t="s">
        <v>458</v>
      </c>
      <c r="B8" t="s">
        <v>97</v>
      </c>
      <c r="C8" s="16">
        <v>976.5</v>
      </c>
      <c r="D8" s="16">
        <v>976.5</v>
      </c>
      <c r="E8" s="16">
        <v>976.5</v>
      </c>
      <c r="F8" s="16">
        <v>976.5</v>
      </c>
      <c r="G8" s="16">
        <v>976.5</v>
      </c>
      <c r="H8" s="16">
        <v>976.5</v>
      </c>
      <c r="I8" s="16">
        <v>976.5</v>
      </c>
      <c r="J8" s="16">
        <v>976.5</v>
      </c>
    </row>
    <row r="9" spans="1:12">
      <c r="A9" t="s">
        <v>458</v>
      </c>
      <c r="B9" t="s">
        <v>98</v>
      </c>
      <c r="C9" s="16">
        <v>5670</v>
      </c>
      <c r="D9" s="16">
        <v>5481</v>
      </c>
      <c r="E9" s="16">
        <v>5323.5</v>
      </c>
      <c r="F9" s="16">
        <v>5166</v>
      </c>
      <c r="G9" s="16">
        <v>4977</v>
      </c>
      <c r="H9" s="16">
        <v>4788</v>
      </c>
      <c r="I9" s="16">
        <v>4756.5</v>
      </c>
      <c r="J9" s="16">
        <v>4725</v>
      </c>
      <c r="L9" s="2"/>
    </row>
    <row r="10" spans="1:12">
      <c r="A10" t="s">
        <v>458</v>
      </c>
      <c r="B10" t="s">
        <v>146</v>
      </c>
      <c r="C10" s="16">
        <v>3670</v>
      </c>
      <c r="D10" s="16">
        <v>3300</v>
      </c>
      <c r="E10" s="16">
        <v>3145</v>
      </c>
      <c r="F10" s="16">
        <v>2990</v>
      </c>
      <c r="G10" s="16">
        <v>2870</v>
      </c>
      <c r="H10" s="16">
        <v>2750</v>
      </c>
      <c r="I10" s="16">
        <v>2645</v>
      </c>
      <c r="J10" s="16">
        <v>2540</v>
      </c>
      <c r="L10" s="2"/>
    </row>
    <row r="11" spans="1:12">
      <c r="A11" t="s">
        <v>458</v>
      </c>
      <c r="B11" t="s">
        <v>127</v>
      </c>
      <c r="C11" s="16"/>
      <c r="D11" s="16"/>
      <c r="E11" s="16"/>
      <c r="F11" s="16"/>
      <c r="G11" s="16"/>
      <c r="H11" s="16"/>
      <c r="I11" s="16"/>
      <c r="J11" s="16"/>
      <c r="L11" s="2"/>
    </row>
    <row r="12" spans="1:12">
      <c r="A12" t="s">
        <v>458</v>
      </c>
      <c r="B12" t="s">
        <v>128</v>
      </c>
      <c r="C12" s="16"/>
      <c r="D12" s="16"/>
      <c r="E12" s="16"/>
      <c r="F12" s="16"/>
      <c r="G12" s="16"/>
      <c r="H12" s="16"/>
      <c r="I12" s="16"/>
      <c r="J12" s="16"/>
      <c r="L12" s="2"/>
    </row>
    <row r="13" spans="1:12">
      <c r="A13" t="s">
        <v>458</v>
      </c>
      <c r="B13" t="s">
        <v>139</v>
      </c>
      <c r="C13" s="16"/>
      <c r="D13" s="16"/>
      <c r="E13" s="16"/>
      <c r="F13" s="16"/>
      <c r="G13" s="16"/>
      <c r="H13" s="16"/>
      <c r="I13" s="16"/>
      <c r="J13" s="16"/>
      <c r="L13" s="2"/>
    </row>
    <row r="14" spans="1:12">
      <c r="A14" t="s">
        <v>458</v>
      </c>
      <c r="B14" t="s">
        <v>140</v>
      </c>
      <c r="C14" s="16"/>
      <c r="D14" s="16"/>
      <c r="E14" s="16"/>
      <c r="F14" s="16"/>
      <c r="G14" s="16"/>
      <c r="H14" s="16"/>
      <c r="I14" s="16"/>
      <c r="J14" s="16"/>
      <c r="L14" s="2"/>
    </row>
    <row r="15" spans="1:12">
      <c r="A15" t="s">
        <v>458</v>
      </c>
      <c r="B15" t="s">
        <v>126</v>
      </c>
      <c r="C15" s="16"/>
      <c r="D15" s="16"/>
      <c r="E15" s="16"/>
      <c r="F15" s="16"/>
      <c r="G15" s="16"/>
      <c r="H15" s="16"/>
      <c r="I15" s="16"/>
      <c r="J15" s="16"/>
      <c r="L15" s="2"/>
    </row>
    <row r="16" spans="1:12">
      <c r="A16" t="s">
        <v>458</v>
      </c>
      <c r="B16" t="s">
        <v>231</v>
      </c>
      <c r="C16" s="16">
        <v>1200</v>
      </c>
      <c r="D16" s="16">
        <v>1200</v>
      </c>
      <c r="E16" s="16">
        <v>1200</v>
      </c>
      <c r="F16" s="16">
        <v>1200</v>
      </c>
      <c r="G16" s="16">
        <v>1200</v>
      </c>
      <c r="H16" s="16">
        <v>1200</v>
      </c>
      <c r="I16" s="16">
        <v>1200</v>
      </c>
      <c r="J16" s="16">
        <v>1200</v>
      </c>
      <c r="L16" s="2"/>
    </row>
    <row r="17" spans="1:12" s="5" customFormat="1">
      <c r="A17" t="s">
        <v>458</v>
      </c>
      <c r="B17" t="s">
        <v>233</v>
      </c>
      <c r="C17" s="16">
        <v>1200</v>
      </c>
      <c r="D17" s="16">
        <v>1200</v>
      </c>
      <c r="E17" s="16">
        <v>1200</v>
      </c>
      <c r="F17" s="16">
        <v>1200</v>
      </c>
      <c r="G17" s="16">
        <v>1200</v>
      </c>
      <c r="H17" s="16">
        <v>1200</v>
      </c>
      <c r="I17" s="16">
        <v>1200</v>
      </c>
      <c r="J17" s="16">
        <v>1200</v>
      </c>
      <c r="K17"/>
      <c r="L17" s="2"/>
    </row>
    <row r="18" spans="1:12" s="5" customFormat="1">
      <c r="A18" t="s">
        <v>458</v>
      </c>
      <c r="B18" t="s">
        <v>129</v>
      </c>
      <c r="C18" s="16"/>
      <c r="D18" s="16"/>
      <c r="E18" s="16"/>
      <c r="F18" s="16"/>
      <c r="G18" s="16"/>
      <c r="H18" s="16"/>
      <c r="I18" s="16"/>
      <c r="J18" s="16"/>
      <c r="K18"/>
      <c r="L18" s="2"/>
    </row>
    <row r="19" spans="1:12">
      <c r="A19" t="s">
        <v>458</v>
      </c>
      <c r="B19" t="s">
        <v>177</v>
      </c>
      <c r="C19" s="16"/>
      <c r="D19" s="16"/>
      <c r="E19" s="16"/>
      <c r="F19" s="16"/>
      <c r="G19" s="16"/>
      <c r="H19" s="16"/>
      <c r="I19" s="16"/>
      <c r="J19" s="16"/>
      <c r="L19" s="2"/>
    </row>
    <row r="20" spans="1:12">
      <c r="A20" t="s">
        <v>458</v>
      </c>
      <c r="B20" s="2" t="s">
        <v>121</v>
      </c>
      <c r="C20" s="16">
        <v>3.6184210526315788</v>
      </c>
      <c r="D20" s="16">
        <v>3.5667293233082704</v>
      </c>
      <c r="E20" s="16">
        <v>3.5150375939849625</v>
      </c>
      <c r="F20" s="16">
        <v>3.4633458646616537</v>
      </c>
      <c r="G20" s="16">
        <v>3.4116541353383454</v>
      </c>
      <c r="H20" s="16">
        <v>3.3599624060150379</v>
      </c>
      <c r="I20" s="16">
        <v>3.3082706766917291</v>
      </c>
      <c r="J20" s="16">
        <v>3.2565789473684212</v>
      </c>
    </row>
    <row r="21" spans="1:12">
      <c r="A21" t="s">
        <v>458</v>
      </c>
      <c r="B21" s="2" t="s">
        <v>122</v>
      </c>
      <c r="C21" s="16">
        <v>5.1691729323308264</v>
      </c>
      <c r="D21" s="16">
        <v>4.7630236305048319</v>
      </c>
      <c r="E21" s="16">
        <v>4.3568743286788392</v>
      </c>
      <c r="F21" s="16">
        <v>3.9507250268528447</v>
      </c>
      <c r="G21" s="16">
        <v>3.544575725026851</v>
      </c>
      <c r="H21" s="16">
        <v>3.1384264232008574</v>
      </c>
      <c r="I21" s="16">
        <v>2.7322771213748638</v>
      </c>
      <c r="J21" s="16">
        <v>2.3261278195488702</v>
      </c>
    </row>
    <row r="22" spans="1:12">
      <c r="A22" t="s">
        <v>458</v>
      </c>
      <c r="B22" s="2" t="s">
        <v>162</v>
      </c>
      <c r="C22" s="16">
        <v>8.9952311839104304</v>
      </c>
      <c r="D22" s="16">
        <v>8.8093001984538368</v>
      </c>
      <c r="E22" s="16">
        <v>8.6233692129972468</v>
      </c>
      <c r="F22" s="16">
        <v>8.4374382275406532</v>
      </c>
      <c r="G22" s="16">
        <v>8.2515072420840614</v>
      </c>
      <c r="H22" s="16">
        <v>8.0655762566274696</v>
      </c>
      <c r="I22" s="16">
        <v>7.8796452711708769</v>
      </c>
      <c r="J22" s="16">
        <v>7.6937142857142851</v>
      </c>
    </row>
    <row r="23" spans="1:12">
      <c r="A23" t="s">
        <v>458</v>
      </c>
      <c r="B23" s="2" t="s">
        <v>116</v>
      </c>
      <c r="C23" s="16">
        <v>19.366404036215354</v>
      </c>
      <c r="D23" s="16">
        <v>18.966101418796832</v>
      </c>
      <c r="E23" s="16">
        <v>18.565798801378314</v>
      </c>
      <c r="F23" s="16">
        <v>18.165496183959792</v>
      </c>
      <c r="G23" s="16">
        <v>17.765193566541274</v>
      </c>
      <c r="H23" s="16">
        <v>17.364890949122756</v>
      </c>
      <c r="I23" s="16">
        <v>16.964588331704235</v>
      </c>
      <c r="J23" s="16">
        <v>16.564285714285717</v>
      </c>
    </row>
    <row r="24" spans="1:12">
      <c r="A24" t="s">
        <v>458</v>
      </c>
      <c r="B24" t="s">
        <v>52</v>
      </c>
      <c r="C24" s="16">
        <v>17.079933469028656</v>
      </c>
      <c r="D24" s="16">
        <v>15.749295743132432</v>
      </c>
      <c r="E24" s="16">
        <v>14.418658017236213</v>
      </c>
      <c r="F24" s="16">
        <v>13.088020291339991</v>
      </c>
      <c r="G24" s="16">
        <v>11.757382565443766</v>
      </c>
      <c r="H24" s="16">
        <v>10.426744839547545</v>
      </c>
      <c r="I24" s="16">
        <v>9.096107113651323</v>
      </c>
      <c r="J24" s="16">
        <v>7.7654693877551022</v>
      </c>
      <c r="L24" s="2"/>
    </row>
    <row r="25" spans="1:12">
      <c r="A25" t="s">
        <v>458</v>
      </c>
      <c r="B25" t="s">
        <v>117</v>
      </c>
      <c r="C25" s="16">
        <v>6.1224489795918364</v>
      </c>
      <c r="D25" s="16">
        <v>6.0641399416909616</v>
      </c>
      <c r="E25" s="16">
        <v>6.0058309037900877</v>
      </c>
      <c r="F25" s="16">
        <v>5.9475218658892128</v>
      </c>
      <c r="G25" s="16">
        <v>5.889212827988338</v>
      </c>
      <c r="H25" s="16">
        <v>5.8309037900874632</v>
      </c>
      <c r="I25" s="16">
        <v>5.7725947521865892</v>
      </c>
      <c r="J25" s="16">
        <v>5.7142857142857144</v>
      </c>
      <c r="L25" s="2"/>
    </row>
    <row r="26" spans="1:12">
      <c r="A26" t="s">
        <v>458</v>
      </c>
      <c r="B26" t="s">
        <v>118</v>
      </c>
      <c r="C26" s="16">
        <v>8.6179062463894454</v>
      </c>
      <c r="D26" s="16">
        <v>8.4499254706661713</v>
      </c>
      <c r="E26" s="16">
        <v>8.2819446949428972</v>
      </c>
      <c r="F26" s="16">
        <v>8.1139639192196249</v>
      </c>
      <c r="G26" s="16">
        <v>7.9459831434963508</v>
      </c>
      <c r="H26" s="16">
        <v>7.7780023677730767</v>
      </c>
      <c r="I26" s="16">
        <v>7.6100215920498036</v>
      </c>
      <c r="J26" s="16">
        <v>7.4420408163265304</v>
      </c>
      <c r="L26" s="2"/>
    </row>
    <row r="27" spans="1:12">
      <c r="A27" t="s">
        <v>458</v>
      </c>
      <c r="B27" t="s">
        <v>51</v>
      </c>
      <c r="C27" s="16">
        <v>10.303617571059432</v>
      </c>
      <c r="D27" s="16">
        <v>10.035991140642302</v>
      </c>
      <c r="E27" s="16">
        <v>9.7683647102251747</v>
      </c>
      <c r="F27" s="16">
        <v>9.5007382798080471</v>
      </c>
      <c r="G27" s="16">
        <v>9.2331118493909194</v>
      </c>
      <c r="H27" s="16">
        <v>8.9654854189737918</v>
      </c>
      <c r="I27" s="16">
        <v>8.6978589885566624</v>
      </c>
      <c r="J27" s="16">
        <v>8.4302325581395348</v>
      </c>
      <c r="L27" s="2"/>
    </row>
    <row r="28" spans="1:12">
      <c r="A28" t="s">
        <v>458</v>
      </c>
      <c r="B28" t="s">
        <v>50</v>
      </c>
      <c r="C28" s="16">
        <v>9.3669250645994833</v>
      </c>
      <c r="D28" s="16">
        <v>9.2331118493909177</v>
      </c>
      <c r="E28" s="16">
        <v>9.0992986341823556</v>
      </c>
      <c r="F28" s="16">
        <v>8.96548541897379</v>
      </c>
      <c r="G28" s="16">
        <v>8.8316722037652262</v>
      </c>
      <c r="H28" s="16">
        <v>8.6978589885566642</v>
      </c>
      <c r="I28" s="16">
        <v>8.5640457733480986</v>
      </c>
      <c r="J28" s="16">
        <v>8.4302325581395348</v>
      </c>
      <c r="L28" s="2"/>
    </row>
    <row r="29" spans="1:12">
      <c r="A29" t="s">
        <v>458</v>
      </c>
      <c r="B29" t="s">
        <v>99</v>
      </c>
      <c r="C29" s="16">
        <v>2890</v>
      </c>
      <c r="D29" s="16">
        <v>2620</v>
      </c>
      <c r="E29" s="16">
        <v>2495</v>
      </c>
      <c r="F29" s="16">
        <v>2370</v>
      </c>
      <c r="G29" s="16">
        <v>2260</v>
      </c>
      <c r="H29" s="16">
        <v>2150</v>
      </c>
      <c r="I29" s="16">
        <v>2050</v>
      </c>
      <c r="J29" s="16">
        <v>1950</v>
      </c>
      <c r="L29" s="2"/>
    </row>
    <row r="30" spans="1:12">
      <c r="A30" t="s">
        <v>458</v>
      </c>
      <c r="B30" t="s">
        <v>100</v>
      </c>
      <c r="C30" s="16">
        <v>1600</v>
      </c>
      <c r="D30" s="16">
        <v>1600</v>
      </c>
      <c r="E30" s="16">
        <v>1600</v>
      </c>
      <c r="F30" s="16">
        <v>1600</v>
      </c>
      <c r="G30" s="16">
        <v>1600</v>
      </c>
      <c r="H30" s="16">
        <v>1600</v>
      </c>
      <c r="I30" s="16">
        <v>1600</v>
      </c>
      <c r="J30" s="16">
        <v>1600</v>
      </c>
    </row>
    <row r="31" spans="1:12">
      <c r="A31" t="s">
        <v>458</v>
      </c>
      <c r="B31" t="s">
        <v>101</v>
      </c>
      <c r="C31" s="16">
        <v>2000</v>
      </c>
      <c r="D31" s="16">
        <v>2000</v>
      </c>
      <c r="E31" s="16">
        <v>2000</v>
      </c>
      <c r="F31" s="16">
        <v>2000</v>
      </c>
      <c r="G31" s="16">
        <v>2000</v>
      </c>
      <c r="H31" s="16">
        <v>2000</v>
      </c>
      <c r="I31" s="16">
        <v>2000</v>
      </c>
      <c r="J31" s="16">
        <v>2000</v>
      </c>
      <c r="L31" s="2"/>
    </row>
    <row r="32" spans="1:12">
      <c r="A32" t="s">
        <v>458</v>
      </c>
      <c r="B32" t="s">
        <v>102</v>
      </c>
      <c r="C32" s="16">
        <v>350</v>
      </c>
      <c r="D32" s="16">
        <v>350</v>
      </c>
      <c r="E32" s="16">
        <v>350</v>
      </c>
      <c r="F32" s="16">
        <v>350</v>
      </c>
      <c r="G32" s="16">
        <v>350</v>
      </c>
      <c r="H32" s="16">
        <v>350</v>
      </c>
      <c r="I32" s="16">
        <v>350</v>
      </c>
      <c r="J32" s="16">
        <v>350</v>
      </c>
      <c r="L32" s="2"/>
    </row>
    <row r="33" spans="1:12">
      <c r="A33" t="s">
        <v>458</v>
      </c>
      <c r="B33" t="s">
        <v>103</v>
      </c>
      <c r="C33" s="16">
        <v>775</v>
      </c>
      <c r="D33" s="16">
        <v>775</v>
      </c>
      <c r="E33" s="16">
        <v>775</v>
      </c>
      <c r="F33" s="16">
        <v>775</v>
      </c>
      <c r="G33" s="16">
        <v>775</v>
      </c>
      <c r="H33" s="16">
        <v>775</v>
      </c>
      <c r="I33" s="16">
        <v>775</v>
      </c>
      <c r="J33" s="16">
        <v>775</v>
      </c>
      <c r="L33" s="2"/>
    </row>
    <row r="34" spans="1:12">
      <c r="A34" t="s">
        <v>458</v>
      </c>
      <c r="B34" t="s">
        <v>104</v>
      </c>
      <c r="C34" s="16">
        <v>3500</v>
      </c>
      <c r="D34" s="16">
        <v>3400</v>
      </c>
      <c r="E34" s="16">
        <v>3300</v>
      </c>
      <c r="F34" s="16">
        <v>3200</v>
      </c>
      <c r="G34" s="16">
        <v>3105</v>
      </c>
      <c r="H34" s="16">
        <v>3010</v>
      </c>
      <c r="I34" s="16">
        <v>2920</v>
      </c>
      <c r="J34" s="16">
        <v>2830</v>
      </c>
      <c r="L34" s="2"/>
    </row>
    <row r="35" spans="1:12">
      <c r="A35" t="s">
        <v>458</v>
      </c>
      <c r="B35" t="s">
        <v>148</v>
      </c>
      <c r="C35" s="16">
        <v>130</v>
      </c>
      <c r="D35" s="16">
        <v>130</v>
      </c>
      <c r="E35" s="16">
        <v>130</v>
      </c>
      <c r="F35" s="16">
        <v>130</v>
      </c>
      <c r="G35" s="16">
        <v>130</v>
      </c>
      <c r="H35" s="16">
        <v>130</v>
      </c>
      <c r="I35" s="16">
        <v>130</v>
      </c>
      <c r="J35" s="16">
        <v>130</v>
      </c>
      <c r="L35" s="2"/>
    </row>
    <row r="36" spans="1:12">
      <c r="A36" t="s">
        <v>458</v>
      </c>
      <c r="B36" s="2" t="s">
        <v>176</v>
      </c>
      <c r="C36" s="16">
        <v>3570</v>
      </c>
      <c r="D36" s="16">
        <v>2680</v>
      </c>
      <c r="E36" s="16">
        <v>2380</v>
      </c>
      <c r="F36" s="16">
        <v>2080</v>
      </c>
      <c r="G36" s="16">
        <v>1975</v>
      </c>
      <c r="H36" s="16">
        <v>1870</v>
      </c>
      <c r="I36" s="16">
        <v>1805</v>
      </c>
      <c r="J36" s="16">
        <v>1740</v>
      </c>
    </row>
    <row r="37" spans="1:12">
      <c r="A37" t="s">
        <v>458</v>
      </c>
      <c r="B37" s="2" t="s">
        <v>105</v>
      </c>
      <c r="C37" s="16">
        <v>2890</v>
      </c>
      <c r="D37" s="16">
        <v>2620</v>
      </c>
      <c r="E37" s="16">
        <v>2495</v>
      </c>
      <c r="F37" s="16">
        <v>2370</v>
      </c>
      <c r="G37" s="16">
        <v>2260</v>
      </c>
      <c r="H37" s="16">
        <v>2150</v>
      </c>
      <c r="I37" s="16">
        <v>2050</v>
      </c>
      <c r="J37" s="16">
        <v>1950</v>
      </c>
    </row>
    <row r="38" spans="1:12">
      <c r="A38" t="s">
        <v>458</v>
      </c>
      <c r="B38" s="2" t="s">
        <v>106</v>
      </c>
      <c r="C38" s="16">
        <v>1600</v>
      </c>
      <c r="D38" s="16">
        <v>1600</v>
      </c>
      <c r="E38" s="16">
        <v>1600</v>
      </c>
      <c r="F38" s="16">
        <v>1600</v>
      </c>
      <c r="G38" s="16">
        <v>1600</v>
      </c>
      <c r="H38" s="16">
        <v>1600</v>
      </c>
      <c r="I38" s="16">
        <v>1600</v>
      </c>
      <c r="J38" s="16">
        <v>1600</v>
      </c>
    </row>
    <row r="39" spans="1:12">
      <c r="A39" t="s">
        <v>458</v>
      </c>
      <c r="B39" s="2" t="s">
        <v>107</v>
      </c>
      <c r="C39" s="16">
        <v>2000</v>
      </c>
      <c r="D39" s="16">
        <v>2000</v>
      </c>
      <c r="E39" s="16">
        <v>2000</v>
      </c>
      <c r="F39" s="16">
        <v>2000</v>
      </c>
      <c r="G39" s="16">
        <v>2000</v>
      </c>
      <c r="H39" s="16">
        <v>2000</v>
      </c>
      <c r="I39" s="16">
        <v>2000</v>
      </c>
      <c r="J39" s="16">
        <v>2000</v>
      </c>
    </row>
    <row r="40" spans="1:12">
      <c r="A40" t="s">
        <v>458</v>
      </c>
      <c r="B40" s="2" t="s">
        <v>108</v>
      </c>
      <c r="C40" s="16">
        <v>800</v>
      </c>
      <c r="D40" s="16">
        <v>800</v>
      </c>
      <c r="E40" s="16">
        <v>800</v>
      </c>
      <c r="F40" s="16">
        <v>800</v>
      </c>
      <c r="G40" s="16">
        <v>800</v>
      </c>
      <c r="H40" s="16">
        <v>800</v>
      </c>
      <c r="I40" s="16">
        <v>800</v>
      </c>
      <c r="J40" s="16">
        <v>800</v>
      </c>
    </row>
    <row r="41" spans="1:12">
      <c r="A41" t="s">
        <v>458</v>
      </c>
      <c r="B41" s="2" t="s">
        <v>109</v>
      </c>
      <c r="C41" s="16">
        <v>775</v>
      </c>
      <c r="D41" s="16">
        <v>775</v>
      </c>
      <c r="E41" s="16">
        <v>775</v>
      </c>
      <c r="F41" s="16">
        <v>775</v>
      </c>
      <c r="G41" s="16">
        <v>775</v>
      </c>
      <c r="H41" s="16">
        <v>775</v>
      </c>
      <c r="I41" s="16">
        <v>775</v>
      </c>
      <c r="J41" s="16">
        <v>775</v>
      </c>
    </row>
    <row r="42" spans="1:12">
      <c r="A42" t="s">
        <v>458</v>
      </c>
      <c r="B42" s="2" t="s">
        <v>110</v>
      </c>
      <c r="C42" s="16">
        <v>1700</v>
      </c>
      <c r="D42" s="16">
        <v>1700</v>
      </c>
      <c r="E42" s="16">
        <v>1700</v>
      </c>
      <c r="F42" s="16">
        <v>1700</v>
      </c>
      <c r="G42" s="16">
        <v>1700</v>
      </c>
      <c r="H42" s="16">
        <v>1700</v>
      </c>
      <c r="I42" s="16">
        <v>1700</v>
      </c>
      <c r="J42" s="16">
        <v>1700</v>
      </c>
    </row>
    <row r="43" spans="1:12">
      <c r="A43" t="s">
        <v>458</v>
      </c>
      <c r="B43" s="2" t="s">
        <v>111</v>
      </c>
      <c r="C43" s="16">
        <v>800</v>
      </c>
      <c r="D43" s="16">
        <v>780</v>
      </c>
      <c r="E43" s="16">
        <v>755</v>
      </c>
      <c r="F43" s="16">
        <v>730</v>
      </c>
      <c r="G43" s="16">
        <v>710</v>
      </c>
      <c r="H43" s="16">
        <v>690</v>
      </c>
      <c r="I43" s="16">
        <v>670</v>
      </c>
      <c r="J43" s="16">
        <v>650</v>
      </c>
    </row>
    <row r="44" spans="1:12">
      <c r="A44" t="s">
        <v>458</v>
      </c>
      <c r="B44" s="2" t="s">
        <v>160</v>
      </c>
      <c r="C44" s="16">
        <v>1100</v>
      </c>
      <c r="D44" s="16">
        <v>900</v>
      </c>
      <c r="E44" s="16">
        <v>855</v>
      </c>
      <c r="F44" s="16">
        <v>810</v>
      </c>
      <c r="G44" s="16">
        <v>785</v>
      </c>
      <c r="H44" s="16">
        <v>760</v>
      </c>
      <c r="I44" s="16">
        <v>740</v>
      </c>
      <c r="J44" s="16">
        <v>720</v>
      </c>
    </row>
    <row r="45" spans="1:12">
      <c r="A45" t="s">
        <v>458</v>
      </c>
      <c r="B45" t="s">
        <v>161</v>
      </c>
      <c r="C45" s="16">
        <v>1310</v>
      </c>
      <c r="D45" s="16">
        <v>1100</v>
      </c>
      <c r="E45" s="16">
        <v>1045</v>
      </c>
      <c r="F45" s="16">
        <v>990</v>
      </c>
      <c r="G45" s="16">
        <v>960</v>
      </c>
      <c r="H45" s="16">
        <v>930</v>
      </c>
      <c r="I45" s="16">
        <v>905</v>
      </c>
      <c r="J45" s="16">
        <v>880</v>
      </c>
    </row>
    <row r="46" spans="1:12">
      <c r="A46" t="s">
        <v>458</v>
      </c>
      <c r="B46" t="s">
        <v>147</v>
      </c>
      <c r="C46" s="16">
        <v>495</v>
      </c>
      <c r="D46" s="16">
        <v>495</v>
      </c>
      <c r="E46" s="16">
        <v>495</v>
      </c>
      <c r="F46" s="16">
        <v>495</v>
      </c>
      <c r="G46" s="16">
        <v>495</v>
      </c>
      <c r="H46" s="16">
        <v>495</v>
      </c>
      <c r="I46" s="16">
        <v>495</v>
      </c>
      <c r="J46" s="16">
        <v>495</v>
      </c>
    </row>
    <row r="47" spans="1:12">
      <c r="A47" t="s">
        <v>458</v>
      </c>
      <c r="B47" t="s">
        <v>94</v>
      </c>
      <c r="C47">
        <v>1600</v>
      </c>
      <c r="D47">
        <v>1600</v>
      </c>
      <c r="E47">
        <v>1600</v>
      </c>
      <c r="F47">
        <v>1600</v>
      </c>
      <c r="G47">
        <v>1600</v>
      </c>
      <c r="H47">
        <v>1600</v>
      </c>
      <c r="I47">
        <v>1600</v>
      </c>
      <c r="J47">
        <v>1600</v>
      </c>
    </row>
    <row r="48" spans="1:12">
      <c r="A48" t="s">
        <v>458</v>
      </c>
      <c r="B48" t="s">
        <v>93</v>
      </c>
      <c r="C48">
        <v>1900</v>
      </c>
      <c r="D48">
        <v>1900</v>
      </c>
      <c r="E48">
        <v>1900</v>
      </c>
      <c r="F48">
        <v>1900</v>
      </c>
      <c r="G48">
        <v>1900</v>
      </c>
      <c r="H48">
        <v>1900</v>
      </c>
      <c r="I48">
        <v>1900</v>
      </c>
      <c r="J48">
        <v>1900</v>
      </c>
    </row>
    <row r="49" spans="1:12">
      <c r="A49" t="s">
        <v>458</v>
      </c>
      <c r="B49" t="s">
        <v>13</v>
      </c>
      <c r="C49">
        <v>650</v>
      </c>
      <c r="D49">
        <v>635.71428571428567</v>
      </c>
      <c r="E49">
        <v>621.42857142857144</v>
      </c>
      <c r="F49">
        <v>607.14285714285711</v>
      </c>
      <c r="G49">
        <v>592.85714285714289</v>
      </c>
      <c r="H49">
        <v>578.57142857142856</v>
      </c>
      <c r="I49">
        <v>564.28571428571433</v>
      </c>
      <c r="J49">
        <v>550</v>
      </c>
      <c r="L49" s="2"/>
    </row>
    <row r="50" spans="1:12">
      <c r="A50" t="s">
        <v>458</v>
      </c>
      <c r="B50" t="s">
        <v>14</v>
      </c>
      <c r="C50">
        <v>6000</v>
      </c>
      <c r="D50">
        <v>6000</v>
      </c>
      <c r="E50">
        <v>6000</v>
      </c>
      <c r="F50">
        <v>6000</v>
      </c>
      <c r="G50">
        <v>6000</v>
      </c>
      <c r="H50">
        <v>6000</v>
      </c>
      <c r="I50">
        <v>6000</v>
      </c>
      <c r="J50">
        <v>6000</v>
      </c>
      <c r="L50" s="2"/>
    </row>
    <row r="51" spans="1:12">
      <c r="A51" t="s">
        <v>458</v>
      </c>
      <c r="B51" t="s">
        <v>459</v>
      </c>
      <c r="C51">
        <v>6000</v>
      </c>
      <c r="D51">
        <v>6000</v>
      </c>
      <c r="E51">
        <v>6000</v>
      </c>
      <c r="F51">
        <v>6000</v>
      </c>
      <c r="G51">
        <v>6000</v>
      </c>
      <c r="H51">
        <v>6000</v>
      </c>
      <c r="I51">
        <v>6000</v>
      </c>
      <c r="J51">
        <v>6000</v>
      </c>
      <c r="L51" s="2"/>
    </row>
    <row r="52" spans="1:12">
      <c r="A52" t="s">
        <v>458</v>
      </c>
      <c r="B52" t="s">
        <v>49</v>
      </c>
      <c r="C52" s="16">
        <v>650</v>
      </c>
      <c r="D52" s="16">
        <v>650</v>
      </c>
      <c r="E52" s="16">
        <v>650</v>
      </c>
      <c r="F52" s="16">
        <v>650</v>
      </c>
      <c r="G52" s="16">
        <v>650</v>
      </c>
      <c r="H52" s="16">
        <v>650</v>
      </c>
      <c r="I52" s="16">
        <v>650</v>
      </c>
      <c r="J52" s="16">
        <v>650</v>
      </c>
      <c r="L52" s="2"/>
    </row>
    <row r="53" spans="1:12">
      <c r="A53" t="s">
        <v>458</v>
      </c>
      <c r="B53" t="s">
        <v>150</v>
      </c>
      <c r="C53" s="16">
        <v>2890</v>
      </c>
      <c r="D53" s="16">
        <v>2620</v>
      </c>
      <c r="E53" s="16">
        <v>2495</v>
      </c>
      <c r="F53" s="16">
        <v>2370</v>
      </c>
      <c r="G53" s="16">
        <v>2260</v>
      </c>
      <c r="H53" s="16">
        <v>2150</v>
      </c>
      <c r="I53" s="16">
        <v>2050</v>
      </c>
      <c r="J53" s="16">
        <v>1950</v>
      </c>
      <c r="L53" s="2"/>
    </row>
    <row r="54" spans="1:12">
      <c r="A54" t="s">
        <v>458</v>
      </c>
      <c r="B54" t="s">
        <v>124</v>
      </c>
      <c r="C54" s="16">
        <v>7.7829608938547503</v>
      </c>
      <c r="D54" s="16">
        <v>7.5808060654429381</v>
      </c>
      <c r="E54" s="16">
        <v>7.3786512370311259</v>
      </c>
      <c r="F54" s="16">
        <v>7.1764964086193146</v>
      </c>
      <c r="G54" s="16">
        <v>6.9743415802075024</v>
      </c>
      <c r="H54" s="16">
        <v>6.7721867517956902</v>
      </c>
      <c r="I54" s="16">
        <v>6.5700319233838789</v>
      </c>
      <c r="J54" s="16">
        <v>6.3678770949720667</v>
      </c>
      <c r="L54" s="2"/>
    </row>
    <row r="55" spans="1:12">
      <c r="A55" t="s">
        <v>458</v>
      </c>
      <c r="B55" t="s">
        <v>53</v>
      </c>
      <c r="C55" s="16">
        <v>7.0754189944134076</v>
      </c>
      <c r="D55" s="16">
        <v>6.9743415802075015</v>
      </c>
      <c r="E55" s="16">
        <v>6.8732641660015954</v>
      </c>
      <c r="F55" s="16">
        <v>6.7721867517956902</v>
      </c>
      <c r="G55" s="16">
        <v>6.6711093375897841</v>
      </c>
      <c r="H55" s="16">
        <v>6.570031923383878</v>
      </c>
      <c r="I55" s="16">
        <v>6.4689545091779728</v>
      </c>
      <c r="J55" s="16">
        <v>6.3678770949720667</v>
      </c>
      <c r="L55" s="2"/>
    </row>
    <row r="56" spans="1:12">
      <c r="A56" t="s">
        <v>458</v>
      </c>
      <c r="B56" t="s">
        <v>125</v>
      </c>
      <c r="C56" s="16">
        <v>12.735754189944133</v>
      </c>
      <c r="D56" s="16">
        <v>11.917027134876296</v>
      </c>
      <c r="E56" s="16">
        <v>11.09830007980846</v>
      </c>
      <c r="F56" s="16">
        <v>10.279573024740623</v>
      </c>
      <c r="G56" s="16">
        <v>9.4608459696727856</v>
      </c>
      <c r="H56" s="16">
        <v>8.6421189146049482</v>
      </c>
      <c r="I56" s="16">
        <v>7.8233918595371117</v>
      </c>
      <c r="J56" s="16">
        <v>7.0046648044692752</v>
      </c>
      <c r="L56" s="2"/>
    </row>
    <row r="57" spans="1:12">
      <c r="A57" t="s">
        <v>458</v>
      </c>
      <c r="B57" t="s">
        <v>119</v>
      </c>
      <c r="C57" s="16">
        <v>4.1847826086956514</v>
      </c>
      <c r="D57" s="16">
        <v>4.1249999999999991</v>
      </c>
      <c r="E57" s="16">
        <v>4.0652173913043477</v>
      </c>
      <c r="F57" s="16">
        <v>4.0054347826086953</v>
      </c>
      <c r="G57" s="16">
        <v>3.945652173913043</v>
      </c>
      <c r="H57" s="16">
        <v>3.8858695652173907</v>
      </c>
      <c r="I57" s="16">
        <v>3.8260869565217388</v>
      </c>
      <c r="J57" s="16">
        <v>3.7663043478260869</v>
      </c>
      <c r="L57" s="2"/>
    </row>
    <row r="58" spans="1:12">
      <c r="A58" t="s">
        <v>458</v>
      </c>
      <c r="B58" t="s">
        <v>120</v>
      </c>
      <c r="C58" s="16">
        <v>5.9782608695652177</v>
      </c>
      <c r="D58" s="16">
        <v>5.8928571428571423</v>
      </c>
      <c r="E58" s="16">
        <v>5.8074534161490678</v>
      </c>
      <c r="F58" s="16">
        <v>5.7220496894409933</v>
      </c>
      <c r="G58" s="16">
        <v>5.6366459627329188</v>
      </c>
      <c r="H58" s="16">
        <v>5.5512422360248443</v>
      </c>
      <c r="I58" s="16">
        <v>5.465838509316769</v>
      </c>
      <c r="J58" s="16">
        <v>5.3804347826086953</v>
      </c>
      <c r="L58" s="2"/>
    </row>
    <row r="59" spans="1:12">
      <c r="A59" t="s">
        <v>458</v>
      </c>
      <c r="B59" t="s">
        <v>55</v>
      </c>
      <c r="C59" s="16">
        <v>77.333333333333343</v>
      </c>
      <c r="D59" s="16">
        <v>71.347755102040821</v>
      </c>
      <c r="E59" s="16">
        <v>65.362176870748314</v>
      </c>
      <c r="F59" s="16">
        <v>59.376598639455786</v>
      </c>
      <c r="G59" s="16">
        <v>53.391020408163271</v>
      </c>
      <c r="H59" s="16">
        <v>47.40544217687075</v>
      </c>
      <c r="I59" s="16">
        <v>41.419863945578228</v>
      </c>
      <c r="J59" s="16">
        <v>35.434285714285714</v>
      </c>
      <c r="L59" s="2"/>
    </row>
    <row r="60" spans="1:12">
      <c r="A60" t="s">
        <v>458</v>
      </c>
      <c r="B60" t="s">
        <v>114</v>
      </c>
      <c r="C60" s="16">
        <v>146.66666666666666</v>
      </c>
      <c r="D60" s="16">
        <v>129.79689795918364</v>
      </c>
      <c r="E60" s="16">
        <v>112.92712925170068</v>
      </c>
      <c r="F60" s="16">
        <v>96.057360544217673</v>
      </c>
      <c r="G60" s="16">
        <v>79.187591836734683</v>
      </c>
      <c r="H60" s="16">
        <v>62.317823129251693</v>
      </c>
      <c r="I60" s="16">
        <v>45.448054421768703</v>
      </c>
      <c r="J60" s="16">
        <v>28.578285714285716</v>
      </c>
    </row>
    <row r="61" spans="1:12">
      <c r="A61" t="s">
        <v>458</v>
      </c>
      <c r="B61" t="s">
        <v>54</v>
      </c>
      <c r="C61" s="16">
        <v>48</v>
      </c>
      <c r="D61" s="16">
        <v>44.002448979591833</v>
      </c>
      <c r="E61" s="16">
        <v>40.004897959183673</v>
      </c>
      <c r="F61" s="16">
        <v>36.007346938775513</v>
      </c>
      <c r="G61" s="16">
        <v>32.009795918367345</v>
      </c>
      <c r="H61" s="16">
        <v>28.012244897959185</v>
      </c>
      <c r="I61" s="16">
        <v>24.014693877551021</v>
      </c>
      <c r="J61" s="16">
        <v>20.017142857142858</v>
      </c>
    </row>
    <row r="62" spans="1:12">
      <c r="A62" t="s">
        <v>458</v>
      </c>
      <c r="B62" t="s">
        <v>115</v>
      </c>
      <c r="C62" s="16">
        <v>72</v>
      </c>
      <c r="D62" s="16">
        <v>65.520979591836735</v>
      </c>
      <c r="E62" s="16">
        <v>59.04195918367347</v>
      </c>
      <c r="F62" s="16">
        <v>52.562938775510197</v>
      </c>
      <c r="G62" s="16">
        <v>46.083918367346939</v>
      </c>
      <c r="H62" s="16">
        <v>39.604897959183674</v>
      </c>
      <c r="I62" s="16">
        <v>33.125877551020409</v>
      </c>
      <c r="J62" s="16">
        <v>26.646857142857144</v>
      </c>
    </row>
    <row r="63" spans="1:12">
      <c r="A63" t="s">
        <v>458</v>
      </c>
      <c r="B63" t="s">
        <v>145</v>
      </c>
      <c r="C63" s="16">
        <v>0.01</v>
      </c>
      <c r="D63" s="16">
        <v>0.01</v>
      </c>
      <c r="E63" s="16">
        <v>0.01</v>
      </c>
      <c r="F63" s="16">
        <v>0.01</v>
      </c>
      <c r="G63" s="16">
        <v>0.01</v>
      </c>
      <c r="H63" s="16">
        <v>0.01</v>
      </c>
      <c r="I63" s="16">
        <v>0.01</v>
      </c>
      <c r="J63" s="16">
        <v>0.01</v>
      </c>
    </row>
    <row r="64" spans="1:12">
      <c r="A64" t="s">
        <v>458</v>
      </c>
      <c r="B64" t="s">
        <v>87</v>
      </c>
      <c r="C64" s="16">
        <v>3514</v>
      </c>
      <c r="D64" s="16">
        <v>3188</v>
      </c>
      <c r="E64" s="16">
        <v>2964</v>
      </c>
      <c r="F64" s="16">
        <v>2740</v>
      </c>
      <c r="G64" s="16">
        <v>2506</v>
      </c>
      <c r="H64" s="16">
        <v>2374</v>
      </c>
      <c r="I64" s="16">
        <v>2145</v>
      </c>
      <c r="J64" s="16">
        <v>2028</v>
      </c>
      <c r="L64" s="2"/>
    </row>
    <row r="65" spans="1:33">
      <c r="A65" t="s">
        <v>458</v>
      </c>
      <c r="B65" t="s">
        <v>88</v>
      </c>
      <c r="C65" s="16">
        <v>9112</v>
      </c>
      <c r="D65" s="16">
        <v>8588</v>
      </c>
      <c r="E65" s="16">
        <v>8264</v>
      </c>
      <c r="F65" s="16">
        <v>7989.9999999999991</v>
      </c>
      <c r="G65" s="16">
        <v>7623.9999999999991</v>
      </c>
      <c r="H65" s="16">
        <v>7268</v>
      </c>
      <c r="I65" s="16">
        <v>6973</v>
      </c>
      <c r="J65" s="16">
        <v>6795</v>
      </c>
      <c r="M65" s="2"/>
    </row>
    <row r="66" spans="1:33">
      <c r="A66" t="s">
        <v>458</v>
      </c>
      <c r="B66" t="s">
        <v>92</v>
      </c>
      <c r="C66" s="16">
        <v>5250</v>
      </c>
      <c r="D66" s="16">
        <v>4970</v>
      </c>
      <c r="E66" s="16">
        <v>4720</v>
      </c>
      <c r="F66" s="16">
        <v>4470</v>
      </c>
      <c r="G66" s="16">
        <v>4245</v>
      </c>
      <c r="H66" s="16">
        <v>4020</v>
      </c>
      <c r="I66" s="16">
        <v>3815</v>
      </c>
      <c r="J66" s="16">
        <v>3610</v>
      </c>
      <c r="K66" s="17"/>
      <c r="L66" s="2"/>
    </row>
    <row r="67" spans="1:33">
      <c r="A67" t="s">
        <v>458</v>
      </c>
      <c r="B67" t="s">
        <v>89</v>
      </c>
      <c r="C67" s="16">
        <v>2200</v>
      </c>
      <c r="D67" s="16">
        <v>2200</v>
      </c>
      <c r="E67" s="16">
        <v>2200</v>
      </c>
      <c r="F67" s="16">
        <v>2200</v>
      </c>
      <c r="G67" s="16">
        <v>2200</v>
      </c>
      <c r="H67" s="16">
        <v>2200</v>
      </c>
      <c r="I67" s="16">
        <v>2200</v>
      </c>
      <c r="J67" s="16">
        <v>2200</v>
      </c>
      <c r="K67" s="17"/>
      <c r="L67" s="2"/>
    </row>
    <row r="68" spans="1:33">
      <c r="A68" t="s">
        <v>458</v>
      </c>
      <c r="B68" t="s">
        <v>90</v>
      </c>
      <c r="C68" s="16">
        <v>4400</v>
      </c>
      <c r="D68" s="16">
        <v>4480</v>
      </c>
      <c r="E68" s="16">
        <v>4490</v>
      </c>
      <c r="F68" s="16">
        <v>4500</v>
      </c>
      <c r="G68" s="16">
        <v>4500</v>
      </c>
      <c r="H68" s="16">
        <v>4500</v>
      </c>
      <c r="I68" s="16">
        <v>4500</v>
      </c>
      <c r="J68" s="16">
        <v>4500</v>
      </c>
      <c r="L68" s="5"/>
    </row>
    <row r="69" spans="1:33">
      <c r="A69" t="s">
        <v>458</v>
      </c>
      <c r="B69" t="s">
        <v>91</v>
      </c>
      <c r="C69" s="16">
        <v>9890</v>
      </c>
      <c r="D69" s="16">
        <v>5095</v>
      </c>
      <c r="E69" s="16">
        <v>4442.5</v>
      </c>
      <c r="F69" s="16">
        <v>3790</v>
      </c>
      <c r="G69" s="16">
        <v>3082.5</v>
      </c>
      <c r="H69" s="16">
        <v>2375</v>
      </c>
      <c r="I69" s="16">
        <v>2237.5</v>
      </c>
      <c r="J69" s="16">
        <v>2100</v>
      </c>
    </row>
    <row r="70" spans="1:33">
      <c r="A70" t="s">
        <v>458</v>
      </c>
      <c r="B70" t="s">
        <v>158</v>
      </c>
      <c r="C70" s="16">
        <v>1020</v>
      </c>
      <c r="D70" s="16">
        <v>610.5</v>
      </c>
      <c r="E70" s="16">
        <v>514</v>
      </c>
      <c r="F70" s="16">
        <v>450</v>
      </c>
      <c r="G70" s="16">
        <v>380</v>
      </c>
      <c r="H70" s="16">
        <v>327</v>
      </c>
      <c r="I70" s="16">
        <v>295.5</v>
      </c>
      <c r="J70" s="16">
        <v>267</v>
      </c>
      <c r="L70" s="2"/>
    </row>
    <row r="71" spans="1:33">
      <c r="A71" t="s">
        <v>458</v>
      </c>
      <c r="B71" t="s">
        <v>159</v>
      </c>
      <c r="C71" s="16">
        <v>1020</v>
      </c>
      <c r="D71" s="16">
        <v>610.5</v>
      </c>
      <c r="E71" s="16">
        <v>514</v>
      </c>
      <c r="F71" s="16">
        <v>450</v>
      </c>
      <c r="G71" s="16">
        <v>380</v>
      </c>
      <c r="H71" s="16">
        <v>327</v>
      </c>
      <c r="I71" s="16">
        <v>295.5</v>
      </c>
      <c r="J71" s="16">
        <v>267</v>
      </c>
      <c r="L71" s="2"/>
    </row>
    <row r="72" spans="1:33">
      <c r="A72" t="s">
        <v>458</v>
      </c>
      <c r="B72" t="s">
        <v>81</v>
      </c>
      <c r="C72" s="16">
        <v>1020</v>
      </c>
      <c r="D72" s="16">
        <v>610.5</v>
      </c>
      <c r="E72" s="16">
        <v>514</v>
      </c>
      <c r="F72" s="16">
        <v>450</v>
      </c>
      <c r="G72" s="16">
        <v>380</v>
      </c>
      <c r="H72" s="16">
        <v>327</v>
      </c>
      <c r="I72" s="16">
        <v>295.5</v>
      </c>
      <c r="J72" s="16">
        <v>267</v>
      </c>
      <c r="L72" s="2"/>
    </row>
    <row r="73" spans="1:33">
      <c r="A73" t="s">
        <v>458</v>
      </c>
      <c r="B73" t="s">
        <v>80</v>
      </c>
      <c r="C73" s="16">
        <v>1020</v>
      </c>
      <c r="D73" s="16">
        <v>610.5</v>
      </c>
      <c r="E73" s="16">
        <v>514</v>
      </c>
      <c r="F73" s="16">
        <v>450</v>
      </c>
      <c r="G73" s="16">
        <v>380</v>
      </c>
      <c r="H73" s="16">
        <v>327</v>
      </c>
      <c r="I73" s="16">
        <v>295.5</v>
      </c>
      <c r="J73" s="16">
        <v>267</v>
      </c>
      <c r="L73" s="2"/>
    </row>
    <row r="74" spans="1:33">
      <c r="A74" t="s">
        <v>458</v>
      </c>
      <c r="B74" t="s">
        <v>82</v>
      </c>
      <c r="C74" s="16">
        <v>1020</v>
      </c>
      <c r="D74" s="16">
        <v>610.5</v>
      </c>
      <c r="E74" s="16">
        <v>514</v>
      </c>
      <c r="F74" s="16">
        <v>450</v>
      </c>
      <c r="G74" s="16">
        <v>380</v>
      </c>
      <c r="H74" s="16">
        <v>327</v>
      </c>
      <c r="I74" s="16">
        <v>295.5</v>
      </c>
      <c r="J74" s="16">
        <v>267</v>
      </c>
      <c r="L74" s="2"/>
      <c r="AB74" s="49"/>
      <c r="AC74" s="49"/>
      <c r="AD74" s="49"/>
      <c r="AE74" s="49"/>
      <c r="AF74" s="49"/>
      <c r="AG74" s="49"/>
    </row>
    <row r="75" spans="1:33">
      <c r="A75" t="s">
        <v>458</v>
      </c>
      <c r="B75" t="s">
        <v>151</v>
      </c>
      <c r="C75" s="16">
        <v>3500</v>
      </c>
      <c r="D75" s="16">
        <v>2636.6666666666665</v>
      </c>
      <c r="E75" s="16">
        <v>2200</v>
      </c>
      <c r="F75" s="16">
        <v>1936</v>
      </c>
      <c r="G75" s="16">
        <v>1800</v>
      </c>
      <c r="H75" s="16">
        <v>1710</v>
      </c>
      <c r="I75" s="16">
        <v>1641.6</v>
      </c>
      <c r="J75" s="16">
        <v>1592.3519999999999</v>
      </c>
      <c r="L75" s="2"/>
      <c r="AB75" s="49"/>
    </row>
    <row r="76" spans="1:33">
      <c r="A76" t="s">
        <v>458</v>
      </c>
      <c r="B76" t="s">
        <v>152</v>
      </c>
      <c r="C76" s="16">
        <v>2975</v>
      </c>
      <c r="D76" s="16">
        <v>2241.1666666666665</v>
      </c>
      <c r="E76" s="16">
        <v>1870</v>
      </c>
      <c r="F76" s="16">
        <v>1645.6</v>
      </c>
      <c r="G76" s="16">
        <v>1530</v>
      </c>
      <c r="H76" s="16">
        <v>1453.5</v>
      </c>
      <c r="I76" s="16">
        <v>1395.36</v>
      </c>
      <c r="J76" s="16">
        <v>1353.4991999999997</v>
      </c>
      <c r="L76" s="2"/>
      <c r="AB76" s="49"/>
    </row>
    <row r="77" spans="1:33">
      <c r="A77" t="s">
        <v>458</v>
      </c>
      <c r="B77" t="s">
        <v>153</v>
      </c>
      <c r="C77" s="16">
        <v>4024.9999999999995</v>
      </c>
      <c r="D77" s="16">
        <v>3032.1666666666661</v>
      </c>
      <c r="E77" s="16">
        <v>2530</v>
      </c>
      <c r="F77" s="16">
        <v>2226.3999999999996</v>
      </c>
      <c r="G77" s="16">
        <v>2070</v>
      </c>
      <c r="H77" s="16">
        <v>1966.4999999999998</v>
      </c>
      <c r="I77" s="16">
        <v>1887.8399999999997</v>
      </c>
      <c r="J77" s="16">
        <v>1831.2047999999998</v>
      </c>
      <c r="L77" s="5"/>
      <c r="AB77" s="49"/>
    </row>
    <row r="78" spans="1:33">
      <c r="A78" t="s">
        <v>458</v>
      </c>
      <c r="B78" t="s">
        <v>84</v>
      </c>
      <c r="C78" s="16">
        <v>1250</v>
      </c>
      <c r="D78" s="16">
        <v>1150</v>
      </c>
      <c r="E78" s="16">
        <v>1060</v>
      </c>
      <c r="F78" s="16">
        <v>1000</v>
      </c>
      <c r="G78" s="16">
        <v>965</v>
      </c>
      <c r="H78" s="16">
        <v>940</v>
      </c>
      <c r="I78" s="16">
        <v>915</v>
      </c>
      <c r="J78" s="16">
        <v>900</v>
      </c>
      <c r="L78" s="2"/>
      <c r="AB78" s="49"/>
    </row>
    <row r="79" spans="1:33">
      <c r="A79" t="s">
        <v>458</v>
      </c>
      <c r="B79" t="s">
        <v>83</v>
      </c>
      <c r="C79" s="16">
        <v>1250</v>
      </c>
      <c r="D79" s="16">
        <v>1150</v>
      </c>
      <c r="E79" s="16">
        <v>1060</v>
      </c>
      <c r="F79" s="16">
        <v>1000</v>
      </c>
      <c r="G79" s="16">
        <v>965</v>
      </c>
      <c r="H79" s="16">
        <v>940</v>
      </c>
      <c r="I79" s="16">
        <v>915</v>
      </c>
      <c r="J79" s="16">
        <v>900</v>
      </c>
      <c r="L79" s="2"/>
    </row>
    <row r="80" spans="1:33">
      <c r="A80" t="s">
        <v>458</v>
      </c>
      <c r="B80" t="s">
        <v>85</v>
      </c>
      <c r="C80" s="16">
        <v>1250</v>
      </c>
      <c r="D80" s="16">
        <v>1150</v>
      </c>
      <c r="E80" s="16">
        <v>1060</v>
      </c>
      <c r="F80" s="16">
        <v>1000</v>
      </c>
      <c r="G80" s="16">
        <v>965</v>
      </c>
      <c r="H80" s="16">
        <v>940</v>
      </c>
      <c r="I80" s="16">
        <v>915</v>
      </c>
      <c r="J80" s="16">
        <v>900</v>
      </c>
    </row>
    <row r="81" spans="1:28">
      <c r="A81" t="s">
        <v>458</v>
      </c>
      <c r="B81" t="s">
        <v>112</v>
      </c>
      <c r="C81" s="16">
        <v>800</v>
      </c>
      <c r="D81" s="16">
        <v>685</v>
      </c>
      <c r="E81" s="16">
        <v>500</v>
      </c>
      <c r="F81" s="16">
        <v>363</v>
      </c>
      <c r="G81" s="16">
        <v>325</v>
      </c>
      <c r="H81" s="16">
        <v>296</v>
      </c>
      <c r="I81" s="16">
        <v>267</v>
      </c>
      <c r="J81" s="16">
        <v>248</v>
      </c>
      <c r="L81" s="2"/>
    </row>
    <row r="82" spans="1:28">
      <c r="A82" t="s">
        <v>458</v>
      </c>
      <c r="B82" t="s">
        <v>113</v>
      </c>
      <c r="C82" s="16">
        <v>3570</v>
      </c>
      <c r="D82" s="16">
        <v>2680</v>
      </c>
      <c r="E82" s="16">
        <v>2380</v>
      </c>
      <c r="F82" s="16">
        <v>2080</v>
      </c>
      <c r="G82" s="16">
        <v>1975</v>
      </c>
      <c r="H82" s="16">
        <v>1870</v>
      </c>
      <c r="I82" s="16">
        <v>1805</v>
      </c>
      <c r="J82" s="16">
        <v>1740</v>
      </c>
      <c r="L82" s="5"/>
    </row>
    <row r="83" spans="1:28">
      <c r="A83" t="s">
        <v>458</v>
      </c>
      <c r="B83" t="s">
        <v>149</v>
      </c>
      <c r="C83" s="16">
        <v>492</v>
      </c>
      <c r="D83" s="16">
        <v>421</v>
      </c>
      <c r="E83" s="16">
        <v>310</v>
      </c>
      <c r="F83" s="16">
        <v>234</v>
      </c>
      <c r="G83" s="16">
        <v>208</v>
      </c>
      <c r="H83" s="16">
        <v>190</v>
      </c>
      <c r="I83" s="16">
        <v>172</v>
      </c>
      <c r="J83" s="16">
        <v>160</v>
      </c>
      <c r="L83" s="5"/>
    </row>
    <row r="84" spans="1:28">
      <c r="A84" t="s">
        <v>458</v>
      </c>
      <c r="B84" t="s">
        <v>179</v>
      </c>
      <c r="C84" s="16">
        <v>5630</v>
      </c>
      <c r="D84" s="16">
        <v>5560</v>
      </c>
      <c r="E84" s="16">
        <v>5490</v>
      </c>
      <c r="F84" s="16">
        <v>5420</v>
      </c>
      <c r="G84" s="16">
        <v>5350</v>
      </c>
      <c r="H84" s="16">
        <v>5280</v>
      </c>
      <c r="I84" s="16">
        <v>5210</v>
      </c>
      <c r="J84" s="16">
        <v>5140</v>
      </c>
      <c r="L84" s="2"/>
    </row>
    <row r="85" spans="1:28">
      <c r="A85" t="s">
        <v>458</v>
      </c>
      <c r="B85" t="s">
        <v>180</v>
      </c>
      <c r="C85" s="16">
        <v>5630</v>
      </c>
      <c r="D85" s="16">
        <v>5560</v>
      </c>
      <c r="E85" s="16">
        <v>5490</v>
      </c>
      <c r="F85" s="16">
        <v>5420</v>
      </c>
      <c r="G85" s="16">
        <v>5350</v>
      </c>
      <c r="H85" s="16">
        <v>5280</v>
      </c>
      <c r="I85" s="16">
        <v>5210</v>
      </c>
      <c r="J85" s="16">
        <v>5140</v>
      </c>
      <c r="L85" s="2"/>
    </row>
    <row r="86" spans="1:28">
      <c r="A86" t="s">
        <v>458</v>
      </c>
      <c r="B86" t="s">
        <v>205</v>
      </c>
      <c r="C86" s="16">
        <v>195</v>
      </c>
      <c r="D86" s="16">
        <v>195</v>
      </c>
      <c r="E86" s="16">
        <v>195</v>
      </c>
      <c r="F86" s="16">
        <v>195</v>
      </c>
      <c r="G86" s="16">
        <v>195</v>
      </c>
      <c r="H86" s="16">
        <v>195</v>
      </c>
      <c r="I86" s="16">
        <v>195</v>
      </c>
      <c r="J86" s="16">
        <v>195</v>
      </c>
      <c r="L86" s="2"/>
    </row>
    <row r="87" spans="1:28">
      <c r="A87" t="s">
        <v>458</v>
      </c>
      <c r="B87" t="s">
        <v>192</v>
      </c>
      <c r="C87" s="16">
        <v>976.5</v>
      </c>
      <c r="D87" s="16">
        <v>976.5</v>
      </c>
      <c r="E87" s="16">
        <v>976.5</v>
      </c>
      <c r="F87" s="16">
        <v>976.5</v>
      </c>
      <c r="G87" s="16">
        <v>976.5</v>
      </c>
      <c r="H87" s="16">
        <v>976.5</v>
      </c>
      <c r="I87" s="16">
        <v>976.5</v>
      </c>
      <c r="J87" s="16">
        <v>976.5</v>
      </c>
      <c r="L87" s="2"/>
    </row>
    <row r="88" spans="1:28">
      <c r="A88" t="s">
        <v>458</v>
      </c>
      <c r="B88" t="s">
        <v>187</v>
      </c>
      <c r="C88" s="16">
        <v>2890</v>
      </c>
      <c r="D88" s="16">
        <v>2620</v>
      </c>
      <c r="E88" s="16">
        <v>2495</v>
      </c>
      <c r="F88" s="16">
        <v>2370</v>
      </c>
      <c r="G88" s="16">
        <v>2260</v>
      </c>
      <c r="H88" s="16">
        <v>2150</v>
      </c>
      <c r="I88" s="16">
        <v>2050</v>
      </c>
      <c r="J88" s="16">
        <v>1950</v>
      </c>
      <c r="L88" s="2"/>
      <c r="AB88" s="49"/>
    </row>
    <row r="89" spans="1:28">
      <c r="A89" t="s">
        <v>458</v>
      </c>
      <c r="B89" t="s">
        <v>191</v>
      </c>
      <c r="C89" s="16">
        <v>3670</v>
      </c>
      <c r="D89" s="16">
        <v>3300</v>
      </c>
      <c r="E89" s="16">
        <v>3145</v>
      </c>
      <c r="F89" s="16">
        <v>2990</v>
      </c>
      <c r="G89" s="16">
        <v>2870</v>
      </c>
      <c r="H89" s="16">
        <v>2750</v>
      </c>
      <c r="I89" s="16">
        <v>2645</v>
      </c>
      <c r="J89" s="16">
        <v>2540</v>
      </c>
      <c r="L89" s="2"/>
    </row>
    <row r="90" spans="1:28">
      <c r="A90" t="s">
        <v>458</v>
      </c>
      <c r="B90" t="s">
        <v>188</v>
      </c>
      <c r="C90" s="16">
        <v>1600</v>
      </c>
      <c r="D90" s="16">
        <v>1600</v>
      </c>
      <c r="E90" s="16">
        <v>1600</v>
      </c>
      <c r="F90" s="16">
        <v>1600</v>
      </c>
      <c r="G90" s="16">
        <v>1600</v>
      </c>
      <c r="H90" s="16">
        <v>1600</v>
      </c>
      <c r="I90" s="16">
        <v>1600</v>
      </c>
      <c r="J90" s="16">
        <v>1600</v>
      </c>
      <c r="L90" s="2"/>
    </row>
    <row r="91" spans="1:28">
      <c r="A91" t="s">
        <v>458</v>
      </c>
      <c r="B91" t="s">
        <v>189</v>
      </c>
      <c r="C91" s="16">
        <v>2000</v>
      </c>
      <c r="D91" s="16">
        <v>2000</v>
      </c>
      <c r="E91" s="16">
        <v>2000</v>
      </c>
      <c r="F91" s="16">
        <v>2000</v>
      </c>
      <c r="G91" s="16">
        <v>2000</v>
      </c>
      <c r="H91" s="16">
        <v>2000</v>
      </c>
      <c r="I91" s="16">
        <v>2000</v>
      </c>
      <c r="J91" s="16">
        <v>2000</v>
      </c>
      <c r="L91" s="5"/>
    </row>
    <row r="92" spans="1:28">
      <c r="A92" t="s">
        <v>458</v>
      </c>
      <c r="B92" t="s">
        <v>190</v>
      </c>
      <c r="C92" s="16">
        <v>2030</v>
      </c>
      <c r="D92" s="16">
        <v>2030</v>
      </c>
      <c r="E92" s="16">
        <v>2030</v>
      </c>
      <c r="F92" s="16">
        <v>2030</v>
      </c>
      <c r="G92" s="16">
        <v>2030</v>
      </c>
      <c r="H92" s="16">
        <v>2030</v>
      </c>
      <c r="I92" s="16">
        <v>2030</v>
      </c>
      <c r="J92" s="16">
        <v>2030</v>
      </c>
      <c r="L92" s="2"/>
    </row>
    <row r="93" spans="1:28">
      <c r="A93" t="s">
        <v>458</v>
      </c>
      <c r="B93" t="s">
        <v>213</v>
      </c>
      <c r="C93" s="16">
        <v>2030</v>
      </c>
      <c r="D93" s="16">
        <v>2030</v>
      </c>
      <c r="E93" s="16">
        <v>2030</v>
      </c>
      <c r="F93" s="16">
        <v>2030</v>
      </c>
      <c r="G93" s="16">
        <v>2030</v>
      </c>
      <c r="H93" s="16">
        <v>2030</v>
      </c>
      <c r="I93" s="16">
        <v>2030</v>
      </c>
      <c r="J93" s="16">
        <v>2030</v>
      </c>
      <c r="M93" s="2"/>
    </row>
    <row r="94" spans="1:28">
      <c r="A94" t="s">
        <v>458</v>
      </c>
      <c r="B94" t="s">
        <v>214</v>
      </c>
      <c r="C94" s="16">
        <v>800</v>
      </c>
      <c r="D94" s="16">
        <v>800</v>
      </c>
      <c r="E94" s="16">
        <v>800</v>
      </c>
      <c r="F94" s="16">
        <v>800</v>
      </c>
      <c r="G94" s="16">
        <v>800</v>
      </c>
      <c r="H94" s="16">
        <v>800</v>
      </c>
      <c r="I94" s="16">
        <v>800</v>
      </c>
      <c r="J94" s="16">
        <v>800</v>
      </c>
      <c r="L94" s="2"/>
    </row>
    <row r="95" spans="1:28">
      <c r="A95" t="s">
        <v>458</v>
      </c>
      <c r="B95" t="s">
        <v>215</v>
      </c>
      <c r="C95" s="16">
        <v>773</v>
      </c>
      <c r="D95" s="16">
        <v>773</v>
      </c>
      <c r="E95" s="16">
        <v>773</v>
      </c>
      <c r="F95" s="16">
        <v>773</v>
      </c>
      <c r="G95" s="16">
        <v>773</v>
      </c>
      <c r="H95" s="16">
        <v>773</v>
      </c>
      <c r="I95" s="16">
        <v>773</v>
      </c>
      <c r="J95" s="16">
        <v>773</v>
      </c>
      <c r="L95" s="5"/>
    </row>
    <row r="96" spans="1:28">
      <c r="A96" t="s">
        <v>458</v>
      </c>
      <c r="B96" s="15" t="s">
        <v>216</v>
      </c>
      <c r="C96" s="16">
        <v>800</v>
      </c>
      <c r="D96" s="16">
        <v>780</v>
      </c>
      <c r="E96" s="16">
        <v>755</v>
      </c>
      <c r="F96" s="16">
        <v>730</v>
      </c>
      <c r="G96" s="16">
        <v>710</v>
      </c>
      <c r="H96" s="16">
        <v>690</v>
      </c>
      <c r="I96" s="16">
        <v>670</v>
      </c>
      <c r="J96" s="16">
        <v>650</v>
      </c>
      <c r="L96" s="5"/>
    </row>
    <row r="97" spans="1:12">
      <c r="A97" t="s">
        <v>458</v>
      </c>
      <c r="B97" s="15" t="s">
        <v>217</v>
      </c>
      <c r="C97" s="16">
        <v>1700</v>
      </c>
      <c r="D97" s="16">
        <v>1650</v>
      </c>
      <c r="E97" s="16">
        <v>1600</v>
      </c>
      <c r="F97" s="16">
        <v>1550</v>
      </c>
      <c r="G97" s="16">
        <v>1505</v>
      </c>
      <c r="H97" s="16">
        <v>1460</v>
      </c>
      <c r="I97" s="16">
        <v>1415</v>
      </c>
      <c r="J97" s="16">
        <v>1370</v>
      </c>
    </row>
    <row r="98" spans="1:12">
      <c r="A98" t="s">
        <v>458</v>
      </c>
      <c r="B98" s="15" t="s">
        <v>196</v>
      </c>
      <c r="C98" s="16">
        <v>5250</v>
      </c>
      <c r="D98" s="16">
        <v>4970</v>
      </c>
      <c r="E98" s="16">
        <v>4720</v>
      </c>
      <c r="F98" s="16">
        <v>4470</v>
      </c>
      <c r="G98" s="16">
        <v>4245</v>
      </c>
      <c r="H98" s="16">
        <v>4020</v>
      </c>
      <c r="I98" s="16">
        <v>3815</v>
      </c>
      <c r="J98" s="16">
        <v>3610</v>
      </c>
      <c r="L98" s="5"/>
    </row>
    <row r="99" spans="1:12">
      <c r="A99" t="s">
        <v>458</v>
      </c>
      <c r="B99" s="15" t="s">
        <v>206</v>
      </c>
      <c r="C99" s="16">
        <v>495</v>
      </c>
      <c r="D99" s="16">
        <v>495</v>
      </c>
      <c r="E99" s="16">
        <v>495</v>
      </c>
      <c r="F99" s="16">
        <v>495</v>
      </c>
      <c r="G99" s="16">
        <v>495</v>
      </c>
      <c r="H99" s="16">
        <v>495</v>
      </c>
      <c r="I99" s="16">
        <v>495</v>
      </c>
      <c r="J99" s="16">
        <v>495</v>
      </c>
      <c r="L99" s="5"/>
    </row>
    <row r="100" spans="1:12">
      <c r="A100" t="s">
        <v>458</v>
      </c>
      <c r="B100" s="15" t="s">
        <v>207</v>
      </c>
      <c r="C100" s="16">
        <v>195</v>
      </c>
      <c r="D100" s="16">
        <v>195</v>
      </c>
      <c r="E100" s="16">
        <v>195</v>
      </c>
      <c r="F100" s="16">
        <v>195</v>
      </c>
      <c r="G100" s="16">
        <v>195</v>
      </c>
      <c r="H100" s="16">
        <v>195</v>
      </c>
      <c r="I100" s="16">
        <v>195</v>
      </c>
      <c r="J100" s="16">
        <v>195</v>
      </c>
      <c r="L100" s="5"/>
    </row>
    <row r="101" spans="1:12">
      <c r="A101" t="s">
        <v>458</v>
      </c>
      <c r="B101" s="15" t="s">
        <v>197</v>
      </c>
      <c r="C101" s="16">
        <v>486</v>
      </c>
      <c r="D101" s="16">
        <v>486</v>
      </c>
      <c r="E101" s="16">
        <v>486</v>
      </c>
      <c r="F101" s="16">
        <v>486</v>
      </c>
      <c r="G101" s="16">
        <v>486</v>
      </c>
      <c r="H101" s="16">
        <v>486</v>
      </c>
      <c r="I101" s="16">
        <v>486</v>
      </c>
      <c r="J101" s="16">
        <v>486</v>
      </c>
      <c r="L101" s="5"/>
    </row>
    <row r="102" spans="1:12">
      <c r="A102" t="s">
        <v>458</v>
      </c>
      <c r="B102" t="s">
        <v>198</v>
      </c>
      <c r="C102" s="16">
        <v>2890</v>
      </c>
      <c r="D102" s="16">
        <v>2620</v>
      </c>
      <c r="E102" s="16">
        <v>2495</v>
      </c>
      <c r="F102" s="16">
        <v>2370</v>
      </c>
      <c r="G102" s="16">
        <v>2260</v>
      </c>
      <c r="H102" s="16">
        <v>2150</v>
      </c>
      <c r="I102" s="16">
        <v>2050</v>
      </c>
      <c r="J102" s="16">
        <v>1950</v>
      </c>
      <c r="L102" s="71"/>
    </row>
    <row r="103" spans="1:12" ht="14.65" customHeight="1">
      <c r="A103" t="s">
        <v>458</v>
      </c>
      <c r="B103" t="s">
        <v>199</v>
      </c>
      <c r="C103" s="16">
        <v>3670</v>
      </c>
      <c r="D103" s="16">
        <v>3300</v>
      </c>
      <c r="E103" s="16">
        <v>3145</v>
      </c>
      <c r="F103" s="16">
        <v>2990</v>
      </c>
      <c r="G103" s="16">
        <v>2870</v>
      </c>
      <c r="H103" s="16">
        <v>2750</v>
      </c>
      <c r="I103" s="16">
        <v>2645</v>
      </c>
      <c r="J103" s="16">
        <v>2540</v>
      </c>
      <c r="L103" s="71"/>
    </row>
    <row r="104" spans="1:12">
      <c r="A104" t="s">
        <v>458</v>
      </c>
      <c r="B104" t="s">
        <v>200</v>
      </c>
      <c r="C104" s="16">
        <v>1600</v>
      </c>
      <c r="D104" s="16">
        <v>1600</v>
      </c>
      <c r="E104" s="16">
        <v>1600</v>
      </c>
      <c r="F104" s="16">
        <v>1600</v>
      </c>
      <c r="G104" s="16">
        <v>1600</v>
      </c>
      <c r="H104" s="16">
        <v>1600</v>
      </c>
      <c r="I104" s="16">
        <v>1600</v>
      </c>
      <c r="J104" s="16">
        <v>1600</v>
      </c>
      <c r="L104" s="71"/>
    </row>
    <row r="105" spans="1:12">
      <c r="A105" t="s">
        <v>458</v>
      </c>
      <c r="B105" t="s">
        <v>201</v>
      </c>
      <c r="C105" s="16">
        <v>2000</v>
      </c>
      <c r="D105" s="16">
        <v>2000</v>
      </c>
      <c r="E105" s="16">
        <v>2000</v>
      </c>
      <c r="F105" s="16">
        <v>2000</v>
      </c>
      <c r="G105" s="16">
        <v>2000</v>
      </c>
      <c r="H105" s="16">
        <v>2000</v>
      </c>
      <c r="I105" s="16">
        <v>2000</v>
      </c>
      <c r="J105" s="16">
        <v>2000</v>
      </c>
      <c r="L105" s="71"/>
    </row>
    <row r="106" spans="1:12">
      <c r="A106" t="s">
        <v>458</v>
      </c>
      <c r="B106" t="s">
        <v>218</v>
      </c>
      <c r="C106" s="16">
        <v>800</v>
      </c>
      <c r="D106" s="16">
        <v>800</v>
      </c>
      <c r="E106" s="16">
        <v>800</v>
      </c>
      <c r="F106" s="16">
        <v>800</v>
      </c>
      <c r="G106" s="16">
        <v>800</v>
      </c>
      <c r="H106" s="16">
        <v>800</v>
      </c>
      <c r="I106" s="16">
        <v>800</v>
      </c>
      <c r="J106" s="16">
        <v>800</v>
      </c>
      <c r="L106" s="71"/>
    </row>
    <row r="107" spans="1:12">
      <c r="A107" t="s">
        <v>458</v>
      </c>
      <c r="B107" t="s">
        <v>202</v>
      </c>
      <c r="C107" s="16">
        <v>2030</v>
      </c>
      <c r="D107" s="16">
        <v>2030</v>
      </c>
      <c r="E107" s="16">
        <v>2030</v>
      </c>
      <c r="F107" s="16">
        <v>2030</v>
      </c>
      <c r="G107" s="16">
        <v>2030</v>
      </c>
      <c r="H107" s="16">
        <v>2030</v>
      </c>
      <c r="I107" s="16">
        <v>2030</v>
      </c>
      <c r="J107" s="16">
        <v>2030</v>
      </c>
      <c r="L107" s="71"/>
    </row>
    <row r="108" spans="1:12">
      <c r="A108" t="s">
        <v>458</v>
      </c>
      <c r="B108" t="s">
        <v>230</v>
      </c>
      <c r="C108" s="16">
        <v>2030</v>
      </c>
      <c r="D108" s="16">
        <v>2030</v>
      </c>
      <c r="E108" s="16">
        <v>2030</v>
      </c>
      <c r="F108" s="16">
        <v>2030</v>
      </c>
      <c r="G108" s="16">
        <v>2030</v>
      </c>
      <c r="H108" s="16">
        <v>2030</v>
      </c>
      <c r="I108" s="16">
        <v>2030</v>
      </c>
      <c r="J108" s="16">
        <v>2030</v>
      </c>
      <c r="L108" s="50"/>
    </row>
    <row r="109" spans="1:12">
      <c r="A109" t="s">
        <v>458</v>
      </c>
      <c r="B109" t="s">
        <v>219</v>
      </c>
      <c r="C109" s="16">
        <v>773</v>
      </c>
      <c r="D109" s="16">
        <v>773</v>
      </c>
      <c r="E109" s="16">
        <v>773</v>
      </c>
      <c r="F109" s="16">
        <v>773</v>
      </c>
      <c r="G109" s="16">
        <v>773</v>
      </c>
      <c r="H109" s="16">
        <v>773</v>
      </c>
      <c r="I109" s="16">
        <v>773</v>
      </c>
      <c r="J109" s="16">
        <v>773</v>
      </c>
      <c r="L109" s="50"/>
    </row>
    <row r="110" spans="1:12">
      <c r="A110" t="s">
        <v>458</v>
      </c>
      <c r="B110" t="s">
        <v>220</v>
      </c>
      <c r="C110" s="16">
        <v>3570</v>
      </c>
      <c r="D110" s="16">
        <v>2680</v>
      </c>
      <c r="E110" s="16">
        <v>2380</v>
      </c>
      <c r="F110" s="16">
        <v>2080</v>
      </c>
      <c r="G110" s="16">
        <v>1975</v>
      </c>
      <c r="H110" s="16">
        <v>1870</v>
      </c>
      <c r="I110" s="16">
        <v>1805</v>
      </c>
      <c r="J110" s="16">
        <v>1740</v>
      </c>
      <c r="L110" s="50"/>
    </row>
    <row r="111" spans="1:12">
      <c r="A111" t="s">
        <v>458</v>
      </c>
      <c r="B111" t="s">
        <v>203</v>
      </c>
      <c r="C111" s="16">
        <v>5250</v>
      </c>
      <c r="D111" s="16">
        <v>4970</v>
      </c>
      <c r="E111" s="16">
        <v>4720</v>
      </c>
      <c r="F111" s="16">
        <v>4470</v>
      </c>
      <c r="G111" s="16">
        <v>4245</v>
      </c>
      <c r="H111" s="16">
        <v>4020</v>
      </c>
      <c r="I111" s="16">
        <v>3815</v>
      </c>
      <c r="J111" s="16">
        <v>3610</v>
      </c>
      <c r="L111" s="51"/>
    </row>
    <row r="112" spans="1:12">
      <c r="A112" t="s">
        <v>458</v>
      </c>
      <c r="B112" t="s">
        <v>208</v>
      </c>
      <c r="C112" s="16">
        <v>495</v>
      </c>
      <c r="D112" s="16">
        <v>495</v>
      </c>
      <c r="E112" s="16">
        <v>495</v>
      </c>
      <c r="F112" s="16">
        <v>495</v>
      </c>
      <c r="G112" s="16">
        <v>495</v>
      </c>
      <c r="H112" s="16">
        <v>495</v>
      </c>
      <c r="I112" s="16">
        <v>495</v>
      </c>
      <c r="J112" s="16">
        <v>495</v>
      </c>
      <c r="L112" s="51"/>
    </row>
    <row r="113" spans="1:12">
      <c r="A113" t="s">
        <v>458</v>
      </c>
      <c r="B113" t="s">
        <v>204</v>
      </c>
      <c r="C113" s="16">
        <v>930</v>
      </c>
      <c r="D113" s="16">
        <v>930</v>
      </c>
      <c r="E113" s="16">
        <v>930</v>
      </c>
      <c r="F113" s="16">
        <v>930</v>
      </c>
      <c r="G113" s="16">
        <v>930</v>
      </c>
      <c r="H113" s="16">
        <v>930</v>
      </c>
      <c r="I113" s="16">
        <v>930</v>
      </c>
      <c r="J113" s="16">
        <v>930</v>
      </c>
      <c r="L113" s="51"/>
    </row>
    <row r="114" spans="1:12">
      <c r="A114" t="s">
        <v>458</v>
      </c>
      <c r="B114" t="s">
        <v>211</v>
      </c>
      <c r="C114" s="16">
        <v>71</v>
      </c>
      <c r="D114" s="16">
        <v>71</v>
      </c>
      <c r="E114" s="16">
        <v>71</v>
      </c>
      <c r="F114" s="16">
        <v>71</v>
      </c>
      <c r="G114" s="16">
        <v>71</v>
      </c>
      <c r="H114" s="16">
        <v>71</v>
      </c>
      <c r="I114" s="16">
        <v>71</v>
      </c>
      <c r="J114" s="16">
        <v>71</v>
      </c>
      <c r="L114" s="51"/>
    </row>
    <row r="115" spans="1:12">
      <c r="A115" t="s">
        <v>458</v>
      </c>
      <c r="B115" t="s">
        <v>222</v>
      </c>
      <c r="C115" s="16">
        <v>137</v>
      </c>
      <c r="D115" s="16">
        <v>137</v>
      </c>
      <c r="E115" s="16">
        <v>137</v>
      </c>
      <c r="F115" s="16">
        <v>137</v>
      </c>
      <c r="G115" s="16">
        <v>137</v>
      </c>
      <c r="H115" s="16">
        <v>137</v>
      </c>
      <c r="I115" s="16">
        <v>137</v>
      </c>
      <c r="J115" s="16">
        <v>137</v>
      </c>
      <c r="L115" s="51"/>
    </row>
    <row r="116" spans="1:12">
      <c r="A116" t="s">
        <v>458</v>
      </c>
      <c r="B116" t="s">
        <v>209</v>
      </c>
      <c r="C116" s="16">
        <v>128</v>
      </c>
      <c r="D116" s="16">
        <v>128</v>
      </c>
      <c r="E116" s="16">
        <v>128</v>
      </c>
      <c r="F116" s="16">
        <v>128</v>
      </c>
      <c r="G116" s="16">
        <v>128</v>
      </c>
      <c r="H116" s="16">
        <v>128</v>
      </c>
      <c r="I116" s="16">
        <v>128</v>
      </c>
      <c r="J116" s="16">
        <v>128</v>
      </c>
      <c r="L116" s="51"/>
    </row>
    <row r="117" spans="1:12">
      <c r="A117" t="s">
        <v>458</v>
      </c>
      <c r="B117" t="s">
        <v>210</v>
      </c>
      <c r="C117" s="16">
        <v>128</v>
      </c>
      <c r="D117" s="16">
        <v>128</v>
      </c>
      <c r="E117" s="16">
        <v>128</v>
      </c>
      <c r="F117" s="16">
        <v>128</v>
      </c>
      <c r="G117" s="16">
        <v>128</v>
      </c>
      <c r="H117" s="16">
        <v>128</v>
      </c>
      <c r="I117" s="16">
        <v>128</v>
      </c>
      <c r="J117" s="16">
        <v>128</v>
      </c>
      <c r="L117" s="52"/>
    </row>
    <row r="118" spans="1:12">
      <c r="A118" t="s">
        <v>458</v>
      </c>
      <c r="B118" t="s">
        <v>221</v>
      </c>
      <c r="C118" s="16">
        <v>103</v>
      </c>
      <c r="D118" s="16">
        <v>103</v>
      </c>
      <c r="E118" s="16">
        <v>103</v>
      </c>
      <c r="F118" s="16">
        <v>103</v>
      </c>
      <c r="G118" s="16">
        <v>103</v>
      </c>
      <c r="H118" s="16">
        <v>103</v>
      </c>
      <c r="I118" s="16">
        <v>103</v>
      </c>
      <c r="J118" s="16">
        <v>103</v>
      </c>
      <c r="L118" s="51"/>
    </row>
    <row r="119" spans="1:12">
      <c r="A119" t="s">
        <v>458</v>
      </c>
      <c r="B119" t="s">
        <v>212</v>
      </c>
      <c r="C119" s="16">
        <v>106</v>
      </c>
      <c r="D119" s="16">
        <v>106</v>
      </c>
      <c r="E119" s="16">
        <v>106</v>
      </c>
      <c r="F119" s="16">
        <v>106</v>
      </c>
      <c r="G119" s="16">
        <v>106</v>
      </c>
      <c r="H119" s="16">
        <v>106</v>
      </c>
      <c r="I119" s="16">
        <v>106</v>
      </c>
      <c r="J119" s="16">
        <v>106</v>
      </c>
      <c r="L119" s="2"/>
    </row>
    <row r="120" spans="1:12">
      <c r="A120" t="s">
        <v>458</v>
      </c>
      <c r="B120" t="s">
        <v>224</v>
      </c>
      <c r="C120" s="16">
        <v>442</v>
      </c>
      <c r="D120" s="16">
        <v>442</v>
      </c>
      <c r="E120" s="16">
        <v>442</v>
      </c>
      <c r="F120" s="16">
        <v>442</v>
      </c>
      <c r="G120" s="16">
        <v>442</v>
      </c>
      <c r="H120" s="16">
        <v>442</v>
      </c>
      <c r="I120" s="16">
        <v>442</v>
      </c>
      <c r="J120" s="16">
        <v>442</v>
      </c>
      <c r="L120" s="2"/>
    </row>
    <row r="121" spans="1:12">
      <c r="A121" t="s">
        <v>458</v>
      </c>
      <c r="B121" t="s">
        <v>225</v>
      </c>
      <c r="C121" s="16">
        <v>414</v>
      </c>
      <c r="D121" s="16">
        <v>414</v>
      </c>
      <c r="E121" s="16">
        <v>414</v>
      </c>
      <c r="F121" s="16">
        <v>414</v>
      </c>
      <c r="G121" s="16">
        <v>414</v>
      </c>
      <c r="H121" s="16">
        <v>414</v>
      </c>
      <c r="I121" s="16">
        <v>414</v>
      </c>
      <c r="J121" s="16">
        <v>414</v>
      </c>
      <c r="K121" s="17"/>
      <c r="L121" s="2"/>
    </row>
    <row r="122" spans="1:12">
      <c r="A122" t="s">
        <v>458</v>
      </c>
      <c r="B122" t="s">
        <v>226</v>
      </c>
      <c r="C122" s="16">
        <v>184</v>
      </c>
      <c r="D122" s="16">
        <v>184</v>
      </c>
      <c r="E122" s="16">
        <v>184</v>
      </c>
      <c r="F122" s="16">
        <v>184</v>
      </c>
      <c r="G122" s="16">
        <v>184</v>
      </c>
      <c r="H122" s="16">
        <v>184</v>
      </c>
      <c r="I122" s="16">
        <v>184</v>
      </c>
      <c r="J122" s="16">
        <v>184</v>
      </c>
      <c r="L122" s="51"/>
    </row>
    <row r="123" spans="1:12">
      <c r="A123" t="s">
        <v>458</v>
      </c>
      <c r="B123" t="s">
        <v>227</v>
      </c>
      <c r="C123" s="16">
        <v>424</v>
      </c>
      <c r="D123" s="16">
        <v>424</v>
      </c>
      <c r="E123" s="16">
        <v>424</v>
      </c>
      <c r="F123" s="16">
        <v>424</v>
      </c>
      <c r="G123" s="16">
        <v>424</v>
      </c>
      <c r="H123" s="16">
        <v>424</v>
      </c>
      <c r="I123" s="16">
        <v>424</v>
      </c>
      <c r="J123" s="16">
        <v>424</v>
      </c>
      <c r="L123" s="51"/>
    </row>
    <row r="124" spans="1:12">
      <c r="A124" t="s">
        <v>458</v>
      </c>
      <c r="B124" t="s">
        <v>228</v>
      </c>
      <c r="C124" s="16">
        <v>639</v>
      </c>
      <c r="D124" s="16">
        <v>639</v>
      </c>
      <c r="E124" s="16">
        <v>639</v>
      </c>
      <c r="F124" s="16">
        <v>639</v>
      </c>
      <c r="G124" s="16">
        <v>639</v>
      </c>
      <c r="H124" s="16">
        <v>639</v>
      </c>
      <c r="I124" s="16">
        <v>639</v>
      </c>
      <c r="J124" s="16">
        <v>639</v>
      </c>
      <c r="L124" s="50"/>
    </row>
    <row r="125" spans="1:12">
      <c r="A125" t="s">
        <v>458</v>
      </c>
      <c r="B125" t="s">
        <v>229</v>
      </c>
      <c r="C125" s="16">
        <v>486.2</v>
      </c>
      <c r="D125" s="16">
        <v>486.2</v>
      </c>
      <c r="E125" s="16">
        <v>486.2</v>
      </c>
      <c r="F125" s="16">
        <v>486.2</v>
      </c>
      <c r="G125" s="16">
        <v>486.2</v>
      </c>
      <c r="H125" s="16">
        <v>486.2</v>
      </c>
      <c r="I125" s="16">
        <v>486.2</v>
      </c>
      <c r="J125" s="16">
        <v>486.2</v>
      </c>
      <c r="L125" s="53"/>
    </row>
    <row r="126" spans="1:12">
      <c r="A126" s="11" t="s">
        <v>458</v>
      </c>
      <c r="B126" t="s">
        <v>181</v>
      </c>
      <c r="C126" s="16">
        <v>0.5</v>
      </c>
      <c r="D126" s="16">
        <v>0.5</v>
      </c>
      <c r="E126" s="16">
        <v>0.5</v>
      </c>
      <c r="F126" s="16">
        <v>0.5</v>
      </c>
      <c r="G126" s="16">
        <v>0.5</v>
      </c>
      <c r="H126" s="16">
        <v>0.5</v>
      </c>
      <c r="I126" s="16">
        <v>0.5</v>
      </c>
      <c r="J126" s="16">
        <v>0.5</v>
      </c>
    </row>
    <row r="127" spans="1:12">
      <c r="A127" s="11" t="s">
        <v>458</v>
      </c>
      <c r="B127" t="s">
        <v>235</v>
      </c>
      <c r="C127" s="16">
        <v>566</v>
      </c>
      <c r="D127" s="16">
        <v>566</v>
      </c>
      <c r="E127" s="16">
        <v>566</v>
      </c>
      <c r="F127" s="16">
        <v>566</v>
      </c>
      <c r="G127" s="16">
        <v>566</v>
      </c>
      <c r="H127" s="16">
        <v>566</v>
      </c>
      <c r="I127" s="16">
        <v>566</v>
      </c>
      <c r="J127" s="16">
        <v>566</v>
      </c>
    </row>
    <row r="128" spans="1:12">
      <c r="A128" s="11" t="s">
        <v>458</v>
      </c>
      <c r="B128" t="s">
        <v>236</v>
      </c>
      <c r="C128" s="16">
        <v>538</v>
      </c>
      <c r="D128" s="16">
        <v>538</v>
      </c>
      <c r="E128" s="16">
        <v>538</v>
      </c>
      <c r="F128" s="16">
        <v>538</v>
      </c>
      <c r="G128" s="16">
        <v>538</v>
      </c>
      <c r="H128" s="16">
        <v>538</v>
      </c>
      <c r="I128" s="16">
        <v>538</v>
      </c>
      <c r="J128" s="16">
        <v>538</v>
      </c>
    </row>
    <row r="129" spans="1:13">
      <c r="A129" t="s">
        <v>458</v>
      </c>
      <c r="B129" t="s">
        <v>248</v>
      </c>
      <c r="C129" s="16">
        <v>7093.8</v>
      </c>
      <c r="D129" s="16">
        <v>7005.6</v>
      </c>
      <c r="E129" s="16">
        <v>6917.4</v>
      </c>
      <c r="F129" s="16">
        <v>6829.2</v>
      </c>
      <c r="G129" s="16">
        <v>6741</v>
      </c>
      <c r="H129" s="16">
        <v>6652.8</v>
      </c>
      <c r="I129" s="16">
        <v>6564.6</v>
      </c>
      <c r="J129" s="16">
        <v>6476.4</v>
      </c>
    </row>
    <row r="130" spans="1:13">
      <c r="A130" t="s">
        <v>458</v>
      </c>
      <c r="B130" t="s">
        <v>242</v>
      </c>
      <c r="C130" s="16">
        <v>4221</v>
      </c>
      <c r="D130" s="16">
        <v>4076.9999999999995</v>
      </c>
      <c r="E130" s="16">
        <v>3933</v>
      </c>
      <c r="F130" s="16">
        <v>3788.9999999999995</v>
      </c>
      <c r="G130" s="16">
        <v>3645</v>
      </c>
      <c r="H130" s="16">
        <v>3501</v>
      </c>
      <c r="I130" s="16">
        <v>3357</v>
      </c>
      <c r="J130" s="16">
        <v>3213</v>
      </c>
      <c r="M130" s="12"/>
    </row>
    <row r="131" spans="1:13">
      <c r="A131" s="5" t="s">
        <v>458</v>
      </c>
      <c r="B131" s="2" t="s">
        <v>243</v>
      </c>
      <c r="C131" s="16">
        <v>4410</v>
      </c>
      <c r="D131" s="16">
        <v>4410</v>
      </c>
      <c r="E131" s="16">
        <v>4410</v>
      </c>
      <c r="F131" s="16">
        <v>4410</v>
      </c>
      <c r="G131" s="16">
        <v>4410</v>
      </c>
      <c r="H131" s="16">
        <v>4410</v>
      </c>
      <c r="I131" s="16">
        <v>4410</v>
      </c>
      <c r="J131" s="16">
        <v>4410</v>
      </c>
    </row>
    <row r="132" spans="1:13">
      <c r="A132" s="5" t="s">
        <v>458</v>
      </c>
      <c r="B132" s="2" t="s">
        <v>249</v>
      </c>
      <c r="C132" s="16">
        <v>7093.8</v>
      </c>
      <c r="D132" s="16">
        <v>7005.6</v>
      </c>
      <c r="E132" s="16">
        <v>6917.4</v>
      </c>
      <c r="F132" s="16">
        <v>6829.2</v>
      </c>
      <c r="G132" s="16">
        <v>6741</v>
      </c>
      <c r="H132" s="16">
        <v>6652.8</v>
      </c>
      <c r="I132" s="16">
        <v>6564.6</v>
      </c>
      <c r="J132" s="16">
        <v>6476.4</v>
      </c>
    </row>
    <row r="133" spans="1:13">
      <c r="A133" s="5" t="s">
        <v>458</v>
      </c>
      <c r="B133" s="2" t="s">
        <v>240</v>
      </c>
      <c r="C133" s="16">
        <v>4221</v>
      </c>
      <c r="D133" s="16">
        <v>4076.9999999999995</v>
      </c>
      <c r="E133" s="16">
        <v>3933</v>
      </c>
      <c r="F133" s="16">
        <v>3788.9999999999995</v>
      </c>
      <c r="G133" s="16">
        <v>3645</v>
      </c>
      <c r="H133" s="16">
        <v>3501</v>
      </c>
      <c r="I133" s="16">
        <v>3357</v>
      </c>
      <c r="J133" s="16">
        <v>3213</v>
      </c>
    </row>
    <row r="134" spans="1:13">
      <c r="A134" s="5" t="s">
        <v>458</v>
      </c>
      <c r="B134" s="2" t="s">
        <v>241</v>
      </c>
      <c r="C134" s="16">
        <v>4410</v>
      </c>
      <c r="D134" s="16">
        <v>4410</v>
      </c>
      <c r="E134" s="16">
        <v>4410</v>
      </c>
      <c r="F134" s="16">
        <v>4410</v>
      </c>
      <c r="G134" s="16">
        <v>4410</v>
      </c>
      <c r="H134" s="16">
        <v>4410</v>
      </c>
      <c r="I134" s="16">
        <v>4410</v>
      </c>
      <c r="J134" s="16">
        <v>4410</v>
      </c>
    </row>
    <row r="135" spans="1:13">
      <c r="A135" s="5" t="s">
        <v>458</v>
      </c>
      <c r="B135" s="2" t="s">
        <v>244</v>
      </c>
      <c r="C135" s="16">
        <v>365.92307692307696</v>
      </c>
      <c r="D135" s="16">
        <v>361.38202247191015</v>
      </c>
      <c r="E135" s="16">
        <v>356.63218390804599</v>
      </c>
      <c r="F135" s="16">
        <v>351.65882352941179</v>
      </c>
      <c r="G135" s="16">
        <v>346.4457831325301</v>
      </c>
      <c r="H135" s="16">
        <v>340.97530864197529</v>
      </c>
      <c r="I135" s="16">
        <v>335.22784810126581</v>
      </c>
      <c r="J135" s="16">
        <v>329.18181818181819</v>
      </c>
    </row>
    <row r="136" spans="1:13">
      <c r="A136" t="s">
        <v>458</v>
      </c>
      <c r="B136" t="s">
        <v>245</v>
      </c>
      <c r="C136" s="16">
        <v>268</v>
      </c>
      <c r="D136" s="16">
        <v>258.85714285714283</v>
      </c>
      <c r="E136" s="16">
        <v>249.71428571428572</v>
      </c>
      <c r="F136" s="16">
        <v>240.57142857142856</v>
      </c>
      <c r="G136" s="16">
        <v>231.42857142857142</v>
      </c>
      <c r="H136" s="16">
        <v>222.28571428571428</v>
      </c>
      <c r="I136" s="16">
        <v>213.14285714285714</v>
      </c>
      <c r="J136" s="16">
        <v>204</v>
      </c>
    </row>
    <row r="137" spans="1:13">
      <c r="A137" s="5" t="s">
        <v>458</v>
      </c>
      <c r="B137" s="2" t="s">
        <v>237</v>
      </c>
      <c r="C137" s="16">
        <v>3350</v>
      </c>
      <c r="D137" s="16">
        <v>3235.7142857142853</v>
      </c>
      <c r="E137" s="16">
        <v>3121.4285714285716</v>
      </c>
      <c r="F137" s="16">
        <v>3007.1428571428569</v>
      </c>
      <c r="G137" s="16">
        <v>2892.8571428571427</v>
      </c>
      <c r="H137" s="16">
        <v>2778.5714285714284</v>
      </c>
      <c r="I137" s="16">
        <v>2664.2857142857142</v>
      </c>
      <c r="J137" s="16">
        <v>2550</v>
      </c>
    </row>
    <row r="138" spans="1:13">
      <c r="A138" s="5" t="s">
        <v>458</v>
      </c>
      <c r="B138" s="2" t="s">
        <v>238</v>
      </c>
      <c r="C138" s="16">
        <v>3500</v>
      </c>
      <c r="D138" s="16">
        <v>3500</v>
      </c>
      <c r="E138" s="16">
        <v>3500</v>
      </c>
      <c r="F138" s="16">
        <v>3500</v>
      </c>
      <c r="G138" s="16">
        <v>3500</v>
      </c>
      <c r="H138" s="16">
        <v>3500</v>
      </c>
      <c r="I138" s="16">
        <v>3500</v>
      </c>
      <c r="J138" s="16">
        <v>3500</v>
      </c>
    </row>
    <row r="139" spans="1:13">
      <c r="A139" t="s">
        <v>458</v>
      </c>
      <c r="B139" t="s">
        <v>239</v>
      </c>
      <c r="C139" s="16">
        <v>1500</v>
      </c>
      <c r="D139" s="16">
        <v>1500</v>
      </c>
      <c r="E139" s="16">
        <v>1500</v>
      </c>
      <c r="F139" s="16">
        <v>1500</v>
      </c>
      <c r="G139" s="16">
        <v>1500</v>
      </c>
      <c r="H139" s="16">
        <v>1500</v>
      </c>
      <c r="I139" s="16">
        <v>1500</v>
      </c>
      <c r="J139" s="16">
        <v>1500</v>
      </c>
    </row>
    <row r="140" spans="1:13">
      <c r="A140" t="s">
        <v>458</v>
      </c>
      <c r="B140" t="s">
        <v>246</v>
      </c>
      <c r="C140" s="16">
        <v>683.55359999999985</v>
      </c>
      <c r="D140" s="16">
        <v>653.34205714285702</v>
      </c>
      <c r="E140" s="16">
        <v>623.13051428571418</v>
      </c>
      <c r="F140" s="16">
        <v>592.91897142857124</v>
      </c>
      <c r="G140" s="16">
        <v>562.70742857142841</v>
      </c>
      <c r="H140" s="16">
        <v>532.49588571428558</v>
      </c>
      <c r="I140" s="16">
        <v>502.28434285714275</v>
      </c>
      <c r="J140" s="16">
        <v>472.07279999999992</v>
      </c>
    </row>
    <row r="141" spans="1:13">
      <c r="A141" t="s">
        <v>458</v>
      </c>
      <c r="B141" t="s">
        <v>247</v>
      </c>
      <c r="C141" s="16">
        <v>3522.9300923076917</v>
      </c>
      <c r="D141" s="16">
        <v>3325.4376616372388</v>
      </c>
      <c r="E141" s="16">
        <v>3129.9774108374381</v>
      </c>
      <c r="F141" s="16">
        <v>2936.6927878991587</v>
      </c>
      <c r="G141" s="16">
        <v>2745.7410671256443</v>
      </c>
      <c r="H141" s="16">
        <v>2557.2950560846552</v>
      </c>
      <c r="I141" s="16">
        <v>2371.5450618444838</v>
      </c>
      <c r="J141" s="16">
        <v>2188.7011636363636</v>
      </c>
    </row>
    <row r="142" spans="1:13">
      <c r="A142" t="s">
        <v>458</v>
      </c>
      <c r="B142" t="s">
        <v>251</v>
      </c>
      <c r="C142" s="16">
        <v>0.5</v>
      </c>
      <c r="D142" s="16">
        <v>0.5</v>
      </c>
      <c r="E142" s="16">
        <v>0.5</v>
      </c>
      <c r="F142" s="16">
        <v>0.5</v>
      </c>
      <c r="G142" s="16">
        <v>0.5</v>
      </c>
      <c r="H142" s="16">
        <v>0.5</v>
      </c>
      <c r="I142" s="16">
        <v>0.5</v>
      </c>
      <c r="J142" s="16">
        <v>0.5</v>
      </c>
    </row>
    <row r="143" spans="1:13">
      <c r="A143" t="s">
        <v>458</v>
      </c>
      <c r="B143" t="s">
        <v>253</v>
      </c>
      <c r="C143" s="16">
        <v>650</v>
      </c>
      <c r="D143" s="16">
        <v>627.14285714285711</v>
      </c>
      <c r="E143" s="16">
        <v>604.28571428571433</v>
      </c>
      <c r="F143" s="16">
        <v>581.42857142857144</v>
      </c>
      <c r="G143" s="16">
        <v>558.57142857142856</v>
      </c>
      <c r="H143" s="16">
        <v>535.71428571428567</v>
      </c>
      <c r="I143" s="16">
        <v>512.85714285714289</v>
      </c>
      <c r="J143" s="16">
        <v>490</v>
      </c>
    </row>
    <row r="144" spans="1:13">
      <c r="A144" t="s">
        <v>458</v>
      </c>
      <c r="B144" t="s">
        <v>254</v>
      </c>
      <c r="C144" s="16">
        <v>650</v>
      </c>
      <c r="D144" s="16">
        <v>627.14285714285711</v>
      </c>
      <c r="E144" s="16">
        <v>604.28571428571433</v>
      </c>
      <c r="F144" s="16">
        <v>581.42857142857144</v>
      </c>
      <c r="G144" s="16">
        <v>558.57142857142856</v>
      </c>
      <c r="H144" s="16">
        <v>535.71428571428567</v>
      </c>
      <c r="I144" s="16">
        <v>512.85714285714289</v>
      </c>
      <c r="J144" s="16">
        <v>490</v>
      </c>
    </row>
    <row r="145" spans="1:10">
      <c r="A145" t="s">
        <v>458</v>
      </c>
      <c r="B145" t="s">
        <v>255</v>
      </c>
      <c r="C145" s="16">
        <v>731.42276422764223</v>
      </c>
      <c r="D145" s="16">
        <v>625.87191817040116</v>
      </c>
      <c r="E145" s="16">
        <v>460.855806728799</v>
      </c>
      <c r="F145" s="16">
        <v>347.87180249851275</v>
      </c>
      <c r="G145" s="16">
        <v>309.21937999867805</v>
      </c>
      <c r="H145" s="16">
        <v>282.4600105757155</v>
      </c>
      <c r="I145" s="16">
        <v>255.70064115275298</v>
      </c>
      <c r="J145" s="16">
        <v>237.86106153744461</v>
      </c>
    </row>
    <row r="146" spans="1:10">
      <c r="A146" t="s">
        <v>486</v>
      </c>
      <c r="B146" t="s">
        <v>281</v>
      </c>
      <c r="C146" s="16">
        <v>947</v>
      </c>
      <c r="D146" s="16">
        <v>919.94285714285718</v>
      </c>
      <c r="E146" s="16">
        <v>892.88571428571424</v>
      </c>
      <c r="F146" s="16">
        <v>865.82857142857154</v>
      </c>
      <c r="G146" s="16">
        <v>838.7714285714286</v>
      </c>
      <c r="H146" s="16">
        <v>730.5428571428572</v>
      </c>
      <c r="I146" s="16">
        <v>706.19142857142856</v>
      </c>
      <c r="J146" s="16">
        <v>681.84</v>
      </c>
    </row>
    <row r="147" spans="1:10">
      <c r="A147" t="s">
        <v>486</v>
      </c>
      <c r="B147" t="s">
        <v>282</v>
      </c>
      <c r="C147" s="16">
        <v>0.01</v>
      </c>
      <c r="D147" s="16">
        <v>9.7857142857142847E-3</v>
      </c>
      <c r="E147" s="16">
        <v>9.5714285714285727E-3</v>
      </c>
      <c r="F147" s="16">
        <v>9.3571428571428573E-3</v>
      </c>
      <c r="G147" s="16">
        <v>9.1428571428571435E-3</v>
      </c>
      <c r="H147" s="16">
        <v>8.9285714285714281E-3</v>
      </c>
      <c r="I147" s="16">
        <v>8.7142857142857143E-3</v>
      </c>
      <c r="J147" s="16">
        <v>8.5000000000000006E-3</v>
      </c>
    </row>
    <row r="148" spans="1:10">
      <c r="A148" t="s">
        <v>486</v>
      </c>
      <c r="B148" t="s">
        <v>283</v>
      </c>
      <c r="C148" s="16">
        <v>0.01</v>
      </c>
      <c r="D148" s="16">
        <v>9.7857142857142847E-3</v>
      </c>
      <c r="E148" s="16">
        <v>9.5714285714285727E-3</v>
      </c>
      <c r="F148" s="16">
        <v>9.3571428571428573E-3</v>
      </c>
      <c r="G148" s="16">
        <v>9.1428571428571435E-3</v>
      </c>
      <c r="H148" s="16">
        <v>8.9285714285714281E-3</v>
      </c>
      <c r="I148" s="16">
        <v>8.7142857142857143E-3</v>
      </c>
      <c r="J148" s="16">
        <v>8.5000000000000006E-3</v>
      </c>
    </row>
    <row r="149" spans="1:10">
      <c r="A149" t="s">
        <v>486</v>
      </c>
      <c r="B149" t="s">
        <v>284</v>
      </c>
      <c r="C149" s="16">
        <v>0.01</v>
      </c>
      <c r="D149" s="16">
        <v>9.7857142857142847E-3</v>
      </c>
      <c r="E149" s="16">
        <v>9.5714285714285727E-3</v>
      </c>
      <c r="F149" s="16">
        <v>9.3571428571428573E-3</v>
      </c>
      <c r="G149" s="16">
        <v>9.1428571428571435E-3</v>
      </c>
      <c r="H149" s="16">
        <v>8.9285714285714281E-3</v>
      </c>
      <c r="I149" s="16">
        <v>8.7142857142857143E-3</v>
      </c>
      <c r="J149" s="16">
        <v>8.5000000000000006E-3</v>
      </c>
    </row>
    <row r="150" spans="1:10">
      <c r="A150" t="s">
        <v>486</v>
      </c>
      <c r="B150" t="s">
        <v>285</v>
      </c>
      <c r="C150" s="16">
        <v>0.01</v>
      </c>
      <c r="D150" s="16">
        <v>9.7857142857142847E-3</v>
      </c>
      <c r="E150" s="16">
        <v>9.5714285714285727E-3</v>
      </c>
      <c r="F150" s="16">
        <v>9.3571428571428573E-3</v>
      </c>
      <c r="G150" s="16">
        <v>9.1428571428571435E-3</v>
      </c>
      <c r="H150" s="16">
        <v>8.9285714285714281E-3</v>
      </c>
      <c r="I150" s="16">
        <v>8.7142857142857143E-3</v>
      </c>
      <c r="J150" s="16">
        <v>8.5000000000000006E-3</v>
      </c>
    </row>
    <row r="151" spans="1:10">
      <c r="A151" t="s">
        <v>486</v>
      </c>
      <c r="B151" t="s">
        <v>286</v>
      </c>
      <c r="C151" s="16">
        <v>0.01</v>
      </c>
      <c r="D151" s="16">
        <v>9.7857142857142847E-3</v>
      </c>
      <c r="E151" s="16">
        <v>9.5714285714285727E-3</v>
      </c>
      <c r="F151" s="16">
        <v>9.3571428571428573E-3</v>
      </c>
      <c r="G151" s="16">
        <v>9.1428571428571435E-3</v>
      </c>
      <c r="H151" s="16">
        <v>8.9285714285714281E-3</v>
      </c>
      <c r="I151" s="16">
        <v>8.7142857142857143E-3</v>
      </c>
      <c r="J151" s="16">
        <v>8.5000000000000006E-3</v>
      </c>
    </row>
    <row r="152" spans="1:10">
      <c r="A152" t="s">
        <v>486</v>
      </c>
      <c r="B152" t="s">
        <v>287</v>
      </c>
      <c r="C152" s="16">
        <v>771</v>
      </c>
      <c r="D152" s="16">
        <v>715.33571428571429</v>
      </c>
      <c r="E152" s="16">
        <v>675.74285714285713</v>
      </c>
      <c r="F152" s="16">
        <v>636.28571428571433</v>
      </c>
      <c r="G152" s="16">
        <v>597.02857142857135</v>
      </c>
      <c r="H152" s="16">
        <v>564.28571428571422</v>
      </c>
      <c r="I152" s="16">
        <v>530.70000000000005</v>
      </c>
      <c r="J152" s="16">
        <v>500.65</v>
      </c>
    </row>
    <row r="153" spans="1:10">
      <c r="A153" t="s">
        <v>486</v>
      </c>
      <c r="B153" t="s">
        <v>291</v>
      </c>
      <c r="C153" s="16">
        <v>1</v>
      </c>
      <c r="D153" s="16">
        <v>0.97142857142857142</v>
      </c>
      <c r="E153" s="16">
        <v>0.94285714285714284</v>
      </c>
      <c r="F153" s="16">
        <v>0.91428571428571437</v>
      </c>
      <c r="G153" s="16">
        <v>0.88571428571428579</v>
      </c>
      <c r="H153" s="16">
        <v>0.85714285714285721</v>
      </c>
      <c r="I153" s="16">
        <v>0.82857142857142863</v>
      </c>
      <c r="J153" s="16">
        <v>0.8</v>
      </c>
    </row>
    <row r="154" spans="1:10">
      <c r="A154" t="s">
        <v>486</v>
      </c>
      <c r="B154" t="s">
        <v>292</v>
      </c>
      <c r="C154" s="16">
        <v>1</v>
      </c>
      <c r="D154" s="16">
        <v>0.97142857142857142</v>
      </c>
      <c r="E154" s="16">
        <v>0.94285714285714284</v>
      </c>
      <c r="F154" s="16">
        <v>0.91428571428571437</v>
      </c>
      <c r="G154" s="16">
        <v>0.88571428571428579</v>
      </c>
      <c r="H154" s="16">
        <v>0.85714285714285721</v>
      </c>
      <c r="I154" s="16">
        <v>0.82857142857142863</v>
      </c>
      <c r="J154" s="16">
        <v>0.8</v>
      </c>
    </row>
    <row r="155" spans="1:10">
      <c r="A155" t="s">
        <v>486</v>
      </c>
      <c r="B155" t="s">
        <v>297</v>
      </c>
      <c r="C155" s="16">
        <v>6.1224489795918364</v>
      </c>
      <c r="D155" s="16">
        <v>6.0208246563931693</v>
      </c>
      <c r="E155" s="16">
        <v>5.920033319450229</v>
      </c>
      <c r="F155" s="16">
        <v>5.8200749687630156</v>
      </c>
      <c r="G155" s="16">
        <v>5.720949604331528</v>
      </c>
      <c r="H155" s="16">
        <v>5.6226572261557681</v>
      </c>
      <c r="I155" s="16">
        <v>5.5251978342357351</v>
      </c>
      <c r="J155" s="16">
        <v>5.4285714285714288</v>
      </c>
    </row>
    <row r="156" spans="1:10">
      <c r="A156" t="s">
        <v>486</v>
      </c>
      <c r="B156" t="s">
        <v>298</v>
      </c>
      <c r="C156" s="16">
        <v>10.303617571059432</v>
      </c>
      <c r="D156" s="16">
        <v>9.9643054896377148</v>
      </c>
      <c r="E156" s="16">
        <v>9.6288166429362434</v>
      </c>
      <c r="F156" s="16">
        <v>9.2971510309550176</v>
      </c>
      <c r="G156" s="16">
        <v>8.9693086536940356</v>
      </c>
      <c r="H156" s="16">
        <v>8.6452895111532992</v>
      </c>
      <c r="I156" s="16">
        <v>8.3250936033328049</v>
      </c>
      <c r="J156" s="16">
        <v>8.0087209302325579</v>
      </c>
    </row>
    <row r="157" spans="1:10">
      <c r="A157" t="s">
        <v>486</v>
      </c>
      <c r="B157" t="s">
        <v>299</v>
      </c>
      <c r="C157" s="16">
        <v>48</v>
      </c>
      <c r="D157" s="16">
        <v>43.688145772594751</v>
      </c>
      <c r="E157" s="16">
        <v>39.433399416909616</v>
      </c>
      <c r="F157" s="16">
        <v>35.235760932944608</v>
      </c>
      <c r="G157" s="16">
        <v>31.095230320699706</v>
      </c>
      <c r="H157" s="16">
        <v>27.011807580174928</v>
      </c>
      <c r="I157" s="16">
        <v>22.985492711370263</v>
      </c>
      <c r="J157" s="16">
        <v>19.016285714285715</v>
      </c>
    </row>
    <row r="158" spans="1:10">
      <c r="A158" t="s">
        <v>486</v>
      </c>
      <c r="B158" t="s">
        <v>310</v>
      </c>
      <c r="C158" s="16">
        <v>516</v>
      </c>
      <c r="D158" s="16">
        <v>490.2</v>
      </c>
      <c r="E158" s="16">
        <v>425.70000000000005</v>
      </c>
      <c r="F158" s="16">
        <v>402.05</v>
      </c>
      <c r="G158" s="16">
        <v>361.20000000000005</v>
      </c>
      <c r="H158" s="16">
        <v>338.625</v>
      </c>
      <c r="I158" s="16">
        <v>316.04999999999995</v>
      </c>
      <c r="J158" s="16">
        <v>293.47500000000002</v>
      </c>
    </row>
    <row r="159" spans="1:10">
      <c r="A159" t="s">
        <v>486</v>
      </c>
      <c r="B159" t="s">
        <v>312</v>
      </c>
      <c r="C159" s="16">
        <v>730</v>
      </c>
      <c r="D159" s="16">
        <v>709.14285714285711</v>
      </c>
      <c r="E159" s="16">
        <v>503.48571428571427</v>
      </c>
      <c r="F159" s="16">
        <v>309.02857142857147</v>
      </c>
      <c r="G159" s="16">
        <v>254.64285714285717</v>
      </c>
      <c r="H159" s="16">
        <v>203.14285714285717</v>
      </c>
      <c r="I159" s="16">
        <v>180.62857142857143</v>
      </c>
      <c r="J159" s="16">
        <v>159.20000000000002</v>
      </c>
    </row>
    <row r="160" spans="1:10">
      <c r="A160" t="s">
        <v>486</v>
      </c>
      <c r="B160" t="s">
        <v>313</v>
      </c>
      <c r="C160" s="16">
        <v>815</v>
      </c>
      <c r="D160" s="16">
        <v>791.71428571428567</v>
      </c>
      <c r="E160" s="16">
        <v>562.41428571428571</v>
      </c>
      <c r="F160" s="16">
        <v>345.6</v>
      </c>
      <c r="G160" s="16">
        <v>284.75714285714287</v>
      </c>
      <c r="H160" s="16">
        <v>227.14285714285717</v>
      </c>
      <c r="I160" s="16">
        <v>201.75714285714287</v>
      </c>
      <c r="J160" s="16">
        <v>177.60000000000002</v>
      </c>
    </row>
    <row r="161" spans="1:25">
      <c r="A161" t="s">
        <v>486</v>
      </c>
      <c r="B161" t="s">
        <v>416</v>
      </c>
      <c r="C161" s="16">
        <v>2200</v>
      </c>
      <c r="D161" s="16">
        <v>2090</v>
      </c>
      <c r="E161" s="16">
        <v>1980.0000000000002</v>
      </c>
      <c r="F161" s="16">
        <v>1925.0000000000002</v>
      </c>
      <c r="G161" s="16">
        <v>1870.0000000000002</v>
      </c>
      <c r="H161" s="16">
        <v>1870.0000000000002</v>
      </c>
      <c r="I161" s="16">
        <v>1870.0000000000002</v>
      </c>
      <c r="J161" s="16">
        <v>1870.0000000000002</v>
      </c>
      <c r="N161" t="s">
        <v>441</v>
      </c>
      <c r="O161" t="s">
        <v>442</v>
      </c>
    </row>
    <row r="162" spans="1:25" s="38" customFormat="1">
      <c r="A162" t="s">
        <v>486</v>
      </c>
      <c r="B162" t="s">
        <v>95</v>
      </c>
      <c r="C162" s="16">
        <v>2750</v>
      </c>
      <c r="D162" s="16">
        <v>2750</v>
      </c>
      <c r="E162" s="16">
        <v>2750</v>
      </c>
      <c r="F162" s="16">
        <v>2750</v>
      </c>
      <c r="G162" s="16">
        <v>2750</v>
      </c>
      <c r="H162" s="16">
        <v>2750</v>
      </c>
      <c r="I162" s="16">
        <v>2750</v>
      </c>
      <c r="J162" s="16">
        <v>2750</v>
      </c>
      <c r="K162"/>
      <c r="L162"/>
      <c r="M162"/>
      <c r="N162" t="s">
        <v>441</v>
      </c>
      <c r="O162" t="s">
        <v>442</v>
      </c>
      <c r="P162"/>
      <c r="Q162"/>
      <c r="R162"/>
      <c r="S162"/>
      <c r="T162"/>
      <c r="U162"/>
      <c r="V162"/>
      <c r="W162"/>
      <c r="X162"/>
      <c r="Y162"/>
    </row>
    <row r="163" spans="1:25" s="38" customFormat="1">
      <c r="A163" t="s">
        <v>486</v>
      </c>
      <c r="B163" t="s">
        <v>96</v>
      </c>
      <c r="C163" s="16">
        <v>2200</v>
      </c>
      <c r="D163" s="16">
        <v>2200</v>
      </c>
      <c r="E163" s="16">
        <v>2200</v>
      </c>
      <c r="F163" s="16">
        <v>2200</v>
      </c>
      <c r="G163" s="16">
        <v>2200</v>
      </c>
      <c r="H163" s="16">
        <v>2200</v>
      </c>
      <c r="I163" s="16">
        <v>2200</v>
      </c>
      <c r="J163" s="16">
        <v>2200</v>
      </c>
      <c r="K163"/>
      <c r="L163"/>
      <c r="M163"/>
      <c r="N163" t="s">
        <v>441</v>
      </c>
      <c r="O163" t="s">
        <v>442</v>
      </c>
      <c r="P163"/>
      <c r="Q163"/>
      <c r="R163"/>
      <c r="S163"/>
      <c r="T163"/>
      <c r="U163"/>
      <c r="V163"/>
      <c r="W163"/>
      <c r="X163"/>
      <c r="Y163"/>
    </row>
    <row r="164" spans="1:25" s="38" customFormat="1">
      <c r="A164" t="s">
        <v>486</v>
      </c>
      <c r="B164" t="s">
        <v>422</v>
      </c>
      <c r="C164" s="16">
        <v>935.00000000000011</v>
      </c>
      <c r="D164" s="16">
        <v>858.00000000000011</v>
      </c>
      <c r="E164" s="16">
        <v>847.00000000000011</v>
      </c>
      <c r="F164" s="16">
        <v>836.00000000000011</v>
      </c>
      <c r="G164" s="16">
        <v>825.00000000000011</v>
      </c>
      <c r="H164" s="16">
        <v>814.00000000000011</v>
      </c>
      <c r="I164" s="16">
        <v>814.00000000000011</v>
      </c>
      <c r="J164" s="16">
        <v>814.00000000000011</v>
      </c>
      <c r="K164"/>
      <c r="L164"/>
      <c r="M164"/>
      <c r="N164" t="s">
        <v>441</v>
      </c>
      <c r="O164" t="s">
        <v>442</v>
      </c>
      <c r="P164"/>
      <c r="Q164"/>
      <c r="R164"/>
      <c r="S164"/>
      <c r="T164"/>
      <c r="U164"/>
      <c r="V164"/>
      <c r="W164"/>
      <c r="X164"/>
      <c r="Y164"/>
    </row>
    <row r="165" spans="1:25">
      <c r="A165" t="s">
        <v>486</v>
      </c>
      <c r="B165" t="s">
        <v>420</v>
      </c>
      <c r="C165" s="16">
        <v>935.00000000000011</v>
      </c>
      <c r="D165" s="16">
        <v>858.00000000000011</v>
      </c>
      <c r="E165" s="16">
        <v>847.00000000000011</v>
      </c>
      <c r="F165" s="16">
        <v>836.00000000000011</v>
      </c>
      <c r="G165" s="16">
        <v>825.00000000000011</v>
      </c>
      <c r="H165" s="16">
        <v>814.00000000000011</v>
      </c>
      <c r="I165" s="16">
        <v>814.00000000000011</v>
      </c>
      <c r="J165" s="16">
        <v>814.00000000000011</v>
      </c>
      <c r="N165" t="s">
        <v>441</v>
      </c>
      <c r="O165" t="s">
        <v>442</v>
      </c>
    </row>
    <row r="166" spans="1:25">
      <c r="A166" t="s">
        <v>486</v>
      </c>
      <c r="B166" t="s">
        <v>424</v>
      </c>
      <c r="C166" s="16">
        <v>935.00000000000011</v>
      </c>
      <c r="D166" s="16">
        <v>858.00000000000011</v>
      </c>
      <c r="E166" s="16">
        <v>847.00000000000011</v>
      </c>
      <c r="F166" s="16">
        <v>836.00000000000011</v>
      </c>
      <c r="G166" s="16">
        <v>825.00000000000011</v>
      </c>
      <c r="H166" s="16">
        <v>814.00000000000011</v>
      </c>
      <c r="I166" s="16">
        <v>814.00000000000011</v>
      </c>
      <c r="J166" s="16">
        <v>814.00000000000011</v>
      </c>
      <c r="N166" t="s">
        <v>441</v>
      </c>
      <c r="O166" t="s">
        <v>442</v>
      </c>
    </row>
    <row r="167" spans="1:25">
      <c r="A167" t="s">
        <v>486</v>
      </c>
      <c r="B167" t="s">
        <v>417</v>
      </c>
      <c r="C167" s="16">
        <v>6342.1050000000005</v>
      </c>
      <c r="D167" s="16">
        <v>6342.1050000000005</v>
      </c>
      <c r="E167" s="16">
        <v>6342.1050000000005</v>
      </c>
      <c r="F167" s="16">
        <v>6342.1050000000005</v>
      </c>
      <c r="G167" s="16">
        <v>6342.1050000000005</v>
      </c>
      <c r="H167" s="16">
        <v>6342.1050000000005</v>
      </c>
      <c r="I167" s="16">
        <v>6342.1050000000005</v>
      </c>
      <c r="J167" s="16">
        <v>6342.1050000000005</v>
      </c>
      <c r="N167" t="s">
        <v>443</v>
      </c>
      <c r="O167" t="s">
        <v>444</v>
      </c>
    </row>
    <row r="168" spans="1:25">
      <c r="A168" t="s">
        <v>486</v>
      </c>
      <c r="B168" t="s">
        <v>418</v>
      </c>
      <c r="C168" s="16">
        <v>4125</v>
      </c>
      <c r="D168" s="16">
        <v>4125</v>
      </c>
      <c r="E168" s="16">
        <v>4125</v>
      </c>
      <c r="F168" s="16">
        <v>4125</v>
      </c>
      <c r="G168" s="16">
        <v>4125</v>
      </c>
      <c r="H168" s="16">
        <v>4125</v>
      </c>
      <c r="I168" s="16">
        <v>4125</v>
      </c>
      <c r="J168" s="16">
        <v>4125</v>
      </c>
      <c r="N168" t="s">
        <v>443</v>
      </c>
      <c r="O168" t="s">
        <v>444</v>
      </c>
    </row>
    <row r="169" spans="1:25">
      <c r="A169" t="s">
        <v>486</v>
      </c>
      <c r="B169" t="s">
        <v>419</v>
      </c>
      <c r="C169" s="16">
        <v>3300</v>
      </c>
      <c r="D169" s="16">
        <v>3300</v>
      </c>
      <c r="E169" s="16">
        <v>3300</v>
      </c>
      <c r="F169" s="16">
        <v>3300</v>
      </c>
      <c r="G169" s="16">
        <v>3300</v>
      </c>
      <c r="H169" s="16">
        <v>3300</v>
      </c>
      <c r="I169" s="16">
        <v>3300</v>
      </c>
      <c r="J169" s="16">
        <v>3300</v>
      </c>
      <c r="N169" t="s">
        <v>443</v>
      </c>
      <c r="O169" t="s">
        <v>444</v>
      </c>
    </row>
    <row r="170" spans="1:25">
      <c r="A170" t="s">
        <v>486</v>
      </c>
      <c r="B170" t="s">
        <v>423</v>
      </c>
      <c r="C170" s="16">
        <v>1402.5000000000002</v>
      </c>
      <c r="D170" s="16">
        <v>1287.0000000000002</v>
      </c>
      <c r="E170" s="16">
        <v>1270.5000000000002</v>
      </c>
      <c r="F170" s="16">
        <v>1254.0000000000002</v>
      </c>
      <c r="G170" s="16">
        <v>1237.5000000000002</v>
      </c>
      <c r="H170" s="16">
        <v>1221.0000000000002</v>
      </c>
      <c r="I170" s="16">
        <v>1221.0000000000002</v>
      </c>
      <c r="J170" s="16">
        <v>1221.0000000000002</v>
      </c>
      <c r="N170" t="s">
        <v>443</v>
      </c>
      <c r="O170" t="s">
        <v>444</v>
      </c>
    </row>
    <row r="171" spans="1:25">
      <c r="A171" t="s">
        <v>486</v>
      </c>
      <c r="B171" t="s">
        <v>421</v>
      </c>
      <c r="C171" s="16">
        <v>1402.5000000000002</v>
      </c>
      <c r="D171" s="16">
        <v>1287.0000000000002</v>
      </c>
      <c r="E171" s="16">
        <v>1270.5000000000002</v>
      </c>
      <c r="F171" s="16">
        <v>1254.0000000000002</v>
      </c>
      <c r="G171" s="16">
        <v>1237.5000000000002</v>
      </c>
      <c r="H171" s="16">
        <v>1221.0000000000002</v>
      </c>
      <c r="I171" s="16">
        <v>1221.0000000000002</v>
      </c>
      <c r="J171" s="16">
        <v>1221.0000000000002</v>
      </c>
      <c r="N171" t="s">
        <v>443</v>
      </c>
      <c r="O171" t="s">
        <v>444</v>
      </c>
    </row>
    <row r="172" spans="1:25">
      <c r="A172" t="s">
        <v>486</v>
      </c>
      <c r="B172" t="s">
        <v>425</v>
      </c>
      <c r="C172" s="16">
        <v>1100</v>
      </c>
      <c r="D172" s="16">
        <v>1081.25</v>
      </c>
      <c r="E172" s="16">
        <v>1034.375</v>
      </c>
      <c r="F172" s="16">
        <v>987.5</v>
      </c>
      <c r="G172" s="16">
        <v>940.625</v>
      </c>
      <c r="H172" s="16">
        <v>893.75</v>
      </c>
      <c r="I172" s="16">
        <v>846.875</v>
      </c>
      <c r="J172" s="16">
        <v>800</v>
      </c>
      <c r="N172" t="s">
        <v>445</v>
      </c>
      <c r="O172" t="s">
        <v>436</v>
      </c>
      <c r="P172" t="s">
        <v>435</v>
      </c>
    </row>
    <row r="173" spans="1:25">
      <c r="A173" t="s">
        <v>486</v>
      </c>
      <c r="B173" t="s">
        <v>427</v>
      </c>
      <c r="C173" s="16">
        <v>1</v>
      </c>
      <c r="D173" s="16">
        <v>1</v>
      </c>
      <c r="E173" s="16">
        <v>1</v>
      </c>
      <c r="F173" s="16">
        <v>1</v>
      </c>
      <c r="G173" s="16">
        <v>1</v>
      </c>
      <c r="H173" s="16">
        <v>1</v>
      </c>
      <c r="I173" s="16">
        <v>1</v>
      </c>
      <c r="J173" s="16">
        <v>1</v>
      </c>
      <c r="N173" t="s">
        <v>446</v>
      </c>
    </row>
    <row r="174" spans="1:25">
      <c r="A174" t="s">
        <v>486</v>
      </c>
      <c r="B174" t="s">
        <v>428</v>
      </c>
      <c r="C174" s="16">
        <v>1</v>
      </c>
      <c r="D174" s="16">
        <v>1</v>
      </c>
      <c r="E174" s="16">
        <v>1</v>
      </c>
      <c r="F174" s="16">
        <v>1</v>
      </c>
      <c r="G174" s="16">
        <v>1</v>
      </c>
      <c r="H174" s="16">
        <v>1</v>
      </c>
      <c r="I174" s="16">
        <v>1</v>
      </c>
      <c r="J174" s="16">
        <v>1</v>
      </c>
      <c r="N174" t="s">
        <v>446</v>
      </c>
    </row>
    <row r="175" spans="1:25">
      <c r="A175" t="s">
        <v>486</v>
      </c>
      <c r="B175" t="s">
        <v>426</v>
      </c>
      <c r="C175" s="16">
        <v>930</v>
      </c>
      <c r="D175" s="16">
        <v>930</v>
      </c>
      <c r="E175" s="16">
        <v>930</v>
      </c>
      <c r="F175" s="16">
        <v>930</v>
      </c>
      <c r="G175" s="16">
        <v>930</v>
      </c>
      <c r="H175" s="16">
        <v>930</v>
      </c>
      <c r="I175" s="16">
        <v>930</v>
      </c>
      <c r="J175" s="16">
        <v>930</v>
      </c>
      <c r="N175" t="s">
        <v>498</v>
      </c>
    </row>
    <row r="176" spans="1:25">
      <c r="A176" t="s">
        <v>486</v>
      </c>
      <c r="B176" t="s">
        <v>440</v>
      </c>
      <c r="C176" s="16">
        <v>1200</v>
      </c>
      <c r="D176" s="16">
        <v>612</v>
      </c>
      <c r="E176" s="16">
        <v>444</v>
      </c>
      <c r="F176" s="16">
        <v>360</v>
      </c>
      <c r="G176" s="16">
        <v>312</v>
      </c>
      <c r="H176" s="16">
        <v>276</v>
      </c>
      <c r="I176" s="16">
        <v>252</v>
      </c>
      <c r="J176" s="16">
        <v>228</v>
      </c>
    </row>
    <row r="177" spans="1:14">
      <c r="A177" t="s">
        <v>486</v>
      </c>
      <c r="B177" t="s">
        <v>429</v>
      </c>
      <c r="C177" s="16">
        <v>700</v>
      </c>
      <c r="D177" s="16">
        <v>642.35294117647061</v>
      </c>
      <c r="E177" s="16">
        <v>634.11764705882354</v>
      </c>
      <c r="F177" s="16">
        <v>625.88235294117646</v>
      </c>
      <c r="G177" s="16">
        <v>617.64705882352939</v>
      </c>
      <c r="H177" s="16">
        <v>609.41176470588232</v>
      </c>
      <c r="I177" s="16">
        <v>609.41176470588232</v>
      </c>
      <c r="J177" s="16">
        <v>609.41176470588232</v>
      </c>
      <c r="N177" t="s">
        <v>454</v>
      </c>
    </row>
    <row r="178" spans="1:14">
      <c r="A178" t="s">
        <v>486</v>
      </c>
      <c r="B178" t="s">
        <v>431</v>
      </c>
      <c r="C178" s="41">
        <v>400</v>
      </c>
      <c r="D178" s="41">
        <v>381.39534883720933</v>
      </c>
      <c r="E178" s="41">
        <v>372.09302325581399</v>
      </c>
      <c r="F178" s="41">
        <v>372.09302325581399</v>
      </c>
      <c r="G178" s="41">
        <v>372.09302325581399</v>
      </c>
      <c r="H178" s="41">
        <v>372.09302325581399</v>
      </c>
      <c r="I178" s="41">
        <v>372.09302325581399</v>
      </c>
      <c r="J178" s="41">
        <v>372.09302325581399</v>
      </c>
      <c r="N178" t="s">
        <v>454</v>
      </c>
    </row>
    <row r="179" spans="1:14">
      <c r="A179" t="s">
        <v>486</v>
      </c>
      <c r="B179" t="s">
        <v>430</v>
      </c>
      <c r="C179" s="41">
        <v>620</v>
      </c>
      <c r="D179" s="41">
        <v>590</v>
      </c>
      <c r="E179" s="41">
        <v>580</v>
      </c>
      <c r="F179" s="41">
        <v>570</v>
      </c>
      <c r="G179" s="41">
        <v>560</v>
      </c>
      <c r="H179" s="41">
        <v>560</v>
      </c>
      <c r="I179" s="41">
        <v>560</v>
      </c>
      <c r="J179" s="41">
        <v>560</v>
      </c>
      <c r="N179" t="s">
        <v>454</v>
      </c>
    </row>
    <row r="180" spans="1:14">
      <c r="A180" t="s">
        <v>486</v>
      </c>
      <c r="B180" s="2" t="s">
        <v>500</v>
      </c>
      <c r="C180" s="20">
        <v>10.771963824289404</v>
      </c>
      <c r="D180" s="20">
        <v>10.618078626799555</v>
      </c>
      <c r="E180" s="20">
        <v>10.464193429309708</v>
      </c>
      <c r="F180" s="20">
        <v>10.310308231819858</v>
      </c>
      <c r="G180" s="20">
        <v>10.156423034330009</v>
      </c>
      <c r="H180" s="20">
        <v>10.002537836840164</v>
      </c>
      <c r="I180" s="20">
        <v>9.8486526393503127</v>
      </c>
      <c r="J180" s="20">
        <v>9.6947674418604635</v>
      </c>
      <c r="L180" s="20"/>
      <c r="N180" s="50"/>
    </row>
    <row r="181" spans="1:14">
      <c r="A181" t="s">
        <v>486</v>
      </c>
      <c r="B181" s="2" t="s">
        <v>499</v>
      </c>
      <c r="C181">
        <v>10.818798449612403</v>
      </c>
      <c r="D181">
        <v>10.537790697674417</v>
      </c>
      <c r="E181">
        <v>10.256782945736434</v>
      </c>
      <c r="F181">
        <v>9.9757751937984498</v>
      </c>
      <c r="G181">
        <v>9.6947674418604652</v>
      </c>
      <c r="H181">
        <v>9.4137596899224825</v>
      </c>
      <c r="I181">
        <v>9.1327519379844961</v>
      </c>
      <c r="J181">
        <v>8.8517441860465116</v>
      </c>
      <c r="L181" s="20"/>
    </row>
    <row r="182" spans="1:14">
      <c r="A182" t="s">
        <v>486</v>
      </c>
      <c r="B182" t="s">
        <v>488</v>
      </c>
      <c r="C182" s="16">
        <v>10.303617571059432</v>
      </c>
      <c r="D182" s="16">
        <v>10.46610504666983</v>
      </c>
      <c r="E182" s="16">
        <v>10.605653113958761</v>
      </c>
      <c r="F182" s="16">
        <v>10.722261772926224</v>
      </c>
      <c r="G182" s="16">
        <v>10.815931023572221</v>
      </c>
      <c r="H182" s="16">
        <v>10.886660865896749</v>
      </c>
      <c r="I182" s="16">
        <v>10.934451299899804</v>
      </c>
      <c r="J182" s="16">
        <v>10.959302325581396</v>
      </c>
    </row>
    <row r="183" spans="1:14">
      <c r="A183" t="s">
        <v>486</v>
      </c>
      <c r="B183" t="s">
        <v>489</v>
      </c>
      <c r="C183" s="16">
        <v>10.303617571059432</v>
      </c>
      <c r="D183" s="16">
        <v>10.46610504666983</v>
      </c>
      <c r="E183" s="16">
        <v>10.605653113958761</v>
      </c>
      <c r="F183" s="16">
        <v>10.722261772926224</v>
      </c>
      <c r="G183" s="16">
        <v>10.815931023572221</v>
      </c>
      <c r="H183" s="16">
        <v>10.886660865896749</v>
      </c>
      <c r="I183" s="16">
        <v>10.934451299899804</v>
      </c>
      <c r="J183" s="16">
        <v>10.959302325581396</v>
      </c>
    </row>
    <row r="184" spans="1:14">
      <c r="A184" t="s">
        <v>486</v>
      </c>
      <c r="B184" t="s">
        <v>490</v>
      </c>
      <c r="C184" s="16">
        <v>10.303617571059432</v>
      </c>
      <c r="D184" s="16">
        <v>10.46610504666983</v>
      </c>
      <c r="E184" s="16">
        <v>10.605653113958761</v>
      </c>
      <c r="F184" s="16">
        <v>10.722261772926224</v>
      </c>
      <c r="G184" s="16">
        <v>10.815931023572221</v>
      </c>
      <c r="H184" s="16">
        <v>10.886660865896749</v>
      </c>
      <c r="I184" s="16">
        <v>10.934451299899804</v>
      </c>
      <c r="J184" s="16">
        <v>10.959302325581396</v>
      </c>
    </row>
    <row r="185" spans="1:14">
      <c r="B185" s="2"/>
      <c r="C185" s="16"/>
      <c r="D185" s="16"/>
      <c r="E185" s="16"/>
      <c r="F185" s="16"/>
      <c r="G185" s="16"/>
      <c r="H185" s="16"/>
      <c r="I185" s="16"/>
      <c r="J185" s="16"/>
    </row>
    <row r="186" spans="1:14">
      <c r="B186" s="2"/>
      <c r="C186" s="16"/>
      <c r="D186" s="16"/>
      <c r="E186" s="16"/>
      <c r="F186" s="16"/>
      <c r="G186" s="16"/>
      <c r="H186" s="16"/>
      <c r="I186" s="16"/>
      <c r="J186" s="16"/>
    </row>
    <row r="187" spans="1:14">
      <c r="B187" s="2"/>
      <c r="C187" s="16"/>
      <c r="D187" s="16"/>
      <c r="E187" s="16"/>
      <c r="F187" s="16"/>
      <c r="G187" s="16"/>
      <c r="H187" s="16"/>
      <c r="I187" s="16"/>
      <c r="J187" s="16"/>
    </row>
    <row r="188" spans="1:14">
      <c r="B188" s="2"/>
      <c r="C188" s="16"/>
      <c r="D188" s="16"/>
      <c r="E188" s="16"/>
      <c r="F188" s="16"/>
      <c r="G188" s="16"/>
      <c r="H188" s="16"/>
      <c r="I188" s="16"/>
      <c r="J188" s="16"/>
    </row>
    <row r="189" spans="1:14">
      <c r="B189" s="2"/>
      <c r="C189" s="16"/>
      <c r="D189" s="16"/>
      <c r="E189" s="16"/>
      <c r="F189" s="16"/>
      <c r="G189" s="16"/>
      <c r="H189" s="16"/>
      <c r="I189" s="16"/>
      <c r="J189" s="16"/>
    </row>
    <row r="190" spans="1:14">
      <c r="B190" s="2"/>
      <c r="C190" s="16"/>
      <c r="D190" s="16"/>
      <c r="E190" s="16"/>
      <c r="F190" s="16"/>
      <c r="G190" s="16"/>
      <c r="H190" s="16"/>
      <c r="I190" s="16"/>
      <c r="J190" s="16"/>
    </row>
    <row r="191" spans="1:14">
      <c r="C191" s="18"/>
      <c r="D191" s="18"/>
      <c r="E191" s="18"/>
      <c r="F191" s="18"/>
      <c r="G191" s="18"/>
      <c r="H191" s="18"/>
      <c r="I191" s="18"/>
      <c r="J191" s="18"/>
    </row>
    <row r="192" spans="1:14">
      <c r="C192" s="16"/>
      <c r="D192" s="16"/>
      <c r="E192" s="16"/>
      <c r="F192" s="16"/>
      <c r="G192" s="16"/>
      <c r="H192" s="16"/>
      <c r="I192" s="16"/>
      <c r="J192" s="16"/>
    </row>
    <row r="198" spans="3:10">
      <c r="C198" s="17"/>
      <c r="F198" s="17"/>
      <c r="H198" s="17"/>
      <c r="J198" s="17"/>
    </row>
    <row r="199" spans="3:10">
      <c r="C199" s="17"/>
      <c r="D199" s="17"/>
      <c r="E199" s="17"/>
      <c r="F199" s="17"/>
      <c r="G199" s="17"/>
      <c r="H199" s="17"/>
      <c r="I199" s="17"/>
      <c r="J199" s="17"/>
    </row>
    <row r="204" spans="3:10">
      <c r="C204" s="19"/>
      <c r="D204" s="19"/>
      <c r="E204" s="19"/>
      <c r="F204" s="19"/>
      <c r="G204" s="19"/>
      <c r="H204" s="19"/>
      <c r="I204" s="19"/>
      <c r="J204" s="19"/>
    </row>
    <row r="205" spans="3:10">
      <c r="C205" s="16"/>
      <c r="D205" s="16"/>
      <c r="E205" s="16"/>
      <c r="F205" s="16"/>
      <c r="G205" s="16"/>
      <c r="H205" s="16"/>
      <c r="I205" s="16"/>
      <c r="J205" s="16"/>
    </row>
    <row r="206" spans="3:10">
      <c r="C206" s="16"/>
      <c r="D206" s="16"/>
      <c r="E206" s="16"/>
      <c r="F206" s="16"/>
      <c r="G206" s="16"/>
      <c r="H206" s="16"/>
      <c r="I206" s="16"/>
      <c r="J206" s="16"/>
    </row>
    <row r="207" spans="3:10">
      <c r="C207" s="16"/>
      <c r="D207" s="16"/>
      <c r="E207" s="16"/>
      <c r="F207" s="16"/>
      <c r="G207" s="16"/>
      <c r="H207" s="16"/>
      <c r="I207" s="16"/>
      <c r="J207" s="16"/>
    </row>
    <row r="208" spans="3:10">
      <c r="C208" s="16"/>
      <c r="D208" s="16"/>
      <c r="E208" s="16"/>
      <c r="F208" s="16"/>
      <c r="G208" s="16"/>
      <c r="H208" s="16"/>
      <c r="I208" s="16"/>
      <c r="J208" s="16"/>
    </row>
    <row r="209" spans="3:10">
      <c r="C209" s="16"/>
      <c r="D209" s="16"/>
      <c r="E209" s="16"/>
      <c r="F209" s="16"/>
      <c r="G209" s="16"/>
      <c r="H209" s="16"/>
      <c r="I209" s="16"/>
      <c r="J209" s="16"/>
    </row>
    <row r="210" spans="3:10">
      <c r="C210" s="16"/>
      <c r="D210" s="16"/>
      <c r="E210" s="16"/>
      <c r="F210" s="16"/>
      <c r="G210" s="16"/>
      <c r="H210" s="16"/>
      <c r="I210" s="16"/>
      <c r="J210" s="16"/>
    </row>
    <row r="211" spans="3:10">
      <c r="C211" s="16"/>
      <c r="D211" s="16"/>
      <c r="E211" s="16"/>
      <c r="F211" s="16"/>
      <c r="G211" s="16"/>
      <c r="H211" s="16"/>
      <c r="I211" s="16"/>
      <c r="J211" s="16"/>
    </row>
    <row r="212" spans="3:10">
      <c r="C212" s="19"/>
      <c r="D212" s="19"/>
      <c r="E212" s="19"/>
      <c r="F212" s="19"/>
      <c r="G212" s="19"/>
      <c r="H212" s="19"/>
      <c r="I212" s="19"/>
      <c r="J212" s="19"/>
    </row>
    <row r="213" spans="3:10">
      <c r="C213" s="19"/>
      <c r="D213" s="19"/>
      <c r="E213" s="19"/>
      <c r="F213" s="19"/>
      <c r="G213" s="19"/>
      <c r="H213" s="19"/>
      <c r="I213" s="19"/>
      <c r="J213" s="19"/>
    </row>
    <row r="214" spans="3:10">
      <c r="C214" s="16"/>
      <c r="D214" s="16"/>
      <c r="E214" s="16"/>
      <c r="F214" s="16"/>
      <c r="G214" s="16"/>
      <c r="H214" s="16"/>
      <c r="I214" s="16"/>
      <c r="J214" s="16"/>
    </row>
    <row r="215" spans="3:10">
      <c r="C215" s="16"/>
      <c r="D215" s="16"/>
      <c r="E215" s="16"/>
      <c r="F215" s="16"/>
      <c r="G215" s="16"/>
      <c r="H215" s="16"/>
      <c r="I215" s="16"/>
      <c r="J215" s="16"/>
    </row>
    <row r="216" spans="3:10">
      <c r="C216" s="16"/>
      <c r="D216" s="16"/>
      <c r="E216" s="16"/>
      <c r="F216" s="16"/>
      <c r="G216" s="16"/>
      <c r="H216" s="16"/>
      <c r="I216" s="16"/>
      <c r="J216" s="16"/>
    </row>
    <row r="217" spans="3:10">
      <c r="C217" s="16"/>
      <c r="D217" s="16"/>
      <c r="E217" s="16"/>
      <c r="F217" s="16"/>
      <c r="G217" s="16"/>
      <c r="H217" s="16"/>
      <c r="I217" s="16"/>
      <c r="J217" s="16"/>
    </row>
    <row r="218" spans="3:10">
      <c r="C218" s="16"/>
      <c r="D218" s="16"/>
      <c r="E218" s="16"/>
      <c r="F218" s="16"/>
      <c r="G218" s="16"/>
      <c r="H218" s="16"/>
      <c r="I218" s="16"/>
      <c r="J218" s="16"/>
    </row>
    <row r="219" spans="3:10">
      <c r="C219" s="16"/>
      <c r="D219" s="16"/>
      <c r="E219" s="16"/>
      <c r="F219" s="16"/>
      <c r="G219" s="16"/>
      <c r="H219" s="16"/>
      <c r="I219" s="16"/>
      <c r="J219" s="16"/>
    </row>
    <row r="220" spans="3:10">
      <c r="C220" s="16"/>
      <c r="D220" s="16"/>
      <c r="E220" s="16"/>
      <c r="F220" s="16"/>
      <c r="G220" s="16"/>
      <c r="H220" s="16"/>
      <c r="I220" s="16"/>
      <c r="J220" s="16"/>
    </row>
    <row r="221" spans="3:10">
      <c r="C221" s="16"/>
      <c r="D221" s="16"/>
      <c r="E221" s="16"/>
      <c r="F221" s="16"/>
      <c r="G221" s="16"/>
      <c r="H221" s="16"/>
      <c r="I221" s="16"/>
      <c r="J221" s="16"/>
    </row>
    <row r="222" spans="3:10">
      <c r="C222" s="16"/>
      <c r="D222" s="16"/>
      <c r="E222" s="16"/>
      <c r="F222" s="16"/>
      <c r="G222" s="16"/>
      <c r="H222" s="16"/>
      <c r="I222" s="16"/>
      <c r="J222" s="16"/>
    </row>
    <row r="223" spans="3:10">
      <c r="C223" s="16"/>
      <c r="D223" s="16"/>
      <c r="E223" s="16"/>
      <c r="F223" s="16"/>
      <c r="G223" s="16"/>
      <c r="H223" s="16"/>
      <c r="I223" s="16"/>
      <c r="J223" s="16"/>
    </row>
    <row r="224" spans="3:10">
      <c r="C224" s="16"/>
      <c r="D224" s="16"/>
      <c r="E224" s="16"/>
      <c r="F224" s="16"/>
      <c r="G224" s="16"/>
      <c r="H224" s="16"/>
      <c r="I224" s="16"/>
      <c r="J224" s="16"/>
    </row>
    <row r="225" spans="3:10">
      <c r="C225" s="16"/>
      <c r="D225" s="16"/>
      <c r="E225" s="16"/>
      <c r="F225" s="16"/>
      <c r="G225" s="16"/>
      <c r="H225" s="16"/>
      <c r="I225" s="16"/>
      <c r="J225" s="16"/>
    </row>
    <row r="226" spans="3:10">
      <c r="C226" s="16"/>
      <c r="D226" s="16"/>
      <c r="E226" s="16"/>
      <c r="F226" s="16"/>
      <c r="G226" s="16"/>
      <c r="H226" s="16"/>
      <c r="I226" s="16"/>
      <c r="J226" s="16"/>
    </row>
    <row r="227" spans="3:10">
      <c r="C227" s="16"/>
      <c r="D227" s="16"/>
      <c r="E227" s="16"/>
      <c r="F227" s="16"/>
      <c r="G227" s="16"/>
      <c r="H227" s="16"/>
      <c r="I227" s="16"/>
      <c r="J227" s="16"/>
    </row>
    <row r="228" spans="3:10">
      <c r="C228" s="16"/>
      <c r="D228" s="16"/>
      <c r="E228" s="16"/>
      <c r="F228" s="16"/>
      <c r="G228" s="16"/>
      <c r="H228" s="16"/>
      <c r="I228" s="16"/>
      <c r="J228" s="16"/>
    </row>
    <row r="229" spans="3:10">
      <c r="C229" s="16"/>
      <c r="D229" s="16"/>
      <c r="E229" s="16"/>
      <c r="F229" s="16"/>
      <c r="G229" s="16"/>
      <c r="H229" s="16"/>
      <c r="I229" s="16"/>
      <c r="J229" s="16"/>
    </row>
    <row r="230" spans="3:10">
      <c r="C230" s="16"/>
      <c r="D230" s="16"/>
      <c r="E230" s="16"/>
      <c r="F230" s="16"/>
      <c r="G230" s="16"/>
      <c r="H230" s="16"/>
      <c r="I230" s="16"/>
      <c r="J230" s="16"/>
    </row>
    <row r="231" spans="3:10">
      <c r="C231" s="16"/>
      <c r="D231" s="16"/>
      <c r="E231" s="16"/>
      <c r="F231" s="16"/>
      <c r="G231" s="16"/>
      <c r="H231" s="16"/>
      <c r="I231" s="16"/>
      <c r="J231" s="16"/>
    </row>
    <row r="232" spans="3:10">
      <c r="C232" s="16"/>
      <c r="D232" s="16"/>
      <c r="E232" s="16"/>
      <c r="F232" s="16"/>
      <c r="G232" s="16"/>
      <c r="H232" s="16"/>
      <c r="I232" s="16"/>
      <c r="J232" s="16"/>
    </row>
    <row r="233" spans="3:10">
      <c r="C233" s="16"/>
      <c r="D233" s="16"/>
      <c r="E233" s="16"/>
      <c r="F233" s="16"/>
      <c r="G233" s="16"/>
      <c r="H233" s="16"/>
      <c r="I233" s="16"/>
      <c r="J233" s="16"/>
    </row>
    <row r="234" spans="3:10">
      <c r="C234" s="16"/>
      <c r="D234" s="16"/>
      <c r="E234" s="16"/>
      <c r="F234" s="16"/>
      <c r="G234" s="16"/>
      <c r="H234" s="16"/>
      <c r="I234" s="16"/>
      <c r="J234" s="16"/>
    </row>
    <row r="235" spans="3:10">
      <c r="C235" s="16"/>
      <c r="D235" s="16"/>
      <c r="E235" s="16"/>
      <c r="F235" s="16"/>
      <c r="G235" s="16"/>
      <c r="H235" s="16"/>
      <c r="I235" s="16"/>
      <c r="J235" s="16"/>
    </row>
    <row r="236" spans="3:10">
      <c r="C236" s="16"/>
      <c r="D236" s="16"/>
      <c r="E236" s="16"/>
      <c r="F236" s="16"/>
      <c r="G236" s="16"/>
      <c r="H236" s="16"/>
      <c r="I236" s="16"/>
      <c r="J236" s="16"/>
    </row>
    <row r="237" spans="3:10">
      <c r="C237" s="16"/>
      <c r="D237" s="16"/>
      <c r="E237" s="16"/>
      <c r="F237" s="16"/>
      <c r="G237" s="16"/>
      <c r="H237" s="16"/>
      <c r="I237" s="16"/>
      <c r="J237" s="16"/>
    </row>
    <row r="238" spans="3:10">
      <c r="C238" s="16"/>
      <c r="D238" s="16"/>
      <c r="E238" s="16"/>
      <c r="F238" s="16"/>
      <c r="G238" s="16"/>
      <c r="H238" s="16"/>
      <c r="I238" s="16"/>
      <c r="J238" s="16"/>
    </row>
    <row r="239" spans="3:10">
      <c r="C239" s="16"/>
      <c r="D239" s="16"/>
      <c r="E239" s="16"/>
      <c r="F239" s="16"/>
      <c r="G239" s="16"/>
      <c r="H239" s="16"/>
      <c r="I239" s="16"/>
      <c r="J239" s="16"/>
    </row>
    <row r="240" spans="3:10">
      <c r="C240" s="16"/>
      <c r="D240" s="16"/>
      <c r="E240" s="16"/>
      <c r="F240" s="16"/>
      <c r="G240" s="16"/>
      <c r="H240" s="16"/>
      <c r="I240" s="16"/>
      <c r="J240" s="16"/>
    </row>
    <row r="241" spans="2:10">
      <c r="C241" s="16"/>
      <c r="D241" s="16"/>
      <c r="E241" s="16"/>
      <c r="F241" s="16"/>
      <c r="G241" s="16"/>
      <c r="H241" s="16"/>
      <c r="I241" s="16"/>
      <c r="J241" s="16"/>
    </row>
    <row r="242" spans="2:10">
      <c r="B242" s="15"/>
      <c r="C242" s="16"/>
      <c r="D242" s="16"/>
      <c r="E242" s="16"/>
      <c r="F242" s="16"/>
      <c r="G242" s="16"/>
      <c r="H242" s="16"/>
      <c r="I242" s="16"/>
      <c r="J242" s="16"/>
    </row>
    <row r="243" spans="2:10">
      <c r="B243" s="15"/>
      <c r="C243" s="16"/>
      <c r="D243" s="16"/>
      <c r="E243" s="16"/>
      <c r="F243" s="16"/>
      <c r="G243" s="16"/>
      <c r="H243" s="16"/>
      <c r="I243" s="16"/>
      <c r="J243" s="16"/>
    </row>
    <row r="244" spans="2:10">
      <c r="B244" s="15"/>
      <c r="C244" s="16"/>
      <c r="D244" s="16"/>
      <c r="E244" s="16"/>
      <c r="F244" s="16"/>
      <c r="G244" s="16"/>
      <c r="H244" s="16"/>
      <c r="I244" s="16"/>
      <c r="J244" s="16"/>
    </row>
    <row r="245" spans="2:10">
      <c r="B245" s="15"/>
      <c r="C245" s="16"/>
      <c r="D245" s="16"/>
      <c r="E245" s="16"/>
      <c r="F245" s="16"/>
      <c r="G245" s="16"/>
      <c r="H245" s="16"/>
      <c r="I245" s="16"/>
      <c r="J245" s="16"/>
    </row>
    <row r="246" spans="2:10">
      <c r="B246" s="15"/>
      <c r="C246" s="16"/>
      <c r="D246" s="16"/>
      <c r="E246" s="16"/>
      <c r="F246" s="16"/>
      <c r="G246" s="16"/>
      <c r="H246" s="16"/>
      <c r="I246" s="16"/>
      <c r="J246" s="16"/>
    </row>
    <row r="247" spans="2:10">
      <c r="B247" s="15"/>
      <c r="C247" s="16"/>
      <c r="D247" s="16"/>
      <c r="E247" s="16"/>
      <c r="F247" s="16"/>
      <c r="G247" s="16"/>
      <c r="H247" s="16"/>
      <c r="I247" s="16"/>
      <c r="J247" s="16"/>
    </row>
    <row r="248" spans="2:10">
      <c r="C248" s="16"/>
      <c r="D248" s="16"/>
      <c r="E248" s="16"/>
      <c r="F248" s="16"/>
      <c r="G248" s="16"/>
      <c r="H248" s="16"/>
      <c r="I248" s="16"/>
      <c r="J248" s="16"/>
    </row>
    <row r="249" spans="2:10">
      <c r="C249" s="16"/>
      <c r="D249" s="16"/>
      <c r="E249" s="16"/>
      <c r="F249" s="16"/>
      <c r="G249" s="16"/>
      <c r="H249" s="16"/>
      <c r="I249" s="16"/>
      <c r="J249" s="16"/>
    </row>
    <row r="250" spans="2:10">
      <c r="C250" s="16"/>
      <c r="D250" s="16"/>
      <c r="E250" s="16"/>
      <c r="F250" s="16"/>
      <c r="G250" s="16"/>
      <c r="H250" s="16"/>
      <c r="I250" s="16"/>
      <c r="J250" s="16"/>
    </row>
    <row r="251" spans="2:10">
      <c r="C251" s="16"/>
      <c r="D251" s="16"/>
      <c r="E251" s="16"/>
      <c r="F251" s="16"/>
      <c r="G251" s="16"/>
      <c r="H251" s="16"/>
      <c r="I251" s="16"/>
      <c r="J251" s="16"/>
    </row>
    <row r="252" spans="2:10">
      <c r="C252" s="16"/>
      <c r="D252" s="16"/>
      <c r="E252" s="16"/>
      <c r="F252" s="16"/>
      <c r="G252" s="16"/>
      <c r="H252" s="16"/>
      <c r="I252" s="16"/>
      <c r="J252" s="16"/>
    </row>
    <row r="253" spans="2:10">
      <c r="C253" s="16"/>
      <c r="D253" s="16"/>
      <c r="E253" s="16"/>
      <c r="F253" s="16"/>
      <c r="G253" s="16"/>
      <c r="H253" s="16"/>
      <c r="I253" s="16"/>
      <c r="J253" s="16"/>
    </row>
    <row r="254" spans="2:10">
      <c r="C254" s="16"/>
      <c r="D254" s="16"/>
      <c r="E254" s="16"/>
      <c r="F254" s="16"/>
      <c r="G254" s="16"/>
      <c r="H254" s="16"/>
      <c r="I254" s="16"/>
      <c r="J254" s="16"/>
    </row>
    <row r="255" spans="2:10">
      <c r="C255" s="16"/>
      <c r="D255" s="16"/>
      <c r="E255" s="16"/>
      <c r="F255" s="16"/>
      <c r="G255" s="16"/>
      <c r="H255" s="16"/>
      <c r="I255" s="16"/>
      <c r="J255" s="16"/>
    </row>
    <row r="256" spans="2:10">
      <c r="C256" s="16"/>
      <c r="D256" s="16"/>
      <c r="E256" s="16"/>
      <c r="F256" s="16"/>
      <c r="G256" s="16"/>
      <c r="H256" s="16"/>
      <c r="I256" s="16"/>
      <c r="J256" s="16"/>
    </row>
    <row r="257" spans="1:10">
      <c r="C257" s="19"/>
      <c r="D257" s="19"/>
      <c r="E257" s="19"/>
      <c r="F257" s="19"/>
      <c r="G257" s="19"/>
      <c r="H257" s="19"/>
      <c r="I257" s="19"/>
      <c r="J257" s="19"/>
    </row>
    <row r="258" spans="1:10">
      <c r="C258" s="19"/>
      <c r="D258" s="19"/>
      <c r="E258" s="19"/>
      <c r="F258" s="19"/>
      <c r="G258" s="19"/>
      <c r="H258" s="19"/>
      <c r="I258" s="19"/>
      <c r="J258" s="19"/>
    </row>
    <row r="259" spans="1:10">
      <c r="C259" s="19"/>
      <c r="D259" s="19"/>
      <c r="E259" s="19"/>
      <c r="F259" s="19"/>
      <c r="G259" s="19"/>
      <c r="H259" s="19"/>
      <c r="I259" s="19"/>
      <c r="J259" s="19"/>
    </row>
    <row r="260" spans="1:10">
      <c r="C260" s="19"/>
      <c r="D260" s="19"/>
      <c r="E260" s="19"/>
      <c r="F260" s="19"/>
      <c r="G260" s="19"/>
      <c r="H260" s="19"/>
      <c r="I260" s="19"/>
      <c r="J260" s="19"/>
    </row>
    <row r="261" spans="1:10">
      <c r="C261" s="19"/>
      <c r="D261" s="19"/>
      <c r="E261" s="19"/>
      <c r="F261" s="19"/>
      <c r="G261" s="19"/>
      <c r="H261" s="19"/>
      <c r="I261" s="19"/>
      <c r="J261" s="19"/>
    </row>
    <row r="262" spans="1:10">
      <c r="C262" s="19"/>
      <c r="D262" s="19"/>
      <c r="E262" s="19"/>
      <c r="F262" s="19"/>
      <c r="G262" s="19"/>
      <c r="H262" s="19"/>
      <c r="I262" s="19"/>
      <c r="J262" s="19"/>
    </row>
    <row r="263" spans="1:10">
      <c r="C263" s="16"/>
      <c r="D263" s="16"/>
      <c r="E263" s="16"/>
      <c r="F263" s="16"/>
      <c r="G263" s="16"/>
      <c r="H263" s="16"/>
      <c r="I263" s="16"/>
      <c r="J263" s="16"/>
    </row>
    <row r="264" spans="1:10">
      <c r="C264" s="16"/>
      <c r="D264" s="16"/>
      <c r="E264" s="16"/>
      <c r="F264" s="16"/>
      <c r="G264" s="16"/>
      <c r="H264" s="16"/>
      <c r="I264" s="16"/>
      <c r="J264" s="16"/>
    </row>
    <row r="265" spans="1:10">
      <c r="C265" s="19"/>
      <c r="D265" s="16"/>
      <c r="E265" s="16"/>
      <c r="F265" s="16"/>
      <c r="G265" s="16"/>
      <c r="H265" s="16"/>
      <c r="I265" s="16"/>
      <c r="J265" s="19"/>
    </row>
    <row r="266" spans="1:10">
      <c r="C266" s="19"/>
      <c r="D266" s="19"/>
      <c r="E266" s="19"/>
      <c r="F266" s="19"/>
      <c r="G266" s="19"/>
      <c r="H266" s="19"/>
      <c r="I266" s="19"/>
      <c r="J266" s="19"/>
    </row>
    <row r="267" spans="1:10">
      <c r="C267" s="19"/>
      <c r="D267" s="19"/>
      <c r="E267" s="19"/>
      <c r="F267" s="19"/>
      <c r="G267" s="19"/>
      <c r="H267" s="19"/>
      <c r="I267" s="19"/>
      <c r="J267" s="19"/>
    </row>
    <row r="268" spans="1:10">
      <c r="C268" s="16"/>
      <c r="D268" s="16"/>
      <c r="E268" s="16"/>
      <c r="F268" s="16"/>
      <c r="G268" s="16"/>
      <c r="H268" s="16"/>
      <c r="I268" s="16"/>
      <c r="J268" s="16"/>
    </row>
    <row r="269" spans="1:10">
      <c r="C269" s="16"/>
      <c r="D269" s="16"/>
      <c r="E269" s="16"/>
      <c r="F269" s="16"/>
      <c r="G269" s="16"/>
      <c r="H269" s="16"/>
      <c r="I269" s="16"/>
      <c r="J269" s="16"/>
    </row>
    <row r="270" spans="1:10">
      <c r="C270" s="16"/>
      <c r="D270" s="16"/>
      <c r="E270" s="16"/>
      <c r="F270" s="16"/>
      <c r="G270" s="16"/>
      <c r="H270" s="16"/>
      <c r="I270" s="16"/>
      <c r="J270" s="16"/>
    </row>
    <row r="271" spans="1:10">
      <c r="C271" s="16"/>
      <c r="D271" s="16"/>
      <c r="E271" s="16"/>
      <c r="F271" s="16"/>
      <c r="G271" s="16"/>
      <c r="H271" s="16"/>
      <c r="I271" s="16"/>
      <c r="J271" s="16"/>
    </row>
    <row r="272" spans="1:10">
      <c r="A272" s="11"/>
      <c r="C272" s="16"/>
      <c r="D272" s="16"/>
      <c r="E272" s="16"/>
      <c r="F272" s="16"/>
      <c r="G272" s="16"/>
      <c r="H272" s="16"/>
      <c r="I272" s="16"/>
      <c r="J272" s="16"/>
    </row>
    <row r="273" spans="1:10">
      <c r="A273" s="11"/>
      <c r="C273" s="16"/>
      <c r="D273" s="16"/>
      <c r="E273" s="16"/>
      <c r="F273" s="16"/>
      <c r="G273" s="16"/>
      <c r="H273" s="16"/>
      <c r="I273" s="16"/>
      <c r="J273" s="16"/>
    </row>
    <row r="274" spans="1:10">
      <c r="A274" s="11"/>
      <c r="C274" s="16"/>
      <c r="D274" s="16"/>
      <c r="E274" s="16"/>
      <c r="F274" s="16"/>
      <c r="G274" s="16"/>
      <c r="H274" s="16"/>
      <c r="I274" s="16"/>
      <c r="J274" s="16"/>
    </row>
    <row r="275" spans="1:10">
      <c r="C275" s="16"/>
      <c r="D275" s="16"/>
      <c r="E275" s="16"/>
      <c r="F275" s="16"/>
      <c r="G275" s="16"/>
      <c r="H275" s="16"/>
      <c r="I275" s="16"/>
      <c r="J275" s="16"/>
    </row>
    <row r="276" spans="1:10">
      <c r="C276" s="16"/>
      <c r="D276" s="16"/>
      <c r="E276" s="16"/>
      <c r="F276" s="16"/>
      <c r="G276" s="16"/>
      <c r="H276" s="16"/>
      <c r="I276" s="16"/>
      <c r="J276" s="16"/>
    </row>
    <row r="277" spans="1:10">
      <c r="A277" s="5"/>
      <c r="B277" s="2"/>
      <c r="C277" s="20"/>
      <c r="D277" s="20"/>
      <c r="E277" s="20"/>
      <c r="F277" s="20"/>
      <c r="G277" s="20"/>
      <c r="H277" s="20"/>
      <c r="I277" s="20"/>
      <c r="J277" s="20"/>
    </row>
    <row r="278" spans="1:10">
      <c r="A278" s="5"/>
      <c r="B278" s="2"/>
      <c r="C278" s="20"/>
      <c r="D278" s="20"/>
      <c r="E278" s="20"/>
      <c r="F278" s="20"/>
      <c r="G278" s="20"/>
      <c r="H278" s="20"/>
      <c r="I278" s="20"/>
      <c r="J278" s="20"/>
    </row>
    <row r="279" spans="1:10">
      <c r="A279" s="5"/>
      <c r="B279" s="2"/>
      <c r="C279" s="20"/>
      <c r="D279" s="20"/>
      <c r="E279" s="20"/>
      <c r="F279" s="20"/>
      <c r="G279" s="20"/>
      <c r="H279" s="20"/>
      <c r="I279" s="20"/>
      <c r="J279" s="20"/>
    </row>
    <row r="280" spans="1:10">
      <c r="A280" s="5"/>
      <c r="B280" s="2"/>
      <c r="C280" s="20"/>
      <c r="D280" s="20"/>
      <c r="E280" s="20"/>
      <c r="F280" s="20"/>
      <c r="G280" s="20"/>
      <c r="H280" s="20"/>
      <c r="I280" s="20"/>
      <c r="J280" s="20"/>
    </row>
    <row r="281" spans="1:10">
      <c r="A281" s="5"/>
      <c r="B281" s="2"/>
      <c r="C281" s="20"/>
      <c r="D281" s="20"/>
      <c r="E281" s="20"/>
      <c r="F281" s="20"/>
      <c r="G281" s="20"/>
      <c r="H281" s="20"/>
      <c r="I281" s="20"/>
      <c r="J281" s="20"/>
    </row>
    <row r="283" spans="1:10">
      <c r="A283" s="5"/>
      <c r="B283" s="2"/>
      <c r="C283" s="19"/>
      <c r="D283" s="16"/>
      <c r="E283" s="16"/>
      <c r="F283" s="16"/>
      <c r="G283" s="16"/>
      <c r="H283" s="16"/>
      <c r="I283" s="16"/>
      <c r="J283" s="19"/>
    </row>
    <row r="284" spans="1:10">
      <c r="A284" s="5"/>
      <c r="B284" s="2"/>
      <c r="C284" s="16"/>
      <c r="D284" s="16"/>
      <c r="E284" s="16"/>
      <c r="F284" s="16"/>
      <c r="G284" s="16"/>
      <c r="H284" s="16"/>
      <c r="I284" s="16"/>
      <c r="J284" s="19"/>
    </row>
  </sheetData>
  <mergeCells count="1">
    <mergeCell ref="L102:L107"/>
  </mergeCells>
  <dataValidations count="2">
    <dataValidation type="list" allowBlank="1" showInputMessage="1" showErrorMessage="1" sqref="A272:A274 A126:A128" xr:uid="{00000000-0002-0000-1B00-000000000000}">
      <formula1>Regions</formula1>
    </dataValidation>
    <dataValidation type="list" allowBlank="1" showInputMessage="1" showErrorMessage="1" sqref="B280 B134 B180:B181" xr:uid="{00000000-0002-0000-1B00-000001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/>
  <dimension ref="A1:P316"/>
  <sheetViews>
    <sheetView topLeftCell="A109" workbookViewId="0">
      <selection activeCell="A101" sqref="A101:A200"/>
    </sheetView>
  </sheetViews>
  <sheetFormatPr defaultColWidth="11.42578125" defaultRowHeight="15"/>
  <cols>
    <col min="2" max="2" width="20.42578125" customWidth="1"/>
    <col min="3" max="3" width="19.5703125" bestFit="1" customWidth="1"/>
    <col min="12" max="12" width="2.140625" customWidth="1"/>
  </cols>
  <sheetData>
    <row r="1" spans="1:11">
      <c r="A1" t="s">
        <v>381</v>
      </c>
    </row>
    <row r="2" spans="1:11">
      <c r="A2" t="s">
        <v>327</v>
      </c>
    </row>
    <row r="3" spans="1:11">
      <c r="A3" t="s">
        <v>344</v>
      </c>
    </row>
    <row r="5" spans="1:11">
      <c r="A5" t="s">
        <v>11</v>
      </c>
      <c r="B5" t="s">
        <v>17</v>
      </c>
      <c r="C5" t="s">
        <v>324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t="s">
        <v>458</v>
      </c>
      <c r="B6" t="s">
        <v>95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458</v>
      </c>
      <c r="B7" t="s">
        <v>96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458</v>
      </c>
      <c r="B8" t="s">
        <v>97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458</v>
      </c>
      <c r="B9" t="s">
        <v>98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458</v>
      </c>
      <c r="B10" t="s">
        <v>146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458</v>
      </c>
      <c r="B11" t="s">
        <v>127</v>
      </c>
      <c r="C11">
        <v>2</v>
      </c>
    </row>
    <row r="12" spans="1:11">
      <c r="A12" t="s">
        <v>458</v>
      </c>
      <c r="B12" t="s">
        <v>128</v>
      </c>
      <c r="C12">
        <v>2</v>
      </c>
    </row>
    <row r="13" spans="1:11">
      <c r="A13" t="s">
        <v>458</v>
      </c>
      <c r="B13" t="s">
        <v>139</v>
      </c>
      <c r="C13">
        <v>2</v>
      </c>
    </row>
    <row r="14" spans="1:11">
      <c r="A14" t="s">
        <v>458</v>
      </c>
      <c r="B14" t="s">
        <v>140</v>
      </c>
      <c r="C14">
        <v>2</v>
      </c>
    </row>
    <row r="15" spans="1:11">
      <c r="A15" t="s">
        <v>458</v>
      </c>
      <c r="B15" t="s">
        <v>460</v>
      </c>
      <c r="C15">
        <v>2</v>
      </c>
    </row>
    <row r="16" spans="1:11">
      <c r="A16" t="s">
        <v>458</v>
      </c>
      <c r="B16" t="s">
        <v>126</v>
      </c>
      <c r="C16">
        <v>2</v>
      </c>
    </row>
    <row r="17" spans="1:11">
      <c r="A17" t="s">
        <v>458</v>
      </c>
      <c r="B17" t="s">
        <v>129</v>
      </c>
      <c r="C17">
        <v>2</v>
      </c>
    </row>
    <row r="18" spans="1:11">
      <c r="A18" t="s">
        <v>458</v>
      </c>
      <c r="B18" t="s">
        <v>127</v>
      </c>
      <c r="C18">
        <v>1</v>
      </c>
      <c r="D18">
        <v>20.555555555555554</v>
      </c>
      <c r="E18">
        <v>16.574074074074073</v>
      </c>
      <c r="F18">
        <v>12.592592592592592</v>
      </c>
      <c r="G18">
        <v>8.6111111111111107</v>
      </c>
      <c r="H18">
        <v>8.3333333333333321</v>
      </c>
      <c r="I18">
        <v>8.0555555555555554</v>
      </c>
      <c r="J18">
        <v>7.7777777777777768</v>
      </c>
      <c r="K18">
        <v>7.4999999999999991</v>
      </c>
    </row>
    <row r="19" spans="1:11">
      <c r="A19" t="s">
        <v>458</v>
      </c>
      <c r="B19" t="s">
        <v>128</v>
      </c>
      <c r="C19">
        <v>1</v>
      </c>
      <c r="D19">
        <v>86.388888888888886</v>
      </c>
      <c r="E19">
        <v>68.888888888888886</v>
      </c>
      <c r="F19">
        <v>51.388888888888886</v>
      </c>
      <c r="G19">
        <v>33.888888888888886</v>
      </c>
      <c r="H19">
        <v>32.916666666666664</v>
      </c>
      <c r="I19">
        <v>31.944444444444443</v>
      </c>
      <c r="J19">
        <v>30.972222222222218</v>
      </c>
      <c r="K19">
        <v>29.999999999999996</v>
      </c>
    </row>
    <row r="20" spans="1:11">
      <c r="A20" t="s">
        <v>458</v>
      </c>
      <c r="B20" t="s">
        <v>139</v>
      </c>
      <c r="C20">
        <v>1</v>
      </c>
      <c r="D20">
        <v>0.83333333333333326</v>
      </c>
      <c r="E20">
        <v>0.80555555555555547</v>
      </c>
      <c r="F20">
        <v>0.77777777777777768</v>
      </c>
      <c r="G20">
        <v>0.75</v>
      </c>
      <c r="H20">
        <v>0.75</v>
      </c>
      <c r="I20">
        <v>0.75</v>
      </c>
      <c r="J20">
        <v>0.75</v>
      </c>
      <c r="K20">
        <v>0.75</v>
      </c>
    </row>
    <row r="21" spans="1:11">
      <c r="A21" t="s">
        <v>458</v>
      </c>
      <c r="B21" t="s">
        <v>140</v>
      </c>
      <c r="C21">
        <v>1</v>
      </c>
      <c r="D21">
        <v>9.1666666666666661</v>
      </c>
      <c r="E21">
        <v>9.1666666666666661</v>
      </c>
      <c r="F21">
        <v>9.1666666666666661</v>
      </c>
      <c r="G21">
        <v>9.1666666666666661</v>
      </c>
      <c r="H21">
        <v>9.1666666666666661</v>
      </c>
      <c r="I21">
        <v>9.1666666666666661</v>
      </c>
      <c r="J21">
        <v>9.1666666666666661</v>
      </c>
      <c r="K21">
        <v>9.1666666666666661</v>
      </c>
    </row>
    <row r="22" spans="1:11">
      <c r="A22" t="s">
        <v>458</v>
      </c>
      <c r="B22" t="s">
        <v>231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458</v>
      </c>
      <c r="B23" t="s">
        <v>233</v>
      </c>
      <c r="C23">
        <v>1</v>
      </c>
    </row>
    <row r="24" spans="1:11">
      <c r="A24" t="s">
        <v>458</v>
      </c>
      <c r="B24" t="s">
        <v>126</v>
      </c>
      <c r="C24">
        <v>1</v>
      </c>
      <c r="D24">
        <v>43.05555555555555</v>
      </c>
      <c r="E24">
        <v>41.666666666666657</v>
      </c>
      <c r="F24">
        <v>40.277777777777771</v>
      </c>
      <c r="G24">
        <v>38.888888888888886</v>
      </c>
      <c r="H24">
        <v>38.75</v>
      </c>
      <c r="I24">
        <v>38.611111111111107</v>
      </c>
      <c r="J24">
        <v>38.472222222222214</v>
      </c>
      <c r="K24">
        <v>38.333333333333329</v>
      </c>
    </row>
    <row r="25" spans="1:11">
      <c r="A25" t="s">
        <v>458</v>
      </c>
      <c r="B25" t="s">
        <v>129</v>
      </c>
      <c r="C25">
        <v>1</v>
      </c>
      <c r="D25">
        <v>2.1527777777777777</v>
      </c>
      <c r="E25">
        <v>2.083333333333333</v>
      </c>
      <c r="F25">
        <v>2.0138888888888888</v>
      </c>
      <c r="G25">
        <v>1.9444444444444444</v>
      </c>
      <c r="H25">
        <v>1.9375</v>
      </c>
      <c r="I25">
        <v>1.9305555555555554</v>
      </c>
      <c r="J25">
        <v>1.9236111111111107</v>
      </c>
      <c r="K25">
        <v>1.9166666666666665</v>
      </c>
    </row>
    <row r="26" spans="1:11">
      <c r="A26" t="s">
        <v>458</v>
      </c>
      <c r="B26" t="s">
        <v>177</v>
      </c>
      <c r="C26">
        <v>1</v>
      </c>
      <c r="D26">
        <v>62.499999999999993</v>
      </c>
      <c r="E26">
        <v>60.462962962962948</v>
      </c>
      <c r="F26">
        <v>58.42592592592591</v>
      </c>
      <c r="G26">
        <v>56.388888888888879</v>
      </c>
      <c r="H26">
        <v>56.180555555555543</v>
      </c>
      <c r="I26">
        <v>55.972222222222214</v>
      </c>
      <c r="J26">
        <v>55.763888888888886</v>
      </c>
      <c r="K26">
        <v>55.55555555555555</v>
      </c>
    </row>
    <row r="27" spans="1:11">
      <c r="A27" t="s">
        <v>458</v>
      </c>
      <c r="B27" t="s">
        <v>121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458</v>
      </c>
      <c r="B28" t="s">
        <v>122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t="s">
        <v>458</v>
      </c>
      <c r="B29" t="s">
        <v>116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t="s">
        <v>458</v>
      </c>
      <c r="B30" t="s">
        <v>52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t="s">
        <v>458</v>
      </c>
      <c r="B31" t="s">
        <v>117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t="s">
        <v>458</v>
      </c>
      <c r="B32" t="s">
        <v>118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t="s">
        <v>458</v>
      </c>
      <c r="B33" t="s">
        <v>51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458</v>
      </c>
      <c r="B34" t="s">
        <v>50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458</v>
      </c>
      <c r="B35" t="s">
        <v>123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t="s">
        <v>458</v>
      </c>
      <c r="B36" t="s">
        <v>99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458</v>
      </c>
      <c r="B37" t="s">
        <v>100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458</v>
      </c>
      <c r="B38" t="s">
        <v>101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458</v>
      </c>
      <c r="B39" t="s">
        <v>102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458</v>
      </c>
      <c r="B40" t="s">
        <v>103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458</v>
      </c>
      <c r="B41" t="s">
        <v>104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458</v>
      </c>
      <c r="B42" t="s">
        <v>148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458</v>
      </c>
      <c r="B43" t="s">
        <v>105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458</v>
      </c>
      <c r="B44" t="s">
        <v>176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458</v>
      </c>
      <c r="B45" t="s">
        <v>106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458</v>
      </c>
      <c r="B46" t="s">
        <v>107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458</v>
      </c>
      <c r="B47" t="s">
        <v>108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458</v>
      </c>
      <c r="B48" t="s">
        <v>109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458</v>
      </c>
      <c r="B49" t="s">
        <v>110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t="s">
        <v>458</v>
      </c>
      <c r="B50" t="s">
        <v>111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t="s">
        <v>458</v>
      </c>
      <c r="B51" t="s">
        <v>461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t="s">
        <v>458</v>
      </c>
      <c r="B52" t="s">
        <v>147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458</v>
      </c>
      <c r="B53" t="s">
        <v>94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t="s">
        <v>458</v>
      </c>
      <c r="B54" t="s">
        <v>93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t="s">
        <v>458</v>
      </c>
      <c r="B55" t="s">
        <v>13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t="s">
        <v>458</v>
      </c>
      <c r="B56" t="s">
        <v>14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t="s">
        <v>458</v>
      </c>
      <c r="B57" t="s">
        <v>49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t="s">
        <v>458</v>
      </c>
      <c r="B58" t="s">
        <v>150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458</v>
      </c>
      <c r="B59" t="s">
        <v>124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458</v>
      </c>
      <c r="B60" t="s">
        <v>53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t="s">
        <v>458</v>
      </c>
      <c r="B61" t="s">
        <v>125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t="s">
        <v>458</v>
      </c>
      <c r="B62" t="s">
        <v>119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t="s">
        <v>458</v>
      </c>
      <c r="B63" t="s">
        <v>120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 t="s">
        <v>458</v>
      </c>
      <c r="B64" t="s">
        <v>55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t="s">
        <v>458</v>
      </c>
      <c r="B65" t="s">
        <v>114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 t="s">
        <v>458</v>
      </c>
      <c r="B66" t="s">
        <v>54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 t="s">
        <v>458</v>
      </c>
      <c r="B67" t="s">
        <v>115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t="s">
        <v>458</v>
      </c>
      <c r="B68" t="s">
        <v>87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t="s">
        <v>458</v>
      </c>
      <c r="B69" t="s">
        <v>88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t="s">
        <v>458</v>
      </c>
      <c r="B70" t="s">
        <v>92</v>
      </c>
      <c r="C70">
        <v>1</v>
      </c>
      <c r="D70">
        <v>0.83333333400000009</v>
      </c>
      <c r="E70">
        <v>0.83333333400000009</v>
      </c>
      <c r="F70">
        <v>0.83333333400000009</v>
      </c>
      <c r="G70">
        <v>0.83333333400000009</v>
      </c>
      <c r="H70">
        <v>0.83333333400000009</v>
      </c>
      <c r="I70">
        <v>0.83333333400000009</v>
      </c>
      <c r="J70">
        <v>0.83333333400000009</v>
      </c>
      <c r="K70">
        <v>0.83333333400000009</v>
      </c>
    </row>
    <row r="71" spans="1:11">
      <c r="A71" t="s">
        <v>458</v>
      </c>
      <c r="B71" t="s">
        <v>89</v>
      </c>
      <c r="C71">
        <v>1</v>
      </c>
      <c r="D71">
        <v>0.83333333400000009</v>
      </c>
      <c r="E71">
        <v>0.83333333400000009</v>
      </c>
      <c r="F71">
        <v>0.83333333400000009</v>
      </c>
      <c r="G71">
        <v>0.83333333400000009</v>
      </c>
      <c r="H71">
        <v>0.83333333400000009</v>
      </c>
      <c r="I71">
        <v>0.83333333400000009</v>
      </c>
      <c r="J71">
        <v>0.83333333400000009</v>
      </c>
      <c r="K71">
        <v>0.83333333400000009</v>
      </c>
    </row>
    <row r="72" spans="1:11">
      <c r="A72" t="s">
        <v>458</v>
      </c>
      <c r="B72" t="s">
        <v>90</v>
      </c>
      <c r="C72">
        <v>1</v>
      </c>
      <c r="D72">
        <v>1.38888889</v>
      </c>
      <c r="E72">
        <v>1.38888889</v>
      </c>
      <c r="F72">
        <v>1.38888889</v>
      </c>
      <c r="G72">
        <v>1.38888889</v>
      </c>
      <c r="H72">
        <v>1.38888889</v>
      </c>
      <c r="I72">
        <v>1.38888889</v>
      </c>
      <c r="J72">
        <v>1.38888889</v>
      </c>
      <c r="K72">
        <v>1.38888889</v>
      </c>
    </row>
    <row r="73" spans="1:11">
      <c r="A73" t="s">
        <v>458</v>
      </c>
      <c r="B73" t="s">
        <v>91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t="s">
        <v>458</v>
      </c>
      <c r="B74" t="s">
        <v>86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t="s">
        <v>458</v>
      </c>
      <c r="B75" t="s">
        <v>81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 t="s">
        <v>458</v>
      </c>
      <c r="B76" t="s">
        <v>80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 t="s">
        <v>458</v>
      </c>
      <c r="B77" t="s">
        <v>82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t="s">
        <v>458</v>
      </c>
      <c r="B78" t="s">
        <v>151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t="s">
        <v>458</v>
      </c>
      <c r="B79" t="s">
        <v>152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t="s">
        <v>458</v>
      </c>
      <c r="B80" t="s">
        <v>153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t="s">
        <v>458</v>
      </c>
      <c r="B81" t="s">
        <v>84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t="s">
        <v>458</v>
      </c>
      <c r="B82" t="s">
        <v>83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t="s">
        <v>458</v>
      </c>
      <c r="B83" t="s">
        <v>85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t="s">
        <v>458</v>
      </c>
      <c r="B84" t="s">
        <v>145</v>
      </c>
      <c r="C84">
        <v>1</v>
      </c>
      <c r="D84">
        <v>3.91</v>
      </c>
      <c r="E84">
        <v>4.16</v>
      </c>
      <c r="F84">
        <v>4.41</v>
      </c>
      <c r="G84">
        <v>4.66</v>
      </c>
      <c r="H84">
        <v>4.9099999999999993</v>
      </c>
      <c r="I84">
        <v>5.16</v>
      </c>
      <c r="J84">
        <v>5.41</v>
      </c>
      <c r="K84">
        <v>5.66</v>
      </c>
    </row>
    <row r="85" spans="1:11">
      <c r="A85" t="s">
        <v>458</v>
      </c>
      <c r="B85" t="s">
        <v>112</v>
      </c>
      <c r="C85">
        <v>1</v>
      </c>
      <c r="D85">
        <v>1E-3</v>
      </c>
      <c r="E85">
        <v>1E-3</v>
      </c>
      <c r="F85">
        <v>1E-3</v>
      </c>
      <c r="G85">
        <v>1E-3</v>
      </c>
      <c r="H85">
        <v>1E-3</v>
      </c>
      <c r="I85">
        <v>1E-3</v>
      </c>
      <c r="J85">
        <v>1E-3</v>
      </c>
      <c r="K85">
        <v>1E-3</v>
      </c>
    </row>
    <row r="86" spans="1:11">
      <c r="A86" t="s">
        <v>458</v>
      </c>
      <c r="B86" t="s">
        <v>113</v>
      </c>
      <c r="C86">
        <v>1</v>
      </c>
      <c r="D86">
        <v>11.11111112</v>
      </c>
      <c r="E86">
        <v>6.9444444500000007</v>
      </c>
      <c r="F86">
        <v>6.6666666719999998</v>
      </c>
      <c r="G86">
        <v>6.3888888939999999</v>
      </c>
      <c r="H86">
        <v>5.4166666709999998</v>
      </c>
      <c r="I86">
        <v>4.4444444480000005</v>
      </c>
      <c r="J86">
        <v>4.4444444480000005</v>
      </c>
      <c r="K86">
        <v>4.4444444480000005</v>
      </c>
    </row>
    <row r="87" spans="1:11">
      <c r="A87" t="s">
        <v>458</v>
      </c>
      <c r="B87" t="s">
        <v>113</v>
      </c>
      <c r="C87">
        <v>2</v>
      </c>
      <c r="D87">
        <v>11.11111112</v>
      </c>
      <c r="E87">
        <v>6.9444444500000007</v>
      </c>
      <c r="F87">
        <v>6.6666666719999998</v>
      </c>
      <c r="G87">
        <v>6.3888888939999999</v>
      </c>
      <c r="H87">
        <v>5.4166666709999998</v>
      </c>
      <c r="I87">
        <v>4.4444444480000005</v>
      </c>
      <c r="J87">
        <v>4.4444444480000005</v>
      </c>
      <c r="K87">
        <v>4.4444444480000005</v>
      </c>
    </row>
    <row r="88" spans="1:11">
      <c r="A88" t="s">
        <v>458</v>
      </c>
      <c r="B88" t="s">
        <v>149</v>
      </c>
      <c r="C88">
        <v>1</v>
      </c>
      <c r="D88">
        <v>0.41666666700000005</v>
      </c>
      <c r="E88">
        <v>0.41666666700000005</v>
      </c>
      <c r="F88">
        <v>0.41666666700000005</v>
      </c>
      <c r="G88">
        <v>0.41666666700000005</v>
      </c>
      <c r="H88">
        <v>0.41666666700000005</v>
      </c>
      <c r="I88">
        <v>0.41666666700000005</v>
      </c>
      <c r="J88">
        <v>0.41666666700000005</v>
      </c>
      <c r="K88">
        <v>0.41666666700000005</v>
      </c>
    </row>
    <row r="89" spans="1:11">
      <c r="A89" t="s">
        <v>458</v>
      </c>
      <c r="B89" t="s">
        <v>149</v>
      </c>
      <c r="C89">
        <v>2</v>
      </c>
      <c r="D89">
        <v>1.2777777788</v>
      </c>
      <c r="E89">
        <v>1.2777777788</v>
      </c>
      <c r="F89">
        <v>1.2777777788</v>
      </c>
      <c r="G89">
        <v>1.2777777788</v>
      </c>
      <c r="H89">
        <v>1.2777777788</v>
      </c>
      <c r="I89">
        <v>1.2777777788</v>
      </c>
      <c r="J89">
        <v>1.2777777788</v>
      </c>
      <c r="K89">
        <v>1.2777777788</v>
      </c>
    </row>
    <row r="90" spans="1:11">
      <c r="A90" t="s">
        <v>458</v>
      </c>
      <c r="B90" t="s">
        <v>97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t="s">
        <v>458</v>
      </c>
      <c r="B91" t="s">
        <v>103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 t="s">
        <v>458</v>
      </c>
      <c r="B92" t="s">
        <v>109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t="s">
        <v>458</v>
      </c>
      <c r="B93" t="s">
        <v>13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 t="s">
        <v>458</v>
      </c>
      <c r="B94" t="s">
        <v>97</v>
      </c>
      <c r="C94">
        <v>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 t="s">
        <v>458</v>
      </c>
      <c r="B95" t="s">
        <v>103</v>
      </c>
      <c r="C95">
        <v>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t="s">
        <v>458</v>
      </c>
      <c r="B96" t="s">
        <v>109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t="s">
        <v>458</v>
      </c>
      <c r="B97" t="s">
        <v>13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 t="s">
        <v>458</v>
      </c>
      <c r="B98" t="s">
        <v>179</v>
      </c>
      <c r="C98">
        <v>1</v>
      </c>
      <c r="D98">
        <v>0.55600000000000005</v>
      </c>
      <c r="E98">
        <v>0.55600000000000005</v>
      </c>
      <c r="F98">
        <v>0.55600000000000005</v>
      </c>
      <c r="G98">
        <v>0.55600000000000005</v>
      </c>
      <c r="H98">
        <v>0.55600000000000005</v>
      </c>
      <c r="I98">
        <v>0.55600000000000005</v>
      </c>
      <c r="J98">
        <v>0.55600000000000005</v>
      </c>
      <c r="K98">
        <v>0.55600000000000005</v>
      </c>
    </row>
    <row r="99" spans="1:11">
      <c r="A99" t="s">
        <v>458</v>
      </c>
      <c r="B99" t="s">
        <v>180</v>
      </c>
      <c r="C99">
        <v>1</v>
      </c>
      <c r="D99">
        <v>0.55600000000000005</v>
      </c>
      <c r="E99">
        <v>0.55600000000000005</v>
      </c>
      <c r="F99">
        <v>0.55600000000000005</v>
      </c>
      <c r="G99">
        <v>0.55600000000000005</v>
      </c>
      <c r="H99">
        <v>0.55600000000000005</v>
      </c>
      <c r="I99">
        <v>0.55600000000000005</v>
      </c>
      <c r="J99">
        <v>0.55600000000000005</v>
      </c>
      <c r="K99">
        <v>0.55600000000000005</v>
      </c>
    </row>
    <row r="100" spans="1:11">
      <c r="A100" t="s">
        <v>458</v>
      </c>
      <c r="B100" t="s">
        <v>181</v>
      </c>
      <c r="C100">
        <v>1</v>
      </c>
      <c r="D100">
        <v>0.5</v>
      </c>
      <c r="E100">
        <v>0.5</v>
      </c>
      <c r="F100">
        <v>0.5</v>
      </c>
      <c r="G100">
        <v>0.5</v>
      </c>
      <c r="H100">
        <v>0.5</v>
      </c>
      <c r="I100">
        <v>0.5</v>
      </c>
      <c r="J100">
        <v>0.5</v>
      </c>
      <c r="K100">
        <v>0.5</v>
      </c>
    </row>
    <row r="101" spans="1:11">
      <c r="A101" t="s">
        <v>486</v>
      </c>
      <c r="B101" t="s">
        <v>121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486</v>
      </c>
      <c r="B102" t="s">
        <v>122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 t="s">
        <v>486</v>
      </c>
      <c r="B103" t="s">
        <v>116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486</v>
      </c>
      <c r="B104" t="s">
        <v>52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486</v>
      </c>
      <c r="B105" t="s">
        <v>117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t="s">
        <v>486</v>
      </c>
      <c r="B106" t="s">
        <v>118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t="s">
        <v>486</v>
      </c>
      <c r="B107" t="s">
        <v>51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 t="s">
        <v>486</v>
      </c>
      <c r="B108" t="s">
        <v>50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t="s">
        <v>486</v>
      </c>
      <c r="B109" t="s">
        <v>123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t="s">
        <v>486</v>
      </c>
      <c r="B110" t="s">
        <v>94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486</v>
      </c>
      <c r="B111" t="s">
        <v>93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486</v>
      </c>
      <c r="B112" t="s">
        <v>13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 t="s">
        <v>486</v>
      </c>
      <c r="B113" t="s">
        <v>14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 t="s">
        <v>486</v>
      </c>
      <c r="B114" t="s">
        <v>49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 t="s">
        <v>486</v>
      </c>
      <c r="B115" t="s">
        <v>150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t="s">
        <v>486</v>
      </c>
      <c r="B116" t="s">
        <v>124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t="s">
        <v>486</v>
      </c>
      <c r="B117" t="s">
        <v>53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t="s">
        <v>486</v>
      </c>
      <c r="B118" t="s">
        <v>125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t="s">
        <v>486</v>
      </c>
      <c r="B119" t="s">
        <v>119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t="s">
        <v>486</v>
      </c>
      <c r="B120" t="s">
        <v>120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 t="s">
        <v>486</v>
      </c>
      <c r="B121" t="s">
        <v>55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486</v>
      </c>
      <c r="B122" t="s">
        <v>114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t="s">
        <v>486</v>
      </c>
      <c r="B123" t="s">
        <v>54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t="s">
        <v>486</v>
      </c>
      <c r="B124" t="s">
        <v>115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 t="s">
        <v>486</v>
      </c>
      <c r="B125" t="s">
        <v>75</v>
      </c>
      <c r="C125">
        <v>1</v>
      </c>
      <c r="D125">
        <v>7.8180481367633563</v>
      </c>
      <c r="E125">
        <v>5.94171658394015</v>
      </c>
      <c r="F125">
        <v>5.6446307547431429</v>
      </c>
      <c r="G125">
        <v>5.3623992170059855</v>
      </c>
      <c r="H125">
        <v>5.0942792561556862</v>
      </c>
      <c r="I125">
        <v>4.8395652933479019</v>
      </c>
      <c r="J125">
        <v>4.5975870286805067</v>
      </c>
      <c r="K125">
        <v>4.3677076772464805</v>
      </c>
    </row>
    <row r="126" spans="1:11">
      <c r="A126" t="s">
        <v>486</v>
      </c>
      <c r="B126" t="s">
        <v>78</v>
      </c>
      <c r="C126">
        <v>1</v>
      </c>
      <c r="D126">
        <v>0.81691686052009449</v>
      </c>
      <c r="E126">
        <v>0.65353348841607561</v>
      </c>
      <c r="F126">
        <v>0.65353348841607561</v>
      </c>
      <c r="G126">
        <v>0.65353348841607561</v>
      </c>
      <c r="H126">
        <v>0.65353348841607561</v>
      </c>
      <c r="I126">
        <v>0.65353348841607561</v>
      </c>
      <c r="J126">
        <v>0.65353348841607561</v>
      </c>
      <c r="K126">
        <v>0.65353348841607561</v>
      </c>
    </row>
    <row r="127" spans="1:11">
      <c r="A127" t="s">
        <v>486</v>
      </c>
      <c r="B127" t="s">
        <v>79</v>
      </c>
      <c r="C127">
        <v>1</v>
      </c>
      <c r="D127">
        <v>4.5255342133478447</v>
      </c>
      <c r="E127">
        <v>3.4394060021443615</v>
      </c>
      <c r="F127">
        <v>3.2674357020371434</v>
      </c>
      <c r="G127">
        <v>3.1040639169352855</v>
      </c>
      <c r="H127">
        <v>2.9488607210885216</v>
      </c>
      <c r="I127">
        <v>2.8014176850340955</v>
      </c>
      <c r="J127">
        <v>2.6613468007823902</v>
      </c>
      <c r="K127">
        <v>2.5282794607432706</v>
      </c>
    </row>
    <row r="128" spans="1:11">
      <c r="A128" t="s">
        <v>486</v>
      </c>
      <c r="B128" t="s">
        <v>87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t="s">
        <v>486</v>
      </c>
      <c r="B129" t="s">
        <v>88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 t="s">
        <v>486</v>
      </c>
      <c r="B130" t="s">
        <v>92</v>
      </c>
      <c r="C130">
        <v>1</v>
      </c>
      <c r="D130">
        <v>0.83333333400000009</v>
      </c>
      <c r="E130">
        <v>0.70833333390000008</v>
      </c>
      <c r="F130">
        <v>0.70833333390000008</v>
      </c>
      <c r="G130">
        <v>0.70833333390000008</v>
      </c>
      <c r="H130">
        <v>0.70833333390000008</v>
      </c>
      <c r="I130">
        <v>0.70833333390000008</v>
      </c>
      <c r="J130">
        <v>0.70833333390000008</v>
      </c>
      <c r="K130">
        <v>0.70833333390000008</v>
      </c>
    </row>
    <row r="131" spans="1:11">
      <c r="A131" t="s">
        <v>486</v>
      </c>
      <c r="B131" t="s">
        <v>89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486</v>
      </c>
      <c r="B132" t="s">
        <v>90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t="s">
        <v>486</v>
      </c>
      <c r="B133" t="s">
        <v>91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 t="s">
        <v>486</v>
      </c>
      <c r="B134" t="s">
        <v>86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486</v>
      </c>
      <c r="B135" t="s">
        <v>81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 t="s">
        <v>486</v>
      </c>
      <c r="B136" t="s">
        <v>80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 t="s">
        <v>486</v>
      </c>
      <c r="B137" t="s">
        <v>82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t="s">
        <v>486</v>
      </c>
      <c r="B138" t="s">
        <v>151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 t="s">
        <v>486</v>
      </c>
      <c r="B139" t="s">
        <v>152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 t="s">
        <v>486</v>
      </c>
      <c r="B140" t="s">
        <v>153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 t="s">
        <v>486</v>
      </c>
      <c r="B141" t="s">
        <v>84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 t="s">
        <v>486</v>
      </c>
      <c r="B142" t="s">
        <v>83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t="s">
        <v>486</v>
      </c>
      <c r="B143" t="s">
        <v>85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t="s">
        <v>486</v>
      </c>
      <c r="B144" t="s">
        <v>145</v>
      </c>
      <c r="C144">
        <v>1</v>
      </c>
      <c r="D144">
        <v>3.91</v>
      </c>
      <c r="E144">
        <v>3.536</v>
      </c>
      <c r="F144">
        <v>3.7484999999999999</v>
      </c>
      <c r="G144">
        <v>3.9609999999999999</v>
      </c>
      <c r="H144">
        <v>4.1734999999999989</v>
      </c>
      <c r="I144">
        <v>4.3860000000000001</v>
      </c>
      <c r="J144">
        <v>4.5984999999999996</v>
      </c>
      <c r="K144">
        <v>4.8109999999999999</v>
      </c>
    </row>
    <row r="145" spans="1:11">
      <c r="A145" t="s">
        <v>486</v>
      </c>
      <c r="B145" t="s">
        <v>112</v>
      </c>
      <c r="C145">
        <v>1</v>
      </c>
      <c r="D145">
        <v>1E-3</v>
      </c>
      <c r="E145">
        <v>6.5000000000000008E-4</v>
      </c>
      <c r="F145">
        <v>6.5000000000000008E-4</v>
      </c>
      <c r="G145">
        <v>6.5000000000000008E-4</v>
      </c>
      <c r="H145">
        <v>6.5000000000000008E-4</v>
      </c>
      <c r="I145">
        <v>6.5000000000000008E-4</v>
      </c>
      <c r="J145">
        <v>6.5000000000000008E-4</v>
      </c>
      <c r="K145">
        <v>6.5000000000000008E-4</v>
      </c>
    </row>
    <row r="146" spans="1:11">
      <c r="A146" t="s">
        <v>486</v>
      </c>
      <c r="B146" t="s">
        <v>113</v>
      </c>
      <c r="C146">
        <v>1</v>
      </c>
      <c r="D146">
        <v>11.11111112</v>
      </c>
      <c r="E146">
        <v>4.5138888925000007</v>
      </c>
      <c r="F146">
        <v>4.3333333368</v>
      </c>
      <c r="G146">
        <v>4.1527777811000002</v>
      </c>
      <c r="H146">
        <v>3.5208333361499999</v>
      </c>
      <c r="I146">
        <v>2.8888888912000006</v>
      </c>
      <c r="J146">
        <v>2.8888888912000006</v>
      </c>
      <c r="K146">
        <v>2.8888888912000006</v>
      </c>
    </row>
    <row r="147" spans="1:11">
      <c r="A147" t="s">
        <v>486</v>
      </c>
      <c r="B147" t="s">
        <v>113</v>
      </c>
      <c r="C147">
        <v>2</v>
      </c>
      <c r="D147">
        <v>11.11111112</v>
      </c>
      <c r="E147">
        <v>4.5138888925000007</v>
      </c>
      <c r="F147">
        <v>4.3333333368</v>
      </c>
      <c r="G147">
        <v>4.1527777811000002</v>
      </c>
      <c r="H147">
        <v>3.5208333361499999</v>
      </c>
      <c r="I147">
        <v>2.8888888912000006</v>
      </c>
      <c r="J147">
        <v>2.8888888912000006</v>
      </c>
      <c r="K147">
        <v>2.8888888912000006</v>
      </c>
    </row>
    <row r="148" spans="1:11">
      <c r="A148" t="s">
        <v>486</v>
      </c>
      <c r="B148" t="s">
        <v>149</v>
      </c>
      <c r="C148">
        <v>1</v>
      </c>
      <c r="D148">
        <v>0.41666666700000005</v>
      </c>
      <c r="E148">
        <v>0.27083333355000005</v>
      </c>
      <c r="F148">
        <v>0.27083333355000005</v>
      </c>
      <c r="G148">
        <v>0.27083333355000005</v>
      </c>
      <c r="H148">
        <v>0.27083333355000005</v>
      </c>
      <c r="I148">
        <v>0.27083333355000005</v>
      </c>
      <c r="J148">
        <v>0.27083333355000005</v>
      </c>
      <c r="K148">
        <v>0.27083333355000005</v>
      </c>
    </row>
    <row r="149" spans="1:11">
      <c r="A149" t="s">
        <v>486</v>
      </c>
      <c r="B149" t="s">
        <v>149</v>
      </c>
      <c r="C149">
        <v>2</v>
      </c>
      <c r="D149">
        <v>1.2777777788</v>
      </c>
      <c r="E149">
        <v>0.83055555621999999</v>
      </c>
      <c r="F149">
        <v>0.83055555621999999</v>
      </c>
      <c r="G149">
        <v>0.83055555621999999</v>
      </c>
      <c r="H149">
        <v>0.83055555621999999</v>
      </c>
      <c r="I149">
        <v>0.83055555621999999</v>
      </c>
      <c r="J149">
        <v>0.83055555621999999</v>
      </c>
      <c r="K149">
        <v>0.83055555621999999</v>
      </c>
    </row>
    <row r="150" spans="1:11">
      <c r="A150" t="s">
        <v>486</v>
      </c>
      <c r="B150" t="s">
        <v>168</v>
      </c>
      <c r="C150">
        <v>1</v>
      </c>
      <c r="D150">
        <v>9.0735292557000022</v>
      </c>
      <c r="E150">
        <v>6.1323528357000008</v>
      </c>
      <c r="F150">
        <v>8.9705880810000007</v>
      </c>
      <c r="G150">
        <v>8.4117645612</v>
      </c>
      <c r="H150">
        <v>7.1499998770199999</v>
      </c>
      <c r="I150">
        <v>5.7199999016160001</v>
      </c>
      <c r="J150">
        <v>4.4615999232604802</v>
      </c>
      <c r="K150">
        <v>3.3461999424453603</v>
      </c>
    </row>
    <row r="151" spans="1:11">
      <c r="A151" t="s">
        <v>486</v>
      </c>
      <c r="B151" t="s">
        <v>167</v>
      </c>
      <c r="C151">
        <v>1</v>
      </c>
      <c r="D151">
        <v>2.4044955947999997</v>
      </c>
      <c r="E151">
        <v>1.8855176183999998</v>
      </c>
      <c r="F151">
        <v>2.3615033363999998</v>
      </c>
      <c r="G151">
        <v>1.7503990919999999</v>
      </c>
      <c r="H151">
        <v>1.3127993189999998</v>
      </c>
      <c r="I151">
        <v>0.98459948924999985</v>
      </c>
      <c r="J151">
        <v>0.73844961693749989</v>
      </c>
      <c r="K151">
        <v>0.55383721270312491</v>
      </c>
    </row>
    <row r="152" spans="1:11">
      <c r="A152" t="s">
        <v>486</v>
      </c>
      <c r="B152" t="s">
        <v>166</v>
      </c>
      <c r="C152">
        <v>1</v>
      </c>
      <c r="D152">
        <v>4.6746340373852817</v>
      </c>
      <c r="E152">
        <v>2.8150168473305519</v>
      </c>
      <c r="F152">
        <v>6.9095868070840831</v>
      </c>
      <c r="G152">
        <v>5.3741230721765083</v>
      </c>
      <c r="H152">
        <v>4.5680046113500321</v>
      </c>
      <c r="I152">
        <v>3.5858836199097754</v>
      </c>
      <c r="J152">
        <v>2.7790598054300761</v>
      </c>
      <c r="K152">
        <v>2.084294854072557</v>
      </c>
    </row>
    <row r="153" spans="1:11">
      <c r="A153" t="s">
        <v>486</v>
      </c>
      <c r="B153" t="s">
        <v>13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 t="s">
        <v>486</v>
      </c>
      <c r="B154" t="s">
        <v>13</v>
      </c>
      <c r="C154">
        <v>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 t="s">
        <v>486</v>
      </c>
      <c r="B155" t="s">
        <v>179</v>
      </c>
      <c r="C155">
        <v>1</v>
      </c>
      <c r="D155">
        <v>0.55600000000000005</v>
      </c>
      <c r="E155">
        <v>0.47260000000000002</v>
      </c>
      <c r="F155">
        <v>0.47260000000000002</v>
      </c>
      <c r="G155">
        <v>0.47260000000000002</v>
      </c>
      <c r="H155">
        <v>0.47260000000000002</v>
      </c>
      <c r="I155">
        <v>0.47260000000000002</v>
      </c>
      <c r="J155">
        <v>0.47260000000000002</v>
      </c>
      <c r="K155">
        <v>0.47260000000000002</v>
      </c>
    </row>
    <row r="156" spans="1:11">
      <c r="A156" t="s">
        <v>486</v>
      </c>
      <c r="B156" t="s">
        <v>180</v>
      </c>
      <c r="C156">
        <v>1</v>
      </c>
      <c r="D156">
        <v>0.55600000000000005</v>
      </c>
      <c r="E156">
        <v>0.47260000000000002</v>
      </c>
      <c r="F156">
        <v>0.47260000000000002</v>
      </c>
      <c r="G156">
        <v>0.47260000000000002</v>
      </c>
      <c r="H156">
        <v>0.47260000000000002</v>
      </c>
      <c r="I156">
        <v>0.47260000000000002</v>
      </c>
      <c r="J156">
        <v>0.47260000000000002</v>
      </c>
      <c r="K156">
        <v>0.47260000000000002</v>
      </c>
    </row>
    <row r="157" spans="1:11">
      <c r="A157" t="s">
        <v>486</v>
      </c>
      <c r="B157" t="s">
        <v>181</v>
      </c>
      <c r="C157">
        <v>1</v>
      </c>
      <c r="D157">
        <v>0.5</v>
      </c>
      <c r="E157">
        <v>0.42499999999999999</v>
      </c>
      <c r="F157">
        <v>0.42499999999999999</v>
      </c>
      <c r="G157">
        <v>0.42499999999999999</v>
      </c>
      <c r="H157">
        <v>0.42499999999999999</v>
      </c>
      <c r="I157">
        <v>0.42499999999999999</v>
      </c>
      <c r="J157">
        <v>0.42499999999999999</v>
      </c>
      <c r="K157">
        <v>0.42499999999999999</v>
      </c>
    </row>
    <row r="158" spans="1:11">
      <c r="A158" t="s">
        <v>486</v>
      </c>
      <c r="B158" t="s">
        <v>251</v>
      </c>
      <c r="C158">
        <v>1</v>
      </c>
      <c r="D158">
        <v>0.5</v>
      </c>
      <c r="E158">
        <v>0.42499999999999999</v>
      </c>
      <c r="F158">
        <v>0.42499999999999999</v>
      </c>
      <c r="G158">
        <v>0.42499999999999999</v>
      </c>
      <c r="H158">
        <v>0.42499999999999999</v>
      </c>
      <c r="I158">
        <v>0.42499999999999999</v>
      </c>
      <c r="J158">
        <v>0.42499999999999999</v>
      </c>
      <c r="K158">
        <v>0.42499999999999999</v>
      </c>
    </row>
    <row r="159" spans="1:11">
      <c r="A159" t="s">
        <v>486</v>
      </c>
      <c r="B159" t="s">
        <v>235</v>
      </c>
      <c r="C159">
        <v>1</v>
      </c>
      <c r="D159">
        <v>1.44</v>
      </c>
      <c r="E159">
        <v>1.3679999999999999</v>
      </c>
      <c r="F159">
        <v>1.3679999999999999</v>
      </c>
      <c r="G159">
        <v>1.3679999999999999</v>
      </c>
      <c r="H159">
        <v>1.3679999999999999</v>
      </c>
      <c r="I159">
        <v>1.3679999999999999</v>
      </c>
      <c r="J159">
        <v>1.3679999999999999</v>
      </c>
      <c r="K159">
        <v>1.3679999999999999</v>
      </c>
    </row>
    <row r="160" spans="1:11">
      <c r="A160" t="s">
        <v>486</v>
      </c>
      <c r="B160" t="s">
        <v>235</v>
      </c>
      <c r="C160">
        <v>2</v>
      </c>
      <c r="D160">
        <v>1.44</v>
      </c>
      <c r="E160">
        <v>1.3679999999999999</v>
      </c>
      <c r="F160">
        <v>1.3679999999999999</v>
      </c>
      <c r="G160">
        <v>1.3679999999999999</v>
      </c>
      <c r="H160">
        <v>1.3679999999999999</v>
      </c>
      <c r="I160">
        <v>1.3679999999999999</v>
      </c>
      <c r="J160">
        <v>1.3679999999999999</v>
      </c>
      <c r="K160">
        <v>1.3679999999999999</v>
      </c>
    </row>
    <row r="161" spans="1:11">
      <c r="A161" t="s">
        <v>486</v>
      </c>
      <c r="B161" t="s">
        <v>235</v>
      </c>
      <c r="C161">
        <v>2</v>
      </c>
      <c r="D161">
        <v>1.44</v>
      </c>
      <c r="E161">
        <v>1.3679999999999999</v>
      </c>
      <c r="F161">
        <v>1.3679999999999999</v>
      </c>
      <c r="G161">
        <v>1.3679999999999999</v>
      </c>
      <c r="H161">
        <v>1.3679999999999999</v>
      </c>
      <c r="I161">
        <v>1.3679999999999999</v>
      </c>
      <c r="J161">
        <v>1.3679999999999999</v>
      </c>
      <c r="K161">
        <v>1.3679999999999999</v>
      </c>
    </row>
    <row r="162" spans="1:11">
      <c r="A162" t="s">
        <v>486</v>
      </c>
      <c r="B162" t="s">
        <v>235</v>
      </c>
      <c r="C162">
        <v>3</v>
      </c>
      <c r="D162">
        <v>1.44</v>
      </c>
      <c r="E162">
        <v>1.3679999999999999</v>
      </c>
      <c r="F162">
        <v>1.3679999999999999</v>
      </c>
      <c r="G162">
        <v>1.3679999999999999</v>
      </c>
      <c r="H162">
        <v>1.3679999999999999</v>
      </c>
      <c r="I162">
        <v>1.3679999999999999</v>
      </c>
      <c r="J162">
        <v>1.3679999999999999</v>
      </c>
      <c r="K162">
        <v>1.3679999999999999</v>
      </c>
    </row>
    <row r="163" spans="1:11">
      <c r="A163" t="s">
        <v>486</v>
      </c>
      <c r="B163" t="s">
        <v>235</v>
      </c>
      <c r="C163">
        <v>3</v>
      </c>
      <c r="D163">
        <v>1.44</v>
      </c>
      <c r="E163">
        <v>1.3679999999999999</v>
      </c>
      <c r="F163">
        <v>1.3679999999999999</v>
      </c>
      <c r="G163">
        <v>1.3679999999999999</v>
      </c>
      <c r="H163">
        <v>1.3679999999999999</v>
      </c>
      <c r="I163">
        <v>1.3679999999999999</v>
      </c>
      <c r="J163">
        <v>1.3679999999999999</v>
      </c>
      <c r="K163">
        <v>1.3679999999999999</v>
      </c>
    </row>
    <row r="164" spans="1:11">
      <c r="A164" t="s">
        <v>486</v>
      </c>
      <c r="B164" t="s">
        <v>235</v>
      </c>
      <c r="C164">
        <v>4</v>
      </c>
      <c r="D164">
        <v>1.44</v>
      </c>
      <c r="E164">
        <v>1.3679999999999999</v>
      </c>
      <c r="F164">
        <v>1.3679999999999999</v>
      </c>
      <c r="G164">
        <v>1.3679999999999999</v>
      </c>
      <c r="H164">
        <v>1.3679999999999999</v>
      </c>
      <c r="I164">
        <v>1.3679999999999999</v>
      </c>
      <c r="J164">
        <v>1.3679999999999999</v>
      </c>
      <c r="K164">
        <v>1.3679999999999999</v>
      </c>
    </row>
    <row r="165" spans="1:11">
      <c r="A165" t="s">
        <v>486</v>
      </c>
      <c r="B165" t="s">
        <v>236</v>
      </c>
      <c r="C165">
        <v>1</v>
      </c>
      <c r="D165">
        <v>1.44</v>
      </c>
      <c r="E165">
        <v>1.224</v>
      </c>
      <c r="F165">
        <v>1.224</v>
      </c>
      <c r="G165">
        <v>1.224</v>
      </c>
      <c r="H165">
        <v>1.224</v>
      </c>
      <c r="I165">
        <v>1.224</v>
      </c>
      <c r="J165">
        <v>1.224</v>
      </c>
      <c r="K165">
        <v>1.224</v>
      </c>
    </row>
    <row r="166" spans="1:11">
      <c r="A166" t="s">
        <v>486</v>
      </c>
      <c r="B166" t="s">
        <v>248</v>
      </c>
      <c r="C166">
        <v>1</v>
      </c>
      <c r="D166">
        <v>1.44</v>
      </c>
      <c r="E166">
        <v>1.224</v>
      </c>
      <c r="F166">
        <v>1.224</v>
      </c>
      <c r="G166">
        <v>1.224</v>
      </c>
      <c r="H166">
        <v>1.224</v>
      </c>
      <c r="I166">
        <v>1.224</v>
      </c>
      <c r="J166">
        <v>1.224</v>
      </c>
      <c r="K166">
        <v>1.224</v>
      </c>
    </row>
    <row r="167" spans="1:11">
      <c r="A167" t="s">
        <v>486</v>
      </c>
      <c r="B167" t="s">
        <v>242</v>
      </c>
      <c r="C167">
        <v>1</v>
      </c>
      <c r="D167">
        <v>1.44</v>
      </c>
      <c r="E167">
        <v>1.3679999999999999</v>
      </c>
      <c r="F167">
        <v>1.3679999999999999</v>
      </c>
      <c r="G167">
        <v>1.3679999999999999</v>
      </c>
      <c r="H167">
        <v>1.3679999999999999</v>
      </c>
      <c r="I167">
        <v>1.3679999999999999</v>
      </c>
      <c r="J167">
        <v>1.3679999999999999</v>
      </c>
      <c r="K167">
        <v>1.3679999999999999</v>
      </c>
    </row>
    <row r="168" spans="1:11">
      <c r="A168" t="s">
        <v>486</v>
      </c>
      <c r="B168" t="s">
        <v>243</v>
      </c>
      <c r="C168">
        <v>1</v>
      </c>
      <c r="D168">
        <v>1.44</v>
      </c>
      <c r="E168">
        <v>1.3679999999999999</v>
      </c>
      <c r="F168">
        <v>1.3679999999999999</v>
      </c>
      <c r="G168">
        <v>1.3679999999999999</v>
      </c>
      <c r="H168">
        <v>1.3679999999999999</v>
      </c>
      <c r="I168">
        <v>1.3679999999999999</v>
      </c>
      <c r="J168">
        <v>1.3679999999999999</v>
      </c>
      <c r="K168">
        <v>1.3679999999999999</v>
      </c>
    </row>
    <row r="169" spans="1:11">
      <c r="A169" t="s">
        <v>486</v>
      </c>
      <c r="B169" t="s">
        <v>249</v>
      </c>
      <c r="C169">
        <v>1</v>
      </c>
      <c r="D169">
        <v>1.44</v>
      </c>
      <c r="E169">
        <v>1.224</v>
      </c>
      <c r="F169">
        <v>1.224</v>
      </c>
      <c r="G169">
        <v>1.224</v>
      </c>
      <c r="H169">
        <v>1.224</v>
      </c>
      <c r="I169">
        <v>1.224</v>
      </c>
      <c r="J169">
        <v>1.224</v>
      </c>
      <c r="K169">
        <v>1.224</v>
      </c>
    </row>
    <row r="170" spans="1:11">
      <c r="A170" t="s">
        <v>486</v>
      </c>
      <c r="B170" t="s">
        <v>240</v>
      </c>
      <c r="C170">
        <v>1</v>
      </c>
      <c r="D170">
        <v>1.44</v>
      </c>
      <c r="E170">
        <v>1.3679999999999999</v>
      </c>
      <c r="F170">
        <v>1.3679999999999999</v>
      </c>
      <c r="G170">
        <v>1.3679999999999999</v>
      </c>
      <c r="H170">
        <v>1.3679999999999999</v>
      </c>
      <c r="I170">
        <v>1.3679999999999999</v>
      </c>
      <c r="J170">
        <v>1.3679999999999999</v>
      </c>
      <c r="K170">
        <v>1.3679999999999999</v>
      </c>
    </row>
    <row r="171" spans="1:11">
      <c r="A171" t="s">
        <v>486</v>
      </c>
      <c r="B171" t="s">
        <v>241</v>
      </c>
      <c r="C171">
        <v>1</v>
      </c>
      <c r="D171">
        <v>1.44</v>
      </c>
      <c r="E171">
        <v>1.3679999999999999</v>
      </c>
      <c r="F171">
        <v>1.3679999999999999</v>
      </c>
      <c r="G171">
        <v>1.3679999999999999</v>
      </c>
      <c r="H171">
        <v>1.3679999999999999</v>
      </c>
      <c r="I171">
        <v>1.3679999999999999</v>
      </c>
      <c r="J171">
        <v>1.3679999999999999</v>
      </c>
      <c r="K171">
        <v>1.3679999999999999</v>
      </c>
    </row>
    <row r="172" spans="1:11">
      <c r="A172" t="s">
        <v>486</v>
      </c>
      <c r="B172" t="s">
        <v>244</v>
      </c>
      <c r="C172">
        <v>1</v>
      </c>
      <c r="D172">
        <v>1.44</v>
      </c>
      <c r="E172">
        <v>1.3679999999999999</v>
      </c>
      <c r="F172">
        <v>1.3679999999999999</v>
      </c>
      <c r="G172">
        <v>1.3679999999999999</v>
      </c>
      <c r="H172">
        <v>1.3679999999999999</v>
      </c>
      <c r="I172">
        <v>1.3679999999999999</v>
      </c>
      <c r="J172">
        <v>1.3679999999999999</v>
      </c>
      <c r="K172">
        <v>1.3679999999999999</v>
      </c>
    </row>
    <row r="173" spans="1:11">
      <c r="A173" t="s">
        <v>486</v>
      </c>
      <c r="B173" t="s">
        <v>245</v>
      </c>
      <c r="C173">
        <v>1</v>
      </c>
      <c r="D173">
        <v>1.44</v>
      </c>
      <c r="E173">
        <v>1.3679999999999999</v>
      </c>
      <c r="F173">
        <v>1.3679999999999999</v>
      </c>
      <c r="G173">
        <v>1.3679999999999999</v>
      </c>
      <c r="H173">
        <v>1.3679999999999999</v>
      </c>
      <c r="I173">
        <v>1.3679999999999999</v>
      </c>
      <c r="J173">
        <v>1.3679999999999999</v>
      </c>
      <c r="K173">
        <v>1.3679999999999999</v>
      </c>
    </row>
    <row r="174" spans="1:11">
      <c r="A174" t="s">
        <v>486</v>
      </c>
      <c r="B174" t="s">
        <v>237</v>
      </c>
      <c r="C174">
        <v>1</v>
      </c>
      <c r="D174">
        <v>1.44</v>
      </c>
      <c r="E174">
        <v>1.3679999999999999</v>
      </c>
      <c r="F174">
        <v>1.3679999999999999</v>
      </c>
      <c r="G174">
        <v>1.3679999999999999</v>
      </c>
      <c r="H174">
        <v>1.3679999999999999</v>
      </c>
      <c r="I174">
        <v>1.3679999999999999</v>
      </c>
      <c r="J174">
        <v>1.3679999999999999</v>
      </c>
      <c r="K174">
        <v>1.3679999999999999</v>
      </c>
    </row>
    <row r="175" spans="1:11">
      <c r="A175" t="s">
        <v>486</v>
      </c>
      <c r="B175" t="s">
        <v>238</v>
      </c>
      <c r="C175">
        <v>1</v>
      </c>
      <c r="D175">
        <v>1.44</v>
      </c>
      <c r="E175">
        <v>1.3679999999999999</v>
      </c>
      <c r="F175">
        <v>1.3679999999999999</v>
      </c>
      <c r="G175">
        <v>1.3679999999999999</v>
      </c>
      <c r="H175">
        <v>1.3679999999999999</v>
      </c>
      <c r="I175">
        <v>1.3679999999999999</v>
      </c>
      <c r="J175">
        <v>1.3679999999999999</v>
      </c>
      <c r="K175">
        <v>1.3679999999999999</v>
      </c>
    </row>
    <row r="176" spans="1:11">
      <c r="A176" t="s">
        <v>486</v>
      </c>
      <c r="B176" t="s">
        <v>239</v>
      </c>
      <c r="C176">
        <v>1</v>
      </c>
      <c r="D176">
        <v>1.44</v>
      </c>
      <c r="E176">
        <v>1.3679999999999999</v>
      </c>
      <c r="F176">
        <v>1.3679999999999999</v>
      </c>
      <c r="G176">
        <v>1.3679999999999999</v>
      </c>
      <c r="H176">
        <v>1.3679999999999999</v>
      </c>
      <c r="I176">
        <v>1.3679999999999999</v>
      </c>
      <c r="J176">
        <v>1.3679999999999999</v>
      </c>
      <c r="K176">
        <v>1.3679999999999999</v>
      </c>
    </row>
    <row r="177" spans="1:11">
      <c r="A177" t="s">
        <v>486</v>
      </c>
      <c r="B177" t="s">
        <v>250</v>
      </c>
      <c r="C177">
        <v>1</v>
      </c>
      <c r="D177">
        <v>1.44</v>
      </c>
      <c r="E177">
        <v>1.1519999999999999</v>
      </c>
      <c r="F177">
        <v>1.1519999999999999</v>
      </c>
      <c r="G177">
        <v>1.1519999999999999</v>
      </c>
      <c r="H177">
        <v>1.1519999999999999</v>
      </c>
      <c r="I177">
        <v>1.1519999999999999</v>
      </c>
      <c r="J177">
        <v>1.1519999999999999</v>
      </c>
      <c r="K177">
        <v>1.1519999999999999</v>
      </c>
    </row>
    <row r="178" spans="1:11">
      <c r="A178" t="s">
        <v>486</v>
      </c>
      <c r="B178" t="s">
        <v>247</v>
      </c>
      <c r="C178">
        <v>1</v>
      </c>
      <c r="D178">
        <v>1.44</v>
      </c>
      <c r="E178">
        <v>1.1519999999999999</v>
      </c>
      <c r="F178">
        <v>1.1519999999999999</v>
      </c>
      <c r="G178">
        <v>1.1519999999999999</v>
      </c>
      <c r="H178">
        <v>1.1519999999999999</v>
      </c>
      <c r="I178">
        <v>1.1519999999999999</v>
      </c>
      <c r="J178">
        <v>1.1519999999999999</v>
      </c>
      <c r="K178">
        <v>1.1519999999999999</v>
      </c>
    </row>
    <row r="179" spans="1:11">
      <c r="A179" t="s">
        <v>486</v>
      </c>
      <c r="B179" t="s">
        <v>287</v>
      </c>
      <c r="C179">
        <v>1</v>
      </c>
      <c r="D179">
        <v>5.1769252737737244</v>
      </c>
      <c r="E179">
        <v>4.6817411171518906</v>
      </c>
      <c r="F179">
        <v>4.9630957515961134</v>
      </c>
      <c r="G179">
        <v>5.2444503860403389</v>
      </c>
      <c r="H179">
        <v>5.5258050204845608</v>
      </c>
      <c r="I179">
        <v>5.8071596549287872</v>
      </c>
      <c r="J179">
        <v>6.0885142893730091</v>
      </c>
      <c r="K179">
        <v>6.3698689238172337</v>
      </c>
    </row>
    <row r="180" spans="1:11">
      <c r="A180" t="s">
        <v>486</v>
      </c>
      <c r="B180" t="s">
        <v>282</v>
      </c>
      <c r="C180">
        <v>1</v>
      </c>
      <c r="D180">
        <v>3.3849126790058968</v>
      </c>
      <c r="E180">
        <v>3.0611384227531588</v>
      </c>
      <c r="F180">
        <v>3.2451010683513051</v>
      </c>
      <c r="G180">
        <v>3.4290637139494518</v>
      </c>
      <c r="H180">
        <v>3.6130263595475975</v>
      </c>
      <c r="I180">
        <v>3.7969890051457447</v>
      </c>
      <c r="J180">
        <v>3.9809516507438905</v>
      </c>
      <c r="K180">
        <v>4.1649142963420376</v>
      </c>
    </row>
    <row r="181" spans="1:11">
      <c r="A181" t="s">
        <v>486</v>
      </c>
      <c r="B181" t="s">
        <v>285</v>
      </c>
      <c r="C181">
        <v>1</v>
      </c>
      <c r="D181">
        <v>9.2576370810399116</v>
      </c>
      <c r="E181">
        <v>8.3721239689404428</v>
      </c>
      <c r="F181">
        <v>8.8752564189969583</v>
      </c>
      <c r="G181">
        <v>9.3783888690534774</v>
      </c>
      <c r="H181">
        <v>9.8815213191099911</v>
      </c>
      <c r="I181">
        <v>10.38465376916651</v>
      </c>
      <c r="J181">
        <v>10.887786219223026</v>
      </c>
      <c r="K181">
        <v>11.390918669279545</v>
      </c>
    </row>
    <row r="182" spans="1:11">
      <c r="A182" t="s">
        <v>486</v>
      </c>
      <c r="B182" t="s">
        <v>284</v>
      </c>
      <c r="C182">
        <v>1</v>
      </c>
      <c r="D182">
        <v>3.9822502105951729</v>
      </c>
      <c r="E182">
        <v>3.6013393208860696</v>
      </c>
      <c r="F182">
        <v>3.8177659627662415</v>
      </c>
      <c r="G182">
        <v>4.0341926046464138</v>
      </c>
      <c r="H182">
        <v>4.2506192465265853</v>
      </c>
      <c r="I182">
        <v>4.4670458884067585</v>
      </c>
      <c r="J182">
        <v>4.68347253028693</v>
      </c>
      <c r="K182">
        <v>4.8998991721671032</v>
      </c>
    </row>
    <row r="183" spans="1:11">
      <c r="A183" t="s">
        <v>486</v>
      </c>
      <c r="B183" t="s">
        <v>286</v>
      </c>
      <c r="C183">
        <v>1</v>
      </c>
      <c r="D183">
        <v>14.68136062979276</v>
      </c>
      <c r="E183">
        <v>13.277056569551714</v>
      </c>
      <c r="F183">
        <v>14.074956603779583</v>
      </c>
      <c r="G183">
        <v>14.872856638007452</v>
      </c>
      <c r="H183">
        <v>15.670756672235314</v>
      </c>
      <c r="I183">
        <v>16.468656706463189</v>
      </c>
      <c r="J183">
        <v>17.266556740691051</v>
      </c>
      <c r="K183">
        <v>18.06445677491892</v>
      </c>
    </row>
    <row r="184" spans="1:11">
      <c r="A184" t="s">
        <v>486</v>
      </c>
      <c r="B184" t="s">
        <v>283</v>
      </c>
      <c r="C184">
        <v>1</v>
      </c>
      <c r="D184">
        <v>3.5840251895356556</v>
      </c>
      <c r="E184">
        <v>3.241205388797463</v>
      </c>
      <c r="F184">
        <v>3.4359893664896171</v>
      </c>
      <c r="G184">
        <v>3.6307733441817724</v>
      </c>
      <c r="H184">
        <v>3.8255573218739269</v>
      </c>
      <c r="I184">
        <v>4.0203412995660832</v>
      </c>
      <c r="J184">
        <v>4.2151252772582364</v>
      </c>
      <c r="K184">
        <v>4.4099092549503922</v>
      </c>
    </row>
    <row r="185" spans="1:11">
      <c r="A185" t="s">
        <v>486</v>
      </c>
      <c r="B185" t="s">
        <v>290</v>
      </c>
      <c r="C185">
        <v>1</v>
      </c>
      <c r="D185">
        <v>6.6347195442440539</v>
      </c>
      <c r="E185">
        <v>3.9953603094900312</v>
      </c>
      <c r="F185">
        <v>9.8067934869300775</v>
      </c>
      <c r="G185">
        <v>7.6275060453900592</v>
      </c>
      <c r="H185">
        <v>6.483380138581551</v>
      </c>
      <c r="I185">
        <v>5.0894534087865182</v>
      </c>
      <c r="J185">
        <v>3.9443263918095517</v>
      </c>
      <c r="K185">
        <v>2.9582447938571632</v>
      </c>
    </row>
    <row r="186" spans="1:11">
      <c r="A186" t="s">
        <v>486</v>
      </c>
      <c r="B186" t="s">
        <v>76</v>
      </c>
      <c r="C186">
        <v>1</v>
      </c>
      <c r="D186">
        <v>2.3246656378600821</v>
      </c>
      <c r="E186">
        <v>1.4133967078189302</v>
      </c>
      <c r="F186">
        <v>1.3427268724279835</v>
      </c>
      <c r="G186">
        <v>1.2755905288065845</v>
      </c>
      <c r="H186">
        <v>1.2118110023662549</v>
      </c>
      <c r="I186">
        <v>1.1512204522479421</v>
      </c>
      <c r="J186">
        <v>1.0936594296355451</v>
      </c>
      <c r="K186">
        <v>1.0389764581537679</v>
      </c>
    </row>
    <row r="187" spans="1:11">
      <c r="A187" t="s">
        <v>486</v>
      </c>
      <c r="B187" t="s">
        <v>76</v>
      </c>
      <c r="C187">
        <v>1</v>
      </c>
      <c r="D187">
        <v>2.3246656378600821</v>
      </c>
      <c r="E187">
        <v>1.4133967078189302</v>
      </c>
      <c r="F187">
        <v>1.3427268724279835</v>
      </c>
      <c r="G187">
        <v>1.2755905288065845</v>
      </c>
      <c r="H187">
        <v>1.2118110023662549</v>
      </c>
      <c r="I187">
        <v>1.1512204522479421</v>
      </c>
      <c r="J187">
        <v>1.0936594296355451</v>
      </c>
      <c r="K187">
        <v>1.0389764581537679</v>
      </c>
    </row>
    <row r="188" spans="1:11">
      <c r="A188" t="s">
        <v>486</v>
      </c>
      <c r="B188" t="s">
        <v>76</v>
      </c>
      <c r="C188">
        <v>1</v>
      </c>
      <c r="D188">
        <v>2.3246656378600821</v>
      </c>
      <c r="E188">
        <v>1.4133967078189302</v>
      </c>
      <c r="F188">
        <v>1.3427268724279835</v>
      </c>
      <c r="G188">
        <v>1.2755905288065845</v>
      </c>
      <c r="H188">
        <v>1.2118110023662549</v>
      </c>
      <c r="I188">
        <v>1.1512204522479421</v>
      </c>
      <c r="J188">
        <v>1.0936594296355451</v>
      </c>
      <c r="K188">
        <v>1.0389764581537679</v>
      </c>
    </row>
    <row r="189" spans="1:11">
      <c r="A189" t="s">
        <v>486</v>
      </c>
      <c r="B189" t="s">
        <v>76</v>
      </c>
      <c r="C189">
        <v>1</v>
      </c>
      <c r="D189">
        <v>2.3246656378600821</v>
      </c>
      <c r="E189">
        <v>1.4133967078189302</v>
      </c>
      <c r="F189">
        <v>1.3427268724279835</v>
      </c>
      <c r="G189">
        <v>1.2755905288065845</v>
      </c>
      <c r="H189">
        <v>1.2118110023662549</v>
      </c>
      <c r="I189">
        <v>1.1512204522479421</v>
      </c>
      <c r="J189">
        <v>1.0936594296355451</v>
      </c>
      <c r="K189">
        <v>1.0389764581537679</v>
      </c>
    </row>
    <row r="190" spans="1:11">
      <c r="A190" t="s">
        <v>486</v>
      </c>
      <c r="B190" t="s">
        <v>76</v>
      </c>
      <c r="C190">
        <v>1</v>
      </c>
      <c r="D190">
        <v>2.3246656378600821</v>
      </c>
      <c r="E190">
        <v>1.4133967078189302</v>
      </c>
      <c r="F190">
        <v>1.3427268724279835</v>
      </c>
      <c r="G190">
        <v>1.2755905288065845</v>
      </c>
      <c r="H190">
        <v>1.2118110023662549</v>
      </c>
      <c r="I190">
        <v>1.1512204522479421</v>
      </c>
      <c r="J190">
        <v>1.0936594296355451</v>
      </c>
      <c r="K190">
        <v>1.0389764581537679</v>
      </c>
    </row>
    <row r="191" spans="1:11">
      <c r="A191" t="s">
        <v>486</v>
      </c>
      <c r="B191" t="s">
        <v>77</v>
      </c>
      <c r="C191">
        <v>1</v>
      </c>
      <c r="D191">
        <v>3.1104681069958846</v>
      </c>
      <c r="E191">
        <v>1.8911646090534981</v>
      </c>
      <c r="F191">
        <v>1.7966063786008233</v>
      </c>
      <c r="G191">
        <v>1.7067760596707817</v>
      </c>
      <c r="H191">
        <v>1.6214372566872428</v>
      </c>
      <c r="I191">
        <v>1.5403653938528803</v>
      </c>
      <c r="J191">
        <v>1.4633471241602365</v>
      </c>
      <c r="K191">
        <v>1.3901797679522245</v>
      </c>
    </row>
    <row r="192" spans="1:11">
      <c r="A192" t="s">
        <v>486</v>
      </c>
      <c r="B192" t="s">
        <v>77</v>
      </c>
      <c r="C192">
        <v>1</v>
      </c>
      <c r="D192">
        <v>3.1104681069958846</v>
      </c>
      <c r="E192">
        <v>1.8911646090534981</v>
      </c>
      <c r="F192">
        <v>1.7966063786008233</v>
      </c>
      <c r="G192">
        <v>1.7067760596707817</v>
      </c>
      <c r="H192">
        <v>1.6214372566872428</v>
      </c>
      <c r="I192">
        <v>1.5403653938528803</v>
      </c>
      <c r="J192">
        <v>1.4633471241602365</v>
      </c>
      <c r="K192">
        <v>1.3901797679522245</v>
      </c>
    </row>
    <row r="193" spans="1:16">
      <c r="A193" t="s">
        <v>486</v>
      </c>
      <c r="B193" t="s">
        <v>77</v>
      </c>
      <c r="C193">
        <v>1</v>
      </c>
      <c r="D193">
        <v>3.1104681069958846</v>
      </c>
      <c r="E193">
        <v>1.8911646090534981</v>
      </c>
      <c r="F193">
        <v>1.7966063786008233</v>
      </c>
      <c r="G193">
        <v>1.7067760596707817</v>
      </c>
      <c r="H193">
        <v>1.6214372566872428</v>
      </c>
      <c r="I193">
        <v>1.5403653938528803</v>
      </c>
      <c r="J193">
        <v>1.4633471241602365</v>
      </c>
      <c r="K193">
        <v>1.3901797679522245</v>
      </c>
    </row>
    <row r="194" spans="1:16">
      <c r="A194" t="s">
        <v>486</v>
      </c>
      <c r="B194" t="s">
        <v>77</v>
      </c>
      <c r="C194">
        <v>1</v>
      </c>
      <c r="D194">
        <v>3.1104681069958846</v>
      </c>
      <c r="E194">
        <v>1.8911646090534981</v>
      </c>
      <c r="F194">
        <v>1.7966063786008233</v>
      </c>
      <c r="G194">
        <v>1.7067760596707817</v>
      </c>
      <c r="H194">
        <v>1.6214372566872428</v>
      </c>
      <c r="I194">
        <v>1.5403653938528803</v>
      </c>
      <c r="J194">
        <v>1.4633471241602365</v>
      </c>
      <c r="K194">
        <v>1.3901797679522245</v>
      </c>
    </row>
    <row r="195" spans="1:16">
      <c r="A195" t="s">
        <v>486</v>
      </c>
      <c r="B195" t="s">
        <v>77</v>
      </c>
      <c r="C195">
        <v>1</v>
      </c>
      <c r="D195">
        <v>3.1104681069958846</v>
      </c>
      <c r="E195">
        <v>1.8911646090534981</v>
      </c>
      <c r="F195">
        <v>1.7966063786008233</v>
      </c>
      <c r="G195">
        <v>1.7067760596707817</v>
      </c>
      <c r="H195">
        <v>1.6214372566872428</v>
      </c>
      <c r="I195">
        <v>1.5403653938528803</v>
      </c>
      <c r="J195">
        <v>1.4633471241602365</v>
      </c>
      <c r="K195">
        <v>1.3901797679522245</v>
      </c>
    </row>
    <row r="196" spans="1:16">
      <c r="A196" t="s">
        <v>486</v>
      </c>
      <c r="B196" s="2" t="s">
        <v>312</v>
      </c>
      <c r="C196">
        <v>1</v>
      </c>
      <c r="D196">
        <v>1.44</v>
      </c>
      <c r="E196">
        <v>1.1519999999999999</v>
      </c>
      <c r="F196">
        <v>1.1519999999999999</v>
      </c>
      <c r="G196">
        <v>1.1519999999999999</v>
      </c>
      <c r="H196">
        <v>1.1519999999999999</v>
      </c>
      <c r="I196">
        <v>1.1519999999999999</v>
      </c>
      <c r="J196">
        <v>1.1519999999999999</v>
      </c>
      <c r="K196">
        <v>1.1519999999999999</v>
      </c>
    </row>
    <row r="197" spans="1:16">
      <c r="A197" t="s">
        <v>486</v>
      </c>
      <c r="B197" s="2" t="s">
        <v>313</v>
      </c>
      <c r="C197">
        <v>1</v>
      </c>
      <c r="D197">
        <v>1.44</v>
      </c>
      <c r="E197">
        <v>1.1519999999999999</v>
      </c>
      <c r="F197">
        <v>1.1519999999999999</v>
      </c>
      <c r="G197">
        <v>1.1519999999999999</v>
      </c>
      <c r="H197">
        <v>1.1519999999999999</v>
      </c>
      <c r="I197">
        <v>1.1519999999999999</v>
      </c>
      <c r="J197">
        <v>1.1519999999999999</v>
      </c>
      <c r="K197">
        <v>1.1519999999999999</v>
      </c>
    </row>
    <row r="198" spans="1:16">
      <c r="A198" t="s">
        <v>486</v>
      </c>
      <c r="B198" t="s">
        <v>314</v>
      </c>
      <c r="C198">
        <v>1</v>
      </c>
      <c r="D198">
        <v>99</v>
      </c>
      <c r="E198">
        <v>50</v>
      </c>
      <c r="F198">
        <v>35</v>
      </c>
      <c r="G198">
        <v>29</v>
      </c>
      <c r="H198">
        <v>23</v>
      </c>
      <c r="I198">
        <v>17</v>
      </c>
      <c r="J198">
        <v>13.334</v>
      </c>
      <c r="K198">
        <v>10.4177</v>
      </c>
    </row>
    <row r="199" spans="1:16">
      <c r="A199" t="s">
        <v>486</v>
      </c>
      <c r="B199" t="s">
        <v>427</v>
      </c>
      <c r="C199">
        <v>1</v>
      </c>
      <c r="D199">
        <v>1E-3</v>
      </c>
      <c r="E199">
        <v>1E-3</v>
      </c>
      <c r="F199">
        <v>1E-3</v>
      </c>
      <c r="G199">
        <v>1E-3</v>
      </c>
      <c r="H199">
        <v>1E-3</v>
      </c>
      <c r="I199">
        <v>1E-3</v>
      </c>
      <c r="J199">
        <v>1E-3</v>
      </c>
      <c r="K199">
        <v>1E-3</v>
      </c>
      <c r="O199" t="s">
        <v>447</v>
      </c>
      <c r="P199">
        <v>1.4733516980271617</v>
      </c>
    </row>
    <row r="200" spans="1:16">
      <c r="A200" t="s">
        <v>486</v>
      </c>
      <c r="B200" t="s">
        <v>428</v>
      </c>
      <c r="C200">
        <v>1</v>
      </c>
      <c r="D200">
        <v>1E-3</v>
      </c>
      <c r="E200">
        <v>1E-3</v>
      </c>
      <c r="F200">
        <v>1E-3</v>
      </c>
      <c r="G200">
        <v>1E-3</v>
      </c>
      <c r="H200">
        <v>1E-3</v>
      </c>
      <c r="I200">
        <v>1E-3</v>
      </c>
      <c r="J200">
        <v>1E-3</v>
      </c>
      <c r="K200">
        <v>1E-3</v>
      </c>
    </row>
    <row r="269" spans="4:11">
      <c r="D269" s="16"/>
      <c r="E269" s="16"/>
      <c r="F269" s="16"/>
      <c r="G269" s="16"/>
      <c r="H269" s="16"/>
      <c r="I269" s="16"/>
      <c r="J269" s="16"/>
      <c r="K269" s="16"/>
    </row>
    <row r="270" spans="4:11">
      <c r="D270" s="16"/>
      <c r="E270" s="16"/>
      <c r="F270" s="16"/>
      <c r="G270" s="16"/>
      <c r="H270" s="16"/>
      <c r="I270" s="16"/>
      <c r="J270" s="16"/>
      <c r="K270" s="16"/>
    </row>
    <row r="271" spans="4:11">
      <c r="D271" s="16"/>
      <c r="E271" s="16"/>
      <c r="F271" s="16"/>
      <c r="G271" s="16"/>
      <c r="H271" s="16"/>
      <c r="I271" s="16"/>
      <c r="J271" s="16"/>
      <c r="K271" s="16"/>
    </row>
    <row r="304" spans="4:11">
      <c r="D304" s="16"/>
      <c r="E304" s="16"/>
      <c r="F304" s="16"/>
      <c r="G304" s="16"/>
      <c r="H304" s="16"/>
      <c r="I304" s="16"/>
      <c r="J304" s="16"/>
      <c r="K304" s="16"/>
    </row>
    <row r="315" spans="1:2">
      <c r="A315" s="5"/>
      <c r="B315" s="2"/>
    </row>
    <row r="316" spans="1:2">
      <c r="A316" s="5"/>
      <c r="B316" s="2"/>
    </row>
  </sheetData>
  <autoFilter ref="A5:K200" xr:uid="{00000000-0001-0000-1C00-000000000000}"/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278"/>
  <sheetViews>
    <sheetView topLeftCell="A142" zoomScale="90" zoomScaleNormal="90" zoomScalePageLayoutView="90" workbookViewId="0">
      <selection activeCell="D145" sqref="D145"/>
    </sheetView>
  </sheetViews>
  <sheetFormatPr defaultColWidth="11.42578125" defaultRowHeight="15"/>
  <cols>
    <col min="1" max="1" width="11.42578125" style="22"/>
    <col min="2" max="2" width="24.140625" style="22" customWidth="1"/>
    <col min="3" max="3" width="11.42578125" style="22"/>
    <col min="4" max="9" width="15.5703125" style="22" customWidth="1"/>
    <col min="10" max="10" width="11.42578125" style="22"/>
    <col min="11" max="11" width="2" style="22" customWidth="1"/>
    <col min="12" max="12" width="23.42578125" style="22" customWidth="1"/>
    <col min="13" max="13" width="46.85546875" style="22" customWidth="1"/>
    <col min="14" max="14" width="26.140625" style="22" bestFit="1" customWidth="1"/>
    <col min="15" max="16384" width="11.42578125" style="22"/>
  </cols>
  <sheetData>
    <row r="1" spans="1:15">
      <c r="A1" t="s">
        <v>382</v>
      </c>
    </row>
    <row r="2" spans="1:15">
      <c r="A2" s="22" t="s">
        <v>1</v>
      </c>
    </row>
    <row r="3" spans="1:15">
      <c r="A3" t="s">
        <v>352</v>
      </c>
    </row>
    <row r="5" spans="1:15">
      <c r="A5" s="22" t="s">
        <v>11</v>
      </c>
      <c r="B5" s="22" t="s">
        <v>17</v>
      </c>
      <c r="C5" s="22">
        <v>2018</v>
      </c>
      <c r="D5" s="22">
        <v>2021</v>
      </c>
      <c r="E5" s="22">
        <v>2025</v>
      </c>
      <c r="F5" s="22">
        <v>2030</v>
      </c>
      <c r="G5" s="22">
        <v>2035</v>
      </c>
      <c r="H5" s="22">
        <v>2040</v>
      </c>
      <c r="I5" s="22">
        <v>2045</v>
      </c>
      <c r="J5" s="22">
        <v>2050</v>
      </c>
      <c r="N5"/>
      <c r="O5"/>
    </row>
    <row r="6" spans="1:15" s="5" customFormat="1">
      <c r="A6" s="5" t="s">
        <v>458</v>
      </c>
      <c r="B6" s="5" t="s">
        <v>95</v>
      </c>
      <c r="C6" s="5">
        <v>50.75</v>
      </c>
      <c r="D6" s="5">
        <v>50.75</v>
      </c>
      <c r="E6" s="5">
        <v>50.75</v>
      </c>
      <c r="F6" s="5">
        <v>50.75</v>
      </c>
      <c r="G6" s="5">
        <v>50.75</v>
      </c>
      <c r="H6" s="5">
        <v>50.75</v>
      </c>
      <c r="I6" s="5">
        <v>50.75</v>
      </c>
      <c r="J6" s="5">
        <v>50.75</v>
      </c>
      <c r="N6"/>
      <c r="O6"/>
    </row>
    <row r="7" spans="1:15" s="5" customFormat="1">
      <c r="A7" s="5" t="s">
        <v>458</v>
      </c>
      <c r="B7" s="5" t="s">
        <v>96</v>
      </c>
      <c r="C7" s="5">
        <v>50.75</v>
      </c>
      <c r="D7" s="5">
        <v>50.75</v>
      </c>
      <c r="E7" s="5">
        <v>50.75</v>
      </c>
      <c r="F7" s="5">
        <v>50.75</v>
      </c>
      <c r="G7" s="5">
        <v>50.75</v>
      </c>
      <c r="H7" s="5">
        <v>50.75</v>
      </c>
      <c r="I7" s="5">
        <v>50.75</v>
      </c>
      <c r="J7" s="5">
        <v>50.75</v>
      </c>
      <c r="N7"/>
      <c r="O7"/>
    </row>
    <row r="8" spans="1:15" s="5" customFormat="1">
      <c r="A8" s="5" t="s">
        <v>458</v>
      </c>
      <c r="B8" s="5" t="s">
        <v>97</v>
      </c>
      <c r="C8" s="5">
        <v>24.443999999999999</v>
      </c>
      <c r="D8" s="5">
        <v>24.443999999999999</v>
      </c>
      <c r="E8" s="5">
        <v>24.443999999999999</v>
      </c>
      <c r="F8" s="5">
        <v>24.443999999999999</v>
      </c>
      <c r="G8" s="5">
        <v>24.443999999999999</v>
      </c>
      <c r="H8" s="5">
        <v>24.443999999999999</v>
      </c>
      <c r="I8" s="5">
        <v>24.443999999999999</v>
      </c>
      <c r="J8" s="5">
        <v>24.443999999999999</v>
      </c>
      <c r="N8"/>
      <c r="O8"/>
    </row>
    <row r="9" spans="1:15" s="5" customFormat="1">
      <c r="A9" s="5" t="s">
        <v>458</v>
      </c>
      <c r="B9" s="5" t="s">
        <v>98</v>
      </c>
      <c r="C9" s="5">
        <v>119.07000000000001</v>
      </c>
      <c r="D9" s="5">
        <v>115.10100000000001</v>
      </c>
      <c r="E9" s="5">
        <v>106.47</v>
      </c>
      <c r="F9" s="5">
        <v>98.153999999999996</v>
      </c>
      <c r="G9" s="5">
        <v>89.585999999999999</v>
      </c>
      <c r="H9" s="5">
        <v>81.396000000000015</v>
      </c>
      <c r="I9" s="5">
        <v>80.860500000000016</v>
      </c>
      <c r="J9" s="5">
        <v>75.599999999999994</v>
      </c>
      <c r="N9"/>
      <c r="O9"/>
    </row>
    <row r="10" spans="1:15" s="5" customFormat="1">
      <c r="A10" s="5" t="s">
        <v>458</v>
      </c>
      <c r="B10" s="5" t="s">
        <v>146</v>
      </c>
      <c r="C10" s="5">
        <v>84.41</v>
      </c>
      <c r="D10" s="5">
        <v>75.900000000000006</v>
      </c>
      <c r="E10" s="5">
        <v>72.334999999999994</v>
      </c>
      <c r="F10" s="5">
        <v>68.77</v>
      </c>
      <c r="G10" s="5">
        <v>66.010000000000005</v>
      </c>
      <c r="H10" s="5">
        <v>63.25</v>
      </c>
      <c r="I10" s="5">
        <v>60.835000000000001</v>
      </c>
      <c r="J10" s="5">
        <v>58.42</v>
      </c>
      <c r="N10"/>
      <c r="O10"/>
    </row>
    <row r="11" spans="1:15" s="5" customFormat="1">
      <c r="A11" s="5" t="s">
        <v>458</v>
      </c>
      <c r="B11" s="5" t="s">
        <v>127</v>
      </c>
      <c r="C11" s="5">
        <v>0.68599999999999994</v>
      </c>
      <c r="D11" s="5">
        <v>0.34</v>
      </c>
      <c r="E11" s="5">
        <v>0.31</v>
      </c>
      <c r="F11" s="5">
        <v>0.28000000000000003</v>
      </c>
      <c r="G11" s="5">
        <v>0.28000000000000003</v>
      </c>
      <c r="H11" s="5">
        <v>0.28000000000000003</v>
      </c>
      <c r="I11" s="5">
        <v>0.28000000000000003</v>
      </c>
      <c r="J11" s="5">
        <v>0.28000000000000003</v>
      </c>
      <c r="N11"/>
      <c r="O11"/>
    </row>
    <row r="12" spans="1:15" s="5" customFormat="1">
      <c r="A12" s="5" t="s">
        <v>458</v>
      </c>
      <c r="B12" s="5" t="s">
        <v>128</v>
      </c>
      <c r="C12" s="5">
        <v>24.8</v>
      </c>
      <c r="D12" s="5">
        <v>16.2</v>
      </c>
      <c r="E12" s="5">
        <v>15.399999999999999</v>
      </c>
      <c r="F12" s="5">
        <v>14.6</v>
      </c>
      <c r="G12" s="5">
        <v>10.4</v>
      </c>
      <c r="H12" s="5">
        <v>6.2</v>
      </c>
      <c r="I12" s="5">
        <v>6.2</v>
      </c>
      <c r="J12" s="5">
        <v>6.2</v>
      </c>
    </row>
    <row r="13" spans="1:15" s="5" customFormat="1">
      <c r="A13" s="5" t="s">
        <v>458</v>
      </c>
      <c r="B13" s="5" t="s">
        <v>139</v>
      </c>
      <c r="C13" s="5">
        <v>7.8</v>
      </c>
      <c r="D13" s="5">
        <v>7.8</v>
      </c>
      <c r="E13" s="5">
        <v>7.3449999999999998</v>
      </c>
      <c r="F13" s="5">
        <v>6.89</v>
      </c>
      <c r="G13" s="5">
        <v>6.76</v>
      </c>
      <c r="H13" s="5">
        <v>6.63</v>
      </c>
      <c r="I13" s="5">
        <v>6.2399999999999993</v>
      </c>
      <c r="J13" s="5">
        <v>5.85</v>
      </c>
    </row>
    <row r="14" spans="1:15" s="5" customFormat="1">
      <c r="A14" s="5" t="s">
        <v>458</v>
      </c>
      <c r="B14" s="5" t="s">
        <v>140</v>
      </c>
      <c r="C14" s="5">
        <v>7.8</v>
      </c>
      <c r="D14" s="5">
        <v>7.8</v>
      </c>
      <c r="E14" s="5">
        <v>7.3449999999999998</v>
      </c>
      <c r="F14" s="5">
        <v>6.89</v>
      </c>
      <c r="G14" s="5">
        <v>6.76</v>
      </c>
      <c r="H14" s="5">
        <v>6.63</v>
      </c>
      <c r="I14" s="5">
        <v>6.2399999999999993</v>
      </c>
      <c r="J14" s="5">
        <v>5.85</v>
      </c>
    </row>
    <row r="15" spans="1:15" s="5" customFormat="1">
      <c r="A15" s="5" t="s">
        <v>458</v>
      </c>
      <c r="B15" s="5" t="s">
        <v>231</v>
      </c>
      <c r="C15" s="5">
        <v>2.4</v>
      </c>
      <c r="D15" s="5">
        <v>2.4</v>
      </c>
      <c r="E15" s="5">
        <v>2.4</v>
      </c>
      <c r="F15" s="5">
        <v>2.4</v>
      </c>
      <c r="G15" s="5">
        <v>2.4</v>
      </c>
      <c r="H15" s="5">
        <v>2.4</v>
      </c>
      <c r="I15" s="5">
        <v>2.4</v>
      </c>
      <c r="J15" s="5">
        <v>2.4</v>
      </c>
    </row>
    <row r="16" spans="1:15" s="5" customFormat="1">
      <c r="A16" s="5" t="s">
        <v>458</v>
      </c>
      <c r="B16" s="5" t="s">
        <v>233</v>
      </c>
      <c r="C16" s="5">
        <v>2.4</v>
      </c>
      <c r="D16" s="5">
        <v>2.4</v>
      </c>
      <c r="E16" s="5">
        <v>2.4</v>
      </c>
      <c r="F16" s="5">
        <v>2.4</v>
      </c>
      <c r="G16" s="5">
        <v>2.4</v>
      </c>
      <c r="H16" s="5">
        <v>2.4</v>
      </c>
      <c r="I16" s="5">
        <v>2.4</v>
      </c>
      <c r="J16" s="5">
        <v>2.4</v>
      </c>
    </row>
    <row r="17" spans="1:10" s="5" customFormat="1">
      <c r="A17" s="5" t="s">
        <v>458</v>
      </c>
      <c r="B17" s="5" t="s">
        <v>126</v>
      </c>
      <c r="C17" s="5">
        <v>22.5</v>
      </c>
      <c r="D17" s="5">
        <v>22.5</v>
      </c>
      <c r="E17" s="5">
        <v>22.5</v>
      </c>
      <c r="F17" s="5">
        <v>22.5</v>
      </c>
      <c r="G17" s="5">
        <v>22.5</v>
      </c>
      <c r="H17" s="5">
        <v>22.5</v>
      </c>
      <c r="I17" s="5">
        <v>22.5</v>
      </c>
      <c r="J17" s="5">
        <v>22.5</v>
      </c>
    </row>
    <row r="18" spans="1:10" s="5" customFormat="1">
      <c r="A18" s="5" t="s">
        <v>458</v>
      </c>
      <c r="B18" s="5" t="s">
        <v>129</v>
      </c>
      <c r="C18" s="5">
        <v>22.5</v>
      </c>
      <c r="D18" s="5">
        <v>22.5</v>
      </c>
      <c r="E18" s="5">
        <v>22.5</v>
      </c>
      <c r="F18" s="5">
        <v>22.5</v>
      </c>
      <c r="G18" s="5">
        <v>22.5</v>
      </c>
      <c r="H18" s="5">
        <v>22.5</v>
      </c>
      <c r="I18" s="5">
        <v>22.5</v>
      </c>
      <c r="J18" s="5">
        <v>22.5</v>
      </c>
    </row>
    <row r="19" spans="1:10" s="5" customFormat="1">
      <c r="A19" s="5" t="s">
        <v>458</v>
      </c>
      <c r="B19" s="5" t="s">
        <v>177</v>
      </c>
      <c r="C19" s="5">
        <v>7.8</v>
      </c>
      <c r="D19" s="5">
        <v>7.8</v>
      </c>
      <c r="E19" s="5">
        <v>7.3449999999999998</v>
      </c>
      <c r="F19" s="5">
        <v>6.89</v>
      </c>
      <c r="G19" s="5">
        <v>6.76</v>
      </c>
      <c r="H19" s="5">
        <v>6.63</v>
      </c>
      <c r="I19" s="5">
        <v>6.2399999999999993</v>
      </c>
      <c r="J19" s="5">
        <v>5.85</v>
      </c>
    </row>
    <row r="20" spans="1:10" s="5" customFormat="1">
      <c r="A20" s="5" t="s">
        <v>458</v>
      </c>
      <c r="B20" s="5" t="s">
        <v>121</v>
      </c>
      <c r="C20" s="5">
        <v>3.6184210526315788</v>
      </c>
      <c r="D20" s="5">
        <v>3.5667293233082704</v>
      </c>
      <c r="E20" s="5">
        <v>3.5150375939849625</v>
      </c>
      <c r="F20" s="5">
        <v>3.4633458646616537</v>
      </c>
      <c r="G20" s="5">
        <v>3.4116541353383454</v>
      </c>
      <c r="H20" s="5">
        <v>3.3599624060150379</v>
      </c>
      <c r="I20" s="5">
        <v>3.3082706766917291</v>
      </c>
      <c r="J20" s="5">
        <v>3.2565789473684212</v>
      </c>
    </row>
    <row r="21" spans="1:10" s="5" customFormat="1">
      <c r="A21" s="5" t="s">
        <v>458</v>
      </c>
      <c r="B21" s="5" t="s">
        <v>122</v>
      </c>
      <c r="C21" s="5">
        <v>5.1691729323308264</v>
      </c>
      <c r="D21" s="5">
        <v>4.7630236305048319</v>
      </c>
      <c r="E21" s="5">
        <v>4.3568743286788392</v>
      </c>
      <c r="F21" s="5">
        <v>3.9507250268528447</v>
      </c>
      <c r="G21" s="5">
        <v>3.544575725026851</v>
      </c>
      <c r="H21" s="5">
        <v>3.1384264232008574</v>
      </c>
      <c r="I21" s="5">
        <v>2.7322771213748638</v>
      </c>
      <c r="J21" s="5">
        <v>2.3261278195488702</v>
      </c>
    </row>
    <row r="22" spans="1:10" s="5" customFormat="1">
      <c r="A22" s="5" t="s">
        <v>458</v>
      </c>
      <c r="B22" s="5" t="s">
        <v>162</v>
      </c>
      <c r="C22" s="5">
        <v>8.9952311839104304</v>
      </c>
      <c r="D22" s="5">
        <v>8.8093001984538368</v>
      </c>
      <c r="E22" s="5">
        <v>8.6233692129972468</v>
      </c>
      <c r="F22" s="5">
        <v>8.4374382275406532</v>
      </c>
      <c r="G22" s="5">
        <v>8.2515072420840614</v>
      </c>
      <c r="H22" s="5">
        <v>8.0655762566274696</v>
      </c>
      <c r="I22" s="5">
        <v>7.8796452711708769</v>
      </c>
      <c r="J22" s="5">
        <v>7.6937142857142851</v>
      </c>
    </row>
    <row r="23" spans="1:10" s="5" customFormat="1">
      <c r="A23" s="5" t="s">
        <v>458</v>
      </c>
      <c r="B23" s="5" t="s">
        <v>116</v>
      </c>
      <c r="C23" s="5">
        <v>19.366404036215354</v>
      </c>
      <c r="D23" s="5">
        <v>18.966101418796832</v>
      </c>
      <c r="E23" s="5">
        <v>18.565798801378314</v>
      </c>
      <c r="F23" s="5">
        <v>18.165496183959792</v>
      </c>
      <c r="G23" s="5">
        <v>17.765193566541274</v>
      </c>
      <c r="H23" s="5">
        <v>17.364890949122756</v>
      </c>
      <c r="I23" s="5">
        <v>16.964588331704235</v>
      </c>
      <c r="J23" s="5">
        <v>16.564285714285717</v>
      </c>
    </row>
    <row r="24" spans="1:10" s="5" customFormat="1">
      <c r="A24" s="5" t="s">
        <v>458</v>
      </c>
      <c r="B24" s="5" t="s">
        <v>52</v>
      </c>
      <c r="C24" s="5">
        <v>17.079933469028656</v>
      </c>
      <c r="D24" s="5">
        <v>15.749295743132432</v>
      </c>
      <c r="E24" s="5">
        <v>14.418658017236213</v>
      </c>
      <c r="F24" s="5">
        <v>13.088020291339991</v>
      </c>
      <c r="G24" s="5">
        <v>11.757382565443766</v>
      </c>
      <c r="H24" s="5">
        <v>10.426744839547545</v>
      </c>
      <c r="I24" s="5">
        <v>9.096107113651323</v>
      </c>
      <c r="J24" s="5">
        <v>7.7654693877551022</v>
      </c>
    </row>
    <row r="25" spans="1:10" s="5" customFormat="1">
      <c r="A25" s="5" t="s">
        <v>458</v>
      </c>
      <c r="B25" s="5" t="s">
        <v>117</v>
      </c>
      <c r="C25" s="5">
        <v>6.1224489795918364</v>
      </c>
      <c r="D25" s="5">
        <v>6.0641399416909616</v>
      </c>
      <c r="E25" s="5">
        <v>6.0058309037900877</v>
      </c>
      <c r="F25" s="5">
        <v>5.9475218658892128</v>
      </c>
      <c r="G25" s="5">
        <v>5.889212827988338</v>
      </c>
      <c r="H25" s="5">
        <v>5.8309037900874632</v>
      </c>
      <c r="I25" s="5">
        <v>5.7725947521865892</v>
      </c>
      <c r="J25" s="5">
        <v>5.7142857142857144</v>
      </c>
    </row>
    <row r="26" spans="1:10" s="5" customFormat="1">
      <c r="A26" s="5" t="s">
        <v>458</v>
      </c>
      <c r="B26" s="5" t="s">
        <v>118</v>
      </c>
      <c r="C26" s="5">
        <v>8.6179062463894454</v>
      </c>
      <c r="D26" s="5">
        <v>8.4499254706661713</v>
      </c>
      <c r="E26" s="5">
        <v>8.2819446949428972</v>
      </c>
      <c r="F26" s="5">
        <v>8.1139639192196249</v>
      </c>
      <c r="G26" s="5">
        <v>7.9459831434963508</v>
      </c>
      <c r="H26" s="5">
        <v>7.7780023677730767</v>
      </c>
      <c r="I26" s="5">
        <v>7.6100215920498036</v>
      </c>
      <c r="J26" s="5">
        <v>7.4420408163265304</v>
      </c>
    </row>
    <row r="27" spans="1:10" s="5" customFormat="1">
      <c r="A27" s="5" t="s">
        <v>458</v>
      </c>
      <c r="B27" s="5" t="s">
        <v>51</v>
      </c>
      <c r="C27" s="5">
        <v>10.303617571059432</v>
      </c>
      <c r="D27" s="5">
        <v>10.035991140642302</v>
      </c>
      <c r="E27" s="5">
        <v>9.7683647102251747</v>
      </c>
      <c r="F27" s="5">
        <v>9.5007382798080471</v>
      </c>
      <c r="G27" s="5">
        <v>9.2331118493909194</v>
      </c>
      <c r="H27" s="5">
        <v>8.9654854189737918</v>
      </c>
      <c r="I27" s="5">
        <v>8.6978589885566624</v>
      </c>
      <c r="J27" s="5">
        <v>8.4302325581395348</v>
      </c>
    </row>
    <row r="28" spans="1:10" s="5" customFormat="1">
      <c r="A28" s="5" t="s">
        <v>458</v>
      </c>
      <c r="B28" s="5" t="s">
        <v>50</v>
      </c>
      <c r="C28" s="5">
        <v>9.3669250645994833</v>
      </c>
      <c r="D28" s="5">
        <v>9.2331118493909177</v>
      </c>
      <c r="E28" s="5">
        <v>9.0992986341823556</v>
      </c>
      <c r="F28" s="5">
        <v>8.96548541897379</v>
      </c>
      <c r="G28" s="5">
        <v>8.8316722037652262</v>
      </c>
      <c r="H28" s="5">
        <v>8.6978589885566642</v>
      </c>
      <c r="I28" s="5">
        <v>8.5640457733480986</v>
      </c>
      <c r="J28" s="5">
        <v>8.4302325581395348</v>
      </c>
    </row>
    <row r="29" spans="1:10" s="5" customFormat="1">
      <c r="A29" s="5" t="s">
        <v>458</v>
      </c>
      <c r="B29" s="5" t="s">
        <v>99</v>
      </c>
      <c r="C29" s="5">
        <v>63.58</v>
      </c>
      <c r="D29" s="5">
        <v>57.639999999999993</v>
      </c>
      <c r="E29" s="5">
        <v>54.889999999999993</v>
      </c>
      <c r="F29" s="5">
        <v>52.139999999999993</v>
      </c>
      <c r="G29" s="5">
        <v>49.72</v>
      </c>
      <c r="H29" s="5">
        <v>47.3</v>
      </c>
      <c r="I29" s="5">
        <v>45.099999999999994</v>
      </c>
      <c r="J29" s="5">
        <v>42.9</v>
      </c>
    </row>
    <row r="30" spans="1:10" s="5" customFormat="1">
      <c r="A30" s="5" t="s">
        <v>458</v>
      </c>
      <c r="B30" s="5" t="s">
        <v>100</v>
      </c>
      <c r="C30" s="5">
        <v>40</v>
      </c>
      <c r="D30" s="5">
        <v>40</v>
      </c>
      <c r="E30" s="5">
        <v>40</v>
      </c>
      <c r="F30" s="5">
        <v>40</v>
      </c>
      <c r="G30" s="5">
        <v>40</v>
      </c>
      <c r="H30" s="5">
        <v>40</v>
      </c>
      <c r="I30" s="5">
        <v>40</v>
      </c>
      <c r="J30" s="5">
        <v>40</v>
      </c>
    </row>
    <row r="31" spans="1:10" s="5" customFormat="1">
      <c r="A31" s="5" t="s">
        <v>458</v>
      </c>
      <c r="B31" s="5" t="s">
        <v>101</v>
      </c>
      <c r="C31" s="5">
        <v>50</v>
      </c>
      <c r="D31" s="5">
        <v>50</v>
      </c>
      <c r="E31" s="5">
        <v>50</v>
      </c>
      <c r="F31" s="5">
        <v>50</v>
      </c>
      <c r="G31" s="5">
        <v>50</v>
      </c>
      <c r="H31" s="5">
        <v>50</v>
      </c>
      <c r="I31" s="5">
        <v>50</v>
      </c>
      <c r="J31" s="5">
        <v>50</v>
      </c>
    </row>
    <row r="32" spans="1:10" s="5" customFormat="1">
      <c r="A32" s="5" t="s">
        <v>458</v>
      </c>
      <c r="B32" s="5" t="s">
        <v>102</v>
      </c>
      <c r="C32" s="5">
        <v>7</v>
      </c>
      <c r="D32" s="5">
        <v>7</v>
      </c>
      <c r="E32" s="5">
        <v>7</v>
      </c>
      <c r="F32" s="5">
        <v>7</v>
      </c>
      <c r="G32" s="5">
        <v>7</v>
      </c>
      <c r="H32" s="5">
        <v>7</v>
      </c>
      <c r="I32" s="5">
        <v>7</v>
      </c>
      <c r="J32" s="5">
        <v>7</v>
      </c>
    </row>
    <row r="33" spans="1:10" s="5" customFormat="1">
      <c r="A33" s="5" t="s">
        <v>458</v>
      </c>
      <c r="B33" s="5" t="s">
        <v>103</v>
      </c>
      <c r="C33" s="5">
        <v>19.399999999999999</v>
      </c>
      <c r="D33" s="5">
        <v>19.399999999999999</v>
      </c>
      <c r="E33" s="5">
        <v>19.399999999999999</v>
      </c>
      <c r="F33" s="5">
        <v>19.399999999999999</v>
      </c>
      <c r="G33" s="5">
        <v>19.399999999999999</v>
      </c>
      <c r="H33" s="5">
        <v>19.399999999999999</v>
      </c>
      <c r="I33" s="5">
        <v>19.399999999999999</v>
      </c>
      <c r="J33" s="5">
        <v>19.399999999999999</v>
      </c>
    </row>
    <row r="34" spans="1:10" s="5" customFormat="1">
      <c r="A34" s="5" t="s">
        <v>458</v>
      </c>
      <c r="B34" s="5" t="s">
        <v>104</v>
      </c>
      <c r="C34" s="5">
        <v>3500</v>
      </c>
      <c r="D34" s="5">
        <v>3400</v>
      </c>
      <c r="E34" s="5">
        <v>3300</v>
      </c>
      <c r="F34" s="5">
        <v>3200</v>
      </c>
      <c r="G34" s="5">
        <v>3105</v>
      </c>
      <c r="H34" s="5">
        <v>3010</v>
      </c>
      <c r="I34" s="5">
        <v>2920</v>
      </c>
      <c r="J34" s="5">
        <v>2830</v>
      </c>
    </row>
    <row r="35" spans="1:10" s="5" customFormat="1">
      <c r="A35" s="5" t="s">
        <v>458</v>
      </c>
      <c r="B35" s="5" t="s">
        <v>148</v>
      </c>
      <c r="C35" s="5">
        <v>3.9</v>
      </c>
      <c r="D35" s="5">
        <v>3.9</v>
      </c>
      <c r="E35" s="5">
        <v>3.9</v>
      </c>
      <c r="F35" s="5">
        <v>3.9</v>
      </c>
      <c r="G35" s="5">
        <v>3.9</v>
      </c>
      <c r="H35" s="5">
        <v>3.9</v>
      </c>
      <c r="I35" s="5">
        <v>3.9</v>
      </c>
      <c r="J35" s="5">
        <v>3.9</v>
      </c>
    </row>
    <row r="36" spans="1:10" s="5" customFormat="1">
      <c r="A36" s="5" t="s">
        <v>458</v>
      </c>
      <c r="B36" s="5" t="s">
        <v>176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 s="5" customFormat="1">
      <c r="A37" s="5" t="s">
        <v>458</v>
      </c>
      <c r="B37" s="5" t="s">
        <v>105</v>
      </c>
      <c r="C37" s="5">
        <v>63.58</v>
      </c>
      <c r="D37" s="5">
        <v>57.639999999999993</v>
      </c>
      <c r="E37" s="5">
        <v>54.889999999999993</v>
      </c>
      <c r="F37" s="5">
        <v>52.139999999999993</v>
      </c>
      <c r="G37" s="5">
        <v>49.72</v>
      </c>
      <c r="H37" s="5">
        <v>47.3</v>
      </c>
      <c r="I37" s="5">
        <v>45.099999999999994</v>
      </c>
      <c r="J37" s="5">
        <v>42.9</v>
      </c>
    </row>
    <row r="38" spans="1:10" s="5" customFormat="1">
      <c r="A38" s="5" t="s">
        <v>458</v>
      </c>
      <c r="B38" s="5" t="s">
        <v>106</v>
      </c>
      <c r="C38" s="5">
        <v>40</v>
      </c>
      <c r="D38" s="5">
        <v>40</v>
      </c>
      <c r="E38" s="5">
        <v>40</v>
      </c>
      <c r="F38" s="5">
        <v>40</v>
      </c>
      <c r="G38" s="5">
        <v>40</v>
      </c>
      <c r="H38" s="5">
        <v>40</v>
      </c>
      <c r="I38" s="5">
        <v>40</v>
      </c>
      <c r="J38" s="5">
        <v>40</v>
      </c>
    </row>
    <row r="39" spans="1:10" s="5" customFormat="1">
      <c r="A39" s="5" t="s">
        <v>458</v>
      </c>
      <c r="B39" s="5" t="s">
        <v>107</v>
      </c>
      <c r="C39" s="5">
        <v>50</v>
      </c>
      <c r="D39" s="5">
        <v>50</v>
      </c>
      <c r="E39" s="5">
        <v>50</v>
      </c>
      <c r="F39" s="5">
        <v>50</v>
      </c>
      <c r="G39" s="5">
        <v>50</v>
      </c>
      <c r="H39" s="5">
        <v>50</v>
      </c>
      <c r="I39" s="5">
        <v>50</v>
      </c>
      <c r="J39" s="5">
        <v>50</v>
      </c>
    </row>
    <row r="40" spans="1:10" s="5" customFormat="1">
      <c r="A40" s="5" t="s">
        <v>458</v>
      </c>
      <c r="B40" s="5" t="s">
        <v>108</v>
      </c>
      <c r="C40" s="5">
        <v>24</v>
      </c>
      <c r="D40" s="5">
        <v>24</v>
      </c>
      <c r="E40" s="5">
        <v>24</v>
      </c>
      <c r="F40" s="5">
        <v>24</v>
      </c>
      <c r="G40" s="5">
        <v>24</v>
      </c>
      <c r="H40" s="5">
        <v>24</v>
      </c>
      <c r="I40" s="5">
        <v>24</v>
      </c>
      <c r="J40" s="5">
        <v>24</v>
      </c>
    </row>
    <row r="41" spans="1:10" s="5" customFormat="1">
      <c r="A41" s="5" t="s">
        <v>458</v>
      </c>
      <c r="B41" s="5" t="s">
        <v>109</v>
      </c>
      <c r="C41" s="5">
        <v>19.399999999999999</v>
      </c>
      <c r="D41" s="5">
        <v>19.399999999999999</v>
      </c>
      <c r="E41" s="5">
        <v>19.399999999999999</v>
      </c>
      <c r="F41" s="5">
        <v>19.399999999999999</v>
      </c>
      <c r="G41" s="5">
        <v>19.399999999999999</v>
      </c>
      <c r="H41" s="5">
        <v>19.399999999999999</v>
      </c>
      <c r="I41" s="5">
        <v>19.399999999999999</v>
      </c>
      <c r="J41" s="5">
        <v>19.399999999999999</v>
      </c>
    </row>
    <row r="42" spans="1:10" s="5" customFormat="1">
      <c r="A42" s="5" t="s">
        <v>458</v>
      </c>
      <c r="B42" s="5" t="s">
        <v>110</v>
      </c>
      <c r="C42" s="5">
        <v>34</v>
      </c>
      <c r="D42" s="5">
        <v>33</v>
      </c>
      <c r="E42" s="5">
        <v>24</v>
      </c>
      <c r="F42" s="5">
        <v>15.5</v>
      </c>
      <c r="G42" s="5">
        <v>15.05</v>
      </c>
      <c r="H42" s="5">
        <v>14.6</v>
      </c>
      <c r="I42" s="5">
        <v>14.15</v>
      </c>
      <c r="J42" s="5">
        <v>13.700000000000001</v>
      </c>
    </row>
    <row r="43" spans="1:10" s="5" customFormat="1">
      <c r="A43" s="5" t="s">
        <v>458</v>
      </c>
      <c r="B43" s="5" t="s">
        <v>111</v>
      </c>
      <c r="C43" s="5">
        <v>16</v>
      </c>
      <c r="D43" s="5">
        <v>15.6</v>
      </c>
      <c r="E43" s="5">
        <v>11.324999999999999</v>
      </c>
      <c r="F43" s="5">
        <v>7.3</v>
      </c>
      <c r="G43" s="5">
        <v>7.1000000000000005</v>
      </c>
      <c r="H43" s="5">
        <v>6.9</v>
      </c>
      <c r="I43" s="5">
        <v>6.7</v>
      </c>
      <c r="J43" s="5">
        <v>6.5</v>
      </c>
    </row>
    <row r="44" spans="1:10" s="5" customFormat="1">
      <c r="A44" s="5" t="s">
        <v>458</v>
      </c>
      <c r="B44" s="5" t="s">
        <v>160</v>
      </c>
      <c r="C44" s="5">
        <v>27.5</v>
      </c>
      <c r="D44" s="5">
        <v>22.5</v>
      </c>
      <c r="E44" s="5">
        <v>21.375</v>
      </c>
      <c r="F44" s="5">
        <v>20.25</v>
      </c>
      <c r="G44" s="5">
        <v>19.625</v>
      </c>
      <c r="H44" s="5">
        <v>19</v>
      </c>
      <c r="I44" s="5">
        <v>18.5</v>
      </c>
      <c r="J44" s="5">
        <v>18</v>
      </c>
    </row>
    <row r="45" spans="1:10" s="5" customFormat="1">
      <c r="A45" s="5" t="s">
        <v>458</v>
      </c>
      <c r="B45" s="5" t="s">
        <v>161</v>
      </c>
      <c r="C45" s="5">
        <v>26.2</v>
      </c>
      <c r="D45" s="5">
        <v>22</v>
      </c>
      <c r="E45" s="5">
        <v>20.900000000000002</v>
      </c>
      <c r="F45" s="5">
        <v>19.8</v>
      </c>
      <c r="G45" s="5">
        <v>19.2</v>
      </c>
      <c r="H45" s="5">
        <v>18.600000000000001</v>
      </c>
      <c r="I45" s="5">
        <v>18.100000000000001</v>
      </c>
      <c r="J45" s="5">
        <v>17.600000000000001</v>
      </c>
    </row>
    <row r="46" spans="1:10" s="5" customFormat="1">
      <c r="A46" s="5" t="s">
        <v>458</v>
      </c>
      <c r="B46" s="5" t="s">
        <v>147</v>
      </c>
      <c r="C46" s="5">
        <v>14.85</v>
      </c>
      <c r="D46" s="5">
        <v>14.85</v>
      </c>
      <c r="E46" s="5">
        <v>14.85</v>
      </c>
      <c r="F46" s="5">
        <v>14.85</v>
      </c>
      <c r="G46" s="5">
        <v>14.85</v>
      </c>
      <c r="H46" s="5">
        <v>14.85</v>
      </c>
      <c r="I46" s="5">
        <v>14.85</v>
      </c>
      <c r="J46" s="5">
        <v>14.85</v>
      </c>
    </row>
    <row r="47" spans="1:10" s="5" customFormat="1">
      <c r="A47" s="5" t="s">
        <v>458</v>
      </c>
      <c r="B47" s="5" t="s">
        <v>94</v>
      </c>
      <c r="C47" s="5">
        <v>40</v>
      </c>
      <c r="D47" s="5">
        <v>40</v>
      </c>
      <c r="E47" s="5">
        <v>40</v>
      </c>
      <c r="F47" s="5">
        <v>40</v>
      </c>
      <c r="G47" s="5">
        <v>40</v>
      </c>
      <c r="H47" s="5">
        <v>40</v>
      </c>
      <c r="I47" s="5">
        <v>40</v>
      </c>
      <c r="J47" s="5">
        <v>40</v>
      </c>
    </row>
    <row r="48" spans="1:10" s="5" customFormat="1">
      <c r="A48" s="5" t="s">
        <v>458</v>
      </c>
      <c r="B48" s="5" t="s">
        <v>93</v>
      </c>
      <c r="C48" s="5">
        <v>38</v>
      </c>
      <c r="D48" s="5">
        <v>38</v>
      </c>
      <c r="E48" s="5">
        <v>38</v>
      </c>
      <c r="F48" s="5">
        <v>38</v>
      </c>
      <c r="G48" s="5">
        <v>38</v>
      </c>
      <c r="H48" s="5">
        <v>38</v>
      </c>
      <c r="I48" s="5">
        <v>38</v>
      </c>
      <c r="J48" s="5">
        <v>38</v>
      </c>
    </row>
    <row r="49" spans="1:10" s="5" customFormat="1">
      <c r="A49" s="5" t="s">
        <v>458</v>
      </c>
      <c r="B49" s="5" t="s">
        <v>13</v>
      </c>
      <c r="C49" s="5">
        <v>16.25</v>
      </c>
      <c r="D49" s="5">
        <v>15.892857142857142</v>
      </c>
      <c r="E49" s="5">
        <v>15.535714285714286</v>
      </c>
      <c r="F49" s="5">
        <v>15.178571428571429</v>
      </c>
      <c r="G49" s="5">
        <v>14.821428571428573</v>
      </c>
      <c r="H49" s="5">
        <v>14.464285714285715</v>
      </c>
      <c r="I49" s="5">
        <v>14.107142857142859</v>
      </c>
      <c r="J49" s="5">
        <v>13.75</v>
      </c>
    </row>
    <row r="50" spans="1:10" s="5" customFormat="1">
      <c r="A50" s="5" t="s">
        <v>458</v>
      </c>
      <c r="B50" s="5" t="s">
        <v>14</v>
      </c>
      <c r="C50" s="5">
        <v>94.5</v>
      </c>
      <c r="D50" s="5">
        <v>91.350000000000009</v>
      </c>
      <c r="E50" s="5">
        <v>84.5</v>
      </c>
      <c r="F50" s="5">
        <v>77.899999999999991</v>
      </c>
      <c r="G50" s="5">
        <v>71.099999999999994</v>
      </c>
      <c r="H50" s="5">
        <v>64.600000000000009</v>
      </c>
      <c r="I50" s="5">
        <v>64.175000000000011</v>
      </c>
      <c r="J50" s="5">
        <v>60</v>
      </c>
    </row>
    <row r="51" spans="1:10" s="5" customFormat="1">
      <c r="A51" s="5" t="s">
        <v>458</v>
      </c>
      <c r="B51" s="5" t="s">
        <v>49</v>
      </c>
      <c r="C51" s="5">
        <v>6.96</v>
      </c>
      <c r="D51" s="5">
        <v>6.81</v>
      </c>
      <c r="E51" s="5">
        <v>6.66</v>
      </c>
      <c r="F51" s="5">
        <v>6.51</v>
      </c>
      <c r="G51" s="5">
        <v>6.36</v>
      </c>
      <c r="H51" s="5">
        <v>6.21</v>
      </c>
      <c r="I51" s="5">
        <v>6.0600000000000005</v>
      </c>
      <c r="J51" s="5">
        <v>5.91</v>
      </c>
    </row>
    <row r="52" spans="1:10" s="5" customFormat="1">
      <c r="A52" s="5" t="s">
        <v>458</v>
      </c>
      <c r="B52" s="5" t="s">
        <v>150</v>
      </c>
      <c r="C52" s="5">
        <v>63.58</v>
      </c>
      <c r="D52" s="5">
        <v>57.639999999999993</v>
      </c>
      <c r="E52" s="5">
        <v>54.889999999999993</v>
      </c>
      <c r="F52" s="5">
        <v>52.139999999999993</v>
      </c>
      <c r="G52" s="5">
        <v>49.72</v>
      </c>
      <c r="H52" s="5">
        <v>47.3</v>
      </c>
      <c r="I52" s="5">
        <v>45.099999999999994</v>
      </c>
      <c r="J52" s="5">
        <v>42.9</v>
      </c>
    </row>
    <row r="53" spans="1:10" s="5" customFormat="1">
      <c r="A53" s="5" t="s">
        <v>458</v>
      </c>
      <c r="B53" s="5" t="s">
        <v>124</v>
      </c>
      <c r="C53" s="5">
        <v>0.38914804469273756</v>
      </c>
      <c r="D53" s="5">
        <v>0.37904030327214694</v>
      </c>
      <c r="E53" s="5">
        <v>0.36893256185155632</v>
      </c>
      <c r="F53" s="5">
        <v>0.35882482043096575</v>
      </c>
      <c r="G53" s="5">
        <v>0.34871707901037513</v>
      </c>
      <c r="H53" s="5">
        <v>0.33860933758978451</v>
      </c>
      <c r="I53" s="5">
        <v>0.32850159616919394</v>
      </c>
      <c r="J53" s="5">
        <v>0.31839385474860338</v>
      </c>
    </row>
    <row r="54" spans="1:10" s="5" customFormat="1">
      <c r="A54" s="5" t="s">
        <v>458</v>
      </c>
      <c r="B54" s="5" t="s">
        <v>53</v>
      </c>
      <c r="C54" s="5">
        <v>0.35377094972067041</v>
      </c>
      <c r="D54" s="5">
        <v>0.34871707901037508</v>
      </c>
      <c r="E54" s="5">
        <v>0.34366320830007979</v>
      </c>
      <c r="F54" s="5">
        <v>0.33860933758978451</v>
      </c>
      <c r="G54" s="5">
        <v>0.33355546687948923</v>
      </c>
      <c r="H54" s="5">
        <v>0.32850159616919394</v>
      </c>
      <c r="I54" s="5">
        <v>0.32344772545889866</v>
      </c>
      <c r="J54" s="5">
        <v>0.31839385474860338</v>
      </c>
    </row>
    <row r="55" spans="1:10" s="5" customFormat="1">
      <c r="A55" s="5" t="s">
        <v>458</v>
      </c>
      <c r="B55" s="5" t="s">
        <v>125</v>
      </c>
      <c r="C55" s="5">
        <v>0.63678770949720676</v>
      </c>
      <c r="D55" s="5">
        <v>0.59585135674381484</v>
      </c>
      <c r="E55" s="5">
        <v>0.55491500399042304</v>
      </c>
      <c r="F55" s="5">
        <v>0.51397865123703113</v>
      </c>
      <c r="G55" s="5">
        <v>0.47304229848363932</v>
      </c>
      <c r="H55" s="5">
        <v>0.43210594573024741</v>
      </c>
      <c r="I55" s="5">
        <v>0.39116959297685561</v>
      </c>
      <c r="J55" s="5">
        <v>0.3502332402234638</v>
      </c>
    </row>
    <row r="56" spans="1:10" s="5" customFormat="1">
      <c r="A56" s="5" t="s">
        <v>458</v>
      </c>
      <c r="B56" s="5" t="s">
        <v>119</v>
      </c>
      <c r="C56" s="5">
        <v>0.20923913043478259</v>
      </c>
      <c r="D56" s="5">
        <v>0.20624999999999996</v>
      </c>
      <c r="E56" s="5">
        <v>0.20326086956521738</v>
      </c>
      <c r="F56" s="5">
        <v>0.20027173913043478</v>
      </c>
      <c r="G56" s="5">
        <v>0.19728260869565217</v>
      </c>
      <c r="H56" s="5">
        <v>0.19429347826086954</v>
      </c>
      <c r="I56" s="5">
        <v>0.19130434782608696</v>
      </c>
      <c r="J56" s="5">
        <v>0.18831521739130436</v>
      </c>
    </row>
    <row r="57" spans="1:10" s="5" customFormat="1">
      <c r="A57" s="5" t="s">
        <v>458</v>
      </c>
      <c r="B57" s="5" t="s">
        <v>120</v>
      </c>
      <c r="C57" s="5">
        <v>0.29891304347826092</v>
      </c>
      <c r="D57" s="5">
        <v>0.29464285714285715</v>
      </c>
      <c r="E57" s="5">
        <v>0.29037267080745338</v>
      </c>
      <c r="F57" s="5">
        <v>0.28610248447204967</v>
      </c>
      <c r="G57" s="5">
        <v>0.28183229813664595</v>
      </c>
      <c r="H57" s="5">
        <v>0.27756211180124224</v>
      </c>
      <c r="I57" s="5">
        <v>0.27329192546583847</v>
      </c>
      <c r="J57" s="5">
        <v>0.26902173913043476</v>
      </c>
    </row>
    <row r="58" spans="1:10" s="5" customFormat="1">
      <c r="A58" s="5" t="s">
        <v>458</v>
      </c>
      <c r="B58" s="5" t="s">
        <v>55</v>
      </c>
      <c r="C58" s="5">
        <v>3.8666666666666671</v>
      </c>
      <c r="D58" s="5">
        <v>3.5673877551020414</v>
      </c>
      <c r="E58" s="5">
        <v>3.2681088435374157</v>
      </c>
      <c r="F58" s="5">
        <v>2.9688299319727895</v>
      </c>
      <c r="G58" s="5">
        <v>2.6695510204081638</v>
      </c>
      <c r="H58" s="5">
        <v>2.3702721088435377</v>
      </c>
      <c r="I58" s="5">
        <v>2.0709931972789115</v>
      </c>
      <c r="J58" s="5">
        <v>1.7717142857142858</v>
      </c>
    </row>
    <row r="59" spans="1:10" s="5" customFormat="1">
      <c r="A59" s="5" t="s">
        <v>458</v>
      </c>
      <c r="B59" s="5" t="s">
        <v>114</v>
      </c>
      <c r="C59" s="5">
        <v>7.333333333333333</v>
      </c>
      <c r="D59" s="5">
        <v>6.4898448979591823</v>
      </c>
      <c r="E59" s="5">
        <v>5.6463564625850342</v>
      </c>
      <c r="F59" s="5">
        <v>4.8028680272108843</v>
      </c>
      <c r="G59" s="5">
        <v>3.9593795918367345</v>
      </c>
      <c r="H59" s="5">
        <v>3.1158911564625846</v>
      </c>
      <c r="I59" s="5">
        <v>2.2724027210884352</v>
      </c>
      <c r="J59" s="5">
        <v>1.4289142857142858</v>
      </c>
    </row>
    <row r="60" spans="1:10" s="5" customFormat="1">
      <c r="A60" s="5" t="s">
        <v>458</v>
      </c>
      <c r="B60" s="5" t="s">
        <v>54</v>
      </c>
      <c r="C60" s="5">
        <v>2.4000000000000004</v>
      </c>
      <c r="D60" s="5">
        <v>2.2001224489795916</v>
      </c>
      <c r="E60" s="5">
        <v>2.0002448979591838</v>
      </c>
      <c r="F60" s="5">
        <v>1.8003673469387758</v>
      </c>
      <c r="G60" s="5">
        <v>1.6004897959183673</v>
      </c>
      <c r="H60" s="5">
        <v>1.4006122448979594</v>
      </c>
      <c r="I60" s="5">
        <v>1.2007346938775512</v>
      </c>
      <c r="J60" s="5">
        <v>1.0008571428571429</v>
      </c>
    </row>
    <row r="61" spans="1:10" s="5" customFormat="1">
      <c r="A61" s="5" t="s">
        <v>458</v>
      </c>
      <c r="B61" s="5" t="s">
        <v>115</v>
      </c>
      <c r="C61" s="5">
        <v>3.6</v>
      </c>
      <c r="D61" s="5">
        <v>3.2760489795918368</v>
      </c>
      <c r="E61" s="5">
        <v>2.9520979591836736</v>
      </c>
      <c r="F61" s="5">
        <v>2.6281469387755099</v>
      </c>
      <c r="G61" s="5">
        <v>2.3041959183673471</v>
      </c>
      <c r="H61" s="5">
        <v>1.9802448979591838</v>
      </c>
      <c r="I61" s="5">
        <v>1.6562938775510205</v>
      </c>
      <c r="J61" s="5">
        <v>1.3323428571428573</v>
      </c>
    </row>
    <row r="62" spans="1:10" s="5" customFormat="1">
      <c r="A62" s="5" t="s">
        <v>458</v>
      </c>
      <c r="B62" s="5" t="s">
        <v>145</v>
      </c>
    </row>
    <row r="63" spans="1:10" s="5" customFormat="1">
      <c r="A63" s="5" t="s">
        <v>458</v>
      </c>
      <c r="B63" s="5" t="s">
        <v>87</v>
      </c>
      <c r="C63" s="5">
        <v>193.49599999999995</v>
      </c>
      <c r="D63" s="5">
        <v>188.404</v>
      </c>
      <c r="E63" s="5">
        <v>183.31199999999998</v>
      </c>
      <c r="F63" s="5">
        <v>178.21999999999997</v>
      </c>
      <c r="G63" s="5">
        <v>170.58199999999999</v>
      </c>
      <c r="H63" s="5">
        <v>162.94400000000002</v>
      </c>
      <c r="I63" s="5">
        <v>156.57900000000001</v>
      </c>
      <c r="J63" s="5">
        <v>152.76</v>
      </c>
    </row>
    <row r="64" spans="1:10" s="5" customFormat="1">
      <c r="A64" s="5" t="s">
        <v>458</v>
      </c>
      <c r="B64" s="5" t="s">
        <v>88</v>
      </c>
      <c r="C64" s="5">
        <v>217.49599999999998</v>
      </c>
      <c r="D64" s="5">
        <v>200.404</v>
      </c>
      <c r="E64" s="5">
        <v>191.31199999999998</v>
      </c>
      <c r="F64" s="5">
        <v>184.21999999999997</v>
      </c>
      <c r="G64" s="5">
        <v>175.38199999999998</v>
      </c>
      <c r="H64" s="5">
        <v>166.94400000000002</v>
      </c>
      <c r="I64" s="5">
        <v>159.97899999999998</v>
      </c>
      <c r="J64" s="5">
        <v>155.76</v>
      </c>
    </row>
    <row r="65" spans="1:10" s="5" customFormat="1">
      <c r="A65" s="5" t="s">
        <v>458</v>
      </c>
      <c r="B65" s="5" t="s">
        <v>92</v>
      </c>
      <c r="C65" s="5">
        <v>80</v>
      </c>
      <c r="D65" s="5">
        <v>80</v>
      </c>
      <c r="E65" s="5">
        <v>80</v>
      </c>
      <c r="F65" s="5">
        <v>80</v>
      </c>
      <c r="G65" s="5">
        <v>80</v>
      </c>
      <c r="H65" s="5">
        <v>80</v>
      </c>
      <c r="I65" s="5">
        <v>80</v>
      </c>
      <c r="J65" s="5">
        <v>80</v>
      </c>
    </row>
    <row r="66" spans="1:10" s="5" customFormat="1">
      <c r="A66" s="5" t="s">
        <v>458</v>
      </c>
      <c r="B66" s="5" t="s">
        <v>89</v>
      </c>
      <c r="C66" s="5">
        <v>22</v>
      </c>
      <c r="D66" s="5">
        <v>22</v>
      </c>
      <c r="E66" s="5">
        <v>22</v>
      </c>
      <c r="F66" s="5">
        <v>22</v>
      </c>
      <c r="G66" s="5">
        <v>22</v>
      </c>
      <c r="H66" s="5">
        <v>22</v>
      </c>
      <c r="I66" s="5">
        <v>22</v>
      </c>
      <c r="J66" s="5">
        <v>22</v>
      </c>
    </row>
    <row r="67" spans="1:10" s="5" customFormat="1">
      <c r="A67" s="5" t="s">
        <v>458</v>
      </c>
      <c r="B67" s="5" t="s">
        <v>90</v>
      </c>
      <c r="C67" s="5">
        <v>66</v>
      </c>
      <c r="D67" s="5">
        <v>66</v>
      </c>
      <c r="E67" s="5">
        <v>66</v>
      </c>
      <c r="F67" s="5">
        <v>66</v>
      </c>
      <c r="G67" s="5">
        <v>66</v>
      </c>
      <c r="H67" s="5">
        <v>66</v>
      </c>
      <c r="I67" s="5">
        <v>66</v>
      </c>
      <c r="J67" s="5">
        <v>66</v>
      </c>
    </row>
    <row r="68" spans="1:10" s="5" customFormat="1">
      <c r="A68" s="5" t="s">
        <v>458</v>
      </c>
      <c r="B68" s="5" t="s">
        <v>91</v>
      </c>
      <c r="C68" s="5">
        <v>336.26</v>
      </c>
      <c r="D68" s="5">
        <v>183.42</v>
      </c>
      <c r="E68" s="5">
        <v>164.3725</v>
      </c>
      <c r="F68" s="5">
        <v>144.02000000000001</v>
      </c>
      <c r="G68" s="5">
        <v>127.92375000000001</v>
      </c>
      <c r="H68" s="5">
        <v>102.125</v>
      </c>
      <c r="I68" s="5">
        <v>102.925</v>
      </c>
      <c r="J68" s="5">
        <v>102.9</v>
      </c>
    </row>
    <row r="69" spans="1:10" s="5" customFormat="1">
      <c r="A69" s="5" t="s">
        <v>458</v>
      </c>
      <c r="B69" s="5" t="s">
        <v>158</v>
      </c>
      <c r="C69" s="5">
        <v>27.5</v>
      </c>
      <c r="D69" s="5">
        <v>22.5</v>
      </c>
      <c r="E69" s="5">
        <v>21.375</v>
      </c>
      <c r="F69" s="5">
        <v>20.25</v>
      </c>
      <c r="G69" s="5">
        <v>19.625</v>
      </c>
      <c r="H69" s="5">
        <v>19</v>
      </c>
      <c r="I69" s="5">
        <v>18.5</v>
      </c>
      <c r="J69" s="5">
        <v>18</v>
      </c>
    </row>
    <row r="70" spans="1:10" s="5" customFormat="1">
      <c r="A70" s="5" t="s">
        <v>458</v>
      </c>
      <c r="B70" s="5" t="s">
        <v>159</v>
      </c>
      <c r="C70" s="5">
        <v>26.2</v>
      </c>
      <c r="D70" s="5">
        <v>22</v>
      </c>
      <c r="E70" s="5">
        <v>20.900000000000002</v>
      </c>
      <c r="F70" s="5">
        <v>19.8</v>
      </c>
      <c r="G70" s="5">
        <v>19.2</v>
      </c>
      <c r="H70" s="5">
        <v>18.600000000000001</v>
      </c>
      <c r="I70" s="5">
        <v>18.100000000000001</v>
      </c>
      <c r="J70" s="5">
        <v>17.600000000000001</v>
      </c>
    </row>
    <row r="71" spans="1:10" s="5" customFormat="1">
      <c r="A71" s="5" t="s">
        <v>458</v>
      </c>
      <c r="B71" s="5" t="s">
        <v>81</v>
      </c>
      <c r="C71" s="5">
        <v>17.34</v>
      </c>
      <c r="D71" s="5">
        <v>10.378500000000001</v>
      </c>
      <c r="E71" s="5">
        <v>8.7380000000000013</v>
      </c>
      <c r="F71" s="5">
        <v>7.65</v>
      </c>
      <c r="G71" s="5">
        <v>6.4600000000000009</v>
      </c>
      <c r="H71" s="5">
        <v>5.5590000000000002</v>
      </c>
      <c r="I71" s="5">
        <v>5.0235000000000003</v>
      </c>
      <c r="J71" s="5">
        <v>4.5390000000000006</v>
      </c>
    </row>
    <row r="72" spans="1:10" s="5" customFormat="1">
      <c r="A72" s="5" t="s">
        <v>458</v>
      </c>
      <c r="B72" s="5" t="s">
        <v>80</v>
      </c>
      <c r="C72" s="5">
        <v>17.34</v>
      </c>
      <c r="D72" s="5">
        <v>10.378500000000001</v>
      </c>
      <c r="E72" s="5">
        <v>8.7380000000000013</v>
      </c>
      <c r="F72" s="5">
        <v>7.65</v>
      </c>
      <c r="G72" s="5">
        <v>6.4600000000000009</v>
      </c>
      <c r="H72" s="5">
        <v>5.5590000000000002</v>
      </c>
      <c r="I72" s="5">
        <v>5.0235000000000003</v>
      </c>
      <c r="J72" s="5">
        <v>4.5390000000000006</v>
      </c>
    </row>
    <row r="73" spans="1:10" s="5" customFormat="1">
      <c r="A73" s="5" t="s">
        <v>458</v>
      </c>
      <c r="B73" s="5" t="s">
        <v>82</v>
      </c>
      <c r="C73" s="5">
        <v>17.34</v>
      </c>
      <c r="D73" s="5">
        <v>10.378500000000001</v>
      </c>
      <c r="E73" s="5">
        <v>8.7380000000000013</v>
      </c>
      <c r="F73" s="5">
        <v>7.65</v>
      </c>
      <c r="G73" s="5">
        <v>6.4600000000000009</v>
      </c>
      <c r="H73" s="5">
        <v>5.5590000000000002</v>
      </c>
      <c r="I73" s="5">
        <v>5.0235000000000003</v>
      </c>
      <c r="J73" s="5">
        <v>4.5390000000000006</v>
      </c>
    </row>
    <row r="74" spans="1:10" s="5" customFormat="1">
      <c r="A74" s="5" t="s">
        <v>458</v>
      </c>
      <c r="B74" s="5" t="s">
        <v>151</v>
      </c>
      <c r="C74" s="5">
        <v>129.5</v>
      </c>
      <c r="D74" s="5">
        <v>84.373333333333335</v>
      </c>
      <c r="E74" s="5">
        <v>68.2</v>
      </c>
      <c r="F74" s="5">
        <v>58.08</v>
      </c>
      <c r="G74" s="5">
        <v>52.2</v>
      </c>
      <c r="H74" s="5">
        <v>47.88</v>
      </c>
      <c r="I74" s="5">
        <v>41.860799999999998</v>
      </c>
      <c r="J74" s="5">
        <v>36.624095999999994</v>
      </c>
    </row>
    <row r="75" spans="1:10" s="5" customFormat="1">
      <c r="A75" s="5" t="s">
        <v>458</v>
      </c>
      <c r="B75" s="5" t="s">
        <v>152</v>
      </c>
      <c r="C75" s="5">
        <v>110.07499999999999</v>
      </c>
      <c r="D75" s="5">
        <v>71.717333333333329</v>
      </c>
      <c r="E75" s="5">
        <v>57.97</v>
      </c>
      <c r="F75" s="5">
        <v>49.367999999999995</v>
      </c>
      <c r="G75" s="5">
        <v>44.370000000000005</v>
      </c>
      <c r="H75" s="5">
        <v>40.698</v>
      </c>
      <c r="I75" s="5">
        <v>35.581679999999999</v>
      </c>
      <c r="J75" s="5">
        <v>31.130481599999992</v>
      </c>
    </row>
    <row r="76" spans="1:10" s="5" customFormat="1">
      <c r="A76" s="5" t="s">
        <v>458</v>
      </c>
      <c r="B76" s="5" t="s">
        <v>153</v>
      </c>
      <c r="C76" s="5">
        <v>148.92499999999998</v>
      </c>
      <c r="D76" s="5">
        <v>97.029333333333312</v>
      </c>
      <c r="E76" s="5">
        <v>78.429999999999993</v>
      </c>
      <c r="F76" s="5">
        <v>66.791999999999987</v>
      </c>
      <c r="G76" s="5">
        <v>60.03</v>
      </c>
      <c r="H76" s="5">
        <v>55.061999999999998</v>
      </c>
      <c r="I76" s="5">
        <v>48.139919999999989</v>
      </c>
      <c r="J76" s="5">
        <v>42.117710399999993</v>
      </c>
    </row>
    <row r="77" spans="1:10" s="5" customFormat="1">
      <c r="A77" s="5" t="s">
        <v>458</v>
      </c>
      <c r="B77" s="5" t="s">
        <v>84</v>
      </c>
      <c r="C77" s="5">
        <v>25</v>
      </c>
      <c r="D77" s="5">
        <v>23</v>
      </c>
      <c r="E77" s="5">
        <v>21</v>
      </c>
      <c r="F77" s="5">
        <v>20</v>
      </c>
      <c r="G77" s="5">
        <v>19</v>
      </c>
      <c r="H77" s="5">
        <v>19</v>
      </c>
      <c r="I77" s="5">
        <v>18</v>
      </c>
      <c r="J77" s="5">
        <v>18</v>
      </c>
    </row>
    <row r="78" spans="1:10" s="5" customFormat="1">
      <c r="A78" s="5" t="s">
        <v>458</v>
      </c>
      <c r="B78" s="5" t="s">
        <v>83</v>
      </c>
      <c r="C78" s="5">
        <v>25</v>
      </c>
      <c r="D78" s="5">
        <v>23</v>
      </c>
      <c r="E78" s="5">
        <v>21</v>
      </c>
      <c r="F78" s="5">
        <v>20</v>
      </c>
      <c r="G78" s="5">
        <v>19</v>
      </c>
      <c r="H78" s="5">
        <v>19</v>
      </c>
      <c r="I78" s="5">
        <v>18</v>
      </c>
      <c r="J78" s="5">
        <v>18</v>
      </c>
    </row>
    <row r="79" spans="1:10" s="5" customFormat="1">
      <c r="A79" s="5" t="s">
        <v>458</v>
      </c>
      <c r="B79" s="5" t="s">
        <v>85</v>
      </c>
      <c r="C79" s="5">
        <v>25</v>
      </c>
      <c r="D79" s="5">
        <v>23</v>
      </c>
      <c r="E79" s="5">
        <v>21</v>
      </c>
      <c r="F79" s="5">
        <v>20</v>
      </c>
      <c r="G79" s="5">
        <v>19</v>
      </c>
      <c r="H79" s="5">
        <v>19</v>
      </c>
      <c r="I79" s="5">
        <v>18</v>
      </c>
      <c r="J79" s="5">
        <v>18</v>
      </c>
    </row>
    <row r="80" spans="1:10" s="5" customFormat="1">
      <c r="A80" s="5" t="s">
        <v>458</v>
      </c>
      <c r="B80" s="5" t="s">
        <v>112</v>
      </c>
      <c r="C80" s="5">
        <v>24</v>
      </c>
      <c r="D80" s="5">
        <v>20.55</v>
      </c>
      <c r="E80" s="5">
        <v>15</v>
      </c>
      <c r="F80" s="5">
        <v>10.889999999999999</v>
      </c>
      <c r="G80" s="5">
        <v>9.75</v>
      </c>
      <c r="H80" s="5">
        <v>8.879999999999999</v>
      </c>
      <c r="I80" s="5">
        <v>8.01</v>
      </c>
      <c r="J80" s="5">
        <v>7.4399999999999995</v>
      </c>
    </row>
    <row r="81" spans="1:10" s="5" customFormat="1">
      <c r="A81" s="5" t="s">
        <v>458</v>
      </c>
      <c r="B81" s="5" t="s">
        <v>113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1:10" s="5" customFormat="1">
      <c r="A82" s="5" t="s">
        <v>458</v>
      </c>
      <c r="B82" s="5" t="s">
        <v>149</v>
      </c>
      <c r="C82" s="5">
        <v>10</v>
      </c>
      <c r="D82" s="5">
        <v>8</v>
      </c>
      <c r="E82" s="5">
        <v>6</v>
      </c>
      <c r="F82" s="5">
        <v>5</v>
      </c>
      <c r="G82" s="5">
        <v>4</v>
      </c>
      <c r="H82" s="5">
        <v>4</v>
      </c>
      <c r="I82" s="5">
        <v>3</v>
      </c>
      <c r="J82" s="5">
        <v>3</v>
      </c>
    </row>
    <row r="83" spans="1:10" s="5" customFormat="1">
      <c r="A83" s="5" t="s">
        <v>458</v>
      </c>
      <c r="B83" s="5" t="s">
        <v>462</v>
      </c>
      <c r="C83" s="5">
        <v>120</v>
      </c>
      <c r="D83" s="5">
        <v>120</v>
      </c>
      <c r="E83" s="5">
        <v>120</v>
      </c>
      <c r="F83" s="5">
        <v>120</v>
      </c>
      <c r="G83" s="5">
        <v>120</v>
      </c>
      <c r="H83" s="5">
        <v>120</v>
      </c>
      <c r="I83" s="5">
        <v>120</v>
      </c>
      <c r="J83" s="5">
        <v>120</v>
      </c>
    </row>
    <row r="84" spans="1:10" s="5" customFormat="1">
      <c r="A84" s="5" t="s">
        <v>458</v>
      </c>
      <c r="B84" s="5" t="s">
        <v>179</v>
      </c>
      <c r="C84" s="5">
        <v>126.61499999999999</v>
      </c>
      <c r="D84" s="5">
        <v>113.85000000000001</v>
      </c>
      <c r="E84" s="5">
        <v>108.5025</v>
      </c>
      <c r="F84" s="5">
        <v>103.155</v>
      </c>
      <c r="G84" s="5">
        <v>99.015000000000015</v>
      </c>
      <c r="H84" s="5">
        <v>94.875</v>
      </c>
      <c r="I84" s="5">
        <v>91.252499999999998</v>
      </c>
      <c r="J84" s="5">
        <v>87.63</v>
      </c>
    </row>
    <row r="85" spans="1:10" s="5" customFormat="1">
      <c r="A85" s="5" t="s">
        <v>458</v>
      </c>
      <c r="B85" s="5" t="s">
        <v>180</v>
      </c>
      <c r="C85" s="5">
        <v>95.37</v>
      </c>
      <c r="D85" s="5">
        <v>86.46</v>
      </c>
      <c r="E85" s="5">
        <v>82.334999999999994</v>
      </c>
      <c r="F85" s="5">
        <v>78.209999999999994</v>
      </c>
      <c r="G85" s="5">
        <v>74.58</v>
      </c>
      <c r="H85" s="5">
        <v>70.949999999999989</v>
      </c>
      <c r="I85" s="5">
        <v>67.649999999999991</v>
      </c>
      <c r="J85" s="5">
        <v>64.349999999999994</v>
      </c>
    </row>
    <row r="86" spans="1:10" s="5" customFormat="1">
      <c r="A86" s="5" t="s">
        <v>458</v>
      </c>
      <c r="B86" s="5" t="s">
        <v>205</v>
      </c>
      <c r="C86" s="5">
        <v>6.8250000000000011</v>
      </c>
      <c r="D86" s="5">
        <v>6.8250000000000011</v>
      </c>
      <c r="E86" s="5">
        <v>6.8250000000000011</v>
      </c>
      <c r="F86" s="5">
        <v>6.8250000000000011</v>
      </c>
      <c r="G86" s="5">
        <v>6.8250000000000011</v>
      </c>
      <c r="H86" s="5">
        <v>6.8250000000000011</v>
      </c>
      <c r="I86" s="5">
        <v>6.8250000000000011</v>
      </c>
      <c r="J86" s="5">
        <v>6.8250000000000011</v>
      </c>
    </row>
    <row r="87" spans="1:10" s="5" customFormat="1">
      <c r="A87" s="5" t="s">
        <v>458</v>
      </c>
      <c r="B87" s="5" t="s">
        <v>192</v>
      </c>
      <c r="C87" s="5">
        <v>34.177500000000002</v>
      </c>
      <c r="D87" s="5">
        <v>34.177500000000002</v>
      </c>
      <c r="E87" s="5">
        <v>34.177500000000002</v>
      </c>
      <c r="F87" s="5">
        <v>34.177500000000002</v>
      </c>
      <c r="G87" s="5">
        <v>34.177500000000002</v>
      </c>
      <c r="H87" s="5">
        <v>34.177500000000002</v>
      </c>
      <c r="I87" s="5">
        <v>34.177500000000002</v>
      </c>
      <c r="J87" s="5">
        <v>34.177500000000002</v>
      </c>
    </row>
    <row r="88" spans="1:10" s="5" customFormat="1">
      <c r="A88" s="5" t="s">
        <v>458</v>
      </c>
      <c r="B88" s="5" t="s">
        <v>187</v>
      </c>
      <c r="C88" s="5">
        <v>101.15</v>
      </c>
      <c r="D88" s="5">
        <v>91.7</v>
      </c>
      <c r="E88" s="5">
        <v>87.325000000000003</v>
      </c>
      <c r="F88" s="5">
        <v>82.95</v>
      </c>
      <c r="G88" s="5">
        <v>79.100000000000009</v>
      </c>
      <c r="H88" s="5">
        <v>75.250000000000014</v>
      </c>
      <c r="I88" s="5">
        <v>71.75</v>
      </c>
      <c r="J88" s="5">
        <v>68.25</v>
      </c>
    </row>
    <row r="89" spans="1:10" s="5" customFormat="1">
      <c r="A89" s="5" t="s">
        <v>458</v>
      </c>
      <c r="B89" s="5" t="s">
        <v>191</v>
      </c>
      <c r="C89" s="5">
        <v>128.45000000000002</v>
      </c>
      <c r="D89" s="5">
        <v>115.50000000000001</v>
      </c>
      <c r="E89" s="5">
        <v>110.07500000000002</v>
      </c>
      <c r="F89" s="5">
        <v>104.65</v>
      </c>
      <c r="G89" s="5">
        <v>100.45</v>
      </c>
      <c r="H89" s="5">
        <v>96.250000000000014</v>
      </c>
      <c r="I89" s="5">
        <v>92.575000000000003</v>
      </c>
      <c r="J89" s="5">
        <v>88.9</v>
      </c>
    </row>
    <row r="90" spans="1:10" s="5" customFormat="1">
      <c r="A90" s="5" t="s">
        <v>458</v>
      </c>
      <c r="B90" s="5" t="s">
        <v>188</v>
      </c>
      <c r="C90" s="5">
        <v>56.000000000000007</v>
      </c>
      <c r="D90" s="5">
        <v>56.000000000000007</v>
      </c>
      <c r="E90" s="5">
        <v>56.000000000000007</v>
      </c>
      <c r="F90" s="5">
        <v>56.000000000000007</v>
      </c>
      <c r="G90" s="5">
        <v>56.000000000000007</v>
      </c>
      <c r="H90" s="5">
        <v>56.000000000000007</v>
      </c>
      <c r="I90" s="5">
        <v>56.000000000000007</v>
      </c>
      <c r="J90" s="5">
        <v>56.000000000000007</v>
      </c>
    </row>
    <row r="91" spans="1:10" s="5" customFormat="1">
      <c r="A91" s="5" t="s">
        <v>458</v>
      </c>
      <c r="B91" s="5" t="s">
        <v>189</v>
      </c>
      <c r="C91" s="5">
        <v>70</v>
      </c>
      <c r="D91" s="5">
        <v>70</v>
      </c>
      <c r="E91" s="5">
        <v>70</v>
      </c>
      <c r="F91" s="5">
        <v>70</v>
      </c>
      <c r="G91" s="5">
        <v>70</v>
      </c>
      <c r="H91" s="5">
        <v>70</v>
      </c>
      <c r="I91" s="5">
        <v>70</v>
      </c>
      <c r="J91" s="5">
        <v>70</v>
      </c>
    </row>
    <row r="92" spans="1:10" s="5" customFormat="1">
      <c r="A92" s="5" t="s">
        <v>458</v>
      </c>
      <c r="B92" s="5" t="s">
        <v>190</v>
      </c>
      <c r="C92" s="5">
        <v>71.050000000000011</v>
      </c>
      <c r="D92" s="5">
        <v>71.050000000000011</v>
      </c>
      <c r="E92" s="5">
        <v>71.050000000000011</v>
      </c>
      <c r="F92" s="5">
        <v>71.050000000000011</v>
      </c>
      <c r="G92" s="5">
        <v>71.050000000000011</v>
      </c>
      <c r="H92" s="5">
        <v>71.050000000000011</v>
      </c>
      <c r="I92" s="5">
        <v>71.050000000000011</v>
      </c>
      <c r="J92" s="5">
        <v>71.050000000000011</v>
      </c>
    </row>
    <row r="93" spans="1:10" s="5" customFormat="1">
      <c r="A93" s="5" t="s">
        <v>458</v>
      </c>
      <c r="B93" s="5" t="s">
        <v>213</v>
      </c>
      <c r="C93" s="5">
        <v>71.050000000000011</v>
      </c>
      <c r="D93" s="5">
        <v>71.050000000000011</v>
      </c>
      <c r="E93" s="5">
        <v>71.050000000000011</v>
      </c>
      <c r="F93" s="5">
        <v>71.050000000000011</v>
      </c>
      <c r="G93" s="5">
        <v>71.050000000000011</v>
      </c>
      <c r="H93" s="5">
        <v>71.050000000000011</v>
      </c>
      <c r="I93" s="5">
        <v>71.050000000000011</v>
      </c>
      <c r="J93" s="5">
        <v>71.050000000000011</v>
      </c>
    </row>
    <row r="94" spans="1:10" s="5" customFormat="1">
      <c r="A94" s="5" t="s">
        <v>458</v>
      </c>
      <c r="B94" s="5" t="s">
        <v>214</v>
      </c>
      <c r="C94" s="5">
        <v>28.000000000000004</v>
      </c>
      <c r="D94" s="5">
        <v>28.000000000000004</v>
      </c>
      <c r="E94" s="5">
        <v>28.000000000000004</v>
      </c>
      <c r="F94" s="5">
        <v>28.000000000000004</v>
      </c>
      <c r="G94" s="5">
        <v>28.000000000000004</v>
      </c>
      <c r="H94" s="5">
        <v>28.000000000000004</v>
      </c>
      <c r="I94" s="5">
        <v>28.000000000000004</v>
      </c>
      <c r="J94" s="5">
        <v>28.000000000000004</v>
      </c>
    </row>
    <row r="95" spans="1:10" s="5" customFormat="1">
      <c r="A95" s="5" t="s">
        <v>458</v>
      </c>
      <c r="B95" s="5" t="s">
        <v>215</v>
      </c>
      <c r="C95" s="5">
        <v>27.055000000000003</v>
      </c>
      <c r="D95" s="5">
        <v>27.055000000000003</v>
      </c>
      <c r="E95" s="5">
        <v>27.055000000000003</v>
      </c>
      <c r="F95" s="5">
        <v>27.055000000000003</v>
      </c>
      <c r="G95" s="5">
        <v>27.055000000000003</v>
      </c>
      <c r="H95" s="5">
        <v>27.055000000000003</v>
      </c>
      <c r="I95" s="5">
        <v>27.055000000000003</v>
      </c>
      <c r="J95" s="5">
        <v>27.055000000000003</v>
      </c>
    </row>
    <row r="96" spans="1:10" s="5" customFormat="1">
      <c r="A96" s="5" t="s">
        <v>458</v>
      </c>
      <c r="B96" s="5" t="s">
        <v>216</v>
      </c>
      <c r="C96" s="5">
        <v>28.000000000000004</v>
      </c>
      <c r="D96" s="5">
        <v>27.300000000000004</v>
      </c>
      <c r="E96" s="5">
        <v>26.425000000000004</v>
      </c>
      <c r="F96" s="5">
        <v>25.55</v>
      </c>
      <c r="G96" s="5">
        <v>24.85</v>
      </c>
      <c r="H96" s="5">
        <v>24.150000000000002</v>
      </c>
      <c r="I96" s="5">
        <v>23.450000000000003</v>
      </c>
      <c r="J96" s="5">
        <v>22.750000000000004</v>
      </c>
    </row>
    <row r="97" spans="1:10" s="5" customFormat="1">
      <c r="A97" s="5" t="s">
        <v>458</v>
      </c>
      <c r="B97" s="5" t="s">
        <v>217</v>
      </c>
      <c r="C97" s="5">
        <v>34</v>
      </c>
      <c r="D97" s="5">
        <v>33</v>
      </c>
      <c r="E97" s="5">
        <v>24</v>
      </c>
      <c r="F97" s="5">
        <v>15.5</v>
      </c>
      <c r="G97" s="5">
        <v>15.05</v>
      </c>
      <c r="H97" s="5">
        <v>14.6</v>
      </c>
      <c r="I97" s="5">
        <v>14.15</v>
      </c>
      <c r="J97" s="5">
        <v>13.700000000000001</v>
      </c>
    </row>
    <row r="98" spans="1:10" s="5" customFormat="1">
      <c r="A98" s="5" t="s">
        <v>458</v>
      </c>
      <c r="B98" s="5" t="s">
        <v>196</v>
      </c>
      <c r="C98" s="5">
        <v>183.75000000000003</v>
      </c>
      <c r="D98" s="5">
        <v>173.95000000000002</v>
      </c>
      <c r="E98" s="5">
        <v>165.20000000000002</v>
      </c>
      <c r="F98" s="5">
        <v>156.45000000000002</v>
      </c>
      <c r="G98" s="5">
        <v>148.57500000000002</v>
      </c>
      <c r="H98" s="5">
        <v>140.70000000000002</v>
      </c>
      <c r="I98" s="5">
        <v>133.52500000000001</v>
      </c>
      <c r="J98" s="5">
        <v>126.35000000000001</v>
      </c>
    </row>
    <row r="99" spans="1:10" s="5" customFormat="1">
      <c r="A99" s="5" t="s">
        <v>458</v>
      </c>
      <c r="B99" s="5" t="s">
        <v>206</v>
      </c>
      <c r="C99" s="5">
        <v>17.325000000000003</v>
      </c>
      <c r="D99" s="5">
        <v>17.325000000000003</v>
      </c>
      <c r="E99" s="5">
        <v>17.325000000000003</v>
      </c>
      <c r="F99" s="5">
        <v>17.325000000000003</v>
      </c>
      <c r="G99" s="5">
        <v>17.325000000000003</v>
      </c>
      <c r="H99" s="5">
        <v>17.325000000000003</v>
      </c>
      <c r="I99" s="5">
        <v>17.325000000000003</v>
      </c>
      <c r="J99" s="5">
        <v>17.325000000000003</v>
      </c>
    </row>
    <row r="100" spans="1:10" s="5" customFormat="1">
      <c r="A100" s="5" t="s">
        <v>458</v>
      </c>
      <c r="B100" s="5" t="s">
        <v>207</v>
      </c>
      <c r="C100" s="5">
        <v>6.8250000000000011</v>
      </c>
      <c r="D100" s="5">
        <v>6.8250000000000011</v>
      </c>
      <c r="E100" s="5">
        <v>6.8250000000000011</v>
      </c>
      <c r="F100" s="5">
        <v>6.8250000000000011</v>
      </c>
      <c r="G100" s="5">
        <v>6.8250000000000011</v>
      </c>
      <c r="H100" s="5">
        <v>6.8250000000000011</v>
      </c>
      <c r="I100" s="5">
        <v>6.8250000000000011</v>
      </c>
      <c r="J100" s="5">
        <v>6.8250000000000011</v>
      </c>
    </row>
    <row r="101" spans="1:10" s="5" customFormat="1">
      <c r="A101" s="5" t="s">
        <v>458</v>
      </c>
      <c r="B101" s="5" t="s">
        <v>197</v>
      </c>
      <c r="C101" s="5">
        <v>17.010000000000002</v>
      </c>
      <c r="D101" s="5">
        <v>17.010000000000002</v>
      </c>
      <c r="E101" s="5">
        <v>17.010000000000002</v>
      </c>
      <c r="F101" s="5">
        <v>17.010000000000002</v>
      </c>
      <c r="G101" s="5">
        <v>17.010000000000002</v>
      </c>
      <c r="H101" s="5">
        <v>17.010000000000002</v>
      </c>
      <c r="I101" s="5">
        <v>17.010000000000002</v>
      </c>
      <c r="J101" s="5">
        <v>17.010000000000002</v>
      </c>
    </row>
    <row r="102" spans="1:10" s="5" customFormat="1">
      <c r="A102" s="5" t="s">
        <v>458</v>
      </c>
      <c r="B102" s="5" t="s">
        <v>198</v>
      </c>
      <c r="C102" s="5">
        <v>101.15</v>
      </c>
      <c r="D102" s="5">
        <v>91.7</v>
      </c>
      <c r="E102" s="5">
        <v>87.325000000000003</v>
      </c>
      <c r="F102" s="5">
        <v>82.95</v>
      </c>
      <c r="G102" s="5">
        <v>79.100000000000009</v>
      </c>
      <c r="H102" s="5">
        <v>75.250000000000014</v>
      </c>
      <c r="I102" s="5">
        <v>71.75</v>
      </c>
      <c r="J102" s="5">
        <v>68.25</v>
      </c>
    </row>
    <row r="103" spans="1:10" s="5" customFormat="1">
      <c r="A103" s="5" t="s">
        <v>458</v>
      </c>
      <c r="B103" s="5" t="s">
        <v>199</v>
      </c>
      <c r="C103" s="5">
        <v>128.45000000000002</v>
      </c>
      <c r="D103" s="5">
        <v>115.50000000000001</v>
      </c>
      <c r="E103" s="5">
        <v>110.07500000000002</v>
      </c>
      <c r="F103" s="5">
        <v>104.65</v>
      </c>
      <c r="G103" s="5">
        <v>100.45</v>
      </c>
      <c r="H103" s="5">
        <v>96.250000000000014</v>
      </c>
      <c r="I103" s="5">
        <v>92.575000000000003</v>
      </c>
      <c r="J103" s="5">
        <v>88.9</v>
      </c>
    </row>
    <row r="104" spans="1:10" s="5" customFormat="1">
      <c r="A104" s="5" t="s">
        <v>458</v>
      </c>
      <c r="B104" s="5" t="s">
        <v>200</v>
      </c>
      <c r="C104" s="5">
        <v>56.000000000000007</v>
      </c>
      <c r="D104" s="5">
        <v>56.000000000000007</v>
      </c>
      <c r="E104" s="5">
        <v>56.000000000000007</v>
      </c>
      <c r="F104" s="5">
        <v>56.000000000000007</v>
      </c>
      <c r="G104" s="5">
        <v>56.000000000000007</v>
      </c>
      <c r="H104" s="5">
        <v>56.000000000000007</v>
      </c>
      <c r="I104" s="5">
        <v>56.000000000000007</v>
      </c>
      <c r="J104" s="5">
        <v>56.000000000000007</v>
      </c>
    </row>
    <row r="105" spans="1:10" s="5" customFormat="1">
      <c r="A105" s="5" t="s">
        <v>458</v>
      </c>
      <c r="B105" s="5" t="s">
        <v>201</v>
      </c>
      <c r="C105" s="5">
        <v>70</v>
      </c>
      <c r="D105" s="5">
        <v>70</v>
      </c>
      <c r="E105" s="5">
        <v>70</v>
      </c>
      <c r="F105" s="5">
        <v>70</v>
      </c>
      <c r="G105" s="5">
        <v>70</v>
      </c>
      <c r="H105" s="5">
        <v>70</v>
      </c>
      <c r="I105" s="5">
        <v>70</v>
      </c>
      <c r="J105" s="5">
        <v>70</v>
      </c>
    </row>
    <row r="106" spans="1:10" s="5" customFormat="1">
      <c r="A106" s="5" t="s">
        <v>458</v>
      </c>
      <c r="B106" s="5" t="s">
        <v>202</v>
      </c>
      <c r="C106" s="5">
        <v>71.050000000000011</v>
      </c>
      <c r="D106" s="5">
        <v>71.050000000000011</v>
      </c>
      <c r="E106" s="5">
        <v>71.050000000000011</v>
      </c>
      <c r="F106" s="5">
        <v>71.050000000000011</v>
      </c>
      <c r="G106" s="5">
        <v>71.050000000000011</v>
      </c>
      <c r="H106" s="5">
        <v>71.050000000000011</v>
      </c>
      <c r="I106" s="5">
        <v>71.050000000000011</v>
      </c>
      <c r="J106" s="5">
        <v>71.050000000000011</v>
      </c>
    </row>
    <row r="107" spans="1:10" s="5" customFormat="1">
      <c r="A107" s="5" t="s">
        <v>458</v>
      </c>
      <c r="B107" s="5" t="s">
        <v>230</v>
      </c>
      <c r="C107" s="5">
        <v>71.050000000000011</v>
      </c>
      <c r="D107" s="5">
        <v>71.050000000000011</v>
      </c>
      <c r="E107" s="5">
        <v>71.050000000000011</v>
      </c>
      <c r="F107" s="5">
        <v>71.050000000000011</v>
      </c>
      <c r="G107" s="5">
        <v>71.050000000000011</v>
      </c>
      <c r="H107" s="5">
        <v>71.050000000000011</v>
      </c>
      <c r="I107" s="5">
        <v>71.050000000000011</v>
      </c>
      <c r="J107" s="5">
        <v>71.050000000000011</v>
      </c>
    </row>
    <row r="108" spans="1:10" s="5" customFormat="1">
      <c r="A108" s="5" t="s">
        <v>458</v>
      </c>
      <c r="B108" s="5" t="s">
        <v>219</v>
      </c>
      <c r="C108" s="5">
        <v>27.055000000000003</v>
      </c>
      <c r="D108" s="5">
        <v>27.055000000000003</v>
      </c>
      <c r="E108" s="5">
        <v>27.055000000000003</v>
      </c>
      <c r="F108" s="5">
        <v>27.055000000000003</v>
      </c>
      <c r="G108" s="5">
        <v>27.055000000000003</v>
      </c>
      <c r="H108" s="5">
        <v>27.055000000000003</v>
      </c>
      <c r="I108" s="5">
        <v>27.055000000000003</v>
      </c>
      <c r="J108" s="5">
        <v>27.055000000000003</v>
      </c>
    </row>
    <row r="109" spans="1:10" s="5" customFormat="1">
      <c r="A109" s="5" t="s">
        <v>458</v>
      </c>
      <c r="B109" s="5" t="s">
        <v>220</v>
      </c>
      <c r="C109" s="5">
        <v>124.95000000000002</v>
      </c>
      <c r="D109" s="5">
        <v>93.800000000000011</v>
      </c>
      <c r="E109" s="5">
        <v>83.300000000000011</v>
      </c>
      <c r="F109" s="5">
        <v>72.800000000000011</v>
      </c>
      <c r="G109" s="5">
        <v>69.125</v>
      </c>
      <c r="H109" s="5">
        <v>65.45</v>
      </c>
      <c r="I109" s="5">
        <v>63.175000000000004</v>
      </c>
      <c r="J109" s="5">
        <v>60.900000000000006</v>
      </c>
    </row>
    <row r="110" spans="1:10" s="5" customFormat="1">
      <c r="A110" s="5" t="s">
        <v>458</v>
      </c>
      <c r="B110" s="5" t="s">
        <v>203</v>
      </c>
      <c r="C110" s="5">
        <v>183.75000000000003</v>
      </c>
      <c r="D110" s="5">
        <v>173.95000000000002</v>
      </c>
      <c r="E110" s="5">
        <v>165.20000000000002</v>
      </c>
      <c r="F110" s="5">
        <v>156.45000000000002</v>
      </c>
      <c r="G110" s="5">
        <v>148.57500000000002</v>
      </c>
      <c r="H110" s="5">
        <v>140.70000000000002</v>
      </c>
      <c r="I110" s="5">
        <v>133.52500000000001</v>
      </c>
      <c r="J110" s="5">
        <v>126.35000000000001</v>
      </c>
    </row>
    <row r="111" spans="1:10" s="5" customFormat="1">
      <c r="A111" s="5" t="s">
        <v>458</v>
      </c>
      <c r="B111" s="5" t="s">
        <v>208</v>
      </c>
      <c r="C111" s="5">
        <v>17.325000000000003</v>
      </c>
      <c r="D111" s="5">
        <v>17.325000000000003</v>
      </c>
      <c r="E111" s="5">
        <v>17.325000000000003</v>
      </c>
      <c r="F111" s="5">
        <v>17.325000000000003</v>
      </c>
      <c r="G111" s="5">
        <v>17.325000000000003</v>
      </c>
      <c r="H111" s="5">
        <v>17.325000000000003</v>
      </c>
      <c r="I111" s="5">
        <v>17.325000000000003</v>
      </c>
      <c r="J111" s="5">
        <v>17.325000000000003</v>
      </c>
    </row>
    <row r="112" spans="1:10" s="5" customFormat="1">
      <c r="A112" s="5" t="s">
        <v>458</v>
      </c>
      <c r="B112" s="5" t="s">
        <v>218</v>
      </c>
      <c r="C112" s="5">
        <v>28.000000000000004</v>
      </c>
      <c r="D112" s="5">
        <v>28.000000000000004</v>
      </c>
      <c r="E112" s="5">
        <v>28.000000000000004</v>
      </c>
      <c r="F112" s="5">
        <v>28.000000000000004</v>
      </c>
      <c r="G112" s="5">
        <v>28.000000000000004</v>
      </c>
      <c r="H112" s="5">
        <v>28.000000000000004</v>
      </c>
      <c r="I112" s="5">
        <v>28.000000000000004</v>
      </c>
      <c r="J112" s="5">
        <v>28.000000000000004</v>
      </c>
    </row>
    <row r="113" spans="1:13" s="5" customFormat="1">
      <c r="A113" s="5" t="s">
        <v>458</v>
      </c>
      <c r="B113" s="5" t="s">
        <v>204</v>
      </c>
      <c r="C113" s="5">
        <v>32.550000000000004</v>
      </c>
      <c r="D113" s="5">
        <v>32.550000000000004</v>
      </c>
      <c r="E113" s="5">
        <v>32.550000000000004</v>
      </c>
      <c r="F113" s="5">
        <v>32.550000000000004</v>
      </c>
      <c r="G113" s="5">
        <v>32.550000000000004</v>
      </c>
      <c r="H113" s="5">
        <v>32.550000000000004</v>
      </c>
      <c r="I113" s="5">
        <v>32.550000000000004</v>
      </c>
      <c r="J113" s="5">
        <v>32.550000000000004</v>
      </c>
    </row>
    <row r="114" spans="1:13" s="5" customFormat="1">
      <c r="A114" s="5" t="s">
        <v>458</v>
      </c>
      <c r="B114" s="5" t="s">
        <v>211</v>
      </c>
      <c r="C114" s="5">
        <v>2.4850000000000003</v>
      </c>
      <c r="D114" s="5">
        <v>2.4850000000000003</v>
      </c>
      <c r="E114" s="5">
        <v>2.4850000000000003</v>
      </c>
      <c r="F114" s="5">
        <v>2.4850000000000003</v>
      </c>
      <c r="G114" s="5">
        <v>2.4850000000000003</v>
      </c>
      <c r="H114" s="5">
        <v>2.4850000000000003</v>
      </c>
      <c r="I114" s="5">
        <v>2.4850000000000003</v>
      </c>
      <c r="J114" s="5">
        <v>2.4850000000000003</v>
      </c>
    </row>
    <row r="115" spans="1:13" s="5" customFormat="1">
      <c r="A115" s="5" t="s">
        <v>458</v>
      </c>
      <c r="B115" s="5" t="s">
        <v>222</v>
      </c>
      <c r="C115" s="5">
        <v>4.7950000000000008</v>
      </c>
      <c r="D115" s="5">
        <v>4.7950000000000008</v>
      </c>
      <c r="E115" s="5">
        <v>4.7950000000000008</v>
      </c>
      <c r="F115" s="5">
        <v>4.7950000000000008</v>
      </c>
      <c r="G115" s="5">
        <v>4.7950000000000008</v>
      </c>
      <c r="H115" s="5">
        <v>4.7950000000000008</v>
      </c>
      <c r="I115" s="5">
        <v>4.7950000000000008</v>
      </c>
      <c r="J115" s="5">
        <v>4.7950000000000008</v>
      </c>
    </row>
    <row r="116" spans="1:13" s="5" customFormat="1">
      <c r="A116" s="5" t="s">
        <v>458</v>
      </c>
      <c r="B116" s="5" t="s">
        <v>209</v>
      </c>
      <c r="C116" s="5">
        <v>4.4800000000000004</v>
      </c>
      <c r="D116" s="5">
        <v>4.4800000000000004</v>
      </c>
      <c r="E116" s="5">
        <v>4.4800000000000004</v>
      </c>
      <c r="F116" s="5">
        <v>4.4800000000000004</v>
      </c>
      <c r="G116" s="5">
        <v>4.4800000000000004</v>
      </c>
      <c r="H116" s="5">
        <v>4.4800000000000004</v>
      </c>
      <c r="I116" s="5">
        <v>4.4800000000000004</v>
      </c>
      <c r="J116" s="5">
        <v>4.4800000000000004</v>
      </c>
    </row>
    <row r="117" spans="1:13" s="5" customFormat="1">
      <c r="A117" s="5" t="s">
        <v>458</v>
      </c>
      <c r="B117" s="5" t="s">
        <v>210</v>
      </c>
      <c r="C117" s="5">
        <v>4.4800000000000004</v>
      </c>
      <c r="D117" s="5">
        <v>4.4800000000000004</v>
      </c>
      <c r="E117" s="5">
        <v>4.4800000000000004</v>
      </c>
      <c r="F117" s="5">
        <v>4.4800000000000004</v>
      </c>
      <c r="G117" s="5">
        <v>4.4800000000000004</v>
      </c>
      <c r="H117" s="5">
        <v>4.4800000000000004</v>
      </c>
      <c r="I117" s="5">
        <v>4.4800000000000004</v>
      </c>
      <c r="J117" s="5">
        <v>4.4800000000000004</v>
      </c>
    </row>
    <row r="118" spans="1:13" s="5" customFormat="1">
      <c r="A118" s="5" t="s">
        <v>458</v>
      </c>
      <c r="B118" s="5" t="s">
        <v>221</v>
      </c>
      <c r="C118" s="5">
        <v>3.6050000000000004</v>
      </c>
      <c r="D118" s="5">
        <v>3.6050000000000004</v>
      </c>
      <c r="E118" s="5">
        <v>3.6050000000000004</v>
      </c>
      <c r="F118" s="5">
        <v>3.6050000000000004</v>
      </c>
      <c r="G118" s="5">
        <v>3.6050000000000004</v>
      </c>
      <c r="H118" s="5">
        <v>3.6050000000000004</v>
      </c>
      <c r="I118" s="5">
        <v>3.6050000000000004</v>
      </c>
      <c r="J118" s="5">
        <v>3.6050000000000004</v>
      </c>
    </row>
    <row r="119" spans="1:13" s="5" customFormat="1">
      <c r="A119" s="5" t="s">
        <v>458</v>
      </c>
      <c r="B119" s="5" t="s">
        <v>212</v>
      </c>
      <c r="C119" s="5">
        <v>3.7100000000000004</v>
      </c>
      <c r="D119" s="5">
        <v>3.7100000000000004</v>
      </c>
      <c r="E119" s="5">
        <v>3.7100000000000004</v>
      </c>
      <c r="F119" s="5">
        <v>3.7100000000000004</v>
      </c>
      <c r="G119" s="5">
        <v>3.7100000000000004</v>
      </c>
      <c r="H119" s="5">
        <v>3.7100000000000004</v>
      </c>
      <c r="I119" s="5">
        <v>3.7100000000000004</v>
      </c>
      <c r="J119" s="5">
        <v>3.7100000000000004</v>
      </c>
    </row>
    <row r="120" spans="1:13" s="5" customFormat="1">
      <c r="A120" s="5" t="s">
        <v>458</v>
      </c>
      <c r="B120" s="5" t="s">
        <v>224</v>
      </c>
      <c r="C120" s="5">
        <v>101.66000000000001</v>
      </c>
      <c r="D120" s="5">
        <v>101.66000000000001</v>
      </c>
      <c r="E120" s="5">
        <v>101.66000000000001</v>
      </c>
      <c r="F120" s="5">
        <v>101.66</v>
      </c>
      <c r="G120" s="5">
        <v>101.66</v>
      </c>
      <c r="H120" s="5">
        <v>101.66000000000001</v>
      </c>
      <c r="I120" s="5">
        <v>101.66000000000001</v>
      </c>
      <c r="J120" s="5">
        <v>101.66000000000001</v>
      </c>
    </row>
    <row r="121" spans="1:13" s="5" customFormat="1">
      <c r="A121" s="5" t="s">
        <v>458</v>
      </c>
      <c r="B121" s="5" t="s">
        <v>225</v>
      </c>
      <c r="C121" s="5">
        <v>165.60000000000002</v>
      </c>
      <c r="D121" s="5">
        <v>155.5457142857143</v>
      </c>
      <c r="E121" s="5">
        <v>145.4914285714286</v>
      </c>
      <c r="F121" s="5">
        <v>135.43714285714287</v>
      </c>
      <c r="G121" s="5">
        <v>125.38285714285715</v>
      </c>
      <c r="H121" s="5">
        <v>115.32857142857144</v>
      </c>
      <c r="I121" s="5">
        <v>105.27428571428571</v>
      </c>
      <c r="J121" s="5">
        <v>95.22</v>
      </c>
    </row>
    <row r="122" spans="1:13" s="5" customFormat="1">
      <c r="A122" s="5" t="s">
        <v>458</v>
      </c>
      <c r="B122" s="5" t="s">
        <v>226</v>
      </c>
      <c r="C122" s="5">
        <v>73.600000000000009</v>
      </c>
      <c r="D122" s="5">
        <v>70.971428571428575</v>
      </c>
      <c r="E122" s="5">
        <v>68.342857142857142</v>
      </c>
      <c r="F122" s="5">
        <v>65.714285714285708</v>
      </c>
      <c r="G122" s="5">
        <v>63.085714285714282</v>
      </c>
      <c r="H122" s="5">
        <v>60.457142857142856</v>
      </c>
      <c r="I122" s="5">
        <v>57.828571428571422</v>
      </c>
      <c r="J122" s="5">
        <v>55.199999999999996</v>
      </c>
    </row>
    <row r="123" spans="1:13" s="5" customFormat="1">
      <c r="A123" s="5" t="s">
        <v>458</v>
      </c>
      <c r="B123" s="5" t="s">
        <v>227</v>
      </c>
      <c r="C123" s="5">
        <v>169.60000000000002</v>
      </c>
      <c r="D123" s="5">
        <v>163.54285714285717</v>
      </c>
      <c r="E123" s="5">
        <v>157.48571428571429</v>
      </c>
      <c r="F123" s="5">
        <v>151.42857142857144</v>
      </c>
      <c r="G123" s="5">
        <v>145.37142857142857</v>
      </c>
      <c r="H123" s="5">
        <v>139.31428571428572</v>
      </c>
      <c r="I123" s="5">
        <v>133.25714285714284</v>
      </c>
      <c r="J123" s="5">
        <v>127.19999999999999</v>
      </c>
    </row>
    <row r="124" spans="1:13" s="5" customFormat="1">
      <c r="A124" t="s">
        <v>458</v>
      </c>
      <c r="B124" t="s">
        <v>228</v>
      </c>
      <c r="C124" s="5">
        <v>255.60000000000002</v>
      </c>
      <c r="D124" s="5">
        <v>240.08142857142857</v>
      </c>
      <c r="E124" s="5">
        <v>224.56285714285715</v>
      </c>
      <c r="F124" s="5">
        <v>209.04428571428571</v>
      </c>
      <c r="G124" s="5">
        <v>193.52571428571429</v>
      </c>
      <c r="H124" s="5">
        <v>178.00714285714287</v>
      </c>
      <c r="I124" s="5">
        <v>162.48857142857142</v>
      </c>
      <c r="J124" s="5">
        <v>146.97</v>
      </c>
      <c r="K124"/>
      <c r="L124"/>
      <c r="M124" s="12"/>
    </row>
    <row r="125" spans="1:13" s="5" customFormat="1">
      <c r="A125" t="s">
        <v>458</v>
      </c>
      <c r="B125" s="2" t="s">
        <v>229</v>
      </c>
      <c r="C125" s="5">
        <v>111.82600000000001</v>
      </c>
      <c r="D125" s="5">
        <v>111.82599999999999</v>
      </c>
      <c r="E125" s="5">
        <v>111.82600000000001</v>
      </c>
      <c r="F125" s="5">
        <v>111.82599999999999</v>
      </c>
      <c r="G125" s="5">
        <v>111.82599999999999</v>
      </c>
      <c r="H125" s="5">
        <v>111.82600000000001</v>
      </c>
      <c r="I125" s="5">
        <v>111.82599999999999</v>
      </c>
      <c r="J125" s="5">
        <v>111.82600000000001</v>
      </c>
    </row>
    <row r="126" spans="1:13" s="5" customFormat="1">
      <c r="A126" t="s">
        <v>458</v>
      </c>
      <c r="B126" s="2" t="s">
        <v>235</v>
      </c>
      <c r="C126" s="5">
        <v>130.18</v>
      </c>
      <c r="D126" s="5">
        <v>130.18</v>
      </c>
      <c r="E126" s="5">
        <v>130.18</v>
      </c>
      <c r="F126" s="5">
        <v>130.18</v>
      </c>
      <c r="G126" s="5">
        <v>130.18</v>
      </c>
      <c r="H126" s="5">
        <v>130.18</v>
      </c>
      <c r="I126" s="5">
        <v>130.18</v>
      </c>
      <c r="J126" s="5">
        <v>130.18</v>
      </c>
    </row>
    <row r="127" spans="1:13" s="5" customFormat="1">
      <c r="A127" t="s">
        <v>458</v>
      </c>
      <c r="B127" s="2" t="s">
        <v>236</v>
      </c>
      <c r="C127" s="5">
        <v>215.20000000000002</v>
      </c>
      <c r="D127" s="5">
        <v>202.13428571428571</v>
      </c>
      <c r="E127" s="5">
        <v>189.06857142857143</v>
      </c>
      <c r="F127" s="5">
        <v>176.00285714285715</v>
      </c>
      <c r="G127" s="5">
        <v>162.93714285714287</v>
      </c>
      <c r="H127" s="5">
        <v>149.87142857142859</v>
      </c>
      <c r="I127" s="5">
        <v>136.80571428571429</v>
      </c>
      <c r="J127" s="5">
        <v>123.74000000000001</v>
      </c>
    </row>
    <row r="128" spans="1:13" s="5" customFormat="1">
      <c r="A128" t="s">
        <v>458</v>
      </c>
      <c r="B128" s="2" t="s">
        <v>248</v>
      </c>
      <c r="C128" s="5">
        <v>248.28300000000004</v>
      </c>
      <c r="D128" s="5">
        <v>245.19600000000003</v>
      </c>
      <c r="E128" s="5">
        <v>242.10900000000001</v>
      </c>
      <c r="F128" s="5">
        <v>239.02200000000002</v>
      </c>
      <c r="G128" s="5">
        <v>235.93500000000003</v>
      </c>
      <c r="H128" s="5">
        <v>232.84800000000004</v>
      </c>
      <c r="I128" s="5">
        <v>229.76100000000002</v>
      </c>
      <c r="J128" s="5">
        <v>226.67400000000001</v>
      </c>
    </row>
    <row r="129" spans="1:12" s="5" customFormat="1">
      <c r="A129" t="s">
        <v>458</v>
      </c>
      <c r="B129" s="2" t="s">
        <v>242</v>
      </c>
      <c r="C129" s="5">
        <v>147.73500000000001</v>
      </c>
      <c r="D129" s="5">
        <v>142.69499999999999</v>
      </c>
      <c r="E129" s="5">
        <v>137.655</v>
      </c>
      <c r="F129" s="5">
        <v>132.61500000000001</v>
      </c>
      <c r="G129" s="5">
        <v>127.57500000000002</v>
      </c>
      <c r="H129" s="5">
        <v>122.53500000000001</v>
      </c>
      <c r="I129" s="5">
        <v>117.495</v>
      </c>
      <c r="J129" s="5">
        <v>112.45500000000001</v>
      </c>
    </row>
    <row r="130" spans="1:12" s="5" customFormat="1">
      <c r="A130" t="s">
        <v>458</v>
      </c>
      <c r="B130" t="s">
        <v>243</v>
      </c>
      <c r="C130" s="5">
        <v>154.35000000000002</v>
      </c>
      <c r="D130" s="5">
        <v>154.35000000000002</v>
      </c>
      <c r="E130" s="5">
        <v>154.35000000000002</v>
      </c>
      <c r="F130" s="5">
        <v>154.35000000000002</v>
      </c>
      <c r="G130" s="5">
        <v>154.35000000000002</v>
      </c>
      <c r="H130" s="5">
        <v>154.35000000000002</v>
      </c>
      <c r="I130" s="5">
        <v>154.35000000000002</v>
      </c>
      <c r="J130" s="5">
        <v>154.35000000000002</v>
      </c>
      <c r="L130"/>
    </row>
    <row r="131" spans="1:12" s="5" customFormat="1">
      <c r="A131" s="5" t="s">
        <v>458</v>
      </c>
      <c r="B131" s="2" t="s">
        <v>249</v>
      </c>
      <c r="C131" s="5">
        <v>248.28300000000004</v>
      </c>
      <c r="D131" s="5">
        <v>245.19600000000003</v>
      </c>
      <c r="E131" s="5">
        <v>242.10900000000001</v>
      </c>
      <c r="F131" s="5">
        <v>239.02200000000002</v>
      </c>
      <c r="G131" s="5">
        <v>235.93500000000003</v>
      </c>
      <c r="H131" s="5">
        <v>232.84800000000004</v>
      </c>
      <c r="I131" s="5">
        <v>229.76100000000002</v>
      </c>
      <c r="J131" s="5">
        <v>226.67400000000001</v>
      </c>
    </row>
    <row r="132" spans="1:12" s="5" customFormat="1">
      <c r="A132" s="5" t="s">
        <v>458</v>
      </c>
      <c r="B132" s="2" t="s">
        <v>240</v>
      </c>
      <c r="C132" s="5">
        <v>147.73500000000001</v>
      </c>
      <c r="D132" s="5">
        <v>142.69499999999999</v>
      </c>
      <c r="E132" s="5">
        <v>137.655</v>
      </c>
      <c r="F132" s="5">
        <v>132.61500000000001</v>
      </c>
      <c r="G132" s="5">
        <v>127.57500000000002</v>
      </c>
      <c r="H132" s="5">
        <v>122.53500000000001</v>
      </c>
      <c r="I132" s="5">
        <v>117.495</v>
      </c>
      <c r="J132" s="5">
        <v>112.45500000000001</v>
      </c>
    </row>
    <row r="133" spans="1:12" s="5" customFormat="1">
      <c r="A133" s="5" t="s">
        <v>458</v>
      </c>
      <c r="B133" s="5" t="s">
        <v>241</v>
      </c>
      <c r="C133" s="5">
        <v>154.35000000000002</v>
      </c>
      <c r="D133" s="5">
        <v>154.35000000000002</v>
      </c>
      <c r="E133" s="5">
        <v>154.35000000000002</v>
      </c>
      <c r="F133" s="5">
        <v>154.35000000000002</v>
      </c>
      <c r="G133" s="5">
        <v>154.35000000000002</v>
      </c>
      <c r="H133" s="5">
        <v>154.35000000000002</v>
      </c>
      <c r="I133" s="5">
        <v>154.35000000000002</v>
      </c>
      <c r="J133" s="5">
        <v>154.35000000000002</v>
      </c>
    </row>
    <row r="134" spans="1:12" s="5" customFormat="1">
      <c r="A134" s="5" t="s">
        <v>458</v>
      </c>
      <c r="B134" s="5" t="s">
        <v>244</v>
      </c>
      <c r="C134" s="5">
        <v>12.807307692307695</v>
      </c>
      <c r="D134" s="5">
        <v>12.648370786516857</v>
      </c>
      <c r="E134" s="5">
        <v>12.482126436781611</v>
      </c>
      <c r="F134" s="5">
        <v>12.308058823529414</v>
      </c>
      <c r="G134" s="5">
        <v>12.125602409638555</v>
      </c>
      <c r="H134" s="5">
        <v>11.934135802469136</v>
      </c>
      <c r="I134" s="5">
        <v>11.732974683544304</v>
      </c>
      <c r="J134" s="5">
        <v>11.521363636363638</v>
      </c>
    </row>
    <row r="135" spans="1:12" s="5" customFormat="1">
      <c r="A135" s="5" t="s">
        <v>458</v>
      </c>
      <c r="B135" s="5" t="s">
        <v>245</v>
      </c>
      <c r="C135" s="5">
        <v>9.3800000000000008</v>
      </c>
      <c r="D135" s="5">
        <v>9.06</v>
      </c>
      <c r="E135" s="5">
        <v>8.740000000000002</v>
      </c>
      <c r="F135" s="5">
        <v>8.42</v>
      </c>
      <c r="G135" s="5">
        <v>8.1</v>
      </c>
      <c r="H135" s="5">
        <v>7.78</v>
      </c>
      <c r="I135" s="5">
        <v>7.4600000000000009</v>
      </c>
      <c r="J135" s="5">
        <v>7.1400000000000006</v>
      </c>
    </row>
    <row r="136" spans="1:12" s="5" customFormat="1">
      <c r="A136" s="5" t="s">
        <v>458</v>
      </c>
      <c r="B136" s="5" t="s">
        <v>237</v>
      </c>
      <c r="C136" s="5">
        <v>83.75</v>
      </c>
      <c r="D136" s="5">
        <v>80.892857142857139</v>
      </c>
      <c r="E136" s="5">
        <v>78.035714285714292</v>
      </c>
      <c r="F136" s="5">
        <v>75.178571428571431</v>
      </c>
      <c r="G136" s="5">
        <v>72.321428571428569</v>
      </c>
      <c r="H136" s="5">
        <v>69.464285714285708</v>
      </c>
      <c r="I136" s="5">
        <v>66.607142857142861</v>
      </c>
      <c r="J136" s="5">
        <v>63.75</v>
      </c>
    </row>
    <row r="137" spans="1:12" s="5" customFormat="1">
      <c r="A137" s="5" t="s">
        <v>458</v>
      </c>
      <c r="B137" s="5" t="s">
        <v>238</v>
      </c>
      <c r="C137" s="5">
        <v>87.5</v>
      </c>
      <c r="D137" s="5">
        <v>87.5</v>
      </c>
      <c r="E137" s="5">
        <v>87.5</v>
      </c>
      <c r="F137" s="5">
        <v>87.5</v>
      </c>
      <c r="G137" s="5">
        <v>87.5</v>
      </c>
      <c r="H137" s="5">
        <v>87.5</v>
      </c>
      <c r="I137" s="5">
        <v>87.5</v>
      </c>
      <c r="J137" s="5">
        <v>87.5</v>
      </c>
    </row>
    <row r="138" spans="1:12" s="5" customFormat="1">
      <c r="A138" s="5" t="s">
        <v>458</v>
      </c>
      <c r="B138" s="5" t="s">
        <v>239</v>
      </c>
      <c r="C138" s="5">
        <v>37.5</v>
      </c>
      <c r="D138" s="5">
        <v>37.5</v>
      </c>
      <c r="E138" s="5">
        <v>37.5</v>
      </c>
      <c r="F138" s="5">
        <v>37.5</v>
      </c>
      <c r="G138" s="5">
        <v>37.5</v>
      </c>
      <c r="H138" s="5">
        <v>37.5</v>
      </c>
      <c r="I138" s="5">
        <v>37.5</v>
      </c>
      <c r="J138" s="5">
        <v>37.5</v>
      </c>
    </row>
    <row r="139" spans="1:12" s="5" customFormat="1">
      <c r="A139" s="5" t="s">
        <v>458</v>
      </c>
      <c r="B139" s="5" t="s">
        <v>246</v>
      </c>
      <c r="C139" s="5">
        <v>23.924375999999995</v>
      </c>
      <c r="D139" s="5">
        <v>22.866971999999997</v>
      </c>
      <c r="E139" s="5">
        <v>21.809567999999999</v>
      </c>
      <c r="F139" s="5">
        <v>20.752163999999997</v>
      </c>
      <c r="G139" s="5">
        <v>19.694759999999995</v>
      </c>
      <c r="H139" s="5">
        <v>18.637355999999997</v>
      </c>
      <c r="I139" s="5">
        <v>17.579951999999999</v>
      </c>
      <c r="J139" s="5">
        <v>16.522547999999997</v>
      </c>
    </row>
    <row r="140" spans="1:12" s="5" customFormat="1">
      <c r="A140" s="5" t="s">
        <v>458</v>
      </c>
      <c r="B140" s="5" t="s">
        <v>247</v>
      </c>
      <c r="C140" s="5">
        <v>123.30255323076922</v>
      </c>
      <c r="D140" s="5">
        <v>116.39031815730337</v>
      </c>
      <c r="E140" s="5">
        <v>109.54920937931034</v>
      </c>
      <c r="F140" s="5">
        <v>102.78424757647056</v>
      </c>
      <c r="G140" s="5">
        <v>96.100937349397554</v>
      </c>
      <c r="H140" s="5">
        <v>89.50532696296294</v>
      </c>
      <c r="I140" s="5">
        <v>83.004077164556946</v>
      </c>
      <c r="J140" s="5">
        <v>76.604540727272735</v>
      </c>
    </row>
    <row r="141" spans="1:12" s="5" customFormat="1">
      <c r="A141" s="5" t="s">
        <v>458</v>
      </c>
      <c r="B141" s="5" t="s">
        <v>251</v>
      </c>
    </row>
    <row r="142" spans="1:12" s="5" customFormat="1">
      <c r="A142" s="5" t="s">
        <v>458</v>
      </c>
      <c r="B142" s="5" t="s">
        <v>253</v>
      </c>
      <c r="C142" s="5">
        <v>22.750000000000004</v>
      </c>
      <c r="D142" s="5">
        <v>21.95</v>
      </c>
      <c r="E142" s="5">
        <v>21.150000000000002</v>
      </c>
      <c r="F142" s="5">
        <v>20.350000000000001</v>
      </c>
      <c r="G142" s="5">
        <v>19.55</v>
      </c>
      <c r="H142" s="5">
        <v>18.75</v>
      </c>
      <c r="I142" s="5">
        <v>17.950000000000003</v>
      </c>
      <c r="J142" s="5">
        <v>17.150000000000002</v>
      </c>
    </row>
    <row r="143" spans="1:12" s="5" customFormat="1">
      <c r="A143" s="5" t="s">
        <v>458</v>
      </c>
      <c r="B143" s="5" t="s">
        <v>254</v>
      </c>
      <c r="C143" s="5">
        <v>22.750000000000004</v>
      </c>
      <c r="D143" s="5">
        <v>21.95</v>
      </c>
      <c r="E143" s="5">
        <v>21.150000000000002</v>
      </c>
      <c r="F143" s="5">
        <v>20.350000000000001</v>
      </c>
      <c r="G143" s="5">
        <v>19.55</v>
      </c>
      <c r="H143" s="5">
        <v>18.75</v>
      </c>
      <c r="I143" s="5">
        <v>17.950000000000003</v>
      </c>
      <c r="J143" s="5">
        <v>17.150000000000002</v>
      </c>
    </row>
    <row r="144" spans="1:12" s="5" customFormat="1">
      <c r="A144" s="5" t="s">
        <v>458</v>
      </c>
      <c r="B144" s="5" t="s">
        <v>255</v>
      </c>
      <c r="C144" s="5">
        <v>36.571138211382113</v>
      </c>
      <c r="D144" s="5">
        <v>31.293595908520061</v>
      </c>
      <c r="E144" s="5">
        <v>23.04279033643995</v>
      </c>
      <c r="F144" s="5">
        <v>17.393590124925637</v>
      </c>
      <c r="G144" s="5">
        <v>15.460968999933904</v>
      </c>
      <c r="H144" s="5">
        <v>14.123000528785775</v>
      </c>
      <c r="I144" s="5">
        <v>12.78503205763765</v>
      </c>
      <c r="J144" s="5">
        <v>11.893053076872231</v>
      </c>
    </row>
    <row r="145" spans="1:10">
      <c r="A145" s="5" t="s">
        <v>486</v>
      </c>
      <c r="B145" s="5" t="s">
        <v>281</v>
      </c>
      <c r="C145" s="5">
        <v>947</v>
      </c>
      <c r="D145" s="5">
        <v>892.88571428571424</v>
      </c>
      <c r="E145" s="5">
        <v>838.77142857142849</v>
      </c>
      <c r="F145" s="5">
        <v>784.65714285714284</v>
      </c>
      <c r="G145" s="5">
        <v>730.5428571428572</v>
      </c>
      <c r="H145" s="5">
        <v>608.78571428571422</v>
      </c>
      <c r="I145" s="5">
        <v>560.08285714285716</v>
      </c>
      <c r="J145" s="5">
        <v>511.37999999999994</v>
      </c>
    </row>
    <row r="146" spans="1:10">
      <c r="A146" s="5" t="s">
        <v>486</v>
      </c>
      <c r="B146" s="5" t="s">
        <v>282</v>
      </c>
      <c r="C146" s="5">
        <v>0.01</v>
      </c>
      <c r="D146" s="5">
        <v>0.01</v>
      </c>
      <c r="E146" s="5">
        <v>0.01</v>
      </c>
      <c r="F146" s="5">
        <v>0.01</v>
      </c>
      <c r="G146" s="5">
        <v>0.01</v>
      </c>
      <c r="H146" s="5">
        <v>0.01</v>
      </c>
      <c r="I146" s="5">
        <v>0.01</v>
      </c>
      <c r="J146" s="5">
        <v>0.01</v>
      </c>
    </row>
    <row r="147" spans="1:10">
      <c r="A147" s="5" t="s">
        <v>486</v>
      </c>
      <c r="B147" s="5" t="s">
        <v>283</v>
      </c>
      <c r="C147" s="5">
        <v>0.01</v>
      </c>
      <c r="D147" s="5">
        <v>0.01</v>
      </c>
      <c r="E147" s="5">
        <v>0.01</v>
      </c>
      <c r="F147" s="5">
        <v>0.01</v>
      </c>
      <c r="G147" s="5">
        <v>0.01</v>
      </c>
      <c r="H147" s="5">
        <v>0.01</v>
      </c>
      <c r="I147" s="5">
        <v>0.01</v>
      </c>
      <c r="J147" s="5">
        <v>0.01</v>
      </c>
    </row>
    <row r="148" spans="1:10">
      <c r="A148" s="5" t="s">
        <v>486</v>
      </c>
      <c r="B148" s="5" t="s">
        <v>284</v>
      </c>
      <c r="C148" s="5">
        <v>0.01</v>
      </c>
      <c r="D148" s="5">
        <v>0.01</v>
      </c>
      <c r="E148" s="5">
        <v>0.01</v>
      </c>
      <c r="F148" s="5">
        <v>0.01</v>
      </c>
      <c r="G148" s="5">
        <v>0.01</v>
      </c>
      <c r="H148" s="5">
        <v>0.01</v>
      </c>
      <c r="I148" s="5">
        <v>0.01</v>
      </c>
      <c r="J148" s="5">
        <v>0.01</v>
      </c>
    </row>
    <row r="149" spans="1:10">
      <c r="A149" s="5" t="s">
        <v>486</v>
      </c>
      <c r="B149" s="5" t="s">
        <v>285</v>
      </c>
      <c r="C149" s="5">
        <v>0.01</v>
      </c>
      <c r="D149" s="5">
        <v>0.01</v>
      </c>
      <c r="E149" s="5">
        <v>0.01</v>
      </c>
      <c r="F149" s="5">
        <v>0.01</v>
      </c>
      <c r="G149" s="5">
        <v>0.01</v>
      </c>
      <c r="H149" s="5">
        <v>0.01</v>
      </c>
      <c r="I149" s="5">
        <v>0.01</v>
      </c>
      <c r="J149" s="5">
        <v>0.01</v>
      </c>
    </row>
    <row r="150" spans="1:10">
      <c r="A150" s="5" t="s">
        <v>486</v>
      </c>
      <c r="B150" s="5" t="s">
        <v>286</v>
      </c>
      <c r="C150" s="5">
        <v>0.01</v>
      </c>
      <c r="D150" s="5">
        <v>0.01</v>
      </c>
      <c r="E150" s="5">
        <v>0.01</v>
      </c>
      <c r="F150" s="5">
        <v>0.01</v>
      </c>
      <c r="G150" s="5">
        <v>0.01</v>
      </c>
      <c r="H150" s="5">
        <v>0.01</v>
      </c>
      <c r="I150" s="5">
        <v>0.01</v>
      </c>
      <c r="J150" s="5">
        <v>0.01</v>
      </c>
    </row>
    <row r="151" spans="1:10">
      <c r="A151" s="5" t="s">
        <v>486</v>
      </c>
      <c r="B151" s="5" t="s">
        <v>287</v>
      </c>
      <c r="C151" s="5">
        <v>771</v>
      </c>
      <c r="D151" s="5">
        <v>731</v>
      </c>
      <c r="E151" s="5">
        <v>706</v>
      </c>
      <c r="F151" s="5">
        <v>680</v>
      </c>
      <c r="G151" s="5">
        <v>653</v>
      </c>
      <c r="H151" s="5">
        <v>632</v>
      </c>
      <c r="I151" s="5">
        <v>609</v>
      </c>
      <c r="J151" s="5">
        <v>589</v>
      </c>
    </row>
    <row r="152" spans="1:10">
      <c r="A152" s="5" t="s">
        <v>486</v>
      </c>
      <c r="B152" s="5" t="s">
        <v>291</v>
      </c>
      <c r="C152" s="5">
        <v>1</v>
      </c>
      <c r="D152" s="5">
        <v>0.95714285714285718</v>
      </c>
      <c r="E152" s="5">
        <v>0.91428571428571426</v>
      </c>
      <c r="F152" s="5">
        <v>0.87142857142857144</v>
      </c>
      <c r="G152" s="5">
        <v>0.82857142857142851</v>
      </c>
      <c r="H152" s="5">
        <v>0.7857142857142857</v>
      </c>
      <c r="I152" s="5">
        <v>0.74285714285714288</v>
      </c>
      <c r="J152" s="5">
        <v>0.7</v>
      </c>
    </row>
    <row r="153" spans="1:10">
      <c r="A153" s="5" t="s">
        <v>486</v>
      </c>
      <c r="B153" s="5" t="s">
        <v>292</v>
      </c>
      <c r="C153" s="5">
        <v>1</v>
      </c>
      <c r="D153" s="5">
        <v>0.95714285714285718</v>
      </c>
      <c r="E153" s="5">
        <v>0.91428571428571426</v>
      </c>
      <c r="F153" s="5">
        <v>0.87142857142857144</v>
      </c>
      <c r="G153" s="5">
        <v>0.82857142857142851</v>
      </c>
      <c r="H153" s="5">
        <v>0.7857142857142857</v>
      </c>
      <c r="I153" s="5">
        <v>0.74285714285714288</v>
      </c>
      <c r="J153" s="5">
        <v>0.7</v>
      </c>
    </row>
    <row r="154" spans="1:10">
      <c r="A154" s="5" t="s">
        <v>486</v>
      </c>
      <c r="B154" s="5" t="s">
        <v>297</v>
      </c>
      <c r="C154" s="5">
        <v>6.1224489795918364</v>
      </c>
      <c r="D154" s="5">
        <v>6.0641399416909616</v>
      </c>
      <c r="E154" s="5">
        <v>6.0058309037900877</v>
      </c>
      <c r="F154" s="5">
        <v>5.9475218658892128</v>
      </c>
      <c r="G154" s="5">
        <v>5.889212827988338</v>
      </c>
      <c r="H154" s="5">
        <v>5.8309037900874632</v>
      </c>
      <c r="I154" s="5">
        <v>5.7725947521865892</v>
      </c>
      <c r="J154" s="5">
        <v>5.7142857142857144</v>
      </c>
    </row>
    <row r="155" spans="1:10">
      <c r="A155" s="5" t="s">
        <v>486</v>
      </c>
      <c r="B155" s="5" t="s">
        <v>298</v>
      </c>
      <c r="C155" s="5">
        <v>10.303617571059432</v>
      </c>
      <c r="D155" s="5">
        <v>10.035991140642302</v>
      </c>
      <c r="E155" s="5">
        <v>9.7683647102251747</v>
      </c>
      <c r="F155" s="5">
        <v>9.5007382798080471</v>
      </c>
      <c r="G155" s="5">
        <v>9.2331118493909194</v>
      </c>
      <c r="H155" s="5">
        <v>8.9654854189737918</v>
      </c>
      <c r="I155" s="5">
        <v>8.6978589885566624</v>
      </c>
      <c r="J155" s="5">
        <v>8.4302325581395348</v>
      </c>
    </row>
    <row r="156" spans="1:10">
      <c r="A156" s="5" t="s">
        <v>486</v>
      </c>
      <c r="B156" s="5" t="s">
        <v>299</v>
      </c>
      <c r="C156" s="5">
        <v>48</v>
      </c>
      <c r="D156" s="5">
        <v>44.002448979591833</v>
      </c>
      <c r="E156" s="5">
        <v>40.004897959183673</v>
      </c>
      <c r="F156" s="5">
        <v>36.007346938775513</v>
      </c>
      <c r="G156" s="5">
        <v>32.009795918367345</v>
      </c>
      <c r="H156" s="5">
        <v>28.012244897959185</v>
      </c>
      <c r="I156" s="5">
        <v>24.014693877551021</v>
      </c>
      <c r="J156" s="5">
        <v>20.017142857142858</v>
      </c>
    </row>
    <row r="157" spans="1:10">
      <c r="A157" s="5" t="s">
        <v>486</v>
      </c>
      <c r="B157" s="5" t="s">
        <v>310</v>
      </c>
      <c r="C157" s="5">
        <v>516</v>
      </c>
      <c r="D157" s="5">
        <v>512.31428571428569</v>
      </c>
      <c r="E157" s="5">
        <v>466.24285714285719</v>
      </c>
      <c r="F157" s="5">
        <v>462.86428571428576</v>
      </c>
      <c r="G157" s="5">
        <v>438.6</v>
      </c>
      <c r="H157" s="5">
        <v>435.375</v>
      </c>
      <c r="I157" s="5">
        <v>432.15</v>
      </c>
      <c r="J157" s="5">
        <v>428.92499999999995</v>
      </c>
    </row>
    <row r="158" spans="1:10">
      <c r="A158" s="5" t="s">
        <v>486</v>
      </c>
      <c r="B158" s="5" t="s">
        <v>312</v>
      </c>
      <c r="C158" s="5">
        <v>730</v>
      </c>
      <c r="D158" s="5">
        <v>698.71428571428578</v>
      </c>
      <c r="E158" s="5">
        <v>488.2285714285714</v>
      </c>
      <c r="F158" s="5">
        <v>294.54285714285714</v>
      </c>
      <c r="G158" s="5">
        <v>238.21428571428569</v>
      </c>
      <c r="H158" s="5">
        <v>186.21428571428572</v>
      </c>
      <c r="I158" s="5">
        <v>161.94285714285715</v>
      </c>
      <c r="J158" s="5">
        <v>139.29999999999998</v>
      </c>
    </row>
    <row r="159" spans="1:10">
      <c r="A159" s="5" t="s">
        <v>486</v>
      </c>
      <c r="B159" s="5" t="s">
        <v>313</v>
      </c>
      <c r="C159" s="5">
        <v>815</v>
      </c>
      <c r="D159" s="5">
        <v>780.07142857142856</v>
      </c>
      <c r="E159" s="5">
        <v>545.37142857142851</v>
      </c>
      <c r="F159" s="5">
        <v>329.4</v>
      </c>
      <c r="G159" s="5">
        <v>266.38571428571424</v>
      </c>
      <c r="H159" s="5">
        <v>208.21428571428572</v>
      </c>
      <c r="I159" s="5">
        <v>180.8857142857143</v>
      </c>
      <c r="J159" s="5">
        <v>155.39999999999998</v>
      </c>
    </row>
    <row r="160" spans="1:10">
      <c r="A160" s="5" t="s">
        <v>486</v>
      </c>
      <c r="B160" s="5" t="s">
        <v>429</v>
      </c>
      <c r="C160" s="5">
        <v>26</v>
      </c>
      <c r="D160" s="5">
        <v>26</v>
      </c>
      <c r="E160" s="5">
        <v>17</v>
      </c>
      <c r="F160" s="5">
        <v>17</v>
      </c>
      <c r="G160" s="5">
        <v>17</v>
      </c>
      <c r="H160" s="5">
        <v>17</v>
      </c>
      <c r="I160" s="5">
        <v>17</v>
      </c>
      <c r="J160" s="5">
        <v>17</v>
      </c>
    </row>
    <row r="161" spans="1:14">
      <c r="A161" s="5" t="s">
        <v>486</v>
      </c>
      <c r="B161" s="5" t="s">
        <v>431</v>
      </c>
      <c r="C161" s="5">
        <v>12</v>
      </c>
      <c r="D161" s="5">
        <v>12</v>
      </c>
      <c r="E161" s="5">
        <v>8</v>
      </c>
      <c r="F161" s="5">
        <v>8</v>
      </c>
      <c r="G161" s="5">
        <v>8</v>
      </c>
      <c r="H161" s="5">
        <v>8</v>
      </c>
      <c r="I161" s="5">
        <v>8</v>
      </c>
      <c r="J161" s="5">
        <v>8</v>
      </c>
    </row>
    <row r="162" spans="1:14">
      <c r="A162" s="5" t="s">
        <v>486</v>
      </c>
      <c r="B162" s="5" t="s">
        <v>430</v>
      </c>
      <c r="C162" s="5">
        <v>13</v>
      </c>
      <c r="D162" s="5">
        <v>13</v>
      </c>
      <c r="E162" s="5">
        <v>9</v>
      </c>
      <c r="F162" s="5">
        <v>9</v>
      </c>
      <c r="G162" s="5">
        <v>9</v>
      </c>
      <c r="H162" s="5">
        <v>9</v>
      </c>
      <c r="I162" s="5">
        <v>9</v>
      </c>
      <c r="J162" s="5">
        <v>9</v>
      </c>
    </row>
    <row r="163" spans="1:14">
      <c r="A163" s="5" t="s">
        <v>486</v>
      </c>
      <c r="B163" s="5" t="s">
        <v>416</v>
      </c>
      <c r="C163" s="5">
        <v>50.6</v>
      </c>
      <c r="D163" s="5">
        <v>48.07</v>
      </c>
      <c r="E163" s="5">
        <v>45.54</v>
      </c>
      <c r="F163" s="5">
        <v>44.275000000000006</v>
      </c>
      <c r="G163" s="5">
        <v>43.010000000000005</v>
      </c>
      <c r="H163" s="5">
        <v>43.010000000000005</v>
      </c>
      <c r="I163" s="5">
        <v>43.010000000000005</v>
      </c>
      <c r="J163" s="5">
        <v>43.010000000000005</v>
      </c>
    </row>
    <row r="164" spans="1:14">
      <c r="A164" s="5" t="s">
        <v>486</v>
      </c>
      <c r="B164" s="5" t="s">
        <v>95</v>
      </c>
      <c r="C164" s="5">
        <v>44</v>
      </c>
      <c r="D164" s="5">
        <v>44</v>
      </c>
      <c r="E164" s="5">
        <v>44</v>
      </c>
      <c r="F164" s="5">
        <v>44</v>
      </c>
      <c r="G164" s="5">
        <v>44</v>
      </c>
      <c r="H164" s="5">
        <v>44</v>
      </c>
      <c r="I164" s="5">
        <v>44</v>
      </c>
      <c r="J164" s="5">
        <v>44</v>
      </c>
    </row>
    <row r="165" spans="1:14">
      <c r="A165" s="5" t="s">
        <v>486</v>
      </c>
      <c r="B165" s="5" t="s">
        <v>96</v>
      </c>
      <c r="C165" s="5">
        <v>41.800000000000004</v>
      </c>
      <c r="D165" s="5">
        <v>41.800000000000004</v>
      </c>
      <c r="E165" s="5">
        <v>41.800000000000004</v>
      </c>
      <c r="F165" s="5">
        <v>41.800000000000004</v>
      </c>
      <c r="G165" s="5">
        <v>41.800000000000004</v>
      </c>
      <c r="H165" s="5">
        <v>41.800000000000004</v>
      </c>
      <c r="I165" s="5">
        <v>41.800000000000004</v>
      </c>
      <c r="J165" s="5">
        <v>41.800000000000004</v>
      </c>
    </row>
    <row r="166" spans="1:14">
      <c r="A166" s="5" t="s">
        <v>486</v>
      </c>
      <c r="B166" s="5" t="s">
        <v>422</v>
      </c>
      <c r="C166" s="5">
        <v>28.6</v>
      </c>
      <c r="D166" s="5">
        <v>28.6</v>
      </c>
      <c r="E166" s="5">
        <v>18.700000000000003</v>
      </c>
      <c r="F166" s="5">
        <v>18.700000000000003</v>
      </c>
      <c r="G166" s="5">
        <v>18.700000000000003</v>
      </c>
      <c r="H166" s="5">
        <v>18.700000000000003</v>
      </c>
      <c r="I166" s="5">
        <v>18.700000000000003</v>
      </c>
      <c r="J166" s="5">
        <v>18.700000000000003</v>
      </c>
    </row>
    <row r="167" spans="1:14">
      <c r="A167" s="5" t="s">
        <v>486</v>
      </c>
      <c r="B167" s="5" t="s">
        <v>420</v>
      </c>
      <c r="C167" s="5">
        <v>28.6</v>
      </c>
      <c r="D167" s="5">
        <v>28.6</v>
      </c>
      <c r="E167" s="5">
        <v>18.700000000000003</v>
      </c>
      <c r="F167" s="5">
        <v>18.700000000000003</v>
      </c>
      <c r="G167" s="5">
        <v>18.700000000000003</v>
      </c>
      <c r="H167" s="5">
        <v>18.700000000000003</v>
      </c>
      <c r="I167" s="5">
        <v>18.700000000000003</v>
      </c>
      <c r="J167" s="5">
        <v>18.700000000000003</v>
      </c>
    </row>
    <row r="168" spans="1:14">
      <c r="A168" s="5" t="s">
        <v>486</v>
      </c>
      <c r="B168" s="5" t="s">
        <v>424</v>
      </c>
      <c r="C168" s="5">
        <v>28.6</v>
      </c>
      <c r="D168" s="5">
        <v>28.6</v>
      </c>
      <c r="E168" s="5">
        <v>18.700000000000003</v>
      </c>
      <c r="F168" s="5">
        <v>18.700000000000003</v>
      </c>
      <c r="G168" s="5">
        <v>18.700000000000003</v>
      </c>
      <c r="H168" s="5">
        <v>18.700000000000003</v>
      </c>
      <c r="I168" s="5">
        <v>18.700000000000003</v>
      </c>
      <c r="J168" s="5">
        <v>18.700000000000003</v>
      </c>
    </row>
    <row r="169" spans="1:14">
      <c r="A169" s="5" t="s">
        <v>486</v>
      </c>
      <c r="B169" s="5" t="s">
        <v>417</v>
      </c>
      <c r="C169" s="5">
        <v>55.000000000000007</v>
      </c>
      <c r="D169" s="5">
        <v>45.1</v>
      </c>
      <c r="E169" s="5">
        <v>42.900000000000006</v>
      </c>
      <c r="F169" s="5">
        <v>41.800000000000004</v>
      </c>
      <c r="G169" s="5">
        <v>40.700000000000003</v>
      </c>
      <c r="H169" s="5">
        <v>40.700000000000003</v>
      </c>
      <c r="I169" s="5">
        <v>40.700000000000003</v>
      </c>
      <c r="J169" s="5">
        <v>40.700000000000003</v>
      </c>
      <c r="N169" s="22" t="s">
        <v>441</v>
      </c>
    </row>
    <row r="170" spans="1:14">
      <c r="A170" s="5" t="s">
        <v>486</v>
      </c>
      <c r="B170" s="5" t="s">
        <v>418</v>
      </c>
      <c r="C170" s="5">
        <v>66</v>
      </c>
      <c r="D170" s="5">
        <v>66</v>
      </c>
      <c r="E170" s="5">
        <v>66</v>
      </c>
      <c r="F170" s="5">
        <v>66</v>
      </c>
      <c r="G170" s="5">
        <v>66</v>
      </c>
      <c r="H170" s="5">
        <v>66</v>
      </c>
      <c r="I170" s="5">
        <v>66</v>
      </c>
      <c r="J170" s="5">
        <v>66</v>
      </c>
      <c r="N170" s="22" t="s">
        <v>441</v>
      </c>
    </row>
    <row r="171" spans="1:14">
      <c r="A171" s="5" t="s">
        <v>486</v>
      </c>
      <c r="B171" s="5" t="s">
        <v>419</v>
      </c>
      <c r="C171" s="5">
        <v>62.7</v>
      </c>
      <c r="D171" s="5">
        <v>62.7</v>
      </c>
      <c r="E171" s="5">
        <v>62.7</v>
      </c>
      <c r="F171" s="5">
        <v>62.7</v>
      </c>
      <c r="G171" s="5">
        <v>62.7</v>
      </c>
      <c r="H171" s="5">
        <v>62.7</v>
      </c>
      <c r="I171" s="5">
        <v>62.7</v>
      </c>
      <c r="J171" s="5">
        <v>62.7</v>
      </c>
      <c r="N171" s="22" t="s">
        <v>441</v>
      </c>
    </row>
    <row r="172" spans="1:14">
      <c r="A172" s="5" t="s">
        <v>486</v>
      </c>
      <c r="B172" s="5" t="s">
        <v>423</v>
      </c>
      <c r="C172" s="5">
        <v>42.900000000000006</v>
      </c>
      <c r="D172" s="5">
        <v>42.900000000000006</v>
      </c>
      <c r="E172" s="5">
        <v>28.050000000000004</v>
      </c>
      <c r="F172" s="5">
        <v>28.050000000000004</v>
      </c>
      <c r="G172" s="5">
        <v>28.050000000000004</v>
      </c>
      <c r="H172" s="5">
        <v>28.050000000000004</v>
      </c>
      <c r="I172" s="5">
        <v>28.050000000000004</v>
      </c>
      <c r="J172" s="5">
        <v>28.050000000000004</v>
      </c>
      <c r="N172" s="22" t="s">
        <v>441</v>
      </c>
    </row>
    <row r="173" spans="1:14">
      <c r="A173" s="5" t="s">
        <v>486</v>
      </c>
      <c r="B173" s="5" t="s">
        <v>421</v>
      </c>
      <c r="C173" s="5">
        <v>42.900000000000006</v>
      </c>
      <c r="D173" s="5">
        <v>42.900000000000006</v>
      </c>
      <c r="E173" s="5">
        <v>28.050000000000004</v>
      </c>
      <c r="F173" s="5">
        <v>28.050000000000004</v>
      </c>
      <c r="G173" s="5">
        <v>28.050000000000004</v>
      </c>
      <c r="H173" s="5">
        <v>28.050000000000004</v>
      </c>
      <c r="I173" s="5">
        <v>28.050000000000004</v>
      </c>
      <c r="J173" s="5">
        <v>28.050000000000004</v>
      </c>
      <c r="N173" s="22" t="s">
        <v>441</v>
      </c>
    </row>
    <row r="174" spans="1:14">
      <c r="A174" s="5" t="s">
        <v>486</v>
      </c>
      <c r="B174" s="5" t="s">
        <v>425</v>
      </c>
      <c r="C174" s="5">
        <v>22</v>
      </c>
      <c r="D174" s="5">
        <v>21.14285714</v>
      </c>
      <c r="E174" s="5">
        <v>20.285714290000001</v>
      </c>
      <c r="F174" s="5">
        <v>19.428571430000002</v>
      </c>
      <c r="G174" s="5">
        <v>18.571428569999998</v>
      </c>
      <c r="H174" s="5">
        <v>17.714285709999999</v>
      </c>
      <c r="I174" s="5">
        <v>16.85714286</v>
      </c>
      <c r="J174" s="5">
        <v>16</v>
      </c>
      <c r="N174" s="22" t="s">
        <v>441</v>
      </c>
    </row>
    <row r="175" spans="1:14">
      <c r="A175" s="5" t="s">
        <v>486</v>
      </c>
      <c r="B175" s="5" t="s">
        <v>427</v>
      </c>
      <c r="C175" s="5">
        <v>1</v>
      </c>
      <c r="D175" s="5">
        <v>1</v>
      </c>
      <c r="E175" s="5">
        <v>1</v>
      </c>
      <c r="F175" s="5">
        <v>1</v>
      </c>
      <c r="G175" s="5">
        <v>1</v>
      </c>
      <c r="H175" s="5">
        <v>1</v>
      </c>
      <c r="I175" s="5">
        <v>1</v>
      </c>
      <c r="J175" s="5">
        <v>1</v>
      </c>
      <c r="N175" s="22" t="s">
        <v>443</v>
      </c>
    </row>
    <row r="176" spans="1:14">
      <c r="A176" s="5" t="s">
        <v>486</v>
      </c>
      <c r="B176" s="5" t="s">
        <v>428</v>
      </c>
      <c r="C176" s="5">
        <v>1</v>
      </c>
      <c r="D176" s="5">
        <v>1</v>
      </c>
      <c r="E176" s="5">
        <v>1</v>
      </c>
      <c r="F176" s="5">
        <v>1</v>
      </c>
      <c r="G176" s="5">
        <v>1</v>
      </c>
      <c r="H176" s="5">
        <v>1</v>
      </c>
      <c r="I176" s="5">
        <v>1</v>
      </c>
      <c r="J176" s="5">
        <v>1</v>
      </c>
      <c r="N176" s="22" t="s">
        <v>443</v>
      </c>
    </row>
    <row r="177" spans="1:14">
      <c r="A177" s="5" t="s">
        <v>486</v>
      </c>
      <c r="B177" s="5" t="s">
        <v>426</v>
      </c>
      <c r="C177" s="5">
        <v>32.550000000000004</v>
      </c>
      <c r="D177" s="5">
        <v>32.550000000000004</v>
      </c>
      <c r="E177" s="5">
        <v>32.550000000000004</v>
      </c>
      <c r="F177" s="5">
        <v>32.550000000000004</v>
      </c>
      <c r="G177" s="5">
        <v>32.550000000000004</v>
      </c>
      <c r="H177" s="5">
        <v>32.550000000000004</v>
      </c>
      <c r="I177" s="5">
        <v>32.550000000000004</v>
      </c>
      <c r="J177" s="5">
        <v>32.550000000000004</v>
      </c>
      <c r="N177" s="22" t="s">
        <v>448</v>
      </c>
    </row>
    <row r="178" spans="1:14">
      <c r="A178" s="5" t="s">
        <v>486</v>
      </c>
      <c r="B178" s="5" t="s">
        <v>440</v>
      </c>
      <c r="C178" s="5">
        <v>18</v>
      </c>
      <c r="D178" s="5">
        <v>16.8</v>
      </c>
      <c r="E178" s="5">
        <v>13.2</v>
      </c>
      <c r="F178" s="5">
        <v>12</v>
      </c>
      <c r="G178" s="5">
        <v>10.799999999999999</v>
      </c>
      <c r="H178" s="5">
        <v>10.799999999999999</v>
      </c>
      <c r="I178" s="5">
        <v>9.6</v>
      </c>
      <c r="J178" s="5">
        <v>8.8800000000000008</v>
      </c>
    </row>
    <row r="179" spans="1:14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4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4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4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4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4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4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4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4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4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4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4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4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/>
      <c r="B270"/>
      <c r="C270"/>
      <c r="D270"/>
      <c r="E270"/>
      <c r="F270"/>
      <c r="G270"/>
      <c r="H270"/>
      <c r="I270"/>
      <c r="J270"/>
    </row>
    <row r="271" spans="1:10">
      <c r="A271"/>
      <c r="B271" s="2"/>
      <c r="C271"/>
      <c r="D271"/>
      <c r="E271"/>
      <c r="F271"/>
      <c r="G271"/>
      <c r="H271"/>
      <c r="I271"/>
      <c r="J271"/>
    </row>
    <row r="272" spans="1:10">
      <c r="A272"/>
      <c r="B272" s="2"/>
      <c r="C272"/>
      <c r="D272"/>
      <c r="E272"/>
      <c r="F272"/>
      <c r="G272"/>
      <c r="H272"/>
      <c r="I272"/>
      <c r="J272"/>
    </row>
    <row r="273" spans="1:10">
      <c r="A273"/>
      <c r="B273" s="2"/>
      <c r="C273" s="5"/>
      <c r="D273" s="5"/>
      <c r="E273" s="5"/>
      <c r="F273" s="5"/>
      <c r="G273" s="5"/>
      <c r="H273" s="5"/>
      <c r="I273" s="5"/>
      <c r="J273" s="5"/>
    </row>
    <row r="274" spans="1:10">
      <c r="A274"/>
      <c r="B274" s="2"/>
      <c r="C274" s="5"/>
      <c r="D274" s="5"/>
      <c r="E274" s="5"/>
      <c r="F274" s="5"/>
      <c r="G274" s="5"/>
      <c r="H274" s="5"/>
      <c r="I274" s="5"/>
      <c r="J274" s="5"/>
    </row>
    <row r="275" spans="1:10">
      <c r="A275"/>
      <c r="B275" s="2"/>
      <c r="C275" s="5"/>
      <c r="D275" s="5"/>
      <c r="E275" s="5"/>
      <c r="F275" s="5"/>
      <c r="G275" s="5"/>
      <c r="H275" s="5"/>
      <c r="I275" s="5"/>
      <c r="J275" s="5"/>
    </row>
    <row r="276" spans="1:10">
      <c r="A276"/>
      <c r="B276"/>
      <c r="C276"/>
      <c r="D276"/>
      <c r="E276"/>
      <c r="F276"/>
      <c r="G276"/>
      <c r="H276"/>
      <c r="I276"/>
      <c r="J276"/>
    </row>
    <row r="277" spans="1:10">
      <c r="A277" s="5"/>
      <c r="B277" s="2"/>
      <c r="C277" s="5"/>
      <c r="D277" s="5"/>
      <c r="E277" s="5"/>
      <c r="F277" s="5"/>
      <c r="G277" s="5"/>
      <c r="H277" s="5"/>
      <c r="I277" s="5"/>
      <c r="J277" s="5"/>
    </row>
    <row r="278" spans="1:10">
      <c r="A278" s="5"/>
      <c r="B278" s="2"/>
      <c r="C278" s="5"/>
      <c r="D278" s="5"/>
      <c r="E278" s="5"/>
      <c r="F278" s="5"/>
      <c r="G278" s="5"/>
      <c r="H278" s="5"/>
      <c r="I278" s="5"/>
      <c r="J278" s="5"/>
    </row>
  </sheetData>
  <dataValidations count="1">
    <dataValidation type="list" allowBlank="1" showInputMessage="1" showErrorMessage="1" sqref="B274 B128" xr:uid="{00000000-0002-0000-1D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/>
  <dimension ref="A1:AG1112"/>
  <sheetViews>
    <sheetView tabSelected="1" topLeftCell="A26" zoomScale="90" zoomScaleNormal="90" zoomScalePageLayoutView="90" workbookViewId="0">
      <selection activeCell="B53" sqref="B53"/>
    </sheetView>
  </sheetViews>
  <sheetFormatPr defaultColWidth="11.42578125" defaultRowHeight="15"/>
  <cols>
    <col min="1" max="1" width="19" customWidth="1"/>
    <col min="2" max="2" width="28.42578125" customWidth="1"/>
    <col min="3" max="3" width="9.5703125" bestFit="1" customWidth="1"/>
    <col min="11" max="11" width="2" bestFit="1" customWidth="1"/>
    <col min="12" max="12" width="13" bestFit="1" customWidth="1"/>
    <col min="13" max="13" width="17.42578125" bestFit="1" customWidth="1"/>
  </cols>
  <sheetData>
    <row r="1" spans="1:10">
      <c r="A1" t="s">
        <v>383</v>
      </c>
    </row>
    <row r="2" spans="1:10">
      <c r="A2" t="s">
        <v>3</v>
      </c>
    </row>
    <row r="3" spans="1:10">
      <c r="A3" t="s">
        <v>346</v>
      </c>
    </row>
    <row r="5" spans="1:10">
      <c r="C5" s="56">
        <v>2018</v>
      </c>
      <c r="D5" s="56">
        <v>2021</v>
      </c>
      <c r="E5" s="56">
        <v>2025</v>
      </c>
      <c r="F5" s="56">
        <v>2030</v>
      </c>
      <c r="G5" s="56">
        <v>2035</v>
      </c>
      <c r="H5" s="56">
        <v>2040</v>
      </c>
      <c r="I5" s="56">
        <v>2045</v>
      </c>
      <c r="J5" s="56">
        <v>2050</v>
      </c>
    </row>
    <row r="6" spans="1:10" ht="14.45" customHeight="1">
      <c r="A6" s="59" t="s">
        <v>480</v>
      </c>
      <c r="B6" s="59" t="s">
        <v>84</v>
      </c>
      <c r="C6" s="59">
        <f>0.00386</f>
        <v>3.8600000000000001E-3</v>
      </c>
      <c r="D6" s="59">
        <v>3.8999999999999998E-3</v>
      </c>
      <c r="E6">
        <f>D6*0.8</f>
        <v>3.1199999999999999E-3</v>
      </c>
      <c r="F6">
        <f>D6*0.5</f>
        <v>1.9499999999999999E-3</v>
      </c>
      <c r="G6">
        <f>D6*0.1</f>
        <v>3.8999999999999999E-4</v>
      </c>
    </row>
    <row r="7" spans="1:10" ht="14.45" customHeight="1">
      <c r="A7" s="59" t="s">
        <v>480</v>
      </c>
      <c r="B7" s="59" t="s">
        <v>81</v>
      </c>
      <c r="C7" s="59">
        <f>0.00222</f>
        <v>2.2200000000000002E-3</v>
      </c>
      <c r="D7" s="59">
        <v>2.1299999999999999E-3</v>
      </c>
      <c r="E7">
        <f t="shared" ref="E7:E33" si="0">D7*0.8</f>
        <v>1.704E-3</v>
      </c>
      <c r="F7">
        <f t="shared" ref="F7:F33" si="1">D7*0.5</f>
        <v>1.065E-3</v>
      </c>
      <c r="G7">
        <f t="shared" ref="G7:G33" si="2">D7*0.1</f>
        <v>2.13E-4</v>
      </c>
    </row>
    <row r="8" spans="1:10" ht="14.45" customHeight="1">
      <c r="A8" s="59" t="s">
        <v>480</v>
      </c>
      <c r="B8" s="59" t="s">
        <v>49</v>
      </c>
      <c r="C8" s="59">
        <v>7.1000000000000004E-3</v>
      </c>
      <c r="D8" s="59">
        <v>7.1000000000000004E-3</v>
      </c>
      <c r="E8">
        <f t="shared" si="0"/>
        <v>5.680000000000001E-3</v>
      </c>
      <c r="F8">
        <f t="shared" si="1"/>
        <v>3.5500000000000002E-3</v>
      </c>
      <c r="G8">
        <f t="shared" si="2"/>
        <v>7.1000000000000013E-4</v>
      </c>
    </row>
    <row r="9" spans="1:10" ht="14.45" customHeight="1">
      <c r="A9" s="59" t="s">
        <v>481</v>
      </c>
      <c r="B9" s="59" t="s">
        <v>84</v>
      </c>
      <c r="C9" s="59">
        <v>3.5999999999999999E-3</v>
      </c>
      <c r="D9" s="59">
        <v>8.8999999999999999E-3</v>
      </c>
      <c r="E9">
        <f t="shared" si="0"/>
        <v>7.1200000000000005E-3</v>
      </c>
      <c r="F9">
        <f t="shared" si="1"/>
        <v>4.45E-3</v>
      </c>
      <c r="G9">
        <f t="shared" si="2"/>
        <v>8.9000000000000006E-4</v>
      </c>
    </row>
    <row r="10" spans="1:10" ht="14.45" customHeight="1">
      <c r="A10" s="59" t="s">
        <v>481</v>
      </c>
      <c r="B10" s="59" t="s">
        <v>81</v>
      </c>
      <c r="C10" s="59">
        <v>0</v>
      </c>
      <c r="D10" s="59">
        <v>2.5699999999999998E-3</v>
      </c>
      <c r="E10">
        <f t="shared" si="0"/>
        <v>2.0560000000000001E-3</v>
      </c>
      <c r="F10">
        <f t="shared" si="1"/>
        <v>1.2849999999999999E-3</v>
      </c>
      <c r="G10">
        <f t="shared" si="2"/>
        <v>2.5700000000000001E-4</v>
      </c>
    </row>
    <row r="11" spans="1:10" ht="14.45" customHeight="1">
      <c r="A11" s="59" t="s">
        <v>482</v>
      </c>
      <c r="B11" s="59" t="s">
        <v>84</v>
      </c>
      <c r="C11" s="59">
        <v>1.9300000000000001E-3</v>
      </c>
      <c r="D11" s="59">
        <v>0</v>
      </c>
      <c r="E11">
        <f t="shared" si="0"/>
        <v>0</v>
      </c>
      <c r="F11">
        <f t="shared" si="1"/>
        <v>0</v>
      </c>
      <c r="G11">
        <f t="shared" si="2"/>
        <v>0</v>
      </c>
    </row>
    <row r="12" spans="1:10" ht="14.45" customHeight="1">
      <c r="A12" s="59" t="s">
        <v>482</v>
      </c>
      <c r="B12" s="59" t="s">
        <v>81</v>
      </c>
      <c r="C12" s="59">
        <v>0</v>
      </c>
      <c r="D12" s="59">
        <v>2.8600000000000001E-3</v>
      </c>
      <c r="E12">
        <f t="shared" si="0"/>
        <v>2.2880000000000001E-3</v>
      </c>
      <c r="F12">
        <f t="shared" si="1"/>
        <v>1.4300000000000001E-3</v>
      </c>
      <c r="G12">
        <f t="shared" si="2"/>
        <v>2.8600000000000001E-4</v>
      </c>
    </row>
    <row r="13" spans="1:10" ht="14.45" customHeight="1">
      <c r="A13" s="59" t="s">
        <v>482</v>
      </c>
      <c r="B13" s="59" t="s">
        <v>49</v>
      </c>
      <c r="C13" s="59">
        <v>1.5E-3</v>
      </c>
      <c r="D13" s="59">
        <v>1.5E-3</v>
      </c>
      <c r="E13">
        <f t="shared" si="0"/>
        <v>1.2000000000000001E-3</v>
      </c>
      <c r="F13">
        <f t="shared" si="1"/>
        <v>7.5000000000000002E-4</v>
      </c>
      <c r="G13">
        <f t="shared" si="2"/>
        <v>1.5000000000000001E-4</v>
      </c>
    </row>
    <row r="14" spans="1:10" ht="14.45" customHeight="1">
      <c r="A14" s="59" t="s">
        <v>483</v>
      </c>
      <c r="B14" s="59" t="s">
        <v>84</v>
      </c>
      <c r="C14" s="59">
        <v>0</v>
      </c>
      <c r="D14" s="59">
        <v>1.6E-2</v>
      </c>
      <c r="E14">
        <f t="shared" si="0"/>
        <v>1.2800000000000001E-2</v>
      </c>
      <c r="F14">
        <f t="shared" si="1"/>
        <v>8.0000000000000002E-3</v>
      </c>
      <c r="G14">
        <f t="shared" si="2"/>
        <v>1.6000000000000001E-3</v>
      </c>
    </row>
    <row r="15" spans="1:10" ht="14.45" customHeight="1">
      <c r="A15" s="59" t="s">
        <v>483</v>
      </c>
      <c r="B15" s="59" t="s">
        <v>81</v>
      </c>
      <c r="C15" s="67">
        <v>6.0099999999999997E-3</v>
      </c>
      <c r="D15" s="59">
        <v>7.8399999999999997E-3</v>
      </c>
      <c r="E15">
        <f t="shared" si="0"/>
        <v>6.2719999999999998E-3</v>
      </c>
      <c r="F15">
        <f t="shared" si="1"/>
        <v>3.9199999999999999E-3</v>
      </c>
      <c r="G15">
        <f t="shared" si="2"/>
        <v>7.8399999999999997E-4</v>
      </c>
      <c r="H15" s="5"/>
      <c r="I15" s="5"/>
      <c r="J15" s="5"/>
    </row>
    <row r="16" spans="1:10" ht="14.45" customHeight="1">
      <c r="A16" s="59" t="s">
        <v>483</v>
      </c>
      <c r="B16" s="59" t="s">
        <v>90</v>
      </c>
      <c r="C16" s="59">
        <v>2.3999999999999998E-3</v>
      </c>
      <c r="D16" s="59">
        <v>2.3999999999999998E-3</v>
      </c>
      <c r="E16">
        <f t="shared" si="0"/>
        <v>1.9199999999999998E-3</v>
      </c>
      <c r="F16">
        <f t="shared" si="1"/>
        <v>1.1999999999999999E-3</v>
      </c>
      <c r="G16">
        <f t="shared" si="2"/>
        <v>2.3999999999999998E-4</v>
      </c>
      <c r="H16" s="5"/>
      <c r="I16" s="5"/>
      <c r="J16" s="5"/>
    </row>
    <row r="17" spans="1:10" ht="14.45" customHeight="1">
      <c r="A17" s="59" t="s">
        <v>483</v>
      </c>
      <c r="B17" s="59" t="s">
        <v>150</v>
      </c>
      <c r="C17" s="59">
        <v>2.1199999999999999E-3</v>
      </c>
      <c r="D17" s="59">
        <v>1.4E-3</v>
      </c>
      <c r="E17">
        <f t="shared" si="0"/>
        <v>1.1200000000000001E-3</v>
      </c>
      <c r="F17">
        <f t="shared" si="1"/>
        <v>6.9999999999999999E-4</v>
      </c>
      <c r="G17">
        <f t="shared" si="2"/>
        <v>1.4000000000000001E-4</v>
      </c>
      <c r="H17" s="5"/>
      <c r="I17" s="5"/>
    </row>
    <row r="18" spans="1:10" ht="14.45" customHeight="1">
      <c r="A18" s="59" t="s">
        <v>484</v>
      </c>
      <c r="B18" s="59" t="s">
        <v>84</v>
      </c>
      <c r="C18" s="59">
        <v>5.7800000000000004E-3</v>
      </c>
      <c r="D18" s="59">
        <v>0</v>
      </c>
      <c r="E18">
        <f t="shared" si="0"/>
        <v>0</v>
      </c>
      <c r="F18">
        <f t="shared" si="1"/>
        <v>0</v>
      </c>
      <c r="G18">
        <f t="shared" si="2"/>
        <v>0</v>
      </c>
      <c r="H18" s="5"/>
      <c r="I18" s="5"/>
      <c r="J18" s="5"/>
    </row>
    <row r="19" spans="1:10" ht="14.45" customHeight="1">
      <c r="A19" s="59" t="s">
        <v>484</v>
      </c>
      <c r="B19" s="59" t="s">
        <v>81</v>
      </c>
      <c r="C19" s="59">
        <v>6.4000000000000003E-3</v>
      </c>
      <c r="D19" s="59">
        <v>6.3699999999999998E-3</v>
      </c>
      <c r="E19">
        <f t="shared" si="0"/>
        <v>5.0959999999999998E-3</v>
      </c>
      <c r="F19">
        <f t="shared" si="1"/>
        <v>3.1849999999999999E-3</v>
      </c>
      <c r="G19">
        <f t="shared" si="2"/>
        <v>6.3699999999999998E-4</v>
      </c>
      <c r="H19" s="5"/>
      <c r="I19" s="5"/>
      <c r="J19" s="5"/>
    </row>
    <row r="20" spans="1:10" ht="14.45" customHeight="1">
      <c r="A20" s="59" t="s">
        <v>484</v>
      </c>
      <c r="B20" s="59" t="s">
        <v>90</v>
      </c>
      <c r="C20" s="59">
        <v>7.9699999999999997E-3</v>
      </c>
      <c r="D20" s="59">
        <v>7.9699999999999997E-3</v>
      </c>
      <c r="E20">
        <f t="shared" si="0"/>
        <v>6.3759999999999997E-3</v>
      </c>
      <c r="F20">
        <f t="shared" si="1"/>
        <v>3.9849999999999998E-3</v>
      </c>
      <c r="G20">
        <f t="shared" si="2"/>
        <v>7.9699999999999997E-4</v>
      </c>
    </row>
    <row r="21" spans="1:10" ht="14.45" customHeight="1">
      <c r="A21" s="59" t="s">
        <v>484</v>
      </c>
      <c r="B21" s="59" t="s">
        <v>92</v>
      </c>
      <c r="C21" s="59">
        <v>1.4500000000000001E-2</v>
      </c>
      <c r="D21" s="59">
        <v>1.4500000000000001E-2</v>
      </c>
      <c r="E21">
        <f t="shared" si="0"/>
        <v>1.1600000000000001E-2</v>
      </c>
      <c r="F21">
        <f t="shared" si="1"/>
        <v>7.2500000000000004E-3</v>
      </c>
      <c r="G21">
        <f t="shared" si="2"/>
        <v>1.4500000000000001E-3</v>
      </c>
    </row>
    <row r="22" spans="1:10" ht="14.45" customHeight="1">
      <c r="A22" s="59" t="s">
        <v>484</v>
      </c>
      <c r="B22" s="59" t="s">
        <v>150</v>
      </c>
      <c r="C22" s="59">
        <v>7.7999999999999999E-4</v>
      </c>
      <c r="D22" s="59">
        <v>7.7999999999999999E-4</v>
      </c>
      <c r="E22">
        <f t="shared" si="0"/>
        <v>6.2399999999999999E-4</v>
      </c>
      <c r="F22">
        <f t="shared" si="1"/>
        <v>3.8999999999999999E-4</v>
      </c>
      <c r="G22">
        <f t="shared" si="2"/>
        <v>7.7999999999999999E-5</v>
      </c>
    </row>
    <row r="23" spans="1:10" ht="14.45" customHeight="1">
      <c r="A23" s="59" t="s">
        <v>485</v>
      </c>
      <c r="B23" s="59" t="s">
        <v>84</v>
      </c>
      <c r="C23" s="59">
        <v>0</v>
      </c>
      <c r="D23" s="59">
        <v>0</v>
      </c>
      <c r="E23">
        <f t="shared" si="0"/>
        <v>0</v>
      </c>
      <c r="F23">
        <f t="shared" si="1"/>
        <v>0</v>
      </c>
      <c r="G23">
        <f t="shared" si="2"/>
        <v>0</v>
      </c>
    </row>
    <row r="24" spans="1:10" ht="14.45" customHeight="1">
      <c r="A24" s="59" t="s">
        <v>485</v>
      </c>
      <c r="B24" s="59" t="s">
        <v>81</v>
      </c>
      <c r="C24" s="59">
        <v>2.1940000000000001E-2</v>
      </c>
      <c r="D24" s="59">
        <v>2.5649999999999999E-2</v>
      </c>
      <c r="E24">
        <f t="shared" si="0"/>
        <v>2.052E-2</v>
      </c>
      <c r="F24">
        <f t="shared" si="1"/>
        <v>1.2825E-2</v>
      </c>
      <c r="G24">
        <f t="shared" si="2"/>
        <v>2.565E-3</v>
      </c>
    </row>
    <row r="25" spans="1:10" ht="14.45" customHeight="1">
      <c r="A25" s="59" t="s">
        <v>485</v>
      </c>
      <c r="B25" s="59" t="s">
        <v>49</v>
      </c>
      <c r="C25" s="59">
        <v>0.3276</v>
      </c>
      <c r="D25" s="59">
        <v>0.29199999999999998</v>
      </c>
      <c r="E25">
        <f t="shared" si="0"/>
        <v>0.2336</v>
      </c>
      <c r="F25">
        <f t="shared" si="1"/>
        <v>0.14599999999999999</v>
      </c>
      <c r="G25">
        <f t="shared" si="2"/>
        <v>2.92E-2</v>
      </c>
    </row>
    <row r="26" spans="1:10" ht="14.45" customHeight="1">
      <c r="A26" s="59" t="s">
        <v>485</v>
      </c>
      <c r="B26" s="59" t="s">
        <v>150</v>
      </c>
      <c r="C26" s="59">
        <v>2.2599999999999999E-3</v>
      </c>
      <c r="D26" s="67">
        <v>2.3E-3</v>
      </c>
      <c r="E26">
        <f t="shared" si="0"/>
        <v>1.8400000000000001E-3</v>
      </c>
      <c r="F26">
        <f t="shared" si="1"/>
        <v>1.15E-3</v>
      </c>
      <c r="G26">
        <f t="shared" si="2"/>
        <v>2.3000000000000001E-4</v>
      </c>
      <c r="H26" s="5"/>
      <c r="I26" s="5"/>
      <c r="J26" s="5"/>
    </row>
    <row r="27" spans="1:10" ht="14.45" customHeight="1">
      <c r="A27" s="59" t="s">
        <v>486</v>
      </c>
      <c r="B27" s="59" t="s">
        <v>90</v>
      </c>
      <c r="C27" s="59">
        <v>2.0000000000000001E-4</v>
      </c>
      <c r="D27" s="59">
        <v>2.0000000000000001E-4</v>
      </c>
      <c r="E27">
        <f t="shared" si="0"/>
        <v>1.6000000000000001E-4</v>
      </c>
      <c r="F27">
        <f t="shared" si="1"/>
        <v>1E-4</v>
      </c>
      <c r="G27">
        <f t="shared" si="2"/>
        <v>2.0000000000000002E-5</v>
      </c>
    </row>
    <row r="28" spans="1:10" ht="14.45" customHeight="1">
      <c r="A28" s="59" t="s">
        <v>486</v>
      </c>
      <c r="B28" s="59" t="s">
        <v>84</v>
      </c>
      <c r="C28" s="59">
        <v>6.77E-3</v>
      </c>
      <c r="D28" s="59">
        <v>1.34E-2</v>
      </c>
      <c r="E28">
        <f t="shared" si="0"/>
        <v>1.072E-2</v>
      </c>
      <c r="F28">
        <f t="shared" si="1"/>
        <v>6.7000000000000002E-3</v>
      </c>
      <c r="G28">
        <f t="shared" si="2"/>
        <v>1.34E-3</v>
      </c>
    </row>
    <row r="29" spans="1:10" ht="14.45" customHeight="1">
      <c r="A29" s="59" t="s">
        <v>486</v>
      </c>
      <c r="B29" s="59" t="s">
        <v>81</v>
      </c>
      <c r="C29" s="59">
        <v>2.445E-2</v>
      </c>
      <c r="D29" s="59">
        <v>2.4639999999999999E-2</v>
      </c>
      <c r="E29">
        <f t="shared" si="0"/>
        <v>1.9712E-2</v>
      </c>
      <c r="F29">
        <f t="shared" si="1"/>
        <v>1.2319999999999999E-2</v>
      </c>
      <c r="G29">
        <f t="shared" si="2"/>
        <v>2.464E-3</v>
      </c>
    </row>
    <row r="30" spans="1:10" ht="14.45" customHeight="1">
      <c r="A30" s="59" t="s">
        <v>486</v>
      </c>
      <c r="B30" s="59" t="s">
        <v>94</v>
      </c>
      <c r="C30" s="46">
        <v>5.1700000000000003E-2</v>
      </c>
      <c r="D30" s="46">
        <v>5.1700000000000003E-2</v>
      </c>
      <c r="E30">
        <f t="shared" si="0"/>
        <v>4.1360000000000008E-2</v>
      </c>
      <c r="F30">
        <f t="shared" si="1"/>
        <v>2.5850000000000001E-2</v>
      </c>
      <c r="G30">
        <f t="shared" si="2"/>
        <v>5.170000000000001E-3</v>
      </c>
    </row>
    <row r="31" spans="1:10" ht="14.45" customHeight="1">
      <c r="A31" s="59" t="s">
        <v>486</v>
      </c>
      <c r="B31" s="59" t="s">
        <v>150</v>
      </c>
      <c r="C31" s="46">
        <v>4.1300000000000003E-2</v>
      </c>
      <c r="D31" s="46">
        <v>4.1300000000000003E-2</v>
      </c>
      <c r="E31">
        <f t="shared" si="0"/>
        <v>3.3040000000000007E-2</v>
      </c>
      <c r="F31">
        <f t="shared" si="1"/>
        <v>2.0650000000000002E-2</v>
      </c>
      <c r="G31">
        <f t="shared" si="2"/>
        <v>4.1300000000000009E-3</v>
      </c>
    </row>
    <row r="32" spans="1:10" ht="14.45" customHeight="1">
      <c r="A32" s="59" t="s">
        <v>487</v>
      </c>
      <c r="B32" s="59" t="s">
        <v>84</v>
      </c>
      <c r="C32" s="59">
        <v>4.3400000000000001E-3</v>
      </c>
      <c r="D32" s="59">
        <v>9.9000000000000008E-3</v>
      </c>
      <c r="E32">
        <f t="shared" si="0"/>
        <v>7.9200000000000017E-3</v>
      </c>
      <c r="F32">
        <f t="shared" si="1"/>
        <v>4.9500000000000004E-3</v>
      </c>
      <c r="G32">
        <f t="shared" si="2"/>
        <v>9.9000000000000021E-4</v>
      </c>
    </row>
    <row r="33" spans="1:12" ht="14.45" customHeight="1">
      <c r="A33" s="59" t="s">
        <v>487</v>
      </c>
      <c r="B33" s="59" t="s">
        <v>81</v>
      </c>
      <c r="C33" s="59">
        <v>9.3900000000000008E-3</v>
      </c>
      <c r="D33" s="59">
        <v>1.511E-2</v>
      </c>
      <c r="E33">
        <f t="shared" si="0"/>
        <v>1.2088000000000002E-2</v>
      </c>
      <c r="F33">
        <f t="shared" si="1"/>
        <v>7.5550000000000001E-3</v>
      </c>
      <c r="G33">
        <f t="shared" si="2"/>
        <v>1.5110000000000002E-3</v>
      </c>
    </row>
    <row r="34" spans="1:12" ht="14.45" customHeight="1">
      <c r="A34" s="59" t="s">
        <v>480</v>
      </c>
      <c r="B34" s="59" t="s">
        <v>215</v>
      </c>
      <c r="C34" s="59">
        <v>1.6492574085014285E-3</v>
      </c>
      <c r="D34" s="59">
        <v>1.6492574085014285E-3</v>
      </c>
      <c r="E34" s="38">
        <v>1.3194059268011428E-3</v>
      </c>
      <c r="F34">
        <v>6.5970296340057142E-4</v>
      </c>
      <c r="G34" s="38">
        <v>1.6492574085014285E-4</v>
      </c>
      <c r="H34" s="38">
        <v>0</v>
      </c>
      <c r="I34" s="38">
        <v>0</v>
      </c>
      <c r="J34" s="38">
        <v>0</v>
      </c>
    </row>
    <row r="35" spans="1:12" ht="14.45" customHeight="1">
      <c r="A35" s="59" t="s">
        <v>481</v>
      </c>
      <c r="B35" s="59" t="s">
        <v>215</v>
      </c>
      <c r="C35" s="59">
        <v>2.2165524251281505E-4</v>
      </c>
      <c r="D35" s="59">
        <v>2.2165524251281505E-4</v>
      </c>
      <c r="E35" s="38">
        <v>1.7732419401025206E-4</v>
      </c>
      <c r="F35">
        <v>8.8662097005126031E-5</v>
      </c>
      <c r="G35" s="38">
        <v>2.2165524251281508E-5</v>
      </c>
      <c r="H35" s="38">
        <v>0</v>
      </c>
      <c r="I35" s="38">
        <v>0</v>
      </c>
      <c r="J35" s="38">
        <v>0</v>
      </c>
    </row>
    <row r="36" spans="1:12" ht="14.45" customHeight="1">
      <c r="A36" s="59" t="s">
        <v>482</v>
      </c>
      <c r="B36" s="59" t="s">
        <v>215</v>
      </c>
      <c r="C36" s="59">
        <v>3.9269507699372333E-4</v>
      </c>
      <c r="D36" s="59">
        <v>3.9269507699372333E-4</v>
      </c>
      <c r="E36" s="38">
        <v>3.1415606159497869E-4</v>
      </c>
      <c r="F36">
        <v>1.5707803079748934E-4</v>
      </c>
      <c r="G36" s="38">
        <v>3.9269507699372336E-5</v>
      </c>
      <c r="H36" s="38">
        <v>0</v>
      </c>
      <c r="I36" s="38">
        <v>0</v>
      </c>
      <c r="J36" s="38">
        <v>0</v>
      </c>
    </row>
    <row r="37" spans="1:12" ht="14.45" customHeight="1">
      <c r="A37" s="59" t="s">
        <v>484</v>
      </c>
      <c r="B37" s="59" t="s">
        <v>215</v>
      </c>
      <c r="C37" s="59">
        <v>1.1980218198328814E-2</v>
      </c>
      <c r="D37" s="59">
        <v>1.1980218198328814E-2</v>
      </c>
      <c r="E37" s="38">
        <v>9.5841745586630524E-3</v>
      </c>
      <c r="F37">
        <v>4.7920872793315262E-3</v>
      </c>
      <c r="G37" s="38">
        <v>1.1980218198328816E-3</v>
      </c>
      <c r="H37" s="38">
        <v>0</v>
      </c>
      <c r="I37" s="38">
        <v>0</v>
      </c>
      <c r="J37" s="38">
        <v>0</v>
      </c>
    </row>
    <row r="38" spans="1:12" ht="14.45" customHeight="1">
      <c r="A38" s="59" t="s">
        <v>483</v>
      </c>
      <c r="B38" s="59" t="s">
        <v>215</v>
      </c>
      <c r="C38" s="59">
        <v>1.1754848063483384E-2</v>
      </c>
      <c r="D38" s="59">
        <v>1.1754848063483384E-2</v>
      </c>
      <c r="E38" s="38">
        <v>9.4038784507867075E-3</v>
      </c>
      <c r="F38">
        <v>4.7019392253933538E-3</v>
      </c>
      <c r="G38" s="38">
        <v>1.1754848063483384E-3</v>
      </c>
      <c r="H38" s="38">
        <v>0</v>
      </c>
      <c r="I38" s="38">
        <v>0</v>
      </c>
      <c r="J38" s="38">
        <v>0</v>
      </c>
    </row>
    <row r="39" spans="1:12" ht="14.45" customHeight="1">
      <c r="A39" s="59" t="s">
        <v>485</v>
      </c>
      <c r="B39" s="59" t="s">
        <v>215</v>
      </c>
      <c r="C39" s="59">
        <v>1.5429960090705287E-2</v>
      </c>
      <c r="D39" s="59">
        <v>1.5429960090705287E-2</v>
      </c>
      <c r="E39" s="38">
        <v>1.2343968072564229E-2</v>
      </c>
      <c r="F39">
        <v>6.1719840362821146E-3</v>
      </c>
      <c r="G39" s="38">
        <v>1.5429960090705287E-3</v>
      </c>
      <c r="H39" s="38">
        <v>0</v>
      </c>
      <c r="I39" s="38">
        <v>0</v>
      </c>
      <c r="J39" s="38">
        <v>0</v>
      </c>
      <c r="L39" s="16"/>
    </row>
    <row r="40" spans="1:12" ht="14.45" customHeight="1">
      <c r="A40" s="59" t="s">
        <v>486</v>
      </c>
      <c r="B40" s="59" t="s">
        <v>215</v>
      </c>
      <c r="C40" s="59">
        <v>8.8496474721963536E-3</v>
      </c>
      <c r="D40" s="59">
        <v>8.8496474721963536E-3</v>
      </c>
      <c r="E40" s="38">
        <v>7.0797179777570829E-3</v>
      </c>
      <c r="F40">
        <v>3.5398589888785414E-3</v>
      </c>
      <c r="G40" s="38">
        <v>8.8496474721963536E-4</v>
      </c>
      <c r="H40" s="38">
        <v>0</v>
      </c>
      <c r="I40" s="38">
        <v>0</v>
      </c>
      <c r="J40" s="38">
        <v>0</v>
      </c>
    </row>
    <row r="41" spans="1:12" ht="14.45" customHeight="1">
      <c r="A41" t="s">
        <v>487</v>
      </c>
      <c r="B41" t="s">
        <v>215</v>
      </c>
      <c r="C41">
        <v>9.7217184472781961E-3</v>
      </c>
      <c r="D41" s="59">
        <v>9.7217184472781961E-3</v>
      </c>
      <c r="E41" s="38">
        <v>7.7773747578225574E-3</v>
      </c>
      <c r="F41">
        <v>3.8886873789112787E-3</v>
      </c>
      <c r="G41" s="38">
        <v>9.7217184472781968E-4</v>
      </c>
      <c r="H41" s="38">
        <v>0</v>
      </c>
      <c r="I41" s="38">
        <v>0</v>
      </c>
      <c r="J41" s="38">
        <v>0</v>
      </c>
    </row>
    <row r="42" spans="1:12" ht="14.45" customHeight="1">
      <c r="A42" t="s">
        <v>480</v>
      </c>
      <c r="B42" t="s">
        <v>156</v>
      </c>
      <c r="C42">
        <v>3.6</v>
      </c>
      <c r="D42">
        <v>3.6</v>
      </c>
      <c r="E42">
        <v>3.6</v>
      </c>
      <c r="F42">
        <v>3.6</v>
      </c>
      <c r="G42">
        <v>3.6</v>
      </c>
      <c r="H42">
        <v>3.6</v>
      </c>
      <c r="I42">
        <v>3.6</v>
      </c>
      <c r="J42">
        <v>3.6</v>
      </c>
    </row>
    <row r="43" spans="1:12" ht="14.45" customHeight="1">
      <c r="A43" t="s">
        <v>481</v>
      </c>
      <c r="B43" t="s">
        <v>156</v>
      </c>
      <c r="C43">
        <v>0.24</v>
      </c>
      <c r="D43">
        <v>0.24</v>
      </c>
      <c r="E43">
        <v>0.24</v>
      </c>
      <c r="F43">
        <v>0.24</v>
      </c>
      <c r="G43">
        <v>0.24</v>
      </c>
      <c r="H43">
        <v>0.24</v>
      </c>
      <c r="I43">
        <v>0.24</v>
      </c>
      <c r="J43">
        <v>0.24</v>
      </c>
    </row>
    <row r="44" spans="1:12" ht="14.45" customHeight="1">
      <c r="A44" t="s">
        <v>482</v>
      </c>
      <c r="B44" t="s">
        <v>156</v>
      </c>
      <c r="C44">
        <v>0.24</v>
      </c>
      <c r="D44">
        <v>0.24</v>
      </c>
      <c r="E44">
        <v>0.24</v>
      </c>
      <c r="F44">
        <v>0.24</v>
      </c>
      <c r="G44">
        <v>0.24</v>
      </c>
      <c r="H44">
        <v>0.24</v>
      </c>
      <c r="I44">
        <v>0.24</v>
      </c>
      <c r="J44">
        <v>0.24</v>
      </c>
    </row>
    <row r="45" spans="1:12" ht="14.45" customHeight="1">
      <c r="A45" t="s">
        <v>483</v>
      </c>
      <c r="B45" t="s">
        <v>156</v>
      </c>
      <c r="C45">
        <v>22.39</v>
      </c>
      <c r="D45">
        <v>22.39</v>
      </c>
      <c r="E45">
        <v>22.39</v>
      </c>
      <c r="F45">
        <v>22.39</v>
      </c>
      <c r="G45">
        <v>22.39</v>
      </c>
      <c r="H45">
        <v>22.39</v>
      </c>
      <c r="I45">
        <v>22.39</v>
      </c>
      <c r="J45">
        <v>22.39</v>
      </c>
    </row>
    <row r="46" spans="1:12" ht="14.45" customHeight="1">
      <c r="A46" t="s">
        <v>484</v>
      </c>
      <c r="B46" t="s">
        <v>156</v>
      </c>
      <c r="C46">
        <v>18.829999999999998</v>
      </c>
      <c r="D46">
        <v>18.829999999999998</v>
      </c>
      <c r="E46">
        <v>18.829999999999998</v>
      </c>
      <c r="F46">
        <v>18.829999999999998</v>
      </c>
      <c r="G46">
        <v>18.829999999999998</v>
      </c>
      <c r="H46">
        <v>18.829999999999998</v>
      </c>
      <c r="I46">
        <v>18.829999999999998</v>
      </c>
      <c r="J46">
        <v>18.829999999999998</v>
      </c>
      <c r="L46" s="16"/>
    </row>
    <row r="47" spans="1:12" ht="14.45" customHeight="1">
      <c r="A47" t="s">
        <v>485</v>
      </c>
      <c r="B47" t="s">
        <v>156</v>
      </c>
      <c r="C47">
        <v>21.85</v>
      </c>
      <c r="D47">
        <v>21.85</v>
      </c>
      <c r="E47">
        <v>21.85</v>
      </c>
      <c r="F47">
        <v>21.85</v>
      </c>
      <c r="G47">
        <v>21.85</v>
      </c>
      <c r="H47">
        <v>21.85</v>
      </c>
      <c r="I47">
        <v>21.85</v>
      </c>
      <c r="J47">
        <v>21.85</v>
      </c>
    </row>
    <row r="48" spans="1:12" ht="14.45" customHeight="1">
      <c r="A48" t="s">
        <v>486</v>
      </c>
      <c r="B48" t="s">
        <v>156</v>
      </c>
      <c r="C48">
        <v>20.56</v>
      </c>
      <c r="D48">
        <v>20.56</v>
      </c>
      <c r="E48">
        <v>20.56</v>
      </c>
      <c r="F48">
        <v>20.56</v>
      </c>
      <c r="G48">
        <v>20.56</v>
      </c>
      <c r="H48">
        <v>20.56</v>
      </c>
      <c r="I48">
        <v>20.56</v>
      </c>
      <c r="J48">
        <v>20.56</v>
      </c>
    </row>
    <row r="49" spans="1:10" ht="14.45" customHeight="1">
      <c r="A49" t="s">
        <v>487</v>
      </c>
      <c r="B49" t="s">
        <v>156</v>
      </c>
      <c r="C49">
        <v>15.67</v>
      </c>
      <c r="D49">
        <v>15.67</v>
      </c>
      <c r="E49">
        <v>15.67</v>
      </c>
      <c r="F49">
        <v>15.67</v>
      </c>
      <c r="G49">
        <v>15.67</v>
      </c>
      <c r="H49">
        <v>15.67</v>
      </c>
      <c r="I49">
        <v>15.67</v>
      </c>
      <c r="J49">
        <v>15.67</v>
      </c>
    </row>
    <row r="50" spans="1:10" ht="14.45" customHeight="1">
      <c r="A50" t="s">
        <v>480</v>
      </c>
      <c r="B50" t="s">
        <v>157</v>
      </c>
      <c r="C50">
        <v>3.6</v>
      </c>
      <c r="D50">
        <v>3.6</v>
      </c>
      <c r="E50">
        <v>3.6</v>
      </c>
      <c r="F50">
        <v>3.6</v>
      </c>
      <c r="G50">
        <v>3.6</v>
      </c>
      <c r="H50">
        <v>3.6</v>
      </c>
      <c r="I50">
        <v>3.6</v>
      </c>
      <c r="J50">
        <v>3.6</v>
      </c>
    </row>
    <row r="51" spans="1:10" ht="14.45" customHeight="1">
      <c r="A51" t="s">
        <v>481</v>
      </c>
      <c r="B51" t="s">
        <v>157</v>
      </c>
      <c r="C51">
        <v>0.24</v>
      </c>
      <c r="D51">
        <v>0.24</v>
      </c>
      <c r="E51">
        <v>0.24</v>
      </c>
      <c r="F51">
        <v>0.24</v>
      </c>
      <c r="G51">
        <v>0.24</v>
      </c>
      <c r="H51">
        <v>0.24</v>
      </c>
      <c r="I51">
        <v>0.24</v>
      </c>
      <c r="J51">
        <v>0.24</v>
      </c>
    </row>
    <row r="52" spans="1:10" ht="14.45" customHeight="1">
      <c r="A52" t="s">
        <v>482</v>
      </c>
      <c r="B52" t="s">
        <v>157</v>
      </c>
      <c r="C52">
        <v>0.24</v>
      </c>
      <c r="D52">
        <v>0.24</v>
      </c>
      <c r="E52">
        <v>0.24</v>
      </c>
      <c r="F52">
        <v>0.24</v>
      </c>
      <c r="G52">
        <v>0.24</v>
      </c>
      <c r="H52">
        <v>0.24</v>
      </c>
      <c r="I52">
        <v>0.24</v>
      </c>
      <c r="J52">
        <v>0.24</v>
      </c>
    </row>
    <row r="53" spans="1:10" ht="14.45" customHeight="1">
      <c r="A53" t="s">
        <v>483</v>
      </c>
      <c r="B53" t="s">
        <v>157</v>
      </c>
      <c r="C53">
        <v>22.39</v>
      </c>
      <c r="D53">
        <v>22.39</v>
      </c>
      <c r="E53">
        <v>22.39</v>
      </c>
      <c r="F53">
        <v>22.39</v>
      </c>
      <c r="G53">
        <v>22.39</v>
      </c>
      <c r="H53">
        <v>22.39</v>
      </c>
      <c r="I53">
        <v>22.39</v>
      </c>
      <c r="J53">
        <v>22.39</v>
      </c>
    </row>
    <row r="54" spans="1:10" ht="14.45" customHeight="1">
      <c r="A54" t="s">
        <v>484</v>
      </c>
      <c r="B54" t="s">
        <v>157</v>
      </c>
      <c r="C54">
        <v>18.829999999999998</v>
      </c>
      <c r="D54">
        <v>18.829999999999998</v>
      </c>
      <c r="E54">
        <v>18.829999999999998</v>
      </c>
      <c r="F54">
        <v>18.829999999999998</v>
      </c>
      <c r="G54">
        <v>18.829999999999998</v>
      </c>
      <c r="H54">
        <v>18.829999999999998</v>
      </c>
      <c r="I54">
        <v>18.829999999999998</v>
      </c>
      <c r="J54">
        <v>18.829999999999998</v>
      </c>
    </row>
    <row r="55" spans="1:10" ht="14.45" customHeight="1">
      <c r="A55" t="s">
        <v>485</v>
      </c>
      <c r="B55" t="s">
        <v>157</v>
      </c>
      <c r="C55">
        <v>21.85</v>
      </c>
      <c r="D55">
        <v>21.85</v>
      </c>
      <c r="E55">
        <v>21.85</v>
      </c>
      <c r="F55">
        <v>21.85</v>
      </c>
      <c r="G55">
        <v>21.85</v>
      </c>
      <c r="H55">
        <v>21.85</v>
      </c>
      <c r="I55">
        <v>21.85</v>
      </c>
      <c r="J55">
        <v>21.85</v>
      </c>
    </row>
    <row r="56" spans="1:10" ht="14.45" customHeight="1">
      <c r="A56" t="s">
        <v>486</v>
      </c>
      <c r="B56" t="s">
        <v>157</v>
      </c>
      <c r="C56">
        <v>20.56</v>
      </c>
      <c r="D56">
        <v>20.56</v>
      </c>
      <c r="E56">
        <v>20.56</v>
      </c>
      <c r="F56">
        <v>20.56</v>
      </c>
      <c r="G56">
        <v>20.56</v>
      </c>
      <c r="H56">
        <v>20.56</v>
      </c>
      <c r="I56">
        <v>20.56</v>
      </c>
      <c r="J56">
        <v>20.56</v>
      </c>
    </row>
    <row r="57" spans="1:10" ht="14.45" customHeight="1">
      <c r="A57" t="s">
        <v>487</v>
      </c>
      <c r="B57" t="s">
        <v>157</v>
      </c>
      <c r="C57">
        <v>15.67</v>
      </c>
      <c r="D57">
        <v>15.67</v>
      </c>
      <c r="E57">
        <v>15.67</v>
      </c>
      <c r="F57">
        <v>15.67</v>
      </c>
      <c r="G57">
        <v>15.67</v>
      </c>
      <c r="H57">
        <v>15.67</v>
      </c>
      <c r="I57">
        <v>15.67</v>
      </c>
      <c r="J57">
        <v>15.67</v>
      </c>
    </row>
    <row r="58" spans="1:10" ht="14.45" customHeight="1">
      <c r="A58" s="5"/>
      <c r="B58" s="5"/>
      <c r="C58" s="5"/>
    </row>
    <row r="59" spans="1:10" ht="14.45" customHeight="1">
      <c r="A59" s="5"/>
      <c r="B59" s="5"/>
      <c r="C59" s="5"/>
    </row>
    <row r="60" spans="1:10" ht="14.45" customHeight="1">
      <c r="A60" s="5"/>
      <c r="B60" s="5"/>
      <c r="C60" s="5"/>
    </row>
    <row r="61" spans="1:10" ht="14.45" customHeight="1">
      <c r="A61" s="5"/>
      <c r="B61" s="5"/>
      <c r="C61" s="5"/>
    </row>
    <row r="62" spans="1:10" ht="14.45" customHeight="1">
      <c r="B62" s="9"/>
    </row>
    <row r="63" spans="1:10" ht="14.45" customHeight="1">
      <c r="B63" s="9"/>
    </row>
    <row r="64" spans="1:10" ht="14.45" customHeight="1">
      <c r="B64" s="9"/>
    </row>
    <row r="65" spans="2:12" ht="14.45" customHeight="1"/>
    <row r="66" spans="2:12" ht="14.45" customHeight="1">
      <c r="H66" s="5"/>
      <c r="I66" s="5"/>
      <c r="J66" s="5"/>
    </row>
    <row r="67" spans="2:12" ht="14.45" customHeight="1"/>
    <row r="68" spans="2:12" ht="14.45" customHeight="1">
      <c r="L68" s="16"/>
    </row>
    <row r="69" spans="2:12" ht="14.45" customHeight="1"/>
    <row r="70" spans="2:12" ht="14.45" customHeight="1"/>
    <row r="71" spans="2:12" ht="14.45" customHeight="1"/>
    <row r="72" spans="2:12" ht="14.45" customHeight="1"/>
    <row r="73" spans="2:12" ht="14.45" customHeight="1"/>
    <row r="74" spans="2:12" ht="14.45" customHeight="1"/>
    <row r="75" spans="2:12" ht="14.45" customHeight="1"/>
    <row r="76" spans="2:12" ht="14.45" customHeight="1"/>
    <row r="77" spans="2:12" ht="14.45" customHeight="1">
      <c r="H77" s="5"/>
      <c r="I77" s="5"/>
      <c r="J77" s="5"/>
    </row>
    <row r="78" spans="2:12" ht="14.45" customHeight="1">
      <c r="H78" s="5"/>
      <c r="I78" s="5"/>
      <c r="J78" s="5"/>
    </row>
    <row r="79" spans="2:12" ht="14.45" customHeight="1">
      <c r="H79" s="5"/>
      <c r="I79" s="5"/>
      <c r="J79" s="5"/>
    </row>
    <row r="80" spans="2:12" ht="14.45" customHeight="1">
      <c r="B80" s="5"/>
      <c r="C80" s="5"/>
      <c r="D80" s="5"/>
      <c r="E80" s="5"/>
      <c r="F80" s="5"/>
      <c r="G80" s="5"/>
      <c r="H80" s="5"/>
      <c r="I80" s="5"/>
      <c r="J80" s="5"/>
    </row>
    <row r="81" spans="1:12" ht="14.45" customHeight="1">
      <c r="B81" s="5"/>
      <c r="C81" s="5"/>
      <c r="D81" s="5"/>
      <c r="E81" s="5"/>
      <c r="F81" s="5"/>
      <c r="G81" s="5"/>
      <c r="H81" s="5"/>
      <c r="I81" s="5"/>
      <c r="J81" s="5"/>
    </row>
    <row r="82" spans="1:12" ht="14.45" customHeight="1">
      <c r="B82" s="5"/>
      <c r="C82" s="5"/>
      <c r="D82" s="5"/>
      <c r="E82" s="5"/>
      <c r="F82" s="5"/>
      <c r="G82" s="5"/>
      <c r="H82" s="5"/>
      <c r="I82" s="5"/>
      <c r="J82" s="5"/>
    </row>
    <row r="83" spans="1:12" ht="14.45" customHeight="1">
      <c r="B83" s="5"/>
      <c r="C83" s="5"/>
      <c r="D83" s="5"/>
      <c r="E83" s="5"/>
      <c r="F83" s="5"/>
      <c r="G83" s="5"/>
      <c r="H83" s="5"/>
      <c r="I83" s="5"/>
      <c r="J83" s="5"/>
    </row>
    <row r="84" spans="1:12" ht="14.45" customHeight="1">
      <c r="B84" s="5"/>
      <c r="C84" s="5"/>
      <c r="D84" s="5"/>
      <c r="E84" s="5"/>
      <c r="F84" s="5"/>
      <c r="G84" s="5"/>
      <c r="H84" s="5"/>
      <c r="I84" s="5"/>
      <c r="J84" s="5"/>
    </row>
    <row r="85" spans="1:12" ht="14.45" customHeight="1">
      <c r="B85" s="5"/>
      <c r="C85" s="5"/>
      <c r="D85" s="5"/>
      <c r="E85" s="5"/>
      <c r="F85" s="5"/>
      <c r="G85" s="5"/>
      <c r="H85" s="5"/>
      <c r="I85" s="5"/>
      <c r="J85" s="5"/>
    </row>
    <row r="86" spans="1:12" ht="14.45" customHeight="1">
      <c r="B86" s="5"/>
      <c r="C86" s="5"/>
      <c r="D86" s="5"/>
      <c r="E86" s="5"/>
      <c r="F86" s="5"/>
      <c r="G86" s="5"/>
      <c r="H86" s="5"/>
      <c r="I86" s="5"/>
    </row>
    <row r="87" spans="1:12" ht="14.45" customHeight="1">
      <c r="B87" s="5"/>
      <c r="C87" s="5"/>
      <c r="D87" s="5"/>
      <c r="E87" s="5"/>
      <c r="F87" s="5"/>
      <c r="G87" s="5"/>
      <c r="H87" s="5"/>
      <c r="I87" s="5"/>
    </row>
    <row r="88" spans="1:12" ht="14.45" customHeight="1">
      <c r="B88" s="5"/>
      <c r="C88" s="5"/>
      <c r="D88" s="5"/>
      <c r="E88" s="5"/>
      <c r="F88" s="5"/>
      <c r="G88" s="5"/>
      <c r="H88" s="5"/>
      <c r="I88" s="5"/>
    </row>
    <row r="89" spans="1:12" ht="14.45" customHeight="1">
      <c r="B89" s="5"/>
      <c r="C89" s="5"/>
      <c r="D89" s="5"/>
      <c r="E89" s="5"/>
      <c r="F89" s="5"/>
      <c r="G89" s="5"/>
      <c r="H89" s="5"/>
      <c r="I89" s="5"/>
    </row>
    <row r="90" spans="1:12" ht="14.4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12" ht="14.4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2" ht="14.4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2" ht="14.4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L93" s="16"/>
    </row>
    <row r="94" spans="1:12" ht="14.4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2" ht="14.45" customHeight="1">
      <c r="A95" s="42"/>
      <c r="B95" s="5"/>
      <c r="C95" s="5"/>
      <c r="D95" s="5"/>
      <c r="E95" s="5"/>
      <c r="F95" s="5"/>
      <c r="G95" s="5"/>
      <c r="H95" s="5"/>
      <c r="I95" s="5"/>
      <c r="J95" s="5"/>
    </row>
    <row r="96" spans="1:12" ht="14.45" customHeight="1">
      <c r="A96" s="9"/>
    </row>
    <row r="97" spans="1:10" ht="14.45" customHeight="1">
      <c r="A97" s="9"/>
    </row>
    <row r="98" spans="1:10" ht="14.45" customHeight="1">
      <c r="A98" s="9"/>
    </row>
    <row r="99" spans="1:10" ht="14.45" customHeight="1">
      <c r="A99" s="9"/>
    </row>
    <row r="100" spans="1:10" ht="14.45" customHeight="1"/>
    <row r="101" spans="1:10" ht="14.45" customHeight="1"/>
    <row r="102" spans="1:10" ht="14.45" customHeight="1">
      <c r="A102" s="9"/>
    </row>
    <row r="103" spans="1:10" ht="14.45" customHeight="1">
      <c r="A103" s="9"/>
    </row>
    <row r="104" spans="1:10" ht="14.4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4.45" customHeight="1">
      <c r="A105" s="9"/>
    </row>
    <row r="106" spans="1:10" ht="14.45" customHeight="1">
      <c r="A106" s="9"/>
    </row>
    <row r="107" spans="1:10" ht="14.45" customHeight="1">
      <c r="A107" s="9"/>
    </row>
    <row r="108" spans="1:10" ht="14.45" customHeight="1">
      <c r="A108" s="9"/>
    </row>
    <row r="109" spans="1:10" ht="14.45" customHeight="1">
      <c r="A109" s="15"/>
      <c r="B109" s="15"/>
      <c r="C109" s="15"/>
    </row>
    <row r="110" spans="1:10" ht="14.45" customHeight="1">
      <c r="A110" s="9"/>
    </row>
    <row r="111" spans="1:10" ht="14.45" customHeight="1">
      <c r="A111" s="42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4.4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4.4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4.4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4.4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4.4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4.4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4.4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4.4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10" ht="14.4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10" ht="14.4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10" ht="14.45" customHeight="1">
      <c r="A122" s="42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4.4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4.4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4.4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4.4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4.45" customHeight="1">
      <c r="A127" s="9"/>
    </row>
    <row r="128" spans="1:10" ht="14.45" customHeight="1">
      <c r="A128" s="9"/>
    </row>
    <row r="129" spans="1:10" ht="14.45" customHeight="1">
      <c r="A129" s="9"/>
    </row>
    <row r="130" spans="1:10" ht="14.45" customHeight="1">
      <c r="A130" s="9"/>
    </row>
    <row r="131" spans="1:10" ht="14.45" customHeight="1">
      <c r="A131" s="37"/>
    </row>
    <row r="132" spans="1:10" ht="14.45" customHeight="1">
      <c r="A132" s="9"/>
    </row>
    <row r="133" spans="1:10" ht="14.45" customHeight="1">
      <c r="A133" s="9"/>
    </row>
    <row r="134" spans="1:10" ht="14.4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4.45" customHeight="1">
      <c r="A135" s="9"/>
    </row>
    <row r="136" spans="1:10" ht="14.45" customHeight="1">
      <c r="A136" s="9"/>
    </row>
    <row r="137" spans="1:10" ht="14.45" customHeight="1">
      <c r="A137" s="9"/>
    </row>
    <row r="138" spans="1:10" ht="14.45" customHeight="1">
      <c r="A138" s="9"/>
    </row>
    <row r="139" spans="1:10" ht="14.45" customHeight="1">
      <c r="A139" s="9"/>
    </row>
    <row r="140" spans="1:10" ht="14.45" customHeight="1"/>
    <row r="141" spans="1:10" ht="14.45" customHeight="1"/>
    <row r="142" spans="1:10" ht="14.45" customHeight="1"/>
    <row r="143" spans="1:10" ht="14.45" customHeight="1">
      <c r="A143" s="37"/>
    </row>
    <row r="144" spans="1:10" ht="14.45" customHeight="1"/>
    <row r="145" spans="1:10" ht="14.45" customHeight="1">
      <c r="A145" s="9"/>
    </row>
    <row r="146" spans="1:10" ht="14.4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4.4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4.4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4.4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4.45" customHeight="1">
      <c r="A150" s="42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4.4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4.4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4.4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4.4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4.4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10" ht="14.4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10" ht="14.4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10" ht="14.4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10" ht="14.4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10" ht="14.4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4.45" customHeight="1">
      <c r="A161" s="42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4.4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4.4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4.4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4.45" customHeight="1">
      <c r="A165" s="9"/>
    </row>
    <row r="166" spans="1:10" ht="14.45" customHeight="1">
      <c r="A166" s="9"/>
    </row>
    <row r="167" spans="1:10" ht="14.45" customHeight="1">
      <c r="A167" s="9"/>
    </row>
    <row r="168" spans="1:10" ht="14.45" customHeight="1">
      <c r="A168" s="9"/>
    </row>
    <row r="169" spans="1:10" ht="14.45" customHeight="1"/>
    <row r="170" spans="1:10" ht="14.45" customHeight="1"/>
    <row r="171" spans="1:10" ht="14.45" customHeight="1"/>
    <row r="172" spans="1:10" ht="14.45" customHeight="1"/>
    <row r="173" spans="1:10" ht="14.45" customHeight="1">
      <c r="A173" s="9"/>
    </row>
    <row r="174" spans="1:10" ht="14.45" customHeight="1">
      <c r="A174" s="9"/>
    </row>
    <row r="175" spans="1:10" ht="14.4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4.45" customHeight="1">
      <c r="A176" s="35"/>
    </row>
    <row r="177" spans="1:10" ht="14.45" customHeight="1">
      <c r="A177" s="9"/>
    </row>
    <row r="178" spans="1:10" ht="14.45" customHeight="1">
      <c r="A178" s="9"/>
    </row>
    <row r="179" spans="1:10" ht="14.45" customHeight="1">
      <c r="A179" s="9"/>
    </row>
    <row r="180" spans="1:10" ht="14.45" customHeight="1"/>
    <row r="181" spans="1:10" ht="14.45" customHeight="1"/>
    <row r="182" spans="1:10" ht="14.45" customHeight="1"/>
    <row r="183" spans="1:10" ht="14.45" customHeight="1"/>
    <row r="184" spans="1:10" ht="14.45" customHeight="1"/>
    <row r="185" spans="1:10" ht="14.45" customHeight="1">
      <c r="A185" s="9"/>
    </row>
    <row r="186" spans="1:10" ht="14.4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4.4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4.4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4.4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4.4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4.4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4.4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4.4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4.45" customHeight="1">
      <c r="A194" s="42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4.4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10" ht="14.4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10" ht="14.4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10" ht="14.4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10" ht="14.4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10" ht="14.4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10" ht="14.4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10" ht="14.4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4.4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4.4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4.4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4.45" customHeight="1">
      <c r="A206" s="42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4.45" customHeight="1">
      <c r="A207" s="9"/>
      <c r="C207" s="5"/>
      <c r="D207" s="5"/>
      <c r="E207" s="5"/>
      <c r="F207" s="5"/>
      <c r="G207" s="5"/>
      <c r="H207" s="5"/>
      <c r="I207" s="5"/>
      <c r="J207" s="5"/>
    </row>
    <row r="208" spans="1:10" ht="14.45" customHeight="1">
      <c r="A208" s="9"/>
    </row>
    <row r="209" spans="1:10" ht="14.45" customHeight="1">
      <c r="A209" s="9"/>
    </row>
    <row r="210" spans="1:10" ht="14.45" customHeight="1">
      <c r="A210" s="9"/>
    </row>
    <row r="211" spans="1:10" ht="14.45" customHeight="1"/>
    <row r="212" spans="1:10" ht="14.45" customHeight="1"/>
    <row r="213" spans="1:10" ht="14.45" customHeight="1"/>
    <row r="214" spans="1:10" ht="14.45" customHeight="1">
      <c r="A214" s="9"/>
    </row>
    <row r="215" spans="1:10" ht="14.45" customHeight="1">
      <c r="A215" s="35"/>
    </row>
    <row r="216" spans="1:10" ht="14.4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4.45" customHeight="1">
      <c r="A217" s="9"/>
    </row>
    <row r="218" spans="1:10" ht="14.45" customHeight="1">
      <c r="A218" s="9"/>
    </row>
    <row r="219" spans="1:10" ht="14.45" customHeight="1">
      <c r="A219" s="9"/>
    </row>
    <row r="220" spans="1:10" ht="14.45" customHeight="1">
      <c r="A220" s="9"/>
    </row>
    <row r="221" spans="1:10" ht="14.45" customHeight="1">
      <c r="A221" s="9"/>
    </row>
    <row r="222" spans="1:10" ht="14.45" customHeight="1">
      <c r="A222" s="43"/>
      <c r="B222" s="2"/>
    </row>
    <row r="223" spans="1:10" ht="14.45" customHeight="1"/>
    <row r="224" spans="1:10" ht="14.45" customHeight="1"/>
    <row r="225" spans="1:10" ht="14.45" customHeight="1"/>
    <row r="226" spans="1:10" ht="14.45" customHeight="1"/>
    <row r="227" spans="1:10" ht="14.45" customHeight="1">
      <c r="A227" s="9"/>
    </row>
    <row r="228" spans="1:10" ht="14.4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4.45" customHeight="1">
      <c r="A229" s="42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4.4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4.4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4.4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4.4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4.4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4.4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4.4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10" ht="14.4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10" ht="14.4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10" ht="14.4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10" ht="14.45" customHeight="1">
      <c r="A240" s="42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4.4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4.4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4.4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4.4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4.45" customHeight="1">
      <c r="A245" s="9"/>
    </row>
    <row r="246" spans="1:10" ht="14.45" customHeight="1">
      <c r="A246" s="9"/>
    </row>
    <row r="247" spans="1:10" ht="14.45" customHeight="1">
      <c r="A247" s="9"/>
    </row>
    <row r="248" spans="1:10" ht="14.45" customHeight="1">
      <c r="A248" s="9"/>
    </row>
    <row r="249" spans="1:10" ht="14.45" customHeight="1"/>
    <row r="250" spans="1:10" ht="14.45" customHeight="1">
      <c r="A250" s="35"/>
    </row>
    <row r="251" spans="1:10" ht="14.45" customHeight="1">
      <c r="A251" s="9"/>
    </row>
    <row r="252" spans="1:10" ht="14.4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4.45" customHeight="1">
      <c r="A253" s="9"/>
    </row>
    <row r="254" spans="1:10" ht="14.45" customHeight="1">
      <c r="A254" s="9"/>
    </row>
    <row r="255" spans="1:10" ht="14.45" customHeight="1">
      <c r="A255" s="9"/>
    </row>
    <row r="256" spans="1:10" ht="14.45" customHeight="1">
      <c r="A256" s="9"/>
    </row>
    <row r="257" spans="1:10" ht="14.45" customHeight="1">
      <c r="A257" s="37"/>
    </row>
    <row r="258" spans="1:10" ht="14.45" customHeight="1"/>
    <row r="259" spans="1:10" ht="14.45" customHeight="1"/>
    <row r="260" spans="1:10" ht="14.45" customHeight="1"/>
    <row r="261" spans="1:10" ht="14.45" customHeight="1">
      <c r="A261" s="9"/>
    </row>
    <row r="262" spans="1:10" ht="14.4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4.4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4.45" customHeight="1">
      <c r="A264" s="42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4.4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4.4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4.4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4.4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10" ht="14.4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10" ht="14.4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10" ht="14.4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10" ht="14.4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4.4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4.4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4.4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4.45" customHeight="1">
      <c r="A276" s="9"/>
    </row>
    <row r="277" spans="1:10" ht="14.45" customHeight="1">
      <c r="A277" s="9"/>
    </row>
    <row r="278" spans="1:10" ht="14.45" customHeight="1">
      <c r="A278" s="9"/>
    </row>
    <row r="279" spans="1:10" ht="14.45" customHeight="1">
      <c r="A279" s="9"/>
    </row>
    <row r="280" spans="1:10" ht="14.45" customHeight="1"/>
    <row r="281" spans="1:10" ht="14.45" customHeight="1"/>
    <row r="282" spans="1:10" ht="14.45" customHeight="1">
      <c r="A282" s="9"/>
    </row>
    <row r="283" spans="1:10" ht="14.45" customHeight="1">
      <c r="A283" s="9"/>
    </row>
    <row r="284" spans="1:10" ht="14.4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4.45" customHeight="1">
      <c r="A285" s="9"/>
    </row>
    <row r="286" spans="1:10" ht="14.45" customHeight="1">
      <c r="A286" s="9"/>
    </row>
    <row r="287" spans="1:10" ht="14.45" customHeight="1">
      <c r="A287" s="9"/>
    </row>
    <row r="288" spans="1:10" ht="14.45" customHeight="1">
      <c r="A288" s="9"/>
    </row>
    <row r="289" spans="1:10" ht="14.45" customHeight="1">
      <c r="A289" s="21"/>
      <c r="B289" s="2"/>
    </row>
    <row r="290" spans="1:10" ht="14.45" customHeight="1"/>
    <row r="291" spans="1:10" ht="14.45" customHeight="1"/>
    <row r="292" spans="1:10" ht="14.45" customHeight="1"/>
    <row r="293" spans="1:10" ht="14.45" customHeight="1"/>
    <row r="294" spans="1:10" ht="14.45" customHeight="1">
      <c r="A294" s="9"/>
    </row>
    <row r="295" spans="1:10" ht="14.4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4.4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4.4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4.4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4.4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4.4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4.4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4.4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4.4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10" ht="14.4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10" ht="14.4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10" ht="14.4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10" ht="14.4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4.4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4.4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4.4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4.4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4.45" customHeight="1">
      <c r="A312" s="9"/>
    </row>
    <row r="313" spans="1:10" ht="14.45" customHeight="1">
      <c r="A313" s="9"/>
    </row>
    <row r="314" spans="1:10" ht="14.45" customHeight="1">
      <c r="A314" s="9"/>
    </row>
    <row r="315" spans="1:10" ht="14.45" customHeight="1">
      <c r="A315" s="9"/>
    </row>
    <row r="316" spans="1:10" ht="14.45" customHeight="1"/>
    <row r="317" spans="1:10" ht="14.45" customHeight="1"/>
    <row r="318" spans="1:10" ht="14.45" customHeight="1">
      <c r="A318" s="9"/>
    </row>
    <row r="319" spans="1:10" ht="14.45" customHeight="1">
      <c r="A319" s="9"/>
    </row>
    <row r="320" spans="1:10" ht="14.4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4.45" customHeight="1">
      <c r="A321" s="9"/>
    </row>
    <row r="322" spans="1:10" ht="14.45" customHeight="1">
      <c r="A322" s="9"/>
    </row>
    <row r="323" spans="1:10" ht="14.45" customHeight="1">
      <c r="A323" s="9"/>
    </row>
    <row r="324" spans="1:10" ht="14.45" customHeight="1">
      <c r="A324" s="9"/>
    </row>
    <row r="325" spans="1:10" ht="14.45" customHeight="1">
      <c r="A325" s="21"/>
      <c r="B325" s="2"/>
    </row>
    <row r="326" spans="1:10" ht="14.45" customHeight="1"/>
    <row r="327" spans="1:10" ht="14.45" customHeight="1"/>
    <row r="328" spans="1:10" ht="14.45" customHeight="1"/>
    <row r="329" spans="1:10" ht="14.45" customHeight="1"/>
    <row r="330" spans="1:10" ht="14.45" customHeight="1">
      <c r="A330" s="9"/>
    </row>
    <row r="331" spans="1:10" ht="14.4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4.4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4.4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4.4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4.4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4.4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4" ht="14.4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4" ht="14.4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4" ht="14.4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14" ht="14.4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14" ht="14.4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14" ht="14.4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14" ht="14.4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4" ht="14.4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4" ht="14.4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4" ht="14.4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4" ht="14.4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4" ht="14.45" customHeight="1">
      <c r="A348" s="9"/>
      <c r="N348" s="7"/>
    </row>
    <row r="349" spans="1:14" ht="14.45" customHeight="1">
      <c r="A349" s="9"/>
    </row>
    <row r="350" spans="1:14" ht="14.45" customHeight="1">
      <c r="A350" s="9"/>
      <c r="N350" s="7"/>
    </row>
    <row r="351" spans="1:14" ht="14.45" customHeight="1">
      <c r="A351" s="9"/>
    </row>
    <row r="352" spans="1:14" ht="14.45" customHeight="1">
      <c r="N352" s="7"/>
    </row>
    <row r="353" spans="1:14" ht="14.45" customHeight="1">
      <c r="N353" s="7"/>
    </row>
    <row r="354" spans="1:14" ht="14.45" customHeight="1">
      <c r="A354" s="9"/>
    </row>
    <row r="355" spans="1:14" ht="14.45" customHeight="1">
      <c r="A355" s="9"/>
    </row>
    <row r="356" spans="1:14" ht="14.4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4" ht="14.45" customHeight="1">
      <c r="A357" s="9"/>
    </row>
    <row r="358" spans="1:14" ht="14.45" customHeight="1">
      <c r="A358" s="9"/>
    </row>
    <row r="359" spans="1:14" ht="14.45" customHeight="1">
      <c r="A359" s="9"/>
    </row>
    <row r="360" spans="1:14" ht="14.45" customHeight="1">
      <c r="A360" s="9"/>
    </row>
    <row r="361" spans="1:14" ht="14.45" customHeight="1">
      <c r="A361" s="21"/>
      <c r="B361" s="2"/>
    </row>
    <row r="362" spans="1:14" ht="14.45" customHeight="1"/>
    <row r="363" spans="1:14" ht="14.45" customHeight="1"/>
    <row r="364" spans="1:14" ht="14.45" customHeight="1"/>
    <row r="365" spans="1:14" ht="14.45" customHeight="1"/>
    <row r="366" spans="1:14">
      <c r="A366" s="9"/>
    </row>
    <row r="367" spans="1:14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4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2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2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2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2" ht="14.4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>
        <v>2</v>
      </c>
      <c r="L372">
        <v>2</v>
      </c>
    </row>
    <row r="373" spans="1:12" ht="14.4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2" ht="14.4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2" ht="14.4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12" ht="14.4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12" ht="14.4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12" ht="14.4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12" ht="14.4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12" ht="14.4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2" ht="14.4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2" ht="14.4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2" ht="14.4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2" ht="14.4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4.45" customHeight="1">
      <c r="A385" s="9"/>
      <c r="C385" s="5"/>
      <c r="D385" s="5"/>
      <c r="E385" s="5"/>
      <c r="F385" s="5"/>
      <c r="G385" s="5"/>
      <c r="H385" s="5"/>
      <c r="I385" s="5"/>
      <c r="J385" s="5"/>
    </row>
    <row r="386" spans="1:10" ht="14.45" customHeight="1">
      <c r="A386" s="9"/>
    </row>
    <row r="387" spans="1:10">
      <c r="A387" s="9"/>
    </row>
    <row r="388" spans="1:10">
      <c r="A388" s="9"/>
    </row>
    <row r="392" spans="1:10">
      <c r="A392" s="9"/>
    </row>
    <row r="393" spans="1:10">
      <c r="A393" s="9"/>
    </row>
    <row r="394" spans="1:10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>
      <c r="A395" s="9"/>
    </row>
    <row r="396" spans="1:10">
      <c r="A396" s="9"/>
    </row>
    <row r="397" spans="1:10">
      <c r="A397" s="9"/>
    </row>
    <row r="398" spans="1:10">
      <c r="A398" s="9"/>
    </row>
    <row r="399" spans="1:10">
      <c r="A399" s="21"/>
      <c r="B399" s="2"/>
    </row>
    <row r="400" spans="1:10" ht="14.45" customHeight="1"/>
    <row r="401" spans="1:10" ht="14.45" customHeight="1"/>
    <row r="402" spans="1:10" ht="14.45" customHeight="1"/>
    <row r="403" spans="1:10" ht="14.45" customHeight="1"/>
    <row r="404" spans="1:10">
      <c r="A404" s="9"/>
    </row>
    <row r="405" spans="1:10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>
      <c r="A412" s="5"/>
      <c r="B412" s="5"/>
      <c r="C412" s="5"/>
      <c r="D412" s="5"/>
      <c r="E412" s="5"/>
      <c r="F412" s="5"/>
      <c r="G412" s="5"/>
      <c r="H412" s="5"/>
      <c r="I412" s="5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</row>
    <row r="414" spans="1:10">
      <c r="A414" s="5"/>
      <c r="B414" s="5"/>
      <c r="C414" s="5"/>
      <c r="D414" s="5"/>
      <c r="E414" s="5"/>
      <c r="F414" s="5"/>
      <c r="G414" s="5"/>
      <c r="H414" s="5"/>
      <c r="I414" s="5"/>
    </row>
    <row r="415" spans="1:10">
      <c r="A415" s="5"/>
      <c r="B415" s="5"/>
      <c r="C415" s="5"/>
      <c r="D415" s="5"/>
      <c r="E415" s="5"/>
      <c r="F415" s="5"/>
      <c r="G415" s="5"/>
      <c r="H415" s="5"/>
      <c r="I415" s="5"/>
    </row>
    <row r="416" spans="1:10">
      <c r="A416" s="5"/>
      <c r="B416" s="5"/>
      <c r="C416" s="5"/>
      <c r="D416" s="5"/>
      <c r="E416" s="5"/>
      <c r="F416" s="5"/>
      <c r="G416" s="5"/>
      <c r="H416" s="5"/>
      <c r="I416" s="5"/>
    </row>
    <row r="417" spans="1:10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>
      <c r="A421" s="9"/>
    </row>
    <row r="422" spans="1:10">
      <c r="A422" s="9"/>
    </row>
    <row r="423" spans="1:10">
      <c r="A423" s="9"/>
    </row>
    <row r="424" spans="1:10">
      <c r="A424" s="9"/>
    </row>
    <row r="427" spans="1:10">
      <c r="A427" s="9"/>
    </row>
    <row r="428" spans="1:10">
      <c r="A428" s="9"/>
    </row>
    <row r="429" spans="1:10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>
      <c r="A430" s="9"/>
    </row>
    <row r="431" spans="1:10">
      <c r="A431" s="9"/>
    </row>
    <row r="432" spans="1:10">
      <c r="A432" s="9"/>
    </row>
    <row r="433" spans="1:33">
      <c r="A433" s="9"/>
    </row>
    <row r="434" spans="1:33">
      <c r="A434" s="21"/>
      <c r="B434" s="2"/>
    </row>
    <row r="435" spans="1:33">
      <c r="X435" t="s">
        <v>260</v>
      </c>
      <c r="Y435" t="s">
        <v>289</v>
      </c>
      <c r="Z435">
        <v>8.2040000000000006</v>
      </c>
      <c r="AA435">
        <v>8.2040000000000006</v>
      </c>
      <c r="AB435">
        <v>8.2040000000000006</v>
      </c>
      <c r="AC435">
        <v>8.2040000000000006</v>
      </c>
      <c r="AD435">
        <v>8.2040000000000006</v>
      </c>
      <c r="AE435">
        <v>8.2040000000000006</v>
      </c>
      <c r="AF435">
        <v>8.2040000000000006</v>
      </c>
      <c r="AG435">
        <v>8.2040000000000006</v>
      </c>
    </row>
    <row r="437" spans="1:33">
      <c r="X437" t="s">
        <v>258</v>
      </c>
      <c r="Y437" t="s">
        <v>289</v>
      </c>
      <c r="Z437">
        <v>4.6710000000000003</v>
      </c>
      <c r="AA437">
        <v>4.6710000000000003</v>
      </c>
      <c r="AB437">
        <v>4.6710000000000003</v>
      </c>
      <c r="AC437">
        <v>4.6710000000000003</v>
      </c>
      <c r="AD437">
        <v>4.6710000000000003</v>
      </c>
      <c r="AE437">
        <v>4.6710000000000003</v>
      </c>
      <c r="AF437">
        <v>4.6710000000000003</v>
      </c>
      <c r="AG437">
        <v>4.6710000000000003</v>
      </c>
    </row>
    <row r="439" spans="1:33">
      <c r="A439" s="9"/>
    </row>
    <row r="440" spans="1:33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33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33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3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33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33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33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33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33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33">
      <c r="A449" s="5"/>
      <c r="B449" s="5"/>
      <c r="C449" s="5"/>
      <c r="D449" s="5"/>
      <c r="E449" s="5"/>
      <c r="F449" s="5"/>
      <c r="G449" s="5"/>
      <c r="H449" s="5"/>
      <c r="I449" s="5"/>
    </row>
    <row r="450" spans="1:33">
      <c r="A450" s="5"/>
      <c r="B450" s="5"/>
      <c r="C450" s="5"/>
      <c r="D450" s="5"/>
      <c r="E450" s="5"/>
      <c r="F450" s="5"/>
      <c r="G450" s="5"/>
      <c r="H450" s="5"/>
      <c r="I450" s="5"/>
    </row>
    <row r="451" spans="1:33">
      <c r="A451" s="5"/>
      <c r="B451" s="5"/>
      <c r="C451" s="5"/>
      <c r="D451" s="5"/>
      <c r="E451" s="5"/>
      <c r="F451" s="5"/>
      <c r="G451" s="5"/>
      <c r="H451" s="5"/>
      <c r="I451" s="5"/>
    </row>
    <row r="452" spans="1:33">
      <c r="A452" s="5"/>
      <c r="B452" s="5"/>
      <c r="C452" s="5"/>
      <c r="D452" s="5"/>
      <c r="E452" s="5"/>
      <c r="F452" s="5"/>
      <c r="G452" s="5"/>
      <c r="H452" s="5"/>
      <c r="I452" s="5"/>
    </row>
    <row r="453" spans="1:33">
      <c r="A453" s="5"/>
      <c r="B453" s="5"/>
      <c r="C453" s="5"/>
      <c r="D453" s="5"/>
      <c r="E453" s="5"/>
      <c r="F453" s="5"/>
      <c r="G453" s="5"/>
      <c r="H453" s="5"/>
      <c r="I453" s="5"/>
      <c r="X453" t="s">
        <v>261</v>
      </c>
      <c r="Y453" t="s">
        <v>289</v>
      </c>
      <c r="Z453">
        <v>23.4</v>
      </c>
      <c r="AA453">
        <v>23.4</v>
      </c>
      <c r="AB453">
        <v>23.4</v>
      </c>
      <c r="AC453">
        <v>23.4</v>
      </c>
      <c r="AD453">
        <v>23.4</v>
      </c>
      <c r="AE453">
        <v>23.4</v>
      </c>
      <c r="AF453">
        <v>23.4</v>
      </c>
      <c r="AG453">
        <v>23.4</v>
      </c>
    </row>
    <row r="454" spans="1:33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33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33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33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33">
      <c r="A458" s="5"/>
      <c r="B458" s="5"/>
      <c r="C458" s="5"/>
      <c r="D458" s="5"/>
      <c r="E458" s="5"/>
      <c r="F458" s="5"/>
      <c r="G458" s="5"/>
      <c r="H458" s="5"/>
      <c r="I458" s="5"/>
      <c r="J458" s="5"/>
      <c r="X458" t="s">
        <v>263</v>
      </c>
      <c r="Y458" t="s">
        <v>289</v>
      </c>
      <c r="Z458">
        <v>4.55</v>
      </c>
      <c r="AA458">
        <v>4.55</v>
      </c>
      <c r="AB458">
        <v>4.55</v>
      </c>
      <c r="AC458">
        <v>4.55</v>
      </c>
      <c r="AD458">
        <v>4.55</v>
      </c>
      <c r="AE458">
        <v>4.55</v>
      </c>
      <c r="AF458">
        <v>4.55</v>
      </c>
      <c r="AG458">
        <v>4.55</v>
      </c>
    </row>
    <row r="459" spans="1:33">
      <c r="A459" s="9"/>
    </row>
    <row r="460" spans="1:33">
      <c r="A460" s="9"/>
    </row>
    <row r="461" spans="1:33">
      <c r="A461" s="9"/>
    </row>
    <row r="462" spans="1:33">
      <c r="A462" s="9"/>
    </row>
    <row r="465" spans="1:10">
      <c r="A465" s="9"/>
    </row>
    <row r="466" spans="1:10">
      <c r="A466" s="9"/>
    </row>
    <row r="467" spans="1:10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>
      <c r="A468" s="9"/>
    </row>
    <row r="469" spans="1:10">
      <c r="A469" s="9"/>
    </row>
    <row r="470" spans="1:10">
      <c r="A470" s="9"/>
    </row>
    <row r="471" spans="1:10">
      <c r="A471" s="9"/>
    </row>
    <row r="472" spans="1:10">
      <c r="A472" s="21"/>
      <c r="B472" s="2"/>
    </row>
    <row r="477" spans="1:10">
      <c r="A477" s="9"/>
    </row>
    <row r="478" spans="1:10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>
      <c r="A487" s="5"/>
      <c r="B487" s="5"/>
      <c r="C487" s="5"/>
      <c r="D487" s="5"/>
      <c r="E487" s="5"/>
      <c r="F487" s="5"/>
      <c r="G487" s="5"/>
      <c r="H487" s="5"/>
      <c r="I487" s="5"/>
    </row>
    <row r="488" spans="1:10">
      <c r="A488" s="5"/>
      <c r="B488" s="5"/>
      <c r="C488" s="5"/>
      <c r="D488" s="5"/>
      <c r="E488" s="5"/>
      <c r="F488" s="5"/>
      <c r="G488" s="5"/>
      <c r="H488" s="5"/>
      <c r="I488" s="5"/>
    </row>
    <row r="489" spans="1:10">
      <c r="A489" s="5"/>
      <c r="B489" s="5"/>
      <c r="C489" s="5"/>
      <c r="D489" s="5"/>
      <c r="E489" s="5"/>
      <c r="F489" s="5"/>
      <c r="G489" s="5"/>
      <c r="H489" s="5"/>
      <c r="I489" s="5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</row>
    <row r="491" spans="1:10">
      <c r="A491" s="5"/>
      <c r="B491" s="5"/>
      <c r="C491" s="5"/>
      <c r="D491" s="5"/>
      <c r="E491" s="5"/>
      <c r="F491" s="5"/>
      <c r="G491" s="5"/>
      <c r="H491" s="5"/>
      <c r="I491" s="5"/>
    </row>
    <row r="492" spans="1:10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>
      <c r="A497" s="9"/>
    </row>
    <row r="498" spans="1:10">
      <c r="A498" s="9"/>
    </row>
    <row r="499" spans="1:10">
      <c r="A499" s="9"/>
    </row>
    <row r="500" spans="1:10">
      <c r="A500" s="9"/>
    </row>
    <row r="504" spans="1:10">
      <c r="A504" s="9"/>
    </row>
    <row r="505" spans="1:10">
      <c r="A505" s="9"/>
    </row>
    <row r="506" spans="1:10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>
      <c r="A507" s="9"/>
    </row>
    <row r="508" spans="1:10">
      <c r="A508" s="9"/>
    </row>
    <row r="509" spans="1:10">
      <c r="A509" s="9"/>
    </row>
    <row r="510" spans="1:10">
      <c r="A510" s="9"/>
    </row>
    <row r="514" spans="1:10">
      <c r="A514" s="9"/>
    </row>
    <row r="515" spans="1:10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>
      <c r="A523" s="5"/>
      <c r="B523" s="5"/>
      <c r="C523" s="5"/>
      <c r="D523" s="5"/>
      <c r="E523" s="5"/>
      <c r="F523" s="5"/>
      <c r="G523" s="5"/>
      <c r="H523" s="5"/>
      <c r="I523" s="5"/>
    </row>
    <row r="524" spans="1:10">
      <c r="A524" s="5"/>
      <c r="B524" s="5"/>
      <c r="C524" s="5"/>
      <c r="D524" s="5"/>
      <c r="E524" s="5"/>
      <c r="F524" s="5"/>
      <c r="G524" s="5"/>
      <c r="H524" s="5"/>
      <c r="I524" s="5"/>
    </row>
    <row r="525" spans="1:10">
      <c r="A525" s="5"/>
      <c r="B525" s="5"/>
      <c r="C525" s="5"/>
      <c r="D525" s="5"/>
      <c r="E525" s="5"/>
      <c r="F525" s="5"/>
      <c r="G525" s="5"/>
      <c r="H525" s="5"/>
      <c r="I525" s="5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</row>
    <row r="527" spans="1:10">
      <c r="A527" s="5"/>
      <c r="B527" s="5"/>
      <c r="C527" s="5"/>
      <c r="D527" s="5"/>
      <c r="E527" s="5"/>
      <c r="F527" s="5"/>
      <c r="G527" s="5"/>
      <c r="H527" s="5"/>
      <c r="I527" s="5"/>
    </row>
    <row r="528" spans="1:10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>
      <c r="A533" s="9"/>
    </row>
    <row r="534" spans="1:10">
      <c r="A534" s="9"/>
    </row>
    <row r="535" spans="1:10">
      <c r="A535" s="9"/>
    </row>
    <row r="536" spans="1:10">
      <c r="A536" s="9"/>
    </row>
    <row r="540" spans="1:10">
      <c r="A540" s="9"/>
    </row>
    <row r="541" spans="1:10">
      <c r="A541" s="9"/>
    </row>
    <row r="542" spans="1:10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>
      <c r="A543" s="9"/>
    </row>
    <row r="544" spans="1:10">
      <c r="A544" s="9"/>
    </row>
    <row r="545" spans="1:10">
      <c r="A545" s="9"/>
    </row>
    <row r="546" spans="1:10">
      <c r="A546" s="9"/>
    </row>
    <row r="547" spans="1:10">
      <c r="A547" s="21"/>
      <c r="B547" s="2"/>
    </row>
    <row r="548" spans="1:10">
      <c r="A548" s="21"/>
      <c r="B548" s="21"/>
      <c r="D548" s="5"/>
      <c r="E548" s="5"/>
      <c r="F548" s="5"/>
      <c r="G548" s="5"/>
      <c r="H548" s="5"/>
      <c r="I548" s="5"/>
    </row>
    <row r="553" spans="1:10">
      <c r="A553" s="9"/>
    </row>
    <row r="554" spans="1:10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>
      <c r="A562" s="5"/>
      <c r="B562" s="5"/>
      <c r="C562" s="5"/>
      <c r="D562" s="5"/>
      <c r="E562" s="5"/>
      <c r="F562" s="5"/>
      <c r="G562" s="5"/>
      <c r="H562" s="5"/>
      <c r="I562" s="5"/>
    </row>
    <row r="563" spans="1:10">
      <c r="A563" s="5"/>
      <c r="B563" s="5"/>
      <c r="C563" s="5"/>
      <c r="D563" s="5"/>
      <c r="E563" s="5"/>
      <c r="F563" s="5"/>
      <c r="G563" s="5"/>
      <c r="H563" s="5"/>
      <c r="I563" s="5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</row>
    <row r="565" spans="1:10">
      <c r="A565" s="5"/>
      <c r="B565" s="5"/>
      <c r="C565" s="5"/>
      <c r="D565" s="5"/>
      <c r="E565" s="5"/>
      <c r="F565" s="5"/>
      <c r="G565" s="5"/>
      <c r="H565" s="5"/>
      <c r="I565" s="5"/>
    </row>
    <row r="566" spans="1:10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>
      <c r="A571" s="9"/>
    </row>
    <row r="572" spans="1:10">
      <c r="A572" s="9"/>
    </row>
    <row r="573" spans="1:10">
      <c r="A573" s="9"/>
    </row>
    <row r="574" spans="1:10">
      <c r="A574" s="9"/>
    </row>
    <row r="578" spans="1:10">
      <c r="A578" s="9"/>
    </row>
    <row r="579" spans="1:10">
      <c r="A579" s="9"/>
    </row>
    <row r="580" spans="1:1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>
      <c r="A581" s="9"/>
    </row>
    <row r="582" spans="1:10">
      <c r="A582" s="9"/>
    </row>
    <row r="583" spans="1:10">
      <c r="A583" s="9"/>
    </row>
    <row r="584" spans="1:10">
      <c r="A584" s="9"/>
    </row>
    <row r="585" spans="1:10">
      <c r="A585" s="9"/>
    </row>
    <row r="586" spans="1:10">
      <c r="A586" s="21"/>
      <c r="B586" s="2"/>
    </row>
    <row r="590" spans="1:10">
      <c r="A590" s="9"/>
    </row>
    <row r="591" spans="1:10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>
      <c r="A598" s="5"/>
      <c r="B598" s="5"/>
      <c r="C598" s="5"/>
      <c r="D598" s="5"/>
      <c r="E598" s="5"/>
      <c r="F598" s="5"/>
      <c r="G598" s="5"/>
      <c r="H598" s="5"/>
      <c r="I598" s="5"/>
    </row>
    <row r="599" spans="1:10">
      <c r="A599" s="5"/>
      <c r="B599" s="5"/>
      <c r="C599" s="5"/>
      <c r="D599" s="5"/>
      <c r="E599" s="5"/>
      <c r="F599" s="5"/>
      <c r="G599" s="5"/>
      <c r="H599" s="5"/>
      <c r="I599" s="5"/>
    </row>
    <row r="600" spans="1:10">
      <c r="A600" s="5"/>
      <c r="B600" s="5"/>
      <c r="C600" s="5"/>
      <c r="D600" s="5"/>
      <c r="E600" s="5"/>
      <c r="F600" s="5"/>
      <c r="G600" s="5"/>
      <c r="H600" s="5"/>
      <c r="I600" s="5"/>
    </row>
    <row r="601" spans="1:10">
      <c r="A601" s="5"/>
      <c r="B601" s="5"/>
      <c r="C601" s="5"/>
      <c r="D601" s="5"/>
      <c r="E601" s="5"/>
      <c r="F601" s="5"/>
      <c r="G601" s="5"/>
      <c r="H601" s="5"/>
      <c r="I601" s="5"/>
    </row>
    <row r="602" spans="1:10">
      <c r="A602" s="5"/>
      <c r="B602" s="5"/>
      <c r="C602" s="5"/>
      <c r="D602" s="5"/>
      <c r="E602" s="5"/>
      <c r="F602" s="5"/>
      <c r="G602" s="5"/>
      <c r="H602" s="5"/>
      <c r="I602" s="5"/>
    </row>
    <row r="603" spans="1:10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>
      <c r="A608" s="9"/>
    </row>
    <row r="609" spans="1:10">
      <c r="A609" s="9"/>
    </row>
    <row r="610" spans="1:10">
      <c r="A610" s="9"/>
    </row>
    <row r="611" spans="1:10">
      <c r="A611" s="9"/>
    </row>
    <row r="615" spans="1:10">
      <c r="A615" s="9"/>
    </row>
    <row r="616" spans="1:10">
      <c r="A616" s="9"/>
    </row>
    <row r="617" spans="1:10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>
      <c r="A618" s="9"/>
    </row>
    <row r="619" spans="1:10">
      <c r="A619" s="9"/>
    </row>
    <row r="620" spans="1:10">
      <c r="A620" s="9"/>
    </row>
    <row r="621" spans="1:10">
      <c r="A621" s="9"/>
    </row>
    <row r="622" spans="1:10">
      <c r="A622" s="21"/>
      <c r="B622" s="2"/>
    </row>
    <row r="625" spans="1:10">
      <c r="A625" s="9"/>
    </row>
    <row r="626" spans="1:10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>
      <c r="A634" s="5"/>
      <c r="B634" s="5"/>
      <c r="C634" s="5"/>
      <c r="D634" s="5"/>
      <c r="E634" s="5"/>
      <c r="F634" s="5"/>
      <c r="G634" s="5"/>
      <c r="H634" s="5"/>
      <c r="I634" s="5"/>
    </row>
    <row r="635" spans="1:10">
      <c r="A635" s="5"/>
      <c r="B635" s="5"/>
      <c r="C635" s="5"/>
      <c r="D635" s="5"/>
      <c r="E635" s="5"/>
      <c r="F635" s="5"/>
      <c r="G635" s="5"/>
      <c r="H635" s="5"/>
      <c r="I635" s="5"/>
    </row>
    <row r="636" spans="1:10">
      <c r="A636" s="5"/>
      <c r="B636" s="5"/>
      <c r="C636" s="5"/>
      <c r="D636" s="5"/>
      <c r="E636" s="5"/>
      <c r="F636" s="5"/>
      <c r="G636" s="5"/>
      <c r="H636" s="5"/>
      <c r="I636" s="5"/>
    </row>
    <row r="637" spans="1:10">
      <c r="A637" s="5"/>
      <c r="B637" s="5"/>
      <c r="C637" s="5"/>
      <c r="D637" s="5"/>
      <c r="E637" s="5"/>
      <c r="F637" s="5"/>
      <c r="G637" s="5"/>
      <c r="H637" s="5"/>
      <c r="I637" s="5"/>
    </row>
    <row r="638" spans="1:10">
      <c r="A638" s="5"/>
      <c r="B638" s="5"/>
      <c r="C638" s="5"/>
      <c r="D638" s="5"/>
      <c r="E638" s="5"/>
      <c r="F638" s="5"/>
      <c r="G638" s="5"/>
      <c r="H638" s="5"/>
      <c r="I638" s="5"/>
    </row>
    <row r="639" spans="1:10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>
      <c r="A642" s="9"/>
    </row>
    <row r="643" spans="1:10">
      <c r="A643" s="9"/>
    </row>
    <row r="644" spans="1:10">
      <c r="A644" s="9"/>
    </row>
    <row r="645" spans="1:10">
      <c r="A645" s="9"/>
    </row>
    <row r="648" spans="1:10">
      <c r="A648" s="9"/>
    </row>
    <row r="649" spans="1:10">
      <c r="A649" s="9"/>
    </row>
    <row r="650" spans="1:1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>
      <c r="A651" s="9"/>
    </row>
    <row r="652" spans="1:10">
      <c r="A652" s="9"/>
    </row>
    <row r="653" spans="1:10">
      <c r="A653" s="9"/>
    </row>
    <row r="654" spans="1:10">
      <c r="A654" s="9"/>
    </row>
    <row r="658" spans="1:10">
      <c r="A658" s="9"/>
    </row>
    <row r="659" spans="1:10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>
      <c r="A666" s="5"/>
      <c r="B666" s="5"/>
      <c r="C666" s="5"/>
      <c r="D666" s="5"/>
      <c r="E666" s="5"/>
      <c r="F666" s="5"/>
      <c r="G666" s="5"/>
      <c r="H666" s="5"/>
      <c r="I666" s="5"/>
    </row>
    <row r="667" spans="1:10">
      <c r="A667" s="5"/>
      <c r="B667" s="5"/>
      <c r="C667" s="5"/>
      <c r="D667" s="5"/>
      <c r="E667" s="5"/>
      <c r="F667" s="5"/>
      <c r="G667" s="5"/>
      <c r="H667" s="5"/>
      <c r="I667" s="5"/>
    </row>
    <row r="668" spans="1:10">
      <c r="A668" s="5"/>
      <c r="B668" s="5"/>
      <c r="C668" s="5"/>
      <c r="D668" s="5"/>
      <c r="E668" s="5"/>
      <c r="F668" s="5"/>
      <c r="G668" s="5"/>
      <c r="H668" s="5"/>
      <c r="I668" s="5"/>
    </row>
    <row r="669" spans="1:10">
      <c r="A669" s="5"/>
      <c r="B669" s="5"/>
      <c r="C669" s="5"/>
      <c r="D669" s="5"/>
      <c r="E669" s="5"/>
      <c r="F669" s="5"/>
      <c r="G669" s="5"/>
      <c r="H669" s="5"/>
      <c r="I669" s="5"/>
    </row>
    <row r="670" spans="1:10">
      <c r="A670" s="5"/>
      <c r="B670" s="5"/>
      <c r="C670" s="5"/>
      <c r="D670" s="5"/>
      <c r="E670" s="5"/>
      <c r="F670" s="5"/>
      <c r="G670" s="5"/>
      <c r="H670" s="5"/>
      <c r="I670" s="5"/>
    </row>
    <row r="671" spans="1:10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>
      <c r="A676" s="9"/>
    </row>
    <row r="677" spans="1:10">
      <c r="A677" s="9"/>
    </row>
    <row r="678" spans="1:10">
      <c r="A678" s="9"/>
    </row>
    <row r="679" spans="1:10">
      <c r="A679" s="9"/>
    </row>
    <row r="682" spans="1:10">
      <c r="A682" s="9"/>
    </row>
    <row r="683" spans="1:10">
      <c r="A683" s="9"/>
    </row>
    <row r="684" spans="1:10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>
      <c r="A685" s="9"/>
    </row>
    <row r="686" spans="1:10">
      <c r="A686" s="9"/>
    </row>
    <row r="687" spans="1:10">
      <c r="A687" s="9"/>
    </row>
    <row r="688" spans="1:10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0">
      <c r="A705" s="9"/>
    </row>
    <row r="706" spans="1:10">
      <c r="A706" s="9"/>
    </row>
    <row r="707" spans="1:10">
      <c r="A707" s="9"/>
    </row>
    <row r="708" spans="1:10">
      <c r="A708" s="15"/>
      <c r="B708" s="15"/>
      <c r="C708" s="15"/>
    </row>
    <row r="709" spans="1:10">
      <c r="A709" s="15"/>
      <c r="B709" s="15"/>
      <c r="C709" s="15"/>
    </row>
    <row r="716" spans="1:10">
      <c r="A716" s="9"/>
    </row>
    <row r="717" spans="1:10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>
      <c r="A725" s="5"/>
      <c r="B725" s="5"/>
      <c r="C725" s="5"/>
      <c r="D725" s="5"/>
      <c r="E725" s="5"/>
      <c r="F725" s="5"/>
      <c r="G725" s="5"/>
      <c r="H725" s="5"/>
      <c r="I725" s="5"/>
    </row>
    <row r="726" spans="1:10">
      <c r="A726" s="5"/>
      <c r="B726" s="5"/>
      <c r="C726" s="5"/>
      <c r="D726" s="5"/>
      <c r="E726" s="5"/>
      <c r="F726" s="5"/>
      <c r="G726" s="5"/>
      <c r="H726" s="5"/>
      <c r="I726" s="5"/>
    </row>
    <row r="727" spans="1:10">
      <c r="A727" s="5"/>
      <c r="B727" s="5"/>
      <c r="C727" s="5"/>
      <c r="D727" s="5"/>
      <c r="E727" s="5"/>
      <c r="F727" s="5"/>
      <c r="G727" s="5"/>
      <c r="H727" s="5"/>
      <c r="I727" s="5"/>
    </row>
    <row r="728" spans="1:10">
      <c r="A728" s="5"/>
      <c r="B728" s="5"/>
      <c r="C728" s="5"/>
      <c r="D728" s="5"/>
      <c r="E728" s="5"/>
      <c r="F728" s="5"/>
      <c r="G728" s="5"/>
      <c r="H728" s="5"/>
      <c r="I728" s="5"/>
    </row>
    <row r="729" spans="1:10">
      <c r="A729" s="5"/>
      <c r="B729" s="5"/>
      <c r="C729" s="5"/>
      <c r="D729" s="5"/>
      <c r="E729" s="5"/>
      <c r="F729" s="5"/>
      <c r="G729" s="5"/>
      <c r="H729" s="5"/>
      <c r="I729" s="5"/>
    </row>
    <row r="730" spans="1:1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>
      <c r="A735" s="9"/>
    </row>
    <row r="736" spans="1:10">
      <c r="A736" s="9"/>
    </row>
    <row r="737" spans="1:10">
      <c r="A737" s="9"/>
    </row>
    <row r="738" spans="1:10">
      <c r="A738" s="9"/>
    </row>
    <row r="742" spans="1:10">
      <c r="A742" s="9"/>
    </row>
    <row r="743" spans="1:10">
      <c r="A743" s="9"/>
    </row>
    <row r="744" spans="1:10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>
      <c r="A745" s="9"/>
    </row>
    <row r="746" spans="1:10">
      <c r="A746" s="9"/>
    </row>
    <row r="747" spans="1:10">
      <c r="A747" s="9"/>
    </row>
    <row r="748" spans="1:10">
      <c r="A748" s="9"/>
    </row>
    <row r="749" spans="1:10">
      <c r="A749" s="21"/>
      <c r="B749" s="2"/>
    </row>
    <row r="750" spans="1:10">
      <c r="A750" s="15"/>
      <c r="B750" s="15"/>
      <c r="C750" s="15"/>
    </row>
    <row r="751" spans="1:10">
      <c r="A751" s="15"/>
      <c r="B751" s="15"/>
      <c r="C751" s="15"/>
    </row>
    <row r="752" spans="1:10">
      <c r="A752" s="9"/>
    </row>
    <row r="753" spans="1:10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>
      <c r="A760" s="5"/>
      <c r="B760" s="5"/>
      <c r="C760" s="5"/>
      <c r="D760" s="5"/>
      <c r="E760" s="5"/>
      <c r="F760" s="5"/>
      <c r="G760" s="5"/>
      <c r="H760" s="5"/>
      <c r="I760" s="5"/>
    </row>
    <row r="761" spans="1:10">
      <c r="A761" s="5"/>
      <c r="B761" s="5"/>
      <c r="C761" s="5"/>
      <c r="D761" s="5"/>
      <c r="E761" s="5"/>
      <c r="F761" s="5"/>
      <c r="G761" s="5"/>
      <c r="H761" s="5"/>
      <c r="I761" s="5"/>
    </row>
    <row r="762" spans="1:10">
      <c r="A762" s="5"/>
      <c r="B762" s="5"/>
      <c r="C762" s="5"/>
      <c r="D762" s="5"/>
      <c r="E762" s="5"/>
      <c r="F762" s="5"/>
      <c r="G762" s="5"/>
      <c r="H762" s="5"/>
      <c r="I762" s="5"/>
    </row>
    <row r="763" spans="1:10">
      <c r="A763" s="5"/>
      <c r="B763" s="5"/>
      <c r="C763" s="5"/>
      <c r="D763" s="5"/>
      <c r="E763" s="5"/>
      <c r="F763" s="5"/>
      <c r="G763" s="5"/>
      <c r="H763" s="5"/>
      <c r="I763" s="5"/>
    </row>
    <row r="764" spans="1:10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>
      <c r="A769" s="9"/>
    </row>
    <row r="770" spans="1:10">
      <c r="A770" s="9"/>
    </row>
    <row r="771" spans="1:10">
      <c r="A771" s="9"/>
    </row>
    <row r="772" spans="1:10">
      <c r="A772" s="9"/>
    </row>
    <row r="775" spans="1:10">
      <c r="A775" s="9"/>
    </row>
    <row r="776" spans="1:10">
      <c r="A776" s="9"/>
    </row>
    <row r="777" spans="1:10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>
      <c r="A778" s="9"/>
    </row>
    <row r="779" spans="1:10">
      <c r="A779" s="9"/>
    </row>
    <row r="780" spans="1:10">
      <c r="A780" s="9"/>
    </row>
    <row r="781" spans="1:10">
      <c r="A781" s="9"/>
    </row>
    <row r="782" spans="1:10">
      <c r="A782" s="9"/>
    </row>
    <row r="783" spans="1:10">
      <c r="A783" s="21"/>
      <c r="B783" s="2"/>
    </row>
    <row r="784" spans="1:10">
      <c r="A784" s="15"/>
      <c r="B784" s="15"/>
      <c r="C784" s="15"/>
    </row>
    <row r="785" spans="1:10">
      <c r="A785" s="15"/>
      <c r="B785" s="15"/>
      <c r="C785" s="15"/>
    </row>
    <row r="786" spans="1:10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>
      <c r="A795" s="5"/>
      <c r="B795" s="5"/>
      <c r="C795" s="5"/>
      <c r="D795" s="5"/>
      <c r="E795" s="5"/>
      <c r="F795" s="5"/>
      <c r="G795" s="5"/>
      <c r="H795" s="5"/>
      <c r="I795" s="5"/>
    </row>
    <row r="796" spans="1:10">
      <c r="A796" s="5"/>
      <c r="B796" s="5"/>
      <c r="C796" s="5"/>
      <c r="D796" s="5"/>
      <c r="E796" s="5"/>
      <c r="F796" s="5"/>
      <c r="G796" s="5"/>
      <c r="H796" s="5"/>
      <c r="I796" s="5"/>
    </row>
    <row r="797" spans="1:10">
      <c r="A797" s="5"/>
      <c r="B797" s="5"/>
      <c r="C797" s="5"/>
      <c r="D797" s="5"/>
      <c r="E797" s="5"/>
      <c r="F797" s="5"/>
      <c r="G797" s="5"/>
      <c r="H797" s="5"/>
      <c r="I797" s="5"/>
    </row>
    <row r="798" spans="1:10">
      <c r="A798" s="5"/>
      <c r="B798" s="5"/>
      <c r="C798" s="5"/>
      <c r="D798" s="5"/>
      <c r="E798" s="5"/>
      <c r="F798" s="5"/>
      <c r="G798" s="5"/>
      <c r="H798" s="5"/>
      <c r="I798" s="5"/>
    </row>
    <row r="799" spans="1:10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>
      <c r="A804" s="21"/>
      <c r="C804" s="5"/>
      <c r="D804" s="5"/>
      <c r="E804" s="5"/>
      <c r="F804" s="5"/>
      <c r="G804" s="5"/>
      <c r="H804" s="5"/>
      <c r="I804" s="5"/>
      <c r="J804" s="5"/>
    </row>
    <row r="805" spans="1:10">
      <c r="A805" s="21"/>
      <c r="C805" s="5"/>
      <c r="D805" s="5"/>
      <c r="E805" s="5"/>
      <c r="F805" s="5"/>
      <c r="G805" s="5"/>
      <c r="H805" s="5"/>
      <c r="I805" s="5"/>
      <c r="J805" s="5"/>
    </row>
    <row r="806" spans="1:10">
      <c r="A806" s="21"/>
      <c r="C806" s="5"/>
      <c r="D806" s="5"/>
      <c r="E806" s="5"/>
      <c r="F806" s="5"/>
      <c r="G806" s="5"/>
      <c r="H806" s="5"/>
      <c r="I806" s="5"/>
      <c r="J806" s="5"/>
    </row>
    <row r="807" spans="1:10">
      <c r="A807" s="21"/>
      <c r="C807" s="5"/>
      <c r="D807" s="5"/>
      <c r="E807" s="5"/>
      <c r="F807" s="5"/>
      <c r="G807" s="5"/>
      <c r="H807" s="5"/>
      <c r="I807" s="5"/>
      <c r="J807" s="5"/>
    </row>
    <row r="808" spans="1:10">
      <c r="A808" s="21"/>
      <c r="C808" s="5"/>
      <c r="D808" s="5"/>
      <c r="E808" s="5"/>
      <c r="F808" s="5"/>
      <c r="G808" s="5"/>
      <c r="H808" s="5"/>
      <c r="I808" s="5"/>
      <c r="J808" s="5"/>
    </row>
    <row r="809" spans="1:10">
      <c r="A809" s="21"/>
      <c r="C809" s="5"/>
      <c r="D809" s="5"/>
      <c r="E809" s="5"/>
      <c r="F809" s="5"/>
      <c r="G809" s="5"/>
      <c r="H809" s="5"/>
      <c r="I809" s="5"/>
      <c r="J809" s="5"/>
    </row>
    <row r="810" spans="1:10">
      <c r="A810" s="21"/>
      <c r="B810" s="5"/>
      <c r="C810" s="5"/>
      <c r="D810" s="5"/>
      <c r="E810" s="5"/>
      <c r="F810" s="5"/>
      <c r="G810" s="5"/>
      <c r="H810" s="5"/>
      <c r="I810" s="5"/>
      <c r="J810" s="5"/>
    </row>
    <row r="811" spans="1:10">
      <c r="A811" s="21"/>
      <c r="C811" s="5"/>
      <c r="D811" s="5"/>
      <c r="E811" s="5"/>
      <c r="F811" s="5"/>
      <c r="G811" s="5"/>
      <c r="H811" s="5"/>
      <c r="I811" s="5"/>
      <c r="J811" s="5"/>
    </row>
    <row r="812" spans="1:10">
      <c r="A812" s="21"/>
      <c r="C812" s="5"/>
      <c r="D812" s="5"/>
      <c r="E812" s="5"/>
      <c r="F812" s="5"/>
      <c r="G812" s="5"/>
      <c r="H812" s="5"/>
      <c r="I812" s="5"/>
      <c r="J812" s="5"/>
    </row>
    <row r="813" spans="1:10">
      <c r="A813" s="21"/>
      <c r="C813" s="5"/>
      <c r="D813" s="5"/>
      <c r="E813" s="5"/>
      <c r="F813" s="5"/>
      <c r="G813" s="5"/>
      <c r="H813" s="5"/>
      <c r="I813" s="5"/>
      <c r="J813" s="5"/>
    </row>
    <row r="814" spans="1:10">
      <c r="A814" s="21"/>
      <c r="C814" s="5"/>
      <c r="D814" s="5"/>
      <c r="E814" s="5"/>
      <c r="F814" s="5"/>
      <c r="G814" s="5"/>
      <c r="H814" s="5"/>
      <c r="I814" s="5"/>
      <c r="J814" s="5"/>
    </row>
    <row r="819" spans="1:10">
      <c r="A819" s="9"/>
    </row>
    <row r="820" spans="1:1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>
      <c r="A829" s="5"/>
      <c r="B829" s="5"/>
      <c r="C829" s="5"/>
      <c r="D829" s="5"/>
      <c r="E829" s="5"/>
      <c r="F829" s="5"/>
      <c r="G829" s="5"/>
      <c r="H829" s="5"/>
      <c r="I829" s="5"/>
    </row>
    <row r="830" spans="1:10">
      <c r="A830" s="5"/>
      <c r="B830" s="5"/>
      <c r="C830" s="5"/>
      <c r="D830" s="5"/>
      <c r="E830" s="5"/>
      <c r="F830" s="5"/>
      <c r="G830" s="5"/>
      <c r="H830" s="5"/>
      <c r="I830" s="5"/>
    </row>
    <row r="831" spans="1:10">
      <c r="A831" s="5"/>
      <c r="B831" s="5"/>
      <c r="C831" s="5"/>
      <c r="D831" s="5"/>
      <c r="E831" s="5"/>
      <c r="F831" s="5"/>
      <c r="G831" s="5"/>
      <c r="H831" s="5"/>
      <c r="I831" s="5"/>
    </row>
    <row r="832" spans="1:10">
      <c r="A832" s="5"/>
      <c r="B832" s="5"/>
      <c r="C832" s="5"/>
      <c r="D832" s="5"/>
      <c r="E832" s="5"/>
      <c r="F832" s="5"/>
      <c r="G832" s="5"/>
      <c r="H832" s="5"/>
      <c r="I832" s="5"/>
    </row>
    <row r="833" spans="1:10">
      <c r="A833" s="5"/>
      <c r="B833" s="5"/>
      <c r="C833" s="5"/>
      <c r="D833" s="5"/>
      <c r="E833" s="5"/>
      <c r="F833" s="5"/>
      <c r="G833" s="5"/>
      <c r="H833" s="5"/>
      <c r="I833" s="5"/>
    </row>
    <row r="834" spans="1:10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>
      <c r="A839" s="9"/>
    </row>
    <row r="840" spans="1:10">
      <c r="A840" s="9"/>
    </row>
    <row r="841" spans="1:10">
      <c r="A841" s="9"/>
    </row>
    <row r="842" spans="1:10">
      <c r="A842" s="9"/>
    </row>
    <row r="845" spans="1:10">
      <c r="A845" s="9"/>
    </row>
    <row r="846" spans="1:10">
      <c r="A846" s="9"/>
    </row>
    <row r="847" spans="1:10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>
      <c r="A848" s="9"/>
    </row>
    <row r="849" spans="1:10">
      <c r="A849" s="9"/>
    </row>
    <row r="850" spans="1:10">
      <c r="A850" s="9"/>
    </row>
    <row r="851" spans="1:10">
      <c r="A851" s="9"/>
    </row>
    <row r="852" spans="1:10">
      <c r="A852" s="21"/>
      <c r="B852" s="2"/>
    </row>
    <row r="856" spans="1:10">
      <c r="A856" s="9"/>
    </row>
    <row r="857" spans="1:10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>
      <c r="A864" s="5"/>
      <c r="B864" s="5"/>
      <c r="C864" s="5"/>
      <c r="D864" s="5"/>
      <c r="E864" s="5"/>
      <c r="F864" s="5"/>
      <c r="G864" s="5"/>
      <c r="H864" s="5"/>
      <c r="I864" s="5"/>
    </row>
    <row r="865" spans="1:10">
      <c r="A865" s="5"/>
      <c r="B865" s="5"/>
      <c r="C865" s="5"/>
      <c r="D865" s="5"/>
      <c r="E865" s="5"/>
      <c r="F865" s="5"/>
      <c r="G865" s="5"/>
      <c r="H865" s="5"/>
      <c r="I865" s="5"/>
    </row>
    <row r="866" spans="1:10">
      <c r="A866" s="5"/>
      <c r="B866" s="5"/>
      <c r="C866" s="5"/>
      <c r="D866" s="5"/>
      <c r="E866" s="5"/>
      <c r="F866" s="5"/>
      <c r="G866" s="5"/>
      <c r="H866" s="5"/>
      <c r="I866" s="5"/>
    </row>
    <row r="867" spans="1:10">
      <c r="A867" s="5"/>
      <c r="B867" s="5"/>
      <c r="C867" s="5"/>
      <c r="D867" s="5"/>
      <c r="E867" s="5"/>
      <c r="F867" s="5"/>
      <c r="G867" s="5"/>
      <c r="H867" s="5"/>
      <c r="I867" s="5"/>
    </row>
    <row r="868" spans="1:10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>
      <c r="A873" s="9"/>
    </row>
    <row r="874" spans="1:10">
      <c r="A874" s="9"/>
    </row>
    <row r="875" spans="1:10">
      <c r="A875" s="9"/>
    </row>
    <row r="876" spans="1:10">
      <c r="A876" s="9"/>
    </row>
    <row r="879" spans="1:10">
      <c r="A879" s="9"/>
    </row>
    <row r="880" spans="1:10">
      <c r="A880" s="9"/>
    </row>
    <row r="881" spans="1:10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>
      <c r="A882" s="9"/>
    </row>
    <row r="883" spans="1:10">
      <c r="A883" s="9"/>
    </row>
    <row r="884" spans="1:10">
      <c r="A884" s="9"/>
    </row>
    <row r="885" spans="1:10">
      <c r="A885" s="9"/>
    </row>
    <row r="886" spans="1:10">
      <c r="A886" s="21"/>
      <c r="B886" s="2"/>
    </row>
    <row r="892" spans="1:10">
      <c r="A892" s="9"/>
    </row>
    <row r="893" spans="1:10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>
      <c r="A902" s="5"/>
      <c r="B902" s="5"/>
      <c r="C902" s="5"/>
      <c r="D902" s="5"/>
      <c r="E902" s="5"/>
      <c r="F902" s="5"/>
      <c r="G902" s="5"/>
      <c r="H902" s="5"/>
      <c r="I902" s="5"/>
    </row>
    <row r="903" spans="1:10">
      <c r="A903" s="5"/>
      <c r="B903" s="5"/>
      <c r="C903" s="5"/>
      <c r="D903" s="5"/>
      <c r="E903" s="5"/>
      <c r="F903" s="5"/>
      <c r="G903" s="5"/>
      <c r="H903" s="5"/>
      <c r="I903" s="5"/>
    </row>
    <row r="904" spans="1:10">
      <c r="A904" s="5"/>
      <c r="B904" s="5"/>
      <c r="C904" s="5"/>
      <c r="D904" s="5"/>
      <c r="E904" s="5"/>
      <c r="F904" s="5"/>
      <c r="G904" s="5"/>
      <c r="H904" s="5"/>
      <c r="I904" s="5"/>
    </row>
    <row r="905" spans="1:10">
      <c r="A905" s="5"/>
      <c r="B905" s="5"/>
      <c r="C905" s="5"/>
      <c r="D905" s="5"/>
      <c r="E905" s="5"/>
      <c r="F905" s="5"/>
      <c r="G905" s="5"/>
      <c r="H905" s="5"/>
      <c r="I905" s="5"/>
    </row>
    <row r="906" spans="1:10">
      <c r="A906" s="5"/>
      <c r="B906" s="5"/>
      <c r="C906" s="5"/>
      <c r="D906" s="5"/>
      <c r="E906" s="5"/>
      <c r="F906" s="5"/>
      <c r="G906" s="5"/>
      <c r="H906" s="5"/>
      <c r="I906" s="5"/>
    </row>
    <row r="907" spans="1:10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>
      <c r="A912" s="9"/>
    </row>
    <row r="913" spans="1:30">
      <c r="A913" s="9"/>
    </row>
    <row r="914" spans="1:30">
      <c r="A914" s="9"/>
    </row>
    <row r="915" spans="1:30">
      <c r="A915" s="9"/>
    </row>
    <row r="918" spans="1:30" s="38" customFormat="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</row>
    <row r="919" spans="1:30" s="38" customFormat="1">
      <c r="A919" s="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</row>
    <row r="920" spans="1:30" s="38" customFormat="1">
      <c r="A920" s="9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</row>
    <row r="921" spans="1:30" s="38" customForma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</row>
    <row r="922" spans="1:30" s="38" customFormat="1">
      <c r="A922" s="9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</row>
    <row r="923" spans="1:30">
      <c r="A923" s="9"/>
      <c r="M923" t="s">
        <v>455</v>
      </c>
    </row>
    <row r="924" spans="1:30">
      <c r="A924" s="9"/>
      <c r="M924" t="s">
        <v>455</v>
      </c>
    </row>
    <row r="925" spans="1:30">
      <c r="A925" s="9"/>
      <c r="M925" t="s">
        <v>455</v>
      </c>
    </row>
    <row r="926" spans="1:30">
      <c r="A926" s="9"/>
      <c r="M926" t="s">
        <v>455</v>
      </c>
    </row>
    <row r="927" spans="1:30">
      <c r="A927" s="9"/>
      <c r="M927" t="s">
        <v>455</v>
      </c>
    </row>
    <row r="928" spans="1:30">
      <c r="A928" s="9"/>
      <c r="M928" t="s">
        <v>455</v>
      </c>
    </row>
    <row r="929" spans="1:13">
      <c r="A929" s="9"/>
      <c r="M929" t="s">
        <v>455</v>
      </c>
    </row>
    <row r="930" spans="1:13">
      <c r="A930" s="9"/>
      <c r="M930" t="s">
        <v>455</v>
      </c>
    </row>
    <row r="931" spans="1:13">
      <c r="A931" s="9"/>
      <c r="M931" t="s">
        <v>455</v>
      </c>
    </row>
    <row r="932" spans="1:13">
      <c r="A932" s="9"/>
      <c r="M932" t="s">
        <v>455</v>
      </c>
    </row>
    <row r="933" spans="1:13">
      <c r="A933" s="9"/>
      <c r="M933" t="s">
        <v>455</v>
      </c>
    </row>
    <row r="934" spans="1:13">
      <c r="A934" s="9"/>
      <c r="M934" t="s">
        <v>455</v>
      </c>
    </row>
    <row r="935" spans="1:13">
      <c r="A935" s="9"/>
      <c r="M935" t="s">
        <v>455</v>
      </c>
    </row>
    <row r="936" spans="1:13">
      <c r="M936" t="s">
        <v>455</v>
      </c>
    </row>
    <row r="937" spans="1:13">
      <c r="M937" t="s">
        <v>455</v>
      </c>
    </row>
    <row r="938" spans="1:13">
      <c r="M938" t="s">
        <v>455</v>
      </c>
    </row>
    <row r="939" spans="1:13">
      <c r="M939" t="s">
        <v>455</v>
      </c>
    </row>
    <row r="940" spans="1:13">
      <c r="A940" s="9"/>
      <c r="M940" t="s">
        <v>455</v>
      </c>
    </row>
    <row r="941" spans="1:13">
      <c r="A941" s="5"/>
      <c r="B941" s="5"/>
      <c r="C941" s="5"/>
      <c r="D941" s="5"/>
      <c r="E941" s="5"/>
      <c r="F941" s="5"/>
      <c r="G941" s="5"/>
      <c r="H941" s="5"/>
      <c r="I941" s="5"/>
      <c r="J941" s="5"/>
      <c r="M941" t="s">
        <v>455</v>
      </c>
    </row>
    <row r="942" spans="1:13">
      <c r="A942" s="5"/>
      <c r="B942" s="5"/>
      <c r="C942" s="5"/>
      <c r="D942" s="5"/>
      <c r="E942" s="5"/>
      <c r="F942" s="5"/>
      <c r="G942" s="5"/>
      <c r="H942" s="5"/>
      <c r="I942" s="5"/>
      <c r="J942" s="5"/>
      <c r="M942" t="s">
        <v>455</v>
      </c>
    </row>
    <row r="943" spans="1:13">
      <c r="A943" s="5"/>
      <c r="B943" s="5"/>
      <c r="C943" s="5"/>
      <c r="D943" s="5"/>
      <c r="E943" s="5"/>
      <c r="F943" s="5"/>
      <c r="G943" s="5"/>
      <c r="H943" s="5"/>
      <c r="I943" s="5"/>
      <c r="J943" s="5"/>
      <c r="M943" t="s">
        <v>455</v>
      </c>
    </row>
    <row r="944" spans="1:13">
      <c r="A944" s="5"/>
      <c r="B944" s="5"/>
      <c r="C944" s="5"/>
      <c r="D944" s="5"/>
      <c r="E944" s="5"/>
      <c r="F944" s="5"/>
      <c r="G944" s="5"/>
      <c r="H944" s="5"/>
      <c r="I944" s="5"/>
      <c r="J944" s="5"/>
      <c r="M944" t="s">
        <v>455</v>
      </c>
    </row>
    <row r="945" spans="1:13">
      <c r="A945" s="5"/>
      <c r="B945" s="5"/>
      <c r="C945" s="5"/>
      <c r="D945" s="5"/>
      <c r="E945" s="5"/>
      <c r="F945" s="5"/>
      <c r="G945" s="5"/>
      <c r="H945" s="5"/>
      <c r="I945" s="5"/>
      <c r="J945" s="5"/>
      <c r="M945" t="s">
        <v>455</v>
      </c>
    </row>
    <row r="946" spans="1:13">
      <c r="A946" s="5"/>
      <c r="B946" s="5"/>
      <c r="C946" s="5"/>
      <c r="D946" s="5"/>
      <c r="E946" s="5"/>
      <c r="F946" s="5"/>
      <c r="G946" s="5"/>
      <c r="H946" s="5"/>
      <c r="I946" s="5"/>
      <c r="J946" s="5"/>
      <c r="M946" t="s">
        <v>455</v>
      </c>
    </row>
    <row r="947" spans="1:13">
      <c r="A947" s="5"/>
      <c r="B947" s="5"/>
      <c r="C947" s="5"/>
      <c r="D947" s="5"/>
      <c r="E947" s="5"/>
      <c r="F947" s="5"/>
      <c r="G947" s="5"/>
      <c r="H947" s="5"/>
      <c r="I947" s="5"/>
      <c r="J947" s="5"/>
      <c r="M947" t="s">
        <v>455</v>
      </c>
    </row>
    <row r="948" spans="1:13">
      <c r="A948" s="5"/>
      <c r="B948" s="5"/>
      <c r="C948" s="5"/>
      <c r="D948" s="5"/>
      <c r="E948" s="5"/>
      <c r="F948" s="5"/>
      <c r="G948" s="5"/>
      <c r="H948" s="5"/>
      <c r="I948" s="5"/>
      <c r="J948" s="5"/>
      <c r="M948" t="s">
        <v>455</v>
      </c>
    </row>
    <row r="949" spans="1:13">
      <c r="A949" s="5"/>
      <c r="B949" s="5"/>
      <c r="C949" s="5"/>
      <c r="D949" s="5"/>
      <c r="E949" s="5"/>
      <c r="F949" s="5"/>
      <c r="G949" s="5"/>
      <c r="H949" s="5"/>
      <c r="I949" s="5"/>
      <c r="M949" t="s">
        <v>455</v>
      </c>
    </row>
    <row r="950" spans="1:13">
      <c r="A950" s="5"/>
      <c r="B950" s="5"/>
      <c r="C950" s="5"/>
      <c r="D950" s="5"/>
      <c r="E950" s="5"/>
      <c r="F950" s="5"/>
      <c r="G950" s="5"/>
      <c r="H950" s="5"/>
      <c r="I950" s="5"/>
      <c r="M950" t="s">
        <v>455</v>
      </c>
    </row>
    <row r="951" spans="1:13">
      <c r="A951" s="5"/>
      <c r="B951" s="5"/>
      <c r="C951" s="5"/>
      <c r="D951" s="5"/>
      <c r="E951" s="5"/>
      <c r="F951" s="5"/>
      <c r="G951" s="5"/>
      <c r="H951" s="5"/>
      <c r="I951" s="5"/>
      <c r="M951" t="s">
        <v>455</v>
      </c>
    </row>
    <row r="952" spans="1:13">
      <c r="A952" s="5"/>
      <c r="B952" s="5"/>
      <c r="C952" s="5"/>
      <c r="D952" s="5"/>
      <c r="E952" s="5"/>
      <c r="F952" s="5"/>
      <c r="G952" s="5"/>
      <c r="H952" s="5"/>
      <c r="I952" s="5"/>
      <c r="M952" t="s">
        <v>455</v>
      </c>
    </row>
    <row r="953" spans="1:13">
      <c r="A953" s="5"/>
      <c r="B953" s="5"/>
      <c r="C953" s="5"/>
      <c r="D953" s="5"/>
      <c r="E953" s="5"/>
      <c r="F953" s="5"/>
      <c r="G953" s="5"/>
      <c r="H953" s="5"/>
      <c r="I953" s="5"/>
      <c r="J953" s="5"/>
      <c r="M953" t="s">
        <v>455</v>
      </c>
    </row>
    <row r="954" spans="1:13">
      <c r="A954" s="5"/>
      <c r="B954" s="5"/>
      <c r="C954" s="5"/>
      <c r="D954" s="5"/>
      <c r="E954" s="5"/>
      <c r="F954" s="5"/>
      <c r="G954" s="5"/>
      <c r="H954" s="5"/>
      <c r="I954" s="5"/>
      <c r="J954" s="5"/>
      <c r="M954" t="s">
        <v>455</v>
      </c>
    </row>
    <row r="955" spans="1:13">
      <c r="A955" s="5"/>
      <c r="B955" s="5"/>
      <c r="C955" s="5"/>
      <c r="D955" s="5"/>
      <c r="E955" s="5"/>
      <c r="F955" s="5"/>
      <c r="G955" s="5"/>
      <c r="H955" s="5"/>
      <c r="I955" s="5"/>
      <c r="J955" s="5"/>
      <c r="M955" t="s">
        <v>455</v>
      </c>
    </row>
    <row r="956" spans="1:13">
      <c r="A956" s="5"/>
      <c r="B956" s="5"/>
      <c r="C956" s="5"/>
      <c r="D956" s="5"/>
      <c r="E956" s="5"/>
      <c r="F956" s="5"/>
      <c r="G956" s="5"/>
      <c r="H956" s="5"/>
      <c r="I956" s="5"/>
      <c r="J956" s="5"/>
      <c r="M956" t="s">
        <v>455</v>
      </c>
    </row>
    <row r="957" spans="1:13">
      <c r="A957" s="9"/>
      <c r="M957" t="s">
        <v>455</v>
      </c>
    </row>
    <row r="958" spans="1:13">
      <c r="A958" s="9"/>
      <c r="M958" t="s">
        <v>455</v>
      </c>
    </row>
    <row r="959" spans="1:13">
      <c r="A959" s="9"/>
      <c r="M959" t="s">
        <v>455</v>
      </c>
    </row>
    <row r="960" spans="1:13">
      <c r="A960" s="9"/>
      <c r="M960" t="s">
        <v>455</v>
      </c>
    </row>
    <row r="961" spans="1:13">
      <c r="M961" t="s">
        <v>455</v>
      </c>
    </row>
    <row r="962" spans="1:13">
      <c r="M962" t="s">
        <v>455</v>
      </c>
    </row>
    <row r="963" spans="1:13">
      <c r="A963" s="9"/>
      <c r="M963" t="s">
        <v>455</v>
      </c>
    </row>
    <row r="964" spans="1:13">
      <c r="A964" s="9"/>
      <c r="M964" t="s">
        <v>455</v>
      </c>
    </row>
    <row r="965" spans="1:13">
      <c r="A965" s="5"/>
      <c r="B965" s="5"/>
      <c r="C965" s="5"/>
      <c r="D965" s="5"/>
      <c r="E965" s="5"/>
      <c r="F965" s="5"/>
      <c r="G965" s="5"/>
      <c r="H965" s="5"/>
      <c r="I965" s="5"/>
      <c r="J965" s="5"/>
      <c r="M965" t="s">
        <v>455</v>
      </c>
    </row>
    <row r="966" spans="1:13">
      <c r="A966" s="9"/>
      <c r="M966" t="s">
        <v>455</v>
      </c>
    </row>
    <row r="967" spans="1:13">
      <c r="A967" s="9"/>
      <c r="M967" t="s">
        <v>455</v>
      </c>
    </row>
    <row r="968" spans="1:13">
      <c r="A968" s="9"/>
      <c r="M968" t="s">
        <v>455</v>
      </c>
    </row>
    <row r="969" spans="1:13">
      <c r="A969" s="9"/>
      <c r="M969" t="s">
        <v>455</v>
      </c>
    </row>
    <row r="970" spans="1:13">
      <c r="A970" s="9"/>
      <c r="M970" t="s">
        <v>455</v>
      </c>
    </row>
    <row r="971" spans="1:13">
      <c r="A971" s="21"/>
      <c r="B971" s="2"/>
      <c r="M971" t="s">
        <v>455</v>
      </c>
    </row>
    <row r="972" spans="1:13">
      <c r="M972" t="s">
        <v>455</v>
      </c>
    </row>
    <row r="973" spans="1:13">
      <c r="M973" t="s">
        <v>455</v>
      </c>
    </row>
    <row r="974" spans="1:13">
      <c r="M974" t="s">
        <v>455</v>
      </c>
    </row>
    <row r="975" spans="1:13">
      <c r="M975" t="s">
        <v>455</v>
      </c>
    </row>
    <row r="976" spans="1:13">
      <c r="A976" s="9"/>
      <c r="M976" t="s">
        <v>455</v>
      </c>
    </row>
    <row r="977" spans="1:13">
      <c r="A977" s="5"/>
      <c r="B977" s="5"/>
      <c r="C977" s="5"/>
      <c r="D977" s="5"/>
      <c r="E977" s="5"/>
      <c r="F977" s="5"/>
      <c r="G977" s="5"/>
      <c r="H977" s="5"/>
      <c r="I977" s="5"/>
      <c r="J977" s="5"/>
      <c r="M977" t="s">
        <v>455</v>
      </c>
    </row>
    <row r="978" spans="1:13">
      <c r="A978" s="5"/>
      <c r="B978" s="5"/>
      <c r="C978" s="5"/>
      <c r="D978" s="5"/>
      <c r="E978" s="5"/>
      <c r="F978" s="5"/>
      <c r="G978" s="5"/>
      <c r="H978" s="5"/>
      <c r="I978" s="5"/>
      <c r="J978" s="5"/>
      <c r="M978" t="s">
        <v>455</v>
      </c>
    </row>
    <row r="979" spans="1:13">
      <c r="A979" s="5"/>
      <c r="B979" s="5"/>
      <c r="C979" s="5"/>
      <c r="D979" s="5"/>
      <c r="E979" s="5"/>
      <c r="F979" s="5"/>
      <c r="G979" s="5"/>
      <c r="H979" s="5"/>
      <c r="I979" s="5"/>
      <c r="J979" s="5"/>
      <c r="M979" t="s">
        <v>455</v>
      </c>
    </row>
    <row r="980" spans="1:13">
      <c r="A980" s="5"/>
      <c r="B980" s="5"/>
      <c r="C980" s="5"/>
      <c r="D980" s="5"/>
      <c r="E980" s="5"/>
      <c r="F980" s="5"/>
      <c r="G980" s="5"/>
      <c r="H980" s="5"/>
      <c r="I980" s="5"/>
      <c r="J980" s="5"/>
      <c r="M980" t="s">
        <v>455</v>
      </c>
    </row>
    <row r="981" spans="1:13">
      <c r="A981" s="5"/>
      <c r="B981" s="5"/>
      <c r="C981" s="5"/>
      <c r="D981" s="5"/>
      <c r="E981" s="5"/>
      <c r="F981" s="5"/>
      <c r="G981" s="5"/>
      <c r="H981" s="5"/>
      <c r="I981" s="5"/>
      <c r="J981" s="5"/>
      <c r="M981" t="s">
        <v>455</v>
      </c>
    </row>
    <row r="982" spans="1:13">
      <c r="A982" s="5"/>
      <c r="B982" s="5"/>
      <c r="C982" s="5"/>
      <c r="D982" s="5"/>
      <c r="E982" s="5"/>
      <c r="F982" s="5"/>
      <c r="G982" s="5"/>
      <c r="H982" s="5"/>
      <c r="I982" s="5"/>
      <c r="J982" s="5"/>
      <c r="M982" t="s">
        <v>455</v>
      </c>
    </row>
    <row r="983" spans="1:13">
      <c r="A983" s="5"/>
      <c r="B983" s="5"/>
      <c r="C983" s="5"/>
      <c r="D983" s="5"/>
      <c r="E983" s="5"/>
      <c r="F983" s="5"/>
      <c r="G983" s="5"/>
      <c r="H983" s="5"/>
      <c r="I983" s="5"/>
      <c r="J983" s="5"/>
      <c r="M983" t="s">
        <v>455</v>
      </c>
    </row>
    <row r="984" spans="1:13">
      <c r="A984" s="5"/>
      <c r="B984" s="5"/>
      <c r="C984" s="5"/>
      <c r="D984" s="5"/>
      <c r="E984" s="5"/>
      <c r="F984" s="5"/>
      <c r="G984" s="5"/>
      <c r="H984" s="5"/>
      <c r="I984" s="5"/>
      <c r="J984" s="5"/>
      <c r="M984" t="s">
        <v>455</v>
      </c>
    </row>
    <row r="985" spans="1:13">
      <c r="A985" s="5"/>
      <c r="B985" s="5"/>
      <c r="C985" s="5"/>
      <c r="D985" s="5"/>
      <c r="E985" s="5"/>
      <c r="F985" s="5"/>
      <c r="G985" s="5"/>
      <c r="H985" s="5"/>
      <c r="I985" s="5"/>
      <c r="J985" s="5"/>
      <c r="M985" t="s">
        <v>455</v>
      </c>
    </row>
    <row r="986" spans="1:13">
      <c r="A986" s="5"/>
      <c r="B986" s="5"/>
      <c r="C986" s="5"/>
      <c r="D986" s="5"/>
      <c r="E986" s="5"/>
      <c r="F986" s="5"/>
      <c r="G986" s="5"/>
      <c r="H986" s="5"/>
      <c r="I986" s="5"/>
      <c r="M986" t="s">
        <v>455</v>
      </c>
    </row>
    <row r="987" spans="1:13">
      <c r="A987" s="5"/>
      <c r="B987" s="5"/>
      <c r="C987" s="5"/>
      <c r="D987" s="5"/>
      <c r="E987" s="5"/>
      <c r="F987" s="5"/>
      <c r="G987" s="5"/>
      <c r="H987" s="5"/>
      <c r="I987" s="5"/>
      <c r="M987" t="s">
        <v>455</v>
      </c>
    </row>
    <row r="988" spans="1:13">
      <c r="A988" s="5"/>
      <c r="B988" s="5"/>
      <c r="C988" s="5"/>
      <c r="D988" s="5"/>
      <c r="E988" s="5"/>
      <c r="F988" s="5"/>
      <c r="G988" s="5"/>
      <c r="H988" s="5"/>
      <c r="I988" s="5"/>
      <c r="M988" t="s">
        <v>455</v>
      </c>
    </row>
    <row r="989" spans="1:13">
      <c r="A989" s="5"/>
      <c r="B989" s="5"/>
      <c r="C989" s="5"/>
      <c r="D989" s="5"/>
      <c r="E989" s="5"/>
      <c r="F989" s="5"/>
      <c r="G989" s="5"/>
      <c r="H989" s="5"/>
      <c r="I989" s="5"/>
      <c r="M989" t="s">
        <v>455</v>
      </c>
    </row>
    <row r="990" spans="1:13">
      <c r="A990" s="5"/>
      <c r="B990" s="5"/>
      <c r="C990" s="5"/>
      <c r="D990" s="5"/>
      <c r="E990" s="5"/>
      <c r="F990" s="5"/>
      <c r="G990" s="5"/>
      <c r="H990" s="5"/>
      <c r="I990" s="5"/>
      <c r="J990" s="5"/>
      <c r="M990" t="s">
        <v>455</v>
      </c>
    </row>
    <row r="991" spans="1:13">
      <c r="A991" s="5"/>
      <c r="B991" s="5"/>
      <c r="C991" s="5"/>
      <c r="D991" s="5"/>
      <c r="E991" s="5"/>
      <c r="F991" s="5"/>
      <c r="G991" s="5"/>
      <c r="H991" s="5"/>
      <c r="I991" s="5"/>
      <c r="J991" s="5"/>
      <c r="M991" t="s">
        <v>455</v>
      </c>
    </row>
    <row r="992" spans="1:13">
      <c r="A992" s="5"/>
      <c r="B992" s="5"/>
      <c r="C992" s="5"/>
      <c r="D992" s="5"/>
      <c r="E992" s="5"/>
      <c r="F992" s="5"/>
      <c r="G992" s="5"/>
      <c r="H992" s="5"/>
      <c r="I992" s="5"/>
      <c r="J992" s="5"/>
      <c r="M992" t="s">
        <v>455</v>
      </c>
    </row>
    <row r="993" spans="1:13">
      <c r="A993" s="5"/>
      <c r="B993" s="5"/>
      <c r="C993" s="5"/>
      <c r="D993" s="5"/>
      <c r="E993" s="5"/>
      <c r="F993" s="5"/>
      <c r="G993" s="5"/>
      <c r="H993" s="5"/>
      <c r="I993" s="5"/>
      <c r="J993" s="5"/>
      <c r="M993" t="s">
        <v>455</v>
      </c>
    </row>
    <row r="994" spans="1:13">
      <c r="A994" s="9"/>
      <c r="M994" t="s">
        <v>455</v>
      </c>
    </row>
    <row r="995" spans="1:13">
      <c r="A995" s="9"/>
      <c r="M995" t="s">
        <v>455</v>
      </c>
    </row>
    <row r="996" spans="1:13">
      <c r="A996" s="9"/>
      <c r="M996" t="s">
        <v>455</v>
      </c>
    </row>
    <row r="997" spans="1:13">
      <c r="A997" s="9"/>
      <c r="M997" t="s">
        <v>455</v>
      </c>
    </row>
    <row r="998" spans="1:13">
      <c r="M998" t="s">
        <v>455</v>
      </c>
    </row>
    <row r="999" spans="1:13">
      <c r="M999" t="s">
        <v>455</v>
      </c>
    </row>
    <row r="1000" spans="1:13">
      <c r="A1000" s="9"/>
      <c r="M1000" t="s">
        <v>455</v>
      </c>
    </row>
    <row r="1001" spans="1:13">
      <c r="A1001" s="9"/>
      <c r="M1001" t="s">
        <v>455</v>
      </c>
    </row>
    <row r="1002" spans="1:1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M1002" t="s">
        <v>455</v>
      </c>
    </row>
    <row r="1003" spans="1:13">
      <c r="A1003" s="9"/>
      <c r="M1003" t="s">
        <v>455</v>
      </c>
    </row>
    <row r="1004" spans="1:13">
      <c r="A1004" s="9"/>
      <c r="M1004" t="s">
        <v>455</v>
      </c>
    </row>
    <row r="1005" spans="1:13">
      <c r="A1005" s="9"/>
      <c r="M1005" t="s">
        <v>455</v>
      </c>
    </row>
    <row r="1006" spans="1:13">
      <c r="A1006" s="9"/>
      <c r="M1006" t="s">
        <v>455</v>
      </c>
    </row>
    <row r="1007" spans="1:13">
      <c r="A1007" s="21"/>
      <c r="B1007" s="2"/>
      <c r="M1007" t="s">
        <v>455</v>
      </c>
    </row>
    <row r="1008" spans="1:13">
      <c r="M1008" t="s">
        <v>455</v>
      </c>
    </row>
    <row r="1009" spans="1:13">
      <c r="M1009" t="s">
        <v>455</v>
      </c>
    </row>
    <row r="1010" spans="1:13">
      <c r="M1010" t="s">
        <v>455</v>
      </c>
    </row>
    <row r="1011" spans="1:13">
      <c r="M1011" t="s">
        <v>455</v>
      </c>
    </row>
    <row r="1012" spans="1:13">
      <c r="A1012" s="9"/>
      <c r="M1012" t="s">
        <v>455</v>
      </c>
    </row>
    <row r="1013" spans="1: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M1013" t="s">
        <v>455</v>
      </c>
    </row>
    <row r="1014" spans="1:13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M1014" t="s">
        <v>455</v>
      </c>
    </row>
    <row r="1015" spans="1:13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M1015" t="s">
        <v>455</v>
      </c>
    </row>
    <row r="1016" spans="1:13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M1016" t="s">
        <v>455</v>
      </c>
    </row>
    <row r="1017" spans="1:13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M1017" t="s">
        <v>455</v>
      </c>
    </row>
    <row r="1018" spans="1:13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M1018" t="s">
        <v>455</v>
      </c>
    </row>
    <row r="1019" spans="1:13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M1019" t="s">
        <v>455</v>
      </c>
    </row>
    <row r="1020" spans="1:13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M1020" t="s">
        <v>455</v>
      </c>
    </row>
    <row r="1021" spans="1:13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M1021" t="s">
        <v>455</v>
      </c>
    </row>
    <row r="1022" spans="1:13">
      <c r="A1022" s="5"/>
      <c r="B1022" s="5"/>
      <c r="C1022" s="5"/>
      <c r="D1022" s="5"/>
      <c r="E1022" s="5"/>
      <c r="F1022" s="5"/>
      <c r="G1022" s="5"/>
      <c r="H1022" s="5"/>
      <c r="I1022" s="5"/>
      <c r="M1022" t="s">
        <v>455</v>
      </c>
    </row>
    <row r="1023" spans="1:13">
      <c r="A1023" s="5"/>
      <c r="B1023" s="5"/>
      <c r="C1023" s="5"/>
      <c r="D1023" s="5"/>
      <c r="E1023" s="5"/>
      <c r="F1023" s="5"/>
      <c r="G1023" s="5"/>
      <c r="H1023" s="5"/>
      <c r="I1023" s="5"/>
      <c r="M1023" t="s">
        <v>455</v>
      </c>
    </row>
    <row r="1024" spans="1:13">
      <c r="A1024" s="5"/>
      <c r="B1024" s="5"/>
      <c r="C1024" s="5"/>
      <c r="D1024" s="5"/>
      <c r="E1024" s="5"/>
      <c r="F1024" s="5"/>
      <c r="G1024" s="5"/>
      <c r="H1024" s="5"/>
      <c r="I1024" s="5"/>
      <c r="M1024" t="s">
        <v>455</v>
      </c>
    </row>
    <row r="1025" spans="1:13">
      <c r="A1025" s="5"/>
      <c r="B1025" s="5"/>
      <c r="C1025" s="5"/>
      <c r="D1025" s="5"/>
      <c r="E1025" s="5"/>
      <c r="F1025" s="5"/>
      <c r="G1025" s="5"/>
      <c r="H1025" s="5"/>
      <c r="I1025" s="5"/>
      <c r="M1025" t="s">
        <v>455</v>
      </c>
    </row>
    <row r="1026" spans="1:13">
      <c r="A1026" s="5"/>
      <c r="B1026" s="5"/>
      <c r="C1026" s="5"/>
      <c r="D1026" s="5"/>
      <c r="E1026" s="5"/>
      <c r="F1026" s="5"/>
      <c r="G1026" s="5"/>
      <c r="H1026" s="5"/>
      <c r="I1026" s="5"/>
      <c r="M1026" t="s">
        <v>455</v>
      </c>
    </row>
    <row r="1027" spans="1:13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M1027" t="s">
        <v>455</v>
      </c>
    </row>
    <row r="1028" spans="1:13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M1028" t="s">
        <v>455</v>
      </c>
    </row>
    <row r="1029" spans="1:13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M1029" t="s">
        <v>455</v>
      </c>
    </row>
    <row r="1030" spans="1:13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M1030" t="s">
        <v>455</v>
      </c>
    </row>
    <row r="1031" spans="1:13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M1031" t="s">
        <v>455</v>
      </c>
    </row>
    <row r="1032" spans="1:13">
      <c r="A1032" s="9"/>
      <c r="M1032" t="s">
        <v>455</v>
      </c>
    </row>
    <row r="1033" spans="1:13">
      <c r="A1033" s="9"/>
      <c r="M1033" t="s">
        <v>455</v>
      </c>
    </row>
    <row r="1034" spans="1:13">
      <c r="A1034" s="9"/>
      <c r="M1034" t="s">
        <v>455</v>
      </c>
    </row>
    <row r="1035" spans="1:13">
      <c r="A1035" s="9"/>
      <c r="M1035" t="s">
        <v>455</v>
      </c>
    </row>
    <row r="1036" spans="1:13">
      <c r="M1036" t="s">
        <v>455</v>
      </c>
    </row>
    <row r="1037" spans="1:13">
      <c r="M1037" t="s">
        <v>455</v>
      </c>
    </row>
    <row r="1038" spans="1:13">
      <c r="A1038" s="9"/>
      <c r="M1038" t="s">
        <v>455</v>
      </c>
    </row>
    <row r="1039" spans="1:13">
      <c r="A1039" s="9"/>
      <c r="M1039" t="s">
        <v>455</v>
      </c>
    </row>
    <row r="1040" spans="1:13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M1040" t="s">
        <v>455</v>
      </c>
    </row>
    <row r="1041" spans="1:13">
      <c r="A1041" s="9"/>
      <c r="M1041" t="s">
        <v>455</v>
      </c>
    </row>
    <row r="1042" spans="1:13">
      <c r="A1042" s="9"/>
      <c r="M1042" t="s">
        <v>455</v>
      </c>
    </row>
    <row r="1043" spans="1:13">
      <c r="A1043" s="9"/>
      <c r="M1043" t="s">
        <v>455</v>
      </c>
    </row>
    <row r="1044" spans="1:13">
      <c r="A1044" s="9"/>
      <c r="M1044" t="s">
        <v>455</v>
      </c>
    </row>
    <row r="1045" spans="1:13">
      <c r="A1045" s="15"/>
      <c r="B1045" s="15"/>
      <c r="C1045" s="15"/>
      <c r="M1045" t="s">
        <v>455</v>
      </c>
    </row>
    <row r="1046" spans="1:13">
      <c r="A1046" s="15"/>
      <c r="B1046" s="15"/>
      <c r="C1046" s="15"/>
      <c r="M1046" t="s">
        <v>455</v>
      </c>
    </row>
    <row r="1047" spans="1:13">
      <c r="A1047" s="15"/>
      <c r="B1047" s="15"/>
      <c r="C1047" s="15"/>
    </row>
    <row r="1048" spans="1:13">
      <c r="A1048" s="5"/>
      <c r="B1048" s="5"/>
      <c r="C1048" s="5"/>
      <c r="D1048" s="5"/>
      <c r="E1048" s="5"/>
      <c r="F1048" s="5"/>
      <c r="G1048" s="5"/>
      <c r="H1048" s="5"/>
      <c r="I1048" s="5"/>
      <c r="J1048" s="5"/>
    </row>
    <row r="1049" spans="1:13">
      <c r="A1049" s="5"/>
      <c r="B1049" s="5"/>
      <c r="C1049" s="5"/>
      <c r="D1049" s="5"/>
      <c r="E1049" s="5"/>
      <c r="F1049" s="5"/>
      <c r="G1049" s="5"/>
      <c r="H1049" s="5"/>
      <c r="I1049" s="5"/>
      <c r="J1049" s="5"/>
    </row>
    <row r="1050" spans="1:13">
      <c r="A1050" s="5"/>
      <c r="B1050" s="5"/>
      <c r="C1050" s="5"/>
      <c r="D1050" s="5"/>
      <c r="E1050" s="5"/>
      <c r="F1050" s="5"/>
      <c r="G1050" s="5"/>
      <c r="H1050" s="5"/>
      <c r="I1050" s="5"/>
      <c r="J1050" s="5"/>
    </row>
    <row r="1051" spans="1:13">
      <c r="A1051" s="5"/>
      <c r="B1051" s="5"/>
      <c r="C1051" s="5"/>
      <c r="D1051" s="5"/>
      <c r="E1051" s="5"/>
      <c r="F1051" s="5"/>
      <c r="G1051" s="5"/>
      <c r="H1051" s="5"/>
      <c r="I1051" s="5"/>
      <c r="J1051" s="5"/>
    </row>
    <row r="1052" spans="1:13">
      <c r="A1052" s="5"/>
      <c r="B1052" s="5"/>
      <c r="C1052" s="5"/>
      <c r="D1052" s="5"/>
      <c r="E1052" s="5"/>
      <c r="F1052" s="5"/>
      <c r="G1052" s="5"/>
      <c r="H1052" s="5"/>
      <c r="I1052" s="5"/>
      <c r="J1052" s="5"/>
    </row>
    <row r="1053" spans="1:13">
      <c r="A1053" s="5"/>
      <c r="B1053" s="5"/>
      <c r="C1053" s="5"/>
      <c r="D1053" s="5"/>
      <c r="E1053" s="5"/>
      <c r="F1053" s="5"/>
      <c r="G1053" s="5"/>
      <c r="H1053" s="5"/>
      <c r="I1053" s="5"/>
      <c r="J1053" s="5"/>
    </row>
    <row r="1054" spans="1:13">
      <c r="A1054" s="5"/>
      <c r="B1054" s="5"/>
      <c r="C1054" s="5"/>
      <c r="D1054" s="5"/>
      <c r="E1054" s="5"/>
      <c r="F1054" s="5"/>
      <c r="G1054" s="5"/>
      <c r="H1054" s="5"/>
      <c r="I1054" s="5"/>
      <c r="J1054" s="5"/>
    </row>
    <row r="1055" spans="1:13">
      <c r="A1055" s="5"/>
      <c r="B1055" s="5"/>
      <c r="C1055" s="5"/>
      <c r="D1055" s="5"/>
      <c r="E1055" s="5"/>
      <c r="F1055" s="5"/>
      <c r="G1055" s="5"/>
      <c r="H1055" s="5"/>
      <c r="I1055" s="5"/>
      <c r="J1055" s="5"/>
    </row>
    <row r="1056" spans="1:13">
      <c r="A1056" s="5"/>
      <c r="B1056" s="5"/>
      <c r="C1056" s="5"/>
      <c r="D1056" s="5"/>
      <c r="E1056" s="5"/>
      <c r="F1056" s="5"/>
      <c r="G1056" s="5"/>
      <c r="H1056" s="5"/>
      <c r="I1056" s="5"/>
    </row>
    <row r="1057" spans="1:12">
      <c r="A1057" s="5"/>
      <c r="B1057" s="5"/>
      <c r="C1057" s="5"/>
      <c r="D1057" s="5"/>
      <c r="E1057" s="5"/>
      <c r="F1057" s="5"/>
      <c r="G1057" s="5"/>
      <c r="H1057" s="5"/>
      <c r="I1057" s="5"/>
    </row>
    <row r="1058" spans="1:12">
      <c r="A1058" s="5"/>
      <c r="B1058" s="5"/>
      <c r="C1058" s="5"/>
      <c r="D1058" s="5"/>
      <c r="E1058" s="5"/>
      <c r="F1058" s="5"/>
      <c r="G1058" s="5"/>
      <c r="H1058" s="5"/>
      <c r="I1058" s="5"/>
    </row>
    <row r="1059" spans="1:12">
      <c r="A1059" s="5"/>
      <c r="B1059" s="5"/>
      <c r="C1059" s="5"/>
      <c r="D1059" s="5"/>
      <c r="E1059" s="5"/>
      <c r="F1059" s="5"/>
      <c r="G1059" s="5"/>
      <c r="H1059" s="5"/>
      <c r="I1059" s="5"/>
    </row>
    <row r="1060" spans="1:12">
      <c r="A1060" s="5"/>
      <c r="B1060" s="5"/>
      <c r="C1060" s="5"/>
      <c r="D1060" s="5"/>
      <c r="E1060" s="5"/>
      <c r="F1060" s="5"/>
      <c r="G1060" s="5"/>
      <c r="H1060" s="5"/>
      <c r="I1060" s="5"/>
      <c r="J1060" s="5"/>
    </row>
    <row r="1061" spans="1:12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L1061" s="16"/>
    </row>
    <row r="1062" spans="1:12">
      <c r="A1062" s="5"/>
      <c r="B1062" s="5"/>
      <c r="C1062" s="5"/>
      <c r="D1062" s="5"/>
      <c r="E1062" s="5"/>
      <c r="F1062" s="5"/>
      <c r="G1062" s="5"/>
      <c r="H1062" s="5"/>
      <c r="I1062" s="5"/>
      <c r="J1062" s="5"/>
    </row>
    <row r="1063" spans="1:12">
      <c r="A1063" s="5"/>
      <c r="B1063" s="5"/>
      <c r="C1063" s="5"/>
      <c r="D1063" s="5"/>
      <c r="E1063" s="5"/>
      <c r="F1063" s="5"/>
      <c r="G1063" s="5"/>
      <c r="H1063" s="5"/>
      <c r="I1063" s="5"/>
      <c r="J1063" s="5"/>
    </row>
    <row r="1064" spans="1:12">
      <c r="A1064" s="21"/>
      <c r="B1064" s="2"/>
    </row>
    <row r="1065" spans="1:12">
      <c r="A1065" s="21"/>
      <c r="B1065" s="2"/>
      <c r="D1065" s="5"/>
      <c r="E1065" s="5"/>
      <c r="F1065" s="5"/>
      <c r="G1065" s="5"/>
      <c r="H1065" s="5"/>
      <c r="I1065" s="5"/>
      <c r="J1065" s="5"/>
    </row>
    <row r="1066" spans="1:12">
      <c r="A1066" s="21"/>
      <c r="B1066" s="2"/>
      <c r="D1066" s="5"/>
      <c r="E1066" s="5"/>
      <c r="F1066" s="5"/>
      <c r="G1066" s="5"/>
      <c r="H1066" s="5"/>
      <c r="I1066" s="5"/>
      <c r="J1066" s="5"/>
    </row>
    <row r="1067" spans="1:12">
      <c r="A1067" s="21"/>
      <c r="B1067" s="2"/>
      <c r="D1067" s="5"/>
      <c r="E1067" s="5"/>
      <c r="F1067" s="5"/>
      <c r="G1067" s="5"/>
      <c r="H1067" s="5"/>
      <c r="I1067" s="5"/>
      <c r="J1067" s="5"/>
    </row>
    <row r="1070" spans="1:12">
      <c r="A1070" s="43"/>
      <c r="B1070" s="2"/>
      <c r="D1070" s="5"/>
      <c r="E1070" s="5"/>
      <c r="F1070" s="5"/>
      <c r="G1070" s="5"/>
      <c r="H1070" s="5"/>
      <c r="I1070" s="5"/>
      <c r="J1070" s="5"/>
    </row>
    <row r="1071" spans="1:12">
      <c r="A1071" s="21"/>
      <c r="B1071" s="2"/>
      <c r="D1071" s="5"/>
      <c r="E1071" s="5"/>
      <c r="F1071" s="5"/>
      <c r="G1071" s="5"/>
      <c r="H1071" s="5"/>
      <c r="I1071" s="5"/>
      <c r="J1071" s="5"/>
    </row>
    <row r="1072" spans="1:12">
      <c r="A1072" s="21"/>
      <c r="B1072" s="2"/>
    </row>
    <row r="1073" spans="1:10">
      <c r="A1073" s="21"/>
      <c r="B1073" s="2"/>
    </row>
    <row r="1074" spans="1:10">
      <c r="A1074" s="21"/>
      <c r="B1074" s="2"/>
      <c r="D1074" s="5"/>
      <c r="E1074" s="5"/>
      <c r="F1074" s="5"/>
      <c r="G1074" s="5"/>
      <c r="H1074" s="5"/>
      <c r="I1074" s="5"/>
      <c r="J1074" s="5"/>
    </row>
    <row r="1075" spans="1:10">
      <c r="A1075" s="21"/>
      <c r="B1075" s="2"/>
    </row>
    <row r="1076" spans="1:10">
      <c r="A1076" s="37"/>
    </row>
    <row r="1080" spans="1:10">
      <c r="A1080" s="9"/>
    </row>
    <row r="1081" spans="1:10">
      <c r="A1081" s="5"/>
      <c r="B1081" s="5"/>
      <c r="C1081" s="5"/>
      <c r="D1081" s="5"/>
      <c r="E1081" s="5"/>
      <c r="F1081" s="5"/>
      <c r="G1081" s="5"/>
      <c r="H1081" s="5"/>
      <c r="I1081" s="5"/>
      <c r="J1081" s="5"/>
    </row>
    <row r="1082" spans="1:10">
      <c r="A1082" s="5"/>
      <c r="B1082" s="5"/>
      <c r="C1082" s="5"/>
      <c r="D1082" s="5"/>
      <c r="E1082" s="5"/>
      <c r="F1082" s="5"/>
      <c r="G1082" s="5"/>
      <c r="H1082" s="5"/>
      <c r="I1082" s="5"/>
      <c r="J1082" s="5"/>
    </row>
    <row r="1083" spans="1:10">
      <c r="A1083" s="5"/>
      <c r="B1083" s="5"/>
      <c r="C1083" s="5"/>
      <c r="D1083" s="5"/>
      <c r="E1083" s="5"/>
      <c r="F1083" s="5"/>
      <c r="G1083" s="5"/>
      <c r="H1083" s="5"/>
      <c r="I1083" s="5"/>
      <c r="J1083" s="5"/>
    </row>
    <row r="1084" spans="1:10">
      <c r="A1084" s="5"/>
      <c r="B1084" s="5"/>
      <c r="C1084" s="5"/>
      <c r="D1084" s="5"/>
      <c r="E1084" s="5"/>
      <c r="F1084" s="5"/>
      <c r="G1084" s="5"/>
      <c r="H1084" s="5"/>
      <c r="I1084" s="5"/>
      <c r="J1084" s="5"/>
    </row>
    <row r="1085" spans="1:10">
      <c r="A1085" s="5"/>
      <c r="B1085" s="5"/>
      <c r="C1085" s="5"/>
      <c r="D1085" s="5"/>
      <c r="E1085" s="5"/>
      <c r="F1085" s="5"/>
      <c r="G1085" s="5"/>
      <c r="H1085" s="5"/>
      <c r="I1085" s="5"/>
      <c r="J1085" s="5"/>
    </row>
    <row r="1086" spans="1:10">
      <c r="A1086" s="5"/>
      <c r="B1086" s="5"/>
      <c r="C1086" s="5"/>
      <c r="D1086" s="5"/>
      <c r="E1086" s="5"/>
      <c r="F1086" s="5"/>
      <c r="G1086" s="5"/>
      <c r="H1086" s="5"/>
      <c r="I1086" s="5"/>
      <c r="J1086" s="5"/>
    </row>
    <row r="1087" spans="1:10">
      <c r="A1087" s="5"/>
      <c r="B1087" s="5"/>
      <c r="C1087" s="5"/>
      <c r="D1087" s="5"/>
      <c r="E1087" s="5"/>
      <c r="F1087" s="5"/>
      <c r="G1087" s="5"/>
      <c r="H1087" s="5"/>
      <c r="I1087" s="5"/>
      <c r="J1087" s="5"/>
    </row>
    <row r="1088" spans="1:10">
      <c r="A1088" s="5"/>
      <c r="B1088" s="5"/>
      <c r="C1088" s="5"/>
      <c r="D1088" s="5"/>
      <c r="E1088" s="5"/>
      <c r="F1088" s="5"/>
      <c r="G1088" s="5"/>
      <c r="H1088" s="5"/>
      <c r="I1088" s="5"/>
      <c r="J1088" s="5"/>
    </row>
    <row r="1089" spans="1:10">
      <c r="A1089" s="5"/>
      <c r="B1089" s="5"/>
      <c r="C1089" s="5"/>
      <c r="D1089" s="5"/>
      <c r="E1089" s="5"/>
      <c r="F1089" s="5"/>
      <c r="G1089" s="5"/>
      <c r="H1089" s="5"/>
      <c r="I1089" s="5"/>
    </row>
    <row r="1090" spans="1:10">
      <c r="A1090" s="5"/>
      <c r="B1090" s="5"/>
      <c r="C1090" s="5"/>
      <c r="D1090" s="5"/>
      <c r="E1090" s="5"/>
      <c r="F1090" s="5"/>
      <c r="G1090" s="5"/>
      <c r="H1090" s="5"/>
      <c r="I1090" s="5"/>
    </row>
    <row r="1091" spans="1:10">
      <c r="A1091" s="5"/>
      <c r="B1091" s="5"/>
      <c r="C1091" s="5"/>
      <c r="D1091" s="5"/>
      <c r="E1091" s="5"/>
      <c r="F1091" s="5"/>
      <c r="G1091" s="5"/>
      <c r="H1091" s="5"/>
      <c r="I1091" s="5"/>
    </row>
    <row r="1092" spans="1:10">
      <c r="A1092" s="5"/>
      <c r="B1092" s="5"/>
      <c r="C1092" s="5"/>
      <c r="D1092" s="5"/>
      <c r="E1092" s="5"/>
      <c r="F1092" s="5"/>
      <c r="G1092" s="5"/>
      <c r="H1092" s="5"/>
      <c r="I1092" s="5"/>
    </row>
    <row r="1093" spans="1:10">
      <c r="A1093" s="5"/>
      <c r="B1093" s="5"/>
      <c r="C1093" s="5"/>
      <c r="D1093" s="5"/>
      <c r="E1093" s="5"/>
      <c r="F1093" s="5"/>
      <c r="G1093" s="5"/>
      <c r="H1093" s="5"/>
      <c r="I1093" s="5"/>
      <c r="J1093" s="5"/>
    </row>
    <row r="1094" spans="1:10">
      <c r="A1094" s="5"/>
      <c r="B1094" s="5"/>
      <c r="C1094" s="5"/>
      <c r="D1094" s="5"/>
      <c r="E1094" s="5"/>
      <c r="F1094" s="5"/>
      <c r="G1094" s="5"/>
      <c r="H1094" s="5"/>
      <c r="I1094" s="5"/>
      <c r="J1094" s="5"/>
    </row>
    <row r="1095" spans="1:10">
      <c r="A1095" s="5"/>
      <c r="B1095" s="5"/>
      <c r="C1095" s="5"/>
      <c r="D1095" s="5"/>
      <c r="E1095" s="5"/>
      <c r="F1095" s="5"/>
      <c r="G1095" s="5"/>
      <c r="H1095" s="5"/>
      <c r="I1095" s="5"/>
      <c r="J1095" s="5"/>
    </row>
    <row r="1096" spans="1:10">
      <c r="A1096" s="5"/>
      <c r="B1096" s="5"/>
      <c r="C1096" s="5"/>
      <c r="D1096" s="5"/>
      <c r="E1096" s="5"/>
      <c r="F1096" s="5"/>
      <c r="G1096" s="5"/>
      <c r="H1096" s="5"/>
      <c r="I1096" s="5"/>
      <c r="J1096" s="5"/>
    </row>
    <row r="1097" spans="1:10">
      <c r="A1097" s="5"/>
      <c r="B1097" s="5"/>
      <c r="C1097" s="5"/>
      <c r="D1097" s="5"/>
      <c r="E1097" s="5"/>
      <c r="F1097" s="5"/>
      <c r="G1097" s="5"/>
      <c r="H1097" s="5"/>
      <c r="I1097" s="5"/>
      <c r="J1097" s="5"/>
    </row>
    <row r="1098" spans="1:10">
      <c r="A1098" s="9"/>
    </row>
    <row r="1099" spans="1:10">
      <c r="A1099" s="9"/>
    </row>
    <row r="1100" spans="1:10">
      <c r="A1100" s="9"/>
    </row>
    <row r="1101" spans="1:10">
      <c r="A1101" s="9"/>
    </row>
    <row r="1105" spans="1:13">
      <c r="A1105" s="9"/>
    </row>
    <row r="1106" spans="1:13">
      <c r="A1106" s="9"/>
    </row>
    <row r="1107" spans="1:13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M1107" t="s">
        <v>455</v>
      </c>
    </row>
    <row r="1108" spans="1:13">
      <c r="A1108" s="9"/>
      <c r="M1108" t="s">
        <v>455</v>
      </c>
    </row>
    <row r="1109" spans="1:13">
      <c r="A1109" s="9"/>
      <c r="M1109" t="s">
        <v>455</v>
      </c>
    </row>
    <row r="1110" spans="1:13">
      <c r="A1110" s="9"/>
      <c r="M1110" t="s">
        <v>455</v>
      </c>
    </row>
    <row r="1111" spans="1:13">
      <c r="A1111" s="9"/>
    </row>
    <row r="1112" spans="1:13">
      <c r="A1112" s="21"/>
      <c r="B1112" s="2"/>
    </row>
  </sheetData>
  <autoFilter ref="A5:J1134" xr:uid="{00000000-0009-0000-0000-00001E000000}">
    <sortState xmlns:xlrd2="http://schemas.microsoft.com/office/spreadsheetml/2017/richdata2" ref="A6:J1134">
      <sortCondition ref="A5:A1082"/>
    </sortState>
  </autoFilter>
  <conditionalFormatting sqref="A14:A3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J329"/>
  <sheetViews>
    <sheetView topLeftCell="A307" zoomScale="90" zoomScaleNormal="90" zoomScalePageLayoutView="90" workbookViewId="0">
      <selection activeCell="B328" sqref="A328:B329"/>
    </sheetView>
  </sheetViews>
  <sheetFormatPr defaultColWidth="11.42578125" defaultRowHeight="15"/>
  <cols>
    <col min="1" max="1" width="18.42578125" style="5" customWidth="1"/>
    <col min="2" max="2" width="28.5703125" style="5" customWidth="1"/>
    <col min="3" max="10" width="12.42578125" style="5" bestFit="1" customWidth="1"/>
    <col min="11" max="11" width="2.85546875" style="5" customWidth="1"/>
    <col min="12" max="15" width="11.42578125" style="5"/>
    <col min="16" max="16" width="12.140625" style="5" bestFit="1" customWidth="1"/>
    <col min="17" max="16384" width="11.42578125" style="5"/>
  </cols>
  <sheetData>
    <row r="1" spans="1:10">
      <c r="A1" t="s">
        <v>385</v>
      </c>
    </row>
    <row r="2" spans="1:10">
      <c r="A2" t="s">
        <v>384</v>
      </c>
    </row>
    <row r="3" spans="1:10">
      <c r="A3" t="s">
        <v>364</v>
      </c>
    </row>
    <row r="5" spans="1:10">
      <c r="A5" s="5" t="s">
        <v>11</v>
      </c>
      <c r="B5" s="5" t="s">
        <v>17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458</v>
      </c>
      <c r="B6" t="s">
        <v>463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458</v>
      </c>
      <c r="B7" t="s">
        <v>146</v>
      </c>
      <c r="C7" s="5">
        <v>0.84</v>
      </c>
      <c r="D7" s="5">
        <v>0.84</v>
      </c>
      <c r="E7" s="5">
        <v>0.84</v>
      </c>
      <c r="F7" s="5">
        <v>0.84</v>
      </c>
      <c r="G7" s="5">
        <v>0.84</v>
      </c>
      <c r="H7" s="5">
        <v>0.84</v>
      </c>
      <c r="I7" s="5">
        <v>0.84</v>
      </c>
      <c r="J7" s="5">
        <v>0.84</v>
      </c>
    </row>
    <row r="8" spans="1:10">
      <c r="A8" s="5" t="s">
        <v>458</v>
      </c>
      <c r="B8" s="5" t="s">
        <v>95</v>
      </c>
      <c r="C8" s="5">
        <v>0.84399999999999997</v>
      </c>
      <c r="D8" s="5">
        <v>0.84399999999999997</v>
      </c>
      <c r="E8" s="5">
        <v>0.84399999999999997</v>
      </c>
      <c r="F8" s="5">
        <v>0.84399999999999997</v>
      </c>
      <c r="G8" s="5">
        <v>0.84399999999999997</v>
      </c>
      <c r="H8" s="5">
        <v>0.84399999999999997</v>
      </c>
      <c r="I8" s="5">
        <v>0.84399999999999997</v>
      </c>
      <c r="J8" s="5">
        <v>0.84399999999999997</v>
      </c>
    </row>
    <row r="9" spans="1:10">
      <c r="A9" s="5" t="s">
        <v>458</v>
      </c>
      <c r="B9" s="5" t="s">
        <v>96</v>
      </c>
      <c r="C9" s="5">
        <v>0.84399999999999997</v>
      </c>
      <c r="D9" s="5">
        <v>0.84399999999999997</v>
      </c>
      <c r="E9" s="5">
        <v>0.84399999999999997</v>
      </c>
      <c r="F9" s="5">
        <v>0.84399999999999997</v>
      </c>
      <c r="G9" s="5">
        <v>0.84399999999999997</v>
      </c>
      <c r="H9" s="5">
        <v>0.84399999999999997</v>
      </c>
      <c r="I9" s="5">
        <v>0.84399999999999997</v>
      </c>
      <c r="J9" s="5">
        <v>0.84399999999999997</v>
      </c>
    </row>
    <row r="10" spans="1:10">
      <c r="A10" s="5" t="s">
        <v>458</v>
      </c>
      <c r="B10" s="5" t="s">
        <v>97</v>
      </c>
      <c r="C10" s="5">
        <v>0.87</v>
      </c>
      <c r="D10" s="5">
        <v>0.87</v>
      </c>
      <c r="E10" s="5">
        <v>0.87</v>
      </c>
      <c r="F10" s="5">
        <v>0.87</v>
      </c>
      <c r="G10" s="5">
        <v>0.87</v>
      </c>
      <c r="H10" s="5">
        <v>0.87</v>
      </c>
      <c r="I10" s="5">
        <v>0.87</v>
      </c>
      <c r="J10" s="5">
        <v>0.87</v>
      </c>
    </row>
    <row r="11" spans="1:10">
      <c r="A11" s="5" t="s">
        <v>458</v>
      </c>
      <c r="B11" s="5" t="s">
        <v>98</v>
      </c>
      <c r="C11" s="5">
        <v>0.83699999999999997</v>
      </c>
      <c r="D11" s="5">
        <v>0.83699999999999997</v>
      </c>
      <c r="E11" s="5">
        <v>0.83699999999999997</v>
      </c>
      <c r="F11" s="5">
        <v>0.83699999999999997</v>
      </c>
      <c r="G11" s="5">
        <v>0.83699999999999997</v>
      </c>
      <c r="H11" s="5">
        <v>0.83699999999999997</v>
      </c>
      <c r="I11" s="5">
        <v>0.83699999999999997</v>
      </c>
      <c r="J11" s="5">
        <v>0.83699999999999997</v>
      </c>
    </row>
    <row r="12" spans="1:10">
      <c r="A12" s="5" t="s">
        <v>458</v>
      </c>
      <c r="B12" s="5" t="s">
        <v>127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458</v>
      </c>
      <c r="B13" s="5" t="s">
        <v>128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458</v>
      </c>
      <c r="B14" s="5" t="s">
        <v>139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458</v>
      </c>
      <c r="B15" s="5" t="s">
        <v>140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458</v>
      </c>
      <c r="B16" s="5" t="s">
        <v>231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458</v>
      </c>
      <c r="B17" s="5" t="s">
        <v>233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</row>
    <row r="18" spans="1:10">
      <c r="A18" s="5" t="s">
        <v>458</v>
      </c>
      <c r="B18" s="5" t="s">
        <v>126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</row>
    <row r="19" spans="1:10">
      <c r="A19" s="5" t="s">
        <v>458</v>
      </c>
      <c r="B19" s="5" t="s">
        <v>129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</row>
    <row r="20" spans="1:10">
      <c r="A20" s="5" t="s">
        <v>458</v>
      </c>
      <c r="B20" s="5" t="s">
        <v>177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</row>
    <row r="21" spans="1:10">
      <c r="A21" s="5" t="s">
        <v>458</v>
      </c>
      <c r="B21" s="5" t="s">
        <v>121</v>
      </c>
      <c r="C21" s="5">
        <v>0.95</v>
      </c>
      <c r="D21" s="5">
        <v>0.94999999999999984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458</v>
      </c>
      <c r="B22" s="5" t="s">
        <v>122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458</v>
      </c>
      <c r="B23" s="5" t="s">
        <v>162</v>
      </c>
      <c r="C23" s="5">
        <v>0</v>
      </c>
      <c r="D23" s="5">
        <v>0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458</v>
      </c>
      <c r="B24" s="5" t="s">
        <v>116</v>
      </c>
      <c r="C24" s="5">
        <v>0</v>
      </c>
      <c r="D24" s="5">
        <v>0.91734003623078653</v>
      </c>
      <c r="E24" s="5">
        <v>0.9325813526564195</v>
      </c>
      <c r="F24" s="5">
        <v>0.93639168176282772</v>
      </c>
      <c r="G24" s="5">
        <v>0.93829684631603183</v>
      </c>
      <c r="H24" s="5">
        <v>0.93924942859263383</v>
      </c>
      <c r="I24" s="5">
        <v>0.93972571973093488</v>
      </c>
      <c r="J24" s="5">
        <v>0.940202110869236</v>
      </c>
    </row>
    <row r="25" spans="1:10">
      <c r="A25" s="5" t="s">
        <v>458</v>
      </c>
      <c r="B25" s="5" t="s">
        <v>52</v>
      </c>
      <c r="C25" s="5">
        <v>0</v>
      </c>
      <c r="D25" s="5">
        <v>0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458</v>
      </c>
      <c r="B26" s="5" t="s">
        <v>117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458</v>
      </c>
      <c r="B27" s="5" t="s">
        <v>118</v>
      </c>
      <c r="C27" s="5">
        <v>0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458</v>
      </c>
      <c r="B28" s="5" t="s">
        <v>169</v>
      </c>
      <c r="C28" s="5">
        <v>0.95</v>
      </c>
      <c r="D28" s="5">
        <v>0.94999999999999984</v>
      </c>
      <c r="E28" s="5">
        <v>0.95</v>
      </c>
      <c r="F28" s="5">
        <v>0.95</v>
      </c>
      <c r="G28" s="5">
        <v>0.95</v>
      </c>
      <c r="H28" s="5">
        <v>0.95</v>
      </c>
      <c r="I28" s="5">
        <v>0.94999999999999984</v>
      </c>
      <c r="J28" s="5">
        <v>0.95</v>
      </c>
    </row>
    <row r="29" spans="1:10">
      <c r="A29" s="5" t="s">
        <v>458</v>
      </c>
      <c r="B29" s="5" t="s">
        <v>170</v>
      </c>
      <c r="C29" s="5">
        <v>0.95</v>
      </c>
      <c r="D29" s="5">
        <v>0.94999999999999984</v>
      </c>
      <c r="E29" s="5">
        <v>0.95</v>
      </c>
      <c r="F29" s="5">
        <v>0.95</v>
      </c>
      <c r="G29" s="5">
        <v>0.95</v>
      </c>
      <c r="H29" s="5">
        <v>0.95</v>
      </c>
      <c r="I29" s="5">
        <v>0.94999999999999984</v>
      </c>
      <c r="J29" s="5">
        <v>0.95</v>
      </c>
    </row>
    <row r="30" spans="1:10">
      <c r="A30" s="5" t="s">
        <v>458</v>
      </c>
      <c r="B30" s="5" t="s">
        <v>51</v>
      </c>
      <c r="C30" s="5">
        <v>0.95</v>
      </c>
      <c r="D30" s="5">
        <v>0.94999999999999984</v>
      </c>
      <c r="E30" s="5">
        <v>0.95</v>
      </c>
      <c r="F30" s="5">
        <v>0.95</v>
      </c>
      <c r="G30" s="5">
        <v>0.95</v>
      </c>
      <c r="H30" s="5">
        <v>0.95</v>
      </c>
      <c r="I30" s="5">
        <v>0.94999999999999984</v>
      </c>
      <c r="J30" s="5">
        <v>0.95</v>
      </c>
    </row>
    <row r="31" spans="1:10">
      <c r="A31" s="5" t="s">
        <v>458</v>
      </c>
      <c r="B31" s="5" t="s">
        <v>50</v>
      </c>
      <c r="C31" s="5">
        <v>0.95</v>
      </c>
      <c r="D31" s="5">
        <v>0.94999999999999984</v>
      </c>
      <c r="E31" s="5">
        <v>0.95</v>
      </c>
      <c r="F31" s="5">
        <v>0.95</v>
      </c>
      <c r="G31" s="5">
        <v>0.95</v>
      </c>
      <c r="H31" s="5">
        <v>0.95</v>
      </c>
      <c r="I31" s="5">
        <v>0.94999999999999984</v>
      </c>
      <c r="J31" s="5">
        <v>0.95</v>
      </c>
    </row>
    <row r="32" spans="1:10">
      <c r="A32" s="5" t="s">
        <v>458</v>
      </c>
      <c r="B32" s="5" t="s">
        <v>99</v>
      </c>
      <c r="C32" s="5">
        <v>0.84</v>
      </c>
      <c r="D32" s="5">
        <v>0.84</v>
      </c>
      <c r="E32" s="5">
        <v>0.84</v>
      </c>
      <c r="F32" s="5">
        <v>0.84</v>
      </c>
      <c r="G32" s="5">
        <v>0.84</v>
      </c>
      <c r="H32" s="5">
        <v>0.84</v>
      </c>
      <c r="I32" s="5">
        <v>0.84</v>
      </c>
      <c r="J32" s="5">
        <v>0.84</v>
      </c>
    </row>
    <row r="33" spans="1:10">
      <c r="A33" s="5" t="s">
        <v>458</v>
      </c>
      <c r="B33" s="5" t="s">
        <v>100</v>
      </c>
      <c r="C33" s="5">
        <v>0.84399999999999997</v>
      </c>
      <c r="D33" s="5">
        <v>0.84399999999999997</v>
      </c>
      <c r="E33" s="5">
        <v>0.84399999999999997</v>
      </c>
      <c r="F33" s="5">
        <v>0.84399999999999997</v>
      </c>
      <c r="G33" s="5">
        <v>0.84399999999999997</v>
      </c>
      <c r="H33" s="5">
        <v>0.84399999999999997</v>
      </c>
      <c r="I33" s="5">
        <v>0.84399999999999997</v>
      </c>
      <c r="J33" s="5">
        <v>0.84399999999999997</v>
      </c>
    </row>
    <row r="34" spans="1:10">
      <c r="A34" s="5" t="s">
        <v>458</v>
      </c>
      <c r="B34" s="5" t="s">
        <v>101</v>
      </c>
      <c r="C34" s="5">
        <v>0.84399999999999997</v>
      </c>
      <c r="D34" s="5">
        <v>0.84399999999999997</v>
      </c>
      <c r="E34" s="5">
        <v>0.84399999999999997</v>
      </c>
      <c r="F34" s="5">
        <v>0.84399999999999997</v>
      </c>
      <c r="G34" s="5">
        <v>0.84399999999999997</v>
      </c>
      <c r="H34" s="5">
        <v>0.84399999999999997</v>
      </c>
      <c r="I34" s="5">
        <v>0.84399999999999997</v>
      </c>
      <c r="J34" s="5">
        <v>0.84399999999999997</v>
      </c>
    </row>
    <row r="35" spans="1:10">
      <c r="A35" s="5" t="s">
        <v>458</v>
      </c>
      <c r="B35" s="5" t="s">
        <v>102</v>
      </c>
      <c r="C35" s="5">
        <v>0.95</v>
      </c>
      <c r="D35" s="5">
        <v>0.95</v>
      </c>
      <c r="E35" s="5">
        <v>0.95</v>
      </c>
      <c r="F35" s="5">
        <v>0.95</v>
      </c>
      <c r="G35" s="5">
        <v>0.95</v>
      </c>
      <c r="H35" s="5">
        <v>0.95</v>
      </c>
      <c r="I35" s="5">
        <v>0.95</v>
      </c>
      <c r="J35" s="5">
        <v>0.95</v>
      </c>
    </row>
    <row r="36" spans="1:10">
      <c r="A36" s="5" t="s">
        <v>458</v>
      </c>
      <c r="B36" s="5" t="s">
        <v>103</v>
      </c>
      <c r="C36" s="5">
        <v>0.87</v>
      </c>
      <c r="D36" s="5">
        <v>0.87</v>
      </c>
      <c r="E36" s="5">
        <v>0.87</v>
      </c>
      <c r="F36" s="5">
        <v>0.87</v>
      </c>
      <c r="G36" s="5">
        <v>0.87</v>
      </c>
      <c r="H36" s="5">
        <v>0.87</v>
      </c>
      <c r="I36" s="5">
        <v>0.87</v>
      </c>
      <c r="J36" s="5">
        <v>0.87</v>
      </c>
    </row>
    <row r="37" spans="1:10">
      <c r="A37" s="5" t="s">
        <v>458</v>
      </c>
      <c r="B37" s="5" t="s">
        <v>104</v>
      </c>
      <c r="C37" s="5">
        <v>0.92</v>
      </c>
      <c r="D37" s="5">
        <v>0.92</v>
      </c>
      <c r="E37" s="5">
        <v>0.92</v>
      </c>
      <c r="F37" s="5">
        <v>0.92</v>
      </c>
      <c r="G37" s="5">
        <v>0.92</v>
      </c>
      <c r="H37" s="5">
        <v>0.92</v>
      </c>
      <c r="I37" s="5">
        <v>0.92</v>
      </c>
      <c r="J37" s="5">
        <v>0.92</v>
      </c>
    </row>
    <row r="38" spans="1:10">
      <c r="A38" s="5" t="s">
        <v>458</v>
      </c>
      <c r="B38" s="5" t="s">
        <v>148</v>
      </c>
      <c r="C38" s="5">
        <v>0.84</v>
      </c>
      <c r="D38" s="5">
        <v>0.84</v>
      </c>
      <c r="E38" s="5">
        <v>0.84</v>
      </c>
      <c r="F38" s="5">
        <v>0.84</v>
      </c>
      <c r="G38" s="5">
        <v>0.84</v>
      </c>
      <c r="H38" s="5">
        <v>0.84</v>
      </c>
      <c r="I38" s="5">
        <v>0.84</v>
      </c>
      <c r="J38" s="5">
        <v>0.84</v>
      </c>
    </row>
    <row r="39" spans="1:10">
      <c r="A39" s="5" t="s">
        <v>458</v>
      </c>
      <c r="B39" s="5" t="s">
        <v>176</v>
      </c>
      <c r="C39" s="5">
        <v>0.98199999999999998</v>
      </c>
      <c r="D39" s="36">
        <v>0.98199999999999998</v>
      </c>
      <c r="E39" s="36">
        <v>0.98199999999999998</v>
      </c>
      <c r="F39" s="36">
        <v>0.98199999999999998</v>
      </c>
      <c r="G39" s="36">
        <v>0.98199999999999998</v>
      </c>
      <c r="H39" s="36">
        <v>0.98199999999999998</v>
      </c>
      <c r="I39" s="36">
        <v>0.98199999999999998</v>
      </c>
      <c r="J39" s="36">
        <v>0.98199999999999998</v>
      </c>
    </row>
    <row r="40" spans="1:10">
      <c r="A40" s="5" t="s">
        <v>458</v>
      </c>
      <c r="B40" s="5" t="s">
        <v>105</v>
      </c>
      <c r="C40" s="5">
        <v>0.84</v>
      </c>
      <c r="D40" s="5">
        <v>0.84</v>
      </c>
      <c r="E40" s="5">
        <v>0.84</v>
      </c>
      <c r="F40" s="5">
        <v>0.84</v>
      </c>
      <c r="G40" s="5">
        <v>0.84</v>
      </c>
      <c r="H40" s="5">
        <v>0.84</v>
      </c>
      <c r="I40" s="5">
        <v>0.84</v>
      </c>
      <c r="J40" s="5">
        <v>0.84</v>
      </c>
    </row>
    <row r="41" spans="1:10">
      <c r="A41" s="5" t="s">
        <v>458</v>
      </c>
      <c r="B41" s="5" t="s">
        <v>106</v>
      </c>
      <c r="C41" s="5">
        <v>0.84399999999999997</v>
      </c>
      <c r="D41" s="5">
        <v>0.84399999999999997</v>
      </c>
      <c r="E41" s="5">
        <v>0.84399999999999997</v>
      </c>
      <c r="F41" s="5">
        <v>0.84399999999999997</v>
      </c>
      <c r="G41" s="5">
        <v>0.84399999999999997</v>
      </c>
      <c r="H41" s="5">
        <v>0.84399999999999997</v>
      </c>
      <c r="I41" s="5">
        <v>0.84399999999999997</v>
      </c>
      <c r="J41" s="5">
        <v>0.84399999999999997</v>
      </c>
    </row>
    <row r="42" spans="1:10">
      <c r="A42" s="5" t="s">
        <v>458</v>
      </c>
      <c r="B42" s="5" t="s">
        <v>107</v>
      </c>
      <c r="C42" s="5">
        <v>0.84399999999999997</v>
      </c>
      <c r="D42" s="5">
        <v>0.84399999999999997</v>
      </c>
      <c r="E42" s="5">
        <v>0.84399999999999997</v>
      </c>
      <c r="F42" s="5">
        <v>0.84399999999999997</v>
      </c>
      <c r="G42" s="5">
        <v>0.84399999999999997</v>
      </c>
      <c r="H42" s="5">
        <v>0.84399999999999997</v>
      </c>
      <c r="I42" s="5">
        <v>0.84399999999999997</v>
      </c>
      <c r="J42" s="5">
        <v>0.84399999999999997</v>
      </c>
    </row>
    <row r="43" spans="1:10">
      <c r="A43" s="5" t="s">
        <v>458</v>
      </c>
      <c r="B43" s="5" t="s">
        <v>108</v>
      </c>
      <c r="C43" s="5">
        <v>0.95</v>
      </c>
      <c r="D43" s="5">
        <v>0.95</v>
      </c>
      <c r="E43" s="5">
        <v>0.95</v>
      </c>
      <c r="F43" s="5">
        <v>0.95</v>
      </c>
      <c r="G43" s="5">
        <v>0.95</v>
      </c>
      <c r="H43" s="5">
        <v>0.95</v>
      </c>
      <c r="I43" s="5">
        <v>0.95</v>
      </c>
      <c r="J43" s="5">
        <v>0.95</v>
      </c>
    </row>
    <row r="44" spans="1:10">
      <c r="A44" s="5" t="s">
        <v>458</v>
      </c>
      <c r="B44" s="5" t="s">
        <v>109</v>
      </c>
      <c r="C44" s="5">
        <v>0.87</v>
      </c>
      <c r="D44" s="5">
        <v>0.87</v>
      </c>
      <c r="E44" s="5">
        <v>0.87</v>
      </c>
      <c r="F44" s="5">
        <v>0.87</v>
      </c>
      <c r="G44" s="5">
        <v>0.87</v>
      </c>
      <c r="H44" s="5">
        <v>0.87</v>
      </c>
      <c r="I44" s="5">
        <v>0.87</v>
      </c>
      <c r="J44" s="5">
        <v>0.87</v>
      </c>
    </row>
    <row r="45" spans="1:10">
      <c r="A45" s="5" t="s">
        <v>458</v>
      </c>
      <c r="B45" s="5" t="s">
        <v>110</v>
      </c>
      <c r="C45" s="5">
        <v>0.92</v>
      </c>
      <c r="D45" s="5">
        <v>0.92</v>
      </c>
      <c r="E45" s="5">
        <v>0.92</v>
      </c>
      <c r="F45" s="5">
        <v>0.92</v>
      </c>
      <c r="G45" s="5">
        <v>0.92</v>
      </c>
      <c r="H45" s="5">
        <v>0.92</v>
      </c>
      <c r="I45" s="5">
        <v>0.92</v>
      </c>
      <c r="J45" s="5">
        <v>0.92</v>
      </c>
    </row>
    <row r="46" spans="1:10">
      <c r="A46" s="5" t="s">
        <v>458</v>
      </c>
      <c r="B46" s="5" t="s">
        <v>111</v>
      </c>
      <c r="C46" s="5">
        <v>0.95</v>
      </c>
      <c r="D46" s="5">
        <v>0.95</v>
      </c>
      <c r="E46" s="5">
        <v>0.95</v>
      </c>
      <c r="F46" s="5">
        <v>0.95</v>
      </c>
      <c r="G46" s="5">
        <v>0.95</v>
      </c>
      <c r="H46" s="5">
        <v>0.95</v>
      </c>
      <c r="I46" s="5">
        <v>0.95</v>
      </c>
      <c r="J46" s="5">
        <v>0.95</v>
      </c>
    </row>
    <row r="47" spans="1:10">
      <c r="A47" s="5" t="s">
        <v>458</v>
      </c>
      <c r="B47" s="5" t="s">
        <v>147</v>
      </c>
      <c r="C47" s="5">
        <v>0.84</v>
      </c>
      <c r="D47" s="5">
        <v>0.84</v>
      </c>
      <c r="E47" s="5">
        <v>0.84</v>
      </c>
      <c r="F47" s="5">
        <v>0.84</v>
      </c>
      <c r="G47" s="5">
        <v>0.84</v>
      </c>
      <c r="H47" s="5">
        <v>0.84</v>
      </c>
      <c r="I47" s="5">
        <v>0.84</v>
      </c>
      <c r="J47" s="5">
        <v>0.84</v>
      </c>
    </row>
    <row r="48" spans="1:10">
      <c r="A48" s="5" t="s">
        <v>458</v>
      </c>
      <c r="B48" s="5" t="s">
        <v>160</v>
      </c>
      <c r="C48" s="5">
        <v>0.98</v>
      </c>
      <c r="D48" s="5">
        <v>0.98</v>
      </c>
      <c r="E48" s="5">
        <v>0.98</v>
      </c>
      <c r="F48" s="5">
        <v>0.98</v>
      </c>
      <c r="G48" s="5">
        <v>0.98</v>
      </c>
      <c r="H48" s="5">
        <v>0.98</v>
      </c>
      <c r="I48" s="5">
        <v>0.98</v>
      </c>
      <c r="J48" s="5">
        <v>0.98</v>
      </c>
    </row>
    <row r="49" spans="1:10">
      <c r="A49" s="5" t="s">
        <v>458</v>
      </c>
      <c r="B49" s="5" t="s">
        <v>161</v>
      </c>
      <c r="C49" s="5">
        <v>0.98</v>
      </c>
      <c r="D49" s="5">
        <v>0.98</v>
      </c>
      <c r="E49" s="5">
        <v>0.98</v>
      </c>
      <c r="F49" s="5">
        <v>0.98</v>
      </c>
      <c r="G49" s="5">
        <v>0.98</v>
      </c>
      <c r="H49" s="5">
        <v>0.98</v>
      </c>
      <c r="I49" s="5">
        <v>0.98</v>
      </c>
      <c r="J49" s="5">
        <v>0.98</v>
      </c>
    </row>
    <row r="50" spans="1:10">
      <c r="A50" s="5" t="s">
        <v>458</v>
      </c>
      <c r="B50" s="5" t="s">
        <v>150</v>
      </c>
      <c r="C50" s="5">
        <v>0.84</v>
      </c>
      <c r="D50" s="5">
        <v>0.84</v>
      </c>
      <c r="E50" s="5">
        <v>0.84</v>
      </c>
      <c r="F50" s="5">
        <v>0.84</v>
      </c>
      <c r="G50" s="5">
        <v>0.84</v>
      </c>
      <c r="H50" s="5">
        <v>0.84</v>
      </c>
      <c r="I50" s="5">
        <v>0.84</v>
      </c>
      <c r="J50" s="5">
        <v>0.84</v>
      </c>
    </row>
    <row r="51" spans="1:10">
      <c r="A51" s="5" t="s">
        <v>458</v>
      </c>
      <c r="B51" s="5" t="s">
        <v>94</v>
      </c>
      <c r="C51" s="5">
        <v>0.84399999999999997</v>
      </c>
      <c r="D51" s="5">
        <v>0.84399999999999997</v>
      </c>
      <c r="E51" s="5">
        <v>0.84399999999999997</v>
      </c>
      <c r="F51" s="5">
        <v>0.84399999999999997</v>
      </c>
      <c r="G51" s="5">
        <v>0.84399999999999997</v>
      </c>
      <c r="H51" s="5">
        <v>0.84399999999999997</v>
      </c>
      <c r="I51" s="5">
        <v>0.84399999999999997</v>
      </c>
      <c r="J51" s="5">
        <v>0.84399999999999997</v>
      </c>
    </row>
    <row r="52" spans="1:10">
      <c r="A52" s="5" t="s">
        <v>458</v>
      </c>
      <c r="B52" s="5" t="s">
        <v>93</v>
      </c>
      <c r="C52" s="5">
        <v>0.84399999999999997</v>
      </c>
      <c r="D52" s="5">
        <v>0.84399999999999997</v>
      </c>
      <c r="E52" s="5">
        <v>0.84399999999999997</v>
      </c>
      <c r="F52" s="5">
        <v>0.84399999999999997</v>
      </c>
      <c r="G52" s="5">
        <v>0.84399999999999997</v>
      </c>
      <c r="H52" s="5">
        <v>0.84399999999999997</v>
      </c>
      <c r="I52" s="5">
        <v>0.84399999999999997</v>
      </c>
      <c r="J52" s="5">
        <v>0.84399999999999997</v>
      </c>
    </row>
    <row r="53" spans="1:10">
      <c r="A53" s="5" t="s">
        <v>458</v>
      </c>
      <c r="B53" s="5" t="s">
        <v>13</v>
      </c>
      <c r="C53" s="5">
        <v>0.87</v>
      </c>
      <c r="D53" s="5">
        <v>0.88142857142857134</v>
      </c>
      <c r="E53" s="5">
        <v>0.89285714285714279</v>
      </c>
      <c r="F53" s="5">
        <v>0.90428571428571414</v>
      </c>
      <c r="G53" s="5">
        <v>0.9157142857142857</v>
      </c>
      <c r="H53" s="5">
        <v>0.92714285714285716</v>
      </c>
      <c r="I53" s="5">
        <v>0.93857142857142839</v>
      </c>
      <c r="J53" s="5">
        <v>0.95</v>
      </c>
    </row>
    <row r="54" spans="1:10">
      <c r="A54" s="5" t="s">
        <v>458</v>
      </c>
      <c r="B54" s="5" t="s">
        <v>14</v>
      </c>
      <c r="C54" s="5">
        <v>0.83699999999999997</v>
      </c>
      <c r="D54" s="5">
        <v>0.83699999999999997</v>
      </c>
      <c r="E54" s="5">
        <v>0.83699999999999997</v>
      </c>
      <c r="F54" s="5">
        <v>0.83699999999999997</v>
      </c>
      <c r="G54" s="5">
        <v>0.83699999999999997</v>
      </c>
      <c r="H54" s="5">
        <v>0.83699999999999997</v>
      </c>
      <c r="I54" s="5">
        <v>0.83699999999999997</v>
      </c>
      <c r="J54" s="5">
        <v>0.83699999999999997</v>
      </c>
    </row>
    <row r="55" spans="1:10">
      <c r="A55" s="5" t="s">
        <v>458</v>
      </c>
      <c r="B55" s="5" t="s">
        <v>49</v>
      </c>
      <c r="C55" s="5">
        <v>0.84</v>
      </c>
      <c r="D55" s="5">
        <v>0.84</v>
      </c>
      <c r="E55" s="5">
        <v>0.84</v>
      </c>
      <c r="F55" s="5">
        <v>0.84</v>
      </c>
      <c r="G55" s="5">
        <v>0.84</v>
      </c>
      <c r="H55" s="5">
        <v>0.84</v>
      </c>
      <c r="I55" s="5">
        <v>0.84</v>
      </c>
      <c r="J55" s="5">
        <v>0.84</v>
      </c>
    </row>
    <row r="56" spans="1:10">
      <c r="A56" s="5" t="s">
        <v>458</v>
      </c>
      <c r="B56" s="5" t="s">
        <v>124</v>
      </c>
      <c r="C56" s="5">
        <v>0.95</v>
      </c>
      <c r="D56" s="5">
        <v>0.94999999999999984</v>
      </c>
      <c r="E56" s="5">
        <v>0.95</v>
      </c>
      <c r="F56" s="5">
        <v>0.95</v>
      </c>
      <c r="G56" s="5">
        <v>0.95</v>
      </c>
      <c r="H56" s="5">
        <v>0.95</v>
      </c>
      <c r="I56" s="5">
        <v>0.94999999999999984</v>
      </c>
      <c r="J56" s="5">
        <v>0.95</v>
      </c>
    </row>
    <row r="57" spans="1:10">
      <c r="A57" s="5" t="s">
        <v>458</v>
      </c>
      <c r="B57" s="5" t="s">
        <v>53</v>
      </c>
      <c r="C57" s="5">
        <v>0.95</v>
      </c>
      <c r="D57" s="5">
        <v>0.94999999999999984</v>
      </c>
      <c r="E57" s="5">
        <v>0.95</v>
      </c>
      <c r="F57" s="5">
        <v>0.95</v>
      </c>
      <c r="G57" s="5">
        <v>0.95</v>
      </c>
      <c r="H57" s="5">
        <v>0.95</v>
      </c>
      <c r="I57" s="5">
        <v>0.94999999999999984</v>
      </c>
      <c r="J57" s="5">
        <v>0.95</v>
      </c>
    </row>
    <row r="58" spans="1:10">
      <c r="A58" s="5" t="s">
        <v>458</v>
      </c>
      <c r="B58" s="5" t="s">
        <v>125</v>
      </c>
      <c r="C58" s="5">
        <v>0.95</v>
      </c>
      <c r="D58" s="5">
        <v>0.94999999999999984</v>
      </c>
      <c r="E58" s="5">
        <v>0.95</v>
      </c>
      <c r="F58" s="5">
        <v>0.95</v>
      </c>
      <c r="G58" s="5">
        <v>0.95</v>
      </c>
      <c r="H58" s="5">
        <v>0.95</v>
      </c>
      <c r="I58" s="5">
        <v>0.94999999999999984</v>
      </c>
      <c r="J58" s="5">
        <v>0.95</v>
      </c>
    </row>
    <row r="59" spans="1:10">
      <c r="A59" s="5" t="s">
        <v>458</v>
      </c>
      <c r="B59" s="5" t="s">
        <v>119</v>
      </c>
      <c r="C59" s="5">
        <v>0.95</v>
      </c>
      <c r="D59" s="5">
        <v>0.94999999999999984</v>
      </c>
      <c r="E59" s="5">
        <v>0.95</v>
      </c>
      <c r="F59" s="5">
        <v>0.95</v>
      </c>
      <c r="G59" s="5">
        <v>0.95</v>
      </c>
      <c r="H59" s="5">
        <v>0.95</v>
      </c>
      <c r="I59" s="5">
        <v>0.94999999999999984</v>
      </c>
      <c r="J59" s="5">
        <v>0.95</v>
      </c>
    </row>
    <row r="60" spans="1:10">
      <c r="A60" s="5" t="s">
        <v>458</v>
      </c>
      <c r="B60" s="5" t="s">
        <v>120</v>
      </c>
      <c r="C60" s="5">
        <v>0.95</v>
      </c>
      <c r="D60" s="5">
        <v>0.94999999999999984</v>
      </c>
      <c r="E60" s="5">
        <v>0.95</v>
      </c>
      <c r="F60" s="5">
        <v>0.95</v>
      </c>
      <c r="G60" s="5">
        <v>0.95</v>
      </c>
      <c r="H60" s="5">
        <v>0.95</v>
      </c>
      <c r="I60" s="5">
        <v>0.94999999999999984</v>
      </c>
      <c r="J60" s="5">
        <v>0.95</v>
      </c>
    </row>
    <row r="61" spans="1:10">
      <c r="A61" s="5" t="s">
        <v>458</v>
      </c>
      <c r="B61" s="5" t="s">
        <v>55</v>
      </c>
      <c r="C61" s="5">
        <v>0</v>
      </c>
      <c r="D61" s="5">
        <v>0.91734003623078653</v>
      </c>
      <c r="E61" s="5">
        <v>0.91734003623078653</v>
      </c>
      <c r="F61" s="5">
        <v>0.91734003623078653</v>
      </c>
      <c r="G61" s="5">
        <v>0.91734003623078653</v>
      </c>
      <c r="H61" s="5">
        <v>0.91734003623078653</v>
      </c>
      <c r="I61" s="5">
        <v>0.91734003623078653</v>
      </c>
      <c r="J61" s="5">
        <v>0.91734003623078653</v>
      </c>
    </row>
    <row r="62" spans="1:10">
      <c r="A62" s="5" t="s">
        <v>458</v>
      </c>
      <c r="B62" s="5" t="s">
        <v>114</v>
      </c>
      <c r="C62" s="5">
        <v>0</v>
      </c>
      <c r="D62" s="5">
        <v>0</v>
      </c>
      <c r="E62" s="5">
        <v>0.95</v>
      </c>
      <c r="F62" s="5">
        <v>0.95</v>
      </c>
      <c r="G62" s="5">
        <v>0.95</v>
      </c>
      <c r="H62" s="5">
        <v>0.95</v>
      </c>
      <c r="I62" s="5">
        <v>0.94999999999999984</v>
      </c>
      <c r="J62" s="5">
        <v>0.95</v>
      </c>
    </row>
    <row r="63" spans="1:10">
      <c r="A63" s="5" t="s">
        <v>458</v>
      </c>
      <c r="B63" s="5" t="s">
        <v>54</v>
      </c>
      <c r="C63" s="5">
        <v>0.95</v>
      </c>
      <c r="D63" s="5">
        <v>0.94999999999999984</v>
      </c>
      <c r="E63" s="5">
        <v>0.95</v>
      </c>
      <c r="F63" s="5">
        <v>0.95</v>
      </c>
      <c r="G63" s="5">
        <v>0.95</v>
      </c>
      <c r="H63" s="5">
        <v>0.95</v>
      </c>
      <c r="I63" s="5">
        <v>0.94999999999999984</v>
      </c>
      <c r="J63" s="5">
        <v>0.95</v>
      </c>
    </row>
    <row r="64" spans="1:10">
      <c r="A64" s="5" t="s">
        <v>458</v>
      </c>
      <c r="B64" s="5" t="s">
        <v>115</v>
      </c>
      <c r="C64" s="5">
        <v>0</v>
      </c>
      <c r="D64" s="5">
        <v>0.94999999999999984</v>
      </c>
      <c r="E64" s="5">
        <v>0.95</v>
      </c>
      <c r="F64" s="5">
        <v>0.95</v>
      </c>
      <c r="G64" s="5">
        <v>0.95</v>
      </c>
      <c r="H64" s="5">
        <v>0.95</v>
      </c>
      <c r="I64" s="5">
        <v>0.94999999999999984</v>
      </c>
      <c r="J64" s="5">
        <v>0.95</v>
      </c>
    </row>
    <row r="65" spans="1:10">
      <c r="A65" s="5" t="s">
        <v>458</v>
      </c>
      <c r="B65" s="5" t="s">
        <v>171</v>
      </c>
      <c r="C65" s="5">
        <v>0.95</v>
      </c>
      <c r="D65" s="5">
        <v>0.94999999999999984</v>
      </c>
      <c r="E65" s="5">
        <v>0.95</v>
      </c>
      <c r="F65" s="5">
        <v>0.95</v>
      </c>
      <c r="G65" s="5">
        <v>0.95</v>
      </c>
      <c r="H65" s="5">
        <v>0.95</v>
      </c>
      <c r="I65" s="5">
        <v>0.94999999999999984</v>
      </c>
      <c r="J65" s="5">
        <v>0.95</v>
      </c>
    </row>
    <row r="66" spans="1:10">
      <c r="A66" s="5" t="s">
        <v>458</v>
      </c>
      <c r="B66" s="5" t="s">
        <v>172</v>
      </c>
      <c r="C66" s="5">
        <v>0.95</v>
      </c>
      <c r="D66" s="5">
        <v>0.94999999999999984</v>
      </c>
      <c r="E66" s="5">
        <v>0.95</v>
      </c>
      <c r="F66" s="5">
        <v>0.95</v>
      </c>
      <c r="G66" s="5">
        <v>0.95</v>
      </c>
      <c r="H66" s="5">
        <v>0.95</v>
      </c>
      <c r="I66" s="5">
        <v>0.94999999999999984</v>
      </c>
      <c r="J66" s="5">
        <v>0.95</v>
      </c>
    </row>
    <row r="67" spans="1:10">
      <c r="A67" s="5" t="s">
        <v>458</v>
      </c>
      <c r="B67" s="5" t="s">
        <v>77</v>
      </c>
      <c r="C67" s="5">
        <v>1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</row>
    <row r="68" spans="1:10">
      <c r="A68" s="5" t="s">
        <v>458</v>
      </c>
      <c r="B68" s="5" t="s">
        <v>76</v>
      </c>
      <c r="C68" s="5">
        <v>1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</row>
    <row r="69" spans="1:10">
      <c r="A69" s="5" t="s">
        <v>458</v>
      </c>
      <c r="B69" s="5" t="s">
        <v>75</v>
      </c>
      <c r="C69" s="5">
        <v>1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1</v>
      </c>
      <c r="J69" s="5">
        <v>1</v>
      </c>
    </row>
    <row r="70" spans="1:10">
      <c r="A70" s="5" t="s">
        <v>458</v>
      </c>
      <c r="B70" s="5" t="s">
        <v>78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458</v>
      </c>
      <c r="B71" s="5" t="s">
        <v>79</v>
      </c>
      <c r="C71" s="5">
        <v>1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</row>
    <row r="72" spans="1:10">
      <c r="A72" s="5" t="s">
        <v>458</v>
      </c>
      <c r="B72" s="5" t="s">
        <v>145</v>
      </c>
      <c r="C72" s="5">
        <v>1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</row>
    <row r="73" spans="1:10">
      <c r="A73" s="5" t="s">
        <v>458</v>
      </c>
      <c r="B73" s="5" t="s">
        <v>87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458</v>
      </c>
      <c r="B74" s="5" t="s">
        <v>88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458</v>
      </c>
      <c r="B75" s="5" t="s">
        <v>92</v>
      </c>
      <c r="C75" s="5">
        <v>0.92</v>
      </c>
      <c r="D75" s="5">
        <v>0.92</v>
      </c>
      <c r="E75" s="5">
        <v>0.92</v>
      </c>
      <c r="F75" s="5">
        <v>0.92</v>
      </c>
      <c r="G75" s="5">
        <v>0.92</v>
      </c>
      <c r="H75" s="5">
        <v>0.92</v>
      </c>
      <c r="I75" s="5">
        <v>0.92</v>
      </c>
      <c r="J75" s="5">
        <v>0.92</v>
      </c>
    </row>
    <row r="76" spans="1:10">
      <c r="A76" s="5" t="s">
        <v>458</v>
      </c>
      <c r="B76" s="5" t="s">
        <v>89</v>
      </c>
      <c r="C76" s="5">
        <v>0.33</v>
      </c>
      <c r="D76" s="5">
        <v>0.33</v>
      </c>
      <c r="E76" s="5">
        <v>0.33</v>
      </c>
      <c r="F76" s="5">
        <v>0.33</v>
      </c>
      <c r="G76" s="5">
        <v>0.33</v>
      </c>
      <c r="H76" s="5">
        <v>0.33</v>
      </c>
      <c r="I76" s="5">
        <v>0.33</v>
      </c>
      <c r="J76" s="5">
        <v>0.33</v>
      </c>
    </row>
    <row r="77" spans="1:10">
      <c r="A77" s="5" t="s">
        <v>458</v>
      </c>
      <c r="B77" s="5" t="s">
        <v>90</v>
      </c>
      <c r="C77" s="5">
        <v>0.9</v>
      </c>
      <c r="D77" s="5">
        <v>0.9</v>
      </c>
      <c r="E77" s="5">
        <v>0.9</v>
      </c>
      <c r="F77" s="5">
        <v>0.9</v>
      </c>
      <c r="G77" s="5">
        <v>0.9</v>
      </c>
      <c r="H77" s="5">
        <v>0.9</v>
      </c>
      <c r="I77" s="5">
        <v>0.9</v>
      </c>
      <c r="J77" s="5">
        <v>0.9</v>
      </c>
    </row>
    <row r="78" spans="1:10">
      <c r="A78" s="5" t="s">
        <v>458</v>
      </c>
      <c r="B78" s="5" t="s">
        <v>91</v>
      </c>
      <c r="C78" s="5">
        <v>0.36</v>
      </c>
      <c r="D78" s="5">
        <v>0.45</v>
      </c>
      <c r="E78" s="5">
        <v>0.46</v>
      </c>
      <c r="F78" s="5">
        <v>0.47</v>
      </c>
      <c r="G78" s="5">
        <v>0.47</v>
      </c>
      <c r="H78" s="5">
        <v>0.47</v>
      </c>
      <c r="I78" s="5">
        <v>0.48</v>
      </c>
      <c r="J78" s="5">
        <v>0.5</v>
      </c>
    </row>
    <row r="79" spans="1:10">
      <c r="A79" s="5" t="s">
        <v>458</v>
      </c>
      <c r="B79" s="5" t="s">
        <v>158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458</v>
      </c>
      <c r="B80" s="5" t="s">
        <v>159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458</v>
      </c>
      <c r="B81" s="5" t="s">
        <v>81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458</v>
      </c>
      <c r="B82" s="5" t="s">
        <v>80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458</v>
      </c>
      <c r="B83" s="5" t="s">
        <v>82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458</v>
      </c>
      <c r="B84" s="5" t="s">
        <v>151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458</v>
      </c>
      <c r="B85" s="5" t="s">
        <v>152</v>
      </c>
      <c r="C85" s="5">
        <v>0.98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458</v>
      </c>
      <c r="B86" s="5" t="s">
        <v>153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458</v>
      </c>
      <c r="B87" s="5" t="s">
        <v>84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458</v>
      </c>
      <c r="B88" s="5" t="s">
        <v>83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458</v>
      </c>
      <c r="B89" s="5" t="s">
        <v>85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458</v>
      </c>
      <c r="B90" s="5" t="s">
        <v>112</v>
      </c>
      <c r="C90" s="5">
        <v>0.98199999999999998</v>
      </c>
      <c r="D90" s="5">
        <v>0.98199999999999998</v>
      </c>
      <c r="E90" s="5">
        <v>0.98199999999999998</v>
      </c>
      <c r="F90" s="5">
        <v>0.98199999999999998</v>
      </c>
      <c r="G90" s="5">
        <v>0.98199999999999998</v>
      </c>
      <c r="H90" s="5">
        <v>0.98199999999999998</v>
      </c>
      <c r="I90" s="5">
        <v>0.98199999999999998</v>
      </c>
      <c r="J90" s="5">
        <v>0.98199999999999998</v>
      </c>
    </row>
    <row r="91" spans="1:10">
      <c r="A91" s="5" t="s">
        <v>458</v>
      </c>
      <c r="B91" s="5" t="s">
        <v>113</v>
      </c>
      <c r="C91" s="5">
        <v>0.98199999999999998</v>
      </c>
      <c r="D91" s="5">
        <v>0.98199999999999998</v>
      </c>
      <c r="E91" s="5">
        <v>0.98199999999999998</v>
      </c>
      <c r="F91" s="5">
        <v>0.98199999999999998</v>
      </c>
      <c r="G91" s="5">
        <v>0.98199999999999998</v>
      </c>
      <c r="H91" s="5">
        <v>0.98199999999999998</v>
      </c>
      <c r="I91" s="5">
        <v>0.98199999999999998</v>
      </c>
      <c r="J91" s="5">
        <v>0.98199999999999998</v>
      </c>
    </row>
    <row r="92" spans="1:10">
      <c r="A92" s="5" t="s">
        <v>458</v>
      </c>
      <c r="B92" s="5" t="s">
        <v>149</v>
      </c>
      <c r="C92" s="5">
        <v>0.98199999999999998</v>
      </c>
      <c r="D92" s="5">
        <v>0.98199999999999998</v>
      </c>
      <c r="E92" s="5">
        <v>0.98199999999999998</v>
      </c>
      <c r="F92" s="5">
        <v>0.98199999999999998</v>
      </c>
      <c r="G92" s="5">
        <v>0.98199999999999998</v>
      </c>
      <c r="H92" s="5">
        <v>0.98199999999999998</v>
      </c>
      <c r="I92" s="5">
        <v>0.98199999999999998</v>
      </c>
      <c r="J92" s="5">
        <v>0.98199999999999998</v>
      </c>
    </row>
    <row r="93" spans="1:10">
      <c r="A93" s="5" t="s">
        <v>458</v>
      </c>
      <c r="B93" s="5" t="s">
        <v>181</v>
      </c>
      <c r="C93" s="5">
        <v>1</v>
      </c>
      <c r="D93" s="5">
        <v>1</v>
      </c>
      <c r="E93" s="5">
        <v>1</v>
      </c>
      <c r="F93" s="5">
        <v>1</v>
      </c>
      <c r="G93" s="5">
        <v>1</v>
      </c>
      <c r="H93" s="5">
        <v>1</v>
      </c>
      <c r="I93" s="5">
        <v>1</v>
      </c>
      <c r="J93" s="5">
        <v>1</v>
      </c>
    </row>
    <row r="94" spans="1:10">
      <c r="A94" s="5" t="s">
        <v>458</v>
      </c>
      <c r="B94" s="5" t="s">
        <v>179</v>
      </c>
      <c r="C94" s="5">
        <v>0.84</v>
      </c>
      <c r="D94" s="5">
        <v>0.84</v>
      </c>
      <c r="E94" s="5">
        <v>0.84</v>
      </c>
      <c r="F94" s="5">
        <v>0.84</v>
      </c>
      <c r="G94" s="5">
        <v>0.84</v>
      </c>
      <c r="H94" s="5">
        <v>0.84</v>
      </c>
      <c r="I94" s="5">
        <v>0.84</v>
      </c>
      <c r="J94" s="5">
        <v>0.84</v>
      </c>
    </row>
    <row r="95" spans="1:10">
      <c r="A95" s="5" t="s">
        <v>458</v>
      </c>
      <c r="B95" s="5" t="s">
        <v>180</v>
      </c>
      <c r="C95" s="5">
        <v>0.84</v>
      </c>
      <c r="D95" s="5">
        <v>0.84</v>
      </c>
      <c r="E95" s="5">
        <v>0.84</v>
      </c>
      <c r="F95" s="5">
        <v>0.84</v>
      </c>
      <c r="G95" s="5">
        <v>0.84</v>
      </c>
      <c r="H95" s="5">
        <v>0.84</v>
      </c>
      <c r="I95" s="5">
        <v>0.84</v>
      </c>
      <c r="J95" s="5">
        <v>0.84</v>
      </c>
    </row>
    <row r="96" spans="1:10">
      <c r="A96" s="5" t="s">
        <v>458</v>
      </c>
      <c r="B96" s="5" t="s">
        <v>205</v>
      </c>
      <c r="C96" s="5">
        <v>0.98</v>
      </c>
      <c r="D96" s="5">
        <v>0.98</v>
      </c>
      <c r="E96" s="5">
        <v>0.98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458</v>
      </c>
      <c r="B97" s="5" t="s">
        <v>192</v>
      </c>
      <c r="C97" s="5">
        <v>0.98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458</v>
      </c>
      <c r="B98" s="5" t="s">
        <v>187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458</v>
      </c>
      <c r="B99" s="5" t="s">
        <v>191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458</v>
      </c>
      <c r="B100" s="5" t="s">
        <v>188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458</v>
      </c>
      <c r="B101" s="5" t="s">
        <v>189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458</v>
      </c>
      <c r="B102" s="5" t="s">
        <v>190</v>
      </c>
      <c r="C102" s="5">
        <v>0.98</v>
      </c>
      <c r="D102" s="5">
        <v>0.98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458</v>
      </c>
      <c r="B103" s="5" t="s">
        <v>213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458</v>
      </c>
      <c r="B104" s="5" t="s">
        <v>214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458</v>
      </c>
      <c r="B105" s="5" t="s">
        <v>215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458</v>
      </c>
      <c r="B106" s="5" t="s">
        <v>216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458</v>
      </c>
      <c r="B107" s="5" t="s">
        <v>217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458</v>
      </c>
      <c r="B108" s="5" t="s">
        <v>196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458</v>
      </c>
      <c r="B109" s="5" t="s">
        <v>206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458</v>
      </c>
      <c r="B110" s="5" t="s">
        <v>207</v>
      </c>
      <c r="C110" s="5">
        <v>0.98</v>
      </c>
      <c r="D110" s="5">
        <v>0.98</v>
      </c>
      <c r="E110" s="5">
        <v>0.98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458</v>
      </c>
      <c r="B111" s="5" t="s">
        <v>197</v>
      </c>
      <c r="C111" s="5">
        <v>0.98</v>
      </c>
      <c r="D111" s="5">
        <v>0.98</v>
      </c>
      <c r="E111" s="5">
        <v>0.98</v>
      </c>
      <c r="F111" s="5">
        <v>0.98</v>
      </c>
      <c r="G111" s="5">
        <v>0.98</v>
      </c>
      <c r="H111" s="5">
        <v>0.98</v>
      </c>
      <c r="I111" s="5">
        <v>0.98</v>
      </c>
      <c r="J111" s="5">
        <v>0.98</v>
      </c>
    </row>
    <row r="112" spans="1:10">
      <c r="A112" s="5" t="s">
        <v>458</v>
      </c>
      <c r="B112" s="5" t="s">
        <v>198</v>
      </c>
      <c r="C112" s="5">
        <v>0.98</v>
      </c>
      <c r="D112" s="5">
        <v>0.98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458</v>
      </c>
      <c r="B113" s="5" t="s">
        <v>199</v>
      </c>
      <c r="C113" s="5">
        <v>0.98</v>
      </c>
      <c r="D113" s="5">
        <v>0.98</v>
      </c>
      <c r="E113" s="5">
        <v>0.98</v>
      </c>
      <c r="F113" s="5">
        <v>0.98</v>
      </c>
      <c r="G113" s="5">
        <v>0.98</v>
      </c>
      <c r="H113" s="5">
        <v>0.98</v>
      </c>
      <c r="I113" s="5">
        <v>0.98</v>
      </c>
      <c r="J113" s="5">
        <v>0.98</v>
      </c>
    </row>
    <row r="114" spans="1:10">
      <c r="A114" s="5" t="s">
        <v>458</v>
      </c>
      <c r="B114" s="5" t="s">
        <v>200</v>
      </c>
      <c r="C114" s="5">
        <v>0.98</v>
      </c>
      <c r="D114" s="5">
        <v>0.98</v>
      </c>
      <c r="E114" s="5">
        <v>0.98</v>
      </c>
      <c r="F114" s="5">
        <v>0.98</v>
      </c>
      <c r="G114" s="5">
        <v>0.98</v>
      </c>
      <c r="H114" s="5">
        <v>0.98</v>
      </c>
      <c r="I114" s="5">
        <v>0.98</v>
      </c>
      <c r="J114" s="5">
        <v>0.98</v>
      </c>
    </row>
    <row r="115" spans="1:10">
      <c r="A115" s="5" t="s">
        <v>458</v>
      </c>
      <c r="B115" s="5" t="s">
        <v>201</v>
      </c>
      <c r="C115" s="5">
        <v>0.98</v>
      </c>
      <c r="D115" s="5">
        <v>0.98</v>
      </c>
      <c r="E115" s="5">
        <v>0.98</v>
      </c>
      <c r="F115" s="5">
        <v>0.98</v>
      </c>
      <c r="G115" s="5">
        <v>0.98</v>
      </c>
      <c r="H115" s="5">
        <v>0.98</v>
      </c>
      <c r="I115" s="5">
        <v>0.98</v>
      </c>
      <c r="J115" s="5">
        <v>0.98</v>
      </c>
    </row>
    <row r="116" spans="1:10">
      <c r="A116" s="5" t="s">
        <v>458</v>
      </c>
      <c r="B116" s="5" t="s">
        <v>202</v>
      </c>
      <c r="C116" s="5">
        <v>0.98</v>
      </c>
      <c r="D116" s="5">
        <v>0.98</v>
      </c>
      <c r="E116" s="5">
        <v>0.98</v>
      </c>
      <c r="F116" s="5">
        <v>0.98</v>
      </c>
      <c r="G116" s="5">
        <v>0.98</v>
      </c>
      <c r="H116" s="5">
        <v>0.98</v>
      </c>
      <c r="I116" s="5">
        <v>0.98</v>
      </c>
      <c r="J116" s="5">
        <v>0.98</v>
      </c>
    </row>
    <row r="117" spans="1:10">
      <c r="A117" s="5" t="s">
        <v>458</v>
      </c>
      <c r="B117" s="5" t="s">
        <v>230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458</v>
      </c>
      <c r="B118" s="5" t="s">
        <v>219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458</v>
      </c>
      <c r="B119" s="5" t="s">
        <v>220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458</v>
      </c>
      <c r="B120" s="5" t="s">
        <v>203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458</v>
      </c>
      <c r="B121" s="5" t="s">
        <v>208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458</v>
      </c>
      <c r="B122" s="5" t="s">
        <v>218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458</v>
      </c>
      <c r="B123" s="5" t="s">
        <v>204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458</v>
      </c>
      <c r="B124" s="5" t="s">
        <v>211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458</v>
      </c>
      <c r="B125" s="5" t="s">
        <v>222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458</v>
      </c>
      <c r="B126" s="5" t="s">
        <v>209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458</v>
      </c>
      <c r="B127" s="5" t="s">
        <v>210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458</v>
      </c>
      <c r="B128" s="5" t="s">
        <v>221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458</v>
      </c>
      <c r="B129" s="5" t="s">
        <v>212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458</v>
      </c>
      <c r="B130" s="5" t="s">
        <v>224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458</v>
      </c>
      <c r="B131" s="5" t="s">
        <v>225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458</v>
      </c>
      <c r="B132" s="5" t="s">
        <v>226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458</v>
      </c>
      <c r="B133" s="5" t="s">
        <v>227</v>
      </c>
      <c r="C133" s="5">
        <v>0.98</v>
      </c>
      <c r="D133" s="5">
        <v>0.98</v>
      </c>
      <c r="E133" s="5">
        <v>0.98</v>
      </c>
      <c r="F133" s="5">
        <v>0.98</v>
      </c>
      <c r="G133" s="5">
        <v>0.98</v>
      </c>
      <c r="H133" s="5">
        <v>0.98</v>
      </c>
      <c r="I133" s="5">
        <v>0.98</v>
      </c>
      <c r="J133" s="5">
        <v>0.98</v>
      </c>
    </row>
    <row r="134" spans="1:10">
      <c r="A134" s="5" t="s">
        <v>458</v>
      </c>
      <c r="B134" s="5" t="s">
        <v>228</v>
      </c>
      <c r="C134" s="5">
        <v>0.98</v>
      </c>
      <c r="D134" s="5">
        <v>0.98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458</v>
      </c>
      <c r="B135" s="5" t="s">
        <v>229</v>
      </c>
      <c r="C135" s="5">
        <v>0.98</v>
      </c>
      <c r="D135" s="5">
        <v>0.98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458</v>
      </c>
      <c r="B136" s="5" t="s">
        <v>14</v>
      </c>
      <c r="C136" s="5">
        <v>0.8</v>
      </c>
      <c r="D136" s="5">
        <v>0.8</v>
      </c>
      <c r="E136" s="5">
        <v>0.8</v>
      </c>
      <c r="F136" s="5">
        <v>0.8</v>
      </c>
      <c r="G136" s="5">
        <v>0.8</v>
      </c>
      <c r="H136" s="5">
        <v>0.8</v>
      </c>
      <c r="I136" s="5">
        <v>0.8</v>
      </c>
      <c r="J136" s="5">
        <v>0.8</v>
      </c>
    </row>
    <row r="137" spans="1:10">
      <c r="A137" s="5" t="s">
        <v>458</v>
      </c>
      <c r="B137" s="5" t="s">
        <v>14</v>
      </c>
      <c r="C137" s="5">
        <v>0.8</v>
      </c>
      <c r="D137" s="5">
        <v>0.8</v>
      </c>
      <c r="E137" s="5">
        <v>0.8</v>
      </c>
      <c r="F137" s="5">
        <v>0.8</v>
      </c>
      <c r="G137" s="5">
        <v>0.8</v>
      </c>
      <c r="H137" s="5">
        <v>0.8</v>
      </c>
      <c r="I137" s="5">
        <v>0.8</v>
      </c>
      <c r="J137" s="5">
        <v>0.8</v>
      </c>
    </row>
    <row r="138" spans="1:10">
      <c r="A138" s="5" t="s">
        <v>458</v>
      </c>
      <c r="B138" s="5" t="s">
        <v>98</v>
      </c>
      <c r="C138" s="5">
        <v>0.8</v>
      </c>
      <c r="D138" s="5">
        <v>0.8</v>
      </c>
      <c r="E138" s="5">
        <v>0.8</v>
      </c>
      <c r="F138" s="5">
        <v>0.8</v>
      </c>
      <c r="G138" s="5">
        <v>0.8</v>
      </c>
      <c r="H138" s="5">
        <v>0.8</v>
      </c>
      <c r="I138" s="5">
        <v>0.8</v>
      </c>
      <c r="J138" s="5">
        <v>0.8</v>
      </c>
    </row>
    <row r="139" spans="1:10">
      <c r="A139" s="5" t="s">
        <v>458</v>
      </c>
      <c r="B139" s="5" t="s">
        <v>98</v>
      </c>
      <c r="C139" s="5">
        <v>0.8</v>
      </c>
      <c r="D139" s="5">
        <v>0.8</v>
      </c>
      <c r="E139" s="5">
        <v>0.8</v>
      </c>
      <c r="F139" s="5">
        <v>0.8</v>
      </c>
      <c r="G139" s="5">
        <v>0.8</v>
      </c>
      <c r="H139" s="5">
        <v>0.8</v>
      </c>
      <c r="I139" s="5">
        <v>0.8</v>
      </c>
      <c r="J139" s="5">
        <v>0.8</v>
      </c>
    </row>
    <row r="140" spans="1:10">
      <c r="A140" s="5" t="s">
        <v>458</v>
      </c>
      <c r="B140" s="5" t="s">
        <v>235</v>
      </c>
      <c r="C140" s="5">
        <v>0.98</v>
      </c>
      <c r="D140" s="5">
        <v>0.98</v>
      </c>
      <c r="E140" s="5">
        <v>0.98</v>
      </c>
      <c r="F140" s="5">
        <v>0.98</v>
      </c>
      <c r="G140" s="5">
        <v>0.98</v>
      </c>
      <c r="H140" s="5">
        <v>0.98</v>
      </c>
      <c r="I140" s="5">
        <v>0.98</v>
      </c>
      <c r="J140" s="5">
        <v>0.98</v>
      </c>
    </row>
    <row r="141" spans="1:10">
      <c r="A141" s="5" t="s">
        <v>458</v>
      </c>
      <c r="B141" s="5" t="s">
        <v>236</v>
      </c>
      <c r="C141" s="5">
        <v>0.98</v>
      </c>
      <c r="D141" s="5">
        <v>0.98</v>
      </c>
      <c r="E141" s="5">
        <v>0.98</v>
      </c>
      <c r="F141" s="5">
        <v>0.98</v>
      </c>
      <c r="G141" s="5">
        <v>0.98</v>
      </c>
      <c r="H141" s="5">
        <v>0.98</v>
      </c>
      <c r="I141" s="5">
        <v>0.98</v>
      </c>
      <c r="J141" s="5">
        <v>0.98</v>
      </c>
    </row>
    <row r="142" spans="1:10">
      <c r="A142" s="5" t="s">
        <v>458</v>
      </c>
      <c r="B142" s="5" t="s">
        <v>248</v>
      </c>
      <c r="C142" s="5">
        <v>0.98</v>
      </c>
      <c r="D142" s="5">
        <v>0.98</v>
      </c>
      <c r="E142" s="5">
        <v>0.98</v>
      </c>
      <c r="F142" s="5">
        <v>0.98</v>
      </c>
      <c r="G142" s="5">
        <v>0.98</v>
      </c>
      <c r="H142" s="5">
        <v>0.98</v>
      </c>
      <c r="I142" s="5">
        <v>0.98</v>
      </c>
      <c r="J142" s="5">
        <v>0.98</v>
      </c>
    </row>
    <row r="143" spans="1:10">
      <c r="A143" s="5" t="s">
        <v>458</v>
      </c>
      <c r="B143" s="5" t="s">
        <v>242</v>
      </c>
      <c r="C143" s="5">
        <v>0.98</v>
      </c>
      <c r="D143" s="5">
        <v>0.98</v>
      </c>
      <c r="E143" s="5">
        <v>0.98</v>
      </c>
      <c r="F143" s="5">
        <v>0.98</v>
      </c>
      <c r="G143" s="5">
        <v>0.98</v>
      </c>
      <c r="H143" s="5">
        <v>0.98</v>
      </c>
      <c r="I143" s="5">
        <v>0.98</v>
      </c>
      <c r="J143" s="5">
        <v>0.98</v>
      </c>
    </row>
    <row r="144" spans="1:10">
      <c r="A144" s="5" t="s">
        <v>458</v>
      </c>
      <c r="B144" s="5" t="s">
        <v>243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0">
      <c r="A145" s="5" t="s">
        <v>458</v>
      </c>
      <c r="B145" s="2" t="s">
        <v>249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0">
      <c r="A146" s="5" t="s">
        <v>458</v>
      </c>
      <c r="B146" s="2" t="s">
        <v>240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0">
      <c r="A147" s="5" t="s">
        <v>458</v>
      </c>
      <c r="B147" s="2" t="s">
        <v>241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0">
      <c r="A148" s="5" t="s">
        <v>458</v>
      </c>
      <c r="B148" s="2" t="s">
        <v>244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0">
      <c r="A149" s="5" t="s">
        <v>458</v>
      </c>
      <c r="B149" s="2" t="s">
        <v>245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0">
      <c r="A150" s="5" t="s">
        <v>458</v>
      </c>
      <c r="B150" t="s">
        <v>237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0">
      <c r="A151" s="5" t="s">
        <v>458</v>
      </c>
      <c r="B151" s="2" t="s">
        <v>238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0">
      <c r="A152" s="5" t="s">
        <v>458</v>
      </c>
      <c r="B152" s="2" t="s">
        <v>239</v>
      </c>
      <c r="C152" s="5">
        <v>0.98</v>
      </c>
      <c r="D152" s="5">
        <v>0.98</v>
      </c>
      <c r="E152" s="5">
        <v>0.98</v>
      </c>
      <c r="F152" s="5">
        <v>0.98</v>
      </c>
      <c r="G152" s="5">
        <v>0.98</v>
      </c>
      <c r="H152" s="5">
        <v>0.98</v>
      </c>
      <c r="I152" s="5">
        <v>0.98</v>
      </c>
      <c r="J152" s="5">
        <v>0.98</v>
      </c>
    </row>
    <row r="153" spans="1:10">
      <c r="A153" t="s">
        <v>458</v>
      </c>
      <c r="B153" s="2" t="s">
        <v>246</v>
      </c>
      <c r="C153">
        <v>0.98</v>
      </c>
      <c r="D153">
        <v>0.98</v>
      </c>
      <c r="E153">
        <v>0.98</v>
      </c>
      <c r="F153">
        <v>0.98</v>
      </c>
      <c r="G153">
        <v>0.98</v>
      </c>
      <c r="H153">
        <v>0.98</v>
      </c>
      <c r="I153">
        <v>0.98</v>
      </c>
      <c r="J153">
        <v>0.98</v>
      </c>
    </row>
    <row r="154" spans="1:10">
      <c r="A154" t="s">
        <v>458</v>
      </c>
      <c r="B154" t="s">
        <v>247</v>
      </c>
      <c r="C154">
        <v>0.98</v>
      </c>
      <c r="D154">
        <v>0.98</v>
      </c>
      <c r="E154">
        <v>0.98</v>
      </c>
      <c r="F154">
        <v>0.98</v>
      </c>
      <c r="G154">
        <v>0.98</v>
      </c>
      <c r="H154">
        <v>0.98</v>
      </c>
      <c r="I154">
        <v>0.98</v>
      </c>
      <c r="J154">
        <v>0.98</v>
      </c>
    </row>
    <row r="155" spans="1:10">
      <c r="A155" t="s">
        <v>458</v>
      </c>
      <c r="B155" t="s">
        <v>251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</row>
    <row r="156" spans="1:10">
      <c r="A156" s="5" t="s">
        <v>458</v>
      </c>
      <c r="B156" s="5" t="s">
        <v>253</v>
      </c>
      <c r="C156" s="5">
        <v>0.98</v>
      </c>
      <c r="D156" s="5">
        <v>0.98</v>
      </c>
      <c r="E156" s="5">
        <v>0.98</v>
      </c>
      <c r="F156" s="5">
        <v>0.98</v>
      </c>
      <c r="G156" s="5">
        <v>0.98</v>
      </c>
      <c r="H156" s="5">
        <v>0.98</v>
      </c>
      <c r="I156" s="5">
        <v>0.98</v>
      </c>
      <c r="J156" s="5">
        <v>0.98</v>
      </c>
    </row>
    <row r="157" spans="1:10">
      <c r="A157" s="5" t="s">
        <v>458</v>
      </c>
      <c r="B157" s="5" t="s">
        <v>254</v>
      </c>
      <c r="C157" s="5">
        <v>0.98</v>
      </c>
      <c r="D157" s="5">
        <v>0.98</v>
      </c>
      <c r="E157" s="5">
        <v>0.98</v>
      </c>
      <c r="F157" s="5">
        <v>0.98</v>
      </c>
      <c r="G157" s="5">
        <v>0.98</v>
      </c>
      <c r="H157" s="5">
        <v>0.98</v>
      </c>
      <c r="I157" s="5">
        <v>0.98</v>
      </c>
      <c r="J157" s="5">
        <v>0.98</v>
      </c>
    </row>
    <row r="158" spans="1:10">
      <c r="A158" s="5" t="s">
        <v>458</v>
      </c>
      <c r="B158" s="5" t="s">
        <v>255</v>
      </c>
      <c r="C158" s="5">
        <v>1</v>
      </c>
      <c r="D158" s="5">
        <v>1</v>
      </c>
      <c r="E158" s="5">
        <v>1</v>
      </c>
      <c r="F158" s="5">
        <v>1</v>
      </c>
      <c r="G158" s="5">
        <v>1</v>
      </c>
      <c r="H158" s="5">
        <v>1</v>
      </c>
      <c r="I158" s="5">
        <v>1</v>
      </c>
      <c r="J158" s="5">
        <v>1</v>
      </c>
    </row>
    <row r="159" spans="1:10">
      <c r="A159" s="5" t="s">
        <v>458</v>
      </c>
      <c r="B159" s="5" t="s">
        <v>464</v>
      </c>
      <c r="C159" s="5">
        <v>1</v>
      </c>
      <c r="D159" s="5">
        <v>1</v>
      </c>
      <c r="E159" s="5">
        <v>1</v>
      </c>
      <c r="F159" s="5">
        <v>1</v>
      </c>
      <c r="G159" s="5">
        <v>1</v>
      </c>
      <c r="H159" s="5">
        <v>1</v>
      </c>
      <c r="I159" s="5">
        <v>1</v>
      </c>
      <c r="J159" s="5">
        <v>1</v>
      </c>
    </row>
    <row r="160" spans="1:10">
      <c r="A160" s="5" t="s">
        <v>486</v>
      </c>
      <c r="B160" t="s">
        <v>156</v>
      </c>
      <c r="C160" s="5">
        <v>1</v>
      </c>
      <c r="D160" s="5">
        <v>1</v>
      </c>
      <c r="E160" s="5">
        <v>1</v>
      </c>
      <c r="F160" s="5">
        <v>1</v>
      </c>
      <c r="G160" s="5">
        <v>1</v>
      </c>
      <c r="H160" s="5">
        <v>1</v>
      </c>
      <c r="I160" s="5">
        <v>1</v>
      </c>
      <c r="J160" s="5">
        <v>1</v>
      </c>
    </row>
    <row r="161" spans="1:10">
      <c r="A161" s="5" t="s">
        <v>486</v>
      </c>
      <c r="B161" t="s">
        <v>157</v>
      </c>
      <c r="C161" s="5">
        <v>1</v>
      </c>
      <c r="D161" s="5">
        <v>1</v>
      </c>
      <c r="E161" s="5">
        <v>1</v>
      </c>
      <c r="F161" s="5">
        <v>1</v>
      </c>
      <c r="G161" s="5">
        <v>1</v>
      </c>
      <c r="H161" s="5">
        <v>1</v>
      </c>
      <c r="I161" s="5">
        <v>1</v>
      </c>
      <c r="J161" s="5">
        <v>1</v>
      </c>
    </row>
    <row r="162" spans="1:10">
      <c r="A162" s="5" t="s">
        <v>486</v>
      </c>
      <c r="B162" s="5" t="s">
        <v>127</v>
      </c>
      <c r="C162" s="5">
        <v>1</v>
      </c>
      <c r="D162" s="5">
        <v>1</v>
      </c>
      <c r="E162" s="5">
        <v>1</v>
      </c>
      <c r="F162" s="5">
        <v>1</v>
      </c>
      <c r="G162" s="5">
        <v>1</v>
      </c>
      <c r="H162" s="5">
        <v>1</v>
      </c>
      <c r="I162" s="5">
        <v>1</v>
      </c>
      <c r="J162" s="5">
        <v>1</v>
      </c>
    </row>
    <row r="163" spans="1:10">
      <c r="A163" s="5" t="s">
        <v>486</v>
      </c>
      <c r="B163" s="5" t="s">
        <v>128</v>
      </c>
      <c r="C163" s="5">
        <v>1</v>
      </c>
      <c r="D163" s="5">
        <v>1</v>
      </c>
      <c r="E163" s="5">
        <v>1</v>
      </c>
      <c r="F163" s="5">
        <v>1</v>
      </c>
      <c r="G163" s="5">
        <v>1</v>
      </c>
      <c r="H163" s="5">
        <v>1</v>
      </c>
      <c r="I163" s="5">
        <v>1</v>
      </c>
      <c r="J163" s="5">
        <v>1</v>
      </c>
    </row>
    <row r="164" spans="1:10">
      <c r="A164" s="5" t="s">
        <v>486</v>
      </c>
      <c r="B164" s="5" t="s">
        <v>139</v>
      </c>
      <c r="C164" s="5">
        <v>1</v>
      </c>
      <c r="D164" s="5">
        <v>1</v>
      </c>
      <c r="E164" s="5">
        <v>1</v>
      </c>
      <c r="F164" s="5">
        <v>1</v>
      </c>
      <c r="G164" s="5">
        <v>1</v>
      </c>
      <c r="H164" s="5">
        <v>1</v>
      </c>
      <c r="I164" s="5">
        <v>1</v>
      </c>
      <c r="J164" s="5">
        <v>1</v>
      </c>
    </row>
    <row r="165" spans="1:10">
      <c r="A165" s="5" t="s">
        <v>486</v>
      </c>
      <c r="B165" s="5" t="s">
        <v>140</v>
      </c>
      <c r="C165" s="5">
        <v>1</v>
      </c>
      <c r="D165" s="5">
        <v>1</v>
      </c>
      <c r="E165" s="5">
        <v>1</v>
      </c>
      <c r="F165" s="5">
        <v>1</v>
      </c>
      <c r="G165" s="5">
        <v>1</v>
      </c>
      <c r="H165" s="5">
        <v>1</v>
      </c>
      <c r="I165" s="5">
        <v>1</v>
      </c>
      <c r="J165" s="5">
        <v>1</v>
      </c>
    </row>
    <row r="166" spans="1:10">
      <c r="A166" s="5" t="s">
        <v>486</v>
      </c>
      <c r="B166" s="5" t="s">
        <v>231</v>
      </c>
      <c r="C166" s="5">
        <v>1</v>
      </c>
      <c r="D166" s="5">
        <v>1</v>
      </c>
      <c r="E166" s="5">
        <v>1</v>
      </c>
      <c r="F166" s="5">
        <v>1</v>
      </c>
      <c r="G166" s="5">
        <v>1</v>
      </c>
      <c r="H166" s="5">
        <v>1</v>
      </c>
      <c r="I166" s="5">
        <v>1</v>
      </c>
      <c r="J166" s="5">
        <v>1</v>
      </c>
    </row>
    <row r="167" spans="1:10">
      <c r="A167" s="5" t="s">
        <v>486</v>
      </c>
      <c r="B167" s="5" t="s">
        <v>233</v>
      </c>
      <c r="C167" s="5">
        <v>1</v>
      </c>
      <c r="D167" s="5">
        <v>1</v>
      </c>
      <c r="E167" s="5">
        <v>1</v>
      </c>
      <c r="F167" s="5">
        <v>1</v>
      </c>
      <c r="G167" s="5">
        <v>1</v>
      </c>
      <c r="H167" s="5">
        <v>1</v>
      </c>
      <c r="I167" s="5">
        <v>1</v>
      </c>
      <c r="J167" s="5">
        <v>1</v>
      </c>
    </row>
    <row r="168" spans="1:10">
      <c r="A168" s="5" t="s">
        <v>486</v>
      </c>
      <c r="B168" s="5" t="s">
        <v>126</v>
      </c>
      <c r="C168" s="5">
        <v>1</v>
      </c>
      <c r="D168" s="5">
        <v>1</v>
      </c>
      <c r="E168" s="5">
        <v>1</v>
      </c>
      <c r="F168" s="5">
        <v>1</v>
      </c>
      <c r="G168" s="5">
        <v>1</v>
      </c>
      <c r="H168" s="5">
        <v>1</v>
      </c>
      <c r="I168" s="5">
        <v>1</v>
      </c>
      <c r="J168" s="5">
        <v>1</v>
      </c>
    </row>
    <row r="169" spans="1:10">
      <c r="A169" s="5" t="s">
        <v>486</v>
      </c>
      <c r="B169" s="5" t="s">
        <v>129</v>
      </c>
      <c r="C169" s="5">
        <v>1</v>
      </c>
      <c r="D169" s="5">
        <v>1</v>
      </c>
      <c r="E169" s="5">
        <v>1</v>
      </c>
      <c r="F169" s="5">
        <v>1</v>
      </c>
      <c r="G169" s="5">
        <v>1</v>
      </c>
      <c r="H169" s="5">
        <v>1</v>
      </c>
      <c r="I169" s="5">
        <v>1</v>
      </c>
      <c r="J169" s="5">
        <v>1</v>
      </c>
    </row>
    <row r="170" spans="1:10">
      <c r="A170" s="5" t="s">
        <v>486</v>
      </c>
      <c r="B170" s="5" t="s">
        <v>177</v>
      </c>
      <c r="C170" s="5">
        <v>1</v>
      </c>
      <c r="D170" s="5">
        <v>1</v>
      </c>
      <c r="E170" s="5">
        <v>1</v>
      </c>
      <c r="F170" s="5">
        <v>1</v>
      </c>
      <c r="G170" s="5">
        <v>1</v>
      </c>
      <c r="H170" s="5">
        <v>1</v>
      </c>
      <c r="I170" s="5">
        <v>1</v>
      </c>
      <c r="J170" s="5">
        <v>1</v>
      </c>
    </row>
    <row r="171" spans="1:10">
      <c r="A171" s="5" t="s">
        <v>486</v>
      </c>
      <c r="B171" s="5" t="s">
        <v>121</v>
      </c>
      <c r="C171" s="5">
        <v>0.95</v>
      </c>
      <c r="D171" s="5">
        <v>0.94999999999999984</v>
      </c>
      <c r="E171" s="5">
        <v>0.95</v>
      </c>
      <c r="F171" s="5">
        <v>0.95</v>
      </c>
      <c r="G171" s="5">
        <v>0.95</v>
      </c>
      <c r="H171" s="5">
        <v>0.95</v>
      </c>
      <c r="I171" s="5">
        <v>0.94999999999999984</v>
      </c>
      <c r="J171" s="5">
        <v>0.95</v>
      </c>
    </row>
    <row r="172" spans="1:10">
      <c r="A172" s="5" t="s">
        <v>486</v>
      </c>
      <c r="B172" s="5" t="s">
        <v>122</v>
      </c>
      <c r="C172" s="5">
        <v>0.95</v>
      </c>
      <c r="D172" s="5">
        <v>0.94999999999999984</v>
      </c>
      <c r="E172" s="5">
        <v>0.95</v>
      </c>
      <c r="F172" s="5">
        <v>0.95</v>
      </c>
      <c r="G172" s="5">
        <v>0.95</v>
      </c>
      <c r="H172" s="5">
        <v>0.95</v>
      </c>
      <c r="I172" s="5">
        <v>0.94999999999999984</v>
      </c>
      <c r="J172" s="5">
        <v>0.95</v>
      </c>
    </row>
    <row r="173" spans="1:10">
      <c r="A173" s="5" t="s">
        <v>486</v>
      </c>
      <c r="B173" s="5" t="s">
        <v>162</v>
      </c>
      <c r="C173" s="5">
        <v>0</v>
      </c>
      <c r="D173" s="5">
        <v>0</v>
      </c>
      <c r="E173" s="5">
        <v>0</v>
      </c>
      <c r="F173" s="5">
        <v>0.95</v>
      </c>
      <c r="G173" s="5">
        <v>0.95</v>
      </c>
      <c r="H173" s="5">
        <v>0.95</v>
      </c>
      <c r="I173" s="5">
        <v>0.94999999999999984</v>
      </c>
      <c r="J173" s="5">
        <v>0.95</v>
      </c>
    </row>
    <row r="174" spans="1:10">
      <c r="A174" s="5" t="s">
        <v>486</v>
      </c>
      <c r="B174" s="5" t="s">
        <v>116</v>
      </c>
      <c r="C174" s="5">
        <v>0</v>
      </c>
      <c r="D174" s="5">
        <v>0.91734003623078653</v>
      </c>
      <c r="E174" s="5">
        <v>0.9325813526564195</v>
      </c>
      <c r="F174" s="5">
        <v>0.93639168176282772</v>
      </c>
      <c r="G174" s="5">
        <v>0.93829684631603183</v>
      </c>
      <c r="H174" s="5">
        <v>0.93924942859263383</v>
      </c>
      <c r="I174" s="5">
        <v>0.93972571973093488</v>
      </c>
      <c r="J174" s="5">
        <v>0.940202110869236</v>
      </c>
    </row>
    <row r="175" spans="1:10">
      <c r="A175" s="5" t="s">
        <v>486</v>
      </c>
      <c r="B175" s="5" t="s">
        <v>52</v>
      </c>
      <c r="C175" s="5">
        <v>0</v>
      </c>
      <c r="D175" s="5">
        <v>0</v>
      </c>
      <c r="E175" s="5">
        <v>0.95</v>
      </c>
      <c r="F175" s="5">
        <v>0.95</v>
      </c>
      <c r="G175" s="5">
        <v>0.95</v>
      </c>
      <c r="H175" s="5">
        <v>0.95</v>
      </c>
      <c r="I175" s="5">
        <v>0.94999999999999984</v>
      </c>
      <c r="J175" s="5">
        <v>0.95</v>
      </c>
    </row>
    <row r="176" spans="1:10">
      <c r="A176" s="5" t="s">
        <v>486</v>
      </c>
      <c r="B176" s="5" t="s">
        <v>117</v>
      </c>
      <c r="C176" s="5">
        <v>0.95</v>
      </c>
      <c r="D176" s="5">
        <v>0.94999999999999984</v>
      </c>
      <c r="E176" s="5">
        <v>0.95</v>
      </c>
      <c r="F176" s="5">
        <v>0.95</v>
      </c>
      <c r="G176" s="5">
        <v>0.95</v>
      </c>
      <c r="H176" s="5">
        <v>0.95</v>
      </c>
      <c r="I176" s="5">
        <v>0.94999999999999984</v>
      </c>
      <c r="J176" s="5">
        <v>0.95</v>
      </c>
    </row>
    <row r="177" spans="1:10">
      <c r="A177" s="5" t="s">
        <v>486</v>
      </c>
      <c r="B177" s="5" t="s">
        <v>118</v>
      </c>
      <c r="C177" s="5">
        <v>0</v>
      </c>
      <c r="D177" s="5">
        <v>0.94999999999999984</v>
      </c>
      <c r="E177" s="5">
        <v>0.95</v>
      </c>
      <c r="F177" s="5">
        <v>0.95</v>
      </c>
      <c r="G177" s="5">
        <v>0.95</v>
      </c>
      <c r="H177" s="5">
        <v>0.95</v>
      </c>
      <c r="I177" s="5">
        <v>0.94999999999999984</v>
      </c>
      <c r="J177" s="5">
        <v>0.95</v>
      </c>
    </row>
    <row r="178" spans="1:10">
      <c r="A178" s="5" t="s">
        <v>486</v>
      </c>
      <c r="B178" s="5" t="s">
        <v>169</v>
      </c>
      <c r="C178" s="5">
        <v>0.95</v>
      </c>
      <c r="D178" s="5">
        <v>0.94999999999999984</v>
      </c>
      <c r="E178" s="5">
        <v>0.95</v>
      </c>
      <c r="F178" s="5">
        <v>0.95</v>
      </c>
      <c r="G178" s="5">
        <v>0.95</v>
      </c>
      <c r="H178" s="5">
        <v>0.95</v>
      </c>
      <c r="I178" s="5">
        <v>0.94999999999999984</v>
      </c>
      <c r="J178" s="5">
        <v>0.95</v>
      </c>
    </row>
    <row r="179" spans="1:10">
      <c r="A179" s="5" t="s">
        <v>486</v>
      </c>
      <c r="B179" s="5" t="s">
        <v>170</v>
      </c>
      <c r="C179" s="5">
        <v>0.95</v>
      </c>
      <c r="D179" s="5">
        <v>0.94999999999999984</v>
      </c>
      <c r="E179" s="5">
        <v>0.95</v>
      </c>
      <c r="F179" s="5">
        <v>0.95</v>
      </c>
      <c r="G179" s="5">
        <v>0.95</v>
      </c>
      <c r="H179" s="5">
        <v>0.95</v>
      </c>
      <c r="I179" s="5">
        <v>0.94999999999999984</v>
      </c>
      <c r="J179" s="5">
        <v>0.95</v>
      </c>
    </row>
    <row r="180" spans="1:10">
      <c r="A180" s="5" t="s">
        <v>486</v>
      </c>
      <c r="B180" s="5" t="s">
        <v>488</v>
      </c>
      <c r="C180" s="5">
        <v>0.95</v>
      </c>
      <c r="D180" s="5">
        <v>0.94999999999999984</v>
      </c>
      <c r="E180" s="5">
        <v>0.95</v>
      </c>
      <c r="F180" s="5">
        <v>0.95</v>
      </c>
      <c r="G180" s="5">
        <v>0.95</v>
      </c>
      <c r="H180" s="5">
        <v>0.95</v>
      </c>
      <c r="I180" s="5">
        <v>0.94999999999999984</v>
      </c>
      <c r="J180" s="5">
        <v>0.95</v>
      </c>
    </row>
    <row r="181" spans="1:10">
      <c r="A181" s="5" t="s">
        <v>486</v>
      </c>
      <c r="B181" s="5" t="s">
        <v>489</v>
      </c>
      <c r="C181" s="5">
        <v>0.95</v>
      </c>
      <c r="D181" s="5">
        <v>0.94999999999999984</v>
      </c>
      <c r="E181" s="5">
        <v>0.95</v>
      </c>
      <c r="F181" s="5">
        <v>0.95</v>
      </c>
      <c r="G181" s="5">
        <v>0.95</v>
      </c>
      <c r="H181" s="5">
        <v>0.95</v>
      </c>
      <c r="I181" s="5">
        <v>0.94999999999999984</v>
      </c>
      <c r="J181" s="5">
        <v>0.95</v>
      </c>
    </row>
    <row r="182" spans="1:10">
      <c r="A182" s="5" t="s">
        <v>486</v>
      </c>
      <c r="B182" s="5" t="s">
        <v>150</v>
      </c>
      <c r="C182" s="5">
        <v>0.98</v>
      </c>
      <c r="D182" s="5">
        <v>0.98</v>
      </c>
      <c r="E182" s="5">
        <v>0.98</v>
      </c>
      <c r="F182" s="5">
        <v>0.98</v>
      </c>
      <c r="G182" s="5">
        <v>0.98</v>
      </c>
      <c r="H182" s="5">
        <v>0.98</v>
      </c>
      <c r="I182" s="5">
        <v>0.98</v>
      </c>
      <c r="J182" s="5">
        <v>0.98</v>
      </c>
    </row>
    <row r="183" spans="1:10">
      <c r="A183" s="5" t="s">
        <v>486</v>
      </c>
      <c r="B183" s="5" t="s">
        <v>94</v>
      </c>
      <c r="C183" s="5">
        <v>0.98</v>
      </c>
      <c r="D183" s="5">
        <v>0.98</v>
      </c>
      <c r="E183" s="5">
        <v>0.98</v>
      </c>
      <c r="F183" s="5">
        <v>0.98</v>
      </c>
      <c r="G183" s="5">
        <v>0.98</v>
      </c>
      <c r="H183" s="5">
        <v>0.98</v>
      </c>
      <c r="I183" s="5">
        <v>0.98</v>
      </c>
      <c r="J183" s="5">
        <v>0.98</v>
      </c>
    </row>
    <row r="184" spans="1:10">
      <c r="A184" s="5" t="s">
        <v>486</v>
      </c>
      <c r="B184" s="5" t="s">
        <v>93</v>
      </c>
      <c r="C184" s="5">
        <v>0.98</v>
      </c>
      <c r="D184" s="5">
        <v>0.98</v>
      </c>
      <c r="E184" s="5">
        <v>0.98</v>
      </c>
      <c r="F184" s="5">
        <v>0.98</v>
      </c>
      <c r="G184" s="5">
        <v>0.98</v>
      </c>
      <c r="H184" s="5">
        <v>0.98</v>
      </c>
      <c r="I184" s="5">
        <v>0.98</v>
      </c>
      <c r="J184" s="5">
        <v>0.98</v>
      </c>
    </row>
    <row r="185" spans="1:10">
      <c r="A185" s="5" t="s">
        <v>486</v>
      </c>
      <c r="B185" s="5" t="s">
        <v>13</v>
      </c>
      <c r="C185" s="5">
        <v>0.98</v>
      </c>
      <c r="D185" s="5">
        <v>0.98</v>
      </c>
      <c r="E185" s="5">
        <v>0.98</v>
      </c>
      <c r="F185" s="5">
        <v>0.98</v>
      </c>
      <c r="G185" s="5">
        <v>0.98</v>
      </c>
      <c r="H185" s="5">
        <v>0.98</v>
      </c>
      <c r="I185" s="5">
        <v>0.98</v>
      </c>
      <c r="J185" s="5">
        <v>0.98</v>
      </c>
    </row>
    <row r="186" spans="1:10">
      <c r="A186" s="5" t="s">
        <v>486</v>
      </c>
      <c r="B186" s="5" t="s">
        <v>14</v>
      </c>
      <c r="C186" s="5">
        <v>0.9</v>
      </c>
      <c r="D186" s="5">
        <v>0.9</v>
      </c>
      <c r="E186" s="5">
        <v>0.9</v>
      </c>
      <c r="F186" s="5">
        <v>0.9</v>
      </c>
      <c r="G186" s="5">
        <v>0.9</v>
      </c>
      <c r="H186" s="5">
        <v>0.9</v>
      </c>
      <c r="I186" s="5">
        <v>0.9</v>
      </c>
      <c r="J186" s="5">
        <v>0.9</v>
      </c>
    </row>
    <row r="187" spans="1:10">
      <c r="A187" s="5" t="s">
        <v>486</v>
      </c>
      <c r="B187" s="5" t="s">
        <v>49</v>
      </c>
      <c r="C187" s="5">
        <v>0.98</v>
      </c>
      <c r="D187" s="5">
        <v>0.98</v>
      </c>
      <c r="E187" s="5">
        <v>0.98</v>
      </c>
      <c r="F187" s="5">
        <v>0.98</v>
      </c>
      <c r="G187" s="5">
        <v>0.98</v>
      </c>
      <c r="H187" s="5">
        <v>0.98</v>
      </c>
      <c r="I187" s="5">
        <v>0.98</v>
      </c>
      <c r="J187" s="5">
        <v>0.98</v>
      </c>
    </row>
    <row r="188" spans="1:10">
      <c r="A188" s="5" t="s">
        <v>486</v>
      </c>
      <c r="B188" s="5" t="s">
        <v>124</v>
      </c>
      <c r="C188" s="5">
        <v>0</v>
      </c>
      <c r="D188" s="5">
        <v>0</v>
      </c>
      <c r="E188" s="5">
        <v>0</v>
      </c>
      <c r="F188" s="5">
        <v>0</v>
      </c>
      <c r="G188" s="5">
        <v>0.95</v>
      </c>
      <c r="H188" s="5">
        <v>0.95</v>
      </c>
      <c r="I188" s="5">
        <v>0.94999999999999984</v>
      </c>
      <c r="J188" s="5">
        <v>0.95</v>
      </c>
    </row>
    <row r="189" spans="1:10">
      <c r="A189" s="5" t="s">
        <v>486</v>
      </c>
      <c r="B189" s="5" t="s">
        <v>53</v>
      </c>
      <c r="C189" s="5">
        <v>0.95</v>
      </c>
      <c r="D189" s="5">
        <v>0.94999999999999984</v>
      </c>
      <c r="E189" s="5">
        <v>0.95</v>
      </c>
      <c r="F189" s="5">
        <v>0.95</v>
      </c>
      <c r="G189" s="5">
        <v>0.95</v>
      </c>
      <c r="H189" s="5">
        <v>0.95</v>
      </c>
      <c r="I189" s="5">
        <v>0.94999999999999984</v>
      </c>
      <c r="J189" s="5">
        <v>0.95</v>
      </c>
    </row>
    <row r="190" spans="1:10">
      <c r="A190" s="5" t="s">
        <v>486</v>
      </c>
      <c r="B190" s="5" t="s">
        <v>125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0.95</v>
      </c>
      <c r="I190" s="5">
        <v>0.94999999999999984</v>
      </c>
      <c r="J190" s="5">
        <v>0.95</v>
      </c>
    </row>
    <row r="191" spans="1:10">
      <c r="A191" s="5" t="s">
        <v>486</v>
      </c>
      <c r="B191" s="5" t="s">
        <v>119</v>
      </c>
      <c r="C191" s="5">
        <v>0.95</v>
      </c>
      <c r="D191" s="5">
        <v>0.94999999999999984</v>
      </c>
      <c r="E191" s="5">
        <v>0.95</v>
      </c>
      <c r="F191" s="5">
        <v>0.95</v>
      </c>
      <c r="G191" s="5">
        <v>0.95</v>
      </c>
      <c r="H191" s="5">
        <v>0.95</v>
      </c>
      <c r="I191" s="5">
        <v>0.94999999999999984</v>
      </c>
      <c r="J191" s="5">
        <v>0.95</v>
      </c>
    </row>
    <row r="192" spans="1:10">
      <c r="A192" s="5" t="s">
        <v>486</v>
      </c>
      <c r="B192" s="5" t="s">
        <v>120</v>
      </c>
      <c r="C192" s="5">
        <v>0.95</v>
      </c>
      <c r="D192" s="5">
        <v>0.94999999999999984</v>
      </c>
      <c r="E192" s="5">
        <v>0.95</v>
      </c>
      <c r="F192" s="5">
        <v>0.95</v>
      </c>
      <c r="G192" s="5">
        <v>0.95</v>
      </c>
      <c r="H192" s="5">
        <v>0.95</v>
      </c>
      <c r="I192" s="5">
        <v>0.94999999999999984</v>
      </c>
      <c r="J192" s="5">
        <v>0.95</v>
      </c>
    </row>
    <row r="193" spans="1:10">
      <c r="A193" s="5" t="s">
        <v>486</v>
      </c>
      <c r="B193" s="5" t="s">
        <v>55</v>
      </c>
      <c r="C193" s="5">
        <v>0</v>
      </c>
      <c r="D193" s="36">
        <v>0.91734003623078653</v>
      </c>
      <c r="E193" s="36">
        <v>0.91734003623078653</v>
      </c>
      <c r="F193" s="36">
        <v>0.91734003623078653</v>
      </c>
      <c r="G193" s="36">
        <v>0.91734003623078653</v>
      </c>
      <c r="H193" s="36">
        <v>0.91734003623078653</v>
      </c>
      <c r="I193" s="36">
        <v>0.91734003623078653</v>
      </c>
      <c r="J193" s="36">
        <v>0.91734003623078653</v>
      </c>
    </row>
    <row r="194" spans="1:10">
      <c r="A194" s="5" t="s">
        <v>486</v>
      </c>
      <c r="B194" s="5" t="s">
        <v>114</v>
      </c>
      <c r="C194" s="5">
        <v>0</v>
      </c>
      <c r="D194" s="5">
        <v>0</v>
      </c>
      <c r="E194" s="5">
        <v>0.95</v>
      </c>
      <c r="F194" s="5">
        <v>0.95</v>
      </c>
      <c r="G194" s="5">
        <v>0.95</v>
      </c>
      <c r="H194" s="5">
        <v>0.95</v>
      </c>
      <c r="I194" s="5">
        <v>0.94999999999999984</v>
      </c>
      <c r="J194" s="5">
        <v>0.95</v>
      </c>
    </row>
    <row r="195" spans="1:10">
      <c r="A195" s="5" t="s">
        <v>486</v>
      </c>
      <c r="B195" s="5" t="s">
        <v>54</v>
      </c>
      <c r="C195" s="5">
        <v>0.95</v>
      </c>
      <c r="D195" s="5">
        <v>0.94999999999999984</v>
      </c>
      <c r="E195" s="5">
        <v>0.95</v>
      </c>
      <c r="F195" s="5">
        <v>0.95</v>
      </c>
      <c r="G195" s="5">
        <v>0.95</v>
      </c>
      <c r="H195" s="5">
        <v>0.95</v>
      </c>
      <c r="I195" s="5">
        <v>0.94999999999999984</v>
      </c>
      <c r="J195" s="5">
        <v>0.95</v>
      </c>
    </row>
    <row r="196" spans="1:10">
      <c r="A196" s="5" t="s">
        <v>486</v>
      </c>
      <c r="B196" s="5" t="s">
        <v>115</v>
      </c>
      <c r="C196" s="5">
        <v>0</v>
      </c>
      <c r="D196" s="5">
        <v>0.94999999999999984</v>
      </c>
      <c r="E196" s="5">
        <v>0.95</v>
      </c>
      <c r="F196" s="5">
        <v>0.95</v>
      </c>
      <c r="G196" s="5">
        <v>0.95</v>
      </c>
      <c r="H196" s="5">
        <v>0.95</v>
      </c>
      <c r="I196" s="5">
        <v>0.94999999999999984</v>
      </c>
      <c r="J196" s="5">
        <v>0.95</v>
      </c>
    </row>
    <row r="197" spans="1:10">
      <c r="A197" s="5" t="s">
        <v>486</v>
      </c>
      <c r="B197" s="5" t="s">
        <v>171</v>
      </c>
      <c r="C197" s="5">
        <v>0.95</v>
      </c>
      <c r="D197" s="5">
        <v>0.94999999999999984</v>
      </c>
      <c r="E197" s="5">
        <v>0.95</v>
      </c>
      <c r="F197" s="5">
        <v>0.95</v>
      </c>
      <c r="G197" s="5">
        <v>0.95</v>
      </c>
      <c r="H197" s="5">
        <v>0.95</v>
      </c>
      <c r="I197" s="5">
        <v>0.94999999999999984</v>
      </c>
      <c r="J197" s="5">
        <v>0.95</v>
      </c>
    </row>
    <row r="198" spans="1:10">
      <c r="A198" s="5" t="s">
        <v>486</v>
      </c>
      <c r="B198" s="5" t="s">
        <v>172</v>
      </c>
      <c r="C198" s="5">
        <v>0.95</v>
      </c>
      <c r="D198" s="5">
        <v>0.94999999999999984</v>
      </c>
      <c r="E198" s="5">
        <v>0.95</v>
      </c>
      <c r="F198" s="5">
        <v>0.95</v>
      </c>
      <c r="G198" s="5">
        <v>0.95</v>
      </c>
      <c r="H198" s="5">
        <v>0.95</v>
      </c>
      <c r="I198" s="5">
        <v>0.94999999999999984</v>
      </c>
      <c r="J198" s="5">
        <v>0.95</v>
      </c>
    </row>
    <row r="199" spans="1:10">
      <c r="A199" s="5" t="s">
        <v>486</v>
      </c>
      <c r="B199" s="5" t="s">
        <v>77</v>
      </c>
      <c r="C199" s="5">
        <v>1</v>
      </c>
      <c r="D199" s="5">
        <v>1</v>
      </c>
      <c r="E199" s="5">
        <v>1</v>
      </c>
      <c r="F199" s="5">
        <v>1</v>
      </c>
      <c r="G199" s="5">
        <v>1</v>
      </c>
      <c r="H199" s="5">
        <v>1</v>
      </c>
      <c r="I199" s="5">
        <v>1</v>
      </c>
      <c r="J199" s="5">
        <v>1</v>
      </c>
    </row>
    <row r="200" spans="1:10">
      <c r="A200" s="5" t="s">
        <v>486</v>
      </c>
      <c r="B200" s="5" t="s">
        <v>76</v>
      </c>
      <c r="C200" s="5">
        <v>1</v>
      </c>
      <c r="D200" s="5">
        <v>1</v>
      </c>
      <c r="E200" s="5">
        <v>1</v>
      </c>
      <c r="F200" s="5">
        <v>1</v>
      </c>
      <c r="G200" s="5">
        <v>1</v>
      </c>
      <c r="H200" s="5">
        <v>1</v>
      </c>
      <c r="I200" s="5">
        <v>1</v>
      </c>
      <c r="J200" s="5">
        <v>1</v>
      </c>
    </row>
    <row r="201" spans="1:10">
      <c r="A201" s="5" t="s">
        <v>486</v>
      </c>
      <c r="B201" s="5" t="s">
        <v>75</v>
      </c>
      <c r="C201" s="5">
        <v>1</v>
      </c>
      <c r="D201" s="5">
        <v>1</v>
      </c>
      <c r="E201" s="5">
        <v>1</v>
      </c>
      <c r="F201" s="5">
        <v>1</v>
      </c>
      <c r="G201" s="5">
        <v>1</v>
      </c>
      <c r="H201" s="5">
        <v>1</v>
      </c>
      <c r="I201" s="5">
        <v>1</v>
      </c>
      <c r="J201" s="5">
        <v>1</v>
      </c>
    </row>
    <row r="202" spans="1:10">
      <c r="A202" s="5" t="s">
        <v>486</v>
      </c>
      <c r="B202" s="5" t="s">
        <v>78</v>
      </c>
      <c r="C202" s="5">
        <v>1</v>
      </c>
      <c r="D202" s="5">
        <v>1</v>
      </c>
      <c r="E202" s="5">
        <v>1</v>
      </c>
      <c r="F202" s="5">
        <v>1</v>
      </c>
      <c r="G202" s="5">
        <v>1</v>
      </c>
      <c r="H202" s="5">
        <v>1</v>
      </c>
      <c r="I202" s="5">
        <v>1</v>
      </c>
      <c r="J202" s="5">
        <v>1</v>
      </c>
    </row>
    <row r="203" spans="1:10">
      <c r="A203" s="5" t="s">
        <v>486</v>
      </c>
      <c r="B203" s="5" t="s">
        <v>79</v>
      </c>
      <c r="C203" s="5">
        <v>1</v>
      </c>
      <c r="D203" s="5">
        <v>1</v>
      </c>
      <c r="E203" s="5">
        <v>1</v>
      </c>
      <c r="F203" s="5">
        <v>1</v>
      </c>
      <c r="G203" s="5">
        <v>1</v>
      </c>
      <c r="H203" s="5">
        <v>1</v>
      </c>
      <c r="I203" s="5">
        <v>1</v>
      </c>
      <c r="J203" s="5">
        <v>1</v>
      </c>
    </row>
    <row r="204" spans="1:10">
      <c r="A204" s="5" t="s">
        <v>486</v>
      </c>
      <c r="B204" s="5" t="s">
        <v>145</v>
      </c>
      <c r="C204" s="5">
        <v>1</v>
      </c>
      <c r="D204" s="5">
        <v>1</v>
      </c>
      <c r="E204" s="5">
        <v>1</v>
      </c>
      <c r="F204" s="5">
        <v>1</v>
      </c>
      <c r="G204" s="5">
        <v>1</v>
      </c>
      <c r="H204" s="5">
        <v>1</v>
      </c>
      <c r="I204" s="5">
        <v>1</v>
      </c>
      <c r="J204" s="5">
        <v>1</v>
      </c>
    </row>
    <row r="205" spans="1:10">
      <c r="A205" s="5" t="s">
        <v>486</v>
      </c>
      <c r="B205" s="5" t="s">
        <v>87</v>
      </c>
      <c r="C205" s="5">
        <v>0.98</v>
      </c>
      <c r="D205" s="5">
        <v>0.98</v>
      </c>
      <c r="E205" s="5">
        <v>0.98</v>
      </c>
      <c r="F205" s="5">
        <v>0.98</v>
      </c>
      <c r="G205" s="5">
        <v>0.98</v>
      </c>
      <c r="H205" s="5">
        <v>0.98</v>
      </c>
      <c r="I205" s="5">
        <v>0.98</v>
      </c>
      <c r="J205" s="5">
        <v>0.98</v>
      </c>
    </row>
    <row r="206" spans="1:10">
      <c r="A206" s="5" t="s">
        <v>486</v>
      </c>
      <c r="B206" s="5" t="s">
        <v>88</v>
      </c>
      <c r="C206" s="5">
        <v>0.98</v>
      </c>
      <c r="D206" s="5">
        <v>0.98</v>
      </c>
      <c r="E206" s="5">
        <v>0.98</v>
      </c>
      <c r="F206" s="5">
        <v>0.98</v>
      </c>
      <c r="G206" s="5">
        <v>0.98</v>
      </c>
      <c r="H206" s="5">
        <v>0.98</v>
      </c>
      <c r="I206" s="5">
        <v>0.98</v>
      </c>
      <c r="J206" s="5">
        <v>0.98</v>
      </c>
    </row>
    <row r="207" spans="1:10">
      <c r="A207" s="5" t="s">
        <v>486</v>
      </c>
      <c r="B207" s="5" t="s">
        <v>92</v>
      </c>
      <c r="C207" s="5">
        <v>0.92</v>
      </c>
      <c r="D207" s="5">
        <v>0.92</v>
      </c>
      <c r="E207" s="5">
        <v>0.92</v>
      </c>
      <c r="F207" s="5">
        <v>0.92</v>
      </c>
      <c r="G207" s="5">
        <v>0.92</v>
      </c>
      <c r="H207" s="5">
        <v>0.92</v>
      </c>
      <c r="I207" s="5">
        <v>0.92</v>
      </c>
      <c r="J207" s="5">
        <v>0.92</v>
      </c>
    </row>
    <row r="208" spans="1:10">
      <c r="A208" s="5" t="s">
        <v>486</v>
      </c>
      <c r="B208" s="5" t="s">
        <v>90</v>
      </c>
      <c r="C208" s="5">
        <v>0.9</v>
      </c>
      <c r="D208" s="5">
        <v>0.9</v>
      </c>
      <c r="E208" s="5">
        <v>0.9</v>
      </c>
      <c r="F208" s="5">
        <v>0.9</v>
      </c>
      <c r="G208" s="5">
        <v>0.9</v>
      </c>
      <c r="H208" s="5">
        <v>0.9</v>
      </c>
      <c r="I208" s="5">
        <v>0.9</v>
      </c>
      <c r="J208" s="5">
        <v>0.9</v>
      </c>
    </row>
    <row r="209" spans="1:10">
      <c r="A209" s="5" t="s">
        <v>486</v>
      </c>
      <c r="B209" s="5" t="s">
        <v>91</v>
      </c>
      <c r="C209" s="5">
        <v>0.36</v>
      </c>
      <c r="D209" s="5">
        <v>0.45</v>
      </c>
      <c r="E209" s="5">
        <v>0.46</v>
      </c>
      <c r="F209" s="5">
        <v>0.47</v>
      </c>
      <c r="G209" s="5">
        <v>0.47</v>
      </c>
      <c r="H209" s="5">
        <v>0.47</v>
      </c>
      <c r="I209" s="5">
        <v>0.48</v>
      </c>
      <c r="J209" s="5">
        <v>0.5</v>
      </c>
    </row>
    <row r="210" spans="1:10">
      <c r="A210" s="5" t="s">
        <v>486</v>
      </c>
      <c r="B210" s="5" t="s">
        <v>158</v>
      </c>
      <c r="C210" s="5">
        <v>0.98</v>
      </c>
      <c r="D210" s="5">
        <v>0.98</v>
      </c>
      <c r="E210" s="5">
        <v>0.98</v>
      </c>
      <c r="F210" s="5">
        <v>0.98</v>
      </c>
      <c r="G210" s="5">
        <v>0.98</v>
      </c>
      <c r="H210" s="5">
        <v>0.98</v>
      </c>
      <c r="I210" s="5">
        <v>0.98</v>
      </c>
      <c r="J210" s="5">
        <v>0.98</v>
      </c>
    </row>
    <row r="211" spans="1:10">
      <c r="A211" s="5" t="s">
        <v>486</v>
      </c>
      <c r="B211" s="5" t="s">
        <v>159</v>
      </c>
      <c r="C211" s="5">
        <v>0.98</v>
      </c>
      <c r="D211" s="5">
        <v>0.98</v>
      </c>
      <c r="E211" s="5">
        <v>0.98</v>
      </c>
      <c r="F211" s="5">
        <v>0.98</v>
      </c>
      <c r="G211" s="5">
        <v>0.98</v>
      </c>
      <c r="H211" s="5">
        <v>0.98</v>
      </c>
      <c r="I211" s="5">
        <v>0.98</v>
      </c>
      <c r="J211" s="5">
        <v>0.98</v>
      </c>
    </row>
    <row r="212" spans="1:10">
      <c r="A212" s="5" t="s">
        <v>486</v>
      </c>
      <c r="B212" s="5" t="s">
        <v>81</v>
      </c>
      <c r="C212" s="5">
        <v>0.98</v>
      </c>
      <c r="D212" s="5">
        <v>0.98</v>
      </c>
      <c r="E212" s="5">
        <v>0.98</v>
      </c>
      <c r="F212" s="5">
        <v>0.98</v>
      </c>
      <c r="G212" s="5">
        <v>0.98</v>
      </c>
      <c r="H212" s="5">
        <v>0.98</v>
      </c>
      <c r="I212" s="5">
        <v>0.98</v>
      </c>
      <c r="J212" s="5">
        <v>0.98</v>
      </c>
    </row>
    <row r="213" spans="1:10">
      <c r="A213" s="5" t="s">
        <v>486</v>
      </c>
      <c r="B213" s="5" t="s">
        <v>80</v>
      </c>
      <c r="C213" s="5">
        <v>0.98</v>
      </c>
      <c r="D213" s="5">
        <v>0.98</v>
      </c>
      <c r="E213" s="5">
        <v>0.98</v>
      </c>
      <c r="F213" s="5">
        <v>0.98</v>
      </c>
      <c r="G213" s="5">
        <v>0.98</v>
      </c>
      <c r="H213" s="5">
        <v>0.98</v>
      </c>
      <c r="I213" s="5">
        <v>0.98</v>
      </c>
      <c r="J213" s="5">
        <v>0.98</v>
      </c>
    </row>
    <row r="214" spans="1:10">
      <c r="A214" s="5" t="s">
        <v>486</v>
      </c>
      <c r="B214" s="5" t="s">
        <v>82</v>
      </c>
      <c r="C214" s="5">
        <v>0.98</v>
      </c>
      <c r="D214" s="5">
        <v>0.98</v>
      </c>
      <c r="E214" s="5">
        <v>0.98</v>
      </c>
      <c r="F214" s="5">
        <v>0.98</v>
      </c>
      <c r="G214" s="5">
        <v>0.98</v>
      </c>
      <c r="H214" s="5">
        <v>0.98</v>
      </c>
      <c r="I214" s="5">
        <v>0.98</v>
      </c>
      <c r="J214" s="5">
        <v>0.98</v>
      </c>
    </row>
    <row r="215" spans="1:10">
      <c r="A215" s="5" t="s">
        <v>486</v>
      </c>
      <c r="B215" s="5" t="s">
        <v>151</v>
      </c>
      <c r="C215" s="5">
        <v>0.98</v>
      </c>
      <c r="D215" s="5">
        <v>0.98</v>
      </c>
      <c r="E215" s="5">
        <v>0.98</v>
      </c>
      <c r="F215" s="5">
        <v>0.98</v>
      </c>
      <c r="G215" s="5">
        <v>0.98</v>
      </c>
      <c r="H215" s="5">
        <v>0.98</v>
      </c>
      <c r="I215" s="5">
        <v>0.98</v>
      </c>
      <c r="J215" s="5">
        <v>0.98</v>
      </c>
    </row>
    <row r="216" spans="1:10">
      <c r="A216" s="5" t="s">
        <v>486</v>
      </c>
      <c r="B216" s="5" t="s">
        <v>152</v>
      </c>
      <c r="C216" s="5">
        <v>0.98</v>
      </c>
      <c r="D216" s="5">
        <v>0.98</v>
      </c>
      <c r="E216" s="5">
        <v>0.98</v>
      </c>
      <c r="F216" s="5">
        <v>0.98</v>
      </c>
      <c r="G216" s="5">
        <v>0.98</v>
      </c>
      <c r="H216" s="5">
        <v>0.98</v>
      </c>
      <c r="I216" s="5">
        <v>0.98</v>
      </c>
      <c r="J216" s="5">
        <v>0.98</v>
      </c>
    </row>
    <row r="217" spans="1:10">
      <c r="A217" s="5" t="s">
        <v>486</v>
      </c>
      <c r="B217" s="5" t="s">
        <v>153</v>
      </c>
      <c r="C217" s="5">
        <v>0.98</v>
      </c>
      <c r="D217" s="5">
        <v>0.98</v>
      </c>
      <c r="E217" s="5">
        <v>0.98</v>
      </c>
      <c r="F217" s="5">
        <v>0.98</v>
      </c>
      <c r="G217" s="5">
        <v>0.98</v>
      </c>
      <c r="H217" s="5">
        <v>0.98</v>
      </c>
      <c r="I217" s="5">
        <v>0.98</v>
      </c>
      <c r="J217" s="5">
        <v>0.98</v>
      </c>
    </row>
    <row r="218" spans="1:10">
      <c r="A218" s="5" t="s">
        <v>486</v>
      </c>
      <c r="B218" s="5" t="s">
        <v>84</v>
      </c>
      <c r="C218" s="5">
        <v>0.98</v>
      </c>
      <c r="D218" s="5">
        <v>0.98</v>
      </c>
      <c r="E218" s="5">
        <v>0.98</v>
      </c>
      <c r="F218" s="5">
        <v>0.98</v>
      </c>
      <c r="G218" s="5">
        <v>0.98</v>
      </c>
      <c r="H218" s="5">
        <v>0.98</v>
      </c>
      <c r="I218" s="5">
        <v>0.98</v>
      </c>
      <c r="J218" s="5">
        <v>0.98</v>
      </c>
    </row>
    <row r="219" spans="1:10">
      <c r="A219" s="5" t="s">
        <v>486</v>
      </c>
      <c r="B219" s="5" t="s">
        <v>83</v>
      </c>
      <c r="C219" s="5">
        <v>0.98</v>
      </c>
      <c r="D219" s="5">
        <v>0.98</v>
      </c>
      <c r="E219" s="5">
        <v>0.98</v>
      </c>
      <c r="F219" s="5">
        <v>0.98</v>
      </c>
      <c r="G219" s="5">
        <v>0.98</v>
      </c>
      <c r="H219" s="5">
        <v>0.98</v>
      </c>
      <c r="I219" s="5">
        <v>0.98</v>
      </c>
      <c r="J219" s="5">
        <v>0.98</v>
      </c>
    </row>
    <row r="220" spans="1:10">
      <c r="A220" s="5" t="s">
        <v>486</v>
      </c>
      <c r="B220" s="5" t="s">
        <v>85</v>
      </c>
      <c r="C220" s="5">
        <v>0.98</v>
      </c>
      <c r="D220" s="5">
        <v>0.98</v>
      </c>
      <c r="E220" s="5">
        <v>0.98</v>
      </c>
      <c r="F220" s="5">
        <v>0.98</v>
      </c>
      <c r="G220" s="5">
        <v>0.98</v>
      </c>
      <c r="H220" s="5">
        <v>0.98</v>
      </c>
      <c r="I220" s="5">
        <v>0.98</v>
      </c>
      <c r="J220" s="5">
        <v>0.98</v>
      </c>
    </row>
    <row r="221" spans="1:10">
      <c r="A221" s="5" t="s">
        <v>486</v>
      </c>
      <c r="B221" s="5" t="s">
        <v>112</v>
      </c>
      <c r="C221" s="5">
        <v>0.98199999999999998</v>
      </c>
      <c r="D221" s="5">
        <v>0.98199999999999998</v>
      </c>
      <c r="E221" s="5">
        <v>0.98199999999999998</v>
      </c>
      <c r="F221" s="5">
        <v>0.98199999999999998</v>
      </c>
      <c r="G221" s="5">
        <v>0.98199999999999998</v>
      </c>
      <c r="H221" s="5">
        <v>0.98199999999999998</v>
      </c>
      <c r="I221" s="5">
        <v>0.98199999999999998</v>
      </c>
      <c r="J221" s="5">
        <v>0.98199999999999998</v>
      </c>
    </row>
    <row r="222" spans="1:10">
      <c r="A222" s="5" t="s">
        <v>486</v>
      </c>
      <c r="B222" s="5" t="s">
        <v>113</v>
      </c>
      <c r="C222" s="5">
        <v>0.98199999999999998</v>
      </c>
      <c r="D222" s="5">
        <v>0.98199999999999998</v>
      </c>
      <c r="E222" s="5">
        <v>0.98199999999999998</v>
      </c>
      <c r="F222" s="5">
        <v>0.98199999999999998</v>
      </c>
      <c r="G222" s="5">
        <v>0.98199999999999998</v>
      </c>
      <c r="H222" s="5">
        <v>0.98199999999999998</v>
      </c>
      <c r="I222" s="5">
        <v>0.98199999999999998</v>
      </c>
      <c r="J222" s="5">
        <v>0.98199999999999998</v>
      </c>
    </row>
    <row r="223" spans="1:10">
      <c r="A223" s="5" t="s">
        <v>486</v>
      </c>
      <c r="B223" s="5" t="s">
        <v>149</v>
      </c>
      <c r="C223" s="5">
        <v>0.98199999999999998</v>
      </c>
      <c r="D223" s="5">
        <v>0.98199999999999998</v>
      </c>
      <c r="E223" s="5">
        <v>0.98199999999999998</v>
      </c>
      <c r="F223" s="5">
        <v>0.98199999999999998</v>
      </c>
      <c r="G223" s="5">
        <v>0.98199999999999998</v>
      </c>
      <c r="H223" s="5">
        <v>0.98199999999999998</v>
      </c>
      <c r="I223" s="5">
        <v>0.98199999999999998</v>
      </c>
      <c r="J223" s="5">
        <v>0.98199999999999998</v>
      </c>
    </row>
    <row r="224" spans="1:10">
      <c r="A224" s="5" t="s">
        <v>486</v>
      </c>
      <c r="B224" s="5" t="s">
        <v>181</v>
      </c>
      <c r="C224" s="5">
        <v>1</v>
      </c>
      <c r="D224" s="5">
        <v>1</v>
      </c>
      <c r="E224" s="5">
        <v>1</v>
      </c>
      <c r="F224" s="5">
        <v>1</v>
      </c>
      <c r="G224" s="5">
        <v>1</v>
      </c>
      <c r="H224" s="5">
        <v>1</v>
      </c>
      <c r="I224" s="5">
        <v>1</v>
      </c>
      <c r="J224" s="5">
        <v>1</v>
      </c>
    </row>
    <row r="225" spans="1:10">
      <c r="A225" s="5" t="s">
        <v>486</v>
      </c>
      <c r="B225" s="5" t="s">
        <v>179</v>
      </c>
      <c r="C225" s="5">
        <v>0.84</v>
      </c>
      <c r="D225" s="5">
        <v>0.84</v>
      </c>
      <c r="E225" s="5">
        <v>0.84</v>
      </c>
      <c r="F225" s="5">
        <v>0.84</v>
      </c>
      <c r="G225" s="5">
        <v>0.84</v>
      </c>
      <c r="H225" s="5">
        <v>0.84</v>
      </c>
      <c r="I225" s="5">
        <v>0.84</v>
      </c>
      <c r="J225" s="5">
        <v>0.84</v>
      </c>
    </row>
    <row r="226" spans="1:10">
      <c r="A226" s="5" t="s">
        <v>486</v>
      </c>
      <c r="B226" s="5" t="s">
        <v>180</v>
      </c>
      <c r="C226" s="5">
        <v>0.84</v>
      </c>
      <c r="D226" s="5">
        <v>0.84</v>
      </c>
      <c r="E226" s="5">
        <v>0.84</v>
      </c>
      <c r="F226" s="5">
        <v>0.84</v>
      </c>
      <c r="G226" s="5">
        <v>0.84</v>
      </c>
      <c r="H226" s="5">
        <v>0.84</v>
      </c>
      <c r="I226" s="5">
        <v>0.84</v>
      </c>
      <c r="J226" s="5">
        <v>0.84</v>
      </c>
    </row>
    <row r="227" spans="1:10">
      <c r="A227" s="5" t="s">
        <v>486</v>
      </c>
      <c r="B227" s="5" t="s">
        <v>205</v>
      </c>
      <c r="C227" s="5">
        <v>0.98</v>
      </c>
      <c r="D227" s="5">
        <v>0.98</v>
      </c>
      <c r="E227" s="5">
        <v>0.98</v>
      </c>
      <c r="F227" s="5">
        <v>0.98</v>
      </c>
      <c r="G227" s="5">
        <v>0.98</v>
      </c>
      <c r="H227" s="5">
        <v>0.98</v>
      </c>
      <c r="I227" s="5">
        <v>0.98</v>
      </c>
      <c r="J227" s="5">
        <v>0.98</v>
      </c>
    </row>
    <row r="228" spans="1:10">
      <c r="A228" s="5" t="s">
        <v>486</v>
      </c>
      <c r="B228" s="5" t="s">
        <v>192</v>
      </c>
      <c r="C228" s="5">
        <v>0.98</v>
      </c>
      <c r="D228" s="5">
        <v>0.98</v>
      </c>
      <c r="E228" s="5">
        <v>0.98</v>
      </c>
      <c r="F228" s="5">
        <v>0.98</v>
      </c>
      <c r="G228" s="5">
        <v>0.98</v>
      </c>
      <c r="H228" s="5">
        <v>0.98</v>
      </c>
      <c r="I228" s="5">
        <v>0.98</v>
      </c>
      <c r="J228" s="5">
        <v>0.98</v>
      </c>
    </row>
    <row r="229" spans="1:10">
      <c r="A229" s="5" t="s">
        <v>486</v>
      </c>
      <c r="B229" s="5" t="s">
        <v>187</v>
      </c>
      <c r="C229" s="5">
        <v>0.98</v>
      </c>
      <c r="D229" s="5">
        <v>0.98</v>
      </c>
      <c r="E229" s="5">
        <v>0.98</v>
      </c>
      <c r="F229" s="5">
        <v>0.98</v>
      </c>
      <c r="G229" s="5">
        <v>0.98</v>
      </c>
      <c r="H229" s="5">
        <v>0.98</v>
      </c>
      <c r="I229" s="5">
        <v>0.98</v>
      </c>
      <c r="J229" s="5">
        <v>0.98</v>
      </c>
    </row>
    <row r="230" spans="1:10">
      <c r="A230" s="5" t="s">
        <v>486</v>
      </c>
      <c r="B230" s="5" t="s">
        <v>191</v>
      </c>
      <c r="C230" s="5">
        <v>0.98</v>
      </c>
      <c r="D230" s="5">
        <v>0.98</v>
      </c>
      <c r="E230" s="5">
        <v>0.98</v>
      </c>
      <c r="F230" s="5">
        <v>0.98</v>
      </c>
      <c r="G230" s="5">
        <v>0.98</v>
      </c>
      <c r="H230" s="5">
        <v>0.98</v>
      </c>
      <c r="I230" s="5">
        <v>0.98</v>
      </c>
      <c r="J230" s="5">
        <v>0.98</v>
      </c>
    </row>
    <row r="231" spans="1:10">
      <c r="A231" s="5" t="s">
        <v>486</v>
      </c>
      <c r="B231" s="5" t="s">
        <v>188</v>
      </c>
      <c r="C231" s="5">
        <v>0.98</v>
      </c>
      <c r="D231" s="5">
        <v>0.98</v>
      </c>
      <c r="E231" s="5">
        <v>0.98</v>
      </c>
      <c r="F231" s="5">
        <v>0.98</v>
      </c>
      <c r="G231" s="5">
        <v>0.98</v>
      </c>
      <c r="H231" s="5">
        <v>0.98</v>
      </c>
      <c r="I231" s="5">
        <v>0.98</v>
      </c>
      <c r="J231" s="5">
        <v>0.98</v>
      </c>
    </row>
    <row r="232" spans="1:10">
      <c r="A232" s="5" t="s">
        <v>486</v>
      </c>
      <c r="B232" s="5" t="s">
        <v>189</v>
      </c>
      <c r="C232" s="5">
        <v>0.98</v>
      </c>
      <c r="D232" s="5">
        <v>0.98</v>
      </c>
      <c r="E232" s="5">
        <v>0.98</v>
      </c>
      <c r="F232" s="5">
        <v>0.98</v>
      </c>
      <c r="G232" s="5">
        <v>0.98</v>
      </c>
      <c r="H232" s="5">
        <v>0.98</v>
      </c>
      <c r="I232" s="5">
        <v>0.98</v>
      </c>
      <c r="J232" s="5">
        <v>0.98</v>
      </c>
    </row>
    <row r="233" spans="1:10">
      <c r="A233" s="5" t="s">
        <v>486</v>
      </c>
      <c r="B233" s="5" t="s">
        <v>190</v>
      </c>
      <c r="C233" s="5">
        <v>0.98</v>
      </c>
      <c r="D233" s="5">
        <v>0.98</v>
      </c>
      <c r="E233" s="5">
        <v>0.98</v>
      </c>
      <c r="F233" s="5">
        <v>0.98</v>
      </c>
      <c r="G233" s="5">
        <v>0.98</v>
      </c>
      <c r="H233" s="5">
        <v>0.98</v>
      </c>
      <c r="I233" s="5">
        <v>0.98</v>
      </c>
      <c r="J233" s="5">
        <v>0.98</v>
      </c>
    </row>
    <row r="234" spans="1:10">
      <c r="A234" s="5" t="s">
        <v>486</v>
      </c>
      <c r="B234" s="5" t="s">
        <v>213</v>
      </c>
      <c r="C234" s="5">
        <v>0.98</v>
      </c>
      <c r="D234" s="5">
        <v>0.98</v>
      </c>
      <c r="E234" s="5">
        <v>0.98</v>
      </c>
      <c r="F234" s="5">
        <v>0.98</v>
      </c>
      <c r="G234" s="5">
        <v>0.98</v>
      </c>
      <c r="H234" s="5">
        <v>0.98</v>
      </c>
      <c r="I234" s="5">
        <v>0.98</v>
      </c>
      <c r="J234" s="5">
        <v>0.98</v>
      </c>
    </row>
    <row r="235" spans="1:10">
      <c r="A235" s="5" t="s">
        <v>486</v>
      </c>
      <c r="B235" s="5" t="s">
        <v>214</v>
      </c>
      <c r="C235" s="5">
        <v>0.98</v>
      </c>
      <c r="D235" s="5">
        <v>0.98</v>
      </c>
      <c r="E235" s="5">
        <v>0.98</v>
      </c>
      <c r="F235" s="5">
        <v>0.98</v>
      </c>
      <c r="G235" s="5">
        <v>0.98</v>
      </c>
      <c r="H235" s="5">
        <v>0.98</v>
      </c>
      <c r="I235" s="5">
        <v>0.98</v>
      </c>
      <c r="J235" s="5">
        <v>0.98</v>
      </c>
    </row>
    <row r="236" spans="1:10">
      <c r="A236" s="5" t="s">
        <v>486</v>
      </c>
      <c r="B236" s="5" t="s">
        <v>215</v>
      </c>
      <c r="C236" s="5">
        <v>0.98</v>
      </c>
      <c r="D236" s="5">
        <v>0.98</v>
      </c>
      <c r="E236" s="5">
        <v>0.98</v>
      </c>
      <c r="F236" s="5">
        <v>0.98</v>
      </c>
      <c r="G236" s="5">
        <v>0.98</v>
      </c>
      <c r="H236" s="5">
        <v>0.98</v>
      </c>
      <c r="I236" s="5">
        <v>0.98</v>
      </c>
      <c r="J236" s="5">
        <v>0.98</v>
      </c>
    </row>
    <row r="237" spans="1:10">
      <c r="A237" s="5" t="s">
        <v>486</v>
      </c>
      <c r="B237" s="5" t="s">
        <v>216</v>
      </c>
      <c r="C237" s="5">
        <v>0.98</v>
      </c>
      <c r="D237" s="5">
        <v>0.98</v>
      </c>
      <c r="E237" s="5">
        <v>0.98</v>
      </c>
      <c r="F237" s="5">
        <v>0.98</v>
      </c>
      <c r="G237" s="5">
        <v>0.98</v>
      </c>
      <c r="H237" s="5">
        <v>0.98</v>
      </c>
      <c r="I237" s="5">
        <v>0.98</v>
      </c>
      <c r="J237" s="5">
        <v>0.98</v>
      </c>
    </row>
    <row r="238" spans="1:10">
      <c r="A238" s="5" t="s">
        <v>486</v>
      </c>
      <c r="B238" s="5" t="s">
        <v>217</v>
      </c>
      <c r="C238" s="5">
        <v>0.98</v>
      </c>
      <c r="D238" s="5">
        <v>0.98</v>
      </c>
      <c r="E238" s="5">
        <v>0.98</v>
      </c>
      <c r="F238" s="5">
        <v>0.98</v>
      </c>
      <c r="G238" s="5">
        <v>0.98</v>
      </c>
      <c r="H238" s="5">
        <v>0.98</v>
      </c>
      <c r="I238" s="5">
        <v>0.98</v>
      </c>
      <c r="J238" s="5">
        <v>0.98</v>
      </c>
    </row>
    <row r="239" spans="1:10">
      <c r="A239" s="5" t="s">
        <v>486</v>
      </c>
      <c r="B239" s="5" t="s">
        <v>196</v>
      </c>
      <c r="C239" s="5">
        <v>0</v>
      </c>
      <c r="D239" s="5">
        <v>0.98</v>
      </c>
      <c r="E239" s="5">
        <v>0.98</v>
      </c>
      <c r="F239" s="5">
        <v>0.98</v>
      </c>
      <c r="G239" s="5">
        <v>0.98</v>
      </c>
      <c r="H239" s="5">
        <v>0.98</v>
      </c>
      <c r="I239" s="5">
        <v>0.98</v>
      </c>
      <c r="J239" s="5">
        <v>0.98</v>
      </c>
    </row>
    <row r="240" spans="1:10">
      <c r="A240" s="5" t="s">
        <v>486</v>
      </c>
      <c r="B240" s="5" t="s">
        <v>206</v>
      </c>
      <c r="C240" s="5">
        <v>0.98</v>
      </c>
      <c r="D240" s="5">
        <v>0.98</v>
      </c>
      <c r="E240" s="5">
        <v>0.98</v>
      </c>
      <c r="F240" s="5">
        <v>0.98</v>
      </c>
      <c r="G240" s="5">
        <v>0.98</v>
      </c>
      <c r="H240" s="5">
        <v>0.98</v>
      </c>
      <c r="I240" s="5">
        <v>0.98</v>
      </c>
      <c r="J240" s="5">
        <v>0.98</v>
      </c>
    </row>
    <row r="241" spans="1:10">
      <c r="A241" s="5" t="s">
        <v>486</v>
      </c>
      <c r="B241" s="5" t="s">
        <v>207</v>
      </c>
      <c r="C241" s="5">
        <v>0.98</v>
      </c>
      <c r="D241" s="5">
        <v>0.98</v>
      </c>
      <c r="E241" s="5">
        <v>0.98</v>
      </c>
      <c r="F241" s="5">
        <v>0.98</v>
      </c>
      <c r="G241" s="5">
        <v>0.98</v>
      </c>
      <c r="H241" s="5">
        <v>0.98</v>
      </c>
      <c r="I241" s="5">
        <v>0.98</v>
      </c>
      <c r="J241" s="5">
        <v>0.98</v>
      </c>
    </row>
    <row r="242" spans="1:10">
      <c r="A242" s="5" t="s">
        <v>486</v>
      </c>
      <c r="B242" s="5" t="s">
        <v>197</v>
      </c>
      <c r="C242" s="5">
        <v>0.98</v>
      </c>
      <c r="D242" s="5">
        <v>0.98</v>
      </c>
      <c r="E242" s="5">
        <v>0.98</v>
      </c>
      <c r="F242" s="5">
        <v>0.98</v>
      </c>
      <c r="G242" s="5">
        <v>0.98</v>
      </c>
      <c r="H242" s="5">
        <v>0.98</v>
      </c>
      <c r="I242" s="5">
        <v>0.98</v>
      </c>
      <c r="J242" s="5">
        <v>0.98</v>
      </c>
    </row>
    <row r="243" spans="1:10">
      <c r="A243" s="5" t="s">
        <v>486</v>
      </c>
      <c r="B243" s="5" t="s">
        <v>198</v>
      </c>
      <c r="C243" s="5">
        <v>0.98</v>
      </c>
      <c r="D243" s="5">
        <v>0.98</v>
      </c>
      <c r="E243" s="5">
        <v>0.98</v>
      </c>
      <c r="F243" s="5">
        <v>0.98</v>
      </c>
      <c r="G243" s="5">
        <v>0.98</v>
      </c>
      <c r="H243" s="5">
        <v>0.98</v>
      </c>
      <c r="I243" s="5">
        <v>0.98</v>
      </c>
      <c r="J243" s="5">
        <v>0.98</v>
      </c>
    </row>
    <row r="244" spans="1:10">
      <c r="A244" s="5" t="s">
        <v>486</v>
      </c>
      <c r="B244" s="5" t="s">
        <v>199</v>
      </c>
      <c r="C244" s="5">
        <v>0.98</v>
      </c>
      <c r="D244" s="5">
        <v>0.98</v>
      </c>
      <c r="E244" s="5">
        <v>0.98</v>
      </c>
      <c r="F244" s="5">
        <v>0.98</v>
      </c>
      <c r="G244" s="5">
        <v>0.98</v>
      </c>
      <c r="H244" s="5">
        <v>0.98</v>
      </c>
      <c r="I244" s="5">
        <v>0.98</v>
      </c>
      <c r="J244" s="5">
        <v>0.98</v>
      </c>
    </row>
    <row r="245" spans="1:10">
      <c r="A245" s="5" t="s">
        <v>486</v>
      </c>
      <c r="B245" s="5" t="s">
        <v>200</v>
      </c>
      <c r="C245" s="5">
        <v>0.98</v>
      </c>
      <c r="D245" s="5">
        <v>0.98</v>
      </c>
      <c r="E245" s="5">
        <v>0.98</v>
      </c>
      <c r="F245" s="5">
        <v>0.98</v>
      </c>
      <c r="G245" s="5">
        <v>0.98</v>
      </c>
      <c r="H245" s="5">
        <v>0.98</v>
      </c>
      <c r="I245" s="5">
        <v>0.98</v>
      </c>
      <c r="J245" s="5">
        <v>0.98</v>
      </c>
    </row>
    <row r="246" spans="1:10">
      <c r="A246" s="5" t="s">
        <v>486</v>
      </c>
      <c r="B246" s="5" t="s">
        <v>201</v>
      </c>
      <c r="C246" s="5">
        <v>0.98</v>
      </c>
      <c r="D246" s="5">
        <v>0.98</v>
      </c>
      <c r="E246" s="5">
        <v>0.98</v>
      </c>
      <c r="F246" s="5">
        <v>0.98</v>
      </c>
      <c r="G246" s="5">
        <v>0.98</v>
      </c>
      <c r="H246" s="5">
        <v>0.98</v>
      </c>
      <c r="I246" s="5">
        <v>0.98</v>
      </c>
      <c r="J246" s="5">
        <v>0.98</v>
      </c>
    </row>
    <row r="247" spans="1:10">
      <c r="A247" s="5" t="s">
        <v>486</v>
      </c>
      <c r="B247" s="5" t="s">
        <v>202</v>
      </c>
      <c r="C247" s="5">
        <v>0.98</v>
      </c>
      <c r="D247" s="5">
        <v>0.98</v>
      </c>
      <c r="E247" s="5">
        <v>0.98</v>
      </c>
      <c r="F247" s="5">
        <v>0.98</v>
      </c>
      <c r="G247" s="5">
        <v>0.98</v>
      </c>
      <c r="H247" s="5">
        <v>0.98</v>
      </c>
      <c r="I247" s="5">
        <v>0.98</v>
      </c>
      <c r="J247" s="5">
        <v>0.98</v>
      </c>
    </row>
    <row r="248" spans="1:10">
      <c r="A248" s="5" t="s">
        <v>486</v>
      </c>
      <c r="B248" s="5" t="s">
        <v>230</v>
      </c>
      <c r="C248" s="5">
        <v>0.98</v>
      </c>
      <c r="D248" s="5">
        <v>0.98</v>
      </c>
      <c r="E248" s="5">
        <v>0.98</v>
      </c>
      <c r="F248" s="5">
        <v>0.98</v>
      </c>
      <c r="G248" s="5">
        <v>0.98</v>
      </c>
      <c r="H248" s="5">
        <v>0.98</v>
      </c>
      <c r="I248" s="5">
        <v>0.98</v>
      </c>
      <c r="J248" s="5">
        <v>0.98</v>
      </c>
    </row>
    <row r="249" spans="1:10">
      <c r="A249" s="5" t="s">
        <v>486</v>
      </c>
      <c r="B249" s="5" t="s">
        <v>219</v>
      </c>
      <c r="C249" s="5">
        <v>0.98</v>
      </c>
      <c r="D249" s="5">
        <v>0.98</v>
      </c>
      <c r="E249" s="5">
        <v>0.98</v>
      </c>
      <c r="F249" s="5">
        <v>0.98</v>
      </c>
      <c r="G249" s="5">
        <v>0.98</v>
      </c>
      <c r="H249" s="5">
        <v>0.98</v>
      </c>
      <c r="I249" s="5">
        <v>0.98</v>
      </c>
      <c r="J249" s="5">
        <v>0.98</v>
      </c>
    </row>
    <row r="250" spans="1:10">
      <c r="A250" s="5" t="s">
        <v>486</v>
      </c>
      <c r="B250" s="5" t="s">
        <v>220</v>
      </c>
      <c r="C250" s="5">
        <v>0</v>
      </c>
      <c r="D250" s="5">
        <v>0</v>
      </c>
      <c r="E250" s="5">
        <v>0</v>
      </c>
      <c r="F250" s="5">
        <v>0.98</v>
      </c>
      <c r="G250" s="5">
        <v>0.98</v>
      </c>
      <c r="H250" s="5">
        <v>0.98</v>
      </c>
      <c r="I250" s="5">
        <v>0.98</v>
      </c>
      <c r="J250" s="5">
        <v>0.98</v>
      </c>
    </row>
    <row r="251" spans="1:10">
      <c r="A251" s="5" t="s">
        <v>486</v>
      </c>
      <c r="B251" s="5" t="s">
        <v>203</v>
      </c>
      <c r="C251" s="5">
        <v>0</v>
      </c>
      <c r="D251" s="5">
        <v>0.98</v>
      </c>
      <c r="E251" s="5">
        <v>0.98</v>
      </c>
      <c r="F251" s="5">
        <v>0.98</v>
      </c>
      <c r="G251" s="5">
        <v>0.98</v>
      </c>
      <c r="H251" s="5">
        <v>0.98</v>
      </c>
      <c r="I251" s="5">
        <v>0.98</v>
      </c>
      <c r="J251" s="5">
        <v>0.98</v>
      </c>
    </row>
    <row r="252" spans="1:10">
      <c r="A252" s="5" t="s">
        <v>486</v>
      </c>
      <c r="B252" s="5" t="s">
        <v>208</v>
      </c>
      <c r="C252" s="5">
        <v>0.98</v>
      </c>
      <c r="D252" s="5">
        <v>0.98</v>
      </c>
      <c r="E252" s="5">
        <v>0.98</v>
      </c>
      <c r="F252" s="5">
        <v>0.98</v>
      </c>
      <c r="G252" s="5">
        <v>0.98</v>
      </c>
      <c r="H252" s="5">
        <v>0.98</v>
      </c>
      <c r="I252" s="5">
        <v>0.98</v>
      </c>
      <c r="J252" s="5">
        <v>0.98</v>
      </c>
    </row>
    <row r="253" spans="1:10">
      <c r="A253" s="5" t="s">
        <v>486</v>
      </c>
      <c r="B253" s="5" t="s">
        <v>218</v>
      </c>
      <c r="C253" s="5">
        <v>0.98</v>
      </c>
      <c r="D253" s="5">
        <v>0.98</v>
      </c>
      <c r="E253" s="5">
        <v>0.98</v>
      </c>
      <c r="F253" s="5">
        <v>0.98</v>
      </c>
      <c r="G253" s="5">
        <v>0.98</v>
      </c>
      <c r="H253" s="5">
        <v>0.98</v>
      </c>
      <c r="I253" s="5">
        <v>0.98</v>
      </c>
      <c r="J253" s="5">
        <v>0.98</v>
      </c>
    </row>
    <row r="254" spans="1:10">
      <c r="A254" s="5" t="s">
        <v>486</v>
      </c>
      <c r="B254" s="5" t="s">
        <v>204</v>
      </c>
      <c r="C254" s="5">
        <v>0.98</v>
      </c>
      <c r="D254" s="5">
        <v>0.98</v>
      </c>
      <c r="E254" s="5">
        <v>0.98</v>
      </c>
      <c r="F254" s="5">
        <v>0.98</v>
      </c>
      <c r="G254" s="5">
        <v>0.98</v>
      </c>
      <c r="H254" s="5">
        <v>0.98</v>
      </c>
      <c r="I254" s="5">
        <v>0.98</v>
      </c>
      <c r="J254" s="5">
        <v>0.98</v>
      </c>
    </row>
    <row r="255" spans="1:10">
      <c r="A255" s="5" t="s">
        <v>486</v>
      </c>
      <c r="B255" s="5" t="s">
        <v>211</v>
      </c>
      <c r="C255" s="5">
        <v>0.98</v>
      </c>
      <c r="D255" s="5">
        <v>0.98</v>
      </c>
      <c r="E255" s="5">
        <v>0.98</v>
      </c>
      <c r="F255" s="5">
        <v>0.98</v>
      </c>
      <c r="G255" s="5">
        <v>0.98</v>
      </c>
      <c r="H255" s="5">
        <v>0.98</v>
      </c>
      <c r="I255" s="5">
        <v>0.98</v>
      </c>
      <c r="J255" s="5">
        <v>0.98</v>
      </c>
    </row>
    <row r="256" spans="1:10">
      <c r="A256" s="5" t="s">
        <v>486</v>
      </c>
      <c r="B256" s="5" t="s">
        <v>222</v>
      </c>
      <c r="C256" s="5">
        <v>0</v>
      </c>
      <c r="D256" s="5">
        <v>0</v>
      </c>
      <c r="E256" s="5">
        <v>0.98</v>
      </c>
      <c r="F256" s="5">
        <v>0.98</v>
      </c>
      <c r="G256" s="5">
        <v>0.98</v>
      </c>
      <c r="H256" s="5">
        <v>0.98</v>
      </c>
      <c r="I256" s="5">
        <v>0.98</v>
      </c>
      <c r="J256" s="5">
        <v>0.98</v>
      </c>
    </row>
    <row r="257" spans="1:10">
      <c r="A257" s="5" t="s">
        <v>486</v>
      </c>
      <c r="B257" s="5" t="s">
        <v>209</v>
      </c>
      <c r="C257" s="5">
        <v>0.98</v>
      </c>
      <c r="D257" s="5">
        <v>0.98</v>
      </c>
      <c r="E257" s="5">
        <v>0.98</v>
      </c>
      <c r="F257" s="5">
        <v>0.98</v>
      </c>
      <c r="G257" s="5">
        <v>0.98</v>
      </c>
      <c r="H257" s="5">
        <v>0.98</v>
      </c>
      <c r="I257" s="5">
        <v>0.98</v>
      </c>
      <c r="J257" s="5">
        <v>0.98</v>
      </c>
    </row>
    <row r="258" spans="1:10">
      <c r="A258" s="5" t="s">
        <v>486</v>
      </c>
      <c r="B258" s="5" t="s">
        <v>210</v>
      </c>
      <c r="C258" s="5">
        <v>0.98</v>
      </c>
      <c r="D258" s="5">
        <v>0.98</v>
      </c>
      <c r="E258" s="5">
        <v>0.98</v>
      </c>
      <c r="F258" s="5">
        <v>0.98</v>
      </c>
      <c r="G258" s="5">
        <v>0.98</v>
      </c>
      <c r="H258" s="5">
        <v>0.98</v>
      </c>
      <c r="I258" s="5">
        <v>0.98</v>
      </c>
      <c r="J258" s="5">
        <v>0.98</v>
      </c>
    </row>
    <row r="259" spans="1:10">
      <c r="A259" s="5" t="s">
        <v>486</v>
      </c>
      <c r="B259" s="5" t="s">
        <v>221</v>
      </c>
      <c r="C259" s="5">
        <v>0.98</v>
      </c>
      <c r="D259" s="5">
        <v>0.98</v>
      </c>
      <c r="E259" s="5">
        <v>0.98</v>
      </c>
      <c r="F259" s="5">
        <v>0.98</v>
      </c>
      <c r="G259" s="5">
        <v>0.98</v>
      </c>
      <c r="H259" s="5">
        <v>0.98</v>
      </c>
      <c r="I259" s="5">
        <v>0.98</v>
      </c>
      <c r="J259" s="5">
        <v>0.98</v>
      </c>
    </row>
    <row r="260" spans="1:10">
      <c r="A260" s="5" t="s">
        <v>486</v>
      </c>
      <c r="B260" s="5" t="s">
        <v>212</v>
      </c>
      <c r="C260" s="5">
        <v>0.98</v>
      </c>
      <c r="D260" s="5">
        <v>0.98</v>
      </c>
      <c r="E260" s="5">
        <v>0.98</v>
      </c>
      <c r="F260" s="5">
        <v>0.98</v>
      </c>
      <c r="G260" s="5">
        <v>0.98</v>
      </c>
      <c r="H260" s="5">
        <v>0.98</v>
      </c>
      <c r="I260" s="5">
        <v>0.98</v>
      </c>
      <c r="J260" s="5">
        <v>0.98</v>
      </c>
    </row>
    <row r="261" spans="1:10">
      <c r="A261" s="5" t="s">
        <v>486</v>
      </c>
      <c r="B261" s="5" t="s">
        <v>224</v>
      </c>
      <c r="C261" s="5">
        <v>0.98</v>
      </c>
      <c r="D261" s="5">
        <v>0.98</v>
      </c>
      <c r="E261" s="5">
        <v>0.98</v>
      </c>
      <c r="F261" s="5">
        <v>0.98</v>
      </c>
      <c r="G261" s="5">
        <v>0.98</v>
      </c>
      <c r="H261" s="5">
        <v>0.98</v>
      </c>
      <c r="I261" s="5">
        <v>0.98</v>
      </c>
      <c r="J261" s="5">
        <v>0.98</v>
      </c>
    </row>
    <row r="262" spans="1:10">
      <c r="A262" s="5" t="s">
        <v>486</v>
      </c>
      <c r="B262" s="5" t="s">
        <v>225</v>
      </c>
      <c r="C262" s="5">
        <v>0.98</v>
      </c>
      <c r="D262" s="5">
        <v>0.98</v>
      </c>
      <c r="E262" s="5">
        <v>0.98</v>
      </c>
      <c r="F262" s="5">
        <v>0.98</v>
      </c>
      <c r="G262" s="5">
        <v>0.98</v>
      </c>
      <c r="H262" s="5">
        <v>0.98</v>
      </c>
      <c r="I262" s="5">
        <v>0.98</v>
      </c>
      <c r="J262" s="5">
        <v>0.98</v>
      </c>
    </row>
    <row r="263" spans="1:10">
      <c r="A263" s="5" t="s">
        <v>486</v>
      </c>
      <c r="B263" s="5" t="s">
        <v>226</v>
      </c>
      <c r="C263" s="5">
        <v>0.98</v>
      </c>
      <c r="D263" s="5">
        <v>0.98</v>
      </c>
      <c r="E263" s="5">
        <v>0.98</v>
      </c>
      <c r="F263" s="5">
        <v>0.98</v>
      </c>
      <c r="G263" s="5">
        <v>0.98</v>
      </c>
      <c r="H263" s="5">
        <v>0.98</v>
      </c>
      <c r="I263" s="5">
        <v>0.98</v>
      </c>
      <c r="J263" s="5">
        <v>0.98</v>
      </c>
    </row>
    <row r="264" spans="1:10">
      <c r="A264" s="5" t="s">
        <v>486</v>
      </c>
      <c r="B264" s="5" t="s">
        <v>227</v>
      </c>
      <c r="C264" s="5">
        <v>0</v>
      </c>
      <c r="D264" s="5">
        <v>0</v>
      </c>
      <c r="E264" s="5">
        <v>0</v>
      </c>
      <c r="F264" s="5">
        <v>0.98</v>
      </c>
      <c r="G264" s="5">
        <v>0.98</v>
      </c>
      <c r="H264" s="5">
        <v>0.98</v>
      </c>
      <c r="I264" s="5">
        <v>0.98</v>
      </c>
      <c r="J264" s="5">
        <v>0.98</v>
      </c>
    </row>
    <row r="265" spans="1:10">
      <c r="A265" s="5" t="s">
        <v>486</v>
      </c>
      <c r="B265" s="5" t="s">
        <v>228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0.98</v>
      </c>
      <c r="I265" s="5">
        <v>0.98</v>
      </c>
      <c r="J265" s="5">
        <v>0.98</v>
      </c>
    </row>
    <row r="266" spans="1:10">
      <c r="A266" s="5" t="s">
        <v>486</v>
      </c>
      <c r="B266" s="5" t="s">
        <v>229</v>
      </c>
      <c r="C266" s="5">
        <v>0</v>
      </c>
      <c r="D266" s="5">
        <v>0</v>
      </c>
      <c r="E266" s="5">
        <v>0.98</v>
      </c>
      <c r="F266" s="5">
        <v>0.98</v>
      </c>
      <c r="G266" s="5">
        <v>0.98</v>
      </c>
      <c r="H266" s="5">
        <v>0.98</v>
      </c>
      <c r="I266" s="5">
        <v>0.98</v>
      </c>
      <c r="J266" s="5">
        <v>0.98</v>
      </c>
    </row>
    <row r="267" spans="1:10">
      <c r="A267" s="5" t="s">
        <v>486</v>
      </c>
      <c r="B267" s="5" t="s">
        <v>14</v>
      </c>
      <c r="C267" s="5">
        <v>0.8</v>
      </c>
      <c r="D267" s="5">
        <v>0.8</v>
      </c>
      <c r="E267" s="5">
        <v>0.8</v>
      </c>
      <c r="F267" s="5">
        <v>0.8</v>
      </c>
      <c r="G267" s="5">
        <v>0.8</v>
      </c>
      <c r="H267" s="5">
        <v>0.8</v>
      </c>
      <c r="I267" s="5">
        <v>0.8</v>
      </c>
      <c r="J267" s="5">
        <v>0.8</v>
      </c>
    </row>
    <row r="268" spans="1:10">
      <c r="A268" s="5" t="s">
        <v>486</v>
      </c>
      <c r="B268" s="5" t="s">
        <v>14</v>
      </c>
      <c r="C268" s="5">
        <v>0.8</v>
      </c>
      <c r="D268" s="5">
        <v>0.8</v>
      </c>
      <c r="E268" s="5">
        <v>0.8</v>
      </c>
      <c r="F268" s="5">
        <v>0.8</v>
      </c>
      <c r="G268" s="5">
        <v>0.8</v>
      </c>
      <c r="H268" s="5">
        <v>0.8</v>
      </c>
      <c r="I268" s="5">
        <v>0.8</v>
      </c>
      <c r="J268" s="5">
        <v>0.8</v>
      </c>
    </row>
    <row r="269" spans="1:10">
      <c r="A269" s="5" t="s">
        <v>486</v>
      </c>
      <c r="B269" s="5" t="s">
        <v>98</v>
      </c>
      <c r="C269" s="5">
        <v>0.8</v>
      </c>
      <c r="D269" s="5">
        <v>0.8</v>
      </c>
      <c r="E269" s="5">
        <v>0.8</v>
      </c>
      <c r="F269" s="5">
        <v>0.8</v>
      </c>
      <c r="G269" s="5">
        <v>0.8</v>
      </c>
      <c r="H269" s="5">
        <v>0.8</v>
      </c>
      <c r="I269" s="5">
        <v>0.8</v>
      </c>
      <c r="J269" s="5">
        <v>0.8</v>
      </c>
    </row>
    <row r="270" spans="1:10">
      <c r="A270" s="5" t="s">
        <v>486</v>
      </c>
      <c r="B270" s="5" t="s">
        <v>98</v>
      </c>
      <c r="C270" s="5">
        <v>0.8</v>
      </c>
      <c r="D270" s="5">
        <v>0.8</v>
      </c>
      <c r="E270" s="5">
        <v>0.8</v>
      </c>
      <c r="F270" s="5">
        <v>0.8</v>
      </c>
      <c r="G270" s="5">
        <v>0.8</v>
      </c>
      <c r="H270" s="5">
        <v>0.8</v>
      </c>
      <c r="I270" s="5">
        <v>0.8</v>
      </c>
      <c r="J270" s="5">
        <v>0.8</v>
      </c>
    </row>
    <row r="271" spans="1:10">
      <c r="A271" s="5" t="s">
        <v>486</v>
      </c>
      <c r="B271" s="5" t="s">
        <v>235</v>
      </c>
      <c r="C271" s="5">
        <v>0.98</v>
      </c>
      <c r="D271" s="5">
        <v>0.98</v>
      </c>
      <c r="E271" s="5">
        <v>0.98</v>
      </c>
      <c r="F271" s="5">
        <v>0.98</v>
      </c>
      <c r="G271" s="5">
        <v>0.98</v>
      </c>
      <c r="H271" s="5">
        <v>0.98</v>
      </c>
      <c r="I271" s="5">
        <v>0.98</v>
      </c>
      <c r="J271" s="5">
        <v>0.98</v>
      </c>
    </row>
    <row r="272" spans="1:10">
      <c r="A272" s="5" t="s">
        <v>486</v>
      </c>
      <c r="B272" s="5" t="s">
        <v>236</v>
      </c>
      <c r="C272" s="5">
        <v>0.98</v>
      </c>
      <c r="D272" s="5">
        <v>0.98</v>
      </c>
      <c r="E272" s="5">
        <v>0.98</v>
      </c>
      <c r="F272" s="5">
        <v>0.98</v>
      </c>
      <c r="G272" s="5">
        <v>0.98</v>
      </c>
      <c r="H272" s="5">
        <v>0.98</v>
      </c>
      <c r="I272" s="5">
        <v>0.98</v>
      </c>
      <c r="J272" s="5">
        <v>0.98</v>
      </c>
    </row>
    <row r="273" spans="1:10">
      <c r="A273" s="5" t="s">
        <v>486</v>
      </c>
      <c r="B273" s="5" t="s">
        <v>248</v>
      </c>
      <c r="C273" s="5">
        <v>0.98</v>
      </c>
      <c r="D273" s="5">
        <v>0.98</v>
      </c>
      <c r="E273" s="5">
        <v>0.98</v>
      </c>
      <c r="F273" s="5">
        <v>0.98</v>
      </c>
      <c r="G273" s="5">
        <v>0.98</v>
      </c>
      <c r="H273" s="5">
        <v>0.98</v>
      </c>
      <c r="I273" s="5">
        <v>0.98</v>
      </c>
      <c r="J273" s="5">
        <v>0.98</v>
      </c>
    </row>
    <row r="274" spans="1:10">
      <c r="A274" s="5" t="s">
        <v>486</v>
      </c>
      <c r="B274" s="5" t="s">
        <v>242</v>
      </c>
      <c r="C274" s="5">
        <v>0.98</v>
      </c>
      <c r="D274" s="5">
        <v>0.98</v>
      </c>
      <c r="E274" s="5">
        <v>0.98</v>
      </c>
      <c r="F274" s="5">
        <v>0.98</v>
      </c>
      <c r="G274" s="5">
        <v>0.98</v>
      </c>
      <c r="H274" s="5">
        <v>0.98</v>
      </c>
      <c r="I274" s="5">
        <v>0.98</v>
      </c>
      <c r="J274" s="5">
        <v>0.98</v>
      </c>
    </row>
    <row r="275" spans="1:10">
      <c r="A275" s="5" t="s">
        <v>486</v>
      </c>
      <c r="B275" s="5" t="s">
        <v>243</v>
      </c>
      <c r="C275" s="5">
        <v>0.98</v>
      </c>
      <c r="D275" s="5">
        <v>0.98</v>
      </c>
      <c r="E275" s="5">
        <v>0.98</v>
      </c>
      <c r="F275" s="5">
        <v>0.98</v>
      </c>
      <c r="G275" s="5">
        <v>0.98</v>
      </c>
      <c r="H275" s="5">
        <v>0.98</v>
      </c>
      <c r="I275" s="5">
        <v>0.98</v>
      </c>
      <c r="J275" s="5">
        <v>0.98</v>
      </c>
    </row>
    <row r="276" spans="1:10">
      <c r="A276" s="5" t="s">
        <v>486</v>
      </c>
      <c r="B276" s="5" t="s">
        <v>249</v>
      </c>
      <c r="C276" s="5">
        <v>0.98</v>
      </c>
      <c r="D276" s="5">
        <v>0.98</v>
      </c>
      <c r="E276" s="5">
        <v>0.98</v>
      </c>
      <c r="F276" s="5">
        <v>0.98</v>
      </c>
      <c r="G276" s="5">
        <v>0.98</v>
      </c>
      <c r="H276" s="5">
        <v>0.98</v>
      </c>
      <c r="I276" s="5">
        <v>0.98</v>
      </c>
      <c r="J276" s="5">
        <v>0.98</v>
      </c>
    </row>
    <row r="277" spans="1:10">
      <c r="A277" s="5" t="s">
        <v>486</v>
      </c>
      <c r="B277" s="5" t="s">
        <v>240</v>
      </c>
      <c r="C277" s="5">
        <v>0.98</v>
      </c>
      <c r="D277" s="5">
        <v>0.98</v>
      </c>
      <c r="E277" s="5">
        <v>0.98</v>
      </c>
      <c r="F277" s="5">
        <v>0.98</v>
      </c>
      <c r="G277" s="5">
        <v>0.98</v>
      </c>
      <c r="H277" s="5">
        <v>0.98</v>
      </c>
      <c r="I277" s="5">
        <v>0.98</v>
      </c>
      <c r="J277" s="5">
        <v>0.98</v>
      </c>
    </row>
    <row r="278" spans="1:10">
      <c r="A278" s="5" t="s">
        <v>486</v>
      </c>
      <c r="B278" s="5" t="s">
        <v>241</v>
      </c>
      <c r="C278" s="5">
        <v>0.98</v>
      </c>
      <c r="D278" s="5">
        <v>0.98</v>
      </c>
      <c r="E278" s="5">
        <v>0.98</v>
      </c>
      <c r="F278" s="5">
        <v>0.98</v>
      </c>
      <c r="G278" s="5">
        <v>0.98</v>
      </c>
      <c r="H278" s="5">
        <v>0.98</v>
      </c>
      <c r="I278" s="5">
        <v>0.98</v>
      </c>
      <c r="J278" s="5">
        <v>0.98</v>
      </c>
    </row>
    <row r="279" spans="1:10">
      <c r="A279" s="5" t="s">
        <v>486</v>
      </c>
      <c r="B279" s="5" t="s">
        <v>244</v>
      </c>
      <c r="C279" s="5">
        <v>0.98</v>
      </c>
      <c r="D279" s="5">
        <v>0.98</v>
      </c>
      <c r="E279" s="5">
        <v>0.98</v>
      </c>
      <c r="F279" s="5">
        <v>0.98</v>
      </c>
      <c r="G279" s="5">
        <v>0.98</v>
      </c>
      <c r="H279" s="5">
        <v>0.98</v>
      </c>
      <c r="I279" s="5">
        <v>0.98</v>
      </c>
      <c r="J279" s="5">
        <v>0.98</v>
      </c>
    </row>
    <row r="280" spans="1:10">
      <c r="A280" s="5" t="s">
        <v>486</v>
      </c>
      <c r="B280" s="5" t="s">
        <v>245</v>
      </c>
      <c r="C280" s="5">
        <v>0.98</v>
      </c>
      <c r="D280" s="5">
        <v>0.98</v>
      </c>
      <c r="E280" s="5">
        <v>0.98</v>
      </c>
      <c r="F280" s="5">
        <v>0.98</v>
      </c>
      <c r="G280" s="5">
        <v>0.98</v>
      </c>
      <c r="H280" s="5">
        <v>0.98</v>
      </c>
      <c r="I280" s="5">
        <v>0.98</v>
      </c>
      <c r="J280" s="5">
        <v>0.98</v>
      </c>
    </row>
    <row r="281" spans="1:10">
      <c r="A281" s="5" t="s">
        <v>486</v>
      </c>
      <c r="B281" s="5" t="s">
        <v>237</v>
      </c>
      <c r="C281" s="5">
        <v>0.98</v>
      </c>
      <c r="D281" s="5">
        <v>0.98</v>
      </c>
      <c r="E281" s="5">
        <v>0.98</v>
      </c>
      <c r="F281" s="5">
        <v>0.98</v>
      </c>
      <c r="G281" s="5">
        <v>0.98</v>
      </c>
      <c r="H281" s="5">
        <v>0.98</v>
      </c>
      <c r="I281" s="5">
        <v>0.98</v>
      </c>
      <c r="J281" s="5">
        <v>0.98</v>
      </c>
    </row>
    <row r="282" spans="1:10">
      <c r="A282" s="5" t="s">
        <v>486</v>
      </c>
      <c r="B282" s="5" t="s">
        <v>238</v>
      </c>
      <c r="C282" s="5">
        <v>0.98</v>
      </c>
      <c r="D282" s="5">
        <v>0.98</v>
      </c>
      <c r="E282" s="5">
        <v>0.98</v>
      </c>
      <c r="F282" s="5">
        <v>0.98</v>
      </c>
      <c r="G282" s="5">
        <v>0.98</v>
      </c>
      <c r="H282" s="5">
        <v>0.98</v>
      </c>
      <c r="I282" s="5">
        <v>0.98</v>
      </c>
      <c r="J282" s="5">
        <v>0.98</v>
      </c>
    </row>
    <row r="283" spans="1:10">
      <c r="A283" s="5" t="s">
        <v>486</v>
      </c>
      <c r="B283" s="5" t="s">
        <v>239</v>
      </c>
      <c r="C283" s="5">
        <v>0.98</v>
      </c>
      <c r="D283" s="5">
        <v>0.98</v>
      </c>
      <c r="E283" s="5">
        <v>0.98</v>
      </c>
      <c r="F283" s="5">
        <v>0.98</v>
      </c>
      <c r="G283" s="5">
        <v>0.98</v>
      </c>
      <c r="H283" s="5">
        <v>0.98</v>
      </c>
      <c r="I283" s="5">
        <v>0.98</v>
      </c>
      <c r="J283" s="5">
        <v>0.98</v>
      </c>
    </row>
    <row r="284" spans="1:10">
      <c r="A284" s="5" t="s">
        <v>486</v>
      </c>
      <c r="B284" s="5" t="s">
        <v>246</v>
      </c>
      <c r="C284" s="5">
        <v>0.98</v>
      </c>
      <c r="D284" s="5">
        <v>0.98</v>
      </c>
      <c r="E284" s="5">
        <v>0.98</v>
      </c>
      <c r="F284" s="5">
        <v>0.98</v>
      </c>
      <c r="G284" s="5">
        <v>0.98</v>
      </c>
      <c r="H284" s="5">
        <v>0.98</v>
      </c>
      <c r="I284" s="5">
        <v>0.98</v>
      </c>
      <c r="J284" s="5">
        <v>0.98</v>
      </c>
    </row>
    <row r="285" spans="1:10">
      <c r="A285" s="5" t="s">
        <v>486</v>
      </c>
      <c r="B285" s="5" t="s">
        <v>247</v>
      </c>
      <c r="C285" s="5">
        <v>0.98</v>
      </c>
      <c r="D285" s="5">
        <v>0.98</v>
      </c>
      <c r="E285" s="5">
        <v>0.98</v>
      </c>
      <c r="F285" s="5">
        <v>0.98</v>
      </c>
      <c r="G285" s="5">
        <v>0.98</v>
      </c>
      <c r="H285" s="5">
        <v>0.98</v>
      </c>
      <c r="I285" s="5">
        <v>0.98</v>
      </c>
      <c r="J285" s="5">
        <v>0.98</v>
      </c>
    </row>
    <row r="286" spans="1:10">
      <c r="A286" s="5" t="s">
        <v>486</v>
      </c>
      <c r="B286" s="5" t="s">
        <v>250</v>
      </c>
      <c r="C286" s="5">
        <v>0.98</v>
      </c>
      <c r="D286" s="5">
        <v>0.98</v>
      </c>
      <c r="E286" s="5">
        <v>0.98</v>
      </c>
      <c r="F286" s="5">
        <v>0.98</v>
      </c>
      <c r="G286" s="5">
        <v>0.98</v>
      </c>
      <c r="H286" s="5">
        <v>0.98</v>
      </c>
      <c r="I286" s="5">
        <v>0.98</v>
      </c>
      <c r="J286" s="5">
        <v>0.98</v>
      </c>
    </row>
    <row r="287" spans="1:10">
      <c r="A287" s="5" t="s">
        <v>486</v>
      </c>
      <c r="B287" s="5" t="s">
        <v>251</v>
      </c>
      <c r="C287" s="5">
        <v>1</v>
      </c>
      <c r="D287" s="5">
        <v>1</v>
      </c>
      <c r="E287" s="5">
        <v>1</v>
      </c>
      <c r="F287" s="5">
        <v>1</v>
      </c>
      <c r="G287" s="5">
        <v>1</v>
      </c>
      <c r="H287" s="5">
        <v>1</v>
      </c>
      <c r="I287" s="5">
        <v>1</v>
      </c>
      <c r="J287" s="5">
        <v>1</v>
      </c>
    </row>
    <row r="288" spans="1:10">
      <c r="A288" s="5" t="s">
        <v>486</v>
      </c>
      <c r="B288" s="5" t="s">
        <v>253</v>
      </c>
      <c r="C288" s="5">
        <v>0</v>
      </c>
      <c r="D288" s="5">
        <v>0</v>
      </c>
      <c r="E288" s="5">
        <v>0.98</v>
      </c>
      <c r="F288" s="5">
        <v>0.98</v>
      </c>
      <c r="G288" s="5">
        <v>0.98</v>
      </c>
      <c r="H288" s="5">
        <v>0.98</v>
      </c>
      <c r="I288" s="5">
        <v>0.98</v>
      </c>
      <c r="J288" s="5">
        <v>0.98</v>
      </c>
    </row>
    <row r="289" spans="1:10">
      <c r="A289" s="5" t="s">
        <v>486</v>
      </c>
      <c r="B289" s="5" t="s">
        <v>254</v>
      </c>
      <c r="C289" s="5">
        <v>0</v>
      </c>
      <c r="D289" s="5">
        <v>0</v>
      </c>
      <c r="E289" s="5">
        <v>0.98</v>
      </c>
      <c r="F289" s="5">
        <v>0.98</v>
      </c>
      <c r="G289" s="5">
        <v>0.98</v>
      </c>
      <c r="H289" s="5">
        <v>0.98</v>
      </c>
      <c r="I289" s="5">
        <v>0.98</v>
      </c>
      <c r="J289" s="5">
        <v>0.98</v>
      </c>
    </row>
    <row r="290" spans="1:10">
      <c r="A290" s="5" t="s">
        <v>486</v>
      </c>
      <c r="B290" s="5" t="s">
        <v>255</v>
      </c>
      <c r="C290" s="5">
        <v>0</v>
      </c>
      <c r="D290" s="5">
        <v>1</v>
      </c>
      <c r="E290" s="5">
        <v>1</v>
      </c>
      <c r="F290" s="5">
        <v>1</v>
      </c>
      <c r="G290" s="5">
        <v>1</v>
      </c>
      <c r="H290" s="5">
        <v>1</v>
      </c>
      <c r="I290" s="5">
        <v>1</v>
      </c>
      <c r="J290" s="5">
        <v>1</v>
      </c>
    </row>
    <row r="291" spans="1:10">
      <c r="A291" s="5" t="s">
        <v>486</v>
      </c>
      <c r="B291" s="5" t="s">
        <v>281</v>
      </c>
      <c r="C291" s="5">
        <v>0</v>
      </c>
      <c r="D291" s="5">
        <v>0</v>
      </c>
      <c r="E291" s="5">
        <v>0</v>
      </c>
      <c r="F291" s="5">
        <v>1</v>
      </c>
      <c r="G291" s="5">
        <v>1</v>
      </c>
      <c r="H291" s="5">
        <v>1</v>
      </c>
      <c r="I291" s="5">
        <v>1</v>
      </c>
      <c r="J291" s="5">
        <v>1</v>
      </c>
    </row>
    <row r="292" spans="1:10">
      <c r="A292" s="5" t="s">
        <v>486</v>
      </c>
      <c r="B292" s="5" t="s">
        <v>287</v>
      </c>
      <c r="C292" s="5">
        <v>1</v>
      </c>
      <c r="D292" s="5">
        <v>1</v>
      </c>
      <c r="E292" s="5">
        <v>1</v>
      </c>
      <c r="F292" s="5">
        <v>1</v>
      </c>
      <c r="G292" s="5">
        <v>1</v>
      </c>
      <c r="H292" s="5">
        <v>1</v>
      </c>
      <c r="I292" s="5">
        <v>1</v>
      </c>
      <c r="J292" s="5">
        <v>1</v>
      </c>
    </row>
    <row r="293" spans="1:10">
      <c r="A293" s="5" t="s">
        <v>486</v>
      </c>
      <c r="B293" s="5" t="s">
        <v>282</v>
      </c>
      <c r="C293" s="5">
        <v>1</v>
      </c>
      <c r="D293" s="5">
        <v>1</v>
      </c>
      <c r="E293" s="5">
        <v>1</v>
      </c>
      <c r="F293" s="5">
        <v>1</v>
      </c>
      <c r="G293" s="5">
        <v>1</v>
      </c>
      <c r="H293" s="5">
        <v>1</v>
      </c>
      <c r="I293" s="5">
        <v>1</v>
      </c>
      <c r="J293" s="5">
        <v>1</v>
      </c>
    </row>
    <row r="294" spans="1:10">
      <c r="A294" s="5" t="s">
        <v>486</v>
      </c>
      <c r="B294" s="5" t="s">
        <v>285</v>
      </c>
      <c r="C294" s="5">
        <v>1</v>
      </c>
      <c r="D294" s="5">
        <v>1</v>
      </c>
      <c r="E294" s="5">
        <v>1</v>
      </c>
      <c r="F294" s="5">
        <v>1</v>
      </c>
      <c r="G294" s="5">
        <v>1</v>
      </c>
      <c r="H294" s="5">
        <v>1</v>
      </c>
      <c r="I294" s="5">
        <v>1</v>
      </c>
      <c r="J294" s="5">
        <v>1</v>
      </c>
    </row>
    <row r="295" spans="1:10">
      <c r="A295" s="5" t="s">
        <v>486</v>
      </c>
      <c r="B295" s="5" t="s">
        <v>284</v>
      </c>
      <c r="C295" s="5">
        <v>1</v>
      </c>
      <c r="D295" s="5">
        <v>1</v>
      </c>
      <c r="E295" s="5">
        <v>1</v>
      </c>
      <c r="F295" s="5">
        <v>1</v>
      </c>
      <c r="G295" s="5">
        <v>1</v>
      </c>
      <c r="H295" s="5">
        <v>1</v>
      </c>
      <c r="I295" s="5">
        <v>1</v>
      </c>
      <c r="J295" s="5">
        <v>1</v>
      </c>
    </row>
    <row r="296" spans="1:10">
      <c r="A296" s="5" t="s">
        <v>486</v>
      </c>
      <c r="B296" s="5" t="s">
        <v>286</v>
      </c>
      <c r="C296" s="5">
        <v>1</v>
      </c>
      <c r="D296" s="5">
        <v>1</v>
      </c>
      <c r="E296" s="5">
        <v>1</v>
      </c>
      <c r="F296" s="5">
        <v>1</v>
      </c>
      <c r="G296" s="5">
        <v>1</v>
      </c>
      <c r="H296" s="5">
        <v>1</v>
      </c>
      <c r="I296" s="5">
        <v>1</v>
      </c>
      <c r="J296" s="5">
        <v>1</v>
      </c>
    </row>
    <row r="297" spans="1:10">
      <c r="A297" s="5" t="s">
        <v>486</v>
      </c>
      <c r="B297" s="5" t="s">
        <v>283</v>
      </c>
      <c r="C297" s="5">
        <v>1</v>
      </c>
      <c r="D297" s="5">
        <v>1</v>
      </c>
      <c r="E297" s="5">
        <v>1</v>
      </c>
      <c r="F297" s="5">
        <v>1</v>
      </c>
      <c r="G297" s="5">
        <v>1</v>
      </c>
      <c r="H297" s="5">
        <v>1</v>
      </c>
      <c r="I297" s="5">
        <v>1</v>
      </c>
      <c r="J297" s="5">
        <v>1</v>
      </c>
    </row>
    <row r="298" spans="1:10">
      <c r="A298" s="5" t="s">
        <v>486</v>
      </c>
      <c r="B298" s="2" t="s">
        <v>291</v>
      </c>
      <c r="C298" s="5">
        <v>0.98</v>
      </c>
      <c r="D298" s="5">
        <v>0.98</v>
      </c>
      <c r="E298" s="5">
        <v>0.98</v>
      </c>
      <c r="F298" s="5">
        <v>0.98</v>
      </c>
      <c r="G298" s="5">
        <v>0.98</v>
      </c>
      <c r="H298" s="5">
        <v>0.98</v>
      </c>
      <c r="I298" s="5">
        <v>0.98</v>
      </c>
      <c r="J298" s="5">
        <v>0.98</v>
      </c>
    </row>
    <row r="299" spans="1:10">
      <c r="A299" s="5" t="s">
        <v>486</v>
      </c>
      <c r="B299" s="2" t="s">
        <v>292</v>
      </c>
      <c r="C299" s="5">
        <v>0.98</v>
      </c>
      <c r="D299" s="5">
        <v>0.98</v>
      </c>
      <c r="E299" s="5">
        <v>0.98</v>
      </c>
      <c r="F299" s="5">
        <v>0.98</v>
      </c>
      <c r="G299" s="5">
        <v>0.98</v>
      </c>
      <c r="H299" s="5">
        <v>0.98</v>
      </c>
      <c r="I299" s="5">
        <v>0.98</v>
      </c>
      <c r="J299" s="5">
        <v>0.98</v>
      </c>
    </row>
    <row r="300" spans="1:10">
      <c r="A300" s="5" t="s">
        <v>486</v>
      </c>
      <c r="B300" s="2" t="s">
        <v>297</v>
      </c>
      <c r="C300" s="5">
        <v>0.98</v>
      </c>
      <c r="D300" s="5">
        <v>0.98</v>
      </c>
      <c r="E300" s="5">
        <v>0.98</v>
      </c>
      <c r="F300" s="5">
        <v>0.98</v>
      </c>
      <c r="G300" s="5">
        <v>0.98</v>
      </c>
      <c r="H300" s="5">
        <v>0.98</v>
      </c>
      <c r="I300" s="5">
        <v>0.98</v>
      </c>
      <c r="J300" s="5">
        <v>0.98</v>
      </c>
    </row>
    <row r="301" spans="1:10">
      <c r="A301" s="5" t="s">
        <v>486</v>
      </c>
      <c r="B301" s="2" t="s">
        <v>490</v>
      </c>
      <c r="C301" s="5">
        <v>0.98</v>
      </c>
      <c r="D301" s="5">
        <v>0.98</v>
      </c>
      <c r="E301" s="5">
        <v>0.98</v>
      </c>
      <c r="F301" s="5">
        <v>0.98</v>
      </c>
      <c r="G301" s="5">
        <v>0.98</v>
      </c>
      <c r="H301" s="5">
        <v>0.98</v>
      </c>
      <c r="I301" s="5">
        <v>0.98</v>
      </c>
      <c r="J301" s="5">
        <v>0.98</v>
      </c>
    </row>
    <row r="302" spans="1:10">
      <c r="A302" s="5" t="s">
        <v>486</v>
      </c>
      <c r="B302" s="2" t="s">
        <v>299</v>
      </c>
      <c r="C302" s="5">
        <v>0.98</v>
      </c>
      <c r="D302" s="5">
        <v>0.98</v>
      </c>
      <c r="E302" s="5">
        <v>0.98</v>
      </c>
      <c r="F302" s="5">
        <v>0.98</v>
      </c>
      <c r="G302" s="5">
        <v>0.98</v>
      </c>
      <c r="H302" s="5">
        <v>0.98</v>
      </c>
      <c r="I302" s="5">
        <v>0.98</v>
      </c>
      <c r="J302" s="5">
        <v>0.98</v>
      </c>
    </row>
    <row r="303" spans="1:10">
      <c r="A303" s="5" t="s">
        <v>486</v>
      </c>
      <c r="B303" t="s">
        <v>310</v>
      </c>
      <c r="C303" s="5">
        <v>0.98</v>
      </c>
      <c r="D303" s="5">
        <v>0.98</v>
      </c>
      <c r="E303" s="5">
        <v>0.98</v>
      </c>
      <c r="F303" s="5">
        <v>0.98</v>
      </c>
      <c r="G303" s="5">
        <v>0.98</v>
      </c>
      <c r="H303" s="5">
        <v>0.98</v>
      </c>
      <c r="I303" s="5">
        <v>0.98</v>
      </c>
      <c r="J303" s="5">
        <v>0.98</v>
      </c>
    </row>
    <row r="304" spans="1:10">
      <c r="A304" s="5" t="s">
        <v>486</v>
      </c>
      <c r="B304" s="2" t="s">
        <v>312</v>
      </c>
      <c r="C304" s="5">
        <v>0.98</v>
      </c>
      <c r="D304" s="5">
        <v>0.98</v>
      </c>
      <c r="E304" s="5">
        <v>0.98</v>
      </c>
      <c r="F304" s="5">
        <v>0.98</v>
      </c>
      <c r="G304" s="5">
        <v>0.98</v>
      </c>
      <c r="H304" s="5">
        <v>0.98</v>
      </c>
      <c r="I304" s="5">
        <v>0.98</v>
      </c>
      <c r="J304" s="5">
        <v>0.98</v>
      </c>
    </row>
    <row r="305" spans="1:10">
      <c r="A305" s="5" t="s">
        <v>486</v>
      </c>
      <c r="B305" s="2" t="s">
        <v>313</v>
      </c>
      <c r="C305" s="5">
        <v>0.98</v>
      </c>
      <c r="D305" s="5">
        <v>0.98</v>
      </c>
      <c r="E305" s="5">
        <v>0.98</v>
      </c>
      <c r="F305" s="5">
        <v>0.98</v>
      </c>
      <c r="G305" s="5">
        <v>0.98</v>
      </c>
      <c r="H305" s="5">
        <v>0.98</v>
      </c>
      <c r="I305" s="5">
        <v>0.98</v>
      </c>
      <c r="J305" s="5">
        <v>0.98</v>
      </c>
    </row>
    <row r="306" spans="1:10">
      <c r="A306" t="s">
        <v>486</v>
      </c>
      <c r="B306" s="2" t="s">
        <v>314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</row>
    <row r="307" spans="1:10">
      <c r="A307" t="s">
        <v>486</v>
      </c>
      <c r="B307" t="s">
        <v>315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</row>
    <row r="308" spans="1:10">
      <c r="A308" t="s">
        <v>486</v>
      </c>
      <c r="B308" t="s">
        <v>316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</row>
    <row r="309" spans="1:10">
      <c r="A309" s="5" t="s">
        <v>486</v>
      </c>
      <c r="B309" s="5" t="s">
        <v>429</v>
      </c>
      <c r="C309" s="5">
        <v>0.87</v>
      </c>
      <c r="D309" s="5">
        <v>0.87</v>
      </c>
      <c r="E309" s="5">
        <v>0.87</v>
      </c>
      <c r="F309" s="5">
        <v>0.87</v>
      </c>
      <c r="G309" s="5">
        <v>0.87</v>
      </c>
      <c r="H309" s="5">
        <v>0.87</v>
      </c>
      <c r="I309" s="5">
        <v>0.87</v>
      </c>
      <c r="J309" s="5">
        <v>0.87</v>
      </c>
    </row>
    <row r="310" spans="1:10">
      <c r="A310" s="5" t="s">
        <v>486</v>
      </c>
      <c r="B310" s="5" t="s">
        <v>431</v>
      </c>
      <c r="C310" s="5">
        <v>0.87</v>
      </c>
      <c r="D310" s="5">
        <v>0.87</v>
      </c>
      <c r="E310" s="5">
        <v>0.87</v>
      </c>
      <c r="F310" s="5">
        <v>0.87</v>
      </c>
      <c r="G310" s="5">
        <v>0.87</v>
      </c>
      <c r="H310" s="5">
        <v>0.87</v>
      </c>
      <c r="I310" s="5">
        <v>0.87</v>
      </c>
      <c r="J310" s="5">
        <v>0.87</v>
      </c>
    </row>
    <row r="311" spans="1:10">
      <c r="A311" s="5" t="s">
        <v>486</v>
      </c>
      <c r="B311" s="5" t="s">
        <v>430</v>
      </c>
      <c r="C311" s="5">
        <v>0.87</v>
      </c>
      <c r="D311" s="5">
        <v>0.87</v>
      </c>
      <c r="E311" s="5">
        <v>0.87</v>
      </c>
      <c r="F311" s="5">
        <v>0.87</v>
      </c>
      <c r="G311" s="5">
        <v>0.87</v>
      </c>
      <c r="H311" s="5">
        <v>0.87</v>
      </c>
      <c r="I311" s="5">
        <v>0.87</v>
      </c>
      <c r="J311" s="5">
        <v>0.87</v>
      </c>
    </row>
    <row r="312" spans="1:10">
      <c r="A312" s="5" t="s">
        <v>486</v>
      </c>
      <c r="B312" s="5" t="s">
        <v>416</v>
      </c>
      <c r="C312" s="5">
        <v>0.9</v>
      </c>
      <c r="D312" s="5">
        <v>0.9</v>
      </c>
      <c r="E312" s="5">
        <v>0.9</v>
      </c>
      <c r="F312" s="5">
        <v>0.9</v>
      </c>
      <c r="G312" s="5">
        <v>0.9</v>
      </c>
      <c r="H312" s="5">
        <v>0.9</v>
      </c>
      <c r="I312" s="5">
        <v>0.9</v>
      </c>
      <c r="J312" s="5">
        <v>0.9</v>
      </c>
    </row>
    <row r="313" spans="1:10">
      <c r="A313" s="5" t="s">
        <v>486</v>
      </c>
      <c r="B313" s="5" t="s">
        <v>95</v>
      </c>
      <c r="C313" s="5">
        <v>0.9</v>
      </c>
      <c r="D313" s="5">
        <v>0.9</v>
      </c>
      <c r="E313" s="5">
        <v>0.9</v>
      </c>
      <c r="F313" s="5">
        <v>0.9</v>
      </c>
      <c r="G313" s="5">
        <v>0.9</v>
      </c>
      <c r="H313" s="5">
        <v>0.9</v>
      </c>
      <c r="I313" s="5">
        <v>0.9</v>
      </c>
      <c r="J313" s="5">
        <v>0.9</v>
      </c>
    </row>
    <row r="314" spans="1:10">
      <c r="A314" s="5" t="s">
        <v>486</v>
      </c>
      <c r="B314" s="5" t="s">
        <v>96</v>
      </c>
      <c r="C314" s="5">
        <v>0.9</v>
      </c>
      <c r="D314" s="5">
        <v>0.9</v>
      </c>
      <c r="E314" s="5">
        <v>0.9</v>
      </c>
      <c r="F314" s="5">
        <v>0.9</v>
      </c>
      <c r="G314" s="5">
        <v>0.9</v>
      </c>
      <c r="H314" s="5">
        <v>0.9</v>
      </c>
      <c r="I314" s="5">
        <v>0.9</v>
      </c>
      <c r="J314" s="5">
        <v>0.9</v>
      </c>
    </row>
    <row r="315" spans="1:10">
      <c r="A315" s="5" t="s">
        <v>486</v>
      </c>
      <c r="B315" s="5" t="s">
        <v>422</v>
      </c>
      <c r="C315" s="5">
        <v>0.9</v>
      </c>
      <c r="D315" s="5">
        <v>0.9</v>
      </c>
      <c r="E315" s="5">
        <v>0.9</v>
      </c>
      <c r="F315" s="5">
        <v>0.9</v>
      </c>
      <c r="G315" s="5">
        <v>0.9</v>
      </c>
      <c r="H315" s="5">
        <v>0.9</v>
      </c>
      <c r="I315" s="5">
        <v>0.9</v>
      </c>
      <c r="J315" s="5">
        <v>0.9</v>
      </c>
    </row>
    <row r="316" spans="1:10">
      <c r="A316" s="5" t="s">
        <v>486</v>
      </c>
      <c r="B316" s="5" t="s">
        <v>420</v>
      </c>
      <c r="C316" s="5">
        <v>0.9</v>
      </c>
      <c r="D316" s="5">
        <v>0.9</v>
      </c>
      <c r="E316" s="5">
        <v>0.9</v>
      </c>
      <c r="F316" s="5">
        <v>0.9</v>
      </c>
      <c r="G316" s="5">
        <v>0.9</v>
      </c>
      <c r="H316" s="5">
        <v>0.9</v>
      </c>
      <c r="I316" s="5">
        <v>0.9</v>
      </c>
      <c r="J316" s="5">
        <v>0.9</v>
      </c>
    </row>
    <row r="317" spans="1:10">
      <c r="A317" s="5" t="s">
        <v>486</v>
      </c>
      <c r="B317" s="5" t="s">
        <v>424</v>
      </c>
      <c r="C317" s="5">
        <v>0.9</v>
      </c>
      <c r="D317" s="5">
        <v>0.9</v>
      </c>
      <c r="E317" s="5">
        <v>0.9</v>
      </c>
      <c r="F317" s="5">
        <v>0.9</v>
      </c>
      <c r="G317" s="5">
        <v>0.9</v>
      </c>
      <c r="H317" s="5">
        <v>0.9</v>
      </c>
      <c r="I317" s="5">
        <v>0.9</v>
      </c>
      <c r="J317" s="5">
        <v>0.9</v>
      </c>
    </row>
    <row r="318" spans="1:10">
      <c r="A318" s="5" t="s">
        <v>486</v>
      </c>
      <c r="B318" s="5" t="s">
        <v>417</v>
      </c>
      <c r="C318" s="5">
        <v>0.9</v>
      </c>
      <c r="D318" s="5">
        <v>0.9</v>
      </c>
      <c r="E318" s="5">
        <v>0.9</v>
      </c>
      <c r="F318" s="5">
        <v>0.9</v>
      </c>
      <c r="G318" s="5">
        <v>0.9</v>
      </c>
      <c r="H318" s="5">
        <v>0.9</v>
      </c>
      <c r="I318" s="5">
        <v>0.9</v>
      </c>
      <c r="J318" s="5">
        <v>0.9</v>
      </c>
    </row>
    <row r="319" spans="1:10">
      <c r="A319" s="5" t="s">
        <v>486</v>
      </c>
      <c r="B319" s="5" t="s">
        <v>418</v>
      </c>
      <c r="C319" s="5">
        <v>0.9</v>
      </c>
      <c r="D319" s="5">
        <v>0.9</v>
      </c>
      <c r="E319" s="5">
        <v>0.9</v>
      </c>
      <c r="F319" s="5">
        <v>0.9</v>
      </c>
      <c r="G319" s="5">
        <v>0.9</v>
      </c>
      <c r="H319" s="5">
        <v>0.9</v>
      </c>
      <c r="I319" s="5">
        <v>0.9</v>
      </c>
      <c r="J319" s="5">
        <v>0.9</v>
      </c>
    </row>
    <row r="320" spans="1:10">
      <c r="A320" s="5" t="s">
        <v>486</v>
      </c>
      <c r="B320" s="5" t="s">
        <v>419</v>
      </c>
      <c r="C320" s="5">
        <v>0.9</v>
      </c>
      <c r="D320" s="5">
        <v>0.9</v>
      </c>
      <c r="E320" s="5">
        <v>0.9</v>
      </c>
      <c r="F320" s="5">
        <v>0.9</v>
      </c>
      <c r="G320" s="5">
        <v>0.9</v>
      </c>
      <c r="H320" s="5">
        <v>0.9</v>
      </c>
      <c r="I320" s="5">
        <v>0.9</v>
      </c>
      <c r="J320" s="5">
        <v>0.9</v>
      </c>
    </row>
    <row r="321" spans="1:10">
      <c r="A321" s="5" t="s">
        <v>486</v>
      </c>
      <c r="B321" s="5" t="s">
        <v>423</v>
      </c>
      <c r="C321" s="5">
        <v>0.9</v>
      </c>
      <c r="D321" s="5">
        <v>0.9</v>
      </c>
      <c r="E321" s="5">
        <v>0.9</v>
      </c>
      <c r="F321" s="5">
        <v>0.9</v>
      </c>
      <c r="G321" s="5">
        <v>0.9</v>
      </c>
      <c r="H321" s="5">
        <v>0.9</v>
      </c>
      <c r="I321" s="5">
        <v>0.9</v>
      </c>
      <c r="J321" s="5">
        <v>0.9</v>
      </c>
    </row>
    <row r="322" spans="1:10">
      <c r="A322" s="5" t="s">
        <v>486</v>
      </c>
      <c r="B322" s="5" t="s">
        <v>421</v>
      </c>
      <c r="C322" s="5">
        <v>0.9</v>
      </c>
      <c r="D322" s="5">
        <v>0.9</v>
      </c>
      <c r="E322" s="5">
        <v>0.9</v>
      </c>
      <c r="F322" s="5">
        <v>0.9</v>
      </c>
      <c r="G322" s="5">
        <v>0.9</v>
      </c>
      <c r="H322" s="5">
        <v>0.9</v>
      </c>
      <c r="I322" s="5">
        <v>0.9</v>
      </c>
      <c r="J322" s="5">
        <v>0.9</v>
      </c>
    </row>
    <row r="323" spans="1:10">
      <c r="A323" s="5" t="s">
        <v>486</v>
      </c>
      <c r="B323" s="5" t="s">
        <v>425</v>
      </c>
      <c r="C323" s="5">
        <v>0</v>
      </c>
      <c r="D323" s="5">
        <v>0</v>
      </c>
      <c r="E323" s="5">
        <v>0</v>
      </c>
      <c r="F323" s="5">
        <v>0.98</v>
      </c>
      <c r="G323" s="5">
        <v>0.98</v>
      </c>
      <c r="H323" s="5">
        <v>0.98</v>
      </c>
      <c r="I323" s="5">
        <v>0.98</v>
      </c>
      <c r="J323" s="5">
        <v>0.98</v>
      </c>
    </row>
    <row r="324" spans="1:10">
      <c r="A324" s="5" t="s">
        <v>486</v>
      </c>
      <c r="B324" s="5" t="s">
        <v>427</v>
      </c>
      <c r="C324" s="5">
        <v>1</v>
      </c>
      <c r="D324" s="5">
        <v>1</v>
      </c>
      <c r="E324" s="5">
        <v>1</v>
      </c>
      <c r="F324" s="5">
        <v>1</v>
      </c>
      <c r="G324" s="5">
        <v>1</v>
      </c>
      <c r="H324" s="5">
        <v>1</v>
      </c>
      <c r="I324" s="5">
        <v>1</v>
      </c>
      <c r="J324" s="5">
        <v>1</v>
      </c>
    </row>
    <row r="325" spans="1:10">
      <c r="A325" s="5" t="s">
        <v>486</v>
      </c>
      <c r="B325" s="5" t="s">
        <v>428</v>
      </c>
      <c r="C325" s="5">
        <v>1</v>
      </c>
      <c r="D325" s="5">
        <v>1</v>
      </c>
      <c r="E325" s="5">
        <v>1</v>
      </c>
      <c r="F325" s="5">
        <v>1</v>
      </c>
      <c r="G325" s="5">
        <v>1</v>
      </c>
      <c r="H325" s="5">
        <v>1</v>
      </c>
      <c r="I325" s="5">
        <v>1</v>
      </c>
      <c r="J325" s="5">
        <v>1</v>
      </c>
    </row>
    <row r="326" spans="1:10">
      <c r="A326" s="5" t="s">
        <v>486</v>
      </c>
      <c r="B326" s="5" t="s">
        <v>426</v>
      </c>
      <c r="C326" s="5">
        <v>0.9</v>
      </c>
      <c r="D326" s="5">
        <v>0.9</v>
      </c>
      <c r="E326" s="5">
        <v>0.9</v>
      </c>
      <c r="F326" s="5">
        <v>0.9</v>
      </c>
      <c r="G326" s="5">
        <v>0.9</v>
      </c>
      <c r="H326" s="5">
        <v>0.9</v>
      </c>
      <c r="I326" s="5">
        <v>0.9</v>
      </c>
      <c r="J326" s="5">
        <v>0.9</v>
      </c>
    </row>
    <row r="327" spans="1:10">
      <c r="A327" s="5" t="s">
        <v>486</v>
      </c>
      <c r="B327" s="5" t="s">
        <v>440</v>
      </c>
      <c r="C327" s="5">
        <v>0.98</v>
      </c>
      <c r="D327" s="5">
        <v>0.98</v>
      </c>
      <c r="E327" s="5">
        <v>0.98</v>
      </c>
      <c r="F327" s="5">
        <v>0.98</v>
      </c>
      <c r="G327" s="5">
        <v>0.98</v>
      </c>
      <c r="H327" s="5">
        <v>0.98</v>
      </c>
      <c r="I327" s="5">
        <v>0.98</v>
      </c>
      <c r="J327" s="5">
        <v>0.98</v>
      </c>
    </row>
    <row r="328" spans="1:10">
      <c r="A328" s="5" t="s">
        <v>486</v>
      </c>
      <c r="B328" s="2" t="s">
        <v>499</v>
      </c>
      <c r="C328" s="5">
        <v>0.98</v>
      </c>
      <c r="D328" s="5">
        <v>0.98</v>
      </c>
      <c r="E328" s="5">
        <v>0.98</v>
      </c>
      <c r="F328" s="5">
        <v>0.98</v>
      </c>
      <c r="G328" s="5">
        <v>0.98</v>
      </c>
      <c r="H328" s="5">
        <v>0.98</v>
      </c>
      <c r="I328" s="5">
        <v>0.98</v>
      </c>
      <c r="J328" s="5">
        <v>0.98</v>
      </c>
    </row>
    <row r="329" spans="1:10">
      <c r="A329" s="5" t="s">
        <v>486</v>
      </c>
      <c r="B329" s="2" t="s">
        <v>500</v>
      </c>
      <c r="C329" s="5">
        <v>0.98</v>
      </c>
      <c r="D329" s="5">
        <v>0.98</v>
      </c>
      <c r="E329" s="5">
        <v>0.98</v>
      </c>
      <c r="F329" s="5">
        <v>0.98</v>
      </c>
      <c r="G329" s="5">
        <v>0.98</v>
      </c>
      <c r="H329" s="5">
        <v>0.98</v>
      </c>
      <c r="I329" s="5">
        <v>0.98</v>
      </c>
      <c r="J329" s="5">
        <v>0.98</v>
      </c>
    </row>
  </sheetData>
  <dataValidations count="1">
    <dataValidation type="list" allowBlank="1" showInputMessage="1" showErrorMessage="1" sqref="B148 B301" xr:uid="{9D57134B-592E-4EF9-88F4-E0186552E0D1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323"/>
  <sheetViews>
    <sheetView topLeftCell="A299" workbookViewId="0">
      <selection activeCell="B319" sqref="B319:B323"/>
    </sheetView>
  </sheetViews>
  <sheetFormatPr defaultColWidth="11.42578125" defaultRowHeight="15"/>
  <cols>
    <col min="2" max="2" width="25.42578125" customWidth="1"/>
  </cols>
  <sheetData>
    <row r="1" spans="1:3">
      <c r="A1" t="s">
        <v>387</v>
      </c>
    </row>
    <row r="2" spans="1:3">
      <c r="A2" t="s">
        <v>8</v>
      </c>
    </row>
    <row r="3" spans="1:3">
      <c r="A3" t="s">
        <v>386</v>
      </c>
    </row>
    <row r="5" spans="1:3">
      <c r="A5" t="s">
        <v>458</v>
      </c>
      <c r="B5" t="s">
        <v>156</v>
      </c>
      <c r="C5">
        <v>101</v>
      </c>
    </row>
    <row r="6" spans="1:3">
      <c r="A6" t="s">
        <v>458</v>
      </c>
      <c r="B6" t="s">
        <v>157</v>
      </c>
      <c r="C6">
        <v>101</v>
      </c>
    </row>
    <row r="7" spans="1:3">
      <c r="A7" t="s">
        <v>458</v>
      </c>
      <c r="B7" t="s">
        <v>146</v>
      </c>
      <c r="C7">
        <v>31</v>
      </c>
    </row>
    <row r="8" spans="1:3">
      <c r="A8" t="s">
        <v>458</v>
      </c>
      <c r="B8" t="s">
        <v>95</v>
      </c>
      <c r="C8">
        <v>41</v>
      </c>
    </row>
    <row r="9" spans="1:3">
      <c r="A9" t="s">
        <v>458</v>
      </c>
      <c r="B9" t="s">
        <v>96</v>
      </c>
      <c r="C9">
        <v>31</v>
      </c>
    </row>
    <row r="10" spans="1:3">
      <c r="A10" t="s">
        <v>458</v>
      </c>
      <c r="B10" t="s">
        <v>97</v>
      </c>
      <c r="C10">
        <v>31</v>
      </c>
    </row>
    <row r="11" spans="1:3">
      <c r="A11" t="s">
        <v>458</v>
      </c>
      <c r="B11" t="s">
        <v>98</v>
      </c>
      <c r="C11">
        <v>41</v>
      </c>
    </row>
    <row r="12" spans="1:3">
      <c r="A12" t="s">
        <v>458</v>
      </c>
      <c r="B12" t="s">
        <v>127</v>
      </c>
      <c r="C12">
        <v>11</v>
      </c>
    </row>
    <row r="13" spans="1:3">
      <c r="A13" t="s">
        <v>458</v>
      </c>
      <c r="B13" t="s">
        <v>128</v>
      </c>
      <c r="C13">
        <v>20</v>
      </c>
    </row>
    <row r="14" spans="1:3">
      <c r="A14" t="s">
        <v>458</v>
      </c>
      <c r="B14" t="s">
        <v>139</v>
      </c>
      <c r="C14">
        <v>40</v>
      </c>
    </row>
    <row r="15" spans="1:3">
      <c r="A15" t="s">
        <v>458</v>
      </c>
      <c r="B15" s="2" t="s">
        <v>140</v>
      </c>
      <c r="C15">
        <v>40</v>
      </c>
    </row>
    <row r="16" spans="1:3">
      <c r="A16" t="s">
        <v>458</v>
      </c>
      <c r="B16" s="2" t="s">
        <v>231</v>
      </c>
      <c r="C16">
        <v>30</v>
      </c>
    </row>
    <row r="17" spans="1:3">
      <c r="A17" t="s">
        <v>458</v>
      </c>
      <c r="B17" s="2" t="s">
        <v>233</v>
      </c>
      <c r="C17">
        <v>30</v>
      </c>
    </row>
    <row r="18" spans="1:3">
      <c r="A18" t="s">
        <v>458</v>
      </c>
      <c r="B18" s="2" t="s">
        <v>126</v>
      </c>
      <c r="C18">
        <v>40</v>
      </c>
    </row>
    <row r="19" spans="1:3">
      <c r="A19" t="s">
        <v>458</v>
      </c>
      <c r="B19" s="2" t="s">
        <v>129</v>
      </c>
      <c r="C19">
        <v>40</v>
      </c>
    </row>
    <row r="20" spans="1:3">
      <c r="A20" t="s">
        <v>458</v>
      </c>
      <c r="B20" s="2" t="s">
        <v>177</v>
      </c>
      <c r="C20">
        <v>30</v>
      </c>
    </row>
    <row r="21" spans="1:3">
      <c r="A21" t="s">
        <v>458</v>
      </c>
      <c r="B21" s="2" t="s">
        <v>121</v>
      </c>
      <c r="C21">
        <v>26</v>
      </c>
    </row>
    <row r="22" spans="1:3">
      <c r="A22" t="s">
        <v>458</v>
      </c>
      <c r="B22" s="2" t="s">
        <v>122</v>
      </c>
      <c r="C22">
        <v>31</v>
      </c>
    </row>
    <row r="23" spans="1:3">
      <c r="A23" t="s">
        <v>458</v>
      </c>
      <c r="B23" s="2" t="s">
        <v>116</v>
      </c>
      <c r="C23">
        <v>21</v>
      </c>
    </row>
    <row r="24" spans="1:3">
      <c r="A24" t="s">
        <v>458</v>
      </c>
      <c r="B24" s="2" t="s">
        <v>52</v>
      </c>
      <c r="C24">
        <v>21</v>
      </c>
    </row>
    <row r="25" spans="1:3">
      <c r="A25" t="s">
        <v>458</v>
      </c>
      <c r="B25" s="2" t="s">
        <v>117</v>
      </c>
      <c r="C25">
        <v>21</v>
      </c>
    </row>
    <row r="26" spans="1:3">
      <c r="A26" t="s">
        <v>458</v>
      </c>
      <c r="B26" t="s">
        <v>118</v>
      </c>
      <c r="C26">
        <v>26</v>
      </c>
    </row>
    <row r="27" spans="1:3">
      <c r="A27" t="s">
        <v>458</v>
      </c>
      <c r="B27" t="s">
        <v>169</v>
      </c>
      <c r="C27">
        <v>21</v>
      </c>
    </row>
    <row r="28" spans="1:3">
      <c r="A28" t="s">
        <v>458</v>
      </c>
      <c r="B28" t="s">
        <v>174</v>
      </c>
      <c r="C28">
        <v>26</v>
      </c>
    </row>
    <row r="29" spans="1:3">
      <c r="A29" t="s">
        <v>458</v>
      </c>
      <c r="B29" t="s">
        <v>162</v>
      </c>
      <c r="C29">
        <v>26</v>
      </c>
    </row>
    <row r="30" spans="1:3">
      <c r="A30" t="s">
        <v>458</v>
      </c>
      <c r="B30" t="s">
        <v>51</v>
      </c>
      <c r="C30">
        <v>31</v>
      </c>
    </row>
    <row r="31" spans="1:3">
      <c r="A31" t="s">
        <v>458</v>
      </c>
      <c r="B31" t="s">
        <v>50</v>
      </c>
      <c r="C31">
        <v>31</v>
      </c>
    </row>
    <row r="32" spans="1:3">
      <c r="A32" t="s">
        <v>458</v>
      </c>
      <c r="B32" s="2" t="s">
        <v>99</v>
      </c>
      <c r="C32">
        <v>31</v>
      </c>
    </row>
    <row r="33" spans="1:3">
      <c r="A33" t="s">
        <v>458</v>
      </c>
      <c r="B33" s="2" t="s">
        <v>100</v>
      </c>
      <c r="C33">
        <v>31</v>
      </c>
    </row>
    <row r="34" spans="1:3">
      <c r="A34" t="s">
        <v>458</v>
      </c>
      <c r="B34" s="2" t="s">
        <v>101</v>
      </c>
      <c r="C34">
        <v>31</v>
      </c>
    </row>
    <row r="35" spans="1:3">
      <c r="A35" t="s">
        <v>458</v>
      </c>
      <c r="B35" s="2" t="s">
        <v>102</v>
      </c>
      <c r="C35">
        <v>31</v>
      </c>
    </row>
    <row r="36" spans="1:3">
      <c r="A36" t="s">
        <v>458</v>
      </c>
      <c r="B36" s="2" t="s">
        <v>103</v>
      </c>
      <c r="C36">
        <v>31</v>
      </c>
    </row>
    <row r="37" spans="1:3">
      <c r="A37" t="s">
        <v>458</v>
      </c>
      <c r="B37" s="2" t="s">
        <v>104</v>
      </c>
      <c r="C37">
        <v>31</v>
      </c>
    </row>
    <row r="38" spans="1:3">
      <c r="A38" t="s">
        <v>458</v>
      </c>
      <c r="B38" s="2" t="s">
        <v>148</v>
      </c>
      <c r="C38">
        <v>21</v>
      </c>
    </row>
    <row r="39" spans="1:3">
      <c r="A39" t="s">
        <v>458</v>
      </c>
      <c r="B39" s="2" t="s">
        <v>176</v>
      </c>
      <c r="C39">
        <v>21</v>
      </c>
    </row>
    <row r="40" spans="1:3">
      <c r="A40" t="s">
        <v>458</v>
      </c>
      <c r="B40" s="2" t="s">
        <v>105</v>
      </c>
      <c r="C40">
        <v>31</v>
      </c>
    </row>
    <row r="41" spans="1:3">
      <c r="A41" t="s">
        <v>458</v>
      </c>
      <c r="B41" s="2" t="s">
        <v>106</v>
      </c>
      <c r="C41">
        <v>16</v>
      </c>
    </row>
    <row r="42" spans="1:3">
      <c r="A42" t="s">
        <v>458</v>
      </c>
      <c r="B42" s="2" t="s">
        <v>107</v>
      </c>
      <c r="C42">
        <v>16</v>
      </c>
    </row>
    <row r="43" spans="1:3">
      <c r="A43" t="s">
        <v>458</v>
      </c>
      <c r="B43" t="s">
        <v>108</v>
      </c>
      <c r="C43">
        <v>31</v>
      </c>
    </row>
    <row r="44" spans="1:3">
      <c r="A44" t="s">
        <v>458</v>
      </c>
      <c r="B44" t="s">
        <v>109</v>
      </c>
      <c r="C44">
        <v>26</v>
      </c>
    </row>
    <row r="45" spans="1:3">
      <c r="A45" t="s">
        <v>458</v>
      </c>
      <c r="B45" t="s">
        <v>110</v>
      </c>
      <c r="C45">
        <v>41</v>
      </c>
    </row>
    <row r="46" spans="1:3">
      <c r="A46" t="s">
        <v>458</v>
      </c>
      <c r="B46" t="s">
        <v>111</v>
      </c>
      <c r="C46">
        <v>31</v>
      </c>
    </row>
    <row r="47" spans="1:3">
      <c r="A47" t="s">
        <v>458</v>
      </c>
      <c r="B47" t="s">
        <v>147</v>
      </c>
      <c r="C47">
        <v>21</v>
      </c>
    </row>
    <row r="48" spans="1:3">
      <c r="A48" t="s">
        <v>458</v>
      </c>
      <c r="B48" t="s">
        <v>160</v>
      </c>
      <c r="C48">
        <v>21</v>
      </c>
    </row>
    <row r="49" spans="1:3">
      <c r="A49" t="s">
        <v>458</v>
      </c>
      <c r="B49" t="s">
        <v>161</v>
      </c>
      <c r="C49">
        <v>21</v>
      </c>
    </row>
    <row r="50" spans="1:3">
      <c r="A50" t="s">
        <v>458</v>
      </c>
      <c r="B50" t="s">
        <v>150</v>
      </c>
      <c r="C50">
        <v>31</v>
      </c>
    </row>
    <row r="51" spans="1:3">
      <c r="A51" t="s">
        <v>458</v>
      </c>
      <c r="B51" t="s">
        <v>94</v>
      </c>
      <c r="C51">
        <v>51</v>
      </c>
    </row>
    <row r="52" spans="1:3">
      <c r="A52" t="s">
        <v>458</v>
      </c>
      <c r="B52" t="s">
        <v>93</v>
      </c>
      <c r="C52">
        <v>31</v>
      </c>
    </row>
    <row r="53" spans="1:3">
      <c r="A53" t="s">
        <v>458</v>
      </c>
      <c r="B53" t="s">
        <v>13</v>
      </c>
      <c r="C53">
        <v>31</v>
      </c>
    </row>
    <row r="54" spans="1:3">
      <c r="A54" t="s">
        <v>458</v>
      </c>
      <c r="B54" t="s">
        <v>14</v>
      </c>
      <c r="C54">
        <v>41</v>
      </c>
    </row>
    <row r="55" spans="1:3">
      <c r="A55" t="s">
        <v>458</v>
      </c>
      <c r="B55" t="s">
        <v>49</v>
      </c>
      <c r="C55">
        <v>31</v>
      </c>
    </row>
    <row r="56" spans="1:3">
      <c r="A56" t="s">
        <v>458</v>
      </c>
      <c r="B56" t="s">
        <v>124</v>
      </c>
      <c r="C56">
        <v>16</v>
      </c>
    </row>
    <row r="57" spans="1:3">
      <c r="A57" t="s">
        <v>458</v>
      </c>
      <c r="B57" t="s">
        <v>53</v>
      </c>
      <c r="C57">
        <v>16</v>
      </c>
    </row>
    <row r="58" spans="1:3">
      <c r="A58" t="s">
        <v>458</v>
      </c>
      <c r="B58" t="s">
        <v>125</v>
      </c>
      <c r="C58">
        <v>16</v>
      </c>
    </row>
    <row r="59" spans="1:3">
      <c r="A59" t="s">
        <v>458</v>
      </c>
      <c r="B59" t="s">
        <v>119</v>
      </c>
      <c r="C59">
        <v>26</v>
      </c>
    </row>
    <row r="60" spans="1:3">
      <c r="A60" t="s">
        <v>458</v>
      </c>
      <c r="B60" t="s">
        <v>120</v>
      </c>
      <c r="C60">
        <v>31</v>
      </c>
    </row>
    <row r="61" spans="1:3">
      <c r="A61" t="s">
        <v>458</v>
      </c>
      <c r="B61" t="s">
        <v>55</v>
      </c>
      <c r="C61">
        <v>16</v>
      </c>
    </row>
    <row r="62" spans="1:3">
      <c r="A62" t="s">
        <v>458</v>
      </c>
      <c r="B62" t="s">
        <v>114</v>
      </c>
      <c r="C62">
        <v>21</v>
      </c>
    </row>
    <row r="63" spans="1:3">
      <c r="A63" t="s">
        <v>458</v>
      </c>
      <c r="B63" t="s">
        <v>54</v>
      </c>
      <c r="C63">
        <v>21</v>
      </c>
    </row>
    <row r="64" spans="1:3">
      <c r="A64" t="s">
        <v>458</v>
      </c>
      <c r="B64" t="s">
        <v>115</v>
      </c>
      <c r="C64">
        <v>21</v>
      </c>
    </row>
    <row r="65" spans="1:3">
      <c r="A65" t="s">
        <v>458</v>
      </c>
      <c r="B65" t="s">
        <v>175</v>
      </c>
      <c r="C65">
        <v>21</v>
      </c>
    </row>
    <row r="66" spans="1:3">
      <c r="A66" t="s">
        <v>458</v>
      </c>
      <c r="B66" t="s">
        <v>173</v>
      </c>
      <c r="C66">
        <v>21</v>
      </c>
    </row>
    <row r="67" spans="1:3">
      <c r="A67" t="s">
        <v>458</v>
      </c>
      <c r="B67" t="s">
        <v>77</v>
      </c>
      <c r="C67">
        <v>31</v>
      </c>
    </row>
    <row r="68" spans="1:3">
      <c r="A68" t="s">
        <v>458</v>
      </c>
      <c r="B68" t="s">
        <v>76</v>
      </c>
      <c r="C68">
        <v>31</v>
      </c>
    </row>
    <row r="69" spans="1:3">
      <c r="A69" t="s">
        <v>458</v>
      </c>
      <c r="B69" t="s">
        <v>75</v>
      </c>
      <c r="C69">
        <v>31</v>
      </c>
    </row>
    <row r="70" spans="1:3">
      <c r="A70" t="s">
        <v>458</v>
      </c>
      <c r="B70" t="s">
        <v>78</v>
      </c>
      <c r="C70">
        <v>31</v>
      </c>
    </row>
    <row r="71" spans="1:3">
      <c r="A71" t="s">
        <v>458</v>
      </c>
      <c r="B71" t="s">
        <v>79</v>
      </c>
      <c r="C71">
        <v>31</v>
      </c>
    </row>
    <row r="72" spans="1:3">
      <c r="A72" t="s">
        <v>458</v>
      </c>
      <c r="B72" t="s">
        <v>145</v>
      </c>
      <c r="C72">
        <v>101</v>
      </c>
    </row>
    <row r="73" spans="1:3">
      <c r="A73" t="s">
        <v>458</v>
      </c>
      <c r="B73" t="s">
        <v>87</v>
      </c>
      <c r="C73">
        <v>31</v>
      </c>
    </row>
    <row r="74" spans="1:3">
      <c r="A74" t="s">
        <v>458</v>
      </c>
      <c r="B74" t="s">
        <v>92</v>
      </c>
      <c r="C74">
        <v>41</v>
      </c>
    </row>
    <row r="75" spans="1:3">
      <c r="A75" t="s">
        <v>458</v>
      </c>
      <c r="B75" t="s">
        <v>89</v>
      </c>
      <c r="C75">
        <v>81</v>
      </c>
    </row>
    <row r="76" spans="1:3">
      <c r="A76" t="s">
        <v>458</v>
      </c>
      <c r="B76" t="s">
        <v>90</v>
      </c>
      <c r="C76">
        <v>81</v>
      </c>
    </row>
    <row r="77" spans="1:3">
      <c r="A77" t="s">
        <v>458</v>
      </c>
      <c r="B77" t="s">
        <v>91</v>
      </c>
      <c r="C77">
        <v>21</v>
      </c>
    </row>
    <row r="78" spans="1:3">
      <c r="A78" t="s">
        <v>458</v>
      </c>
      <c r="B78" t="s">
        <v>158</v>
      </c>
      <c r="C78">
        <v>21</v>
      </c>
    </row>
    <row r="79" spans="1:3">
      <c r="A79" t="s">
        <v>458</v>
      </c>
      <c r="B79" t="s">
        <v>159</v>
      </c>
      <c r="C79">
        <v>21</v>
      </c>
    </row>
    <row r="80" spans="1:3">
      <c r="A80" t="s">
        <v>458</v>
      </c>
      <c r="B80" t="s">
        <v>81</v>
      </c>
      <c r="C80">
        <v>21</v>
      </c>
    </row>
    <row r="81" spans="1:3">
      <c r="A81" t="s">
        <v>458</v>
      </c>
      <c r="B81" t="s">
        <v>80</v>
      </c>
      <c r="C81">
        <v>21</v>
      </c>
    </row>
    <row r="82" spans="1:3">
      <c r="A82" t="s">
        <v>458</v>
      </c>
      <c r="B82" t="s">
        <v>82</v>
      </c>
      <c r="C82">
        <v>21</v>
      </c>
    </row>
    <row r="83" spans="1:3">
      <c r="A83" t="s">
        <v>458</v>
      </c>
      <c r="B83" t="s">
        <v>151</v>
      </c>
      <c r="C83">
        <v>21</v>
      </c>
    </row>
    <row r="84" spans="1:3">
      <c r="A84" t="s">
        <v>458</v>
      </c>
      <c r="B84" t="s">
        <v>152</v>
      </c>
      <c r="C84">
        <v>21</v>
      </c>
    </row>
    <row r="85" spans="1:3">
      <c r="A85" t="s">
        <v>458</v>
      </c>
      <c r="B85" t="s">
        <v>153</v>
      </c>
      <c r="C85">
        <v>21</v>
      </c>
    </row>
    <row r="86" spans="1:3">
      <c r="A86" t="s">
        <v>458</v>
      </c>
      <c r="B86" t="s">
        <v>84</v>
      </c>
      <c r="C86">
        <v>21</v>
      </c>
    </row>
    <row r="87" spans="1:3">
      <c r="A87" t="s">
        <v>458</v>
      </c>
      <c r="B87" t="s">
        <v>83</v>
      </c>
      <c r="C87">
        <v>21</v>
      </c>
    </row>
    <row r="88" spans="1:3">
      <c r="A88" t="s">
        <v>458</v>
      </c>
      <c r="B88" t="s">
        <v>85</v>
      </c>
      <c r="C88">
        <v>21</v>
      </c>
    </row>
    <row r="89" spans="1:3">
      <c r="A89" t="s">
        <v>458</v>
      </c>
      <c r="B89" t="s">
        <v>112</v>
      </c>
      <c r="C89">
        <v>31</v>
      </c>
    </row>
    <row r="90" spans="1:3">
      <c r="A90" t="s">
        <v>458</v>
      </c>
      <c r="B90" t="s">
        <v>113</v>
      </c>
      <c r="C90">
        <v>31</v>
      </c>
    </row>
    <row r="91" spans="1:3">
      <c r="A91" t="s">
        <v>458</v>
      </c>
      <c r="B91" t="s">
        <v>149</v>
      </c>
      <c r="C91">
        <v>31</v>
      </c>
    </row>
    <row r="92" spans="1:3">
      <c r="A92" t="s">
        <v>458</v>
      </c>
      <c r="B92" t="s">
        <v>181</v>
      </c>
      <c r="C92">
        <v>101</v>
      </c>
    </row>
    <row r="93" spans="1:3">
      <c r="A93" t="s">
        <v>458</v>
      </c>
      <c r="B93" t="s">
        <v>179</v>
      </c>
      <c r="C93">
        <v>31</v>
      </c>
    </row>
    <row r="94" spans="1:3">
      <c r="A94" t="s">
        <v>458</v>
      </c>
      <c r="B94" t="s">
        <v>180</v>
      </c>
      <c r="C94">
        <v>31</v>
      </c>
    </row>
    <row r="95" spans="1:3">
      <c r="A95" t="s">
        <v>458</v>
      </c>
      <c r="B95" t="s">
        <v>205</v>
      </c>
      <c r="C95">
        <v>26</v>
      </c>
    </row>
    <row r="96" spans="1:3">
      <c r="A96" t="s">
        <v>458</v>
      </c>
      <c r="B96" t="s">
        <v>192</v>
      </c>
      <c r="C96">
        <v>26</v>
      </c>
    </row>
    <row r="97" spans="1:3">
      <c r="A97" t="s">
        <v>458</v>
      </c>
      <c r="B97" t="s">
        <v>187</v>
      </c>
      <c r="C97">
        <v>26</v>
      </c>
    </row>
    <row r="98" spans="1:3">
      <c r="A98" t="s">
        <v>458</v>
      </c>
      <c r="B98" t="s">
        <v>191</v>
      </c>
      <c r="C98">
        <v>26</v>
      </c>
    </row>
    <row r="99" spans="1:3">
      <c r="A99" t="s">
        <v>458</v>
      </c>
      <c r="B99" s="15" t="s">
        <v>188</v>
      </c>
      <c r="C99">
        <v>26</v>
      </c>
    </row>
    <row r="100" spans="1:3">
      <c r="A100" t="s">
        <v>458</v>
      </c>
      <c r="B100" s="15" t="s">
        <v>189</v>
      </c>
      <c r="C100">
        <v>26</v>
      </c>
    </row>
    <row r="101" spans="1:3">
      <c r="A101" t="s">
        <v>458</v>
      </c>
      <c r="B101" s="15" t="s">
        <v>190</v>
      </c>
      <c r="C101">
        <v>26</v>
      </c>
    </row>
    <row r="102" spans="1:3">
      <c r="A102" t="s">
        <v>458</v>
      </c>
      <c r="B102" s="15" t="s">
        <v>213</v>
      </c>
      <c r="C102">
        <v>26</v>
      </c>
    </row>
    <row r="103" spans="1:3">
      <c r="A103" t="s">
        <v>458</v>
      </c>
      <c r="B103" s="15" t="s">
        <v>214</v>
      </c>
      <c r="C103">
        <v>26</v>
      </c>
    </row>
    <row r="104" spans="1:3">
      <c r="A104" t="s">
        <v>458</v>
      </c>
      <c r="B104" s="15" t="s">
        <v>215</v>
      </c>
      <c r="C104">
        <v>26</v>
      </c>
    </row>
    <row r="105" spans="1:3">
      <c r="A105" t="s">
        <v>458</v>
      </c>
      <c r="B105" t="s">
        <v>216</v>
      </c>
      <c r="C105">
        <v>21</v>
      </c>
    </row>
    <row r="106" spans="1:3">
      <c r="A106" t="s">
        <v>458</v>
      </c>
      <c r="B106" t="s">
        <v>217</v>
      </c>
      <c r="C106">
        <v>21</v>
      </c>
    </row>
    <row r="107" spans="1:3">
      <c r="A107" t="s">
        <v>458</v>
      </c>
      <c r="B107" t="s">
        <v>196</v>
      </c>
      <c r="C107">
        <v>41</v>
      </c>
    </row>
    <row r="108" spans="1:3">
      <c r="A108" t="s">
        <v>458</v>
      </c>
      <c r="B108" t="s">
        <v>206</v>
      </c>
      <c r="C108">
        <v>26</v>
      </c>
    </row>
    <row r="109" spans="1:3">
      <c r="A109" t="s">
        <v>458</v>
      </c>
      <c r="B109" t="s">
        <v>207</v>
      </c>
      <c r="C109">
        <v>26</v>
      </c>
    </row>
    <row r="110" spans="1:3">
      <c r="A110" t="s">
        <v>458</v>
      </c>
      <c r="B110" t="s">
        <v>197</v>
      </c>
      <c r="C110">
        <v>26</v>
      </c>
    </row>
    <row r="111" spans="1:3">
      <c r="A111" t="s">
        <v>458</v>
      </c>
      <c r="B111" t="s">
        <v>198</v>
      </c>
      <c r="C111">
        <v>26</v>
      </c>
    </row>
    <row r="112" spans="1:3">
      <c r="A112" t="s">
        <v>458</v>
      </c>
      <c r="B112" t="s">
        <v>199</v>
      </c>
      <c r="C112">
        <v>26</v>
      </c>
    </row>
    <row r="113" spans="1:3">
      <c r="A113" t="s">
        <v>458</v>
      </c>
      <c r="B113" t="s">
        <v>200</v>
      </c>
      <c r="C113">
        <v>26</v>
      </c>
    </row>
    <row r="114" spans="1:3">
      <c r="A114" t="s">
        <v>458</v>
      </c>
      <c r="B114" t="s">
        <v>201</v>
      </c>
      <c r="C114">
        <v>26</v>
      </c>
    </row>
    <row r="115" spans="1:3">
      <c r="A115" t="s">
        <v>458</v>
      </c>
      <c r="B115" t="s">
        <v>202</v>
      </c>
      <c r="C115">
        <v>26</v>
      </c>
    </row>
    <row r="116" spans="1:3">
      <c r="A116" t="s">
        <v>458</v>
      </c>
      <c r="B116" t="s">
        <v>230</v>
      </c>
      <c r="C116">
        <v>26</v>
      </c>
    </row>
    <row r="117" spans="1:3">
      <c r="A117" t="s">
        <v>458</v>
      </c>
      <c r="B117" t="s">
        <v>219</v>
      </c>
      <c r="C117">
        <v>21</v>
      </c>
    </row>
    <row r="118" spans="1:3">
      <c r="A118" t="s">
        <v>458</v>
      </c>
      <c r="B118" t="s">
        <v>220</v>
      </c>
      <c r="C118">
        <v>31</v>
      </c>
    </row>
    <row r="119" spans="1:3">
      <c r="A119" t="s">
        <v>458</v>
      </c>
      <c r="B119" t="s">
        <v>203</v>
      </c>
      <c r="C119">
        <v>41</v>
      </c>
    </row>
    <row r="120" spans="1:3">
      <c r="A120" t="s">
        <v>458</v>
      </c>
      <c r="B120" t="s">
        <v>208</v>
      </c>
      <c r="C120">
        <v>21</v>
      </c>
    </row>
    <row r="121" spans="1:3">
      <c r="A121" t="s">
        <v>458</v>
      </c>
      <c r="B121" t="s">
        <v>204</v>
      </c>
      <c r="C121">
        <v>31</v>
      </c>
    </row>
    <row r="122" spans="1:3">
      <c r="A122" t="s">
        <v>458</v>
      </c>
      <c r="B122" t="s">
        <v>218</v>
      </c>
      <c r="C122">
        <v>26</v>
      </c>
    </row>
    <row r="123" spans="1:3">
      <c r="A123" t="s">
        <v>458</v>
      </c>
      <c r="B123" t="s">
        <v>211</v>
      </c>
      <c r="C123">
        <v>31</v>
      </c>
    </row>
    <row r="124" spans="1:3">
      <c r="A124" t="s">
        <v>458</v>
      </c>
      <c r="B124" t="s">
        <v>222</v>
      </c>
      <c r="C124">
        <v>31</v>
      </c>
    </row>
    <row r="125" spans="1:3">
      <c r="A125" t="s">
        <v>458</v>
      </c>
      <c r="B125" t="s">
        <v>209</v>
      </c>
      <c r="C125">
        <v>31</v>
      </c>
    </row>
    <row r="126" spans="1:3">
      <c r="A126" t="s">
        <v>458</v>
      </c>
      <c r="B126" t="s">
        <v>210</v>
      </c>
      <c r="C126">
        <v>31</v>
      </c>
    </row>
    <row r="127" spans="1:3">
      <c r="A127" t="s">
        <v>458</v>
      </c>
      <c r="B127" t="s">
        <v>221</v>
      </c>
      <c r="C127">
        <v>31</v>
      </c>
    </row>
    <row r="128" spans="1:3">
      <c r="A128" s="11" t="s">
        <v>458</v>
      </c>
      <c r="B128" t="s">
        <v>212</v>
      </c>
      <c r="C128">
        <v>31</v>
      </c>
    </row>
    <row r="129" spans="1:3">
      <c r="A129" s="11" t="s">
        <v>458</v>
      </c>
      <c r="B129" t="s">
        <v>224</v>
      </c>
      <c r="C129">
        <v>26</v>
      </c>
    </row>
    <row r="130" spans="1:3">
      <c r="A130" s="11" t="s">
        <v>458</v>
      </c>
      <c r="B130" t="s">
        <v>225</v>
      </c>
      <c r="C130">
        <v>21</v>
      </c>
    </row>
    <row r="131" spans="1:3">
      <c r="A131" t="s">
        <v>458</v>
      </c>
      <c r="B131" t="s">
        <v>226</v>
      </c>
      <c r="C131">
        <v>21</v>
      </c>
    </row>
    <row r="132" spans="1:3">
      <c r="A132" t="s">
        <v>458</v>
      </c>
      <c r="B132" t="s">
        <v>227</v>
      </c>
      <c r="C132">
        <v>21</v>
      </c>
    </row>
    <row r="133" spans="1:3">
      <c r="A133" t="s">
        <v>458</v>
      </c>
      <c r="B133" t="s">
        <v>228</v>
      </c>
      <c r="C133">
        <v>21</v>
      </c>
    </row>
    <row r="134" spans="1:3">
      <c r="A134" t="s">
        <v>458</v>
      </c>
      <c r="B134" t="s">
        <v>229</v>
      </c>
      <c r="C134">
        <v>26</v>
      </c>
    </row>
    <row r="135" spans="1:3">
      <c r="A135" t="s">
        <v>458</v>
      </c>
      <c r="B135" t="s">
        <v>235</v>
      </c>
      <c r="C135">
        <v>21</v>
      </c>
    </row>
    <row r="136" spans="1:3">
      <c r="A136" t="s">
        <v>458</v>
      </c>
      <c r="B136" t="s">
        <v>236</v>
      </c>
      <c r="C136">
        <v>21</v>
      </c>
    </row>
    <row r="137" spans="1:3">
      <c r="A137" t="s">
        <v>458</v>
      </c>
      <c r="B137" t="s">
        <v>248</v>
      </c>
      <c r="C137">
        <v>26</v>
      </c>
    </row>
    <row r="138" spans="1:3">
      <c r="A138" s="5" t="s">
        <v>458</v>
      </c>
      <c r="B138" s="2" t="s">
        <v>242</v>
      </c>
      <c r="C138">
        <v>31</v>
      </c>
    </row>
    <row r="139" spans="1:3">
      <c r="A139" s="5" t="s">
        <v>458</v>
      </c>
      <c r="B139" s="2" t="s">
        <v>243</v>
      </c>
      <c r="C139">
        <v>26</v>
      </c>
    </row>
    <row r="140" spans="1:3">
      <c r="A140" s="5" t="s">
        <v>458</v>
      </c>
      <c r="B140" s="2" t="s">
        <v>249</v>
      </c>
      <c r="C140">
        <v>26</v>
      </c>
    </row>
    <row r="141" spans="1:3">
      <c r="A141" s="5" t="s">
        <v>458</v>
      </c>
      <c r="B141" s="2" t="s">
        <v>240</v>
      </c>
      <c r="C141">
        <v>26</v>
      </c>
    </row>
    <row r="142" spans="1:3">
      <c r="A142" s="5" t="s">
        <v>458</v>
      </c>
      <c r="B142" s="2" t="s">
        <v>241</v>
      </c>
      <c r="C142">
        <v>26</v>
      </c>
    </row>
    <row r="143" spans="1:3">
      <c r="A143" s="5" t="s">
        <v>458</v>
      </c>
      <c r="B143" t="s">
        <v>244</v>
      </c>
      <c r="C143">
        <v>26</v>
      </c>
    </row>
    <row r="144" spans="1:3">
      <c r="A144" s="5" t="s">
        <v>458</v>
      </c>
      <c r="B144" s="2" t="s">
        <v>245</v>
      </c>
      <c r="C144">
        <v>31</v>
      </c>
    </row>
    <row r="145" spans="1:3">
      <c r="A145" s="5" t="s">
        <v>458</v>
      </c>
      <c r="B145" s="2" t="s">
        <v>237</v>
      </c>
      <c r="C145">
        <v>51</v>
      </c>
    </row>
    <row r="146" spans="1:3">
      <c r="A146" t="s">
        <v>458</v>
      </c>
      <c r="B146" s="2" t="s">
        <v>238</v>
      </c>
      <c r="C146">
        <v>51</v>
      </c>
    </row>
    <row r="147" spans="1:3">
      <c r="A147" t="s">
        <v>458</v>
      </c>
      <c r="B147" t="s">
        <v>239</v>
      </c>
      <c r="C147">
        <v>41</v>
      </c>
    </row>
    <row r="148" spans="1:3">
      <c r="A148" t="s">
        <v>458</v>
      </c>
      <c r="B148" t="s">
        <v>246</v>
      </c>
      <c r="C148">
        <v>21</v>
      </c>
    </row>
    <row r="149" spans="1:3">
      <c r="A149" t="s">
        <v>458</v>
      </c>
      <c r="B149" t="s">
        <v>247</v>
      </c>
      <c r="C149">
        <v>21</v>
      </c>
    </row>
    <row r="150" spans="1:3">
      <c r="A150" t="s">
        <v>458</v>
      </c>
      <c r="B150" t="s">
        <v>251</v>
      </c>
      <c r="C150">
        <v>100</v>
      </c>
    </row>
    <row r="151" spans="1:3">
      <c r="A151" t="s">
        <v>458</v>
      </c>
      <c r="B151" t="s">
        <v>253</v>
      </c>
      <c r="C151">
        <v>36</v>
      </c>
    </row>
    <row r="152" spans="1:3">
      <c r="A152" t="s">
        <v>458</v>
      </c>
      <c r="B152" t="s">
        <v>254</v>
      </c>
      <c r="C152">
        <v>36</v>
      </c>
    </row>
    <row r="153" spans="1:3">
      <c r="A153" t="s">
        <v>458</v>
      </c>
      <c r="B153" t="s">
        <v>255</v>
      </c>
      <c r="C153">
        <v>31</v>
      </c>
    </row>
    <row r="154" spans="1:3">
      <c r="A154" t="s">
        <v>458</v>
      </c>
      <c r="B154" t="s">
        <v>464</v>
      </c>
      <c r="C154">
        <v>101</v>
      </c>
    </row>
    <row r="155" spans="1:3">
      <c r="A155" t="s">
        <v>486</v>
      </c>
      <c r="B155" t="s">
        <v>156</v>
      </c>
      <c r="C155">
        <v>101</v>
      </c>
    </row>
    <row r="156" spans="1:3">
      <c r="A156" t="s">
        <v>486</v>
      </c>
      <c r="B156" t="s">
        <v>157</v>
      </c>
      <c r="C156">
        <v>101</v>
      </c>
    </row>
    <row r="157" spans="1:3">
      <c r="A157" t="s">
        <v>486</v>
      </c>
      <c r="B157" t="s">
        <v>127</v>
      </c>
      <c r="C157">
        <v>11</v>
      </c>
    </row>
    <row r="158" spans="1:3">
      <c r="A158" t="s">
        <v>486</v>
      </c>
      <c r="B158" t="s">
        <v>128</v>
      </c>
      <c r="C158">
        <v>20</v>
      </c>
    </row>
    <row r="159" spans="1:3">
      <c r="A159" t="s">
        <v>486</v>
      </c>
      <c r="B159" t="s">
        <v>139</v>
      </c>
      <c r="C159">
        <v>40</v>
      </c>
    </row>
    <row r="160" spans="1:3">
      <c r="A160" t="s">
        <v>486</v>
      </c>
      <c r="B160" t="s">
        <v>140</v>
      </c>
      <c r="C160">
        <v>40</v>
      </c>
    </row>
    <row r="161" spans="1:3">
      <c r="A161" t="s">
        <v>486</v>
      </c>
      <c r="B161" t="s">
        <v>231</v>
      </c>
      <c r="C161">
        <v>30</v>
      </c>
    </row>
    <row r="162" spans="1:3">
      <c r="A162" t="s">
        <v>486</v>
      </c>
      <c r="B162" t="s">
        <v>233</v>
      </c>
      <c r="C162">
        <v>30</v>
      </c>
    </row>
    <row r="163" spans="1:3">
      <c r="A163" t="s">
        <v>486</v>
      </c>
      <c r="B163" t="s">
        <v>126</v>
      </c>
      <c r="C163">
        <v>40</v>
      </c>
    </row>
    <row r="164" spans="1:3">
      <c r="A164" t="s">
        <v>486</v>
      </c>
      <c r="B164" t="s">
        <v>129</v>
      </c>
      <c r="C164">
        <v>40</v>
      </c>
    </row>
    <row r="165" spans="1:3">
      <c r="A165" t="s">
        <v>486</v>
      </c>
      <c r="B165" t="s">
        <v>177</v>
      </c>
      <c r="C165">
        <v>30</v>
      </c>
    </row>
    <row r="166" spans="1:3">
      <c r="A166" t="s">
        <v>486</v>
      </c>
      <c r="B166" s="2" t="s">
        <v>121</v>
      </c>
      <c r="C166">
        <v>26</v>
      </c>
    </row>
    <row r="167" spans="1:3">
      <c r="A167" t="s">
        <v>486</v>
      </c>
      <c r="B167" s="2" t="s">
        <v>122</v>
      </c>
      <c r="C167">
        <v>31</v>
      </c>
    </row>
    <row r="168" spans="1:3">
      <c r="A168" t="s">
        <v>486</v>
      </c>
      <c r="B168" s="2" t="s">
        <v>116</v>
      </c>
      <c r="C168">
        <v>21</v>
      </c>
    </row>
    <row r="169" spans="1:3">
      <c r="A169" t="s">
        <v>486</v>
      </c>
      <c r="B169" s="2" t="s">
        <v>52</v>
      </c>
      <c r="C169">
        <v>21</v>
      </c>
    </row>
    <row r="170" spans="1:3">
      <c r="A170" t="s">
        <v>486</v>
      </c>
      <c r="B170" s="2" t="s">
        <v>117</v>
      </c>
      <c r="C170">
        <v>21</v>
      </c>
    </row>
    <row r="171" spans="1:3">
      <c r="A171" t="s">
        <v>486</v>
      </c>
      <c r="B171" s="2" t="s">
        <v>118</v>
      </c>
      <c r="C171">
        <v>26</v>
      </c>
    </row>
    <row r="172" spans="1:3">
      <c r="A172" t="s">
        <v>486</v>
      </c>
      <c r="B172" s="2" t="s">
        <v>169</v>
      </c>
      <c r="C172">
        <v>21</v>
      </c>
    </row>
    <row r="173" spans="1:3">
      <c r="A173" t="s">
        <v>486</v>
      </c>
      <c r="B173" s="2" t="s">
        <v>174</v>
      </c>
      <c r="C173">
        <v>26</v>
      </c>
    </row>
    <row r="174" spans="1:3">
      <c r="A174" t="s">
        <v>486</v>
      </c>
      <c r="B174" s="2" t="s">
        <v>162</v>
      </c>
      <c r="C174">
        <v>26</v>
      </c>
    </row>
    <row r="175" spans="1:3">
      <c r="A175" t="s">
        <v>486</v>
      </c>
      <c r="B175" s="2" t="s">
        <v>51</v>
      </c>
      <c r="C175">
        <v>31</v>
      </c>
    </row>
    <row r="176" spans="1:3">
      <c r="A176" t="s">
        <v>486</v>
      </c>
      <c r="B176" s="2" t="s">
        <v>50</v>
      </c>
      <c r="C176">
        <v>31</v>
      </c>
    </row>
    <row r="177" spans="1:3">
      <c r="A177" t="s">
        <v>486</v>
      </c>
      <c r="B177" t="s">
        <v>150</v>
      </c>
      <c r="C177">
        <v>31</v>
      </c>
    </row>
    <row r="178" spans="1:3">
      <c r="A178" t="s">
        <v>486</v>
      </c>
      <c r="B178" t="s">
        <v>94</v>
      </c>
      <c r="C178">
        <v>51</v>
      </c>
    </row>
    <row r="179" spans="1:3">
      <c r="A179" t="s">
        <v>486</v>
      </c>
      <c r="B179" t="s">
        <v>93</v>
      </c>
      <c r="C179">
        <v>31</v>
      </c>
    </row>
    <row r="180" spans="1:3">
      <c r="A180" t="s">
        <v>486</v>
      </c>
      <c r="B180" t="s">
        <v>13</v>
      </c>
      <c r="C180">
        <v>31</v>
      </c>
    </row>
    <row r="181" spans="1:3">
      <c r="A181" t="s">
        <v>486</v>
      </c>
      <c r="B181" t="s">
        <v>14</v>
      </c>
      <c r="C181">
        <v>41</v>
      </c>
    </row>
    <row r="182" spans="1:3">
      <c r="A182" t="s">
        <v>486</v>
      </c>
      <c r="B182" t="s">
        <v>49</v>
      </c>
      <c r="C182">
        <v>31</v>
      </c>
    </row>
    <row r="183" spans="1:3">
      <c r="A183" t="s">
        <v>486</v>
      </c>
      <c r="B183" s="2" t="s">
        <v>124</v>
      </c>
      <c r="C183">
        <v>16</v>
      </c>
    </row>
    <row r="184" spans="1:3">
      <c r="A184" t="s">
        <v>486</v>
      </c>
      <c r="B184" s="2" t="s">
        <v>53</v>
      </c>
      <c r="C184">
        <v>16</v>
      </c>
    </row>
    <row r="185" spans="1:3">
      <c r="A185" t="s">
        <v>486</v>
      </c>
      <c r="B185" s="2" t="s">
        <v>125</v>
      </c>
      <c r="C185">
        <v>16</v>
      </c>
    </row>
    <row r="186" spans="1:3">
      <c r="A186" t="s">
        <v>486</v>
      </c>
      <c r="B186" s="2" t="s">
        <v>119</v>
      </c>
      <c r="C186">
        <v>26</v>
      </c>
    </row>
    <row r="187" spans="1:3">
      <c r="A187" t="s">
        <v>486</v>
      </c>
      <c r="B187" s="2" t="s">
        <v>120</v>
      </c>
      <c r="C187">
        <v>31</v>
      </c>
    </row>
    <row r="188" spans="1:3">
      <c r="A188" t="s">
        <v>486</v>
      </c>
      <c r="B188" s="2" t="s">
        <v>55</v>
      </c>
      <c r="C188">
        <v>16</v>
      </c>
    </row>
    <row r="189" spans="1:3">
      <c r="A189" t="s">
        <v>486</v>
      </c>
      <c r="B189" s="2" t="s">
        <v>114</v>
      </c>
      <c r="C189">
        <v>21</v>
      </c>
    </row>
    <row r="190" spans="1:3">
      <c r="A190" t="s">
        <v>486</v>
      </c>
      <c r="B190" s="2" t="s">
        <v>54</v>
      </c>
      <c r="C190">
        <v>21</v>
      </c>
    </row>
    <row r="191" spans="1:3">
      <c r="A191" t="s">
        <v>486</v>
      </c>
      <c r="B191" s="2" t="s">
        <v>115</v>
      </c>
      <c r="C191">
        <v>21</v>
      </c>
    </row>
    <row r="192" spans="1:3">
      <c r="A192" t="s">
        <v>486</v>
      </c>
      <c r="B192" s="2" t="s">
        <v>175</v>
      </c>
      <c r="C192">
        <v>21</v>
      </c>
    </row>
    <row r="193" spans="1:3">
      <c r="A193" t="s">
        <v>486</v>
      </c>
      <c r="B193" s="2" t="s">
        <v>173</v>
      </c>
      <c r="C193">
        <v>21</v>
      </c>
    </row>
    <row r="194" spans="1:3">
      <c r="A194" t="s">
        <v>486</v>
      </c>
      <c r="B194" t="s">
        <v>77</v>
      </c>
      <c r="C194">
        <v>31</v>
      </c>
    </row>
    <row r="195" spans="1:3">
      <c r="A195" t="s">
        <v>486</v>
      </c>
      <c r="B195" t="s">
        <v>76</v>
      </c>
      <c r="C195">
        <v>31</v>
      </c>
    </row>
    <row r="196" spans="1:3">
      <c r="A196" t="s">
        <v>486</v>
      </c>
      <c r="B196" t="s">
        <v>75</v>
      </c>
      <c r="C196">
        <v>31</v>
      </c>
    </row>
    <row r="197" spans="1:3">
      <c r="A197" t="s">
        <v>486</v>
      </c>
      <c r="B197" t="s">
        <v>78</v>
      </c>
      <c r="C197">
        <v>31</v>
      </c>
    </row>
    <row r="198" spans="1:3">
      <c r="A198" t="s">
        <v>486</v>
      </c>
      <c r="B198" t="s">
        <v>79</v>
      </c>
      <c r="C198">
        <v>31</v>
      </c>
    </row>
    <row r="199" spans="1:3">
      <c r="A199" t="s">
        <v>486</v>
      </c>
      <c r="B199" t="s">
        <v>145</v>
      </c>
      <c r="C199">
        <v>101</v>
      </c>
    </row>
    <row r="200" spans="1:3">
      <c r="A200" t="s">
        <v>486</v>
      </c>
      <c r="B200" t="s">
        <v>87</v>
      </c>
      <c r="C200">
        <v>31</v>
      </c>
    </row>
    <row r="201" spans="1:3">
      <c r="A201" t="s">
        <v>486</v>
      </c>
      <c r="B201" t="s">
        <v>92</v>
      </c>
      <c r="C201">
        <v>41</v>
      </c>
    </row>
    <row r="202" spans="1:3">
      <c r="A202" t="s">
        <v>486</v>
      </c>
      <c r="B202" t="s">
        <v>89</v>
      </c>
      <c r="C202">
        <v>81</v>
      </c>
    </row>
    <row r="203" spans="1:3">
      <c r="A203" t="s">
        <v>486</v>
      </c>
      <c r="B203" t="s">
        <v>90</v>
      </c>
      <c r="C203">
        <v>81</v>
      </c>
    </row>
    <row r="204" spans="1:3">
      <c r="A204" t="s">
        <v>486</v>
      </c>
      <c r="B204" t="s">
        <v>91</v>
      </c>
      <c r="C204">
        <v>21</v>
      </c>
    </row>
    <row r="205" spans="1:3">
      <c r="A205" t="s">
        <v>486</v>
      </c>
      <c r="B205" t="s">
        <v>158</v>
      </c>
      <c r="C205">
        <v>21</v>
      </c>
    </row>
    <row r="206" spans="1:3">
      <c r="A206" t="s">
        <v>486</v>
      </c>
      <c r="B206" t="s">
        <v>159</v>
      </c>
      <c r="C206">
        <v>21</v>
      </c>
    </row>
    <row r="207" spans="1:3">
      <c r="A207" t="s">
        <v>486</v>
      </c>
      <c r="B207" t="s">
        <v>81</v>
      </c>
      <c r="C207">
        <v>21</v>
      </c>
    </row>
    <row r="208" spans="1:3">
      <c r="A208" t="s">
        <v>486</v>
      </c>
      <c r="B208" t="s">
        <v>80</v>
      </c>
      <c r="C208">
        <v>21</v>
      </c>
    </row>
    <row r="209" spans="1:3">
      <c r="A209" t="s">
        <v>486</v>
      </c>
      <c r="B209" t="s">
        <v>82</v>
      </c>
      <c r="C209">
        <v>21</v>
      </c>
    </row>
    <row r="210" spans="1:3">
      <c r="A210" t="s">
        <v>486</v>
      </c>
      <c r="B210" t="s">
        <v>151</v>
      </c>
      <c r="C210">
        <v>21</v>
      </c>
    </row>
    <row r="211" spans="1:3">
      <c r="A211" t="s">
        <v>486</v>
      </c>
      <c r="B211" t="s">
        <v>152</v>
      </c>
      <c r="C211">
        <v>21</v>
      </c>
    </row>
    <row r="212" spans="1:3">
      <c r="A212" t="s">
        <v>486</v>
      </c>
      <c r="B212" t="s">
        <v>153</v>
      </c>
      <c r="C212">
        <v>21</v>
      </c>
    </row>
    <row r="213" spans="1:3">
      <c r="A213" t="s">
        <v>486</v>
      </c>
      <c r="B213" t="s">
        <v>84</v>
      </c>
      <c r="C213">
        <v>21</v>
      </c>
    </row>
    <row r="214" spans="1:3">
      <c r="A214" t="s">
        <v>486</v>
      </c>
      <c r="B214" t="s">
        <v>83</v>
      </c>
      <c r="C214">
        <v>21</v>
      </c>
    </row>
    <row r="215" spans="1:3">
      <c r="A215" t="s">
        <v>486</v>
      </c>
      <c r="B215" t="s">
        <v>85</v>
      </c>
      <c r="C215">
        <v>21</v>
      </c>
    </row>
    <row r="216" spans="1:3">
      <c r="A216" t="s">
        <v>486</v>
      </c>
      <c r="B216" t="s">
        <v>112</v>
      </c>
      <c r="C216">
        <v>31</v>
      </c>
    </row>
    <row r="217" spans="1:3">
      <c r="A217" t="s">
        <v>486</v>
      </c>
      <c r="B217" t="s">
        <v>113</v>
      </c>
      <c r="C217">
        <v>31</v>
      </c>
    </row>
    <row r="218" spans="1:3">
      <c r="A218" t="s">
        <v>486</v>
      </c>
      <c r="B218" t="s">
        <v>149</v>
      </c>
      <c r="C218">
        <v>31</v>
      </c>
    </row>
    <row r="219" spans="1:3">
      <c r="A219" t="s">
        <v>486</v>
      </c>
      <c r="B219" t="s">
        <v>181</v>
      </c>
      <c r="C219">
        <v>101</v>
      </c>
    </row>
    <row r="220" spans="1:3">
      <c r="A220" t="s">
        <v>486</v>
      </c>
      <c r="B220" t="s">
        <v>179</v>
      </c>
      <c r="C220">
        <v>31</v>
      </c>
    </row>
    <row r="221" spans="1:3">
      <c r="A221" t="s">
        <v>486</v>
      </c>
      <c r="B221" t="s">
        <v>180</v>
      </c>
      <c r="C221">
        <v>31</v>
      </c>
    </row>
    <row r="222" spans="1:3">
      <c r="A222" t="s">
        <v>486</v>
      </c>
      <c r="B222" t="s">
        <v>205</v>
      </c>
      <c r="C222">
        <v>26</v>
      </c>
    </row>
    <row r="223" spans="1:3">
      <c r="A223" t="s">
        <v>486</v>
      </c>
      <c r="B223" t="s">
        <v>192</v>
      </c>
      <c r="C223">
        <v>26</v>
      </c>
    </row>
    <row r="224" spans="1:3">
      <c r="A224" t="s">
        <v>486</v>
      </c>
      <c r="B224" t="s">
        <v>187</v>
      </c>
      <c r="C224">
        <v>26</v>
      </c>
    </row>
    <row r="225" spans="1:3">
      <c r="A225" t="s">
        <v>486</v>
      </c>
      <c r="B225" t="s">
        <v>191</v>
      </c>
      <c r="C225">
        <v>26</v>
      </c>
    </row>
    <row r="226" spans="1:3">
      <c r="A226" t="s">
        <v>486</v>
      </c>
      <c r="B226" t="s">
        <v>188</v>
      </c>
      <c r="C226">
        <v>26</v>
      </c>
    </row>
    <row r="227" spans="1:3">
      <c r="A227" t="s">
        <v>486</v>
      </c>
      <c r="B227" t="s">
        <v>189</v>
      </c>
      <c r="C227">
        <v>26</v>
      </c>
    </row>
    <row r="228" spans="1:3">
      <c r="A228" t="s">
        <v>486</v>
      </c>
      <c r="B228" t="s">
        <v>190</v>
      </c>
      <c r="C228">
        <v>26</v>
      </c>
    </row>
    <row r="229" spans="1:3">
      <c r="A229" t="s">
        <v>486</v>
      </c>
      <c r="B229" t="s">
        <v>213</v>
      </c>
      <c r="C229">
        <v>26</v>
      </c>
    </row>
    <row r="230" spans="1:3">
      <c r="A230" t="s">
        <v>486</v>
      </c>
      <c r="B230" t="s">
        <v>214</v>
      </c>
      <c r="C230">
        <v>26</v>
      </c>
    </row>
    <row r="231" spans="1:3">
      <c r="A231" t="s">
        <v>486</v>
      </c>
      <c r="B231" t="s">
        <v>215</v>
      </c>
      <c r="C231">
        <v>26</v>
      </c>
    </row>
    <row r="232" spans="1:3">
      <c r="A232" t="s">
        <v>486</v>
      </c>
      <c r="B232" t="s">
        <v>216</v>
      </c>
      <c r="C232">
        <v>21</v>
      </c>
    </row>
    <row r="233" spans="1:3">
      <c r="A233" t="s">
        <v>486</v>
      </c>
      <c r="B233" t="s">
        <v>217</v>
      </c>
      <c r="C233">
        <v>21</v>
      </c>
    </row>
    <row r="234" spans="1:3">
      <c r="A234" t="s">
        <v>486</v>
      </c>
      <c r="B234" t="s">
        <v>196</v>
      </c>
      <c r="C234">
        <v>41</v>
      </c>
    </row>
    <row r="235" spans="1:3">
      <c r="A235" t="s">
        <v>486</v>
      </c>
      <c r="B235" t="s">
        <v>206</v>
      </c>
      <c r="C235">
        <v>26</v>
      </c>
    </row>
    <row r="236" spans="1:3">
      <c r="A236" t="s">
        <v>486</v>
      </c>
      <c r="B236" t="s">
        <v>207</v>
      </c>
      <c r="C236">
        <v>26</v>
      </c>
    </row>
    <row r="237" spans="1:3">
      <c r="A237" t="s">
        <v>486</v>
      </c>
      <c r="B237" t="s">
        <v>197</v>
      </c>
      <c r="C237">
        <v>26</v>
      </c>
    </row>
    <row r="238" spans="1:3">
      <c r="A238" t="s">
        <v>486</v>
      </c>
      <c r="B238" t="s">
        <v>198</v>
      </c>
      <c r="C238">
        <v>26</v>
      </c>
    </row>
    <row r="239" spans="1:3">
      <c r="A239" t="s">
        <v>486</v>
      </c>
      <c r="B239" t="s">
        <v>199</v>
      </c>
      <c r="C239">
        <v>26</v>
      </c>
    </row>
    <row r="240" spans="1:3">
      <c r="A240" t="s">
        <v>486</v>
      </c>
      <c r="B240" t="s">
        <v>200</v>
      </c>
      <c r="C240">
        <v>26</v>
      </c>
    </row>
    <row r="241" spans="1:3">
      <c r="A241" t="s">
        <v>486</v>
      </c>
      <c r="B241" t="s">
        <v>201</v>
      </c>
      <c r="C241">
        <v>26</v>
      </c>
    </row>
    <row r="242" spans="1:3">
      <c r="A242" t="s">
        <v>486</v>
      </c>
      <c r="B242" t="s">
        <v>202</v>
      </c>
      <c r="C242">
        <v>26</v>
      </c>
    </row>
    <row r="243" spans="1:3">
      <c r="A243" t="s">
        <v>486</v>
      </c>
      <c r="B243" t="s">
        <v>230</v>
      </c>
      <c r="C243">
        <v>26</v>
      </c>
    </row>
    <row r="244" spans="1:3">
      <c r="A244" t="s">
        <v>486</v>
      </c>
      <c r="B244" t="s">
        <v>219</v>
      </c>
      <c r="C244">
        <v>21</v>
      </c>
    </row>
    <row r="245" spans="1:3">
      <c r="A245" t="s">
        <v>486</v>
      </c>
      <c r="B245" t="s">
        <v>220</v>
      </c>
      <c r="C245">
        <v>31</v>
      </c>
    </row>
    <row r="246" spans="1:3">
      <c r="A246" t="s">
        <v>486</v>
      </c>
      <c r="B246" t="s">
        <v>203</v>
      </c>
      <c r="C246">
        <v>41</v>
      </c>
    </row>
    <row r="247" spans="1:3">
      <c r="A247" t="s">
        <v>486</v>
      </c>
      <c r="B247" t="s">
        <v>208</v>
      </c>
      <c r="C247">
        <v>21</v>
      </c>
    </row>
    <row r="248" spans="1:3">
      <c r="A248" t="s">
        <v>486</v>
      </c>
      <c r="B248" t="s">
        <v>204</v>
      </c>
      <c r="C248">
        <v>31</v>
      </c>
    </row>
    <row r="249" spans="1:3">
      <c r="A249" t="s">
        <v>486</v>
      </c>
      <c r="B249" t="s">
        <v>218</v>
      </c>
      <c r="C249">
        <v>26</v>
      </c>
    </row>
    <row r="250" spans="1:3">
      <c r="A250" t="s">
        <v>486</v>
      </c>
      <c r="B250" s="15" t="s">
        <v>211</v>
      </c>
      <c r="C250">
        <v>31</v>
      </c>
    </row>
    <row r="251" spans="1:3">
      <c r="A251" t="s">
        <v>486</v>
      </c>
      <c r="B251" s="15" t="s">
        <v>222</v>
      </c>
      <c r="C251">
        <v>31</v>
      </c>
    </row>
    <row r="252" spans="1:3">
      <c r="A252" t="s">
        <v>486</v>
      </c>
      <c r="B252" s="15" t="s">
        <v>209</v>
      </c>
      <c r="C252">
        <v>31</v>
      </c>
    </row>
    <row r="253" spans="1:3">
      <c r="A253" t="s">
        <v>486</v>
      </c>
      <c r="B253" s="15" t="s">
        <v>210</v>
      </c>
      <c r="C253">
        <v>31</v>
      </c>
    </row>
    <row r="254" spans="1:3">
      <c r="A254" t="s">
        <v>486</v>
      </c>
      <c r="B254" s="15" t="s">
        <v>221</v>
      </c>
      <c r="C254">
        <v>31</v>
      </c>
    </row>
    <row r="255" spans="1:3">
      <c r="A255" t="s">
        <v>486</v>
      </c>
      <c r="B255" s="15" t="s">
        <v>212</v>
      </c>
      <c r="C255">
        <v>31</v>
      </c>
    </row>
    <row r="256" spans="1:3">
      <c r="A256" t="s">
        <v>486</v>
      </c>
      <c r="B256" t="s">
        <v>224</v>
      </c>
      <c r="C256">
        <v>26</v>
      </c>
    </row>
    <row r="257" spans="1:3">
      <c r="A257" t="s">
        <v>486</v>
      </c>
      <c r="B257" t="s">
        <v>225</v>
      </c>
      <c r="C257">
        <v>21</v>
      </c>
    </row>
    <row r="258" spans="1:3">
      <c r="A258" t="s">
        <v>486</v>
      </c>
      <c r="B258" t="s">
        <v>226</v>
      </c>
      <c r="C258">
        <v>21</v>
      </c>
    </row>
    <row r="259" spans="1:3">
      <c r="A259" t="s">
        <v>486</v>
      </c>
      <c r="B259" t="s">
        <v>227</v>
      </c>
      <c r="C259">
        <v>21</v>
      </c>
    </row>
    <row r="260" spans="1:3">
      <c r="A260" t="s">
        <v>486</v>
      </c>
      <c r="B260" t="s">
        <v>228</v>
      </c>
      <c r="C260">
        <v>21</v>
      </c>
    </row>
    <row r="261" spans="1:3">
      <c r="A261" t="s">
        <v>486</v>
      </c>
      <c r="B261" t="s">
        <v>229</v>
      </c>
      <c r="C261">
        <v>26</v>
      </c>
    </row>
    <row r="262" spans="1:3">
      <c r="A262" t="s">
        <v>486</v>
      </c>
      <c r="B262" t="s">
        <v>235</v>
      </c>
      <c r="C262">
        <v>21</v>
      </c>
    </row>
    <row r="263" spans="1:3">
      <c r="A263" t="s">
        <v>486</v>
      </c>
      <c r="B263" t="s">
        <v>236</v>
      </c>
      <c r="C263">
        <v>21</v>
      </c>
    </row>
    <row r="264" spans="1:3">
      <c r="A264" t="s">
        <v>486</v>
      </c>
      <c r="B264" t="s">
        <v>248</v>
      </c>
      <c r="C264">
        <v>26</v>
      </c>
    </row>
    <row r="265" spans="1:3">
      <c r="A265" t="s">
        <v>486</v>
      </c>
      <c r="B265" t="s">
        <v>242</v>
      </c>
      <c r="C265">
        <v>31</v>
      </c>
    </row>
    <row r="266" spans="1:3">
      <c r="A266" t="s">
        <v>486</v>
      </c>
      <c r="B266" t="s">
        <v>243</v>
      </c>
      <c r="C266">
        <v>26</v>
      </c>
    </row>
    <row r="267" spans="1:3">
      <c r="A267" t="s">
        <v>486</v>
      </c>
      <c r="B267" t="s">
        <v>249</v>
      </c>
      <c r="C267">
        <v>26</v>
      </c>
    </row>
    <row r="268" spans="1:3">
      <c r="A268" t="s">
        <v>486</v>
      </c>
      <c r="B268" t="s">
        <v>240</v>
      </c>
      <c r="C268">
        <v>26</v>
      </c>
    </row>
    <row r="269" spans="1:3">
      <c r="A269" t="s">
        <v>486</v>
      </c>
      <c r="B269" t="s">
        <v>241</v>
      </c>
      <c r="C269">
        <v>26</v>
      </c>
    </row>
    <row r="270" spans="1:3">
      <c r="A270" t="s">
        <v>486</v>
      </c>
      <c r="B270" t="s">
        <v>244</v>
      </c>
      <c r="C270">
        <v>26</v>
      </c>
    </row>
    <row r="271" spans="1:3">
      <c r="A271" t="s">
        <v>486</v>
      </c>
      <c r="B271" t="s">
        <v>245</v>
      </c>
      <c r="C271">
        <v>31</v>
      </c>
    </row>
    <row r="272" spans="1:3">
      <c r="A272" t="s">
        <v>486</v>
      </c>
      <c r="B272" t="s">
        <v>237</v>
      </c>
      <c r="C272">
        <v>51</v>
      </c>
    </row>
    <row r="273" spans="1:3">
      <c r="A273" t="s">
        <v>486</v>
      </c>
      <c r="B273" t="s">
        <v>238</v>
      </c>
      <c r="C273">
        <v>51</v>
      </c>
    </row>
    <row r="274" spans="1:3">
      <c r="A274" t="s">
        <v>486</v>
      </c>
      <c r="B274" t="s">
        <v>239</v>
      </c>
      <c r="C274">
        <v>41</v>
      </c>
    </row>
    <row r="275" spans="1:3">
      <c r="A275" t="s">
        <v>486</v>
      </c>
      <c r="B275" t="s">
        <v>246</v>
      </c>
      <c r="C275">
        <v>21</v>
      </c>
    </row>
    <row r="276" spans="1:3">
      <c r="A276" t="s">
        <v>486</v>
      </c>
      <c r="B276" t="s">
        <v>247</v>
      </c>
      <c r="C276">
        <v>21</v>
      </c>
    </row>
    <row r="277" spans="1:3">
      <c r="A277" t="s">
        <v>486</v>
      </c>
      <c r="B277" t="s">
        <v>250</v>
      </c>
      <c r="C277">
        <v>21</v>
      </c>
    </row>
    <row r="278" spans="1:3">
      <c r="A278" t="s">
        <v>486</v>
      </c>
      <c r="B278" t="s">
        <v>251</v>
      </c>
      <c r="C278">
        <v>100</v>
      </c>
    </row>
    <row r="279" spans="1:3">
      <c r="A279" t="s">
        <v>486</v>
      </c>
      <c r="B279" t="s">
        <v>253</v>
      </c>
      <c r="C279">
        <v>36</v>
      </c>
    </row>
    <row r="280" spans="1:3">
      <c r="A280" t="s">
        <v>486</v>
      </c>
      <c r="B280" t="s">
        <v>254</v>
      </c>
      <c r="C280">
        <v>36</v>
      </c>
    </row>
    <row r="281" spans="1:3">
      <c r="A281" t="s">
        <v>486</v>
      </c>
      <c r="B281" t="s">
        <v>255</v>
      </c>
      <c r="C281">
        <v>31</v>
      </c>
    </row>
    <row r="282" spans="1:3">
      <c r="A282" t="s">
        <v>486</v>
      </c>
      <c r="B282" t="s">
        <v>281</v>
      </c>
      <c r="C282">
        <v>21</v>
      </c>
    </row>
    <row r="283" spans="1:3">
      <c r="A283" t="s">
        <v>486</v>
      </c>
      <c r="B283" t="s">
        <v>287</v>
      </c>
      <c r="C283">
        <v>101</v>
      </c>
    </row>
    <row r="284" spans="1:3">
      <c r="A284" t="s">
        <v>486</v>
      </c>
      <c r="B284" t="s">
        <v>282</v>
      </c>
      <c r="C284">
        <v>101</v>
      </c>
    </row>
    <row r="285" spans="1:3">
      <c r="A285" t="s">
        <v>486</v>
      </c>
      <c r="B285" t="s">
        <v>285</v>
      </c>
      <c r="C285">
        <v>101</v>
      </c>
    </row>
    <row r="286" spans="1:3">
      <c r="A286" t="s">
        <v>486</v>
      </c>
      <c r="B286" t="s">
        <v>284</v>
      </c>
      <c r="C286">
        <v>101</v>
      </c>
    </row>
    <row r="287" spans="1:3">
      <c r="A287" t="s">
        <v>486</v>
      </c>
      <c r="B287" t="s">
        <v>286</v>
      </c>
      <c r="C287">
        <v>101</v>
      </c>
    </row>
    <row r="288" spans="1:3">
      <c r="A288" t="s">
        <v>486</v>
      </c>
      <c r="B288" t="s">
        <v>283</v>
      </c>
      <c r="C288">
        <v>101</v>
      </c>
    </row>
    <row r="289" spans="1:6">
      <c r="A289" t="s">
        <v>486</v>
      </c>
      <c r="B289" s="2" t="s">
        <v>291</v>
      </c>
      <c r="C289">
        <v>41</v>
      </c>
    </row>
    <row r="290" spans="1:6">
      <c r="A290" t="s">
        <v>486</v>
      </c>
      <c r="B290" s="2" t="s">
        <v>292</v>
      </c>
      <c r="C290">
        <v>41</v>
      </c>
    </row>
    <row r="291" spans="1:6">
      <c r="A291" t="s">
        <v>486</v>
      </c>
      <c r="B291" s="2" t="s">
        <v>297</v>
      </c>
      <c r="C291">
        <v>21</v>
      </c>
    </row>
    <row r="292" spans="1:6">
      <c r="A292" t="s">
        <v>486</v>
      </c>
      <c r="B292" s="2" t="s">
        <v>298</v>
      </c>
      <c r="C292">
        <v>31</v>
      </c>
    </row>
    <row r="293" spans="1:6">
      <c r="A293" t="s">
        <v>486</v>
      </c>
      <c r="B293" s="2" t="s">
        <v>299</v>
      </c>
      <c r="C293">
        <v>21</v>
      </c>
    </row>
    <row r="294" spans="1:6">
      <c r="A294" t="s">
        <v>486</v>
      </c>
      <c r="B294" t="s">
        <v>310</v>
      </c>
      <c r="C294">
        <v>31</v>
      </c>
    </row>
    <row r="295" spans="1:6">
      <c r="A295" t="s">
        <v>486</v>
      </c>
      <c r="B295" s="2" t="s">
        <v>312</v>
      </c>
      <c r="C295">
        <v>21</v>
      </c>
    </row>
    <row r="296" spans="1:6">
      <c r="A296" t="s">
        <v>486</v>
      </c>
      <c r="B296" s="2" t="s">
        <v>313</v>
      </c>
      <c r="C296">
        <v>21</v>
      </c>
    </row>
    <row r="297" spans="1:6">
      <c r="A297" t="s">
        <v>486</v>
      </c>
      <c r="B297" s="2" t="s">
        <v>314</v>
      </c>
      <c r="C297">
        <v>101</v>
      </c>
    </row>
    <row r="298" spans="1:6">
      <c r="A298" t="s">
        <v>486</v>
      </c>
      <c r="B298" t="s">
        <v>315</v>
      </c>
      <c r="C298">
        <v>101</v>
      </c>
    </row>
    <row r="299" spans="1:6">
      <c r="A299" t="s">
        <v>486</v>
      </c>
      <c r="B299" t="s">
        <v>316</v>
      </c>
      <c r="C299">
        <v>101</v>
      </c>
    </row>
    <row r="300" spans="1:6">
      <c r="A300" t="s">
        <v>486</v>
      </c>
      <c r="B300" t="s">
        <v>429</v>
      </c>
      <c r="C300">
        <v>31</v>
      </c>
    </row>
    <row r="301" spans="1:6">
      <c r="A301" t="s">
        <v>486</v>
      </c>
      <c r="B301" t="s">
        <v>431</v>
      </c>
      <c r="C301">
        <v>31</v>
      </c>
    </row>
    <row r="302" spans="1:6">
      <c r="A302" t="s">
        <v>486</v>
      </c>
      <c r="B302" t="s">
        <v>430</v>
      </c>
      <c r="C302">
        <v>31</v>
      </c>
    </row>
    <row r="303" spans="1:6">
      <c r="A303" t="s">
        <v>486</v>
      </c>
      <c r="B303" t="s">
        <v>416</v>
      </c>
      <c r="C303">
        <v>31</v>
      </c>
      <c r="E303" t="s">
        <v>449</v>
      </c>
      <c r="F303" t="s">
        <v>450</v>
      </c>
    </row>
    <row r="304" spans="1:6">
      <c r="A304" t="s">
        <v>486</v>
      </c>
      <c r="B304" t="s">
        <v>95</v>
      </c>
      <c r="C304">
        <v>31</v>
      </c>
      <c r="E304" t="s">
        <v>449</v>
      </c>
      <c r="F304" t="s">
        <v>450</v>
      </c>
    </row>
    <row r="305" spans="1:6">
      <c r="A305" t="s">
        <v>486</v>
      </c>
      <c r="B305" t="s">
        <v>96</v>
      </c>
      <c r="C305">
        <v>31</v>
      </c>
      <c r="E305" t="s">
        <v>449</v>
      </c>
      <c r="F305" t="s">
        <v>450</v>
      </c>
    </row>
    <row r="306" spans="1:6">
      <c r="A306" t="s">
        <v>486</v>
      </c>
      <c r="B306" t="s">
        <v>422</v>
      </c>
      <c r="C306">
        <v>26</v>
      </c>
      <c r="E306" t="s">
        <v>449</v>
      </c>
      <c r="F306" t="s">
        <v>450</v>
      </c>
    </row>
    <row r="307" spans="1:6">
      <c r="A307" t="s">
        <v>486</v>
      </c>
      <c r="B307" t="s">
        <v>420</v>
      </c>
      <c r="C307">
        <v>26</v>
      </c>
      <c r="E307" t="s">
        <v>449</v>
      </c>
      <c r="F307" t="s">
        <v>450</v>
      </c>
    </row>
    <row r="308" spans="1:6">
      <c r="A308" t="s">
        <v>486</v>
      </c>
      <c r="B308" t="s">
        <v>424</v>
      </c>
      <c r="C308">
        <v>26</v>
      </c>
      <c r="E308" t="s">
        <v>449</v>
      </c>
      <c r="F308" t="s">
        <v>450</v>
      </c>
    </row>
    <row r="309" spans="1:6">
      <c r="A309" t="s">
        <v>486</v>
      </c>
      <c r="B309" t="s">
        <v>417</v>
      </c>
      <c r="C309">
        <v>31</v>
      </c>
      <c r="E309" t="s">
        <v>449</v>
      </c>
      <c r="F309" t="s">
        <v>450</v>
      </c>
    </row>
    <row r="310" spans="1:6">
      <c r="A310" t="s">
        <v>486</v>
      </c>
      <c r="B310" t="s">
        <v>418</v>
      </c>
      <c r="C310">
        <v>31</v>
      </c>
      <c r="E310" t="s">
        <v>449</v>
      </c>
      <c r="F310" t="s">
        <v>450</v>
      </c>
    </row>
    <row r="311" spans="1:6">
      <c r="A311" t="s">
        <v>486</v>
      </c>
      <c r="B311" t="s">
        <v>419</v>
      </c>
      <c r="C311">
        <v>31</v>
      </c>
      <c r="E311" t="s">
        <v>449</v>
      </c>
      <c r="F311" t="s">
        <v>450</v>
      </c>
    </row>
    <row r="312" spans="1:6">
      <c r="A312" t="s">
        <v>486</v>
      </c>
      <c r="B312" t="s">
        <v>423</v>
      </c>
      <c r="C312">
        <v>26</v>
      </c>
      <c r="E312" t="s">
        <v>449</v>
      </c>
      <c r="F312" t="s">
        <v>450</v>
      </c>
    </row>
    <row r="313" spans="1:6">
      <c r="A313" t="s">
        <v>486</v>
      </c>
      <c r="B313" t="s">
        <v>421</v>
      </c>
      <c r="C313">
        <v>26</v>
      </c>
      <c r="E313" t="s">
        <v>449</v>
      </c>
      <c r="F313" t="s">
        <v>450</v>
      </c>
    </row>
    <row r="314" spans="1:6">
      <c r="A314" t="s">
        <v>486</v>
      </c>
      <c r="B314" t="s">
        <v>425</v>
      </c>
      <c r="C314">
        <v>31</v>
      </c>
      <c r="E314" t="s">
        <v>451</v>
      </c>
    </row>
    <row r="315" spans="1:6">
      <c r="A315" t="s">
        <v>486</v>
      </c>
      <c r="B315" t="s">
        <v>427</v>
      </c>
      <c r="C315">
        <v>100</v>
      </c>
    </row>
    <row r="316" spans="1:6">
      <c r="A316" t="s">
        <v>486</v>
      </c>
      <c r="B316" t="s">
        <v>428</v>
      </c>
      <c r="C316">
        <v>100</v>
      </c>
    </row>
    <row r="317" spans="1:6">
      <c r="A317" t="s">
        <v>486</v>
      </c>
      <c r="B317" t="s">
        <v>426</v>
      </c>
      <c r="C317">
        <v>31</v>
      </c>
      <c r="E317" t="s">
        <v>452</v>
      </c>
    </row>
    <row r="318" spans="1:6">
      <c r="A318" t="s">
        <v>486</v>
      </c>
      <c r="B318" t="s">
        <v>440</v>
      </c>
      <c r="C318">
        <v>25</v>
      </c>
    </row>
    <row r="319" spans="1:6">
      <c r="A319" s="5" t="s">
        <v>486</v>
      </c>
      <c r="B319" s="2" t="s">
        <v>499</v>
      </c>
      <c r="C319">
        <v>31</v>
      </c>
    </row>
    <row r="320" spans="1:6">
      <c r="A320" s="5" t="s">
        <v>486</v>
      </c>
      <c r="B320" s="2" t="s">
        <v>500</v>
      </c>
      <c r="C320">
        <v>31</v>
      </c>
    </row>
    <row r="321" spans="1:3">
      <c r="A321" t="s">
        <v>486</v>
      </c>
      <c r="B321" s="2" t="s">
        <v>488</v>
      </c>
      <c r="C321">
        <v>31</v>
      </c>
    </row>
    <row r="322" spans="1:3">
      <c r="A322" t="s">
        <v>486</v>
      </c>
      <c r="B322" s="2" t="s">
        <v>489</v>
      </c>
      <c r="C322">
        <v>31</v>
      </c>
    </row>
    <row r="323" spans="1:3">
      <c r="A323" t="s">
        <v>486</v>
      </c>
      <c r="B323" s="2" t="s">
        <v>490</v>
      </c>
      <c r="C323">
        <v>31</v>
      </c>
    </row>
  </sheetData>
  <dataValidations count="2">
    <dataValidation type="list" allowBlank="1" showInputMessage="1" showErrorMessage="1" sqref="B217 B171 B173:B176 B292 B66 B20 B22:B25 B141" xr:uid="{00000000-0002-0000-2100-000000000000}">
      <formula1>Technologies</formula1>
    </dataValidation>
    <dataValidation type="list" allowBlank="1" showInputMessage="1" showErrorMessage="1" sqref="A128:A130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J5"/>
  <sheetViews>
    <sheetView zoomScaleNormal="100" workbookViewId="0">
      <pane xSplit="1" topLeftCell="B1" activePane="topRight" state="frozen"/>
      <selection pane="topRight" activeCell="D17" sqref="D17"/>
    </sheetView>
  </sheetViews>
  <sheetFormatPr defaultColWidth="11.42578125" defaultRowHeight="15"/>
  <cols>
    <col min="1" max="1" width="11.42578125" style="4"/>
    <col min="2" max="2" width="29.42578125" style="4" customWidth="1"/>
    <col min="3" max="16384" width="11.42578125" style="4"/>
  </cols>
  <sheetData>
    <row r="1" spans="1:10">
      <c r="A1" s="4" t="s">
        <v>388</v>
      </c>
    </row>
    <row r="2" spans="1:10">
      <c r="A2" s="4" t="s">
        <v>47</v>
      </c>
    </row>
    <row r="3" spans="1:10">
      <c r="A3" s="4" t="s">
        <v>371</v>
      </c>
    </row>
    <row r="5" spans="1:10">
      <c r="A5" s="4" t="s">
        <v>11</v>
      </c>
      <c r="B5" s="4" t="s">
        <v>17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/>
  <dimension ref="A1:J271"/>
  <sheetViews>
    <sheetView zoomScaleNormal="100" workbookViewId="0">
      <pane xSplit="1" topLeftCell="B1" activePane="topRight" state="frozen"/>
      <selection pane="topRight" activeCell="B16" sqref="B16"/>
    </sheetView>
  </sheetViews>
  <sheetFormatPr defaultColWidth="11.42578125" defaultRowHeight="15"/>
  <cols>
    <col min="1" max="2" width="27.42578125" style="4" customWidth="1"/>
    <col min="3" max="16384" width="11.42578125" style="4"/>
  </cols>
  <sheetData>
    <row r="1" spans="1:10">
      <c r="A1" s="4" t="s">
        <v>389</v>
      </c>
    </row>
    <row r="2" spans="1:10">
      <c r="A2" s="4" t="s">
        <v>328</v>
      </c>
    </row>
    <row r="3" spans="1:10">
      <c r="A3" s="4" t="s">
        <v>371</v>
      </c>
    </row>
    <row r="5" spans="1:10">
      <c r="A5" s="4" t="s">
        <v>11</v>
      </c>
      <c r="B5" s="4" t="s">
        <v>17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483</v>
      </c>
      <c r="B6" s="4" t="s">
        <v>284</v>
      </c>
      <c r="C6" s="31">
        <v>2</v>
      </c>
      <c r="D6" s="31">
        <v>2</v>
      </c>
      <c r="E6" s="31">
        <v>2</v>
      </c>
      <c r="F6" s="31">
        <v>2</v>
      </c>
      <c r="G6" s="31">
        <v>2</v>
      </c>
      <c r="H6" s="31">
        <v>2</v>
      </c>
      <c r="I6" s="31">
        <v>2</v>
      </c>
      <c r="J6" s="31">
        <v>2</v>
      </c>
    </row>
    <row r="7" spans="1:10">
      <c r="A7" t="s">
        <v>485</v>
      </c>
      <c r="B7" s="4" t="s">
        <v>284</v>
      </c>
      <c r="C7" s="31">
        <v>2</v>
      </c>
      <c r="D7" s="31">
        <v>2</v>
      </c>
      <c r="E7" s="31">
        <v>2</v>
      </c>
      <c r="F7" s="31">
        <v>2</v>
      </c>
      <c r="G7" s="31">
        <v>2</v>
      </c>
      <c r="H7" s="31">
        <v>2</v>
      </c>
      <c r="I7" s="31">
        <v>2</v>
      </c>
      <c r="J7" s="31">
        <v>2</v>
      </c>
    </row>
    <row r="8" spans="1:10">
      <c r="A8" t="s">
        <v>484</v>
      </c>
      <c r="B8" s="4" t="s">
        <v>284</v>
      </c>
      <c r="C8" s="31">
        <v>2</v>
      </c>
      <c r="D8" s="31">
        <v>2</v>
      </c>
      <c r="E8" s="31">
        <v>2</v>
      </c>
      <c r="F8" s="31">
        <v>2</v>
      </c>
      <c r="G8" s="31">
        <v>2</v>
      </c>
      <c r="H8" s="31">
        <v>2</v>
      </c>
      <c r="I8" s="31">
        <v>2</v>
      </c>
      <c r="J8" s="31">
        <v>2</v>
      </c>
    </row>
    <row r="9" spans="1:10">
      <c r="A9" t="s">
        <v>486</v>
      </c>
      <c r="B9" s="4" t="s">
        <v>284</v>
      </c>
      <c r="C9" s="31">
        <v>2</v>
      </c>
      <c r="D9" s="31">
        <v>2</v>
      </c>
      <c r="E9" s="31">
        <v>2</v>
      </c>
      <c r="F9" s="31">
        <v>2</v>
      </c>
      <c r="G9" s="31">
        <v>2</v>
      </c>
      <c r="H9" s="31">
        <v>2</v>
      </c>
      <c r="I9" s="31">
        <v>2</v>
      </c>
      <c r="J9" s="31">
        <v>2</v>
      </c>
    </row>
    <row r="10" spans="1:10">
      <c r="A10" t="s">
        <v>481</v>
      </c>
      <c r="B10" s="4" t="s">
        <v>284</v>
      </c>
      <c r="C10" s="31">
        <v>0.5</v>
      </c>
      <c r="D10" s="31">
        <v>0.5</v>
      </c>
      <c r="E10" s="31">
        <v>0.5</v>
      </c>
      <c r="F10" s="31">
        <v>0.5</v>
      </c>
      <c r="G10" s="31">
        <v>0.5</v>
      </c>
      <c r="H10" s="31">
        <v>0.5</v>
      </c>
      <c r="I10" s="31">
        <v>0.5</v>
      </c>
      <c r="J10" s="31">
        <v>0.5</v>
      </c>
    </row>
    <row r="11" spans="1:10">
      <c r="A11" t="s">
        <v>480</v>
      </c>
      <c r="B11" s="4" t="s">
        <v>284</v>
      </c>
      <c r="C11" s="31">
        <v>0.5</v>
      </c>
      <c r="D11" s="31">
        <v>0.5</v>
      </c>
      <c r="E11" s="31">
        <v>0.5</v>
      </c>
      <c r="F11" s="31">
        <v>0.5</v>
      </c>
      <c r="G11" s="31">
        <v>0.5</v>
      </c>
      <c r="H11" s="31">
        <v>0.5</v>
      </c>
      <c r="I11" s="31">
        <v>0.5</v>
      </c>
      <c r="J11" s="31">
        <v>0.5</v>
      </c>
    </row>
    <row r="12" spans="1:10">
      <c r="A12" t="s">
        <v>482</v>
      </c>
      <c r="B12" s="4" t="s">
        <v>284</v>
      </c>
      <c r="C12" s="31">
        <v>0.5</v>
      </c>
      <c r="D12" s="31">
        <v>0.5</v>
      </c>
      <c r="E12" s="31">
        <v>0.5</v>
      </c>
      <c r="F12" s="31">
        <v>0.5</v>
      </c>
      <c r="G12" s="31">
        <v>0.5</v>
      </c>
      <c r="H12" s="31">
        <v>0.5</v>
      </c>
      <c r="I12" s="31">
        <v>0.5</v>
      </c>
      <c r="J12" s="31">
        <v>0.5</v>
      </c>
    </row>
    <row r="13" spans="1:10">
      <c r="A13" t="s">
        <v>487</v>
      </c>
      <c r="B13" s="4" t="s">
        <v>284</v>
      </c>
      <c r="C13" s="31">
        <v>2</v>
      </c>
      <c r="D13" s="31">
        <v>2</v>
      </c>
      <c r="E13" s="31">
        <v>2</v>
      </c>
      <c r="F13" s="31">
        <v>2</v>
      </c>
      <c r="G13" s="31">
        <v>2</v>
      </c>
      <c r="H13" s="31">
        <v>2</v>
      </c>
      <c r="I13" s="31">
        <v>2</v>
      </c>
      <c r="J13" s="31">
        <v>2</v>
      </c>
    </row>
    <row r="14" spans="1:10">
      <c r="A14"/>
      <c r="C14" s="31"/>
      <c r="D14" s="31"/>
      <c r="E14" s="31"/>
      <c r="F14" s="31"/>
      <c r="G14" s="31"/>
      <c r="H14" s="31"/>
      <c r="I14" s="31"/>
      <c r="J14" s="31"/>
    </row>
    <row r="15" spans="1:10">
      <c r="A15"/>
      <c r="C15" s="31"/>
      <c r="D15" s="31"/>
      <c r="E15" s="31"/>
      <c r="F15" s="31"/>
      <c r="G15" s="31"/>
      <c r="H15" s="31"/>
      <c r="I15" s="31"/>
      <c r="J15" s="31"/>
    </row>
    <row r="16" spans="1:10">
      <c r="A16"/>
      <c r="C16" s="31"/>
      <c r="D16" s="31"/>
      <c r="E16" s="31"/>
      <c r="F16" s="31"/>
      <c r="G16" s="31"/>
      <c r="H16" s="31"/>
      <c r="I16" s="31"/>
      <c r="J16" s="31"/>
    </row>
    <row r="17" spans="1:10">
      <c r="A17"/>
      <c r="C17" s="31"/>
      <c r="D17" s="31"/>
      <c r="E17" s="31"/>
      <c r="F17" s="31"/>
      <c r="G17" s="31"/>
      <c r="H17" s="31"/>
      <c r="I17" s="31"/>
      <c r="J17" s="31"/>
    </row>
    <row r="18" spans="1:10">
      <c r="A18"/>
      <c r="C18" s="31"/>
      <c r="D18" s="31"/>
      <c r="E18" s="31"/>
      <c r="F18" s="31"/>
      <c r="G18" s="31"/>
      <c r="H18" s="31"/>
      <c r="I18" s="31"/>
      <c r="J18" s="31"/>
    </row>
    <row r="19" spans="1:10">
      <c r="A19"/>
      <c r="C19" s="31"/>
      <c r="D19" s="31"/>
      <c r="E19" s="31"/>
      <c r="F19" s="31"/>
      <c r="G19" s="31"/>
      <c r="H19" s="31"/>
      <c r="I19" s="31"/>
      <c r="J19" s="31"/>
    </row>
    <row r="20" spans="1:10">
      <c r="A20"/>
      <c r="C20" s="31"/>
      <c r="D20" s="31"/>
      <c r="E20" s="31"/>
      <c r="F20" s="31"/>
      <c r="G20" s="31"/>
      <c r="H20" s="31"/>
      <c r="I20" s="31"/>
      <c r="J20" s="31"/>
    </row>
    <row r="21" spans="1:10">
      <c r="A21"/>
      <c r="C21" s="31"/>
      <c r="D21" s="31"/>
      <c r="E21" s="31"/>
      <c r="F21" s="31"/>
      <c r="G21" s="31"/>
      <c r="H21" s="31"/>
      <c r="I21" s="31"/>
      <c r="J21" s="31"/>
    </row>
    <row r="22" spans="1:10">
      <c r="A22"/>
      <c r="C22" s="31"/>
      <c r="D22" s="31"/>
      <c r="E22" s="31"/>
      <c r="F22" s="31"/>
      <c r="G22" s="31"/>
      <c r="H22" s="31"/>
      <c r="I22" s="31"/>
      <c r="J22" s="31"/>
    </row>
    <row r="23" spans="1:10">
      <c r="A23"/>
      <c r="C23" s="31"/>
      <c r="D23" s="31"/>
      <c r="E23" s="31"/>
      <c r="F23" s="31"/>
      <c r="G23" s="31"/>
      <c r="H23" s="31"/>
      <c r="I23" s="31"/>
      <c r="J23" s="31"/>
    </row>
    <row r="24" spans="1:10">
      <c r="A24"/>
      <c r="C24" s="31"/>
      <c r="D24" s="31"/>
      <c r="E24" s="31"/>
      <c r="F24" s="31"/>
      <c r="G24" s="31"/>
      <c r="H24" s="31"/>
      <c r="I24" s="31"/>
      <c r="J24" s="31"/>
    </row>
    <row r="25" spans="1:10">
      <c r="A25"/>
      <c r="C25" s="31"/>
      <c r="D25" s="31"/>
      <c r="E25" s="31"/>
      <c r="F25" s="31"/>
      <c r="G25" s="31"/>
      <c r="H25" s="31"/>
      <c r="I25" s="31"/>
      <c r="J25" s="31"/>
    </row>
    <row r="26" spans="1:10">
      <c r="A26"/>
      <c r="C26" s="31"/>
      <c r="D26" s="31"/>
      <c r="E26" s="31"/>
      <c r="F26" s="31"/>
      <c r="G26" s="31"/>
      <c r="H26" s="31"/>
      <c r="I26" s="31"/>
      <c r="J26" s="31"/>
    </row>
    <row r="27" spans="1:10">
      <c r="A27"/>
      <c r="C27" s="31"/>
      <c r="D27" s="31"/>
      <c r="E27" s="31"/>
      <c r="F27" s="31"/>
      <c r="G27" s="31"/>
      <c r="H27" s="31"/>
      <c r="I27" s="31"/>
      <c r="J27" s="31"/>
    </row>
    <row r="28" spans="1:10">
      <c r="A28"/>
      <c r="C28" s="31"/>
      <c r="D28" s="31"/>
      <c r="E28" s="31"/>
      <c r="F28" s="31"/>
      <c r="G28" s="31"/>
      <c r="H28" s="31"/>
      <c r="I28" s="31"/>
      <c r="J28" s="31"/>
    </row>
    <row r="29" spans="1:10">
      <c r="A29"/>
      <c r="C29" s="31"/>
      <c r="D29" s="31"/>
      <c r="E29" s="31"/>
      <c r="F29" s="31"/>
      <c r="G29" s="31"/>
      <c r="H29" s="31"/>
      <c r="I29" s="31"/>
      <c r="J29" s="31"/>
    </row>
    <row r="30" spans="1:10">
      <c r="A30"/>
      <c r="C30" s="31"/>
      <c r="D30" s="31"/>
      <c r="E30" s="31"/>
      <c r="F30" s="31"/>
      <c r="G30" s="31"/>
      <c r="H30" s="31"/>
      <c r="I30" s="31"/>
      <c r="J30" s="31"/>
    </row>
    <row r="31" spans="1:10">
      <c r="A31"/>
      <c r="C31" s="31"/>
      <c r="D31" s="31"/>
      <c r="E31" s="31"/>
      <c r="F31" s="31"/>
      <c r="G31" s="31"/>
      <c r="H31" s="31"/>
      <c r="I31" s="31"/>
      <c r="J31" s="31"/>
    </row>
    <row r="32" spans="1:10">
      <c r="A32"/>
      <c r="C32" s="31"/>
      <c r="D32" s="31"/>
      <c r="E32" s="31"/>
      <c r="F32" s="31"/>
      <c r="G32" s="31"/>
      <c r="H32" s="31"/>
      <c r="I32" s="31"/>
      <c r="J32" s="31"/>
    </row>
    <row r="33" spans="1:10">
      <c r="A33"/>
      <c r="C33" s="31"/>
      <c r="D33" s="31"/>
      <c r="E33" s="31"/>
      <c r="F33" s="31"/>
      <c r="G33" s="31"/>
      <c r="H33" s="31"/>
      <c r="I33" s="31"/>
      <c r="J33" s="31"/>
    </row>
    <row r="34" spans="1:10">
      <c r="A34"/>
      <c r="C34" s="31"/>
      <c r="D34" s="31"/>
      <c r="E34" s="31"/>
      <c r="F34" s="31"/>
      <c r="G34" s="31"/>
      <c r="H34" s="31"/>
      <c r="I34" s="31"/>
      <c r="J34" s="31"/>
    </row>
    <row r="35" spans="1:10">
      <c r="A35"/>
      <c r="C35" s="31"/>
      <c r="D35" s="31"/>
      <c r="E35" s="31"/>
      <c r="F35" s="31"/>
      <c r="G35" s="31"/>
      <c r="H35" s="31"/>
      <c r="I35" s="31"/>
      <c r="J35" s="31"/>
    </row>
    <row r="36" spans="1:10">
      <c r="A36"/>
      <c r="C36" s="31"/>
      <c r="D36" s="31"/>
      <c r="E36" s="31"/>
      <c r="F36" s="31"/>
      <c r="G36" s="31"/>
      <c r="H36" s="31"/>
      <c r="I36" s="31"/>
      <c r="J36" s="31"/>
    </row>
    <row r="37" spans="1:10">
      <c r="A37"/>
      <c r="C37" s="31"/>
      <c r="D37" s="31"/>
      <c r="E37" s="31"/>
      <c r="F37" s="31"/>
      <c r="G37" s="31"/>
      <c r="H37" s="31"/>
      <c r="I37" s="31"/>
      <c r="J37" s="31"/>
    </row>
    <row r="38" spans="1:10">
      <c r="A38"/>
      <c r="C38" s="31"/>
      <c r="D38" s="31"/>
      <c r="E38" s="31"/>
      <c r="F38" s="31"/>
      <c r="G38" s="31"/>
      <c r="H38" s="31"/>
      <c r="I38" s="31"/>
      <c r="J38" s="31"/>
    </row>
    <row r="39" spans="1:10">
      <c r="A39"/>
      <c r="C39" s="31"/>
      <c r="D39" s="31"/>
      <c r="E39" s="31"/>
      <c r="F39" s="31"/>
      <c r="G39" s="31"/>
      <c r="H39" s="31"/>
      <c r="I39" s="31"/>
      <c r="J39" s="31"/>
    </row>
    <row r="40" spans="1:10">
      <c r="A40"/>
      <c r="C40" s="31"/>
      <c r="D40" s="31"/>
      <c r="E40" s="31"/>
      <c r="F40" s="31"/>
      <c r="G40" s="31"/>
      <c r="H40" s="31"/>
      <c r="I40" s="31"/>
      <c r="J40" s="31"/>
    </row>
    <row r="41" spans="1:10">
      <c r="A41"/>
      <c r="C41" s="31"/>
      <c r="D41" s="31"/>
      <c r="E41" s="31"/>
      <c r="F41" s="31"/>
      <c r="G41" s="31"/>
      <c r="H41" s="31"/>
      <c r="I41" s="31"/>
      <c r="J41" s="31"/>
    </row>
    <row r="42" spans="1:10">
      <c r="A42"/>
      <c r="C42" s="31"/>
      <c r="D42" s="31"/>
      <c r="E42" s="31"/>
      <c r="F42" s="31"/>
      <c r="G42" s="31"/>
      <c r="H42" s="31"/>
      <c r="I42" s="31"/>
      <c r="J42" s="31"/>
    </row>
    <row r="43" spans="1:10">
      <c r="A43" s="7"/>
      <c r="C43" s="31"/>
      <c r="D43" s="31"/>
      <c r="E43" s="31"/>
      <c r="F43" s="31"/>
      <c r="G43" s="31"/>
      <c r="H43" s="31"/>
      <c r="I43" s="31"/>
      <c r="J43" s="31"/>
    </row>
    <row r="44" spans="1:10">
      <c r="A44"/>
      <c r="C44" s="31"/>
      <c r="D44" s="31"/>
      <c r="E44" s="31"/>
      <c r="F44" s="31"/>
      <c r="G44" s="31"/>
      <c r="H44" s="31"/>
      <c r="I44" s="31"/>
      <c r="J44" s="31"/>
    </row>
    <row r="45" spans="1:10">
      <c r="A45"/>
      <c r="C45" s="31"/>
      <c r="D45" s="31"/>
      <c r="E45" s="31"/>
      <c r="F45" s="31"/>
      <c r="G45" s="31"/>
      <c r="H45" s="31"/>
      <c r="I45" s="31"/>
      <c r="J45" s="31"/>
    </row>
    <row r="46" spans="1:10">
      <c r="A46"/>
      <c r="C46" s="31"/>
      <c r="D46" s="31"/>
      <c r="E46" s="31"/>
      <c r="F46" s="31"/>
      <c r="G46" s="31"/>
      <c r="H46" s="31"/>
      <c r="I46" s="31"/>
      <c r="J46" s="31"/>
    </row>
    <row r="47" spans="1:10">
      <c r="A47"/>
      <c r="C47" s="31"/>
      <c r="D47" s="31"/>
      <c r="E47" s="31"/>
      <c r="F47" s="31"/>
      <c r="G47" s="31"/>
      <c r="H47" s="31"/>
      <c r="I47" s="31"/>
      <c r="J47" s="31"/>
    </row>
    <row r="48" spans="1:10">
      <c r="A48"/>
      <c r="C48" s="31"/>
      <c r="D48" s="31"/>
      <c r="E48" s="31"/>
      <c r="F48" s="31"/>
      <c r="G48" s="31"/>
      <c r="H48" s="31"/>
      <c r="I48" s="31"/>
      <c r="J48" s="31"/>
    </row>
    <row r="49" spans="1:10">
      <c r="A49"/>
      <c r="C49" s="31"/>
      <c r="D49" s="31"/>
      <c r="E49" s="31"/>
      <c r="F49" s="31"/>
      <c r="G49" s="31"/>
      <c r="H49" s="31"/>
      <c r="I49" s="31"/>
      <c r="J49" s="31"/>
    </row>
    <row r="50" spans="1:10">
      <c r="A50"/>
      <c r="C50" s="31"/>
      <c r="D50" s="31"/>
      <c r="E50" s="31"/>
      <c r="F50" s="31"/>
      <c r="G50" s="31"/>
      <c r="H50" s="31"/>
      <c r="I50" s="31"/>
      <c r="J50" s="31"/>
    </row>
    <row r="51" spans="1:10">
      <c r="A51"/>
      <c r="C51" s="31"/>
      <c r="D51" s="31"/>
      <c r="E51" s="31"/>
      <c r="F51" s="31"/>
      <c r="G51" s="31"/>
      <c r="H51" s="31"/>
      <c r="I51" s="31"/>
      <c r="J51" s="31"/>
    </row>
    <row r="52" spans="1:10">
      <c r="A52"/>
      <c r="C52" s="31"/>
      <c r="D52" s="31"/>
      <c r="E52" s="31"/>
      <c r="F52" s="31"/>
      <c r="G52" s="31"/>
      <c r="H52" s="31"/>
      <c r="I52" s="31"/>
      <c r="J52" s="31"/>
    </row>
    <row r="53" spans="1:10">
      <c r="A53"/>
      <c r="C53" s="31"/>
      <c r="D53" s="31"/>
      <c r="E53" s="31"/>
      <c r="F53" s="31"/>
      <c r="G53" s="31"/>
      <c r="H53" s="31"/>
      <c r="I53" s="31"/>
      <c r="J53" s="31"/>
    </row>
    <row r="54" spans="1:10">
      <c r="A54"/>
      <c r="C54" s="31"/>
      <c r="D54" s="31"/>
      <c r="E54" s="31"/>
      <c r="F54" s="31"/>
      <c r="G54" s="31"/>
      <c r="H54" s="31"/>
      <c r="I54" s="31"/>
      <c r="J54" s="31"/>
    </row>
    <row r="55" spans="1:10">
      <c r="A55"/>
      <c r="C55" s="31"/>
      <c r="D55" s="31"/>
      <c r="E55" s="31"/>
      <c r="F55" s="31"/>
      <c r="G55" s="31"/>
      <c r="H55" s="31"/>
      <c r="I55" s="31"/>
      <c r="J55" s="31"/>
    </row>
    <row r="56" spans="1:10">
      <c r="A56"/>
      <c r="C56" s="31"/>
      <c r="D56" s="31"/>
      <c r="E56" s="31"/>
      <c r="F56" s="31"/>
      <c r="G56" s="31"/>
      <c r="H56" s="31"/>
      <c r="I56" s="31"/>
      <c r="J56" s="31"/>
    </row>
    <row r="57" spans="1:10">
      <c r="A57"/>
      <c r="C57" s="31"/>
      <c r="D57" s="31"/>
      <c r="E57" s="31"/>
      <c r="F57" s="31"/>
      <c r="G57" s="31"/>
      <c r="H57" s="31"/>
      <c r="I57" s="31"/>
      <c r="J57" s="31"/>
    </row>
    <row r="58" spans="1:10">
      <c r="A58"/>
      <c r="C58" s="31"/>
      <c r="D58" s="31"/>
      <c r="E58" s="31"/>
      <c r="F58" s="31"/>
      <c r="G58" s="31"/>
      <c r="H58" s="31"/>
      <c r="I58" s="31"/>
      <c r="J58" s="31"/>
    </row>
    <row r="59" spans="1:10">
      <c r="A59"/>
      <c r="C59" s="31"/>
      <c r="D59" s="31"/>
      <c r="E59" s="31"/>
      <c r="F59" s="31"/>
      <c r="G59" s="31"/>
      <c r="H59" s="31"/>
      <c r="I59" s="31"/>
      <c r="J59" s="31"/>
    </row>
    <row r="60" spans="1:10">
      <c r="A60"/>
      <c r="C60" s="31"/>
      <c r="D60" s="31"/>
      <c r="E60" s="31"/>
      <c r="F60" s="31"/>
      <c r="G60" s="31"/>
      <c r="H60" s="31"/>
      <c r="I60" s="31"/>
      <c r="J60" s="31"/>
    </row>
    <row r="61" spans="1:10">
      <c r="A61"/>
      <c r="C61" s="31"/>
      <c r="D61" s="31"/>
      <c r="E61" s="31"/>
      <c r="F61" s="31"/>
      <c r="G61" s="31"/>
      <c r="H61" s="31"/>
      <c r="I61" s="31"/>
      <c r="J61" s="31"/>
    </row>
    <row r="62" spans="1:10">
      <c r="A62"/>
      <c r="C62" s="31"/>
      <c r="D62" s="31"/>
      <c r="E62" s="31"/>
      <c r="F62" s="31"/>
      <c r="G62" s="31"/>
      <c r="H62" s="31"/>
      <c r="I62" s="31"/>
      <c r="J62" s="31"/>
    </row>
    <row r="63" spans="1:10">
      <c r="A63"/>
      <c r="C63" s="31"/>
      <c r="D63" s="31"/>
      <c r="E63" s="31"/>
      <c r="F63" s="31"/>
      <c r="G63" s="31"/>
      <c r="H63" s="31"/>
      <c r="I63" s="31"/>
      <c r="J63" s="31"/>
    </row>
    <row r="64" spans="1:10">
      <c r="A64"/>
      <c r="C64" s="31"/>
      <c r="D64" s="31"/>
      <c r="E64" s="31"/>
      <c r="F64" s="31"/>
      <c r="G64" s="31"/>
      <c r="H64" s="31"/>
      <c r="I64" s="31"/>
      <c r="J64" s="31"/>
    </row>
    <row r="65" spans="1:10">
      <c r="A65"/>
      <c r="C65" s="31"/>
      <c r="D65" s="31"/>
      <c r="E65" s="31"/>
      <c r="F65" s="31"/>
      <c r="G65" s="31"/>
      <c r="H65" s="31"/>
      <c r="I65" s="31"/>
      <c r="J65" s="31"/>
    </row>
    <row r="66" spans="1:10">
      <c r="A66"/>
      <c r="C66" s="31"/>
      <c r="D66" s="31"/>
      <c r="E66" s="31"/>
      <c r="F66" s="31"/>
      <c r="G66" s="31"/>
      <c r="H66" s="31"/>
      <c r="I66" s="31"/>
      <c r="J66" s="31"/>
    </row>
    <row r="67" spans="1:10">
      <c r="A67"/>
      <c r="C67" s="31"/>
      <c r="D67" s="31"/>
      <c r="E67" s="31"/>
      <c r="F67" s="31"/>
      <c r="G67" s="31"/>
      <c r="H67" s="31"/>
      <c r="I67" s="31"/>
      <c r="J67" s="31"/>
    </row>
    <row r="68" spans="1:10">
      <c r="A68"/>
      <c r="C68" s="31"/>
      <c r="D68" s="31"/>
      <c r="E68" s="31"/>
      <c r="F68" s="31"/>
      <c r="G68" s="31"/>
      <c r="H68" s="31"/>
      <c r="I68" s="31"/>
      <c r="J68" s="31"/>
    </row>
    <row r="69" spans="1:10">
      <c r="A69"/>
      <c r="C69" s="31"/>
      <c r="D69" s="31"/>
      <c r="E69" s="31"/>
      <c r="F69" s="31"/>
      <c r="G69" s="31"/>
      <c r="H69" s="31"/>
      <c r="I69" s="31"/>
      <c r="J69" s="31"/>
    </row>
    <row r="70" spans="1:10">
      <c r="A70"/>
      <c r="C70" s="31"/>
      <c r="D70" s="31"/>
      <c r="E70" s="31"/>
      <c r="F70" s="31"/>
      <c r="G70" s="31"/>
      <c r="H70" s="31"/>
      <c r="I70" s="31"/>
      <c r="J70" s="31"/>
    </row>
    <row r="71" spans="1:10">
      <c r="A71"/>
      <c r="C71" s="31"/>
      <c r="D71" s="31"/>
      <c r="E71" s="31"/>
      <c r="F71" s="31"/>
      <c r="G71" s="31"/>
      <c r="H71" s="31"/>
      <c r="I71" s="31"/>
      <c r="J71" s="31"/>
    </row>
    <row r="72" spans="1:10">
      <c r="A72"/>
      <c r="C72" s="31"/>
      <c r="D72" s="31"/>
      <c r="E72" s="31"/>
      <c r="F72" s="31"/>
      <c r="G72" s="31"/>
      <c r="H72" s="31"/>
      <c r="I72" s="31"/>
      <c r="J72" s="31"/>
    </row>
    <row r="73" spans="1:10">
      <c r="A73"/>
      <c r="C73" s="31"/>
      <c r="D73" s="31"/>
      <c r="E73" s="31"/>
      <c r="F73" s="31"/>
      <c r="G73" s="31"/>
      <c r="H73" s="31"/>
      <c r="I73" s="31"/>
      <c r="J73" s="31"/>
    </row>
    <row r="74" spans="1:10">
      <c r="A74"/>
      <c r="C74" s="31"/>
      <c r="D74" s="31"/>
      <c r="E74" s="31"/>
      <c r="F74" s="31"/>
      <c r="G74" s="31"/>
      <c r="H74" s="31"/>
      <c r="I74" s="31"/>
      <c r="J74" s="31"/>
    </row>
    <row r="75" spans="1:10">
      <c r="A75"/>
      <c r="C75" s="31"/>
      <c r="D75" s="31"/>
      <c r="E75" s="31"/>
      <c r="F75" s="31"/>
      <c r="G75" s="31"/>
      <c r="H75" s="31"/>
      <c r="I75" s="31"/>
      <c r="J75" s="31"/>
    </row>
    <row r="76" spans="1:10">
      <c r="A76"/>
      <c r="C76" s="31"/>
      <c r="D76" s="31"/>
      <c r="E76" s="31"/>
      <c r="F76" s="31"/>
      <c r="G76" s="31"/>
      <c r="H76" s="31"/>
      <c r="I76" s="31"/>
      <c r="J76" s="31"/>
    </row>
    <row r="77" spans="1:10">
      <c r="A77"/>
      <c r="C77" s="31"/>
      <c r="D77" s="31"/>
      <c r="E77" s="31"/>
      <c r="F77" s="31"/>
      <c r="G77" s="31"/>
      <c r="H77" s="31"/>
      <c r="I77" s="31"/>
      <c r="J77" s="31"/>
    </row>
    <row r="78" spans="1:10">
      <c r="A78"/>
      <c r="C78" s="31"/>
      <c r="D78" s="31"/>
      <c r="E78" s="31"/>
      <c r="F78" s="31"/>
      <c r="G78" s="31"/>
      <c r="H78" s="31"/>
      <c r="I78" s="31"/>
      <c r="J78" s="31"/>
    </row>
    <row r="79" spans="1:10">
      <c r="A79"/>
      <c r="C79" s="31"/>
      <c r="D79" s="31"/>
      <c r="E79" s="31"/>
      <c r="F79" s="31"/>
      <c r="G79" s="31"/>
      <c r="H79" s="31"/>
      <c r="I79" s="31"/>
      <c r="J79" s="31"/>
    </row>
    <row r="80" spans="1:10">
      <c r="A80"/>
      <c r="C80" s="31"/>
      <c r="D80" s="31"/>
      <c r="E80" s="31"/>
      <c r="F80" s="31"/>
      <c r="G80" s="31"/>
      <c r="H80" s="31"/>
      <c r="I80" s="31"/>
      <c r="J80" s="31"/>
    </row>
    <row r="81" spans="1:10">
      <c r="A81"/>
      <c r="C81" s="31"/>
      <c r="D81" s="31"/>
      <c r="E81" s="31"/>
      <c r="F81" s="31"/>
      <c r="G81" s="31"/>
      <c r="H81" s="31"/>
      <c r="I81" s="31"/>
      <c r="J81" s="31"/>
    </row>
    <row r="82" spans="1:10">
      <c r="A82"/>
      <c r="C82" s="31"/>
      <c r="D82" s="31"/>
      <c r="E82" s="31"/>
      <c r="F82" s="31"/>
      <c r="G82" s="31"/>
      <c r="H82" s="31"/>
      <c r="I82" s="31"/>
      <c r="J82" s="31"/>
    </row>
    <row r="83" spans="1:10">
      <c r="A83"/>
      <c r="C83" s="31"/>
      <c r="D83" s="31"/>
      <c r="E83" s="31"/>
      <c r="F83" s="31"/>
      <c r="G83" s="31"/>
      <c r="H83" s="31"/>
      <c r="I83" s="31"/>
      <c r="J83" s="31"/>
    </row>
    <row r="84" spans="1:10">
      <c r="A84"/>
      <c r="C84" s="31"/>
      <c r="D84" s="31"/>
      <c r="E84" s="31"/>
      <c r="F84" s="31"/>
      <c r="G84" s="31"/>
      <c r="H84" s="31"/>
      <c r="I84" s="31"/>
      <c r="J84" s="31"/>
    </row>
    <row r="85" spans="1:10">
      <c r="A85"/>
      <c r="C85" s="31"/>
      <c r="D85" s="31"/>
      <c r="E85" s="31"/>
      <c r="F85" s="31"/>
      <c r="G85" s="31"/>
      <c r="H85" s="31"/>
      <c r="I85" s="31"/>
      <c r="J85" s="31"/>
    </row>
    <row r="86" spans="1:10">
      <c r="A86"/>
      <c r="C86" s="31"/>
      <c r="D86" s="31"/>
      <c r="E86" s="31"/>
      <c r="F86" s="31"/>
      <c r="G86" s="31"/>
      <c r="H86" s="31"/>
      <c r="I86" s="31"/>
      <c r="J86" s="31"/>
    </row>
    <row r="87" spans="1:10">
      <c r="A87"/>
      <c r="C87" s="31"/>
      <c r="D87" s="31"/>
      <c r="E87" s="31"/>
      <c r="F87" s="31"/>
      <c r="G87" s="31"/>
      <c r="H87" s="31"/>
      <c r="I87" s="31"/>
      <c r="J87" s="31"/>
    </row>
    <row r="88" spans="1:10">
      <c r="A88"/>
      <c r="C88" s="31"/>
      <c r="D88" s="31"/>
      <c r="E88" s="31"/>
      <c r="F88" s="31"/>
      <c r="G88" s="31"/>
      <c r="H88" s="31"/>
      <c r="I88" s="31"/>
      <c r="J88" s="31"/>
    </row>
    <row r="89" spans="1:10">
      <c r="A89"/>
      <c r="C89" s="31"/>
      <c r="D89" s="31"/>
      <c r="E89" s="31"/>
      <c r="F89" s="31"/>
      <c r="G89" s="31"/>
      <c r="H89" s="31"/>
      <c r="I89" s="31"/>
      <c r="J89" s="31"/>
    </row>
    <row r="90" spans="1:10">
      <c r="A90"/>
      <c r="C90" s="31"/>
      <c r="D90" s="31"/>
      <c r="E90" s="31"/>
      <c r="F90" s="31"/>
      <c r="G90" s="31"/>
      <c r="H90" s="31"/>
      <c r="I90" s="31"/>
      <c r="J90" s="31"/>
    </row>
    <row r="91" spans="1:10">
      <c r="A91"/>
      <c r="C91" s="31"/>
      <c r="D91" s="31"/>
      <c r="E91" s="31"/>
      <c r="F91" s="31"/>
      <c r="G91" s="31"/>
      <c r="H91" s="31"/>
      <c r="I91" s="31"/>
      <c r="J91" s="31"/>
    </row>
    <row r="92" spans="1:10">
      <c r="A92"/>
      <c r="C92" s="31"/>
      <c r="D92" s="31"/>
      <c r="E92" s="31"/>
      <c r="F92" s="31"/>
      <c r="G92" s="31"/>
      <c r="H92" s="31"/>
      <c r="I92" s="31"/>
      <c r="J92" s="31"/>
    </row>
    <row r="93" spans="1:10">
      <c r="A93"/>
      <c r="C93" s="31"/>
      <c r="D93" s="31"/>
      <c r="E93" s="31"/>
      <c r="F93" s="31"/>
      <c r="G93" s="31"/>
      <c r="H93" s="31"/>
      <c r="I93" s="31"/>
      <c r="J93" s="31"/>
    </row>
    <row r="94" spans="1:10">
      <c r="A94"/>
      <c r="C94" s="31"/>
      <c r="D94" s="31"/>
      <c r="E94" s="31"/>
      <c r="F94" s="31"/>
      <c r="G94" s="31"/>
      <c r="H94" s="31"/>
      <c r="I94" s="31"/>
      <c r="J94" s="31"/>
    </row>
    <row r="95" spans="1:10">
      <c r="A95"/>
      <c r="C95" s="31"/>
      <c r="D95" s="31"/>
      <c r="E95" s="31"/>
      <c r="F95" s="31"/>
      <c r="G95" s="31"/>
      <c r="H95" s="31"/>
      <c r="I95" s="31"/>
      <c r="J95" s="31"/>
    </row>
    <row r="96" spans="1:10">
      <c r="A96"/>
      <c r="C96" s="31"/>
      <c r="D96" s="31"/>
      <c r="E96" s="31"/>
      <c r="F96" s="31"/>
      <c r="G96" s="31"/>
      <c r="H96" s="31"/>
      <c r="I96" s="31"/>
      <c r="J96" s="31"/>
    </row>
    <row r="97" spans="1:10">
      <c r="A97"/>
      <c r="C97" s="31"/>
      <c r="D97" s="31"/>
      <c r="E97" s="31"/>
      <c r="F97" s="31"/>
      <c r="G97" s="31"/>
      <c r="H97" s="31"/>
      <c r="I97" s="31"/>
      <c r="J97" s="31"/>
    </row>
    <row r="98" spans="1:10">
      <c r="A98"/>
      <c r="C98" s="31"/>
      <c r="D98" s="31"/>
      <c r="E98" s="31"/>
      <c r="F98" s="31"/>
      <c r="G98" s="31"/>
      <c r="H98" s="31"/>
      <c r="I98" s="31"/>
      <c r="J98" s="31"/>
    </row>
    <row r="99" spans="1:10">
      <c r="A99"/>
      <c r="C99" s="31"/>
      <c r="D99" s="31"/>
      <c r="E99" s="31"/>
      <c r="F99" s="31"/>
      <c r="G99" s="31"/>
      <c r="H99" s="31"/>
      <c r="I99" s="31"/>
      <c r="J99" s="31"/>
    </row>
    <row r="100" spans="1:10">
      <c r="A100"/>
      <c r="C100" s="31"/>
      <c r="D100" s="31"/>
      <c r="E100" s="31"/>
      <c r="F100" s="31"/>
      <c r="G100" s="31"/>
      <c r="H100" s="31"/>
      <c r="I100" s="31"/>
      <c r="J100" s="31"/>
    </row>
    <row r="101" spans="1:10">
      <c r="A101"/>
      <c r="C101" s="31"/>
      <c r="D101" s="31"/>
      <c r="E101" s="31"/>
      <c r="F101" s="31"/>
      <c r="G101" s="31"/>
      <c r="H101" s="31"/>
      <c r="I101" s="31"/>
      <c r="J101" s="31"/>
    </row>
    <row r="102" spans="1:10">
      <c r="A102"/>
      <c r="C102" s="31"/>
      <c r="D102" s="31"/>
      <c r="E102" s="31"/>
      <c r="F102" s="31"/>
      <c r="G102" s="31"/>
      <c r="H102" s="31"/>
      <c r="I102" s="31"/>
      <c r="J102" s="31"/>
    </row>
    <row r="103" spans="1:10">
      <c r="A103"/>
      <c r="C103" s="31"/>
      <c r="D103" s="31"/>
      <c r="E103" s="31"/>
      <c r="F103" s="31"/>
      <c r="G103" s="31"/>
      <c r="H103" s="31"/>
      <c r="I103" s="31"/>
      <c r="J103" s="31"/>
    </row>
    <row r="104" spans="1:10">
      <c r="A104"/>
      <c r="C104" s="31"/>
      <c r="D104" s="31"/>
      <c r="E104" s="31"/>
      <c r="F104" s="31"/>
      <c r="G104" s="31"/>
      <c r="H104" s="31"/>
      <c r="I104" s="31"/>
      <c r="J104" s="31"/>
    </row>
    <row r="105" spans="1:10">
      <c r="A105"/>
      <c r="C105" s="31"/>
      <c r="D105" s="31"/>
      <c r="E105" s="31"/>
      <c r="F105" s="31"/>
      <c r="G105" s="31"/>
      <c r="H105" s="31"/>
      <c r="I105" s="31"/>
      <c r="J105" s="31"/>
    </row>
    <row r="106" spans="1:10">
      <c r="A106"/>
      <c r="C106" s="31"/>
      <c r="D106" s="31"/>
      <c r="E106" s="31"/>
      <c r="F106" s="31"/>
      <c r="G106" s="31"/>
      <c r="H106" s="31"/>
      <c r="I106" s="31"/>
      <c r="J106" s="31"/>
    </row>
    <row r="107" spans="1:10">
      <c r="A107"/>
      <c r="C107" s="31"/>
      <c r="D107" s="31"/>
      <c r="E107" s="31"/>
      <c r="F107" s="31"/>
      <c r="G107" s="31"/>
      <c r="H107" s="31"/>
      <c r="I107" s="31"/>
      <c r="J107" s="31"/>
    </row>
    <row r="108" spans="1:10">
      <c r="A108"/>
      <c r="C108" s="31"/>
      <c r="D108" s="31"/>
      <c r="E108" s="31"/>
      <c r="F108" s="31"/>
      <c r="G108" s="31"/>
      <c r="H108" s="31"/>
      <c r="I108" s="31"/>
      <c r="J108" s="31"/>
    </row>
    <row r="109" spans="1:10">
      <c r="A109"/>
      <c r="C109" s="31"/>
      <c r="D109" s="31"/>
      <c r="E109" s="31"/>
      <c r="F109" s="31"/>
      <c r="G109" s="31"/>
      <c r="H109" s="31"/>
      <c r="I109" s="31"/>
      <c r="J109" s="31"/>
    </row>
    <row r="110" spans="1:10">
      <c r="A110"/>
      <c r="C110" s="31"/>
      <c r="D110" s="31"/>
      <c r="E110" s="31"/>
      <c r="F110" s="31"/>
      <c r="G110" s="31"/>
      <c r="H110" s="31"/>
      <c r="I110" s="31"/>
      <c r="J110" s="31"/>
    </row>
    <row r="111" spans="1:10">
      <c r="A111"/>
      <c r="C111" s="31"/>
      <c r="D111" s="31"/>
      <c r="E111" s="31"/>
      <c r="F111" s="31"/>
      <c r="G111" s="31"/>
      <c r="H111" s="31"/>
      <c r="I111" s="31"/>
      <c r="J111" s="31"/>
    </row>
    <row r="112" spans="1:10">
      <c r="A112"/>
      <c r="C112" s="31"/>
      <c r="D112" s="31"/>
      <c r="E112" s="31"/>
      <c r="F112" s="31"/>
      <c r="G112" s="31"/>
      <c r="H112" s="31"/>
      <c r="I112" s="31"/>
      <c r="J112" s="31"/>
    </row>
    <row r="113" spans="1:10">
      <c r="A113"/>
      <c r="C113" s="31"/>
      <c r="D113" s="31"/>
      <c r="E113" s="31"/>
      <c r="F113" s="31"/>
      <c r="G113" s="31"/>
      <c r="H113" s="31"/>
      <c r="I113" s="31"/>
      <c r="J113" s="31"/>
    </row>
    <row r="114" spans="1:10">
      <c r="A114"/>
      <c r="C114" s="31"/>
      <c r="D114" s="31"/>
      <c r="E114" s="31"/>
      <c r="F114" s="31"/>
      <c r="G114" s="31"/>
      <c r="H114" s="31"/>
      <c r="I114" s="31"/>
      <c r="J114" s="31"/>
    </row>
    <row r="115" spans="1:10">
      <c r="A115"/>
      <c r="C115" s="31"/>
      <c r="D115" s="31"/>
      <c r="E115" s="31"/>
      <c r="F115" s="31"/>
      <c r="G115" s="31"/>
      <c r="H115" s="31"/>
      <c r="I115" s="31"/>
      <c r="J115" s="31"/>
    </row>
    <row r="116" spans="1:10">
      <c r="A116"/>
      <c r="C116" s="31"/>
      <c r="D116" s="31"/>
      <c r="E116" s="31"/>
      <c r="F116" s="31"/>
      <c r="G116" s="31"/>
      <c r="H116" s="31"/>
      <c r="I116" s="31"/>
      <c r="J116" s="31"/>
    </row>
    <row r="117" spans="1:10">
      <c r="A117"/>
      <c r="C117" s="31"/>
      <c r="D117" s="31"/>
      <c r="E117" s="31"/>
      <c r="F117" s="31"/>
      <c r="G117" s="31"/>
      <c r="H117" s="31"/>
      <c r="I117" s="31"/>
      <c r="J117" s="31"/>
    </row>
    <row r="118" spans="1:10">
      <c r="A118"/>
      <c r="C118" s="31"/>
      <c r="D118" s="31"/>
      <c r="E118" s="31"/>
      <c r="F118" s="31"/>
      <c r="G118" s="31"/>
      <c r="H118" s="31"/>
      <c r="I118" s="31"/>
      <c r="J118" s="31"/>
    </row>
    <row r="119" spans="1:10">
      <c r="A119"/>
      <c r="C119" s="31"/>
      <c r="D119" s="31"/>
      <c r="E119" s="31"/>
      <c r="F119" s="31"/>
      <c r="G119" s="31"/>
      <c r="H119" s="31"/>
      <c r="I119" s="31"/>
      <c r="J119" s="31"/>
    </row>
    <row r="120" spans="1:10">
      <c r="A120"/>
      <c r="C120" s="31"/>
      <c r="D120" s="31"/>
      <c r="E120" s="31"/>
      <c r="F120" s="31"/>
      <c r="G120" s="31"/>
      <c r="H120" s="31"/>
      <c r="I120" s="31"/>
      <c r="J120" s="31"/>
    </row>
    <row r="121" spans="1:10">
      <c r="A121"/>
      <c r="C121" s="31"/>
      <c r="D121" s="31"/>
      <c r="E121" s="31"/>
      <c r="F121" s="31"/>
      <c r="G121" s="31"/>
      <c r="H121" s="31"/>
      <c r="I121" s="31"/>
      <c r="J121" s="31"/>
    </row>
    <row r="122" spans="1:10">
      <c r="A122"/>
      <c r="C122" s="31"/>
      <c r="D122" s="31"/>
      <c r="E122" s="31"/>
      <c r="F122" s="31"/>
      <c r="G122" s="31"/>
      <c r="H122" s="31"/>
      <c r="I122" s="31"/>
      <c r="J122" s="31"/>
    </row>
    <row r="123" spans="1:10">
      <c r="A123"/>
      <c r="C123" s="31"/>
      <c r="D123" s="31"/>
      <c r="E123" s="31"/>
      <c r="F123" s="31"/>
      <c r="G123" s="31"/>
      <c r="H123" s="31"/>
      <c r="I123" s="31"/>
      <c r="J123" s="31"/>
    </row>
    <row r="124" spans="1:10">
      <c r="A124"/>
      <c r="C124" s="31"/>
      <c r="D124" s="31"/>
      <c r="E124" s="31"/>
      <c r="F124" s="31"/>
      <c r="G124" s="31"/>
      <c r="H124" s="31"/>
      <c r="I124" s="31"/>
      <c r="J124" s="31"/>
    </row>
    <row r="125" spans="1:10">
      <c r="A125"/>
      <c r="C125" s="31"/>
      <c r="D125" s="31"/>
      <c r="E125" s="31"/>
      <c r="F125" s="31"/>
      <c r="G125" s="31"/>
      <c r="H125" s="31"/>
      <c r="I125" s="31"/>
      <c r="J125" s="31"/>
    </row>
    <row r="126" spans="1:10">
      <c r="A126"/>
      <c r="C126" s="31"/>
      <c r="D126" s="31"/>
      <c r="E126" s="31"/>
      <c r="F126" s="31"/>
      <c r="G126" s="31"/>
      <c r="H126" s="31"/>
      <c r="I126" s="31"/>
      <c r="J126" s="31"/>
    </row>
    <row r="127" spans="1:10">
      <c r="A127"/>
      <c r="C127" s="31"/>
      <c r="D127" s="31"/>
      <c r="E127" s="31"/>
      <c r="F127" s="31"/>
      <c r="G127" s="31"/>
      <c r="H127" s="31"/>
      <c r="I127" s="31"/>
      <c r="J127" s="31"/>
    </row>
    <row r="128" spans="1:10">
      <c r="A128"/>
      <c r="C128" s="31"/>
      <c r="D128" s="31"/>
      <c r="E128" s="31"/>
      <c r="F128" s="31"/>
      <c r="G128" s="31"/>
      <c r="H128" s="31"/>
      <c r="I128" s="31"/>
      <c r="J128" s="31"/>
    </row>
    <row r="129" spans="1:10">
      <c r="A129"/>
      <c r="C129" s="31"/>
      <c r="D129" s="31"/>
      <c r="E129" s="31"/>
      <c r="F129" s="31"/>
      <c r="G129" s="31"/>
      <c r="H129" s="31"/>
      <c r="I129" s="31"/>
      <c r="J129" s="31"/>
    </row>
    <row r="130" spans="1:10">
      <c r="A130"/>
      <c r="C130" s="31"/>
      <c r="D130" s="31"/>
      <c r="E130" s="31"/>
      <c r="F130" s="31"/>
      <c r="G130" s="31"/>
      <c r="H130" s="31"/>
      <c r="I130" s="31"/>
      <c r="J130" s="31"/>
    </row>
    <row r="131" spans="1:10">
      <c r="A131"/>
      <c r="C131" s="31"/>
      <c r="D131" s="31"/>
      <c r="E131" s="31"/>
      <c r="F131" s="31"/>
      <c r="G131" s="31"/>
      <c r="H131" s="31"/>
      <c r="I131" s="31"/>
      <c r="J131" s="31"/>
    </row>
    <row r="132" spans="1:10">
      <c r="A132"/>
      <c r="C132" s="31"/>
      <c r="D132" s="31"/>
      <c r="E132" s="31"/>
      <c r="F132" s="31"/>
      <c r="G132" s="31"/>
      <c r="H132" s="31"/>
      <c r="I132" s="31"/>
      <c r="J132" s="31"/>
    </row>
    <row r="133" spans="1:10">
      <c r="A133"/>
      <c r="C133" s="31"/>
      <c r="D133" s="31"/>
      <c r="E133" s="31"/>
      <c r="F133" s="31"/>
      <c r="G133" s="31"/>
      <c r="H133" s="31"/>
      <c r="I133" s="31"/>
      <c r="J133" s="31"/>
    </row>
    <row r="134" spans="1:10">
      <c r="A134"/>
      <c r="C134" s="31"/>
      <c r="D134" s="31"/>
      <c r="E134" s="31"/>
      <c r="F134" s="31"/>
      <c r="G134" s="31"/>
      <c r="H134" s="31"/>
      <c r="I134" s="31"/>
      <c r="J134" s="31"/>
    </row>
    <row r="135" spans="1:10">
      <c r="A135"/>
      <c r="C135" s="31"/>
      <c r="D135" s="31"/>
      <c r="E135" s="31"/>
      <c r="F135" s="31"/>
      <c r="G135" s="31"/>
      <c r="H135" s="31"/>
      <c r="I135" s="31"/>
      <c r="J135" s="31"/>
    </row>
    <row r="136" spans="1:10">
      <c r="A136"/>
      <c r="C136" s="31"/>
      <c r="D136" s="31"/>
      <c r="E136" s="31"/>
      <c r="F136" s="31"/>
      <c r="G136" s="31"/>
      <c r="H136" s="31"/>
      <c r="I136" s="31"/>
      <c r="J136" s="31"/>
    </row>
    <row r="137" spans="1:10">
      <c r="A137"/>
      <c r="C137" s="31"/>
      <c r="D137" s="31"/>
      <c r="E137" s="31"/>
      <c r="F137" s="31"/>
      <c r="G137" s="31"/>
      <c r="H137" s="31"/>
      <c r="I137" s="31"/>
      <c r="J137" s="31"/>
    </row>
    <row r="138" spans="1:10">
      <c r="A138"/>
      <c r="C138" s="31"/>
      <c r="D138" s="31"/>
      <c r="E138" s="31"/>
      <c r="F138" s="31"/>
      <c r="G138" s="31"/>
      <c r="H138" s="31"/>
      <c r="I138" s="31"/>
      <c r="J138" s="31"/>
    </row>
    <row r="139" spans="1:10">
      <c r="A139"/>
      <c r="C139" s="31"/>
      <c r="D139" s="31"/>
      <c r="E139" s="31"/>
      <c r="F139" s="31"/>
      <c r="G139" s="31"/>
      <c r="H139" s="31"/>
      <c r="I139" s="31"/>
      <c r="J139" s="31"/>
    </row>
    <row r="140" spans="1:10">
      <c r="A140"/>
      <c r="C140" s="31"/>
      <c r="D140" s="31"/>
      <c r="E140" s="31"/>
      <c r="F140" s="31"/>
      <c r="G140" s="31"/>
      <c r="H140" s="31"/>
      <c r="I140" s="31"/>
      <c r="J140" s="31"/>
    </row>
    <row r="141" spans="1:10">
      <c r="A141"/>
      <c r="C141" s="31"/>
      <c r="D141" s="31"/>
      <c r="E141" s="31"/>
      <c r="F141" s="31"/>
      <c r="G141" s="31"/>
      <c r="H141" s="31"/>
      <c r="I141" s="31"/>
      <c r="J141" s="31"/>
    </row>
    <row r="142" spans="1:10">
      <c r="A142"/>
      <c r="C142" s="31"/>
      <c r="D142" s="31"/>
      <c r="E142" s="31"/>
      <c r="F142" s="31"/>
      <c r="G142" s="31"/>
      <c r="H142" s="31"/>
      <c r="I142" s="31"/>
      <c r="J142" s="31"/>
    </row>
    <row r="143" spans="1:10">
      <c r="A143"/>
      <c r="C143" s="31"/>
      <c r="D143" s="31"/>
      <c r="E143" s="31"/>
      <c r="F143" s="31"/>
      <c r="G143" s="31"/>
      <c r="H143" s="31"/>
      <c r="I143" s="31"/>
      <c r="J143" s="31"/>
    </row>
    <row r="144" spans="1:10">
      <c r="A144"/>
      <c r="C144" s="31"/>
      <c r="D144" s="31"/>
      <c r="E144" s="31"/>
      <c r="F144" s="31"/>
      <c r="G144" s="31"/>
      <c r="H144" s="31"/>
      <c r="I144" s="31"/>
      <c r="J144" s="31"/>
    </row>
    <row r="145" spans="1:10">
      <c r="A145"/>
      <c r="C145" s="31"/>
      <c r="D145" s="31"/>
      <c r="E145" s="31"/>
      <c r="F145" s="31"/>
      <c r="G145" s="31"/>
      <c r="H145" s="31"/>
      <c r="I145" s="31"/>
      <c r="J145" s="31"/>
    </row>
    <row r="146" spans="1:10">
      <c r="A146"/>
      <c r="C146" s="31"/>
      <c r="D146" s="31"/>
      <c r="E146" s="31"/>
      <c r="F146" s="31"/>
      <c r="G146" s="31"/>
      <c r="H146" s="31"/>
      <c r="I146" s="31"/>
      <c r="J146" s="31"/>
    </row>
    <row r="147" spans="1:10">
      <c r="A147"/>
      <c r="C147" s="31"/>
      <c r="D147" s="31"/>
      <c r="E147" s="31"/>
      <c r="F147" s="31"/>
      <c r="G147" s="31"/>
      <c r="H147" s="31"/>
      <c r="I147" s="31"/>
      <c r="J147" s="31"/>
    </row>
    <row r="148" spans="1:10">
      <c r="A148"/>
      <c r="C148" s="31"/>
      <c r="D148" s="31"/>
      <c r="E148" s="31"/>
      <c r="F148" s="31"/>
      <c r="G148" s="31"/>
      <c r="H148" s="31"/>
      <c r="I148" s="31"/>
      <c r="J148" s="31"/>
    </row>
    <row r="149" spans="1:10">
      <c r="A149"/>
      <c r="C149" s="31"/>
      <c r="D149" s="31"/>
      <c r="E149" s="31"/>
      <c r="F149" s="31"/>
      <c r="G149" s="31"/>
      <c r="H149" s="31"/>
      <c r="I149" s="31"/>
      <c r="J149" s="31"/>
    </row>
    <row r="150" spans="1:10">
      <c r="A150"/>
      <c r="C150" s="31"/>
      <c r="D150" s="31"/>
      <c r="E150" s="31"/>
      <c r="F150" s="31"/>
      <c r="G150" s="31"/>
      <c r="H150" s="31"/>
      <c r="I150" s="31"/>
      <c r="J150" s="31"/>
    </row>
    <row r="151" spans="1:10">
      <c r="A151"/>
      <c r="C151" s="31"/>
      <c r="D151" s="31"/>
      <c r="E151" s="31"/>
      <c r="F151" s="31"/>
      <c r="G151" s="31"/>
      <c r="H151" s="31"/>
      <c r="I151" s="31"/>
      <c r="J151" s="31"/>
    </row>
    <row r="152" spans="1:10">
      <c r="A152"/>
      <c r="C152" s="31"/>
      <c r="D152" s="31"/>
      <c r="E152" s="31"/>
      <c r="F152" s="31"/>
      <c r="G152" s="31"/>
      <c r="H152" s="31"/>
      <c r="I152" s="31"/>
      <c r="J152" s="31"/>
    </row>
    <row r="153" spans="1:10">
      <c r="A153"/>
      <c r="C153" s="31"/>
      <c r="D153" s="31"/>
      <c r="E153" s="31"/>
      <c r="F153" s="31"/>
      <c r="G153" s="31"/>
      <c r="H153" s="31"/>
      <c r="I153" s="31"/>
      <c r="J153" s="31"/>
    </row>
    <row r="154" spans="1:10">
      <c r="A154"/>
      <c r="C154" s="31"/>
      <c r="D154" s="31"/>
      <c r="E154" s="31"/>
      <c r="F154" s="31"/>
      <c r="G154" s="31"/>
      <c r="H154" s="31"/>
      <c r="I154" s="31"/>
      <c r="J154" s="31"/>
    </row>
    <row r="155" spans="1:10">
      <c r="A155"/>
      <c r="C155" s="31"/>
      <c r="D155" s="31"/>
      <c r="E155" s="31"/>
      <c r="F155" s="31"/>
      <c r="G155" s="31"/>
      <c r="H155" s="31"/>
      <c r="I155" s="31"/>
      <c r="J155" s="31"/>
    </row>
    <row r="156" spans="1:10">
      <c r="A156"/>
      <c r="C156" s="31"/>
      <c r="D156" s="31"/>
      <c r="E156" s="31"/>
      <c r="F156" s="31"/>
      <c r="G156" s="31"/>
      <c r="H156" s="31"/>
      <c r="I156" s="31"/>
      <c r="J156" s="31"/>
    </row>
    <row r="157" spans="1:10">
      <c r="A157"/>
      <c r="C157" s="31"/>
      <c r="D157" s="31"/>
      <c r="E157" s="31"/>
      <c r="F157" s="31"/>
      <c r="G157" s="31"/>
      <c r="H157" s="31"/>
      <c r="I157" s="31"/>
      <c r="J157" s="31"/>
    </row>
    <row r="158" spans="1:10">
      <c r="A158"/>
      <c r="C158" s="31"/>
      <c r="D158" s="31"/>
      <c r="E158" s="31"/>
      <c r="F158" s="31"/>
      <c r="G158" s="31"/>
      <c r="H158" s="31"/>
      <c r="I158" s="31"/>
      <c r="J158" s="31"/>
    </row>
    <row r="159" spans="1:10">
      <c r="A159"/>
      <c r="C159" s="31"/>
      <c r="D159" s="31"/>
      <c r="E159" s="31"/>
      <c r="F159" s="31"/>
      <c r="G159" s="31"/>
      <c r="H159" s="31"/>
      <c r="I159" s="31"/>
      <c r="J159" s="31"/>
    </row>
    <row r="160" spans="1:10">
      <c r="A160"/>
      <c r="C160" s="31"/>
      <c r="D160" s="31"/>
      <c r="E160" s="31"/>
      <c r="F160" s="31"/>
      <c r="G160" s="31"/>
      <c r="H160" s="31"/>
      <c r="I160" s="31"/>
      <c r="J160" s="31"/>
    </row>
    <row r="161" spans="1:10">
      <c r="A161"/>
      <c r="C161" s="31"/>
      <c r="D161" s="31"/>
      <c r="E161" s="31"/>
      <c r="F161" s="31"/>
      <c r="G161" s="31"/>
      <c r="H161" s="31"/>
      <c r="I161" s="31"/>
      <c r="J161" s="31"/>
    </row>
    <row r="162" spans="1:10">
      <c r="A162"/>
      <c r="C162" s="31"/>
      <c r="D162" s="31"/>
      <c r="E162" s="31"/>
      <c r="F162" s="31"/>
      <c r="G162" s="31"/>
      <c r="H162" s="31"/>
      <c r="I162" s="31"/>
      <c r="J162" s="31"/>
    </row>
    <row r="163" spans="1:10">
      <c r="A163"/>
      <c r="C163" s="31"/>
      <c r="D163" s="31"/>
      <c r="E163" s="31"/>
      <c r="F163" s="31"/>
      <c r="G163" s="31"/>
      <c r="H163" s="31"/>
      <c r="I163" s="31"/>
      <c r="J163" s="31"/>
    </row>
    <row r="164" spans="1:10">
      <c r="A164"/>
      <c r="C164" s="31"/>
      <c r="D164" s="31"/>
      <c r="E164" s="31"/>
      <c r="F164" s="31"/>
      <c r="G164" s="31"/>
      <c r="H164" s="31"/>
      <c r="I164" s="31"/>
      <c r="J164" s="31"/>
    </row>
    <row r="165" spans="1:10">
      <c r="A165"/>
      <c r="C165" s="31"/>
      <c r="D165" s="31"/>
      <c r="E165" s="31"/>
      <c r="F165" s="31"/>
      <c r="G165" s="31"/>
      <c r="H165" s="31"/>
      <c r="I165" s="31"/>
      <c r="J165" s="31"/>
    </row>
    <row r="166" spans="1:10">
      <c r="A166"/>
      <c r="C166" s="31"/>
      <c r="D166" s="31"/>
      <c r="E166" s="31"/>
      <c r="F166" s="31"/>
      <c r="G166" s="31"/>
      <c r="H166" s="31"/>
      <c r="I166" s="31"/>
      <c r="J166" s="31"/>
    </row>
    <row r="167" spans="1:10">
      <c r="A167"/>
      <c r="C167" s="31"/>
      <c r="D167" s="31"/>
      <c r="E167" s="31"/>
      <c r="F167" s="31"/>
      <c r="G167" s="31"/>
      <c r="H167" s="31"/>
      <c r="I167" s="31"/>
      <c r="J167" s="31"/>
    </row>
    <row r="168" spans="1:10">
      <c r="A168"/>
      <c r="C168" s="31"/>
      <c r="D168" s="31"/>
      <c r="E168" s="31"/>
      <c r="F168" s="31"/>
      <c r="G168" s="31"/>
      <c r="H168" s="31"/>
      <c r="I168" s="31"/>
      <c r="J168" s="31"/>
    </row>
    <row r="169" spans="1:10">
      <c r="A169"/>
      <c r="C169" s="31"/>
      <c r="D169" s="31"/>
      <c r="E169" s="31"/>
      <c r="F169" s="31"/>
      <c r="G169" s="31"/>
      <c r="H169" s="31"/>
      <c r="I169" s="31"/>
      <c r="J169" s="31"/>
    </row>
    <row r="170" spans="1:10">
      <c r="A170"/>
      <c r="C170" s="31"/>
      <c r="D170" s="31"/>
      <c r="E170" s="31"/>
      <c r="F170" s="31"/>
      <c r="G170" s="31"/>
      <c r="H170" s="31"/>
      <c r="I170" s="31"/>
      <c r="J170" s="31"/>
    </row>
    <row r="171" spans="1:10">
      <c r="A171"/>
      <c r="C171" s="31"/>
      <c r="D171" s="31"/>
      <c r="E171" s="31"/>
      <c r="F171" s="31"/>
      <c r="G171" s="31"/>
      <c r="H171" s="31"/>
      <c r="I171" s="31"/>
      <c r="J171" s="31"/>
    </row>
    <row r="172" spans="1:10">
      <c r="A172"/>
      <c r="C172" s="31"/>
      <c r="D172" s="31"/>
      <c r="E172" s="31"/>
      <c r="F172" s="31"/>
      <c r="G172" s="31"/>
      <c r="H172" s="31"/>
      <c r="I172" s="31"/>
      <c r="J172" s="31"/>
    </row>
    <row r="173" spans="1:10">
      <c r="A173"/>
      <c r="C173" s="31"/>
      <c r="D173" s="31"/>
      <c r="E173" s="31"/>
      <c r="F173" s="31"/>
      <c r="G173" s="31"/>
      <c r="H173" s="31"/>
      <c r="I173" s="31"/>
      <c r="J173" s="31"/>
    </row>
    <row r="174" spans="1:10">
      <c r="A174"/>
      <c r="C174" s="31"/>
      <c r="D174" s="31"/>
      <c r="E174" s="31"/>
      <c r="F174" s="31"/>
      <c r="G174" s="31"/>
      <c r="H174" s="31"/>
      <c r="I174" s="31"/>
      <c r="J174" s="31"/>
    </row>
    <row r="175" spans="1:10">
      <c r="A175"/>
      <c r="C175" s="31"/>
      <c r="D175" s="31"/>
      <c r="E175" s="31"/>
      <c r="F175" s="31"/>
      <c r="G175" s="31"/>
      <c r="H175" s="31"/>
      <c r="I175" s="31"/>
      <c r="J175" s="31"/>
    </row>
    <row r="176" spans="1:10">
      <c r="A176"/>
      <c r="C176" s="31"/>
      <c r="D176" s="31"/>
      <c r="E176" s="31"/>
      <c r="F176" s="31"/>
      <c r="G176" s="31"/>
      <c r="H176" s="31"/>
      <c r="I176" s="31"/>
      <c r="J176" s="31"/>
    </row>
    <row r="177" spans="1:10">
      <c r="A177"/>
      <c r="C177" s="31"/>
      <c r="D177" s="31"/>
      <c r="E177" s="31"/>
      <c r="F177" s="31"/>
      <c r="G177" s="31"/>
      <c r="H177" s="31"/>
      <c r="I177" s="31"/>
      <c r="J177" s="31"/>
    </row>
    <row r="178" spans="1:10">
      <c r="A178"/>
      <c r="C178" s="31"/>
      <c r="D178" s="31"/>
      <c r="E178" s="31"/>
      <c r="F178" s="31"/>
      <c r="G178" s="31"/>
      <c r="H178" s="31"/>
      <c r="I178" s="31"/>
      <c r="J178" s="31"/>
    </row>
    <row r="179" spans="1:10">
      <c r="A179"/>
      <c r="C179" s="31"/>
      <c r="D179" s="31"/>
      <c r="E179" s="31"/>
      <c r="F179" s="31"/>
      <c r="G179" s="31"/>
      <c r="H179" s="31"/>
      <c r="I179" s="31"/>
      <c r="J179" s="31"/>
    </row>
    <row r="180" spans="1:10">
      <c r="A180"/>
      <c r="C180" s="31"/>
      <c r="D180" s="31"/>
      <c r="E180" s="31"/>
      <c r="F180" s="31"/>
      <c r="G180" s="31"/>
      <c r="H180" s="31"/>
      <c r="I180" s="31"/>
      <c r="J180" s="31"/>
    </row>
    <row r="181" spans="1:10">
      <c r="A181"/>
      <c r="C181" s="31"/>
      <c r="D181" s="31"/>
      <c r="E181" s="31"/>
      <c r="F181" s="31"/>
      <c r="G181" s="31"/>
      <c r="H181" s="31"/>
      <c r="I181" s="31"/>
      <c r="J181" s="31"/>
    </row>
    <row r="182" spans="1:10">
      <c r="A182"/>
      <c r="C182" s="31"/>
      <c r="D182" s="31"/>
      <c r="E182" s="31"/>
      <c r="F182" s="31"/>
      <c r="G182" s="31"/>
      <c r="H182" s="31"/>
      <c r="I182" s="31"/>
      <c r="J182" s="31"/>
    </row>
    <row r="183" spans="1:10">
      <c r="A183"/>
      <c r="C183" s="31"/>
      <c r="D183" s="31"/>
      <c r="E183" s="31"/>
      <c r="F183" s="31"/>
      <c r="G183" s="31"/>
      <c r="H183" s="31"/>
      <c r="I183" s="31"/>
      <c r="J183" s="31"/>
    </row>
    <row r="184" spans="1:10">
      <c r="A184"/>
      <c r="C184" s="31"/>
      <c r="D184" s="31"/>
      <c r="E184" s="31"/>
      <c r="F184" s="31"/>
      <c r="G184" s="31"/>
      <c r="H184" s="31"/>
      <c r="I184" s="31"/>
      <c r="J184" s="31"/>
    </row>
    <row r="185" spans="1:10">
      <c r="A185"/>
      <c r="C185" s="31"/>
      <c r="D185" s="31"/>
      <c r="E185" s="31"/>
      <c r="F185" s="31"/>
      <c r="G185" s="31"/>
      <c r="H185" s="31"/>
      <c r="I185" s="31"/>
      <c r="J185" s="31"/>
    </row>
    <row r="186" spans="1:10">
      <c r="A186"/>
      <c r="C186" s="31"/>
      <c r="D186" s="31"/>
      <c r="E186" s="31"/>
      <c r="F186" s="31"/>
      <c r="G186" s="31"/>
      <c r="H186" s="31"/>
      <c r="I186" s="31"/>
      <c r="J186" s="31"/>
    </row>
    <row r="187" spans="1:10">
      <c r="A187"/>
      <c r="C187" s="31"/>
      <c r="D187" s="31"/>
      <c r="E187" s="31"/>
      <c r="F187" s="31"/>
      <c r="G187" s="31"/>
      <c r="H187" s="31"/>
      <c r="I187" s="31"/>
      <c r="J187" s="31"/>
    </row>
    <row r="188" spans="1:10">
      <c r="A188"/>
      <c r="C188" s="31"/>
      <c r="D188" s="31"/>
      <c r="E188" s="31"/>
      <c r="F188" s="31"/>
      <c r="G188" s="31"/>
      <c r="H188" s="31"/>
      <c r="I188" s="31"/>
      <c r="J188" s="31"/>
    </row>
    <row r="189" spans="1:10">
      <c r="A189"/>
      <c r="C189" s="31"/>
      <c r="D189" s="31"/>
      <c r="E189" s="31"/>
      <c r="F189" s="31"/>
      <c r="G189" s="31"/>
      <c r="H189" s="31"/>
      <c r="I189" s="31"/>
      <c r="J189" s="31"/>
    </row>
    <row r="190" spans="1:10">
      <c r="A190"/>
      <c r="C190" s="31"/>
      <c r="D190" s="31"/>
      <c r="E190" s="31"/>
      <c r="F190" s="31"/>
      <c r="G190" s="31"/>
      <c r="H190" s="31"/>
      <c r="I190" s="31"/>
      <c r="J190" s="31"/>
    </row>
    <row r="191" spans="1:10">
      <c r="A191"/>
      <c r="C191" s="31"/>
      <c r="D191" s="31"/>
      <c r="E191" s="31"/>
      <c r="F191" s="31"/>
      <c r="G191" s="31"/>
      <c r="H191" s="31"/>
      <c r="I191" s="31"/>
      <c r="J191" s="31"/>
    </row>
    <row r="192" spans="1:10">
      <c r="A192"/>
      <c r="C192" s="31"/>
      <c r="D192" s="31"/>
      <c r="E192" s="31"/>
      <c r="F192" s="31"/>
      <c r="G192" s="31"/>
      <c r="H192" s="31"/>
      <c r="I192" s="31"/>
      <c r="J192" s="31"/>
    </row>
    <row r="193" spans="1:10">
      <c r="A193"/>
      <c r="C193" s="31"/>
      <c r="D193" s="31"/>
      <c r="E193" s="31"/>
      <c r="F193" s="31"/>
      <c r="G193" s="31"/>
      <c r="H193" s="31"/>
      <c r="I193" s="31"/>
      <c r="J193" s="31"/>
    </row>
    <row r="194" spans="1:10">
      <c r="A194"/>
      <c r="C194" s="31"/>
      <c r="D194" s="31"/>
      <c r="E194" s="31"/>
      <c r="F194" s="31"/>
      <c r="G194" s="31"/>
      <c r="H194" s="31"/>
      <c r="I194" s="31"/>
      <c r="J194" s="31"/>
    </row>
    <row r="195" spans="1:10">
      <c r="A195"/>
      <c r="C195" s="31"/>
      <c r="D195" s="31"/>
      <c r="E195" s="31"/>
      <c r="F195" s="31"/>
      <c r="G195" s="31"/>
      <c r="H195" s="31"/>
      <c r="I195" s="31"/>
      <c r="J195" s="31"/>
    </row>
    <row r="196" spans="1:10">
      <c r="A196"/>
      <c r="C196" s="31"/>
      <c r="D196" s="31"/>
      <c r="E196" s="31"/>
      <c r="F196" s="31"/>
      <c r="G196" s="31"/>
      <c r="H196" s="31"/>
      <c r="I196" s="31"/>
      <c r="J196" s="31"/>
    </row>
    <row r="197" spans="1:10">
      <c r="A197"/>
      <c r="C197" s="31"/>
      <c r="D197" s="31"/>
      <c r="E197" s="31"/>
      <c r="F197" s="31"/>
      <c r="G197" s="31"/>
      <c r="H197" s="31"/>
      <c r="I197" s="31"/>
      <c r="J197" s="31"/>
    </row>
    <row r="198" spans="1:10">
      <c r="A198"/>
      <c r="C198" s="31"/>
      <c r="D198" s="31"/>
      <c r="E198" s="31"/>
      <c r="F198" s="31"/>
      <c r="G198" s="31"/>
      <c r="H198" s="31"/>
      <c r="I198" s="31"/>
      <c r="J198" s="31"/>
    </row>
    <row r="199" spans="1:10">
      <c r="A199"/>
      <c r="C199" s="31"/>
      <c r="D199" s="31"/>
      <c r="E199" s="31"/>
      <c r="F199" s="31"/>
      <c r="G199" s="31"/>
      <c r="H199" s="31"/>
      <c r="I199" s="31"/>
      <c r="J199" s="31"/>
    </row>
    <row r="200" spans="1:10">
      <c r="A200"/>
      <c r="C200" s="31"/>
      <c r="D200" s="31"/>
      <c r="E200" s="31"/>
      <c r="F200" s="31"/>
      <c r="G200" s="31"/>
      <c r="H200" s="31"/>
      <c r="I200" s="31"/>
      <c r="J200" s="31"/>
    </row>
    <row r="201" spans="1:10">
      <c r="A201"/>
      <c r="C201" s="31"/>
      <c r="D201" s="31"/>
      <c r="E201" s="31"/>
      <c r="F201" s="31"/>
      <c r="G201" s="31"/>
      <c r="H201" s="31"/>
      <c r="I201" s="31"/>
      <c r="J201" s="31"/>
    </row>
    <row r="202" spans="1:10">
      <c r="A202"/>
      <c r="C202" s="31"/>
      <c r="D202" s="31"/>
      <c r="E202" s="31"/>
      <c r="F202" s="31"/>
      <c r="G202" s="31"/>
      <c r="H202" s="31"/>
      <c r="I202" s="31"/>
      <c r="J202" s="31"/>
    </row>
    <row r="203" spans="1:10">
      <c r="A203"/>
      <c r="C203" s="31"/>
      <c r="D203" s="31"/>
      <c r="E203" s="31"/>
      <c r="F203" s="31"/>
      <c r="G203" s="31"/>
      <c r="H203" s="31"/>
      <c r="I203" s="31"/>
      <c r="J203" s="31"/>
    </row>
    <row r="204" spans="1:10">
      <c r="A204"/>
      <c r="C204" s="31"/>
      <c r="D204" s="31"/>
      <c r="E204" s="31"/>
      <c r="F204" s="31"/>
      <c r="G204" s="31"/>
      <c r="H204" s="31"/>
      <c r="I204" s="31"/>
      <c r="J204" s="31"/>
    </row>
    <row r="205" spans="1:10">
      <c r="A205"/>
      <c r="C205" s="31"/>
      <c r="D205" s="31"/>
      <c r="E205" s="31"/>
      <c r="F205" s="31"/>
      <c r="G205" s="31"/>
      <c r="H205" s="31"/>
      <c r="I205" s="31"/>
      <c r="J205" s="31"/>
    </row>
    <row r="206" spans="1:10">
      <c r="A206"/>
      <c r="C206" s="31"/>
      <c r="D206" s="31"/>
      <c r="E206" s="31"/>
      <c r="F206" s="31"/>
      <c r="G206" s="31"/>
      <c r="H206" s="31"/>
      <c r="I206" s="31"/>
      <c r="J206" s="31"/>
    </row>
    <row r="207" spans="1:10">
      <c r="A207"/>
      <c r="C207" s="31"/>
      <c r="D207" s="31"/>
      <c r="E207" s="31"/>
      <c r="F207" s="31"/>
      <c r="G207" s="31"/>
      <c r="H207" s="31"/>
      <c r="I207" s="31"/>
      <c r="J207" s="31"/>
    </row>
    <row r="208" spans="1:10">
      <c r="A208"/>
      <c r="C208" s="31"/>
      <c r="D208" s="31"/>
      <c r="E208" s="31"/>
      <c r="F208" s="31"/>
      <c r="G208" s="31"/>
      <c r="H208" s="31"/>
      <c r="I208" s="31"/>
      <c r="J208" s="31"/>
    </row>
    <row r="209" spans="1:10">
      <c r="A209"/>
      <c r="C209" s="31"/>
      <c r="D209" s="31"/>
      <c r="E209" s="31"/>
      <c r="F209" s="31"/>
      <c r="G209" s="31"/>
      <c r="H209" s="31"/>
      <c r="I209" s="31"/>
      <c r="J209" s="31"/>
    </row>
    <row r="210" spans="1:10">
      <c r="A210"/>
      <c r="C210" s="31"/>
      <c r="D210" s="31"/>
      <c r="E210" s="31"/>
      <c r="F210" s="31"/>
      <c r="G210" s="31"/>
      <c r="H210" s="31"/>
      <c r="I210" s="31"/>
      <c r="J210" s="31"/>
    </row>
    <row r="211" spans="1:10">
      <c r="A211"/>
      <c r="C211" s="31"/>
      <c r="D211" s="31"/>
      <c r="E211" s="31"/>
      <c r="F211" s="31"/>
      <c r="G211" s="31"/>
      <c r="H211" s="31"/>
      <c r="I211" s="31"/>
      <c r="J211" s="31"/>
    </row>
    <row r="212" spans="1:10">
      <c r="A212"/>
      <c r="C212" s="31"/>
      <c r="D212" s="31"/>
      <c r="E212" s="31"/>
      <c r="F212" s="31"/>
      <c r="G212" s="31"/>
      <c r="H212" s="31"/>
      <c r="I212" s="31"/>
      <c r="J212" s="31"/>
    </row>
    <row r="213" spans="1:10">
      <c r="A213"/>
      <c r="C213" s="31"/>
      <c r="D213" s="31"/>
      <c r="E213" s="31"/>
      <c r="F213" s="31"/>
      <c r="G213" s="31"/>
      <c r="H213" s="31"/>
      <c r="I213" s="31"/>
      <c r="J213" s="31"/>
    </row>
    <row r="214" spans="1:10">
      <c r="A214"/>
      <c r="C214" s="31"/>
      <c r="D214" s="31"/>
      <c r="E214" s="31"/>
      <c r="F214" s="31"/>
      <c r="G214" s="31"/>
      <c r="H214" s="31"/>
      <c r="I214" s="31"/>
      <c r="J214" s="31"/>
    </row>
    <row r="215" spans="1:10">
      <c r="A215"/>
      <c r="C215" s="31"/>
      <c r="D215" s="31"/>
      <c r="E215" s="31"/>
      <c r="F215" s="31"/>
      <c r="G215" s="31"/>
      <c r="H215" s="31"/>
      <c r="I215" s="31"/>
      <c r="J215" s="31"/>
    </row>
    <row r="216" spans="1:10">
      <c r="A216"/>
      <c r="C216" s="31"/>
      <c r="D216" s="31"/>
      <c r="E216" s="31"/>
      <c r="F216" s="31"/>
      <c r="G216" s="31"/>
      <c r="H216" s="31"/>
      <c r="I216" s="31"/>
      <c r="J216" s="31"/>
    </row>
    <row r="217" spans="1:10">
      <c r="A217"/>
      <c r="C217" s="31"/>
      <c r="D217" s="31"/>
      <c r="E217" s="31"/>
      <c r="F217" s="31"/>
      <c r="G217" s="31"/>
      <c r="H217" s="31"/>
      <c r="I217" s="31"/>
      <c r="J217" s="31"/>
    </row>
    <row r="218" spans="1:10">
      <c r="A218"/>
      <c r="C218" s="31"/>
      <c r="D218" s="31"/>
      <c r="E218" s="31"/>
      <c r="F218" s="31"/>
      <c r="G218" s="31"/>
      <c r="H218" s="31"/>
      <c r="I218" s="31"/>
      <c r="J218" s="31"/>
    </row>
    <row r="219" spans="1:10">
      <c r="A219"/>
      <c r="C219" s="31"/>
      <c r="D219" s="31"/>
      <c r="E219" s="31"/>
      <c r="F219" s="31"/>
      <c r="G219" s="31"/>
      <c r="H219" s="31"/>
      <c r="I219" s="31"/>
      <c r="J219" s="31"/>
    </row>
    <row r="220" spans="1:10">
      <c r="A220"/>
      <c r="C220" s="31"/>
      <c r="D220" s="31"/>
      <c r="E220" s="31"/>
      <c r="F220" s="31"/>
      <c r="G220" s="31"/>
      <c r="H220" s="31"/>
      <c r="I220" s="31"/>
      <c r="J220" s="31"/>
    </row>
    <row r="221" spans="1:10">
      <c r="A221"/>
      <c r="C221" s="31"/>
      <c r="D221" s="31"/>
      <c r="E221" s="31"/>
      <c r="F221" s="31"/>
      <c r="G221" s="31"/>
      <c r="H221" s="31"/>
      <c r="I221" s="31"/>
      <c r="J221" s="31"/>
    </row>
    <row r="222" spans="1:10">
      <c r="A222"/>
      <c r="C222" s="31"/>
      <c r="D222" s="31"/>
      <c r="E222" s="31"/>
      <c r="F222" s="31"/>
      <c r="G222" s="31"/>
      <c r="H222" s="31"/>
      <c r="I222" s="31"/>
      <c r="J222" s="31"/>
    </row>
    <row r="223" spans="1:10">
      <c r="A223"/>
      <c r="C223" s="31"/>
      <c r="D223" s="31"/>
      <c r="E223" s="31"/>
      <c r="F223" s="31"/>
      <c r="G223" s="31"/>
      <c r="H223" s="31"/>
      <c r="I223" s="31"/>
      <c r="J223" s="31"/>
    </row>
    <row r="224" spans="1:10">
      <c r="A224"/>
      <c r="C224" s="31"/>
      <c r="D224" s="31"/>
      <c r="E224" s="31"/>
      <c r="F224" s="31"/>
      <c r="G224" s="31"/>
      <c r="H224" s="31"/>
      <c r="I224" s="31"/>
      <c r="J224" s="31"/>
    </row>
    <row r="225" spans="1:10">
      <c r="A225"/>
      <c r="C225" s="31"/>
      <c r="D225" s="31"/>
      <c r="E225" s="31"/>
      <c r="F225" s="31"/>
      <c r="G225" s="31"/>
      <c r="H225" s="31"/>
      <c r="I225" s="31"/>
      <c r="J225" s="31"/>
    </row>
    <row r="226" spans="1:10">
      <c r="A226"/>
      <c r="C226" s="31"/>
      <c r="D226" s="31"/>
      <c r="E226" s="31"/>
      <c r="F226" s="31"/>
      <c r="G226" s="31"/>
      <c r="H226" s="31"/>
      <c r="I226" s="31"/>
      <c r="J226" s="31"/>
    </row>
    <row r="227" spans="1:10">
      <c r="A227"/>
      <c r="C227" s="31"/>
      <c r="D227" s="31"/>
      <c r="E227" s="31"/>
      <c r="F227" s="31"/>
      <c r="G227" s="31"/>
      <c r="H227" s="31"/>
      <c r="I227" s="31"/>
      <c r="J227" s="31"/>
    </row>
    <row r="228" spans="1:10">
      <c r="A228"/>
      <c r="C228" s="31"/>
      <c r="D228" s="31"/>
      <c r="E228" s="31"/>
      <c r="F228" s="31"/>
      <c r="G228" s="31"/>
      <c r="H228" s="31"/>
      <c r="I228" s="31"/>
      <c r="J228" s="31"/>
    </row>
    <row r="229" spans="1:10">
      <c r="A229"/>
      <c r="C229" s="31"/>
      <c r="D229" s="31"/>
      <c r="E229" s="31"/>
      <c r="F229" s="31"/>
      <c r="G229" s="31"/>
      <c r="H229" s="31"/>
      <c r="I229" s="31"/>
      <c r="J229" s="31"/>
    </row>
    <row r="230" spans="1:10">
      <c r="A230"/>
      <c r="C230" s="31"/>
      <c r="D230" s="31"/>
      <c r="E230" s="31"/>
      <c r="F230" s="31"/>
      <c r="G230" s="31"/>
      <c r="H230" s="31"/>
      <c r="I230" s="31"/>
      <c r="J230" s="31"/>
    </row>
    <row r="231" spans="1:10">
      <c r="A231"/>
      <c r="C231" s="31"/>
      <c r="D231" s="31"/>
      <c r="E231" s="31"/>
      <c r="F231" s="31"/>
      <c r="G231" s="31"/>
      <c r="H231" s="31"/>
      <c r="I231" s="31"/>
      <c r="J231" s="31"/>
    </row>
    <row r="232" spans="1:10">
      <c r="A232"/>
      <c r="C232" s="31"/>
      <c r="D232" s="31"/>
      <c r="E232" s="31"/>
      <c r="F232" s="31"/>
      <c r="G232" s="31"/>
      <c r="H232" s="31"/>
      <c r="I232" s="31"/>
      <c r="J232" s="31"/>
    </row>
    <row r="233" spans="1:10">
      <c r="A233"/>
      <c r="C233" s="31"/>
      <c r="D233" s="31"/>
      <c r="E233" s="31"/>
      <c r="F233" s="31"/>
      <c r="G233" s="31"/>
      <c r="H233" s="31"/>
      <c r="I233" s="31"/>
      <c r="J233" s="31"/>
    </row>
    <row r="234" spans="1:10">
      <c r="A234"/>
      <c r="C234" s="31"/>
      <c r="D234" s="31"/>
      <c r="E234" s="31"/>
      <c r="F234" s="31"/>
      <c r="G234" s="31"/>
      <c r="H234" s="31"/>
      <c r="I234" s="31"/>
      <c r="J234" s="31"/>
    </row>
    <row r="235" spans="1:10">
      <c r="A235"/>
      <c r="C235" s="31"/>
      <c r="D235" s="31"/>
      <c r="E235" s="31"/>
      <c r="F235" s="31"/>
      <c r="G235" s="31"/>
      <c r="H235" s="31"/>
      <c r="I235" s="31"/>
      <c r="J235" s="31"/>
    </row>
    <row r="236" spans="1:10">
      <c r="A236"/>
      <c r="C236" s="31"/>
      <c r="D236" s="31"/>
      <c r="E236" s="31"/>
      <c r="F236" s="31"/>
      <c r="G236" s="31"/>
      <c r="H236" s="31"/>
      <c r="I236" s="31"/>
      <c r="J236" s="31"/>
    </row>
    <row r="237" spans="1:10">
      <c r="A237"/>
      <c r="C237" s="31"/>
      <c r="D237" s="31"/>
      <c r="E237" s="31"/>
      <c r="F237" s="31"/>
      <c r="G237" s="31"/>
      <c r="H237" s="31"/>
      <c r="I237" s="31"/>
      <c r="J237" s="31"/>
    </row>
    <row r="238" spans="1:10">
      <c r="A238"/>
      <c r="C238" s="31"/>
      <c r="D238" s="31"/>
      <c r="E238" s="31"/>
      <c r="F238" s="31"/>
      <c r="G238" s="31"/>
      <c r="H238" s="31"/>
      <c r="I238" s="31"/>
      <c r="J238" s="31"/>
    </row>
    <row r="239" spans="1:10">
      <c r="A239"/>
      <c r="C239" s="31"/>
      <c r="D239" s="31"/>
      <c r="E239" s="31"/>
      <c r="F239" s="31"/>
      <c r="G239" s="31"/>
      <c r="H239" s="31"/>
      <c r="I239" s="31"/>
      <c r="J239" s="31"/>
    </row>
    <row r="240" spans="1:10">
      <c r="A240"/>
      <c r="C240" s="31"/>
      <c r="D240" s="31"/>
      <c r="E240" s="31"/>
      <c r="F240" s="31"/>
      <c r="G240" s="31"/>
      <c r="H240" s="31"/>
      <c r="I240" s="31"/>
      <c r="J240" s="31"/>
    </row>
    <row r="241" spans="1:10">
      <c r="A241"/>
      <c r="C241" s="31"/>
      <c r="D241" s="31"/>
      <c r="E241" s="31"/>
      <c r="F241" s="31"/>
      <c r="G241" s="31"/>
      <c r="H241" s="31"/>
      <c r="I241" s="31"/>
      <c r="J241" s="31"/>
    </row>
    <row r="242" spans="1:10">
      <c r="A242"/>
      <c r="C242" s="31"/>
      <c r="D242" s="31"/>
      <c r="E242" s="31"/>
      <c r="F242" s="31"/>
      <c r="G242" s="31"/>
      <c r="H242" s="31"/>
      <c r="I242" s="31"/>
      <c r="J242" s="31"/>
    </row>
    <row r="243" spans="1:10">
      <c r="A243"/>
      <c r="C243" s="31"/>
      <c r="D243" s="31"/>
      <c r="E243" s="31"/>
      <c r="F243" s="31"/>
      <c r="G243" s="31"/>
      <c r="H243" s="31"/>
      <c r="I243" s="31"/>
      <c r="J243" s="31"/>
    </row>
    <row r="244" spans="1:10">
      <c r="A244"/>
      <c r="C244" s="31"/>
      <c r="D244" s="31"/>
      <c r="E244" s="31"/>
      <c r="F244" s="31"/>
      <c r="G244" s="31"/>
      <c r="H244" s="31"/>
      <c r="I244" s="31"/>
      <c r="J244" s="31"/>
    </row>
    <row r="245" spans="1:10">
      <c r="A245"/>
      <c r="C245" s="31"/>
      <c r="D245" s="31"/>
      <c r="E245" s="31"/>
      <c r="F245" s="31"/>
      <c r="G245" s="31"/>
      <c r="H245" s="31"/>
      <c r="I245" s="31"/>
      <c r="J245" s="31"/>
    </row>
    <row r="246" spans="1:10">
      <c r="A246"/>
      <c r="C246" s="31"/>
      <c r="D246" s="31"/>
      <c r="E246" s="31"/>
      <c r="F246" s="31"/>
      <c r="G246" s="31"/>
      <c r="H246" s="31"/>
      <c r="I246" s="31"/>
      <c r="J246" s="31"/>
    </row>
    <row r="247" spans="1:10">
      <c r="A247"/>
      <c r="C247" s="31"/>
      <c r="D247" s="31"/>
      <c r="E247" s="31"/>
      <c r="F247" s="31"/>
      <c r="G247" s="31"/>
      <c r="H247" s="31"/>
      <c r="I247" s="31"/>
      <c r="J247" s="31"/>
    </row>
    <row r="248" spans="1:10">
      <c r="A248"/>
      <c r="C248" s="31"/>
      <c r="D248" s="31"/>
      <c r="E248" s="31"/>
      <c r="F248" s="31"/>
      <c r="G248" s="31"/>
      <c r="H248" s="31"/>
      <c r="I248" s="31"/>
      <c r="J248" s="31"/>
    </row>
    <row r="249" spans="1:10">
      <c r="A249"/>
      <c r="C249" s="31"/>
      <c r="D249" s="31"/>
      <c r="E249" s="31"/>
      <c r="F249" s="31"/>
      <c r="G249" s="31"/>
      <c r="H249" s="31"/>
      <c r="I249" s="31"/>
      <c r="J249" s="31"/>
    </row>
    <row r="250" spans="1:10">
      <c r="A250"/>
      <c r="C250" s="31"/>
      <c r="D250" s="31"/>
      <c r="E250" s="31"/>
      <c r="F250" s="31"/>
      <c r="G250" s="31"/>
      <c r="H250" s="31"/>
      <c r="I250" s="31"/>
      <c r="J250" s="31"/>
    </row>
    <row r="251" spans="1:10">
      <c r="A251"/>
      <c r="C251" s="31"/>
      <c r="D251" s="31"/>
      <c r="E251" s="31"/>
      <c r="F251" s="31"/>
      <c r="G251" s="31"/>
      <c r="H251" s="31"/>
      <c r="I251" s="31"/>
      <c r="J251" s="31"/>
    </row>
    <row r="252" spans="1:10">
      <c r="A252"/>
      <c r="C252" s="31"/>
      <c r="D252" s="31"/>
      <c r="E252" s="31"/>
      <c r="F252" s="31"/>
      <c r="G252" s="31"/>
      <c r="H252" s="31"/>
      <c r="I252" s="31"/>
      <c r="J252" s="31"/>
    </row>
    <row r="253" spans="1:10">
      <c r="A253"/>
      <c r="C253" s="31"/>
      <c r="D253" s="31"/>
      <c r="E253" s="31"/>
      <c r="F253" s="31"/>
      <c r="G253" s="31"/>
      <c r="H253" s="31"/>
      <c r="I253" s="31"/>
      <c r="J253" s="31"/>
    </row>
    <row r="254" spans="1:10">
      <c r="A254"/>
      <c r="C254" s="31"/>
      <c r="D254" s="31"/>
      <c r="E254" s="31"/>
      <c r="F254" s="31"/>
      <c r="G254" s="31"/>
      <c r="H254" s="31"/>
      <c r="I254" s="31"/>
      <c r="J254" s="31"/>
    </row>
    <row r="255" spans="1:10">
      <c r="A255"/>
      <c r="C255" s="31"/>
      <c r="D255" s="31"/>
      <c r="E255" s="31"/>
      <c r="F255" s="31"/>
      <c r="G255" s="31"/>
      <c r="H255" s="31"/>
      <c r="I255" s="31"/>
      <c r="J255" s="31"/>
    </row>
    <row r="256" spans="1:10">
      <c r="A256"/>
      <c r="C256" s="31"/>
      <c r="D256" s="31"/>
      <c r="E256" s="31"/>
      <c r="F256" s="31"/>
      <c r="G256" s="31"/>
      <c r="H256" s="31"/>
      <c r="I256" s="31"/>
      <c r="J256" s="31"/>
    </row>
    <row r="257" spans="1:10">
      <c r="A257"/>
      <c r="C257" s="31"/>
      <c r="D257" s="31"/>
      <c r="E257" s="31"/>
      <c r="F257" s="31"/>
      <c r="G257" s="31"/>
      <c r="H257" s="31"/>
      <c r="I257" s="31"/>
      <c r="J257" s="31"/>
    </row>
    <row r="258" spans="1:10">
      <c r="A258"/>
      <c r="C258" s="31"/>
      <c r="D258" s="31"/>
      <c r="E258" s="31"/>
      <c r="F258" s="31"/>
      <c r="G258" s="31"/>
      <c r="H258" s="31"/>
      <c r="I258" s="31"/>
      <c r="J258" s="31"/>
    </row>
    <row r="259" spans="1:10">
      <c r="A259"/>
      <c r="C259" s="31"/>
      <c r="D259" s="31"/>
      <c r="E259" s="31"/>
      <c r="F259" s="31"/>
      <c r="G259" s="31"/>
      <c r="H259" s="31"/>
      <c r="I259" s="31"/>
      <c r="J259" s="31"/>
    </row>
    <row r="260" spans="1:10">
      <c r="A260"/>
      <c r="C260" s="31"/>
      <c r="D260" s="31"/>
      <c r="E260" s="31"/>
      <c r="F260" s="31"/>
      <c r="G260" s="31"/>
      <c r="H260" s="31"/>
      <c r="I260" s="31"/>
      <c r="J260" s="31"/>
    </row>
    <row r="261" spans="1:10">
      <c r="A261"/>
      <c r="C261" s="31"/>
      <c r="D261" s="31"/>
      <c r="E261" s="31"/>
      <c r="F261" s="31"/>
      <c r="G261" s="31"/>
      <c r="H261" s="31"/>
      <c r="I261" s="31"/>
      <c r="J261" s="31"/>
    </row>
    <row r="262" spans="1:10">
      <c r="A262"/>
      <c r="C262" s="31"/>
      <c r="D262" s="31"/>
      <c r="E262" s="31"/>
      <c r="F262" s="31"/>
      <c r="G262" s="31"/>
      <c r="H262" s="31"/>
      <c r="I262" s="31"/>
      <c r="J262" s="31"/>
    </row>
    <row r="263" spans="1:10">
      <c r="A263"/>
      <c r="C263" s="31"/>
      <c r="D263" s="31"/>
      <c r="E263" s="31"/>
      <c r="F263" s="31"/>
      <c r="G263" s="31"/>
      <c r="H263" s="31"/>
      <c r="I263" s="31"/>
      <c r="J263" s="31"/>
    </row>
    <row r="264" spans="1:10">
      <c r="A264"/>
      <c r="C264" s="31"/>
      <c r="D264" s="31"/>
      <c r="E264" s="31"/>
      <c r="F264" s="31"/>
      <c r="G264" s="31"/>
      <c r="H264" s="31"/>
      <c r="I264" s="31"/>
      <c r="J264" s="31"/>
    </row>
    <row r="265" spans="1:10">
      <c r="A265"/>
      <c r="C265" s="31"/>
      <c r="D265" s="31"/>
      <c r="E265" s="31"/>
      <c r="F265" s="31"/>
      <c r="G265" s="31"/>
      <c r="H265" s="31"/>
      <c r="I265" s="31"/>
      <c r="J265" s="31"/>
    </row>
    <row r="266" spans="1:10">
      <c r="A266"/>
      <c r="C266" s="31"/>
      <c r="D266" s="31"/>
      <c r="E266" s="31"/>
      <c r="F266" s="31"/>
      <c r="G266" s="31"/>
      <c r="H266" s="31"/>
      <c r="I266" s="31"/>
      <c r="J266" s="31"/>
    </row>
    <row r="267" spans="1:10">
      <c r="A267"/>
      <c r="C267" s="31"/>
      <c r="D267" s="31"/>
      <c r="E267" s="31"/>
      <c r="F267" s="31"/>
      <c r="G267" s="31"/>
      <c r="H267" s="31"/>
      <c r="I267" s="31"/>
      <c r="J267" s="31"/>
    </row>
    <row r="268" spans="1:10">
      <c r="A268"/>
      <c r="C268" s="31"/>
      <c r="D268" s="31"/>
      <c r="E268" s="31"/>
      <c r="F268" s="31"/>
      <c r="G268" s="31"/>
      <c r="H268" s="31"/>
      <c r="I268" s="31"/>
      <c r="J268" s="31"/>
    </row>
    <row r="269" spans="1:10">
      <c r="A269"/>
      <c r="C269" s="31"/>
      <c r="D269" s="31"/>
      <c r="E269" s="31"/>
      <c r="F269" s="31"/>
      <c r="G269" s="31"/>
      <c r="H269" s="31"/>
      <c r="I269" s="31"/>
      <c r="J269" s="31"/>
    </row>
    <row r="270" spans="1:10">
      <c r="C270" s="31"/>
      <c r="D270" s="31"/>
      <c r="E270" s="31"/>
      <c r="F270" s="31"/>
      <c r="G270" s="31"/>
      <c r="H270" s="31"/>
      <c r="I270" s="31"/>
      <c r="J270" s="31"/>
    </row>
    <row r="271" spans="1:10">
      <c r="C271" s="31"/>
      <c r="D271" s="31"/>
      <c r="E271" s="31"/>
      <c r="F271" s="31"/>
      <c r="G271" s="31"/>
      <c r="H271" s="31"/>
      <c r="I271" s="31"/>
      <c r="J271" s="31"/>
    </row>
  </sheetData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/>
  <dimension ref="A1:V745"/>
  <sheetViews>
    <sheetView topLeftCell="A55" workbookViewId="0">
      <selection activeCell="H19" sqref="H19"/>
    </sheetView>
  </sheetViews>
  <sheetFormatPr defaultColWidth="11.42578125" defaultRowHeight="15"/>
  <cols>
    <col min="1" max="1" width="21.42578125" customWidth="1"/>
    <col min="2" max="2" width="24.42578125" customWidth="1"/>
    <col min="3" max="3" width="18.5703125" style="23" bestFit="1" customWidth="1"/>
    <col min="4" max="4" width="16.42578125" style="23" customWidth="1"/>
    <col min="5" max="10" width="18.5703125" style="23" bestFit="1" customWidth="1"/>
    <col min="13" max="15" width="12.140625" bestFit="1" customWidth="1"/>
  </cols>
  <sheetData>
    <row r="1" spans="1:12">
      <c r="A1" t="s">
        <v>390</v>
      </c>
    </row>
    <row r="2" spans="1:12">
      <c r="A2" t="s">
        <v>9</v>
      </c>
    </row>
    <row r="3" spans="1:12">
      <c r="A3" t="s">
        <v>346</v>
      </c>
    </row>
    <row r="5" spans="1:12">
      <c r="A5" t="s">
        <v>11</v>
      </c>
      <c r="B5" t="s">
        <v>17</v>
      </c>
      <c r="C5" s="23">
        <v>2018</v>
      </c>
      <c r="D5" s="23">
        <v>2021</v>
      </c>
      <c r="E5" s="23">
        <v>2025</v>
      </c>
      <c r="F5" s="23">
        <v>2030</v>
      </c>
      <c r="G5" s="23">
        <v>2035</v>
      </c>
      <c r="H5" s="23">
        <v>2040</v>
      </c>
      <c r="I5" s="23">
        <v>2045</v>
      </c>
      <c r="J5" s="23">
        <v>2050</v>
      </c>
      <c r="L5" s="24"/>
    </row>
    <row r="6" spans="1:12">
      <c r="A6" t="s">
        <v>483</v>
      </c>
      <c r="B6" t="s">
        <v>491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485</v>
      </c>
      <c r="B7" t="s">
        <v>491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484</v>
      </c>
      <c r="B8" t="s">
        <v>491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486</v>
      </c>
      <c r="B9" t="s">
        <v>491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481</v>
      </c>
      <c r="B10" t="s">
        <v>491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480</v>
      </c>
      <c r="B11" t="s">
        <v>491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482</v>
      </c>
      <c r="B12" t="s">
        <v>491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487</v>
      </c>
      <c r="B13" t="s">
        <v>491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483</v>
      </c>
      <c r="B14" t="s">
        <v>492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485</v>
      </c>
      <c r="B15" t="s">
        <v>492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484</v>
      </c>
      <c r="B16" t="s">
        <v>492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486</v>
      </c>
      <c r="B17" t="s">
        <v>492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481</v>
      </c>
      <c r="B18" t="s">
        <v>492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480</v>
      </c>
      <c r="B19" t="s">
        <v>492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482</v>
      </c>
      <c r="B20" t="s">
        <v>492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487</v>
      </c>
      <c r="B21" t="s">
        <v>492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483</v>
      </c>
      <c r="B22" t="s">
        <v>493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485</v>
      </c>
      <c r="B23" t="s">
        <v>493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484</v>
      </c>
      <c r="B24" t="s">
        <v>493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486</v>
      </c>
      <c r="B25" t="s">
        <v>493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481</v>
      </c>
      <c r="B26" t="s">
        <v>493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480</v>
      </c>
      <c r="B27" t="s">
        <v>493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482</v>
      </c>
      <c r="B28" t="s">
        <v>493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487</v>
      </c>
      <c r="B29" t="s">
        <v>493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483</v>
      </c>
      <c r="B30" t="s">
        <v>82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485</v>
      </c>
      <c r="B31" t="s">
        <v>82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484</v>
      </c>
      <c r="B32" t="s">
        <v>82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486</v>
      </c>
      <c r="B33" t="s">
        <v>82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481</v>
      </c>
      <c r="B34" t="s">
        <v>82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480</v>
      </c>
      <c r="B35" t="s">
        <v>82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482</v>
      </c>
      <c r="B36" t="s">
        <v>82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487</v>
      </c>
      <c r="B37" t="s">
        <v>82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483</v>
      </c>
      <c r="B38" t="s">
        <v>81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485</v>
      </c>
      <c r="B39" t="s">
        <v>81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484</v>
      </c>
      <c r="B40" t="s">
        <v>81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486</v>
      </c>
      <c r="B41" t="s">
        <v>81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481</v>
      </c>
      <c r="B42" t="s">
        <v>81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480</v>
      </c>
      <c r="B43" t="s">
        <v>81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482</v>
      </c>
      <c r="B44" t="s">
        <v>81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487</v>
      </c>
      <c r="B45" t="s">
        <v>81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485</v>
      </c>
      <c r="B46" t="s">
        <v>80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484</v>
      </c>
      <c r="B47" t="s">
        <v>80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486</v>
      </c>
      <c r="B48" t="s">
        <v>80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481</v>
      </c>
      <c r="B49" t="s">
        <v>80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480</v>
      </c>
      <c r="B50" t="s">
        <v>80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482</v>
      </c>
      <c r="B51" t="s">
        <v>80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487</v>
      </c>
      <c r="B52" t="s">
        <v>80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483</v>
      </c>
      <c r="B53" t="s">
        <v>159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485</v>
      </c>
      <c r="B54" t="s">
        <v>159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484</v>
      </c>
      <c r="B55" t="s">
        <v>159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486</v>
      </c>
      <c r="B56" t="s">
        <v>159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481</v>
      </c>
      <c r="B57" t="s">
        <v>159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480</v>
      </c>
      <c r="B58" t="s">
        <v>159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482</v>
      </c>
      <c r="B59" t="s">
        <v>159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487</v>
      </c>
      <c r="B60" t="s">
        <v>159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483</v>
      </c>
      <c r="B61" t="s">
        <v>158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485</v>
      </c>
      <c r="B62" t="s">
        <v>158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484</v>
      </c>
      <c r="B63" t="s">
        <v>158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486</v>
      </c>
      <c r="B64" t="s">
        <v>158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481</v>
      </c>
      <c r="B65" t="s">
        <v>158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480</v>
      </c>
      <c r="B66" t="s">
        <v>158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482</v>
      </c>
      <c r="B67" t="s">
        <v>158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487</v>
      </c>
      <c r="B68" t="s">
        <v>158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483</v>
      </c>
      <c r="B69" t="s">
        <v>156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485</v>
      </c>
      <c r="B70" t="s">
        <v>156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484</v>
      </c>
      <c r="B71" t="s">
        <v>156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486</v>
      </c>
      <c r="B72" t="s">
        <v>156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481</v>
      </c>
      <c r="B73" t="s">
        <v>156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480</v>
      </c>
      <c r="B74" t="s">
        <v>156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482</v>
      </c>
      <c r="B75" t="s">
        <v>156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487</v>
      </c>
      <c r="B76" t="s">
        <v>156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483</v>
      </c>
      <c r="B77" t="s">
        <v>157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485</v>
      </c>
      <c r="B78" t="s">
        <v>157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484</v>
      </c>
      <c r="B79" t="s">
        <v>157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486</v>
      </c>
      <c r="B80" t="s">
        <v>157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481</v>
      </c>
      <c r="B81" t="s">
        <v>157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480</v>
      </c>
      <c r="B82" t="s">
        <v>157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482</v>
      </c>
      <c r="B83" t="s">
        <v>157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487</v>
      </c>
      <c r="B84" t="s">
        <v>157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483</v>
      </c>
      <c r="B85" t="s">
        <v>90</v>
      </c>
      <c r="C85" s="20">
        <v>2.3999999999999998E-3</v>
      </c>
      <c r="D85" s="20">
        <v>2.3999999999999998E-3</v>
      </c>
      <c r="E85" s="20">
        <v>2.3999999999999998E-3</v>
      </c>
      <c r="F85" s="20">
        <v>2.3999999999999998E-3</v>
      </c>
      <c r="G85" s="20">
        <v>2.3999999999999998E-3</v>
      </c>
      <c r="H85" s="20">
        <v>2.3999999999999998E-3</v>
      </c>
      <c r="I85" s="20">
        <v>2.3999999999999998E-3</v>
      </c>
      <c r="J85" s="20">
        <v>2.3999999999999998E-3</v>
      </c>
    </row>
    <row r="86" spans="1:10">
      <c r="A86" t="s">
        <v>484</v>
      </c>
      <c r="B86" t="s">
        <v>90</v>
      </c>
      <c r="C86" s="20">
        <v>7.9699999999999997E-3</v>
      </c>
      <c r="D86" s="20">
        <v>7.9699999999999997E-3</v>
      </c>
      <c r="E86" s="20">
        <v>7.9699999999999997E-3</v>
      </c>
      <c r="F86" s="20">
        <v>7.9699999999999997E-3</v>
      </c>
      <c r="G86" s="20">
        <v>7.9699999999999997E-3</v>
      </c>
      <c r="H86" s="20">
        <v>7.9699999999999997E-3</v>
      </c>
      <c r="I86" s="20">
        <v>7.9699999999999997E-3</v>
      </c>
      <c r="J86" s="20">
        <v>7.9699999999999997E-3</v>
      </c>
    </row>
    <row r="87" spans="1:10">
      <c r="A87" t="s">
        <v>486</v>
      </c>
      <c r="B87" t="s">
        <v>90</v>
      </c>
      <c r="C87" s="20">
        <v>2.0000000000000001E-4</v>
      </c>
      <c r="D87" s="20">
        <v>2.0000000000000001E-4</v>
      </c>
      <c r="E87" s="20">
        <v>2.0000000000000001E-4</v>
      </c>
      <c r="F87" s="20">
        <v>2.0000000000000001E-4</v>
      </c>
      <c r="G87" s="20">
        <v>2.0000000000000001E-4</v>
      </c>
      <c r="H87" s="20">
        <v>2.0000000000000001E-4</v>
      </c>
      <c r="I87" s="20">
        <v>2.0000000000000001E-4</v>
      </c>
      <c r="J87" s="20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266</v>
      </c>
      <c r="N362" t="s">
        <v>156</v>
      </c>
      <c r="O362" s="23">
        <v>65.820045741028594</v>
      </c>
      <c r="P362" s="23">
        <v>65.820045741028594</v>
      </c>
      <c r="Q362" s="23">
        <v>65.820045741028594</v>
      </c>
      <c r="R362" s="23">
        <v>65.820045741028594</v>
      </c>
      <c r="S362" s="23">
        <v>65.820045741028594</v>
      </c>
      <c r="T362" s="23">
        <v>65.820045741028594</v>
      </c>
      <c r="U362" s="23">
        <v>65.820045741028594</v>
      </c>
      <c r="V362" s="23">
        <v>65.820045741028594</v>
      </c>
    </row>
    <row r="363" spans="3:22">
      <c r="M363" t="s">
        <v>267</v>
      </c>
      <c r="N363" t="s">
        <v>156</v>
      </c>
      <c r="O363" s="23">
        <v>76.085236927821001</v>
      </c>
      <c r="P363" s="23">
        <v>76.085236927821001</v>
      </c>
      <c r="Q363" s="23">
        <v>76.085236927821001</v>
      </c>
      <c r="R363" s="23">
        <v>76.085236927821001</v>
      </c>
      <c r="S363" s="23">
        <v>76.085236927821001</v>
      </c>
      <c r="T363" s="23">
        <v>76.085236927821001</v>
      </c>
      <c r="U363" s="23">
        <v>76.085236927821001</v>
      </c>
      <c r="V363" s="23">
        <v>76.085236927821001</v>
      </c>
    </row>
    <row r="364" spans="3:22">
      <c r="M364" t="s">
        <v>268</v>
      </c>
      <c r="N364" t="s">
        <v>156</v>
      </c>
      <c r="O364" s="23">
        <v>20.93285073857475</v>
      </c>
      <c r="P364" s="23">
        <v>20.93285073857475</v>
      </c>
      <c r="Q364" s="23">
        <v>20.93285073857475</v>
      </c>
      <c r="R364" s="23">
        <v>20.93285073857475</v>
      </c>
      <c r="S364" s="23">
        <v>20.93285073857475</v>
      </c>
      <c r="T364" s="23">
        <v>20.93285073857475</v>
      </c>
      <c r="U364" s="23">
        <v>20.93285073857475</v>
      </c>
      <c r="V364" s="23">
        <v>20.93285073857475</v>
      </c>
    </row>
    <row r="365" spans="3:22">
      <c r="M365" t="s">
        <v>269</v>
      </c>
      <c r="N365" t="s">
        <v>156</v>
      </c>
      <c r="O365" s="23">
        <v>67.547330585132741</v>
      </c>
      <c r="P365" s="23">
        <v>67.547330585132741</v>
      </c>
      <c r="Q365" s="23">
        <v>67.547330585132741</v>
      </c>
      <c r="R365" s="23">
        <v>67.547330585132741</v>
      </c>
      <c r="S365" s="23">
        <v>67.547330585132741</v>
      </c>
      <c r="T365" s="23">
        <v>67.547330585132741</v>
      </c>
      <c r="U365" s="23">
        <v>67.547330585132741</v>
      </c>
      <c r="V365" s="23">
        <v>67.547330585132741</v>
      </c>
    </row>
    <row r="366" spans="3:22">
      <c r="M366" t="s">
        <v>270</v>
      </c>
      <c r="N366" t="s">
        <v>156</v>
      </c>
      <c r="O366" s="23">
        <v>59.925357884434241</v>
      </c>
      <c r="P366" s="23">
        <v>59.925357884434241</v>
      </c>
      <c r="Q366" s="23">
        <v>59.925357884434241</v>
      </c>
      <c r="R366" s="23">
        <v>59.925357884434241</v>
      </c>
      <c r="S366" s="23">
        <v>59.925357884434241</v>
      </c>
      <c r="T366" s="23">
        <v>59.925357884434241</v>
      </c>
      <c r="U366" s="23">
        <v>59.925357884434241</v>
      </c>
      <c r="V366" s="23">
        <v>59.925357884434241</v>
      </c>
    </row>
    <row r="367" spans="3:22">
      <c r="M367" t="s">
        <v>271</v>
      </c>
      <c r="N367" t="s">
        <v>156</v>
      </c>
      <c r="O367" s="23">
        <v>500.14764081946714</v>
      </c>
      <c r="P367" s="23">
        <v>500.14764081946714</v>
      </c>
      <c r="Q367" s="23">
        <v>500.14764081946714</v>
      </c>
      <c r="R367" s="23">
        <v>500.14764081946714</v>
      </c>
      <c r="S367" s="23">
        <v>500.14764081946714</v>
      </c>
      <c r="T367" s="23">
        <v>500.14764081946714</v>
      </c>
      <c r="U367" s="23">
        <v>500.14764081946714</v>
      </c>
      <c r="V367" s="23">
        <v>500.14764081946714</v>
      </c>
    </row>
    <row r="368" spans="3:22">
      <c r="M368" t="s">
        <v>272</v>
      </c>
      <c r="N368" t="s">
        <v>156</v>
      </c>
      <c r="O368" s="23">
        <v>40.256056216624273</v>
      </c>
      <c r="P368" s="23">
        <v>40.256056216624273</v>
      </c>
      <c r="Q368" s="23">
        <v>40.256056216624273</v>
      </c>
      <c r="R368" s="23">
        <v>40.256056216624273</v>
      </c>
      <c r="S368" s="23">
        <v>40.256056216624273</v>
      </c>
      <c r="T368" s="23">
        <v>40.256056216624273</v>
      </c>
      <c r="U368" s="23">
        <v>40.256056216624273</v>
      </c>
      <c r="V368" s="23">
        <v>40.256056216624273</v>
      </c>
    </row>
    <row r="369" spans="13:22">
      <c r="M369" t="s">
        <v>273</v>
      </c>
      <c r="N369" t="s">
        <v>156</v>
      </c>
      <c r="O369" s="23">
        <v>487.66262871539328</v>
      </c>
      <c r="P369" s="23">
        <v>487.66262871539328</v>
      </c>
      <c r="Q369" s="23">
        <v>487.66262871539328</v>
      </c>
      <c r="R369" s="23">
        <v>487.66262871539328</v>
      </c>
      <c r="S369" s="23">
        <v>487.66262871539328</v>
      </c>
      <c r="T369" s="23">
        <v>487.66262871539328</v>
      </c>
      <c r="U369" s="23">
        <v>487.66262871539328</v>
      </c>
      <c r="V369" s="23">
        <v>487.66262871539328</v>
      </c>
    </row>
    <row r="370" spans="13:22">
      <c r="M370" t="s">
        <v>274</v>
      </c>
      <c r="N370" t="s">
        <v>156</v>
      </c>
      <c r="O370" s="23">
        <v>389.04571844698876</v>
      </c>
      <c r="P370" s="23">
        <v>389.04571844698876</v>
      </c>
      <c r="Q370" s="23">
        <v>389.04571844698876</v>
      </c>
      <c r="R370" s="23">
        <v>389.04571844698876</v>
      </c>
      <c r="S370" s="23">
        <v>389.04571844698876</v>
      </c>
      <c r="T370" s="23">
        <v>389.04571844698876</v>
      </c>
      <c r="U370" s="23">
        <v>389.04571844698876</v>
      </c>
      <c r="V370" s="23">
        <v>389.04571844698876</v>
      </c>
    </row>
    <row r="371" spans="13:22">
      <c r="M371" t="s">
        <v>275</v>
      </c>
      <c r="N371" t="s">
        <v>156</v>
      </c>
      <c r="O371" s="23">
        <v>327.15469850445265</v>
      </c>
      <c r="P371" s="23">
        <v>327.15469850445265</v>
      </c>
      <c r="Q371" s="23">
        <v>327.15469850445265</v>
      </c>
      <c r="R371" s="23">
        <v>327.15469850445265</v>
      </c>
      <c r="S371" s="23">
        <v>327.15469850445265</v>
      </c>
      <c r="T371" s="23">
        <v>327.15469850445265</v>
      </c>
      <c r="U371" s="23">
        <v>327.15469850445265</v>
      </c>
      <c r="V371" s="23">
        <v>327.15469850445265</v>
      </c>
    </row>
    <row r="372" spans="13:22">
      <c r="M372" t="s">
        <v>276</v>
      </c>
      <c r="N372" t="s">
        <v>156</v>
      </c>
      <c r="O372" s="23">
        <v>258.68540103922237</v>
      </c>
      <c r="P372" s="23">
        <v>258.68540103922237</v>
      </c>
      <c r="Q372" s="23">
        <v>258.68540103922237</v>
      </c>
      <c r="R372" s="23">
        <v>258.68540103922237</v>
      </c>
      <c r="S372" s="23">
        <v>258.68540103922237</v>
      </c>
      <c r="T372" s="23">
        <v>258.68540103922237</v>
      </c>
      <c r="U372" s="23">
        <v>258.68540103922237</v>
      </c>
      <c r="V372" s="23">
        <v>258.68540103922237</v>
      </c>
    </row>
    <row r="373" spans="13:22">
      <c r="M373" t="s">
        <v>277</v>
      </c>
      <c r="N373" t="s">
        <v>156</v>
      </c>
      <c r="O373" s="23">
        <v>45.8268505771767</v>
      </c>
      <c r="P373" s="23">
        <v>45.8268505771767</v>
      </c>
      <c r="Q373" s="23">
        <v>45.8268505771767</v>
      </c>
      <c r="R373" s="23">
        <v>45.8268505771767</v>
      </c>
      <c r="S373" s="23">
        <v>45.8268505771767</v>
      </c>
      <c r="T373" s="23">
        <v>45.8268505771767</v>
      </c>
      <c r="U373" s="23">
        <v>45.8268505771767</v>
      </c>
      <c r="V373" s="23">
        <v>45.8268505771767</v>
      </c>
    </row>
    <row r="374" spans="13:22">
      <c r="M374" t="s">
        <v>278</v>
      </c>
      <c r="N374" t="s">
        <v>156</v>
      </c>
      <c r="O374" s="23">
        <v>356.88843167231295</v>
      </c>
      <c r="P374" s="23">
        <v>356.88843167231295</v>
      </c>
      <c r="Q374" s="23">
        <v>356.88843167231295</v>
      </c>
      <c r="R374" s="23">
        <v>356.88843167231295</v>
      </c>
      <c r="S374" s="23">
        <v>356.88843167231295</v>
      </c>
      <c r="T374" s="23">
        <v>356.88843167231295</v>
      </c>
      <c r="U374" s="23">
        <v>356.88843167231295</v>
      </c>
      <c r="V374" s="23">
        <v>356.88843167231295</v>
      </c>
    </row>
    <row r="375" spans="13:22">
      <c r="M375" t="s">
        <v>279</v>
      </c>
      <c r="N375" t="s">
        <v>156</v>
      </c>
      <c r="O375" s="23">
        <v>253.53837610735107</v>
      </c>
      <c r="P375" s="23">
        <v>253.53837610735107</v>
      </c>
      <c r="Q375" s="23">
        <v>253.53837610735107</v>
      </c>
      <c r="R375" s="23">
        <v>253.53837610735107</v>
      </c>
      <c r="S375" s="23">
        <v>253.53837610735107</v>
      </c>
      <c r="T375" s="23">
        <v>253.53837610735107</v>
      </c>
      <c r="U375" s="23">
        <v>253.53837610735107</v>
      </c>
      <c r="V375" s="23">
        <v>253.53837610735107</v>
      </c>
    </row>
    <row r="376" spans="13:22">
      <c r="M376" t="s">
        <v>288</v>
      </c>
      <c r="N376" t="s">
        <v>156</v>
      </c>
      <c r="O376" s="23">
        <v>213.72791792937628</v>
      </c>
      <c r="P376" s="23">
        <v>213.72791792937628</v>
      </c>
      <c r="Q376" s="23">
        <v>213.72791792937628</v>
      </c>
      <c r="R376" s="23">
        <v>213.72791792937628</v>
      </c>
      <c r="S376" s="23">
        <v>213.72791792937628</v>
      </c>
      <c r="T376" s="23">
        <v>213.72791792937628</v>
      </c>
      <c r="U376" s="23">
        <v>213.72791792937628</v>
      </c>
      <c r="V376" s="23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266</v>
      </c>
      <c r="N379" t="s">
        <v>157</v>
      </c>
      <c r="O379" s="23">
        <v>73.286615442456608</v>
      </c>
      <c r="P379" s="23">
        <v>73.286615442456608</v>
      </c>
      <c r="Q379" s="23">
        <v>73.286615442456608</v>
      </c>
      <c r="R379" s="23">
        <v>73.286615442456608</v>
      </c>
      <c r="S379" s="23">
        <v>73.286615442456608</v>
      </c>
      <c r="T379" s="23">
        <v>73.286615442456608</v>
      </c>
      <c r="U379" s="23">
        <v>73.286615442456608</v>
      </c>
      <c r="V379" s="23">
        <v>73.286615442456608</v>
      </c>
    </row>
    <row r="380" spans="13:22">
      <c r="M380" t="s">
        <v>267</v>
      </c>
      <c r="N380" t="s">
        <v>157</v>
      </c>
      <c r="O380" s="23">
        <v>37.756469465347188</v>
      </c>
      <c r="P380" s="23">
        <v>37.756469465347188</v>
      </c>
      <c r="Q380" s="23">
        <v>37.756469465347188</v>
      </c>
      <c r="R380" s="23">
        <v>37.756469465347188</v>
      </c>
      <c r="S380" s="23">
        <v>37.756469465347188</v>
      </c>
      <c r="T380" s="23">
        <v>37.756469465347188</v>
      </c>
      <c r="U380" s="23">
        <v>37.756469465347188</v>
      </c>
      <c r="V380" s="23">
        <v>37.756469465347188</v>
      </c>
    </row>
    <row r="381" spans="13:22">
      <c r="M381" t="s">
        <v>268</v>
      </c>
      <c r="N381" t="s">
        <v>157</v>
      </c>
      <c r="O381" s="23">
        <v>19.999865351724221</v>
      </c>
      <c r="P381" s="23">
        <v>19.999865351724221</v>
      </c>
      <c r="Q381" s="23">
        <v>19.999865351724221</v>
      </c>
      <c r="R381" s="23">
        <v>19.999865351724221</v>
      </c>
      <c r="S381" s="23">
        <v>19.999865351724221</v>
      </c>
      <c r="T381" s="23">
        <v>19.999865351724221</v>
      </c>
      <c r="U381" s="23">
        <v>19.999865351724221</v>
      </c>
      <c r="V381" s="23">
        <v>19.999865351724221</v>
      </c>
    </row>
    <row r="382" spans="13:22">
      <c r="M382" t="s">
        <v>269</v>
      </c>
      <c r="N382" t="s">
        <v>157</v>
      </c>
      <c r="O382" s="23">
        <v>74.991117985797089</v>
      </c>
      <c r="P382" s="23">
        <v>74.991117985797089</v>
      </c>
      <c r="Q382" s="23">
        <v>74.991117985797089</v>
      </c>
      <c r="R382" s="23">
        <v>74.991117985797089</v>
      </c>
      <c r="S382" s="23">
        <v>74.991117985797089</v>
      </c>
      <c r="T382" s="23">
        <v>74.991117985797089</v>
      </c>
      <c r="U382" s="23">
        <v>74.991117985797089</v>
      </c>
      <c r="V382" s="23">
        <v>74.991117985797089</v>
      </c>
    </row>
    <row r="383" spans="13:22">
      <c r="M383" t="s">
        <v>270</v>
      </c>
      <c r="N383" t="s">
        <v>157</v>
      </c>
      <c r="O383" s="23">
        <v>54.891598464476111</v>
      </c>
      <c r="P383" s="23">
        <v>54.891598464476111</v>
      </c>
      <c r="Q383" s="23">
        <v>54.891598464476111</v>
      </c>
      <c r="R383" s="23">
        <v>54.891598464476111</v>
      </c>
      <c r="S383" s="23">
        <v>54.891598464476111</v>
      </c>
      <c r="T383" s="23">
        <v>54.891598464476111</v>
      </c>
      <c r="U383" s="23">
        <v>54.891598464476111</v>
      </c>
      <c r="V383" s="23">
        <v>54.891598464476111</v>
      </c>
    </row>
    <row r="384" spans="13:22">
      <c r="M384" t="s">
        <v>271</v>
      </c>
      <c r="N384" t="s">
        <v>157</v>
      </c>
      <c r="O384" s="23">
        <v>416.83052705856466</v>
      </c>
      <c r="P384" s="23">
        <v>416.83052705856466</v>
      </c>
      <c r="Q384" s="23">
        <v>416.83052705856466</v>
      </c>
      <c r="R384" s="23">
        <v>416.83052705856466</v>
      </c>
      <c r="S384" s="23">
        <v>416.83052705856466</v>
      </c>
      <c r="T384" s="23">
        <v>416.83052705856466</v>
      </c>
      <c r="U384" s="23">
        <v>416.83052705856466</v>
      </c>
      <c r="V384" s="23">
        <v>416.83052705856466</v>
      </c>
    </row>
    <row r="385" spans="13:22">
      <c r="M385" t="s">
        <v>272</v>
      </c>
      <c r="N385" t="s">
        <v>157</v>
      </c>
      <c r="O385" s="23">
        <v>20.877473470201608</v>
      </c>
      <c r="P385" s="23">
        <v>20.877473470201608</v>
      </c>
      <c r="Q385" s="23">
        <v>20.877473470201608</v>
      </c>
      <c r="R385" s="23">
        <v>20.877473470201608</v>
      </c>
      <c r="S385" s="23">
        <v>20.877473470201608</v>
      </c>
      <c r="T385" s="23">
        <v>20.877473470201608</v>
      </c>
      <c r="U385" s="23">
        <v>20.877473470201608</v>
      </c>
      <c r="V385" s="23">
        <v>20.877473470201608</v>
      </c>
    </row>
    <row r="386" spans="13:22">
      <c r="M386" t="s">
        <v>273</v>
      </c>
      <c r="N386" t="s">
        <v>157</v>
      </c>
      <c r="O386" s="23">
        <v>520.14152416124296</v>
      </c>
      <c r="P386" s="23">
        <v>520.14152416124296</v>
      </c>
      <c r="Q386" s="23">
        <v>520.14152416124296</v>
      </c>
      <c r="R386" s="23">
        <v>520.14152416124296</v>
      </c>
      <c r="S386" s="23">
        <v>520.14152416124296</v>
      </c>
      <c r="T386" s="23">
        <v>520.14152416124296</v>
      </c>
      <c r="U386" s="23">
        <v>520.14152416124296</v>
      </c>
      <c r="V386" s="23">
        <v>520.14152416124296</v>
      </c>
    </row>
    <row r="387" spans="13:22">
      <c r="M387" t="s">
        <v>274</v>
      </c>
      <c r="N387" t="s">
        <v>157</v>
      </c>
      <c r="O387" s="23">
        <v>211.58879749195361</v>
      </c>
      <c r="P387" s="23">
        <v>211.58879749195361</v>
      </c>
      <c r="Q387" s="23">
        <v>211.58879749195361</v>
      </c>
      <c r="R387" s="23">
        <v>211.58879749195361</v>
      </c>
      <c r="S387" s="23">
        <v>211.58879749195361</v>
      </c>
      <c r="T387" s="23">
        <v>211.58879749195361</v>
      </c>
      <c r="U387" s="23">
        <v>211.58879749195361</v>
      </c>
      <c r="V387" s="23">
        <v>211.58879749195361</v>
      </c>
    </row>
    <row r="388" spans="13:22">
      <c r="M388" t="s">
        <v>275</v>
      </c>
      <c r="N388" t="s">
        <v>157</v>
      </c>
      <c r="O388" s="23">
        <v>670.04415479610032</v>
      </c>
      <c r="P388" s="23">
        <v>670.04415479610032</v>
      </c>
      <c r="Q388" s="23">
        <v>670.04415479610032</v>
      </c>
      <c r="R388" s="23">
        <v>670.04415479610032</v>
      </c>
      <c r="S388" s="23">
        <v>670.04415479610032</v>
      </c>
      <c r="T388" s="23">
        <v>670.04415479610032</v>
      </c>
      <c r="U388" s="23">
        <v>670.04415479610032</v>
      </c>
      <c r="V388" s="23">
        <v>670.04415479610032</v>
      </c>
    </row>
    <row r="389" spans="13:22">
      <c r="M389" t="s">
        <v>276</v>
      </c>
      <c r="N389" t="s">
        <v>157</v>
      </c>
      <c r="O389" s="23">
        <v>702.85878737091514</v>
      </c>
      <c r="P389" s="23">
        <v>702.85878737091514</v>
      </c>
      <c r="Q389" s="23">
        <v>702.85878737091514</v>
      </c>
      <c r="R389" s="23">
        <v>702.85878737091514</v>
      </c>
      <c r="S389" s="23">
        <v>702.85878737091514</v>
      </c>
      <c r="T389" s="23">
        <v>702.85878737091514</v>
      </c>
      <c r="U389" s="23">
        <v>702.85878737091514</v>
      </c>
      <c r="V389" s="23">
        <v>702.85878737091514</v>
      </c>
    </row>
    <row r="390" spans="13:22">
      <c r="M390" t="s">
        <v>277</v>
      </c>
      <c r="N390" t="s">
        <v>157</v>
      </c>
      <c r="O390" s="23">
        <v>23.408221565813491</v>
      </c>
      <c r="P390" s="23">
        <v>23.408221565813491</v>
      </c>
      <c r="Q390" s="23">
        <v>23.408221565813491</v>
      </c>
      <c r="R390" s="23">
        <v>23.408221565813491</v>
      </c>
      <c r="S390" s="23">
        <v>23.408221565813491</v>
      </c>
      <c r="T390" s="23">
        <v>23.408221565813491</v>
      </c>
      <c r="U390" s="23">
        <v>23.408221565813491</v>
      </c>
      <c r="V390" s="23">
        <v>23.408221565813491</v>
      </c>
    </row>
    <row r="391" spans="13:22">
      <c r="M391" t="s">
        <v>278</v>
      </c>
      <c r="N391" t="s">
        <v>157</v>
      </c>
      <c r="O391" s="23">
        <v>181.41601630718262</v>
      </c>
      <c r="P391" s="23">
        <v>181.41601630718262</v>
      </c>
      <c r="Q391" s="23">
        <v>181.41601630718262</v>
      </c>
      <c r="R391" s="23">
        <v>181.41601630718262</v>
      </c>
      <c r="S391" s="23">
        <v>181.41601630718262</v>
      </c>
      <c r="T391" s="23">
        <v>181.41601630718262</v>
      </c>
      <c r="U391" s="23">
        <v>181.41601630718262</v>
      </c>
      <c r="V391" s="23">
        <v>181.41601630718262</v>
      </c>
    </row>
    <row r="392" spans="13:22">
      <c r="M392" t="s">
        <v>279</v>
      </c>
      <c r="N392" t="s">
        <v>157</v>
      </c>
      <c r="O392" s="23">
        <v>111.91081539316926</v>
      </c>
      <c r="P392" s="23">
        <v>111.91081539316926</v>
      </c>
      <c r="Q392" s="23">
        <v>111.91081539316926</v>
      </c>
      <c r="R392" s="23">
        <v>111.91081539316926</v>
      </c>
      <c r="S392" s="23">
        <v>111.91081539316926</v>
      </c>
      <c r="T392" s="23">
        <v>111.91081539316926</v>
      </c>
      <c r="U392" s="23">
        <v>111.91081539316926</v>
      </c>
      <c r="V392" s="23">
        <v>111.91081539316926</v>
      </c>
    </row>
    <row r="393" spans="13:22">
      <c r="M393" t="s">
        <v>288</v>
      </c>
      <c r="N393" t="s">
        <v>157</v>
      </c>
      <c r="O393" s="23">
        <v>287.87534837756562</v>
      </c>
      <c r="P393" s="23">
        <v>287.87534837756562</v>
      </c>
      <c r="Q393" s="23">
        <v>287.87534837756562</v>
      </c>
      <c r="R393" s="23">
        <v>287.87534837756562</v>
      </c>
      <c r="S393" s="23">
        <v>287.87534837756562</v>
      </c>
      <c r="T393" s="23">
        <v>287.87534837756562</v>
      </c>
      <c r="U393" s="23">
        <v>287.87534837756562</v>
      </c>
      <c r="V393" s="23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5"/>
      <c r="D578" s="25"/>
      <c r="E578" s="25"/>
      <c r="F578" s="25"/>
      <c r="G578" s="25"/>
      <c r="H578" s="25"/>
      <c r="I578" s="25"/>
      <c r="J578" s="25"/>
    </row>
    <row r="579" spans="1:12">
      <c r="A579" s="5"/>
      <c r="C579" s="25"/>
      <c r="D579" s="25"/>
      <c r="E579" s="25"/>
      <c r="F579" s="25"/>
      <c r="G579" s="25"/>
      <c r="H579" s="25"/>
      <c r="I579" s="25"/>
      <c r="J579" s="25"/>
    </row>
    <row r="580" spans="1:12">
      <c r="A580" s="5"/>
      <c r="C580" s="25"/>
      <c r="D580" s="25"/>
      <c r="E580" s="25"/>
      <c r="F580" s="25"/>
      <c r="G580" s="25"/>
      <c r="H580" s="25"/>
      <c r="I580" s="25"/>
      <c r="J580" s="25"/>
      <c r="L580" s="16"/>
    </row>
    <row r="581" spans="1:12">
      <c r="A581" s="5"/>
      <c r="C581" s="25"/>
      <c r="D581" s="25"/>
      <c r="E581" s="25"/>
      <c r="F581" s="25"/>
      <c r="G581" s="25"/>
      <c r="H581" s="25"/>
      <c r="I581" s="25"/>
      <c r="J581" s="25"/>
      <c r="L581" s="16"/>
    </row>
    <row r="582" spans="1:12">
      <c r="A582" s="5"/>
      <c r="C582" s="25"/>
      <c r="D582" s="25"/>
      <c r="E582" s="25"/>
      <c r="F582" s="25"/>
      <c r="G582" s="25"/>
      <c r="H582" s="25"/>
      <c r="I582" s="25"/>
      <c r="J582" s="25"/>
    </row>
    <row r="583" spans="1:12">
      <c r="A583" s="5"/>
      <c r="C583" s="25"/>
      <c r="D583" s="25"/>
      <c r="E583" s="25"/>
      <c r="F583" s="25"/>
      <c r="G583" s="25"/>
      <c r="H583" s="25"/>
      <c r="I583" s="25"/>
      <c r="J583" s="25"/>
    </row>
    <row r="584" spans="1:12">
      <c r="A584" s="5"/>
      <c r="C584" s="25"/>
      <c r="D584" s="25"/>
      <c r="E584" s="25"/>
      <c r="F584" s="25"/>
      <c r="G584" s="25"/>
      <c r="H584" s="25"/>
      <c r="I584" s="25"/>
      <c r="J584" s="25"/>
    </row>
    <row r="585" spans="1:12">
      <c r="A585" s="5"/>
      <c r="C585" s="25"/>
      <c r="D585" s="25"/>
      <c r="E585" s="25"/>
      <c r="F585" s="25"/>
      <c r="G585" s="25"/>
      <c r="H585" s="25"/>
      <c r="I585" s="25"/>
      <c r="J585" s="25"/>
    </row>
    <row r="586" spans="1:12">
      <c r="A586" s="5"/>
      <c r="C586" s="25"/>
      <c r="D586" s="25"/>
      <c r="E586" s="25"/>
      <c r="F586" s="25"/>
      <c r="G586" s="25"/>
      <c r="H586" s="25"/>
      <c r="I586" s="25"/>
      <c r="J586" s="25"/>
    </row>
    <row r="587" spans="1:12">
      <c r="A587" s="5"/>
      <c r="C587" s="25"/>
      <c r="D587" s="25"/>
      <c r="E587" s="25"/>
      <c r="F587" s="25"/>
      <c r="G587" s="25"/>
      <c r="H587" s="25"/>
      <c r="I587" s="25"/>
      <c r="J587" s="25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5"/>
      <c r="D591" s="25"/>
      <c r="E591" s="25"/>
      <c r="F591" s="25"/>
      <c r="G591" s="25"/>
      <c r="H591" s="25"/>
      <c r="I591" s="25"/>
      <c r="J591" s="25"/>
    </row>
    <row r="592" spans="1:12">
      <c r="A592" s="5"/>
      <c r="C592" s="25"/>
      <c r="D592" s="25"/>
      <c r="E592" s="25"/>
      <c r="F592" s="25"/>
      <c r="G592" s="25"/>
      <c r="H592" s="25"/>
      <c r="I592" s="25"/>
      <c r="J592" s="25"/>
    </row>
    <row r="593" spans="1:10">
      <c r="A593" s="5"/>
      <c r="C593" s="25"/>
      <c r="D593" s="25"/>
      <c r="E593" s="25"/>
      <c r="F593" s="25"/>
      <c r="G593" s="25"/>
      <c r="H593" s="25"/>
      <c r="I593" s="25"/>
      <c r="J593" s="25"/>
    </row>
    <row r="594" spans="1:10">
      <c r="A594" s="5"/>
      <c r="C594" s="25"/>
      <c r="D594" s="25"/>
      <c r="E594" s="25"/>
      <c r="F594" s="25"/>
      <c r="G594" s="25"/>
      <c r="H594" s="25"/>
      <c r="I594" s="25"/>
      <c r="J594" s="25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309</v>
      </c>
    </row>
    <row r="649" spans="2:11">
      <c r="K649" s="14" t="s">
        <v>309</v>
      </c>
    </row>
    <row r="650" spans="2:11">
      <c r="K650" s="14" t="s">
        <v>309</v>
      </c>
    </row>
    <row r="651" spans="2:11">
      <c r="K651" s="14" t="s">
        <v>309</v>
      </c>
    </row>
    <row r="652" spans="2:11">
      <c r="K652" s="14" t="s">
        <v>309</v>
      </c>
    </row>
    <row r="653" spans="2:11">
      <c r="K653" s="14" t="s">
        <v>309</v>
      </c>
    </row>
    <row r="654" spans="2:11">
      <c r="K654" s="14" t="s">
        <v>309</v>
      </c>
    </row>
    <row r="655" spans="2:11">
      <c r="K655" s="14" t="s">
        <v>309</v>
      </c>
    </row>
    <row r="656" spans="2:11">
      <c r="K656" s="14" t="s">
        <v>309</v>
      </c>
    </row>
    <row r="657" spans="3:11">
      <c r="K657" s="14" t="s">
        <v>309</v>
      </c>
    </row>
    <row r="658" spans="3:11">
      <c r="K658" s="14" t="s">
        <v>309</v>
      </c>
    </row>
    <row r="659" spans="3:11">
      <c r="K659" s="14" t="s">
        <v>309</v>
      </c>
    </row>
    <row r="660" spans="3:11">
      <c r="K660" s="14" t="s">
        <v>309</v>
      </c>
    </row>
    <row r="661" spans="3:11">
      <c r="K661" s="14" t="s">
        <v>309</v>
      </c>
    </row>
    <row r="662" spans="3:11">
      <c r="K662" s="14" t="s">
        <v>309</v>
      </c>
    </row>
    <row r="663" spans="3:11">
      <c r="K663" s="14" t="s">
        <v>309</v>
      </c>
    </row>
    <row r="664" spans="3:11">
      <c r="K664" s="14" t="s">
        <v>309</v>
      </c>
    </row>
    <row r="665" spans="3:11">
      <c r="K665" s="14" t="s">
        <v>309</v>
      </c>
    </row>
    <row r="666" spans="3:11">
      <c r="K666" s="14" t="s">
        <v>309</v>
      </c>
    </row>
    <row r="667" spans="3:11">
      <c r="K667" s="14" t="s">
        <v>309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autoFilter ref="A5:K774" xr:uid="{00000000-0001-0000-2400-000000000000}"/>
  <hyperlinks>
    <hyperlink ref="K648" r:id="rId1" xr:uid="{DCABC242-840A-4B3B-BDD6-2B6BE3F3709B}"/>
    <hyperlink ref="K649" r:id="rId2" xr:uid="{C2F99213-191B-4D1C-9E81-6AF70C6A2738}"/>
    <hyperlink ref="K650" r:id="rId3" xr:uid="{717153EE-8336-4C5E-91E1-4F0BBAAB1F9A}"/>
    <hyperlink ref="K651" r:id="rId4" xr:uid="{59D9C87A-AB65-4464-9D47-3FE8A050A53D}"/>
    <hyperlink ref="K652" r:id="rId5" xr:uid="{A763C15A-B70D-41F4-A36C-0B49563B2978}"/>
    <hyperlink ref="K653" r:id="rId6" xr:uid="{55D1DDC6-91FF-4BF9-BB8F-936B97B9F9FF}"/>
    <hyperlink ref="K654" r:id="rId7" xr:uid="{26C706A0-CD98-4E18-BD13-1F60ECDA6893}"/>
    <hyperlink ref="K655" r:id="rId8" xr:uid="{CDB0D632-38C4-4B8D-A625-0D40ED240CC3}"/>
    <hyperlink ref="K656" r:id="rId9" xr:uid="{605BD6D2-5D11-42D8-B51B-3A8107253DF8}"/>
    <hyperlink ref="K657" r:id="rId10" xr:uid="{50925CB6-5027-4E2C-9B7B-4DF65FFA803D}"/>
    <hyperlink ref="K658" r:id="rId11" xr:uid="{5ADEF9BA-7B1C-4EA0-86EF-9AF62A7FCE4B}"/>
    <hyperlink ref="K659" r:id="rId12" xr:uid="{F4C32BB6-774B-4A78-8178-A13CCA6596E7}"/>
    <hyperlink ref="K660" r:id="rId13" xr:uid="{31CC976D-0EE9-4BC0-AE8E-BEE3DA440144}"/>
    <hyperlink ref="K661" r:id="rId14" xr:uid="{3F8B681F-C72C-4FF5-9A62-B78725075DE2}"/>
    <hyperlink ref="K662" r:id="rId15" xr:uid="{A1E1B8B6-DD02-4CFF-A1C9-0C9F883B38F5}"/>
    <hyperlink ref="K663" r:id="rId16" xr:uid="{CBBEB800-AE65-41C2-BA0A-0C1B4BC5BDC0}"/>
    <hyperlink ref="K664" r:id="rId17" xr:uid="{C3B40CD6-C117-4928-AA05-3AA561422DDB}"/>
    <hyperlink ref="K665" r:id="rId18" xr:uid="{07EA5E8F-1157-492C-8AB1-AB366E0DB75D}"/>
    <hyperlink ref="K666" r:id="rId19" xr:uid="{BFD3211F-D1E6-4444-933C-B6BB1E1551AB}"/>
    <hyperlink ref="K667" r:id="rId20" xr:uid="{B5AD2F7A-14A3-45D3-B1C4-F82657A53ED3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/>
  <dimension ref="A1:J47"/>
  <sheetViews>
    <sheetView workbookViewId="0">
      <selection activeCell="F13" sqref="F13"/>
    </sheetView>
  </sheetViews>
  <sheetFormatPr defaultColWidth="11.42578125" defaultRowHeight="15"/>
  <cols>
    <col min="1" max="1" width="20.85546875" style="21" customWidth="1"/>
    <col min="2" max="2" width="15.5703125" bestFit="1" customWidth="1"/>
  </cols>
  <sheetData>
    <row r="1" spans="1:10">
      <c r="A1" s="21" t="s">
        <v>391</v>
      </c>
      <c r="C1" s="23"/>
      <c r="D1" s="23"/>
      <c r="E1" s="23"/>
      <c r="F1" s="68" t="s">
        <v>494</v>
      </c>
      <c r="G1" s="23"/>
      <c r="H1" s="23"/>
      <c r="I1" s="23"/>
      <c r="J1" s="23"/>
    </row>
    <row r="2" spans="1:10">
      <c r="A2" s="21" t="s">
        <v>329</v>
      </c>
      <c r="C2" s="23"/>
      <c r="D2" s="23"/>
      <c r="E2" s="23"/>
      <c r="F2" s="23"/>
      <c r="G2" s="23"/>
      <c r="H2" s="23"/>
      <c r="I2" s="23"/>
      <c r="J2" s="23"/>
    </row>
    <row r="3" spans="1:10">
      <c r="A3" s="21" t="s">
        <v>371</v>
      </c>
      <c r="C3" s="23"/>
      <c r="D3" s="23"/>
      <c r="E3" s="23"/>
      <c r="F3" s="23"/>
      <c r="G3" s="23"/>
      <c r="H3" s="23"/>
      <c r="I3" s="23"/>
      <c r="J3" s="23"/>
    </row>
    <row r="4" spans="1:10">
      <c r="A4" s="21" t="s">
        <v>11</v>
      </c>
      <c r="B4" t="s">
        <v>17</v>
      </c>
      <c r="C4" t="s">
        <v>26</v>
      </c>
      <c r="D4" s="23"/>
      <c r="E4" s="23"/>
      <c r="F4" s="23"/>
      <c r="G4" s="23"/>
      <c r="H4" s="23"/>
      <c r="I4" s="23"/>
      <c r="J4" s="23"/>
    </row>
    <row r="5" spans="1:10">
      <c r="C5" s="16"/>
      <c r="F5" s="21"/>
    </row>
    <row r="6" spans="1:10">
      <c r="C6" s="16"/>
      <c r="F6" s="21"/>
    </row>
    <row r="7" spans="1:10">
      <c r="C7" s="16"/>
      <c r="F7" s="21"/>
    </row>
    <row r="8" spans="1:10">
      <c r="C8" s="16"/>
      <c r="F8" s="21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32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2578125" defaultRowHeight="15"/>
  <sheetData>
    <row r="1" spans="1:10">
      <c r="A1" t="s">
        <v>392</v>
      </c>
    </row>
    <row r="2" spans="1:10">
      <c r="A2" t="s">
        <v>10</v>
      </c>
    </row>
    <row r="3" spans="1:10">
      <c r="A3" t="s">
        <v>346</v>
      </c>
    </row>
    <row r="5" spans="1:10">
      <c r="A5" t="s">
        <v>11</v>
      </c>
      <c r="B5" t="s">
        <v>17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5"/>
  <sheetViews>
    <sheetView zoomScaleNormal="100" workbookViewId="0">
      <pane xSplit="1" ySplit="5" topLeftCell="B15" activePane="bottomRight" state="frozen"/>
      <selection activeCell="D17" sqref="D17"/>
      <selection pane="topRight" activeCell="D17" sqref="D17"/>
      <selection pane="bottomLeft" activeCell="D17" sqref="D17"/>
      <selection pane="bottomRight" activeCell="D22" sqref="D22"/>
    </sheetView>
  </sheetViews>
  <sheetFormatPr defaultColWidth="11.42578125" defaultRowHeight="15"/>
  <cols>
    <col min="1" max="2" width="23.42578125" customWidth="1"/>
    <col min="3" max="8" width="17.140625" customWidth="1"/>
    <col min="9" max="21" width="17" customWidth="1"/>
  </cols>
  <sheetData>
    <row r="1" spans="1:20">
      <c r="A1" t="s">
        <v>393</v>
      </c>
    </row>
    <row r="2" spans="1:20">
      <c r="A2" t="s">
        <v>330</v>
      </c>
    </row>
    <row r="3" spans="1:20">
      <c r="A3" t="s">
        <v>363</v>
      </c>
    </row>
    <row r="5" spans="1:20">
      <c r="A5" t="s">
        <v>17</v>
      </c>
      <c r="B5" t="s">
        <v>324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495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496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497</v>
      </c>
    </row>
    <row r="6" spans="1:20">
      <c r="A6" s="2" t="s">
        <v>121</v>
      </c>
      <c r="B6" s="2">
        <v>1</v>
      </c>
      <c r="G6">
        <v>1</v>
      </c>
      <c r="S6">
        <v>1</v>
      </c>
    </row>
    <row r="7" spans="1:20">
      <c r="A7" s="2" t="s">
        <v>121</v>
      </c>
      <c r="B7" s="2">
        <v>2</v>
      </c>
      <c r="G7">
        <v>1</v>
      </c>
      <c r="M7">
        <v>1</v>
      </c>
    </row>
    <row r="8" spans="1:20">
      <c r="A8" s="2" t="s">
        <v>121</v>
      </c>
      <c r="B8" s="2">
        <v>3</v>
      </c>
      <c r="G8">
        <v>1</v>
      </c>
      <c r="M8">
        <v>1</v>
      </c>
    </row>
    <row r="9" spans="1:20">
      <c r="A9" s="2" t="s">
        <v>122</v>
      </c>
      <c r="B9" s="2">
        <v>1</v>
      </c>
      <c r="G9">
        <v>1</v>
      </c>
      <c r="M9">
        <v>1</v>
      </c>
    </row>
    <row r="10" spans="1:20">
      <c r="A10" s="2" t="s">
        <v>116</v>
      </c>
      <c r="B10" s="2">
        <v>1</v>
      </c>
      <c r="F10">
        <v>1</v>
      </c>
      <c r="L10">
        <v>1</v>
      </c>
    </row>
    <row r="11" spans="1:20">
      <c r="A11" s="2" t="s">
        <v>52</v>
      </c>
      <c r="B11" s="2">
        <v>1</v>
      </c>
      <c r="F11">
        <v>1</v>
      </c>
      <c r="L11">
        <v>1</v>
      </c>
    </row>
    <row r="12" spans="1:20">
      <c r="A12" s="2" t="s">
        <v>117</v>
      </c>
      <c r="B12" s="2">
        <v>1</v>
      </c>
      <c r="F12">
        <v>1</v>
      </c>
      <c r="R12">
        <v>1</v>
      </c>
    </row>
    <row r="13" spans="1:20">
      <c r="A13" s="2" t="s">
        <v>117</v>
      </c>
      <c r="B13" s="2">
        <v>2</v>
      </c>
      <c r="F13">
        <v>1</v>
      </c>
      <c r="L13">
        <v>1</v>
      </c>
    </row>
    <row r="14" spans="1:20">
      <c r="A14" s="2" t="s">
        <v>117</v>
      </c>
      <c r="B14" s="2">
        <v>3</v>
      </c>
      <c r="F14">
        <v>1</v>
      </c>
      <c r="L14">
        <v>1</v>
      </c>
    </row>
    <row r="15" spans="1:20">
      <c r="A15" s="2" t="s">
        <v>297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162</v>
      </c>
      <c r="B16" s="2">
        <v>1</v>
      </c>
      <c r="F16">
        <v>1</v>
      </c>
      <c r="L16">
        <v>1</v>
      </c>
    </row>
    <row r="17" spans="1:20">
      <c r="A17" s="2" t="s">
        <v>118</v>
      </c>
      <c r="B17" s="2">
        <v>1</v>
      </c>
      <c r="F17">
        <v>1</v>
      </c>
      <c r="R17">
        <v>1</v>
      </c>
    </row>
    <row r="18" spans="1:20">
      <c r="A18" s="2" t="s">
        <v>118</v>
      </c>
      <c r="B18" s="2">
        <v>2</v>
      </c>
      <c r="F18">
        <v>1</v>
      </c>
      <c r="L18">
        <v>1</v>
      </c>
    </row>
    <row r="19" spans="1:20">
      <c r="A19" s="2" t="s">
        <v>118</v>
      </c>
      <c r="B19" s="2">
        <v>3</v>
      </c>
      <c r="F19">
        <v>1</v>
      </c>
      <c r="L19">
        <v>1</v>
      </c>
    </row>
    <row r="20" spans="1:20">
      <c r="A20" s="2" t="s">
        <v>488</v>
      </c>
      <c r="B20" s="2">
        <v>1</v>
      </c>
      <c r="H20">
        <v>1</v>
      </c>
      <c r="N20">
        <v>1</v>
      </c>
    </row>
    <row r="21" spans="1:20">
      <c r="A21" s="2" t="s">
        <v>489</v>
      </c>
      <c r="B21" s="2">
        <v>1</v>
      </c>
      <c r="H21">
        <v>1</v>
      </c>
      <c r="T21">
        <v>1</v>
      </c>
    </row>
    <row r="22" spans="1:20">
      <c r="A22" s="2" t="s">
        <v>489</v>
      </c>
      <c r="B22" s="2">
        <v>2</v>
      </c>
      <c r="H22">
        <v>1</v>
      </c>
      <c r="N22">
        <v>1</v>
      </c>
    </row>
    <row r="23" spans="1:20">
      <c r="A23" s="2" t="s">
        <v>490</v>
      </c>
      <c r="B23" s="2">
        <v>1</v>
      </c>
      <c r="H23">
        <v>1</v>
      </c>
      <c r="T23">
        <v>1</v>
      </c>
    </row>
    <row r="24" spans="1:20">
      <c r="A24" t="s">
        <v>165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164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124</v>
      </c>
      <c r="B26" s="2">
        <v>1</v>
      </c>
      <c r="E26">
        <v>1</v>
      </c>
      <c r="K26">
        <v>1</v>
      </c>
    </row>
    <row r="27" spans="1:20">
      <c r="A27" s="2" t="s">
        <v>53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53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125</v>
      </c>
      <c r="B29" s="2">
        <v>1</v>
      </c>
      <c r="E29">
        <v>1</v>
      </c>
      <c r="J29" s="3"/>
      <c r="K29">
        <v>1</v>
      </c>
    </row>
    <row r="30" spans="1:20">
      <c r="A30" s="2" t="s">
        <v>119</v>
      </c>
      <c r="B30" s="2">
        <v>1</v>
      </c>
      <c r="D30">
        <v>1</v>
      </c>
      <c r="P30">
        <v>1</v>
      </c>
    </row>
    <row r="31" spans="1:20">
      <c r="A31" s="2" t="s">
        <v>119</v>
      </c>
      <c r="B31" s="2">
        <v>2</v>
      </c>
      <c r="D31">
        <v>1</v>
      </c>
      <c r="J31">
        <v>1</v>
      </c>
    </row>
    <row r="32" spans="1:20">
      <c r="A32" s="2" t="s">
        <v>119</v>
      </c>
      <c r="B32" s="2">
        <v>3</v>
      </c>
      <c r="D32">
        <v>1</v>
      </c>
      <c r="J32">
        <v>1</v>
      </c>
    </row>
    <row r="33" spans="1:15">
      <c r="A33" s="2" t="s">
        <v>120</v>
      </c>
      <c r="B33" s="2">
        <v>1</v>
      </c>
      <c r="D33">
        <v>1</v>
      </c>
      <c r="J33">
        <v>1</v>
      </c>
    </row>
    <row r="34" spans="1:15">
      <c r="A34" s="2" t="s">
        <v>55</v>
      </c>
      <c r="B34" s="2">
        <v>1</v>
      </c>
      <c r="C34">
        <v>1</v>
      </c>
      <c r="I34">
        <v>1</v>
      </c>
    </row>
    <row r="35" spans="1:15">
      <c r="A35" s="2" t="s">
        <v>114</v>
      </c>
      <c r="B35" s="2">
        <v>1</v>
      </c>
      <c r="C35">
        <v>1</v>
      </c>
      <c r="I35">
        <v>1</v>
      </c>
    </row>
    <row r="36" spans="1:15">
      <c r="A36" s="2" t="s">
        <v>54</v>
      </c>
      <c r="B36" s="2">
        <v>1</v>
      </c>
      <c r="C36">
        <v>1</v>
      </c>
      <c r="O36">
        <v>1</v>
      </c>
    </row>
    <row r="37" spans="1:15">
      <c r="A37" s="2" t="s">
        <v>54</v>
      </c>
      <c r="B37" s="2">
        <v>2</v>
      </c>
      <c r="C37">
        <v>1</v>
      </c>
      <c r="I37">
        <v>1</v>
      </c>
    </row>
    <row r="38" spans="1:15">
      <c r="A38" s="2" t="s">
        <v>54</v>
      </c>
      <c r="B38" s="2">
        <v>3</v>
      </c>
      <c r="C38">
        <v>1</v>
      </c>
      <c r="I38">
        <v>1</v>
      </c>
    </row>
    <row r="39" spans="1:15">
      <c r="A39" s="2" t="s">
        <v>299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115</v>
      </c>
      <c r="B40" s="2">
        <v>1</v>
      </c>
      <c r="C40">
        <v>1</v>
      </c>
      <c r="O40">
        <v>1</v>
      </c>
    </row>
    <row r="41" spans="1:15">
      <c r="A41" s="2" t="s">
        <v>115</v>
      </c>
      <c r="B41" s="2">
        <v>2</v>
      </c>
      <c r="C41">
        <v>1</v>
      </c>
      <c r="I41">
        <v>1</v>
      </c>
    </row>
    <row r="42" spans="1:15">
      <c r="A42" s="2" t="s">
        <v>115</v>
      </c>
      <c r="B42" s="2">
        <v>3</v>
      </c>
      <c r="C42">
        <v>1</v>
      </c>
      <c r="I42">
        <v>1</v>
      </c>
    </row>
    <row r="43" spans="1:15">
      <c r="A43" s="2" t="s">
        <v>499</v>
      </c>
      <c r="B43" s="2">
        <v>1</v>
      </c>
      <c r="H43">
        <v>1</v>
      </c>
      <c r="N43">
        <v>1</v>
      </c>
    </row>
    <row r="44" spans="1:15">
      <c r="A44" s="2" t="s">
        <v>500</v>
      </c>
      <c r="B44" s="2">
        <v>1</v>
      </c>
      <c r="H44">
        <v>1</v>
      </c>
      <c r="N44">
        <v>1</v>
      </c>
    </row>
    <row r="45" spans="1:15">
      <c r="A45" s="2"/>
      <c r="B45" s="2"/>
    </row>
  </sheetData>
  <dataValidations count="1">
    <dataValidation type="list" allowBlank="1" showInputMessage="1" showErrorMessage="1" sqref="A27 A11:A14 A38:A39 A41" xr:uid="{6166F6C5-5727-42BD-95D5-27E5E3F659A3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/>
  <dimension ref="A1:L486"/>
  <sheetViews>
    <sheetView workbookViewId="0">
      <pane xSplit="2" ySplit="5" topLeftCell="C42" activePane="bottomRight" state="frozen"/>
      <selection pane="topRight" activeCell="C1" sqref="C1"/>
      <selection pane="bottomLeft" activeCell="A6" sqref="A6"/>
      <selection pane="bottomRight" activeCell="G64" activeCellId="2" sqref="L64 H64 G64"/>
    </sheetView>
  </sheetViews>
  <sheetFormatPr defaultColWidth="9.140625" defaultRowHeight="15"/>
  <cols>
    <col min="1" max="1" width="25.28515625" customWidth="1"/>
    <col min="2" max="2" width="30.28515625" customWidth="1"/>
    <col min="3" max="4" width="25.28515625" customWidth="1"/>
    <col min="5" max="8" width="15.42578125" customWidth="1"/>
    <col min="9" max="9" width="12.85546875" bestFit="1" customWidth="1"/>
    <col min="10" max="10" width="19" bestFit="1" customWidth="1"/>
    <col min="11" max="11" width="17.5703125" bestFit="1" customWidth="1"/>
    <col min="12" max="12" width="16.85546875" bestFit="1" customWidth="1"/>
    <col min="13" max="13" width="17.42578125" bestFit="1" customWidth="1"/>
    <col min="14" max="14" width="15.85546875" bestFit="1" customWidth="1"/>
    <col min="15" max="15" width="16.140625" bestFit="1" customWidth="1"/>
    <col min="16" max="16" width="22.42578125" bestFit="1" customWidth="1"/>
    <col min="17" max="17" width="20.85546875" bestFit="1" customWidth="1"/>
    <col min="18" max="18" width="20" bestFit="1" customWidth="1"/>
    <col min="19" max="19" width="20.42578125" bestFit="1" customWidth="1"/>
    <col min="20" max="20" width="19.140625" bestFit="1" customWidth="1"/>
    <col min="21" max="21" width="19.42578125" bestFit="1" customWidth="1"/>
  </cols>
  <sheetData>
    <row r="1" spans="1:12">
      <c r="A1" t="s">
        <v>397</v>
      </c>
    </row>
    <row r="2" spans="1:12">
      <c r="A2" t="s">
        <v>334</v>
      </c>
    </row>
    <row r="3" spans="1:12">
      <c r="A3" s="15" t="s">
        <v>364</v>
      </c>
      <c r="B3" s="3"/>
      <c r="C3" s="3"/>
      <c r="D3" s="3"/>
      <c r="E3" s="3"/>
      <c r="F3" s="3"/>
      <c r="G3" s="3"/>
      <c r="H3" s="3"/>
      <c r="I3" s="3"/>
    </row>
    <row r="4" spans="1:12">
      <c r="A4" s="2"/>
      <c r="B4" s="2"/>
      <c r="C4" s="2"/>
      <c r="D4" s="2"/>
      <c r="E4" s="2"/>
      <c r="F4" s="2"/>
      <c r="G4" s="2"/>
      <c r="H4" s="2"/>
      <c r="I4" s="2"/>
    </row>
    <row r="5" spans="1:12">
      <c r="A5" t="s">
        <v>11</v>
      </c>
      <c r="B5" t="s">
        <v>12</v>
      </c>
      <c r="C5" t="s">
        <v>18</v>
      </c>
      <c r="D5" t="s">
        <v>28</v>
      </c>
      <c r="E5" t="s">
        <v>29</v>
      </c>
      <c r="F5" t="s">
        <v>30</v>
      </c>
      <c r="G5" s="69" t="s">
        <v>495</v>
      </c>
      <c r="H5" t="s">
        <v>40</v>
      </c>
      <c r="I5" t="s">
        <v>41</v>
      </c>
      <c r="J5" t="s">
        <v>42</v>
      </c>
      <c r="K5" t="s">
        <v>497</v>
      </c>
      <c r="L5" t="s">
        <v>34</v>
      </c>
    </row>
    <row r="6" spans="1:12">
      <c r="A6" t="s">
        <v>483</v>
      </c>
      <c r="B6" t="s">
        <v>138</v>
      </c>
      <c r="C6">
        <v>2018</v>
      </c>
      <c r="D6" s="20">
        <v>0.57999999999999996</v>
      </c>
      <c r="E6">
        <v>0</v>
      </c>
      <c r="F6" s="20">
        <v>0</v>
      </c>
      <c r="G6" s="69">
        <v>0.41</v>
      </c>
      <c r="H6" s="20">
        <v>0.57999999999999996</v>
      </c>
      <c r="I6" s="20">
        <v>0</v>
      </c>
      <c r="J6" s="20">
        <v>0</v>
      </c>
      <c r="K6" s="20">
        <v>0.41</v>
      </c>
    </row>
    <row r="7" spans="1:12">
      <c r="A7" t="s">
        <v>483</v>
      </c>
      <c r="B7" t="s">
        <v>138</v>
      </c>
      <c r="C7">
        <v>2021</v>
      </c>
      <c r="D7" s="20">
        <f>D6*0.99</f>
        <v>0.57419999999999993</v>
      </c>
      <c r="E7" s="20">
        <f t="shared" ref="E7:K7" si="0">E6*0.99</f>
        <v>0</v>
      </c>
      <c r="F7" s="20">
        <f t="shared" si="0"/>
        <v>0</v>
      </c>
      <c r="G7" s="20">
        <f>G6*0.99</f>
        <v>0.40589999999999998</v>
      </c>
      <c r="H7" s="20">
        <f t="shared" si="0"/>
        <v>0.57419999999999993</v>
      </c>
      <c r="I7" s="20">
        <f t="shared" si="0"/>
        <v>0</v>
      </c>
      <c r="J7" s="20">
        <f t="shared" si="0"/>
        <v>0</v>
      </c>
      <c r="K7" s="20">
        <f t="shared" si="0"/>
        <v>0.40589999999999998</v>
      </c>
      <c r="L7">
        <f>D7*0.01</f>
        <v>5.7419999999999997E-3</v>
      </c>
    </row>
    <row r="8" spans="1:12">
      <c r="A8" t="s">
        <v>483</v>
      </c>
      <c r="B8" t="s">
        <v>138</v>
      </c>
      <c r="C8">
        <v>2025</v>
      </c>
      <c r="D8">
        <f>D7*0.99</f>
        <v>0.56845799999999991</v>
      </c>
      <c r="E8">
        <f t="shared" ref="E8:K8" si="1">E7*0.98</f>
        <v>0</v>
      </c>
      <c r="F8">
        <f>F7*0.98</f>
        <v>0</v>
      </c>
      <c r="G8">
        <f>G7*0.99</f>
        <v>0.401841</v>
      </c>
      <c r="H8">
        <f t="shared" si="1"/>
        <v>0.56271599999999988</v>
      </c>
      <c r="I8">
        <f t="shared" si="1"/>
        <v>0</v>
      </c>
      <c r="J8">
        <f t="shared" si="1"/>
        <v>0</v>
      </c>
      <c r="K8">
        <f t="shared" si="1"/>
        <v>0.39778199999999997</v>
      </c>
      <c r="L8">
        <f>D8*0.03</f>
        <v>1.7053739999999998E-2</v>
      </c>
    </row>
    <row r="9" spans="1:12">
      <c r="A9" t="s">
        <v>483</v>
      </c>
      <c r="B9" t="s">
        <v>138</v>
      </c>
      <c r="C9">
        <v>2030</v>
      </c>
      <c r="D9">
        <f>D8*0.98</f>
        <v>0.55708883999999992</v>
      </c>
      <c r="E9">
        <f t="shared" ref="E9:G13" si="2">E8*0.97</f>
        <v>0</v>
      </c>
      <c r="F9">
        <f t="shared" si="2"/>
        <v>0</v>
      </c>
      <c r="G9">
        <f>G8*0.98</f>
        <v>0.39380418</v>
      </c>
      <c r="H9">
        <f t="shared" ref="E9:K9" si="3">H8*0.9</f>
        <v>0.50644439999999991</v>
      </c>
      <c r="I9">
        <f t="shared" si="3"/>
        <v>0</v>
      </c>
      <c r="J9">
        <f t="shared" si="3"/>
        <v>0</v>
      </c>
      <c r="K9">
        <f t="shared" si="3"/>
        <v>0.35800379999999998</v>
      </c>
      <c r="L9">
        <f>D9*0.15</f>
        <v>8.3563325999999979E-2</v>
      </c>
    </row>
    <row r="10" spans="1:12">
      <c r="A10" t="s">
        <v>483</v>
      </c>
      <c r="B10" t="s">
        <v>138</v>
      </c>
      <c r="C10">
        <v>2035</v>
      </c>
      <c r="D10">
        <f>D9*0.98</f>
        <v>0.54594706319999986</v>
      </c>
      <c r="E10">
        <f t="shared" si="2"/>
        <v>0</v>
      </c>
      <c r="F10">
        <f t="shared" si="2"/>
        <v>0</v>
      </c>
      <c r="G10">
        <f>G9*0.98</f>
        <v>0.38592809639999998</v>
      </c>
      <c r="H10" s="20">
        <f>H9*0.5</f>
        <v>0.25322219999999995</v>
      </c>
      <c r="I10" s="20">
        <f t="shared" ref="I10:K10" si="4">I9*0.5</f>
        <v>0</v>
      </c>
      <c r="J10" s="20">
        <f t="shared" si="4"/>
        <v>0</v>
      </c>
      <c r="K10" s="20">
        <f>K9*0.7</f>
        <v>0.25060265999999998</v>
      </c>
      <c r="L10">
        <f>D10*0.3</f>
        <v>0.16378411895999995</v>
      </c>
    </row>
    <row r="11" spans="1:12">
      <c r="A11" t="s">
        <v>483</v>
      </c>
      <c r="B11" t="s">
        <v>138</v>
      </c>
      <c r="C11">
        <v>2040</v>
      </c>
      <c r="D11">
        <f>D10*0.98</f>
        <v>0.5350281219359998</v>
      </c>
      <c r="E11">
        <f t="shared" si="2"/>
        <v>0</v>
      </c>
      <c r="F11">
        <f t="shared" si="2"/>
        <v>0</v>
      </c>
      <c r="G11">
        <f>G10*0.98</f>
        <v>0.37820953447199995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</row>
    <row r="12" spans="1:12">
      <c r="A12" t="s">
        <v>483</v>
      </c>
      <c r="B12" t="s">
        <v>138</v>
      </c>
      <c r="C12">
        <v>2045</v>
      </c>
      <c r="D12">
        <f>D11*0.97</f>
        <v>0.51897727827791984</v>
      </c>
      <c r="E12">
        <f t="shared" si="2"/>
        <v>0</v>
      </c>
      <c r="F12">
        <f t="shared" si="2"/>
        <v>0</v>
      </c>
      <c r="G12">
        <f>G11*0.97</f>
        <v>0.36686324843783996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</row>
    <row r="13" spans="1:12">
      <c r="A13" t="s">
        <v>483</v>
      </c>
      <c r="B13" t="s">
        <v>138</v>
      </c>
      <c r="C13">
        <v>2050</v>
      </c>
      <c r="D13">
        <f>D12*0.97</f>
        <v>0.5034079599295822</v>
      </c>
      <c r="E13">
        <f t="shared" si="2"/>
        <v>0</v>
      </c>
      <c r="F13">
        <f t="shared" si="2"/>
        <v>0</v>
      </c>
      <c r="G13">
        <f>G12*0.97</f>
        <v>0.35585735098470478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</row>
    <row r="14" spans="1:12">
      <c r="A14" t="s">
        <v>485</v>
      </c>
      <c r="B14" t="s">
        <v>138</v>
      </c>
      <c r="C14">
        <v>2018</v>
      </c>
      <c r="D14" s="20">
        <v>0.28000000000000003</v>
      </c>
      <c r="E14">
        <v>0</v>
      </c>
      <c r="F14" s="20">
        <v>0.52</v>
      </c>
      <c r="G14" s="69">
        <v>0.19</v>
      </c>
      <c r="H14" s="20">
        <v>0.28000000000000003</v>
      </c>
      <c r="I14" s="20">
        <v>0</v>
      </c>
      <c r="J14" s="20">
        <v>0.52</v>
      </c>
      <c r="K14" s="20">
        <v>0.19</v>
      </c>
    </row>
    <row r="15" spans="1:12">
      <c r="A15" t="s">
        <v>485</v>
      </c>
      <c r="B15" t="s">
        <v>138</v>
      </c>
      <c r="C15">
        <v>2021</v>
      </c>
      <c r="D15" s="20">
        <f>D14*0.99</f>
        <v>0.2772</v>
      </c>
      <c r="E15" s="20">
        <f t="shared" ref="E15" si="5">E14*0.99</f>
        <v>0</v>
      </c>
      <c r="F15" s="20">
        <f t="shared" ref="F15" si="6">F14*0.99</f>
        <v>0.51480000000000004</v>
      </c>
      <c r="G15" s="20">
        <f>G14*0.99</f>
        <v>0.18809999999999999</v>
      </c>
      <c r="H15" s="20">
        <f t="shared" ref="H15" si="7">H14*0.99</f>
        <v>0.2772</v>
      </c>
      <c r="I15" s="20">
        <f t="shared" ref="I15" si="8">I14*0.99</f>
        <v>0</v>
      </c>
      <c r="J15" s="20">
        <f t="shared" ref="J15" si="9">J14*0.99</f>
        <v>0.51480000000000004</v>
      </c>
      <c r="K15" s="20">
        <f t="shared" ref="K15" si="10">K14*0.99</f>
        <v>0.18809999999999999</v>
      </c>
      <c r="L15">
        <f>D15*0.01</f>
        <v>2.7720000000000002E-3</v>
      </c>
    </row>
    <row r="16" spans="1:12">
      <c r="A16" t="s">
        <v>485</v>
      </c>
      <c r="B16" t="s">
        <v>138</v>
      </c>
      <c r="C16">
        <v>2025</v>
      </c>
      <c r="D16">
        <f>D15*0.99</f>
        <v>0.27442800000000001</v>
      </c>
      <c r="E16">
        <f t="shared" ref="E16" si="11">E15*0.98</f>
        <v>0</v>
      </c>
      <c r="F16">
        <f>F15*0.98</f>
        <v>0.50450400000000006</v>
      </c>
      <c r="G16">
        <f>G15*0.99</f>
        <v>0.186219</v>
      </c>
      <c r="H16">
        <f t="shared" ref="H16" si="12">H15*0.98</f>
        <v>0.27165600000000001</v>
      </c>
      <c r="I16">
        <f t="shared" ref="I16" si="13">I15*0.98</f>
        <v>0</v>
      </c>
      <c r="J16">
        <f t="shared" ref="J16" si="14">J15*0.98</f>
        <v>0.50450400000000006</v>
      </c>
      <c r="K16">
        <f t="shared" ref="K16" si="15">K15*0.98</f>
        <v>0.18433799999999997</v>
      </c>
      <c r="L16">
        <f>D16*0.03</f>
        <v>8.2328399999999999E-3</v>
      </c>
    </row>
    <row r="17" spans="1:12">
      <c r="A17" t="s">
        <v>485</v>
      </c>
      <c r="B17" t="s">
        <v>138</v>
      </c>
      <c r="C17">
        <v>2030</v>
      </c>
      <c r="D17">
        <f>D16*0.98</f>
        <v>0.26893943999999997</v>
      </c>
      <c r="E17">
        <f t="shared" ref="E17:E21" si="16">E16*0.97</f>
        <v>0</v>
      </c>
      <c r="F17">
        <f t="shared" ref="F17:F21" si="17">F16*0.97</f>
        <v>0.48936888000000006</v>
      </c>
      <c r="G17">
        <f>G16*0.98</f>
        <v>0.18249462</v>
      </c>
      <c r="H17">
        <f t="shared" ref="H17" si="18">H16*0.9</f>
        <v>0.24449040000000002</v>
      </c>
      <c r="I17">
        <f t="shared" ref="I17" si="19">I16*0.9</f>
        <v>0</v>
      </c>
      <c r="J17">
        <f t="shared" ref="J17" si="20">J16*0.9</f>
        <v>0.45405360000000006</v>
      </c>
      <c r="K17">
        <f t="shared" ref="K17" si="21">K16*0.9</f>
        <v>0.16590419999999997</v>
      </c>
      <c r="L17">
        <f>D17*0.15</f>
        <v>4.0340915999999997E-2</v>
      </c>
    </row>
    <row r="18" spans="1:12">
      <c r="A18" t="s">
        <v>485</v>
      </c>
      <c r="B18" t="s">
        <v>138</v>
      </c>
      <c r="C18">
        <v>2035</v>
      </c>
      <c r="D18">
        <f>D17*0.98</f>
        <v>0.2635606512</v>
      </c>
      <c r="E18">
        <f t="shared" si="16"/>
        <v>0</v>
      </c>
      <c r="F18">
        <f t="shared" si="17"/>
        <v>0.47468781360000006</v>
      </c>
      <c r="G18">
        <f>G17*0.98</f>
        <v>0.1788447276</v>
      </c>
      <c r="H18" s="20">
        <f>H17*0.5</f>
        <v>0.12224520000000001</v>
      </c>
      <c r="I18" s="20">
        <f t="shared" ref="I18" si="22">I17*0.5</f>
        <v>0</v>
      </c>
      <c r="J18" s="20">
        <f t="shared" ref="J18" si="23">J17*0.5</f>
        <v>0.22702680000000003</v>
      </c>
      <c r="K18" s="20">
        <f>K17*0.7</f>
        <v>0.11613293999999998</v>
      </c>
      <c r="L18">
        <f>D18*0.3</f>
        <v>7.9068195359999996E-2</v>
      </c>
    </row>
    <row r="19" spans="1:12">
      <c r="A19" t="s">
        <v>485</v>
      </c>
      <c r="B19" t="s">
        <v>138</v>
      </c>
      <c r="C19">
        <v>2040</v>
      </c>
      <c r="D19">
        <f>D18*0.98</f>
        <v>0.25828943817599997</v>
      </c>
      <c r="E19">
        <f t="shared" si="16"/>
        <v>0</v>
      </c>
      <c r="F19">
        <f t="shared" si="17"/>
        <v>0.46044717919200007</v>
      </c>
      <c r="G19">
        <f>G18*0.98</f>
        <v>0.175267833048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</row>
    <row r="20" spans="1:12">
      <c r="A20" t="s">
        <v>485</v>
      </c>
      <c r="B20" t="s">
        <v>138</v>
      </c>
      <c r="C20">
        <v>2045</v>
      </c>
      <c r="D20">
        <f>D19*0.97</f>
        <v>0.25054075503071999</v>
      </c>
      <c r="E20">
        <f t="shared" si="16"/>
        <v>0</v>
      </c>
      <c r="F20">
        <f t="shared" si="17"/>
        <v>0.44663376381624004</v>
      </c>
      <c r="G20">
        <f>G19*0.97</f>
        <v>0.17000979805656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</row>
    <row r="21" spans="1:12">
      <c r="A21" t="s">
        <v>485</v>
      </c>
      <c r="B21" t="s">
        <v>138</v>
      </c>
      <c r="C21">
        <v>2050</v>
      </c>
      <c r="D21">
        <f>D20*0.97</f>
        <v>0.24302453237979837</v>
      </c>
      <c r="E21">
        <f t="shared" si="16"/>
        <v>0</v>
      </c>
      <c r="F21">
        <f t="shared" si="17"/>
        <v>0.43323475090175284</v>
      </c>
      <c r="G21">
        <f>G20*0.97</f>
        <v>0.16490950411486319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</row>
    <row r="22" spans="1:12">
      <c r="A22" t="s">
        <v>486</v>
      </c>
      <c r="B22" t="s">
        <v>138</v>
      </c>
      <c r="C22">
        <v>2018</v>
      </c>
      <c r="D22" s="20">
        <v>0.57999999999999996</v>
      </c>
      <c r="E22">
        <v>0</v>
      </c>
      <c r="F22" s="20">
        <v>0</v>
      </c>
      <c r="G22" s="69">
        <v>0.41</v>
      </c>
      <c r="H22" s="20">
        <v>0.57999999999999996</v>
      </c>
      <c r="I22" s="20">
        <v>0</v>
      </c>
      <c r="J22" s="20">
        <v>0</v>
      </c>
      <c r="K22" s="20">
        <v>0.41</v>
      </c>
    </row>
    <row r="23" spans="1:12">
      <c r="A23" t="s">
        <v>486</v>
      </c>
      <c r="B23" t="s">
        <v>138</v>
      </c>
      <c r="C23">
        <v>2021</v>
      </c>
      <c r="D23" s="20">
        <f>D22*0.99</f>
        <v>0.57419999999999993</v>
      </c>
      <c r="E23" s="20">
        <f t="shared" ref="E23" si="24">E22*0.99</f>
        <v>0</v>
      </c>
      <c r="F23" s="20">
        <f t="shared" ref="F23" si="25">F22*0.99</f>
        <v>0</v>
      </c>
      <c r="G23" s="20">
        <f>G22*0.99</f>
        <v>0.40589999999999998</v>
      </c>
      <c r="H23" s="20">
        <f t="shared" ref="H23" si="26">H22*0.99</f>
        <v>0.57419999999999993</v>
      </c>
      <c r="I23" s="20">
        <f t="shared" ref="I23" si="27">I22*0.99</f>
        <v>0</v>
      </c>
      <c r="J23" s="20">
        <f t="shared" ref="J23" si="28">J22*0.99</f>
        <v>0</v>
      </c>
      <c r="K23" s="20">
        <f t="shared" ref="K23" si="29">K22*0.99</f>
        <v>0.40589999999999998</v>
      </c>
      <c r="L23">
        <f>D23*0.01</f>
        <v>5.7419999999999997E-3</v>
      </c>
    </row>
    <row r="24" spans="1:12">
      <c r="A24" t="s">
        <v>486</v>
      </c>
      <c r="B24" t="s">
        <v>138</v>
      </c>
      <c r="C24">
        <v>2025</v>
      </c>
      <c r="D24">
        <f>D23*0.99</f>
        <v>0.56845799999999991</v>
      </c>
      <c r="E24">
        <f t="shared" ref="E24" si="30">E23*0.98</f>
        <v>0</v>
      </c>
      <c r="F24">
        <f>F23*0.98</f>
        <v>0</v>
      </c>
      <c r="G24">
        <f>G23*0.99</f>
        <v>0.401841</v>
      </c>
      <c r="H24">
        <f t="shared" ref="H24" si="31">H23*0.98</f>
        <v>0.56271599999999988</v>
      </c>
      <c r="I24">
        <f t="shared" ref="I24" si="32">I23*0.98</f>
        <v>0</v>
      </c>
      <c r="J24">
        <f t="shared" ref="J24" si="33">J23*0.98</f>
        <v>0</v>
      </c>
      <c r="K24">
        <f t="shared" ref="K24" si="34">K23*0.98</f>
        <v>0.39778199999999997</v>
      </c>
      <c r="L24">
        <f>D24*0.03</f>
        <v>1.7053739999999998E-2</v>
      </c>
    </row>
    <row r="25" spans="1:12">
      <c r="A25" t="s">
        <v>486</v>
      </c>
      <c r="B25" t="s">
        <v>138</v>
      </c>
      <c r="C25">
        <v>2030</v>
      </c>
      <c r="D25">
        <f>D24*0.98</f>
        <v>0.55708883999999992</v>
      </c>
      <c r="E25">
        <f t="shared" ref="E25:E29" si="35">E24*0.97</f>
        <v>0</v>
      </c>
      <c r="F25">
        <f t="shared" ref="F25:F29" si="36">F24*0.97</f>
        <v>0</v>
      </c>
      <c r="G25">
        <f>G24*0.98</f>
        <v>0.39380418</v>
      </c>
      <c r="H25">
        <f t="shared" ref="H25" si="37">H24*0.9</f>
        <v>0.50644439999999991</v>
      </c>
      <c r="I25">
        <f t="shared" ref="I25" si="38">I24*0.9</f>
        <v>0</v>
      </c>
      <c r="J25">
        <f t="shared" ref="J25" si="39">J24*0.9</f>
        <v>0</v>
      </c>
      <c r="K25">
        <f t="shared" ref="K25" si="40">K24*0.9</f>
        <v>0.35800379999999998</v>
      </c>
      <c r="L25">
        <f>D25*0.15</f>
        <v>8.3563325999999979E-2</v>
      </c>
    </row>
    <row r="26" spans="1:12">
      <c r="A26" t="s">
        <v>486</v>
      </c>
      <c r="B26" t="s">
        <v>138</v>
      </c>
      <c r="C26">
        <v>2035</v>
      </c>
      <c r="D26">
        <f>D25*0.98</f>
        <v>0.54594706319999986</v>
      </c>
      <c r="E26">
        <f t="shared" si="35"/>
        <v>0</v>
      </c>
      <c r="F26">
        <f t="shared" si="36"/>
        <v>0</v>
      </c>
      <c r="G26">
        <f>G25*0.98</f>
        <v>0.38592809639999998</v>
      </c>
      <c r="H26" s="20">
        <f>H25*0.5</f>
        <v>0.25322219999999995</v>
      </c>
      <c r="I26" s="20">
        <f t="shared" ref="I26" si="41">I25*0.5</f>
        <v>0</v>
      </c>
      <c r="J26" s="20">
        <f t="shared" ref="J26" si="42">J25*0.5</f>
        <v>0</v>
      </c>
      <c r="K26" s="20">
        <f>K25*0.7</f>
        <v>0.25060265999999998</v>
      </c>
      <c r="L26">
        <f>D26*0.3</f>
        <v>0.16378411895999995</v>
      </c>
    </row>
    <row r="27" spans="1:12">
      <c r="A27" t="s">
        <v>486</v>
      </c>
      <c r="B27" t="s">
        <v>138</v>
      </c>
      <c r="C27">
        <v>2040</v>
      </c>
      <c r="D27">
        <f>D26*0.98</f>
        <v>0.5350281219359998</v>
      </c>
      <c r="E27">
        <f t="shared" si="35"/>
        <v>0</v>
      </c>
      <c r="F27">
        <f t="shared" si="36"/>
        <v>0</v>
      </c>
      <c r="G27">
        <f>G26*0.98</f>
        <v>0.37820953447199995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</row>
    <row r="28" spans="1:12">
      <c r="A28" t="s">
        <v>486</v>
      </c>
      <c r="B28" t="s">
        <v>138</v>
      </c>
      <c r="C28">
        <v>2045</v>
      </c>
      <c r="D28">
        <f>D27*0.97</f>
        <v>0.51897727827791984</v>
      </c>
      <c r="E28">
        <f t="shared" si="35"/>
        <v>0</v>
      </c>
      <c r="F28">
        <f t="shared" si="36"/>
        <v>0</v>
      </c>
      <c r="G28">
        <f>G27*0.97</f>
        <v>0.36686324843783996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</row>
    <row r="29" spans="1:12">
      <c r="A29" t="s">
        <v>486</v>
      </c>
      <c r="B29" t="s">
        <v>138</v>
      </c>
      <c r="C29">
        <v>2050</v>
      </c>
      <c r="D29">
        <f>D28*0.97</f>
        <v>0.5034079599295822</v>
      </c>
      <c r="E29">
        <f t="shared" si="35"/>
        <v>0</v>
      </c>
      <c r="F29">
        <f t="shared" si="36"/>
        <v>0</v>
      </c>
      <c r="G29">
        <f>G28*0.97</f>
        <v>0.35585735098470478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</row>
    <row r="30" spans="1:12">
      <c r="A30" t="s">
        <v>484</v>
      </c>
      <c r="B30" t="s">
        <v>138</v>
      </c>
      <c r="C30">
        <v>2018</v>
      </c>
      <c r="D30" s="20">
        <v>0.57999999999999996</v>
      </c>
      <c r="E30">
        <v>0</v>
      </c>
      <c r="F30" s="20">
        <v>0</v>
      </c>
      <c r="G30" s="69">
        <v>0.41</v>
      </c>
      <c r="H30" s="20">
        <v>0.57999999999999996</v>
      </c>
      <c r="I30" s="20">
        <v>0</v>
      </c>
      <c r="J30" s="20">
        <v>0</v>
      </c>
      <c r="K30" s="20">
        <v>0.41</v>
      </c>
    </row>
    <row r="31" spans="1:12">
      <c r="A31" t="s">
        <v>484</v>
      </c>
      <c r="B31" t="s">
        <v>138</v>
      </c>
      <c r="C31">
        <v>2021</v>
      </c>
      <c r="D31" s="20">
        <f>D30*0.99</f>
        <v>0.57419999999999993</v>
      </c>
      <c r="E31" s="20">
        <f t="shared" ref="E31" si="43">E30*0.99</f>
        <v>0</v>
      </c>
      <c r="F31" s="20">
        <f t="shared" ref="F31" si="44">F30*0.99</f>
        <v>0</v>
      </c>
      <c r="G31" s="20">
        <f>G30*0.99</f>
        <v>0.40589999999999998</v>
      </c>
      <c r="H31" s="20">
        <f t="shared" ref="H31" si="45">H30*0.99</f>
        <v>0.57419999999999993</v>
      </c>
      <c r="I31" s="20">
        <f t="shared" ref="I31" si="46">I30*0.99</f>
        <v>0</v>
      </c>
      <c r="J31" s="20">
        <f t="shared" ref="J31" si="47">J30*0.99</f>
        <v>0</v>
      </c>
      <c r="K31" s="20">
        <f t="shared" ref="K31" si="48">K30*0.99</f>
        <v>0.40589999999999998</v>
      </c>
      <c r="L31">
        <f>D31*0.01</f>
        <v>5.7419999999999997E-3</v>
      </c>
    </row>
    <row r="32" spans="1:12">
      <c r="A32" t="s">
        <v>484</v>
      </c>
      <c r="B32" t="s">
        <v>138</v>
      </c>
      <c r="C32">
        <v>2025</v>
      </c>
      <c r="D32">
        <f>D31*0.99</f>
        <v>0.56845799999999991</v>
      </c>
      <c r="E32">
        <f t="shared" ref="E32" si="49">E31*0.98</f>
        <v>0</v>
      </c>
      <c r="F32">
        <f>F31*0.98</f>
        <v>0</v>
      </c>
      <c r="G32">
        <f>G31*0.99</f>
        <v>0.401841</v>
      </c>
      <c r="H32">
        <f t="shared" ref="H32" si="50">H31*0.98</f>
        <v>0.56271599999999988</v>
      </c>
      <c r="I32">
        <f t="shared" ref="I32" si="51">I31*0.98</f>
        <v>0</v>
      </c>
      <c r="J32">
        <f t="shared" ref="J32" si="52">J31*0.98</f>
        <v>0</v>
      </c>
      <c r="K32">
        <f t="shared" ref="K32" si="53">K31*0.98</f>
        <v>0.39778199999999997</v>
      </c>
      <c r="L32">
        <f>D32*0.03</f>
        <v>1.7053739999999998E-2</v>
      </c>
    </row>
    <row r="33" spans="1:12">
      <c r="A33" t="s">
        <v>484</v>
      </c>
      <c r="B33" t="s">
        <v>138</v>
      </c>
      <c r="C33">
        <v>2030</v>
      </c>
      <c r="D33">
        <f>D32*0.98</f>
        <v>0.55708883999999992</v>
      </c>
      <c r="E33">
        <f t="shared" ref="E33:E37" si="54">E32*0.97</f>
        <v>0</v>
      </c>
      <c r="F33">
        <f t="shared" ref="F33:F37" si="55">F32*0.97</f>
        <v>0</v>
      </c>
      <c r="G33">
        <f>G32*0.98</f>
        <v>0.39380418</v>
      </c>
      <c r="H33">
        <f t="shared" ref="H33" si="56">H32*0.9</f>
        <v>0.50644439999999991</v>
      </c>
      <c r="I33">
        <f t="shared" ref="I33" si="57">I32*0.9</f>
        <v>0</v>
      </c>
      <c r="J33">
        <f t="shared" ref="J33" si="58">J32*0.9</f>
        <v>0</v>
      </c>
      <c r="K33">
        <f t="shared" ref="K33" si="59">K32*0.9</f>
        <v>0.35800379999999998</v>
      </c>
      <c r="L33">
        <f>D33*0.15</f>
        <v>8.3563325999999979E-2</v>
      </c>
    </row>
    <row r="34" spans="1:12">
      <c r="A34" t="s">
        <v>484</v>
      </c>
      <c r="B34" t="s">
        <v>138</v>
      </c>
      <c r="C34">
        <v>2035</v>
      </c>
      <c r="D34">
        <f>D33*0.98</f>
        <v>0.54594706319999986</v>
      </c>
      <c r="E34">
        <f t="shared" si="54"/>
        <v>0</v>
      </c>
      <c r="F34">
        <f t="shared" si="55"/>
        <v>0</v>
      </c>
      <c r="G34">
        <f>G33*0.98</f>
        <v>0.38592809639999998</v>
      </c>
      <c r="H34" s="20">
        <f>H33*0.5</f>
        <v>0.25322219999999995</v>
      </c>
      <c r="I34" s="20">
        <f t="shared" ref="I34" si="60">I33*0.5</f>
        <v>0</v>
      </c>
      <c r="J34" s="20">
        <f t="shared" ref="J34" si="61">J33*0.5</f>
        <v>0</v>
      </c>
      <c r="K34" s="20">
        <f>K33*0.7</f>
        <v>0.25060265999999998</v>
      </c>
      <c r="L34">
        <f>D34*0.3</f>
        <v>0.16378411895999995</v>
      </c>
    </row>
    <row r="35" spans="1:12">
      <c r="A35" t="s">
        <v>484</v>
      </c>
      <c r="B35" t="s">
        <v>138</v>
      </c>
      <c r="C35">
        <v>2040</v>
      </c>
      <c r="D35">
        <f>D34*0.98</f>
        <v>0.5350281219359998</v>
      </c>
      <c r="E35">
        <f t="shared" si="54"/>
        <v>0</v>
      </c>
      <c r="F35">
        <f t="shared" si="55"/>
        <v>0</v>
      </c>
      <c r="G35">
        <f>G34*0.98</f>
        <v>0.37820953447199995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</row>
    <row r="36" spans="1:12">
      <c r="A36" t="s">
        <v>484</v>
      </c>
      <c r="B36" t="s">
        <v>138</v>
      </c>
      <c r="C36">
        <v>2045</v>
      </c>
      <c r="D36">
        <f>D35*0.97</f>
        <v>0.51897727827791984</v>
      </c>
      <c r="E36">
        <f t="shared" si="54"/>
        <v>0</v>
      </c>
      <c r="F36">
        <f t="shared" si="55"/>
        <v>0</v>
      </c>
      <c r="G36">
        <f>G35*0.97</f>
        <v>0.36686324843783996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</row>
    <row r="37" spans="1:12">
      <c r="A37" t="s">
        <v>484</v>
      </c>
      <c r="B37" t="s">
        <v>138</v>
      </c>
      <c r="C37">
        <v>2050</v>
      </c>
      <c r="D37">
        <f>D36*0.97</f>
        <v>0.5034079599295822</v>
      </c>
      <c r="E37">
        <f t="shared" si="54"/>
        <v>0</v>
      </c>
      <c r="F37">
        <f t="shared" si="55"/>
        <v>0</v>
      </c>
      <c r="G37">
        <f>G36*0.97</f>
        <v>0.35585735098470478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</row>
    <row r="38" spans="1:12">
      <c r="A38" t="s">
        <v>481</v>
      </c>
      <c r="B38" t="s">
        <v>138</v>
      </c>
      <c r="C38">
        <v>2018</v>
      </c>
      <c r="D38" s="20">
        <v>0.57999999999999996</v>
      </c>
      <c r="E38">
        <v>0</v>
      </c>
      <c r="F38" s="20">
        <v>0</v>
      </c>
      <c r="G38" s="69">
        <v>0.41</v>
      </c>
      <c r="H38" s="20">
        <v>0.57999999999999996</v>
      </c>
      <c r="I38" s="20">
        <v>0</v>
      </c>
      <c r="J38" s="20">
        <v>0</v>
      </c>
      <c r="K38" s="20">
        <v>0.41</v>
      </c>
    </row>
    <row r="39" spans="1:12">
      <c r="A39" t="s">
        <v>481</v>
      </c>
      <c r="B39" t="s">
        <v>138</v>
      </c>
      <c r="C39">
        <v>2021</v>
      </c>
      <c r="D39" s="20">
        <f>D38*0.99</f>
        <v>0.57419999999999993</v>
      </c>
      <c r="E39" s="20">
        <f t="shared" ref="E39" si="62">E38*0.99</f>
        <v>0</v>
      </c>
      <c r="F39" s="20">
        <f t="shared" ref="F39" si="63">F38*0.99</f>
        <v>0</v>
      </c>
      <c r="G39" s="20">
        <f>G38*0.99</f>
        <v>0.40589999999999998</v>
      </c>
      <c r="H39" s="20">
        <f t="shared" ref="H39" si="64">H38*0.99</f>
        <v>0.57419999999999993</v>
      </c>
      <c r="I39" s="20">
        <f t="shared" ref="I39" si="65">I38*0.99</f>
        <v>0</v>
      </c>
      <c r="J39" s="20">
        <f t="shared" ref="J39" si="66">J38*0.99</f>
        <v>0</v>
      </c>
      <c r="K39" s="20">
        <f t="shared" ref="K39" si="67">K38*0.99</f>
        <v>0.40589999999999998</v>
      </c>
      <c r="L39">
        <f>D39*0.01</f>
        <v>5.7419999999999997E-3</v>
      </c>
    </row>
    <row r="40" spans="1:12">
      <c r="A40" t="s">
        <v>481</v>
      </c>
      <c r="B40" t="s">
        <v>138</v>
      </c>
      <c r="C40">
        <v>2025</v>
      </c>
      <c r="D40">
        <f>D39*0.99</f>
        <v>0.56845799999999991</v>
      </c>
      <c r="E40">
        <f t="shared" ref="E40" si="68">E39*0.98</f>
        <v>0</v>
      </c>
      <c r="F40">
        <f>F39*0.98</f>
        <v>0</v>
      </c>
      <c r="G40">
        <f>G39*0.99</f>
        <v>0.401841</v>
      </c>
      <c r="H40">
        <f t="shared" ref="H40" si="69">H39*0.98</f>
        <v>0.56271599999999988</v>
      </c>
      <c r="I40">
        <f t="shared" ref="I40" si="70">I39*0.98</f>
        <v>0</v>
      </c>
      <c r="J40">
        <f t="shared" ref="J40" si="71">J39*0.98</f>
        <v>0</v>
      </c>
      <c r="K40">
        <f t="shared" ref="K40" si="72">K39*0.98</f>
        <v>0.39778199999999997</v>
      </c>
      <c r="L40">
        <f>D40*0.03</f>
        <v>1.7053739999999998E-2</v>
      </c>
    </row>
    <row r="41" spans="1:12">
      <c r="A41" t="s">
        <v>481</v>
      </c>
      <c r="B41" t="s">
        <v>138</v>
      </c>
      <c r="C41">
        <v>2030</v>
      </c>
      <c r="D41">
        <f>D40*0.98</f>
        <v>0.55708883999999992</v>
      </c>
      <c r="E41">
        <f t="shared" ref="E41:E45" si="73">E40*0.97</f>
        <v>0</v>
      </c>
      <c r="F41">
        <f t="shared" ref="F41:F45" si="74">F40*0.97</f>
        <v>0</v>
      </c>
      <c r="G41">
        <f>G40*0.98</f>
        <v>0.39380418</v>
      </c>
      <c r="H41">
        <f t="shared" ref="H41" si="75">H40*0.9</f>
        <v>0.50644439999999991</v>
      </c>
      <c r="I41">
        <f t="shared" ref="I41" si="76">I40*0.9</f>
        <v>0</v>
      </c>
      <c r="J41">
        <f t="shared" ref="J41" si="77">J40*0.9</f>
        <v>0</v>
      </c>
      <c r="K41">
        <f t="shared" ref="K41" si="78">K40*0.9</f>
        <v>0.35800379999999998</v>
      </c>
      <c r="L41">
        <f>D41*0.15</f>
        <v>8.3563325999999979E-2</v>
      </c>
    </row>
    <row r="42" spans="1:12">
      <c r="A42" t="s">
        <v>481</v>
      </c>
      <c r="B42" t="s">
        <v>138</v>
      </c>
      <c r="C42">
        <v>2035</v>
      </c>
      <c r="D42">
        <f>D41*0.98</f>
        <v>0.54594706319999986</v>
      </c>
      <c r="E42">
        <f t="shared" si="73"/>
        <v>0</v>
      </c>
      <c r="F42">
        <f t="shared" si="74"/>
        <v>0</v>
      </c>
      <c r="G42">
        <f>G41*0.98</f>
        <v>0.38592809639999998</v>
      </c>
      <c r="H42" s="20">
        <f>H41*0.5</f>
        <v>0.25322219999999995</v>
      </c>
      <c r="I42" s="20">
        <f t="shared" ref="I42" si="79">I41*0.5</f>
        <v>0</v>
      </c>
      <c r="J42" s="20">
        <f t="shared" ref="J42" si="80">J41*0.5</f>
        <v>0</v>
      </c>
      <c r="K42" s="20">
        <f>K41*0.7</f>
        <v>0.25060265999999998</v>
      </c>
      <c r="L42">
        <f>D42*0.3</f>
        <v>0.16378411895999995</v>
      </c>
    </row>
    <row r="43" spans="1:12">
      <c r="A43" t="s">
        <v>481</v>
      </c>
      <c r="B43" t="s">
        <v>138</v>
      </c>
      <c r="C43">
        <v>2040</v>
      </c>
      <c r="D43">
        <f>D42*0.98</f>
        <v>0.5350281219359998</v>
      </c>
      <c r="E43">
        <f t="shared" si="73"/>
        <v>0</v>
      </c>
      <c r="F43">
        <f t="shared" si="74"/>
        <v>0</v>
      </c>
      <c r="G43">
        <f>G42*0.98</f>
        <v>0.37820953447199995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</row>
    <row r="44" spans="1:12">
      <c r="A44" t="s">
        <v>481</v>
      </c>
      <c r="B44" t="s">
        <v>138</v>
      </c>
      <c r="C44">
        <v>2045</v>
      </c>
      <c r="D44">
        <f>D43*0.97</f>
        <v>0.51897727827791984</v>
      </c>
      <c r="E44">
        <f t="shared" si="73"/>
        <v>0</v>
      </c>
      <c r="F44">
        <f t="shared" si="74"/>
        <v>0</v>
      </c>
      <c r="G44">
        <f>G43*0.97</f>
        <v>0.36686324843783996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</row>
    <row r="45" spans="1:12">
      <c r="A45" t="s">
        <v>481</v>
      </c>
      <c r="B45" t="s">
        <v>138</v>
      </c>
      <c r="C45">
        <v>2050</v>
      </c>
      <c r="D45">
        <f>D44*0.97</f>
        <v>0.5034079599295822</v>
      </c>
      <c r="E45">
        <f t="shared" si="73"/>
        <v>0</v>
      </c>
      <c r="F45">
        <f t="shared" si="74"/>
        <v>0</v>
      </c>
      <c r="G45">
        <f>G44*0.97</f>
        <v>0.35585735098470478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</row>
    <row r="46" spans="1:12">
      <c r="A46" t="s">
        <v>480</v>
      </c>
      <c r="B46" t="s">
        <v>138</v>
      </c>
      <c r="C46">
        <v>2018</v>
      </c>
      <c r="D46" s="20">
        <v>0.57999999999999996</v>
      </c>
      <c r="E46">
        <v>0</v>
      </c>
      <c r="F46" s="20">
        <v>0</v>
      </c>
      <c r="G46" s="69">
        <v>0.41</v>
      </c>
      <c r="H46" s="20">
        <v>0.57999999999999996</v>
      </c>
      <c r="I46" s="20">
        <v>0</v>
      </c>
      <c r="J46" s="20">
        <v>0</v>
      </c>
      <c r="K46" s="20">
        <v>0.41</v>
      </c>
    </row>
    <row r="47" spans="1:12">
      <c r="A47" t="s">
        <v>480</v>
      </c>
      <c r="B47" t="s">
        <v>138</v>
      </c>
      <c r="C47">
        <v>2021</v>
      </c>
      <c r="D47" s="20">
        <f>D46*0.99</f>
        <v>0.57419999999999993</v>
      </c>
      <c r="E47" s="20">
        <f t="shared" ref="E47" si="81">E46*0.99</f>
        <v>0</v>
      </c>
      <c r="F47" s="20">
        <f t="shared" ref="F47" si="82">F46*0.99</f>
        <v>0</v>
      </c>
      <c r="G47" s="20">
        <f>G46*0.99</f>
        <v>0.40589999999999998</v>
      </c>
      <c r="H47" s="20">
        <f t="shared" ref="H47" si="83">H46*0.99</f>
        <v>0.57419999999999993</v>
      </c>
      <c r="I47" s="20">
        <f t="shared" ref="I47" si="84">I46*0.99</f>
        <v>0</v>
      </c>
      <c r="J47" s="20">
        <f t="shared" ref="J47" si="85">J46*0.99</f>
        <v>0</v>
      </c>
      <c r="K47" s="20">
        <f t="shared" ref="K47" si="86">K46*0.99</f>
        <v>0.40589999999999998</v>
      </c>
      <c r="L47">
        <f>D47*0.01</f>
        <v>5.7419999999999997E-3</v>
      </c>
    </row>
    <row r="48" spans="1:12">
      <c r="A48" t="s">
        <v>480</v>
      </c>
      <c r="B48" t="s">
        <v>138</v>
      </c>
      <c r="C48">
        <v>2025</v>
      </c>
      <c r="D48">
        <f>D47*0.99</f>
        <v>0.56845799999999991</v>
      </c>
      <c r="E48">
        <f t="shared" ref="E48" si="87">E47*0.98</f>
        <v>0</v>
      </c>
      <c r="F48">
        <f>F47*0.98</f>
        <v>0</v>
      </c>
      <c r="G48">
        <f>G47*0.99</f>
        <v>0.401841</v>
      </c>
      <c r="H48">
        <f t="shared" ref="H48" si="88">H47*0.98</f>
        <v>0.56271599999999988</v>
      </c>
      <c r="I48">
        <f t="shared" ref="I48" si="89">I47*0.98</f>
        <v>0</v>
      </c>
      <c r="J48">
        <f t="shared" ref="J48" si="90">J47*0.98</f>
        <v>0</v>
      </c>
      <c r="K48">
        <f t="shared" ref="K48" si="91">K47*0.98</f>
        <v>0.39778199999999997</v>
      </c>
      <c r="L48">
        <f>D48*0.03</f>
        <v>1.7053739999999998E-2</v>
      </c>
    </row>
    <row r="49" spans="1:12">
      <c r="A49" t="s">
        <v>480</v>
      </c>
      <c r="B49" t="s">
        <v>138</v>
      </c>
      <c r="C49">
        <v>2030</v>
      </c>
      <c r="D49">
        <f>D48*0.98</f>
        <v>0.55708883999999992</v>
      </c>
      <c r="E49">
        <f t="shared" ref="E49:E53" si="92">E48*0.97</f>
        <v>0</v>
      </c>
      <c r="F49">
        <f t="shared" ref="F49:F53" si="93">F48*0.97</f>
        <v>0</v>
      </c>
      <c r="G49">
        <f>G48*0.98</f>
        <v>0.39380418</v>
      </c>
      <c r="H49">
        <f t="shared" ref="H49" si="94">H48*0.9</f>
        <v>0.50644439999999991</v>
      </c>
      <c r="I49">
        <f t="shared" ref="I49" si="95">I48*0.9</f>
        <v>0</v>
      </c>
      <c r="J49">
        <f t="shared" ref="J49" si="96">J48*0.9</f>
        <v>0</v>
      </c>
      <c r="K49">
        <f t="shared" ref="K49" si="97">K48*0.9</f>
        <v>0.35800379999999998</v>
      </c>
      <c r="L49">
        <f>D49*0.15</f>
        <v>8.3563325999999979E-2</v>
      </c>
    </row>
    <row r="50" spans="1:12">
      <c r="A50" t="s">
        <v>480</v>
      </c>
      <c r="B50" t="s">
        <v>138</v>
      </c>
      <c r="C50">
        <v>2035</v>
      </c>
      <c r="D50">
        <f>D49*0.98</f>
        <v>0.54594706319999986</v>
      </c>
      <c r="E50">
        <f t="shared" si="92"/>
        <v>0</v>
      </c>
      <c r="F50">
        <f t="shared" si="93"/>
        <v>0</v>
      </c>
      <c r="G50">
        <f>G49*0.98</f>
        <v>0.38592809639999998</v>
      </c>
      <c r="H50" s="20">
        <f>H49*0.5</f>
        <v>0.25322219999999995</v>
      </c>
      <c r="I50" s="20">
        <f t="shared" ref="I50" si="98">I49*0.5</f>
        <v>0</v>
      </c>
      <c r="J50" s="20">
        <f t="shared" ref="J50" si="99">J49*0.5</f>
        <v>0</v>
      </c>
      <c r="K50" s="20">
        <f>K49*0.7</f>
        <v>0.25060265999999998</v>
      </c>
      <c r="L50">
        <f>D50*0.3</f>
        <v>0.16378411895999995</v>
      </c>
    </row>
    <row r="51" spans="1:12">
      <c r="A51" t="s">
        <v>480</v>
      </c>
      <c r="B51" t="s">
        <v>138</v>
      </c>
      <c r="C51">
        <v>2040</v>
      </c>
      <c r="D51">
        <f>D50*0.98</f>
        <v>0.5350281219359998</v>
      </c>
      <c r="E51">
        <f t="shared" si="92"/>
        <v>0</v>
      </c>
      <c r="F51">
        <f t="shared" si="93"/>
        <v>0</v>
      </c>
      <c r="G51">
        <f>G50*0.98</f>
        <v>0.37820953447199995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</row>
    <row r="52" spans="1:12">
      <c r="A52" t="s">
        <v>480</v>
      </c>
      <c r="B52" t="s">
        <v>138</v>
      </c>
      <c r="C52">
        <v>2045</v>
      </c>
      <c r="D52">
        <f>D51*0.97</f>
        <v>0.51897727827791984</v>
      </c>
      <c r="E52">
        <f t="shared" si="92"/>
        <v>0</v>
      </c>
      <c r="F52">
        <f t="shared" si="93"/>
        <v>0</v>
      </c>
      <c r="G52">
        <f>G51*0.97</f>
        <v>0.36686324843783996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</row>
    <row r="53" spans="1:12">
      <c r="A53" t="s">
        <v>480</v>
      </c>
      <c r="B53" t="s">
        <v>138</v>
      </c>
      <c r="C53">
        <v>2050</v>
      </c>
      <c r="D53">
        <f>D52*0.97</f>
        <v>0.5034079599295822</v>
      </c>
      <c r="E53">
        <f t="shared" si="92"/>
        <v>0</v>
      </c>
      <c r="F53">
        <f t="shared" si="93"/>
        <v>0</v>
      </c>
      <c r="G53">
        <f>G52*0.97</f>
        <v>0.35585735098470478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</row>
    <row r="54" spans="1:12">
      <c r="A54" t="s">
        <v>482</v>
      </c>
      <c r="B54" t="s">
        <v>138</v>
      </c>
      <c r="C54">
        <v>2018</v>
      </c>
      <c r="D54" s="20">
        <v>0.57999999999999996</v>
      </c>
      <c r="E54">
        <v>0</v>
      </c>
      <c r="F54" s="20">
        <v>0</v>
      </c>
      <c r="G54" s="69">
        <v>0.41</v>
      </c>
      <c r="H54" s="20">
        <v>0.57999999999999996</v>
      </c>
      <c r="I54" s="20">
        <v>0</v>
      </c>
      <c r="J54" s="20">
        <v>0</v>
      </c>
      <c r="K54" s="20">
        <v>0.41</v>
      </c>
    </row>
    <row r="55" spans="1:12">
      <c r="A55" t="s">
        <v>482</v>
      </c>
      <c r="B55" t="s">
        <v>138</v>
      </c>
      <c r="C55">
        <v>2021</v>
      </c>
      <c r="D55" s="20">
        <f>D54*0.99</f>
        <v>0.57419999999999993</v>
      </c>
      <c r="E55" s="20">
        <f t="shared" ref="E55" si="100">E54*0.99</f>
        <v>0</v>
      </c>
      <c r="F55" s="20">
        <f t="shared" ref="F55" si="101">F54*0.99</f>
        <v>0</v>
      </c>
      <c r="G55" s="20">
        <f>G54*0.99</f>
        <v>0.40589999999999998</v>
      </c>
      <c r="H55" s="20">
        <f t="shared" ref="H55" si="102">H54*0.99</f>
        <v>0.57419999999999993</v>
      </c>
      <c r="I55" s="20">
        <f t="shared" ref="I55" si="103">I54*0.99</f>
        <v>0</v>
      </c>
      <c r="J55" s="20">
        <f t="shared" ref="J55" si="104">J54*0.99</f>
        <v>0</v>
      </c>
      <c r="K55" s="20">
        <f t="shared" ref="K55" si="105">K54*0.99</f>
        <v>0.40589999999999998</v>
      </c>
      <c r="L55">
        <f>D55*0.01</f>
        <v>5.7419999999999997E-3</v>
      </c>
    </row>
    <row r="56" spans="1:12">
      <c r="A56" t="s">
        <v>482</v>
      </c>
      <c r="B56" t="s">
        <v>138</v>
      </c>
      <c r="C56">
        <v>2025</v>
      </c>
      <c r="D56">
        <f>D55*0.99</f>
        <v>0.56845799999999991</v>
      </c>
      <c r="E56">
        <f t="shared" ref="E56" si="106">E55*0.98</f>
        <v>0</v>
      </c>
      <c r="F56">
        <f>F55*0.98</f>
        <v>0</v>
      </c>
      <c r="G56">
        <f>G55*0.99</f>
        <v>0.401841</v>
      </c>
      <c r="H56">
        <f t="shared" ref="H56" si="107">H55*0.98</f>
        <v>0.56271599999999988</v>
      </c>
      <c r="I56">
        <f t="shared" ref="I56" si="108">I55*0.98</f>
        <v>0</v>
      </c>
      <c r="J56">
        <f t="shared" ref="J56" si="109">J55*0.98</f>
        <v>0</v>
      </c>
      <c r="K56">
        <f t="shared" ref="K56" si="110">K55*0.98</f>
        <v>0.39778199999999997</v>
      </c>
      <c r="L56">
        <f>D56*0.03</f>
        <v>1.7053739999999998E-2</v>
      </c>
    </row>
    <row r="57" spans="1:12">
      <c r="A57" t="s">
        <v>482</v>
      </c>
      <c r="B57" t="s">
        <v>138</v>
      </c>
      <c r="C57">
        <v>2030</v>
      </c>
      <c r="D57">
        <f>D56*0.98</f>
        <v>0.55708883999999992</v>
      </c>
      <c r="E57">
        <f t="shared" ref="E57:E61" si="111">E56*0.97</f>
        <v>0</v>
      </c>
      <c r="F57">
        <f t="shared" ref="F57:F61" si="112">F56*0.97</f>
        <v>0</v>
      </c>
      <c r="G57">
        <f>G56*0.98</f>
        <v>0.39380418</v>
      </c>
      <c r="H57">
        <f t="shared" ref="H57" si="113">H56*0.9</f>
        <v>0.50644439999999991</v>
      </c>
      <c r="I57">
        <f t="shared" ref="I57" si="114">I56*0.9</f>
        <v>0</v>
      </c>
      <c r="J57">
        <f t="shared" ref="J57" si="115">J56*0.9</f>
        <v>0</v>
      </c>
      <c r="K57">
        <f t="shared" ref="K57" si="116">K56*0.9</f>
        <v>0.35800379999999998</v>
      </c>
      <c r="L57">
        <f>D57*0.15</f>
        <v>8.3563325999999979E-2</v>
      </c>
    </row>
    <row r="58" spans="1:12">
      <c r="A58" t="s">
        <v>482</v>
      </c>
      <c r="B58" t="s">
        <v>138</v>
      </c>
      <c r="C58">
        <v>2035</v>
      </c>
      <c r="D58">
        <f>D57*0.98</f>
        <v>0.54594706319999986</v>
      </c>
      <c r="E58">
        <f t="shared" si="111"/>
        <v>0</v>
      </c>
      <c r="F58">
        <f t="shared" si="112"/>
        <v>0</v>
      </c>
      <c r="G58">
        <f>G57*0.98</f>
        <v>0.38592809639999998</v>
      </c>
      <c r="H58" s="20">
        <f>H57*0.5</f>
        <v>0.25322219999999995</v>
      </c>
      <c r="I58" s="20">
        <f t="shared" ref="I58" si="117">I57*0.5</f>
        <v>0</v>
      </c>
      <c r="J58" s="20">
        <f t="shared" ref="J58" si="118">J57*0.5</f>
        <v>0</v>
      </c>
      <c r="K58" s="20">
        <f>K57*0.7</f>
        <v>0.25060265999999998</v>
      </c>
      <c r="L58">
        <f>D58*0.3</f>
        <v>0.16378411895999995</v>
      </c>
    </row>
    <row r="59" spans="1:12">
      <c r="A59" t="s">
        <v>482</v>
      </c>
      <c r="B59" t="s">
        <v>138</v>
      </c>
      <c r="C59">
        <v>2040</v>
      </c>
      <c r="D59">
        <f>D58*0.98</f>
        <v>0.5350281219359998</v>
      </c>
      <c r="E59">
        <f t="shared" si="111"/>
        <v>0</v>
      </c>
      <c r="F59">
        <f t="shared" si="112"/>
        <v>0</v>
      </c>
      <c r="G59">
        <f>G58*0.98</f>
        <v>0.37820953447199995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</row>
    <row r="60" spans="1:12">
      <c r="A60" t="s">
        <v>482</v>
      </c>
      <c r="B60" t="s">
        <v>138</v>
      </c>
      <c r="C60">
        <v>2045</v>
      </c>
      <c r="D60">
        <f>D59*0.97</f>
        <v>0.51897727827791984</v>
      </c>
      <c r="E60">
        <f t="shared" si="111"/>
        <v>0</v>
      </c>
      <c r="F60">
        <f t="shared" si="112"/>
        <v>0</v>
      </c>
      <c r="G60">
        <f>G59*0.97</f>
        <v>0.36686324843783996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</row>
    <row r="61" spans="1:12">
      <c r="A61" t="s">
        <v>482</v>
      </c>
      <c r="B61" t="s">
        <v>138</v>
      </c>
      <c r="C61">
        <v>2050</v>
      </c>
      <c r="D61">
        <f>D60*0.97</f>
        <v>0.5034079599295822</v>
      </c>
      <c r="E61">
        <f t="shared" si="111"/>
        <v>0</v>
      </c>
      <c r="F61">
        <f t="shared" si="112"/>
        <v>0</v>
      </c>
      <c r="G61">
        <f>G60*0.97</f>
        <v>0.35585735098470478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</row>
    <row r="62" spans="1:12">
      <c r="A62" t="s">
        <v>487</v>
      </c>
      <c r="B62" t="s">
        <v>138</v>
      </c>
      <c r="C62">
        <v>2018</v>
      </c>
      <c r="D62" s="20">
        <v>0.57999999999999996</v>
      </c>
      <c r="E62">
        <v>0</v>
      </c>
      <c r="F62" s="20">
        <v>0</v>
      </c>
      <c r="G62" s="69">
        <v>0.41</v>
      </c>
      <c r="H62" s="20">
        <v>0.57999999999999996</v>
      </c>
      <c r="I62" s="20">
        <v>0</v>
      </c>
      <c r="J62" s="20">
        <v>0</v>
      </c>
      <c r="K62" s="20">
        <v>0.41</v>
      </c>
    </row>
    <row r="63" spans="1:12">
      <c r="A63" t="s">
        <v>487</v>
      </c>
      <c r="B63" t="s">
        <v>138</v>
      </c>
      <c r="C63">
        <v>2021</v>
      </c>
      <c r="D63" s="20">
        <f>D62*0.99</f>
        <v>0.57419999999999993</v>
      </c>
      <c r="E63" s="20">
        <f t="shared" ref="E63" si="119">E62*0.99</f>
        <v>0</v>
      </c>
      <c r="F63" s="20">
        <f t="shared" ref="F63" si="120">F62*0.99</f>
        <v>0</v>
      </c>
      <c r="G63" s="20">
        <f>G62*0.99</f>
        <v>0.40589999999999998</v>
      </c>
      <c r="H63" s="20">
        <f t="shared" ref="H63" si="121">H62*0.99</f>
        <v>0.57419999999999993</v>
      </c>
      <c r="I63" s="20">
        <f t="shared" ref="I63" si="122">I62*0.99</f>
        <v>0</v>
      </c>
      <c r="J63" s="20">
        <f t="shared" ref="J63" si="123">J62*0.99</f>
        <v>0</v>
      </c>
      <c r="K63" s="20">
        <f t="shared" ref="K63" si="124">K62*0.99</f>
        <v>0.40589999999999998</v>
      </c>
      <c r="L63">
        <f>D63*0.01</f>
        <v>5.7419999999999997E-3</v>
      </c>
    </row>
    <row r="64" spans="1:12">
      <c r="A64" t="s">
        <v>487</v>
      </c>
      <c r="B64" t="s">
        <v>138</v>
      </c>
      <c r="C64">
        <v>2025</v>
      </c>
      <c r="D64">
        <f>D63*0.99</f>
        <v>0.56845799999999991</v>
      </c>
      <c r="E64">
        <f t="shared" ref="E64" si="125">E63*0.98</f>
        <v>0</v>
      </c>
      <c r="F64">
        <f>F63*0.98</f>
        <v>0</v>
      </c>
      <c r="G64">
        <f>G63*0.99</f>
        <v>0.401841</v>
      </c>
      <c r="H64">
        <f t="shared" ref="H64" si="126">H63*0.98</f>
        <v>0.56271599999999988</v>
      </c>
      <c r="I64">
        <f t="shared" ref="I64" si="127">I63*0.98</f>
        <v>0</v>
      </c>
      <c r="J64">
        <f t="shared" ref="J64" si="128">J63*0.98</f>
        <v>0</v>
      </c>
      <c r="K64">
        <f t="shared" ref="K64" si="129">K63*0.98</f>
        <v>0.39778199999999997</v>
      </c>
      <c r="L64">
        <f>D64*0.03</f>
        <v>1.7053739999999998E-2</v>
      </c>
    </row>
    <row r="65" spans="1:12">
      <c r="A65" t="s">
        <v>487</v>
      </c>
      <c r="B65" t="s">
        <v>138</v>
      </c>
      <c r="C65">
        <v>2030</v>
      </c>
      <c r="D65">
        <f>D64*0.98</f>
        <v>0.55708883999999992</v>
      </c>
      <c r="E65">
        <f t="shared" ref="E65:E69" si="130">E64*0.97</f>
        <v>0</v>
      </c>
      <c r="F65">
        <f t="shared" ref="F65:F69" si="131">F64*0.97</f>
        <v>0</v>
      </c>
      <c r="G65">
        <f>G64*0.98</f>
        <v>0.39380418</v>
      </c>
      <c r="H65">
        <f t="shared" ref="H65" si="132">H64*0.9</f>
        <v>0.50644439999999991</v>
      </c>
      <c r="I65">
        <f t="shared" ref="I65" si="133">I64*0.9</f>
        <v>0</v>
      </c>
      <c r="J65">
        <f t="shared" ref="J65" si="134">J64*0.9</f>
        <v>0</v>
      </c>
      <c r="K65">
        <f t="shared" ref="K65" si="135">K64*0.9</f>
        <v>0.35800379999999998</v>
      </c>
      <c r="L65">
        <f>D65*0.15</f>
        <v>8.3563325999999979E-2</v>
      </c>
    </row>
    <row r="66" spans="1:12">
      <c r="A66" t="s">
        <v>487</v>
      </c>
      <c r="B66" t="s">
        <v>138</v>
      </c>
      <c r="C66">
        <v>2035</v>
      </c>
      <c r="D66">
        <f>D65*0.98</f>
        <v>0.54594706319999986</v>
      </c>
      <c r="E66">
        <f t="shared" si="130"/>
        <v>0</v>
      </c>
      <c r="F66">
        <f t="shared" si="131"/>
        <v>0</v>
      </c>
      <c r="G66">
        <f>G65*0.98</f>
        <v>0.38592809639999998</v>
      </c>
      <c r="H66" s="20">
        <f>H65*0.5</f>
        <v>0.25322219999999995</v>
      </c>
      <c r="I66" s="20">
        <f t="shared" ref="I66" si="136">I65*0.5</f>
        <v>0</v>
      </c>
      <c r="J66" s="20">
        <f t="shared" ref="J66" si="137">J65*0.5</f>
        <v>0</v>
      </c>
      <c r="K66" s="20">
        <f>K65*0.7</f>
        <v>0.25060265999999998</v>
      </c>
      <c r="L66">
        <f>D66*0.3</f>
        <v>0.16378411895999995</v>
      </c>
    </row>
    <row r="67" spans="1:12">
      <c r="A67" t="s">
        <v>487</v>
      </c>
      <c r="B67" t="s">
        <v>138</v>
      </c>
      <c r="C67">
        <v>2040</v>
      </c>
      <c r="D67">
        <f>D66*0.98</f>
        <v>0.5350281219359998</v>
      </c>
      <c r="E67">
        <f t="shared" si="130"/>
        <v>0</v>
      </c>
      <c r="F67">
        <f t="shared" si="131"/>
        <v>0</v>
      </c>
      <c r="G67">
        <f>G66*0.98</f>
        <v>0.37820953447199995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</row>
    <row r="68" spans="1:12">
      <c r="A68" t="s">
        <v>487</v>
      </c>
      <c r="B68" t="s">
        <v>138</v>
      </c>
      <c r="C68">
        <v>2045</v>
      </c>
      <c r="D68">
        <f>D67*0.97</f>
        <v>0.51897727827791984</v>
      </c>
      <c r="E68">
        <f t="shared" si="130"/>
        <v>0</v>
      </c>
      <c r="F68">
        <f t="shared" si="131"/>
        <v>0</v>
      </c>
      <c r="G68">
        <f>G67*0.97</f>
        <v>0.36686324843783996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</row>
    <row r="69" spans="1:12">
      <c r="A69" t="s">
        <v>487</v>
      </c>
      <c r="B69" t="s">
        <v>138</v>
      </c>
      <c r="C69">
        <v>2050</v>
      </c>
      <c r="D69">
        <f>D68*0.97</f>
        <v>0.5034079599295822</v>
      </c>
      <c r="E69">
        <f t="shared" si="130"/>
        <v>0</v>
      </c>
      <c r="F69">
        <f t="shared" si="131"/>
        <v>0</v>
      </c>
      <c r="G69">
        <f>G68*0.97</f>
        <v>0.35585735098470478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</row>
    <row r="205" spans="1:1">
      <c r="A205" s="33"/>
    </row>
    <row r="206" spans="1:1">
      <c r="A206" s="33"/>
    </row>
    <row r="207" spans="1:1">
      <c r="A207" s="33"/>
    </row>
    <row r="208" spans="1:1">
      <c r="A208" s="33"/>
    </row>
    <row r="209" spans="1:1">
      <c r="A209" s="33"/>
    </row>
    <row r="210" spans="1:1">
      <c r="A210" s="33"/>
    </row>
    <row r="211" spans="1:1">
      <c r="A211" s="33"/>
    </row>
    <row r="212" spans="1:1">
      <c r="A212" s="33"/>
    </row>
    <row r="213" spans="1:1">
      <c r="A213" s="33"/>
    </row>
    <row r="214" spans="1:1">
      <c r="A214" s="33"/>
    </row>
    <row r="215" spans="1:1">
      <c r="A215" s="33"/>
    </row>
    <row r="216" spans="1:1">
      <c r="A216" s="33"/>
    </row>
    <row r="217" spans="1:1">
      <c r="A217" s="33"/>
    </row>
    <row r="218" spans="1:1">
      <c r="A218" s="33"/>
    </row>
    <row r="219" spans="1:1">
      <c r="A219" s="33"/>
    </row>
    <row r="220" spans="1:1">
      <c r="A220" s="33"/>
    </row>
    <row r="221" spans="1:1">
      <c r="A221" s="33"/>
    </row>
    <row r="222" spans="1:1">
      <c r="A222" s="33"/>
    </row>
    <row r="223" spans="1:1">
      <c r="A223" s="33"/>
    </row>
    <row r="224" spans="1:1">
      <c r="A224" s="33"/>
    </row>
    <row r="225" spans="1:1">
      <c r="A225" s="33"/>
    </row>
    <row r="226" spans="1:1">
      <c r="A226" s="33"/>
    </row>
    <row r="227" spans="1:1">
      <c r="A227" s="33"/>
    </row>
    <row r="228" spans="1:1">
      <c r="A228" s="33"/>
    </row>
    <row r="229" spans="1:1">
      <c r="A229" s="33"/>
    </row>
    <row r="230" spans="1:1">
      <c r="A230" s="33"/>
    </row>
    <row r="231" spans="1:1">
      <c r="A231" s="33"/>
    </row>
    <row r="232" spans="1:1">
      <c r="A232" s="33"/>
    </row>
    <row r="233" spans="1:1">
      <c r="A233" s="33"/>
    </row>
    <row r="234" spans="1:1">
      <c r="A234" s="33"/>
    </row>
    <row r="235" spans="1:1">
      <c r="A235" s="33"/>
    </row>
    <row r="236" spans="1:1">
      <c r="A236" s="33"/>
    </row>
    <row r="237" spans="1:1">
      <c r="A237" s="33"/>
    </row>
    <row r="238" spans="1:1">
      <c r="A238" s="33"/>
    </row>
    <row r="239" spans="1:1">
      <c r="A239" s="33"/>
    </row>
    <row r="240" spans="1:1">
      <c r="A240" s="33"/>
    </row>
    <row r="241" spans="1:1">
      <c r="A241" s="33"/>
    </row>
    <row r="242" spans="1:1">
      <c r="A242" s="33"/>
    </row>
    <row r="243" spans="1:1">
      <c r="A243" s="33"/>
    </row>
    <row r="244" spans="1:1">
      <c r="A244" s="33"/>
    </row>
    <row r="245" spans="1:1">
      <c r="A245" s="33"/>
    </row>
    <row r="246" spans="1:1">
      <c r="A246" s="33"/>
    </row>
    <row r="247" spans="1:1">
      <c r="A247" s="33"/>
    </row>
    <row r="248" spans="1:1">
      <c r="A248" s="33"/>
    </row>
    <row r="249" spans="1:1">
      <c r="A249" s="33"/>
    </row>
    <row r="250" spans="1:1">
      <c r="A250" s="33"/>
    </row>
    <row r="251" spans="1:1">
      <c r="A251" s="33"/>
    </row>
    <row r="252" spans="1:1">
      <c r="A252" s="33"/>
    </row>
    <row r="253" spans="1:1">
      <c r="A253" s="33"/>
    </row>
    <row r="254" spans="1:1">
      <c r="A254" s="33"/>
    </row>
    <row r="255" spans="1:1">
      <c r="A255" s="33"/>
    </row>
    <row r="256" spans="1:1">
      <c r="A256" s="33"/>
    </row>
    <row r="257" spans="1:1">
      <c r="A257" s="33"/>
    </row>
    <row r="258" spans="1:1">
      <c r="A258" s="33"/>
    </row>
    <row r="259" spans="1:1">
      <c r="A259" s="33"/>
    </row>
    <row r="260" spans="1:1">
      <c r="A260" s="33"/>
    </row>
    <row r="261" spans="1:1">
      <c r="A261" s="33"/>
    </row>
    <row r="262" spans="1:1">
      <c r="A262" s="33"/>
    </row>
    <row r="263" spans="1:1">
      <c r="A263" s="33"/>
    </row>
    <row r="264" spans="1:1">
      <c r="A264" s="33"/>
    </row>
    <row r="265" spans="1:1">
      <c r="A265" s="33"/>
    </row>
    <row r="266" spans="1:1">
      <c r="A266" s="33"/>
    </row>
    <row r="267" spans="1:1">
      <c r="A267" s="33"/>
    </row>
    <row r="268" spans="1:1">
      <c r="A268" s="33"/>
    </row>
    <row r="269" spans="1:1">
      <c r="A269" s="33"/>
    </row>
    <row r="270" spans="1:1">
      <c r="A270" s="33"/>
    </row>
    <row r="271" spans="1:1">
      <c r="A271" s="33"/>
    </row>
    <row r="272" spans="1:1">
      <c r="A272" s="33"/>
    </row>
    <row r="273" spans="1:1">
      <c r="A273" s="33"/>
    </row>
    <row r="274" spans="1:1">
      <c r="A274" s="33"/>
    </row>
    <row r="275" spans="1:1">
      <c r="A275" s="33"/>
    </row>
    <row r="276" spans="1:1">
      <c r="A276" s="33"/>
    </row>
    <row r="277" spans="1:1">
      <c r="A277" s="33"/>
    </row>
    <row r="278" spans="1:1">
      <c r="A278" s="33"/>
    </row>
    <row r="279" spans="1:1">
      <c r="A279" s="33"/>
    </row>
    <row r="280" spans="1:1">
      <c r="A280" s="33"/>
    </row>
    <row r="281" spans="1:1">
      <c r="A281" s="33"/>
    </row>
    <row r="282" spans="1:1">
      <c r="A282" s="33"/>
    </row>
    <row r="283" spans="1:1">
      <c r="A283" s="33"/>
    </row>
    <row r="284" spans="1:1">
      <c r="A284" s="33"/>
    </row>
    <row r="285" spans="1:1">
      <c r="A285" s="33"/>
    </row>
    <row r="286" spans="1:1">
      <c r="A286" s="33"/>
    </row>
    <row r="287" spans="1:1">
      <c r="A287" s="33"/>
    </row>
    <row r="288" spans="1:1">
      <c r="A288" s="33"/>
    </row>
    <row r="289" spans="1:1">
      <c r="A289" s="33"/>
    </row>
    <row r="290" spans="1:1">
      <c r="A290" s="33"/>
    </row>
    <row r="291" spans="1:1">
      <c r="A291" s="33"/>
    </row>
    <row r="292" spans="1:1">
      <c r="A292" s="33"/>
    </row>
    <row r="293" spans="1:1">
      <c r="A293" s="33"/>
    </row>
    <row r="294" spans="1:1">
      <c r="A294" s="33"/>
    </row>
    <row r="295" spans="1:1">
      <c r="A295" s="33"/>
    </row>
    <row r="296" spans="1:1">
      <c r="A296" s="33"/>
    </row>
    <row r="297" spans="1:1">
      <c r="A297" s="33"/>
    </row>
    <row r="298" spans="1:1">
      <c r="A298" s="33"/>
    </row>
    <row r="299" spans="1:1">
      <c r="A299" s="33"/>
    </row>
    <row r="300" spans="1:1">
      <c r="A300" s="33"/>
    </row>
    <row r="301" spans="1:1">
      <c r="A301" s="33"/>
    </row>
    <row r="302" spans="1:1">
      <c r="A302" s="33"/>
    </row>
    <row r="303" spans="1:1">
      <c r="A303" s="33"/>
    </row>
    <row r="304" spans="1:1">
      <c r="A304" s="33"/>
    </row>
    <row r="305" spans="1:1">
      <c r="A305" s="33"/>
    </row>
    <row r="306" spans="1:1">
      <c r="A306" s="33"/>
    </row>
    <row r="307" spans="1:1">
      <c r="A307" s="33"/>
    </row>
    <row r="308" spans="1:1">
      <c r="A308" s="33"/>
    </row>
    <row r="309" spans="1:1">
      <c r="A309" s="33"/>
    </row>
    <row r="310" spans="1:1">
      <c r="A310" s="33"/>
    </row>
    <row r="311" spans="1:1">
      <c r="A311" s="33"/>
    </row>
    <row r="312" spans="1:1">
      <c r="A312" s="33"/>
    </row>
    <row r="313" spans="1:1">
      <c r="A313" s="33"/>
    </row>
    <row r="314" spans="1:1">
      <c r="A314" s="33"/>
    </row>
    <row r="315" spans="1:1">
      <c r="A315" s="33"/>
    </row>
    <row r="316" spans="1:1">
      <c r="A316" s="33"/>
    </row>
    <row r="317" spans="1:1">
      <c r="A317" s="33"/>
    </row>
    <row r="318" spans="1:1">
      <c r="A318" s="33"/>
    </row>
    <row r="319" spans="1:1">
      <c r="A319" s="33"/>
    </row>
    <row r="320" spans="1:1">
      <c r="A320" s="33"/>
    </row>
    <row r="321" spans="1:1">
      <c r="A321" s="33"/>
    </row>
    <row r="322" spans="1:1">
      <c r="A322" s="33"/>
    </row>
    <row r="323" spans="1:1">
      <c r="A323" s="33"/>
    </row>
    <row r="324" spans="1:1">
      <c r="A324" s="33"/>
    </row>
    <row r="325" spans="1:1">
      <c r="A325" s="33"/>
    </row>
    <row r="326" spans="1:1">
      <c r="A326" s="33"/>
    </row>
    <row r="327" spans="1:1">
      <c r="A327" s="33"/>
    </row>
    <row r="328" spans="1:1">
      <c r="A328" s="33"/>
    </row>
    <row r="329" spans="1:1">
      <c r="A329" s="33"/>
    </row>
    <row r="330" spans="1:1">
      <c r="A330" s="33"/>
    </row>
    <row r="331" spans="1:1">
      <c r="A331" s="33"/>
    </row>
    <row r="332" spans="1:1">
      <c r="A332" s="33"/>
    </row>
    <row r="333" spans="1:1">
      <c r="A333" s="33"/>
    </row>
    <row r="334" spans="1:1">
      <c r="A334" s="33"/>
    </row>
    <row r="335" spans="1:1">
      <c r="A335" s="33"/>
    </row>
    <row r="336" spans="1:1">
      <c r="A336" s="33"/>
    </row>
    <row r="337" spans="1:1">
      <c r="A337" s="33"/>
    </row>
    <row r="338" spans="1:1">
      <c r="A338" s="33"/>
    </row>
    <row r="339" spans="1:1">
      <c r="A339" s="33"/>
    </row>
    <row r="340" spans="1:1">
      <c r="A340" s="33"/>
    </row>
    <row r="341" spans="1:1">
      <c r="A341" s="33"/>
    </row>
    <row r="342" spans="1:1">
      <c r="A342" s="33"/>
    </row>
    <row r="343" spans="1:1">
      <c r="A343" s="33"/>
    </row>
    <row r="344" spans="1:1">
      <c r="A344" s="33"/>
    </row>
    <row r="345" spans="1:1">
      <c r="A345" s="33"/>
    </row>
    <row r="346" spans="1:1">
      <c r="A346" s="33"/>
    </row>
    <row r="347" spans="1:1">
      <c r="A347" s="33"/>
    </row>
    <row r="348" spans="1:1">
      <c r="A348" s="33"/>
    </row>
    <row r="349" spans="1:1">
      <c r="A349" s="33"/>
    </row>
    <row r="350" spans="1:1">
      <c r="A350" s="33"/>
    </row>
    <row r="351" spans="1:1">
      <c r="A351" s="33"/>
    </row>
    <row r="352" spans="1:1">
      <c r="A352" s="33"/>
    </row>
    <row r="353" spans="1:1">
      <c r="A353" s="33"/>
    </row>
    <row r="354" spans="1:1">
      <c r="A354" s="33"/>
    </row>
    <row r="355" spans="1:1">
      <c r="A355" s="33"/>
    </row>
    <row r="356" spans="1:1">
      <c r="A356" s="33"/>
    </row>
    <row r="357" spans="1:1">
      <c r="A357" s="33"/>
    </row>
    <row r="358" spans="1:1">
      <c r="A358" s="33"/>
    </row>
    <row r="359" spans="1:1">
      <c r="A359" s="33"/>
    </row>
    <row r="360" spans="1:1">
      <c r="A360" s="33"/>
    </row>
    <row r="361" spans="1:1">
      <c r="A361" s="33"/>
    </row>
    <row r="362" spans="1:1">
      <c r="A362" s="33"/>
    </row>
    <row r="363" spans="1:1">
      <c r="A363" s="33"/>
    </row>
    <row r="364" spans="1:1">
      <c r="A364" s="33"/>
    </row>
    <row r="365" spans="1:1">
      <c r="A365" s="33"/>
    </row>
    <row r="366" spans="1:1">
      <c r="A366" s="33"/>
    </row>
    <row r="367" spans="1:1">
      <c r="A367" s="33"/>
    </row>
    <row r="368" spans="1:1">
      <c r="A368" s="33"/>
    </row>
    <row r="369" spans="1:1">
      <c r="A369" s="33"/>
    </row>
    <row r="370" spans="1:1">
      <c r="A370" s="33"/>
    </row>
    <row r="371" spans="1:1">
      <c r="A371" s="33"/>
    </row>
    <row r="372" spans="1:1">
      <c r="A372" s="33"/>
    </row>
    <row r="373" spans="1:1">
      <c r="A373" s="33"/>
    </row>
    <row r="374" spans="1:1">
      <c r="A374" s="33"/>
    </row>
    <row r="375" spans="1:1">
      <c r="A375" s="33"/>
    </row>
    <row r="376" spans="1:1">
      <c r="A376" s="33"/>
    </row>
    <row r="377" spans="1:1">
      <c r="A377" s="33"/>
    </row>
    <row r="378" spans="1:1">
      <c r="A378" s="33"/>
    </row>
    <row r="379" spans="1:1">
      <c r="A379" s="33"/>
    </row>
    <row r="380" spans="1:1">
      <c r="A380" s="33"/>
    </row>
    <row r="381" spans="1:1">
      <c r="A381" s="33"/>
    </row>
    <row r="382" spans="1:1">
      <c r="A382" s="33"/>
    </row>
    <row r="383" spans="1:1">
      <c r="A383" s="33"/>
    </row>
    <row r="384" spans="1:1">
      <c r="A384" s="33"/>
    </row>
    <row r="385" spans="1:1">
      <c r="A385" s="33"/>
    </row>
    <row r="386" spans="1:1">
      <c r="A386" s="33"/>
    </row>
    <row r="387" spans="1:1">
      <c r="A387" s="33"/>
    </row>
    <row r="388" spans="1:1">
      <c r="A388" s="33"/>
    </row>
    <row r="389" spans="1:1">
      <c r="A389" s="33"/>
    </row>
    <row r="390" spans="1:1">
      <c r="A390" s="33"/>
    </row>
    <row r="391" spans="1:1">
      <c r="A391" s="33"/>
    </row>
    <row r="392" spans="1:1">
      <c r="A392" s="33"/>
    </row>
    <row r="393" spans="1:1">
      <c r="A393" s="33"/>
    </row>
    <row r="394" spans="1:1">
      <c r="A394" s="33"/>
    </row>
    <row r="395" spans="1:1">
      <c r="A395" s="33"/>
    </row>
    <row r="396" spans="1:1">
      <c r="A396" s="33"/>
    </row>
    <row r="397" spans="1:1">
      <c r="A397" s="33"/>
    </row>
    <row r="398" spans="1:1">
      <c r="A398" s="33"/>
    </row>
    <row r="399" spans="1:1">
      <c r="A399" s="33"/>
    </row>
    <row r="400" spans="1:1">
      <c r="A400" s="33"/>
    </row>
    <row r="401" spans="1:1">
      <c r="A401" s="33"/>
    </row>
    <row r="402" spans="1:1">
      <c r="A402" s="33"/>
    </row>
    <row r="403" spans="1:1">
      <c r="A403" s="33"/>
    </row>
    <row r="404" spans="1:1">
      <c r="A404" s="33"/>
    </row>
    <row r="405" spans="1:1">
      <c r="A405" s="33"/>
    </row>
    <row r="406" spans="1:1">
      <c r="A406" s="33"/>
    </row>
    <row r="407" spans="1:1">
      <c r="A407" s="33"/>
    </row>
    <row r="408" spans="1:1">
      <c r="A408" s="33"/>
    </row>
    <row r="409" spans="1:1">
      <c r="A409" s="33"/>
    </row>
    <row r="410" spans="1:1">
      <c r="A410" s="33"/>
    </row>
    <row r="411" spans="1:1">
      <c r="A411" s="33"/>
    </row>
    <row r="412" spans="1:1">
      <c r="A412" s="33"/>
    </row>
    <row r="445" spans="1:1">
      <c r="A445" s="33"/>
    </row>
    <row r="446" spans="1:1">
      <c r="A446" s="33"/>
    </row>
    <row r="447" spans="1:1">
      <c r="A447" s="33"/>
    </row>
    <row r="448" spans="1:1">
      <c r="A448" s="33"/>
    </row>
    <row r="449" spans="1:1">
      <c r="A449" s="33"/>
    </row>
    <row r="450" spans="1:1">
      <c r="A450" s="33"/>
    </row>
    <row r="451" spans="1:1">
      <c r="A451" s="33"/>
    </row>
    <row r="452" spans="1:1">
      <c r="A452" s="33"/>
    </row>
    <row r="453" spans="1:1">
      <c r="A453" s="33"/>
    </row>
    <row r="454" spans="1:1">
      <c r="A454" s="33"/>
    </row>
    <row r="455" spans="1:1">
      <c r="A455" s="33"/>
    </row>
    <row r="456" spans="1:1">
      <c r="A456" s="33"/>
    </row>
    <row r="457" spans="1:1">
      <c r="A457" s="33"/>
    </row>
    <row r="458" spans="1:1">
      <c r="A458" s="33"/>
    </row>
    <row r="459" spans="1:1">
      <c r="A459" s="33"/>
    </row>
    <row r="460" spans="1:1">
      <c r="A460" s="33"/>
    </row>
    <row r="477" spans="1:1">
      <c r="A477" s="33"/>
    </row>
    <row r="478" spans="1:1">
      <c r="A478" s="33"/>
    </row>
    <row r="479" spans="1:1">
      <c r="A479" s="33"/>
    </row>
    <row r="480" spans="1:1">
      <c r="A480" s="33"/>
    </row>
    <row r="481" spans="1:1">
      <c r="A481" s="33"/>
    </row>
    <row r="482" spans="1:1">
      <c r="A482" s="33"/>
    </row>
    <row r="483" spans="1:1">
      <c r="A483" s="33"/>
    </row>
    <row r="484" spans="1:1">
      <c r="A484" s="33"/>
    </row>
    <row r="485" spans="1:1">
      <c r="A485" s="33"/>
    </row>
    <row r="486" spans="1:1">
      <c r="A486" s="33"/>
    </row>
  </sheetData>
  <autoFilter ref="A5:L5" xr:uid="{00000000-0001-0000-2B00-000000000000}">
    <sortState xmlns:xlrd2="http://schemas.microsoft.com/office/spreadsheetml/2017/richdata2" ref="A6:L69">
      <sortCondition ref="A5"/>
    </sortState>
  </autoFilter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3"/>
  <sheetViews>
    <sheetView topLeftCell="A4" zoomScale="85" zoomScaleNormal="85" workbookViewId="0">
      <selection activeCell="H22" sqref="H22"/>
    </sheetView>
  </sheetViews>
  <sheetFormatPr defaultColWidth="11.42578125" defaultRowHeight="15"/>
  <sheetData>
    <row r="1" spans="1:9">
      <c r="A1" s="21" t="s">
        <v>394</v>
      </c>
      <c r="B1" s="23"/>
      <c r="C1" s="23"/>
      <c r="D1" s="23"/>
      <c r="E1" s="23"/>
      <c r="F1" s="23"/>
      <c r="G1" s="23"/>
      <c r="H1" s="23"/>
      <c r="I1" s="23"/>
    </row>
    <row r="2" spans="1:9">
      <c r="A2" s="21" t="s">
        <v>331</v>
      </c>
      <c r="B2" s="23"/>
      <c r="C2" s="23"/>
      <c r="D2" s="23"/>
      <c r="E2" s="23"/>
      <c r="F2" s="23"/>
      <c r="G2" s="23"/>
      <c r="H2" s="23"/>
      <c r="I2" s="23"/>
    </row>
    <row r="3" spans="1:9">
      <c r="A3" s="21" t="s">
        <v>359</v>
      </c>
      <c r="B3" s="23"/>
      <c r="C3" s="23"/>
      <c r="D3" s="23"/>
      <c r="E3" s="23"/>
      <c r="F3" s="23"/>
      <c r="G3" s="23"/>
      <c r="H3" s="23"/>
      <c r="I3" s="23"/>
    </row>
    <row r="4" spans="1:9">
      <c r="A4" s="21"/>
      <c r="B4" s="23"/>
      <c r="C4" s="23"/>
      <c r="D4" s="23"/>
      <c r="E4" s="23"/>
      <c r="F4" s="23"/>
      <c r="G4" s="23"/>
      <c r="H4" s="23"/>
      <c r="I4" s="23"/>
    </row>
    <row r="5" spans="1:9">
      <c r="A5" t="s">
        <v>11</v>
      </c>
      <c r="B5" t="s">
        <v>26</v>
      </c>
      <c r="C5" s="23"/>
      <c r="D5" s="23"/>
      <c r="E5" s="23"/>
      <c r="F5" s="23"/>
      <c r="G5" s="23"/>
      <c r="H5" s="23"/>
      <c r="I5" s="23"/>
    </row>
    <row r="6" spans="1:9">
      <c r="A6" t="s">
        <v>480</v>
      </c>
      <c r="B6">
        <v>0</v>
      </c>
    </row>
    <row r="7" spans="1:9">
      <c r="A7" t="s">
        <v>481</v>
      </c>
      <c r="B7">
        <v>0</v>
      </c>
    </row>
    <row r="8" spans="1:9">
      <c r="A8" t="s">
        <v>482</v>
      </c>
      <c r="B8">
        <v>0</v>
      </c>
    </row>
    <row r="9" spans="1:9">
      <c r="A9" t="s">
        <v>483</v>
      </c>
      <c r="B9">
        <v>0</v>
      </c>
    </row>
    <row r="10" spans="1:9">
      <c r="A10" t="s">
        <v>484</v>
      </c>
      <c r="B10">
        <v>0</v>
      </c>
    </row>
    <row r="11" spans="1:9">
      <c r="A11" t="s">
        <v>485</v>
      </c>
      <c r="B11">
        <v>0</v>
      </c>
    </row>
    <row r="12" spans="1:9">
      <c r="A12" t="s">
        <v>486</v>
      </c>
      <c r="B12">
        <v>0</v>
      </c>
    </row>
    <row r="13" spans="1:9">
      <c r="A13" t="s">
        <v>487</v>
      </c>
      <c r="B13">
        <v>0</v>
      </c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/>
  <dimension ref="A1:M967"/>
  <sheetViews>
    <sheetView zoomScaleNormal="100" workbookViewId="0">
      <selection activeCell="B14" sqref="B14"/>
    </sheetView>
  </sheetViews>
  <sheetFormatPr defaultColWidth="11.42578125" defaultRowHeight="15"/>
  <cols>
    <col min="1" max="1" width="24.140625" customWidth="1"/>
    <col min="2" max="2" width="24" customWidth="1"/>
    <col min="3" max="3" width="23.42578125" bestFit="1" customWidth="1"/>
    <col min="10" max="10" width="11.85546875" bestFit="1" customWidth="1"/>
  </cols>
  <sheetData>
    <row r="1" spans="1:13">
      <c r="A1" t="s">
        <v>395</v>
      </c>
    </row>
    <row r="2" spans="1:13">
      <c r="A2" t="s">
        <v>332</v>
      </c>
    </row>
    <row r="3" spans="1:13">
      <c r="A3" t="s">
        <v>371</v>
      </c>
    </row>
    <row r="5" spans="1:13">
      <c r="A5" t="s">
        <v>11</v>
      </c>
      <c r="B5" t="s">
        <v>17</v>
      </c>
      <c r="C5" t="s">
        <v>12</v>
      </c>
      <c r="D5">
        <v>2018</v>
      </c>
    </row>
    <row r="6" spans="1:13">
      <c r="I6" s="39"/>
      <c r="J6" s="40"/>
      <c r="K6" s="40"/>
      <c r="L6" s="40"/>
      <c r="M6" s="40"/>
    </row>
    <row r="38" spans="9:13">
      <c r="I38" s="39"/>
      <c r="J38" s="40"/>
      <c r="K38" s="40"/>
      <c r="L38" s="40"/>
      <c r="M38" s="40"/>
    </row>
    <row r="74" spans="9:13">
      <c r="I74" s="39"/>
      <c r="J74" s="40"/>
      <c r="K74" s="40"/>
      <c r="L74" s="40"/>
      <c r="M74" s="40"/>
    </row>
    <row r="107" spans="9:13">
      <c r="I107" s="39"/>
      <c r="J107" s="40"/>
      <c r="K107" s="40"/>
      <c r="L107" s="40"/>
      <c r="M107" s="40"/>
    </row>
    <row r="131" spans="9:13">
      <c r="I131" s="39"/>
      <c r="J131" s="40"/>
      <c r="K131" s="40"/>
      <c r="L131" s="40"/>
      <c r="M131" s="40"/>
    </row>
    <row r="168" spans="9:13">
      <c r="I168" s="39"/>
      <c r="J168" s="40"/>
      <c r="K168" s="40"/>
      <c r="L168" s="40"/>
      <c r="M168" s="40"/>
    </row>
    <row r="206" spans="9:13">
      <c r="I206" s="39"/>
      <c r="J206" s="40"/>
      <c r="K206" s="40"/>
      <c r="L206" s="40"/>
      <c r="M206" s="40"/>
    </row>
    <row r="237" spans="9:13">
      <c r="I237" s="39"/>
      <c r="J237" s="40"/>
      <c r="K237" s="40"/>
      <c r="L237" s="40"/>
      <c r="M237" s="40"/>
    </row>
    <row r="269" spans="9:13">
      <c r="I269" s="39"/>
      <c r="J269" s="40"/>
      <c r="K269" s="40"/>
      <c r="L269" s="40"/>
      <c r="M269" s="40"/>
    </row>
    <row r="304" spans="9:13">
      <c r="I304" s="39"/>
      <c r="J304" s="40"/>
      <c r="K304" s="40"/>
      <c r="L304" s="40"/>
      <c r="M304" s="40"/>
    </row>
    <row r="338" spans="9:13">
      <c r="I338" s="39"/>
      <c r="J338" s="40"/>
      <c r="K338" s="40"/>
      <c r="L338" s="40"/>
      <c r="M338" s="40"/>
    </row>
    <row r="373" spans="9:13">
      <c r="I373" s="39"/>
      <c r="J373" s="40"/>
      <c r="K373" s="40"/>
      <c r="L373" s="40"/>
      <c r="M373" s="40"/>
    </row>
    <row r="406" spans="9:13">
      <c r="I406" s="39"/>
      <c r="J406" s="40"/>
      <c r="K406" s="40"/>
      <c r="L406" s="40"/>
      <c r="M406" s="40"/>
    </row>
    <row r="438" spans="9:13">
      <c r="I438" s="39"/>
      <c r="J438" s="40"/>
      <c r="K438" s="40"/>
      <c r="L438" s="40"/>
      <c r="M438" s="40"/>
    </row>
    <row r="475" spans="9:13">
      <c r="I475" s="39"/>
      <c r="J475" s="40"/>
      <c r="K475" s="40"/>
      <c r="L475" s="40"/>
      <c r="M475" s="40"/>
    </row>
    <row r="509" spans="9:13">
      <c r="I509" s="39"/>
      <c r="J509" s="40"/>
      <c r="K509" s="40"/>
      <c r="L509" s="40"/>
      <c r="M509" s="40"/>
    </row>
    <row r="543" spans="9:13">
      <c r="I543" s="39"/>
      <c r="J543" s="40"/>
      <c r="K543" s="40"/>
      <c r="L543" s="40"/>
      <c r="M543" s="40"/>
    </row>
    <row r="574" spans="9:13">
      <c r="I574" s="39"/>
      <c r="J574" s="40"/>
      <c r="K574" s="40"/>
      <c r="L574" s="40"/>
      <c r="M574" s="40"/>
    </row>
    <row r="603" spans="9:13">
      <c r="I603" s="39"/>
      <c r="J603" s="40"/>
      <c r="K603" s="40"/>
      <c r="L603" s="40"/>
      <c r="M603" s="40"/>
    </row>
    <row r="630" spans="9:13">
      <c r="I630" s="39"/>
      <c r="J630" s="40"/>
      <c r="K630" s="40"/>
      <c r="L630" s="40"/>
      <c r="M630" s="40"/>
    </row>
    <row r="664" spans="9:13">
      <c r="I664" s="39"/>
      <c r="J664" s="40"/>
      <c r="K664" s="40"/>
      <c r="L664" s="40"/>
      <c r="M664" s="40"/>
    </row>
    <row r="706" spans="9:13">
      <c r="I706" s="39"/>
      <c r="J706" s="40"/>
      <c r="K706" s="40"/>
      <c r="L706" s="40"/>
      <c r="M706" s="40"/>
    </row>
    <row r="737" spans="9:13">
      <c r="I737" s="39"/>
      <c r="J737" s="40"/>
      <c r="K737" s="40"/>
      <c r="L737" s="40"/>
      <c r="M737" s="40"/>
    </row>
    <row r="769" spans="9:13">
      <c r="I769" s="39"/>
      <c r="J769" s="40"/>
      <c r="K769" s="40"/>
      <c r="L769" s="40"/>
      <c r="M769" s="40"/>
    </row>
    <row r="802" spans="9:13">
      <c r="I802" s="39"/>
      <c r="J802" s="40"/>
      <c r="K802" s="40"/>
      <c r="L802" s="40"/>
      <c r="M802" s="40"/>
    </row>
    <row r="836" spans="9:13">
      <c r="I836" s="39"/>
      <c r="J836" s="40"/>
      <c r="K836" s="40"/>
      <c r="L836" s="40"/>
      <c r="M836" s="40"/>
    </row>
    <row r="868" spans="9:13">
      <c r="I868" s="39"/>
      <c r="J868" s="40"/>
      <c r="K868" s="40"/>
      <c r="L868" s="40"/>
      <c r="M868" s="40"/>
    </row>
    <row r="910" spans="9:13">
      <c r="I910" s="39"/>
      <c r="J910" s="40"/>
      <c r="K910" s="40"/>
      <c r="L910" s="40"/>
      <c r="M910" s="40"/>
    </row>
    <row r="953" spans="1:4">
      <c r="A953" t="s">
        <v>263</v>
      </c>
      <c r="B953" t="s">
        <v>429</v>
      </c>
      <c r="C953" t="s">
        <v>15</v>
      </c>
      <c r="D953">
        <v>0.1</v>
      </c>
    </row>
    <row r="954" spans="1:4">
      <c r="A954" t="s">
        <v>262</v>
      </c>
      <c r="B954" t="s">
        <v>429</v>
      </c>
      <c r="C954" t="s">
        <v>15</v>
      </c>
      <c r="D954">
        <v>18.420000000000002</v>
      </c>
    </row>
    <row r="955" spans="1:4">
      <c r="A955" t="s">
        <v>262</v>
      </c>
      <c r="B955" t="s">
        <v>431</v>
      </c>
      <c r="C955" t="s">
        <v>15</v>
      </c>
      <c r="D955">
        <v>2.96</v>
      </c>
    </row>
    <row r="956" spans="1:4">
      <c r="A956" t="s">
        <v>259</v>
      </c>
      <c r="B956" t="s">
        <v>429</v>
      </c>
      <c r="C956" t="s">
        <v>15</v>
      </c>
      <c r="D956">
        <v>2.1920000000000002</v>
      </c>
    </row>
    <row r="963" spans="9:11">
      <c r="I963" s="44" t="s">
        <v>259</v>
      </c>
      <c r="J963" t="s">
        <v>429</v>
      </c>
      <c r="K963">
        <v>0.10199999999999999</v>
      </c>
    </row>
    <row r="964" spans="9:11">
      <c r="I964" s="44" t="s">
        <v>264</v>
      </c>
      <c r="J964" t="s">
        <v>429</v>
      </c>
      <c r="K964">
        <v>1.024</v>
      </c>
    </row>
    <row r="965" spans="9:11">
      <c r="I965" s="45" t="s">
        <v>262</v>
      </c>
      <c r="J965" t="s">
        <v>429</v>
      </c>
      <c r="K965">
        <v>0.74129999999999996</v>
      </c>
    </row>
    <row r="966" spans="9:11">
      <c r="I966" s="44" t="s">
        <v>263</v>
      </c>
      <c r="J966" t="s">
        <v>429</v>
      </c>
      <c r="K966">
        <v>1.488</v>
      </c>
    </row>
    <row r="967" spans="9:11">
      <c r="I967" s="46" t="s">
        <v>308</v>
      </c>
      <c r="J967" t="s">
        <v>429</v>
      </c>
      <c r="K967">
        <v>23.545866999999998</v>
      </c>
    </row>
  </sheetData>
  <autoFilter ref="A5:M944" xr:uid="{00000000-0001-0000-2900-000000000000}"/>
  <pageMargins left="0.7" right="0.7" top="0.78740157499999996" bottom="0.78740157499999996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7" sqref="E7"/>
    </sheetView>
  </sheetViews>
  <sheetFormatPr defaultColWidth="11.42578125" defaultRowHeight="15"/>
  <cols>
    <col min="1" max="1" width="20.85546875" style="21" customWidth="1"/>
    <col min="2" max="2" width="23.42578125" bestFit="1" customWidth="1"/>
  </cols>
  <sheetData>
    <row r="1" spans="1:10">
      <c r="A1" s="21" t="s">
        <v>396</v>
      </c>
      <c r="C1" s="23"/>
      <c r="D1" s="23"/>
      <c r="E1" s="23"/>
      <c r="F1" s="23"/>
      <c r="G1" s="23"/>
      <c r="H1" s="23"/>
      <c r="I1" s="23"/>
      <c r="J1" s="23"/>
    </row>
    <row r="2" spans="1:10">
      <c r="A2" s="21" t="s">
        <v>333</v>
      </c>
      <c r="C2" s="23"/>
      <c r="D2" s="23"/>
      <c r="E2" s="23"/>
      <c r="F2" s="23"/>
      <c r="G2" s="23"/>
      <c r="H2" s="23"/>
      <c r="I2" s="23"/>
      <c r="J2" s="23"/>
    </row>
    <row r="3" spans="1:10">
      <c r="A3" s="21" t="s">
        <v>371</v>
      </c>
      <c r="C3" s="23"/>
      <c r="D3" s="23"/>
      <c r="E3" s="23"/>
      <c r="F3" s="23"/>
      <c r="G3" s="23"/>
      <c r="H3" s="23"/>
      <c r="I3" s="23"/>
      <c r="J3" s="23"/>
    </row>
    <row r="4" spans="1:10">
      <c r="C4" s="23"/>
      <c r="D4" s="23"/>
      <c r="E4" s="23"/>
      <c r="F4" s="23"/>
      <c r="G4" s="23"/>
      <c r="H4" s="23"/>
      <c r="I4" s="23"/>
      <c r="J4" s="23"/>
    </row>
    <row r="5" spans="1:10">
      <c r="A5" t="s">
        <v>17</v>
      </c>
      <c r="B5" t="s">
        <v>12</v>
      </c>
      <c r="C5" t="s">
        <v>26</v>
      </c>
      <c r="D5" s="23"/>
      <c r="E5" s="23"/>
      <c r="F5" s="23"/>
      <c r="G5" s="23"/>
      <c r="H5" s="23"/>
      <c r="I5" s="23"/>
      <c r="J5" s="23"/>
    </row>
    <row r="6" spans="1:10">
      <c r="A6" t="s">
        <v>307</v>
      </c>
      <c r="B6" t="s">
        <v>15</v>
      </c>
      <c r="C6">
        <v>102.83449699879952</v>
      </c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zoomScaleNormal="100" workbookViewId="0">
      <selection activeCell="R50" sqref="A1:XFD1048576"/>
    </sheetView>
  </sheetViews>
  <sheetFormatPr defaultColWidth="9.140625" defaultRowHeight="15"/>
  <cols>
    <col min="1" max="1" width="9.140625" style="4"/>
    <col min="2" max="2" width="15.42578125" style="4" bestFit="1" customWidth="1"/>
    <col min="3" max="3" width="13.42578125" style="4" bestFit="1" customWidth="1"/>
    <col min="4" max="5" width="9.140625" style="4"/>
    <col min="6" max="7" width="13.42578125" style="4" bestFit="1" customWidth="1"/>
    <col min="8" max="8" width="14.140625" style="4" bestFit="1" customWidth="1"/>
    <col min="9" max="16384" width="9.140625" style="4"/>
  </cols>
  <sheetData>
    <row r="1" spans="1:12">
      <c r="A1" s="4" t="s">
        <v>398</v>
      </c>
    </row>
    <row r="2" spans="1:12">
      <c r="A2" s="4" t="s">
        <v>336</v>
      </c>
    </row>
    <row r="3" spans="1:12">
      <c r="A3" s="4" t="s">
        <v>364</v>
      </c>
    </row>
    <row r="5" spans="1:12">
      <c r="A5" s="4" t="s">
        <v>18</v>
      </c>
      <c r="B5" s="4" t="s">
        <v>56</v>
      </c>
      <c r="C5" s="4" t="s">
        <v>17</v>
      </c>
      <c r="D5" t="s">
        <v>134</v>
      </c>
      <c r="E5" t="s">
        <v>141</v>
      </c>
      <c r="F5" t="s">
        <v>142</v>
      </c>
      <c r="G5" t="s">
        <v>135</v>
      </c>
      <c r="H5" t="s">
        <v>136</v>
      </c>
      <c r="I5" t="s">
        <v>232</v>
      </c>
      <c r="J5" t="s">
        <v>234</v>
      </c>
      <c r="K5" t="s">
        <v>178</v>
      </c>
      <c r="L5"/>
    </row>
    <row r="6" spans="1:12">
      <c r="A6">
        <v>2018</v>
      </c>
      <c r="B6">
        <v>1</v>
      </c>
      <c r="C6" t="s">
        <v>127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127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127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127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127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127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127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127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128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128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128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128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128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128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128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128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139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139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139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139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139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139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139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139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140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140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140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140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140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140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140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140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231</v>
      </c>
      <c r="D38"/>
      <c r="E38"/>
      <c r="F38"/>
      <c r="G38"/>
      <c r="H38"/>
      <c r="I38">
        <v>1</v>
      </c>
      <c r="J38"/>
    </row>
    <row r="39" spans="1:10">
      <c r="A39">
        <v>2021</v>
      </c>
      <c r="B39">
        <v>1</v>
      </c>
      <c r="C39" t="s">
        <v>231</v>
      </c>
      <c r="D39"/>
      <c r="E39"/>
      <c r="F39"/>
      <c r="G39"/>
      <c r="H39"/>
      <c r="I39">
        <v>1</v>
      </c>
      <c r="J39"/>
    </row>
    <row r="40" spans="1:10">
      <c r="A40">
        <v>2025</v>
      </c>
      <c r="B40">
        <v>1</v>
      </c>
      <c r="C40" t="s">
        <v>231</v>
      </c>
      <c r="D40"/>
      <c r="E40"/>
      <c r="F40"/>
      <c r="G40"/>
      <c r="H40"/>
      <c r="I40">
        <v>1</v>
      </c>
      <c r="J40"/>
    </row>
    <row r="41" spans="1:10">
      <c r="A41">
        <v>2030</v>
      </c>
      <c r="B41">
        <v>1</v>
      </c>
      <c r="C41" t="s">
        <v>231</v>
      </c>
      <c r="D41"/>
      <c r="E41"/>
      <c r="F41"/>
      <c r="G41"/>
      <c r="H41"/>
      <c r="I41">
        <v>1</v>
      </c>
      <c r="J41"/>
    </row>
    <row r="42" spans="1:10">
      <c r="A42">
        <v>2035</v>
      </c>
      <c r="B42">
        <v>1</v>
      </c>
      <c r="C42" t="s">
        <v>231</v>
      </c>
      <c r="D42"/>
      <c r="E42"/>
      <c r="F42"/>
      <c r="G42"/>
      <c r="H42"/>
      <c r="I42">
        <v>1</v>
      </c>
      <c r="J42"/>
    </row>
    <row r="43" spans="1:10">
      <c r="A43">
        <v>2040</v>
      </c>
      <c r="B43">
        <v>1</v>
      </c>
      <c r="C43" t="s">
        <v>231</v>
      </c>
      <c r="D43"/>
      <c r="E43"/>
      <c r="F43"/>
      <c r="G43"/>
      <c r="H43"/>
      <c r="I43">
        <v>1</v>
      </c>
      <c r="J43"/>
    </row>
    <row r="44" spans="1:10">
      <c r="A44">
        <v>2045</v>
      </c>
      <c r="B44">
        <v>1</v>
      </c>
      <c r="C44" t="s">
        <v>231</v>
      </c>
      <c r="D44"/>
      <c r="E44"/>
      <c r="F44"/>
      <c r="G44"/>
      <c r="H44"/>
      <c r="I44">
        <v>1</v>
      </c>
      <c r="J44"/>
    </row>
    <row r="45" spans="1:10">
      <c r="A45">
        <v>2050</v>
      </c>
      <c r="B45">
        <v>1</v>
      </c>
      <c r="C45" t="s">
        <v>231</v>
      </c>
      <c r="D45"/>
      <c r="E45"/>
      <c r="F45"/>
      <c r="G45"/>
      <c r="H45"/>
      <c r="I45">
        <v>1</v>
      </c>
      <c r="J45"/>
    </row>
    <row r="46" spans="1:10">
      <c r="A46">
        <v>2018</v>
      </c>
      <c r="B46">
        <v>1</v>
      </c>
      <c r="C46" t="s">
        <v>233</v>
      </c>
      <c r="D46"/>
      <c r="E46"/>
      <c r="F46"/>
      <c r="G46"/>
      <c r="H46"/>
      <c r="I46"/>
      <c r="J46">
        <v>1</v>
      </c>
    </row>
    <row r="47" spans="1:10">
      <c r="A47">
        <v>2021</v>
      </c>
      <c r="B47">
        <v>1</v>
      </c>
      <c r="C47" t="s">
        <v>233</v>
      </c>
      <c r="D47"/>
      <c r="E47"/>
      <c r="F47"/>
      <c r="G47"/>
      <c r="H47"/>
      <c r="I47"/>
      <c r="J47">
        <v>1</v>
      </c>
    </row>
    <row r="48" spans="1:10">
      <c r="A48">
        <v>2025</v>
      </c>
      <c r="B48">
        <v>1</v>
      </c>
      <c r="C48" t="s">
        <v>233</v>
      </c>
      <c r="D48"/>
      <c r="E48"/>
      <c r="F48"/>
      <c r="G48"/>
      <c r="H48"/>
      <c r="I48"/>
      <c r="J48">
        <v>1</v>
      </c>
    </row>
    <row r="49" spans="1:10">
      <c r="A49">
        <v>2030</v>
      </c>
      <c r="B49">
        <v>1</v>
      </c>
      <c r="C49" t="s">
        <v>233</v>
      </c>
      <c r="D49"/>
      <c r="E49"/>
      <c r="F49"/>
      <c r="G49"/>
      <c r="H49"/>
      <c r="I49"/>
      <c r="J49">
        <v>1</v>
      </c>
    </row>
    <row r="50" spans="1:10">
      <c r="A50">
        <v>2035</v>
      </c>
      <c r="B50">
        <v>1</v>
      </c>
      <c r="C50" t="s">
        <v>233</v>
      </c>
      <c r="D50"/>
      <c r="E50"/>
      <c r="F50"/>
      <c r="G50"/>
      <c r="H50"/>
      <c r="I50"/>
      <c r="J50">
        <v>1</v>
      </c>
    </row>
    <row r="51" spans="1:10">
      <c r="A51">
        <v>2040</v>
      </c>
      <c r="B51">
        <v>1</v>
      </c>
      <c r="C51" t="s">
        <v>233</v>
      </c>
      <c r="D51"/>
      <c r="E51"/>
      <c r="F51"/>
      <c r="G51"/>
      <c r="H51"/>
      <c r="I51"/>
      <c r="J51">
        <v>1</v>
      </c>
    </row>
    <row r="52" spans="1:10">
      <c r="A52">
        <v>2045</v>
      </c>
      <c r="B52">
        <v>1</v>
      </c>
      <c r="C52" t="s">
        <v>233</v>
      </c>
      <c r="D52"/>
      <c r="E52"/>
      <c r="F52"/>
      <c r="G52"/>
      <c r="H52"/>
      <c r="I52"/>
      <c r="J52">
        <v>1</v>
      </c>
    </row>
    <row r="53" spans="1:10">
      <c r="A53">
        <v>2050</v>
      </c>
      <c r="B53">
        <v>1</v>
      </c>
      <c r="C53" t="s">
        <v>233</v>
      </c>
      <c r="D53"/>
      <c r="E53"/>
      <c r="F53"/>
      <c r="G53"/>
      <c r="H53"/>
      <c r="I53"/>
      <c r="J53">
        <v>1</v>
      </c>
    </row>
    <row r="54" spans="1:10">
      <c r="A54">
        <v>2018</v>
      </c>
      <c r="B54">
        <v>1</v>
      </c>
      <c r="C54" t="s">
        <v>126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126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126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126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126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126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126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126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129</v>
      </c>
      <c r="D62" s="4">
        <v>0.89</v>
      </c>
    </row>
    <row r="63" spans="1:10">
      <c r="A63">
        <v>2021</v>
      </c>
      <c r="B63">
        <v>1</v>
      </c>
      <c r="C63" t="s">
        <v>129</v>
      </c>
      <c r="D63" s="4">
        <v>0.89</v>
      </c>
    </row>
    <row r="64" spans="1:10">
      <c r="A64">
        <v>2025</v>
      </c>
      <c r="B64">
        <v>1</v>
      </c>
      <c r="C64" t="s">
        <v>129</v>
      </c>
      <c r="D64" s="4">
        <v>0.89</v>
      </c>
    </row>
    <row r="65" spans="1:11">
      <c r="A65">
        <v>2030</v>
      </c>
      <c r="B65">
        <v>1</v>
      </c>
      <c r="C65" t="s">
        <v>129</v>
      </c>
      <c r="D65" s="4">
        <v>0.89</v>
      </c>
    </row>
    <row r="66" spans="1:11">
      <c r="A66">
        <v>2035</v>
      </c>
      <c r="B66">
        <v>1</v>
      </c>
      <c r="C66" t="s">
        <v>129</v>
      </c>
      <c r="D66" s="4">
        <v>0.89</v>
      </c>
    </row>
    <row r="67" spans="1:11">
      <c r="A67">
        <v>2040</v>
      </c>
      <c r="B67">
        <v>1</v>
      </c>
      <c r="C67" t="s">
        <v>129</v>
      </c>
      <c r="D67" s="4">
        <v>0.89</v>
      </c>
    </row>
    <row r="68" spans="1:11">
      <c r="A68">
        <v>2045</v>
      </c>
      <c r="B68">
        <v>1</v>
      </c>
      <c r="C68" t="s">
        <v>129</v>
      </c>
      <c r="D68" s="4">
        <v>0.89</v>
      </c>
    </row>
    <row r="69" spans="1:11">
      <c r="A69">
        <v>2050</v>
      </c>
      <c r="B69">
        <v>1</v>
      </c>
      <c r="C69" t="s">
        <v>129</v>
      </c>
      <c r="D69" s="4">
        <v>0.89</v>
      </c>
    </row>
    <row r="70" spans="1:11">
      <c r="A70">
        <v>2018</v>
      </c>
      <c r="B70">
        <v>1</v>
      </c>
      <c r="C70" t="s">
        <v>177</v>
      </c>
      <c r="K70" s="4">
        <v>0.73499999999999999</v>
      </c>
    </row>
    <row r="71" spans="1:11">
      <c r="A71">
        <v>2021</v>
      </c>
      <c r="B71">
        <v>1</v>
      </c>
      <c r="C71" t="s">
        <v>177</v>
      </c>
      <c r="K71" s="4">
        <v>0.73499999999999999</v>
      </c>
    </row>
    <row r="72" spans="1:11">
      <c r="A72">
        <v>2025</v>
      </c>
      <c r="B72">
        <v>1</v>
      </c>
      <c r="C72" t="s">
        <v>177</v>
      </c>
      <c r="K72" s="4">
        <v>0.83699999999999997</v>
      </c>
    </row>
    <row r="73" spans="1:11">
      <c r="A73">
        <v>2030</v>
      </c>
      <c r="B73">
        <v>1</v>
      </c>
      <c r="C73" t="s">
        <v>177</v>
      </c>
      <c r="K73" s="4">
        <v>0.83699999999999997</v>
      </c>
    </row>
    <row r="74" spans="1:11">
      <c r="A74">
        <v>2035</v>
      </c>
      <c r="B74">
        <v>1</v>
      </c>
      <c r="C74" t="s">
        <v>177</v>
      </c>
      <c r="K74" s="4">
        <v>0.83699999999999997</v>
      </c>
    </row>
    <row r="75" spans="1:11">
      <c r="A75">
        <v>2040</v>
      </c>
      <c r="B75">
        <v>1</v>
      </c>
      <c r="C75" t="s">
        <v>177</v>
      </c>
      <c r="K75" s="4">
        <v>0.83699999999999997</v>
      </c>
    </row>
    <row r="76" spans="1:11">
      <c r="A76">
        <v>2045</v>
      </c>
      <c r="B76">
        <v>1</v>
      </c>
      <c r="C76" t="s">
        <v>177</v>
      </c>
      <c r="K76" s="4">
        <v>0.83699999999999997</v>
      </c>
    </row>
    <row r="77" spans="1:11">
      <c r="A77">
        <v>2050</v>
      </c>
      <c r="B77">
        <v>1</v>
      </c>
      <c r="C77" t="s">
        <v>177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zoomScaleNormal="100" workbookViewId="0">
      <selection activeCell="L18" sqref="L18"/>
    </sheetView>
  </sheetViews>
  <sheetFormatPr defaultColWidth="9.140625" defaultRowHeight="15"/>
  <cols>
    <col min="1" max="16384" width="9.140625" style="4"/>
  </cols>
  <sheetData>
    <row r="1" spans="1:11">
      <c r="A1" s="4" t="s">
        <v>399</v>
      </c>
    </row>
    <row r="2" spans="1:11">
      <c r="A2" s="4" t="s">
        <v>335</v>
      </c>
    </row>
    <row r="3" spans="1:11">
      <c r="A3" s="4" t="s">
        <v>364</v>
      </c>
    </row>
    <row r="5" spans="1:11">
      <c r="A5" s="4" t="s">
        <v>18</v>
      </c>
      <c r="B5" s="4" t="s">
        <v>56</v>
      </c>
      <c r="C5" s="4" t="s">
        <v>17</v>
      </c>
      <c r="D5" t="s">
        <v>134</v>
      </c>
      <c r="E5" t="s">
        <v>141</v>
      </c>
      <c r="F5" t="s">
        <v>142</v>
      </c>
      <c r="G5" t="s">
        <v>135</v>
      </c>
      <c r="H5" t="s">
        <v>136</v>
      </c>
      <c r="I5" t="s">
        <v>232</v>
      </c>
      <c r="J5" t="s">
        <v>234</v>
      </c>
      <c r="K5" s="4" t="s">
        <v>178</v>
      </c>
    </row>
    <row r="6" spans="1:11">
      <c r="A6">
        <v>2018</v>
      </c>
      <c r="B6">
        <v>2</v>
      </c>
      <c r="C6" t="s">
        <v>127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127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127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127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127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127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127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127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128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128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128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128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128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128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128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128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139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139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139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139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139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139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139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139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140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140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140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140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140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140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140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140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231</v>
      </c>
      <c r="D38"/>
      <c r="E38"/>
      <c r="F38"/>
      <c r="G38"/>
      <c r="H38"/>
      <c r="I38">
        <v>1</v>
      </c>
      <c r="J38"/>
    </row>
    <row r="39" spans="1:10">
      <c r="A39">
        <v>2021</v>
      </c>
      <c r="B39">
        <v>2</v>
      </c>
      <c r="C39" t="s">
        <v>231</v>
      </c>
      <c r="D39"/>
      <c r="E39"/>
      <c r="F39"/>
      <c r="G39"/>
      <c r="H39"/>
      <c r="I39">
        <v>1</v>
      </c>
      <c r="J39"/>
    </row>
    <row r="40" spans="1:10">
      <c r="A40">
        <v>2025</v>
      </c>
      <c r="B40">
        <v>2</v>
      </c>
      <c r="C40" t="s">
        <v>231</v>
      </c>
      <c r="D40"/>
      <c r="E40"/>
      <c r="F40"/>
      <c r="G40"/>
      <c r="H40"/>
      <c r="I40">
        <v>1</v>
      </c>
      <c r="J40"/>
    </row>
    <row r="41" spans="1:10">
      <c r="A41">
        <v>2030</v>
      </c>
      <c r="B41">
        <v>2</v>
      </c>
      <c r="C41" t="s">
        <v>231</v>
      </c>
      <c r="D41"/>
      <c r="E41"/>
      <c r="F41"/>
      <c r="G41"/>
      <c r="H41"/>
      <c r="I41">
        <v>1</v>
      </c>
      <c r="J41"/>
    </row>
    <row r="42" spans="1:10">
      <c r="A42">
        <v>2035</v>
      </c>
      <c r="B42">
        <v>2</v>
      </c>
      <c r="C42" t="s">
        <v>231</v>
      </c>
      <c r="D42"/>
      <c r="E42"/>
      <c r="F42"/>
      <c r="G42"/>
      <c r="H42"/>
      <c r="I42">
        <v>1</v>
      </c>
      <c r="J42"/>
    </row>
    <row r="43" spans="1:10">
      <c r="A43">
        <v>2040</v>
      </c>
      <c r="B43">
        <v>2</v>
      </c>
      <c r="C43" t="s">
        <v>231</v>
      </c>
      <c r="D43"/>
      <c r="E43"/>
      <c r="F43"/>
      <c r="G43"/>
      <c r="H43"/>
      <c r="I43">
        <v>1</v>
      </c>
      <c r="J43"/>
    </row>
    <row r="44" spans="1:10">
      <c r="A44">
        <v>2045</v>
      </c>
      <c r="B44">
        <v>2</v>
      </c>
      <c r="C44" t="s">
        <v>231</v>
      </c>
      <c r="D44"/>
      <c r="E44"/>
      <c r="F44"/>
      <c r="G44"/>
      <c r="H44"/>
      <c r="I44">
        <v>1</v>
      </c>
      <c r="J44"/>
    </row>
    <row r="45" spans="1:10">
      <c r="A45">
        <v>2050</v>
      </c>
      <c r="B45">
        <v>2</v>
      </c>
      <c r="C45" t="s">
        <v>231</v>
      </c>
      <c r="D45"/>
      <c r="E45"/>
      <c r="F45"/>
      <c r="G45"/>
      <c r="H45"/>
      <c r="I45">
        <v>1</v>
      </c>
      <c r="J45"/>
    </row>
    <row r="46" spans="1:10">
      <c r="A46">
        <v>2018</v>
      </c>
      <c r="B46">
        <v>2</v>
      </c>
      <c r="C46" t="s">
        <v>233</v>
      </c>
      <c r="D46"/>
      <c r="E46"/>
      <c r="F46"/>
      <c r="G46"/>
      <c r="H46"/>
      <c r="I46"/>
      <c r="J46">
        <v>1</v>
      </c>
    </row>
    <row r="47" spans="1:10">
      <c r="A47">
        <v>2021</v>
      </c>
      <c r="B47">
        <v>2</v>
      </c>
      <c r="C47" t="s">
        <v>233</v>
      </c>
      <c r="D47"/>
      <c r="E47"/>
      <c r="F47"/>
      <c r="G47"/>
      <c r="H47"/>
      <c r="I47"/>
      <c r="J47">
        <v>1</v>
      </c>
    </row>
    <row r="48" spans="1:10">
      <c r="A48">
        <v>2025</v>
      </c>
      <c r="B48">
        <v>2</v>
      </c>
      <c r="C48" t="s">
        <v>233</v>
      </c>
      <c r="D48"/>
      <c r="E48"/>
      <c r="F48"/>
      <c r="G48"/>
      <c r="H48"/>
      <c r="I48"/>
      <c r="J48">
        <v>1</v>
      </c>
    </row>
    <row r="49" spans="1:10">
      <c r="A49">
        <v>2030</v>
      </c>
      <c r="B49">
        <v>2</v>
      </c>
      <c r="C49" t="s">
        <v>233</v>
      </c>
      <c r="D49"/>
      <c r="E49"/>
      <c r="F49"/>
      <c r="G49"/>
      <c r="H49"/>
      <c r="I49"/>
      <c r="J49">
        <v>1</v>
      </c>
    </row>
    <row r="50" spans="1:10">
      <c r="A50">
        <v>2035</v>
      </c>
      <c r="B50">
        <v>2</v>
      </c>
      <c r="C50" t="s">
        <v>233</v>
      </c>
      <c r="D50"/>
      <c r="E50"/>
      <c r="F50"/>
      <c r="G50"/>
      <c r="H50"/>
      <c r="I50"/>
      <c r="J50">
        <v>1</v>
      </c>
    </row>
    <row r="51" spans="1:10">
      <c r="A51">
        <v>2040</v>
      </c>
      <c r="B51">
        <v>2</v>
      </c>
      <c r="C51" t="s">
        <v>233</v>
      </c>
      <c r="D51"/>
      <c r="E51"/>
      <c r="F51"/>
      <c r="G51"/>
      <c r="H51"/>
      <c r="I51"/>
      <c r="J51">
        <v>1</v>
      </c>
    </row>
    <row r="52" spans="1:10">
      <c r="A52">
        <v>2045</v>
      </c>
      <c r="B52">
        <v>2</v>
      </c>
      <c r="C52" t="s">
        <v>233</v>
      </c>
      <c r="D52"/>
      <c r="E52"/>
      <c r="F52"/>
      <c r="G52"/>
      <c r="H52"/>
      <c r="I52"/>
      <c r="J52">
        <v>1</v>
      </c>
    </row>
    <row r="53" spans="1:10">
      <c r="A53">
        <v>2050</v>
      </c>
      <c r="B53">
        <v>2</v>
      </c>
      <c r="C53" t="s">
        <v>233</v>
      </c>
      <c r="D53"/>
      <c r="E53"/>
      <c r="F53"/>
      <c r="G53"/>
      <c r="H53"/>
      <c r="I53"/>
      <c r="J53">
        <v>1</v>
      </c>
    </row>
    <row r="54" spans="1:10">
      <c r="A54">
        <v>2018</v>
      </c>
      <c r="B54">
        <v>2</v>
      </c>
      <c r="C54" t="s">
        <v>126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126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126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126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126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126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126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126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129</v>
      </c>
      <c r="D62" s="4">
        <v>0.89</v>
      </c>
    </row>
    <row r="63" spans="1:10">
      <c r="A63">
        <v>2021</v>
      </c>
      <c r="B63">
        <v>2</v>
      </c>
      <c r="C63" t="s">
        <v>129</v>
      </c>
      <c r="D63" s="4">
        <v>0.89</v>
      </c>
    </row>
    <row r="64" spans="1:10">
      <c r="A64">
        <v>2025</v>
      </c>
      <c r="B64">
        <v>2</v>
      </c>
      <c r="C64" t="s">
        <v>129</v>
      </c>
      <c r="D64" s="4">
        <v>0.89</v>
      </c>
    </row>
    <row r="65" spans="1:11">
      <c r="A65">
        <v>2030</v>
      </c>
      <c r="B65">
        <v>2</v>
      </c>
      <c r="C65" t="s">
        <v>129</v>
      </c>
      <c r="D65" s="4">
        <v>0.89</v>
      </c>
    </row>
    <row r="66" spans="1:11">
      <c r="A66">
        <v>2035</v>
      </c>
      <c r="B66">
        <v>2</v>
      </c>
      <c r="C66" t="s">
        <v>129</v>
      </c>
      <c r="D66" s="4">
        <v>0.89</v>
      </c>
    </row>
    <row r="67" spans="1:11">
      <c r="A67">
        <v>2040</v>
      </c>
      <c r="B67">
        <v>2</v>
      </c>
      <c r="C67" t="s">
        <v>129</v>
      </c>
      <c r="D67" s="4">
        <v>0.89</v>
      </c>
    </row>
    <row r="68" spans="1:11">
      <c r="A68">
        <v>2045</v>
      </c>
      <c r="B68">
        <v>2</v>
      </c>
      <c r="C68" t="s">
        <v>129</v>
      </c>
      <c r="D68" s="4">
        <v>0.89</v>
      </c>
    </row>
    <row r="69" spans="1:11">
      <c r="A69">
        <v>2050</v>
      </c>
      <c r="B69">
        <v>2</v>
      </c>
      <c r="C69" t="s">
        <v>129</v>
      </c>
      <c r="D69" s="4">
        <v>0.89</v>
      </c>
    </row>
    <row r="70" spans="1:11">
      <c r="A70">
        <v>2018</v>
      </c>
      <c r="B70">
        <v>2</v>
      </c>
      <c r="C70" t="s">
        <v>177</v>
      </c>
      <c r="K70" s="4">
        <v>0.73499999999999999</v>
      </c>
    </row>
    <row r="71" spans="1:11">
      <c r="A71">
        <v>2021</v>
      </c>
      <c r="B71">
        <v>2</v>
      </c>
      <c r="C71" t="s">
        <v>177</v>
      </c>
      <c r="K71" s="4">
        <v>0.73499999999999999</v>
      </c>
    </row>
    <row r="72" spans="1:11">
      <c r="A72">
        <v>2025</v>
      </c>
      <c r="B72">
        <v>2</v>
      </c>
      <c r="C72" t="s">
        <v>177</v>
      </c>
      <c r="K72" s="4">
        <v>0.83699999999999997</v>
      </c>
    </row>
    <row r="73" spans="1:11">
      <c r="A73">
        <v>2030</v>
      </c>
      <c r="B73">
        <v>2</v>
      </c>
      <c r="C73" t="s">
        <v>177</v>
      </c>
      <c r="K73" s="4">
        <v>0.83699999999999997</v>
      </c>
    </row>
    <row r="74" spans="1:11">
      <c r="A74">
        <v>2035</v>
      </c>
      <c r="B74">
        <v>2</v>
      </c>
      <c r="C74" t="s">
        <v>177</v>
      </c>
      <c r="K74" s="4">
        <v>0.83699999999999997</v>
      </c>
    </row>
    <row r="75" spans="1:11">
      <c r="A75">
        <v>2040</v>
      </c>
      <c r="B75">
        <v>2</v>
      </c>
      <c r="C75" t="s">
        <v>177</v>
      </c>
      <c r="K75" s="4">
        <v>0.83699999999999997</v>
      </c>
    </row>
    <row r="76" spans="1:11">
      <c r="A76">
        <v>2045</v>
      </c>
      <c r="B76">
        <v>2</v>
      </c>
      <c r="C76" t="s">
        <v>177</v>
      </c>
      <c r="K76" s="4">
        <v>0.83699999999999997</v>
      </c>
    </row>
    <row r="77" spans="1:11">
      <c r="A77">
        <v>2050</v>
      </c>
      <c r="B77">
        <v>2</v>
      </c>
      <c r="C77" t="s">
        <v>177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">
      <c r="A1" s="4" t="s">
        <v>401</v>
      </c>
    </row>
    <row r="2" spans="1:1">
      <c r="A2" s="4" t="s">
        <v>400</v>
      </c>
    </row>
    <row r="3" spans="1:1">
      <c r="A3" s="4" t="s">
        <v>371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D12" sqref="D12"/>
    </sheetView>
  </sheetViews>
  <sheetFormatPr defaultColWidth="9.140625" defaultRowHeight="15"/>
  <cols>
    <col min="1" max="16384" width="9.140625" style="4"/>
  </cols>
  <sheetData>
    <row r="1" spans="1:11">
      <c r="A1" s="4" t="s">
        <v>402</v>
      </c>
    </row>
    <row r="2" spans="1:11">
      <c r="A2" s="4" t="s">
        <v>337</v>
      </c>
    </row>
    <row r="3" spans="1:11">
      <c r="A3" s="4" t="s">
        <v>346</v>
      </c>
    </row>
    <row r="5" spans="1:11">
      <c r="A5" s="4" t="s">
        <v>11</v>
      </c>
      <c r="B5" t="s">
        <v>134</v>
      </c>
      <c r="C5" t="s">
        <v>141</v>
      </c>
      <c r="D5" t="s">
        <v>142</v>
      </c>
      <c r="E5" t="s">
        <v>135</v>
      </c>
      <c r="F5" t="s">
        <v>136</v>
      </c>
      <c r="G5" t="s">
        <v>232</v>
      </c>
      <c r="H5" t="s">
        <v>178</v>
      </c>
      <c r="I5" t="s">
        <v>234</v>
      </c>
    </row>
    <row r="6" spans="1:11">
      <c r="A6" s="26" t="s">
        <v>486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7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A6" sqref="A6"/>
    </sheetView>
  </sheetViews>
  <sheetFormatPr defaultColWidth="9.140625" defaultRowHeight="15"/>
  <cols>
    <col min="1" max="16384" width="9.140625" style="34"/>
  </cols>
  <sheetData>
    <row r="1" spans="1:9">
      <c r="A1" s="34" t="s">
        <v>403</v>
      </c>
    </row>
    <row r="2" spans="1:9">
      <c r="A2" s="34" t="s">
        <v>338</v>
      </c>
    </row>
    <row r="3" spans="1:9">
      <c r="A3" s="34" t="s">
        <v>346</v>
      </c>
    </row>
    <row r="5" spans="1:9">
      <c r="A5" s="34" t="s">
        <v>11</v>
      </c>
      <c r="B5" t="s">
        <v>134</v>
      </c>
      <c r="C5" t="s">
        <v>141</v>
      </c>
      <c r="D5" t="s">
        <v>142</v>
      </c>
      <c r="E5" t="s">
        <v>135</v>
      </c>
      <c r="F5" t="s">
        <v>136</v>
      </c>
      <c r="G5" t="s">
        <v>232</v>
      </c>
      <c r="H5" t="s">
        <v>178</v>
      </c>
      <c r="I5" t="s">
        <v>234</v>
      </c>
    </row>
    <row r="6" spans="1:9">
      <c r="A6" s="26" t="s">
        <v>486</v>
      </c>
      <c r="B6" s="34">
        <v>50</v>
      </c>
      <c r="C6" s="34">
        <v>1</v>
      </c>
      <c r="D6" s="34">
        <v>1</v>
      </c>
      <c r="E6" s="34">
        <v>3</v>
      </c>
      <c r="F6" s="34">
        <v>42.7</v>
      </c>
      <c r="G6" s="34">
        <v>1</v>
      </c>
      <c r="H6" s="34">
        <v>100</v>
      </c>
      <c r="I6" s="34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D5" sqref="D5"/>
    </sheetView>
  </sheetViews>
  <sheetFormatPr defaultColWidth="9.140625" defaultRowHeight="15"/>
  <cols>
    <col min="1" max="16384" width="9.140625" style="4"/>
  </cols>
  <sheetData>
    <row r="1" spans="1:10">
      <c r="A1" s="4" t="s">
        <v>405</v>
      </c>
    </row>
    <row r="2" spans="1:10">
      <c r="A2" s="4" t="s">
        <v>404</v>
      </c>
    </row>
    <row r="3" spans="1:10">
      <c r="A3" s="4" t="s">
        <v>364</v>
      </c>
    </row>
    <row r="5" spans="1:10">
      <c r="A5" s="4" t="s">
        <v>11</v>
      </c>
      <c r="B5" s="4" t="s">
        <v>24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D5" sqref="D5"/>
    </sheetView>
  </sheetViews>
  <sheetFormatPr defaultColWidth="9.140625" defaultRowHeight="15"/>
  <cols>
    <col min="1" max="16384" width="9.140625" style="4"/>
  </cols>
  <sheetData>
    <row r="1" spans="1:10">
      <c r="A1" s="4" t="s">
        <v>407</v>
      </c>
    </row>
    <row r="2" spans="1:10">
      <c r="A2" s="4" t="s">
        <v>406</v>
      </c>
    </row>
    <row r="3" spans="1:10">
      <c r="A3" s="4" t="s">
        <v>386</v>
      </c>
    </row>
    <row r="5" spans="1:10">
      <c r="A5" s="4" t="s">
        <v>11</v>
      </c>
      <c r="B5" s="4" t="s">
        <v>17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486</v>
      </c>
      <c r="B6" t="s">
        <v>134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486</v>
      </c>
      <c r="B7" t="s">
        <v>141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486</v>
      </c>
      <c r="B8" t="s">
        <v>142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486</v>
      </c>
      <c r="B9" t="s">
        <v>135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486</v>
      </c>
      <c r="B10" t="s">
        <v>136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486</v>
      </c>
      <c r="B11" t="s">
        <v>232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486</v>
      </c>
      <c r="B12" t="s">
        <v>178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486</v>
      </c>
      <c r="B13" t="s">
        <v>234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D5" sqref="D5"/>
    </sheetView>
  </sheetViews>
  <sheetFormatPr defaultColWidth="9.140625" defaultRowHeight="15"/>
  <cols>
    <col min="1" max="2" width="9.140625" style="4"/>
    <col min="3" max="10" width="16.85546875" style="4" customWidth="1"/>
    <col min="11" max="16384" width="9.140625" style="4"/>
  </cols>
  <sheetData>
    <row r="1" spans="1:10">
      <c r="A1" s="4" t="s">
        <v>409</v>
      </c>
    </row>
    <row r="2" spans="1:10">
      <c r="A2" s="4" t="s">
        <v>408</v>
      </c>
    </row>
    <row r="3" spans="1:10">
      <c r="A3" s="4" t="s">
        <v>344</v>
      </c>
    </row>
    <row r="5" spans="1:10">
      <c r="A5" s="4" t="s">
        <v>11</v>
      </c>
      <c r="B5" s="4" t="s">
        <v>24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D5" sqref="D5"/>
    </sheetView>
  </sheetViews>
  <sheetFormatPr defaultColWidth="9.140625" defaultRowHeight="15"/>
  <cols>
    <col min="1" max="16384" width="9.140625" style="4"/>
  </cols>
  <sheetData>
    <row r="1" spans="1:10">
      <c r="A1" s="4" t="s">
        <v>412</v>
      </c>
    </row>
    <row r="2" spans="1:10">
      <c r="A2" s="4" t="s">
        <v>411</v>
      </c>
    </row>
    <row r="3" spans="1:10">
      <c r="A3" s="4" t="s">
        <v>371</v>
      </c>
    </row>
    <row r="5" spans="1:10">
      <c r="A5" s="4" t="s">
        <v>410</v>
      </c>
      <c r="B5" s="4" t="s">
        <v>24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2EAE-7D24-4048-9CB8-1ECA1868F89B}">
  <dimension ref="A1:H140"/>
  <sheetViews>
    <sheetView workbookViewId="0">
      <selection activeCell="F16" sqref="F16"/>
    </sheetView>
  </sheetViews>
  <sheetFormatPr defaultColWidth="11.42578125" defaultRowHeight="15"/>
  <cols>
    <col min="1" max="1" width="40.5703125" bestFit="1" customWidth="1"/>
    <col min="5" max="5" width="14" bestFit="1" customWidth="1"/>
  </cols>
  <sheetData>
    <row r="1" spans="1:8">
      <c r="A1" t="s">
        <v>465</v>
      </c>
    </row>
    <row r="2" spans="1:8">
      <c r="A2" t="s">
        <v>466</v>
      </c>
    </row>
    <row r="3" spans="1:8">
      <c r="A3" t="s">
        <v>363</v>
      </c>
    </row>
    <row r="5" spans="1:8">
      <c r="A5" t="s">
        <v>12</v>
      </c>
      <c r="B5" t="s">
        <v>15</v>
      </c>
      <c r="C5" t="s">
        <v>265</v>
      </c>
      <c r="D5" t="s">
        <v>300</v>
      </c>
      <c r="E5" t="s">
        <v>301</v>
      </c>
      <c r="F5" t="s">
        <v>302</v>
      </c>
      <c r="G5" t="s">
        <v>303</v>
      </c>
      <c r="H5" t="s">
        <v>304</v>
      </c>
    </row>
    <row r="6" spans="1:8">
      <c r="A6" t="s">
        <v>15</v>
      </c>
      <c r="B6">
        <v>1</v>
      </c>
    </row>
    <row r="7" spans="1:8">
      <c r="A7" t="s">
        <v>137</v>
      </c>
      <c r="E7">
        <v>1</v>
      </c>
    </row>
    <row r="8" spans="1:8">
      <c r="A8" t="s">
        <v>138</v>
      </c>
      <c r="E8">
        <v>1</v>
      </c>
    </row>
    <row r="9" spans="1:8">
      <c r="A9" t="s">
        <v>257</v>
      </c>
      <c r="D9">
        <v>1</v>
      </c>
    </row>
    <row r="10" spans="1:8">
      <c r="A10" t="s">
        <v>193</v>
      </c>
      <c r="C10">
        <v>1</v>
      </c>
    </row>
    <row r="11" spans="1:8">
      <c r="A11" t="s">
        <v>194</v>
      </c>
      <c r="C11">
        <v>1</v>
      </c>
    </row>
    <row r="12" spans="1:8">
      <c r="A12" t="s">
        <v>195</v>
      </c>
      <c r="C12">
        <v>1</v>
      </c>
    </row>
    <row r="16" spans="1:8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109" spans="1:1">
      <c r="A109" s="54"/>
    </row>
    <row r="110" spans="1:1">
      <c r="A110" s="54"/>
    </row>
    <row r="111" spans="1:1">
      <c r="A111" s="54"/>
    </row>
    <row r="112" spans="1:1">
      <c r="A112" s="54"/>
    </row>
    <row r="113" spans="1:1">
      <c r="A113" s="54"/>
    </row>
    <row r="114" spans="1:1">
      <c r="A114" s="54"/>
    </row>
    <row r="115" spans="1:1">
      <c r="A115" s="54"/>
    </row>
    <row r="116" spans="1:1">
      <c r="A116" s="54"/>
    </row>
    <row r="117" spans="1:1">
      <c r="A117" s="54"/>
    </row>
    <row r="118" spans="1:1">
      <c r="A118" s="54"/>
    </row>
    <row r="119" spans="1:1">
      <c r="A119" s="54"/>
    </row>
    <row r="120" spans="1:1">
      <c r="A120" s="54"/>
    </row>
    <row r="121" spans="1:1">
      <c r="A121" s="54"/>
    </row>
    <row r="122" spans="1:1">
      <c r="A122" s="54"/>
    </row>
    <row r="123" spans="1:1">
      <c r="A123" s="54"/>
    </row>
    <row r="124" spans="1:1">
      <c r="A124" s="54"/>
    </row>
    <row r="136" spans="1:1">
      <c r="A136" s="2"/>
    </row>
    <row r="138" spans="1:1">
      <c r="A138" s="2"/>
    </row>
    <row r="139" spans="1:1">
      <c r="A139" s="2"/>
    </row>
    <row r="140" spans="1:1">
      <c r="A140" s="2"/>
    </row>
  </sheetData>
  <dataValidations count="1">
    <dataValidation type="list" allowBlank="1" showInputMessage="1" showErrorMessage="1" sqref="A139 A62 A21:A24" xr:uid="{7DC04B54-657F-4D80-9BB0-99CDFEF98371}">
      <formula1>Technologies</formula1>
    </dataValidation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FA3C-57D7-4BCD-910C-E6A6152AA006}">
  <dimension ref="A1:B52"/>
  <sheetViews>
    <sheetView workbookViewId="0">
      <selection activeCell="K17" sqref="K17"/>
    </sheetView>
  </sheetViews>
  <sheetFormatPr defaultColWidth="11.42578125" defaultRowHeight="15"/>
  <cols>
    <col min="1" max="1" width="28.5703125" customWidth="1"/>
  </cols>
  <sheetData>
    <row r="1" spans="1:2">
      <c r="A1" t="s">
        <v>467</v>
      </c>
    </row>
    <row r="3" spans="1:2">
      <c r="A3" t="s">
        <v>17</v>
      </c>
      <c r="B3" s="23" t="s">
        <v>468</v>
      </c>
    </row>
    <row r="4" spans="1:2">
      <c r="A4" s="2" t="s">
        <v>122</v>
      </c>
      <c r="B4">
        <v>0</v>
      </c>
    </row>
    <row r="5" spans="1:2">
      <c r="A5" s="2" t="s">
        <v>116</v>
      </c>
      <c r="B5">
        <v>1</v>
      </c>
    </row>
    <row r="6" spans="1:2">
      <c r="A6" s="2" t="s">
        <v>162</v>
      </c>
      <c r="B6">
        <v>1</v>
      </c>
    </row>
    <row r="7" spans="1:2">
      <c r="A7" s="2" t="s">
        <v>118</v>
      </c>
      <c r="B7">
        <v>0</v>
      </c>
    </row>
    <row r="8" spans="1:2">
      <c r="A8" t="s">
        <v>225</v>
      </c>
      <c r="B8">
        <v>0.4</v>
      </c>
    </row>
    <row r="9" spans="1:2">
      <c r="A9" t="s">
        <v>236</v>
      </c>
      <c r="B9">
        <v>0.4</v>
      </c>
    </row>
    <row r="10" spans="1:2">
      <c r="A10" s="2" t="s">
        <v>228</v>
      </c>
      <c r="B10">
        <v>1</v>
      </c>
    </row>
    <row r="11" spans="1:2">
      <c r="A11" t="s">
        <v>226</v>
      </c>
      <c r="B11">
        <v>1</v>
      </c>
    </row>
    <row r="12" spans="1:2">
      <c r="A12" t="s">
        <v>218</v>
      </c>
      <c r="B12">
        <v>1</v>
      </c>
    </row>
    <row r="13" spans="1:2">
      <c r="A13" t="s">
        <v>214</v>
      </c>
      <c r="B13">
        <v>1</v>
      </c>
    </row>
    <row r="14" spans="1:2">
      <c r="A14" t="s">
        <v>216</v>
      </c>
      <c r="B14">
        <v>1</v>
      </c>
    </row>
    <row r="15" spans="1:2">
      <c r="A15" t="s">
        <v>217</v>
      </c>
      <c r="B15">
        <v>1</v>
      </c>
    </row>
    <row r="16" spans="1:2">
      <c r="A16" t="s">
        <v>221</v>
      </c>
      <c r="B16">
        <v>1</v>
      </c>
    </row>
    <row r="17" spans="1:2">
      <c r="A17" s="2" t="s">
        <v>120</v>
      </c>
      <c r="B17">
        <v>0</v>
      </c>
    </row>
    <row r="18" spans="1:2">
      <c r="A18" s="2" t="s">
        <v>55</v>
      </c>
      <c r="B18">
        <v>1</v>
      </c>
    </row>
    <row r="19" spans="1:2">
      <c r="A19" s="2" t="s">
        <v>115</v>
      </c>
      <c r="B19">
        <v>0</v>
      </c>
    </row>
    <row r="20" spans="1:2">
      <c r="A20" s="2"/>
    </row>
    <row r="21" spans="1:2">
      <c r="A21" s="2"/>
    </row>
    <row r="22" spans="1:2">
      <c r="A22" s="2"/>
    </row>
    <row r="23" spans="1:2">
      <c r="A23" s="2"/>
    </row>
    <row r="24" spans="1:2">
      <c r="A24" s="2"/>
    </row>
    <row r="25" spans="1:2">
      <c r="A25" s="2"/>
    </row>
    <row r="26" spans="1:2">
      <c r="A26" s="2"/>
    </row>
    <row r="27" spans="1:2">
      <c r="A27" s="2"/>
    </row>
    <row r="28" spans="1:2">
      <c r="A28" s="2"/>
    </row>
    <row r="29" spans="1:2">
      <c r="A29" s="2"/>
    </row>
    <row r="30" spans="1:2">
      <c r="A30" s="2"/>
    </row>
    <row r="31" spans="1:2">
      <c r="A31" s="2"/>
    </row>
    <row r="52" spans="1:1">
      <c r="A52" s="2"/>
    </row>
  </sheetData>
  <dataValidations count="1">
    <dataValidation type="list" allowBlank="1" showInputMessage="1" showErrorMessage="1" sqref="A13:A16 A52" xr:uid="{19BD1654-027D-414C-A167-702FABC40A3E}">
      <formula1>Technologies</formula1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27ED-1D2B-4C4C-981A-F1291357362C}">
  <dimension ref="A1:C383"/>
  <sheetViews>
    <sheetView topLeftCell="A218" workbookViewId="0">
      <selection activeCell="C383" sqref="A251:C383"/>
    </sheetView>
  </sheetViews>
  <sheetFormatPr defaultRowHeight="15"/>
  <cols>
    <col min="1" max="1" width="34" bestFit="1" customWidth="1"/>
  </cols>
  <sheetData>
    <row r="1" spans="1:3">
      <c r="A1" t="s">
        <v>477</v>
      </c>
    </row>
    <row r="2" spans="1:3">
      <c r="A2" t="s">
        <v>469</v>
      </c>
    </row>
    <row r="3" spans="1:3">
      <c r="A3" t="s">
        <v>470</v>
      </c>
    </row>
    <row r="5" spans="1:3">
      <c r="A5" t="s">
        <v>17</v>
      </c>
      <c r="B5" t="s">
        <v>18</v>
      </c>
      <c r="C5" t="s">
        <v>26</v>
      </c>
    </row>
    <row r="6" spans="1:3">
      <c r="A6" t="s">
        <v>416</v>
      </c>
      <c r="B6">
        <v>2018</v>
      </c>
      <c r="C6">
        <v>0.04</v>
      </c>
    </row>
    <row r="7" spans="1:3">
      <c r="A7" t="s">
        <v>416</v>
      </c>
      <c r="B7">
        <v>2025</v>
      </c>
      <c r="C7">
        <v>0.04</v>
      </c>
    </row>
    <row r="8" spans="1:3">
      <c r="A8" t="s">
        <v>416</v>
      </c>
      <c r="B8">
        <v>2030</v>
      </c>
      <c r="C8">
        <v>0.04</v>
      </c>
    </row>
    <row r="9" spans="1:3">
      <c r="A9" t="s">
        <v>416</v>
      </c>
      <c r="B9">
        <v>2035</v>
      </c>
      <c r="C9">
        <v>0.04</v>
      </c>
    </row>
    <row r="10" spans="1:3">
      <c r="A10" t="s">
        <v>416</v>
      </c>
      <c r="B10">
        <v>2040</v>
      </c>
      <c r="C10">
        <v>0.04</v>
      </c>
    </row>
    <row r="11" spans="1:3">
      <c r="A11" t="s">
        <v>416</v>
      </c>
      <c r="B11">
        <v>2045</v>
      </c>
      <c r="C11">
        <v>0.04</v>
      </c>
    </row>
    <row r="12" spans="1:3">
      <c r="A12" t="s">
        <v>416</v>
      </c>
      <c r="B12">
        <v>2050</v>
      </c>
      <c r="C12">
        <v>0.04</v>
      </c>
    </row>
    <row r="13" spans="1:3">
      <c r="A13" t="s">
        <v>417</v>
      </c>
      <c r="B13">
        <v>2018</v>
      </c>
      <c r="C13">
        <v>0.04</v>
      </c>
    </row>
    <row r="14" spans="1:3">
      <c r="A14" t="s">
        <v>417</v>
      </c>
      <c r="B14">
        <v>2025</v>
      </c>
      <c r="C14">
        <v>0.04</v>
      </c>
    </row>
    <row r="15" spans="1:3">
      <c r="A15" t="s">
        <v>417</v>
      </c>
      <c r="B15">
        <v>2030</v>
      </c>
      <c r="C15">
        <v>0.04</v>
      </c>
    </row>
    <row r="16" spans="1:3">
      <c r="A16" t="s">
        <v>417</v>
      </c>
      <c r="B16">
        <v>2035</v>
      </c>
      <c r="C16">
        <v>0.04</v>
      </c>
    </row>
    <row r="17" spans="1:3">
      <c r="A17" t="s">
        <v>417</v>
      </c>
      <c r="B17">
        <v>2040</v>
      </c>
      <c r="C17">
        <v>0.04</v>
      </c>
    </row>
    <row r="18" spans="1:3">
      <c r="A18" t="s">
        <v>417</v>
      </c>
      <c r="B18">
        <v>2045</v>
      </c>
      <c r="C18">
        <v>0.04</v>
      </c>
    </row>
    <row r="19" spans="1:3">
      <c r="A19" t="s">
        <v>417</v>
      </c>
      <c r="B19">
        <v>2050</v>
      </c>
      <c r="C19">
        <v>0.04</v>
      </c>
    </row>
    <row r="20" spans="1:3">
      <c r="A20" t="s">
        <v>95</v>
      </c>
      <c r="B20">
        <v>2018</v>
      </c>
      <c r="C20">
        <v>0.02</v>
      </c>
    </row>
    <row r="21" spans="1:3">
      <c r="A21" t="s">
        <v>95</v>
      </c>
      <c r="B21">
        <v>2025</v>
      </c>
      <c r="C21">
        <v>0.02</v>
      </c>
    </row>
    <row r="22" spans="1:3">
      <c r="A22" t="s">
        <v>95</v>
      </c>
      <c r="B22">
        <v>2030</v>
      </c>
      <c r="C22">
        <v>0.02</v>
      </c>
    </row>
    <row r="23" spans="1:3">
      <c r="A23" t="s">
        <v>95</v>
      </c>
      <c r="B23">
        <v>2035</v>
      </c>
      <c r="C23">
        <v>0.02</v>
      </c>
    </row>
    <row r="24" spans="1:3">
      <c r="A24" t="s">
        <v>95</v>
      </c>
      <c r="B24">
        <v>2040</v>
      </c>
      <c r="C24">
        <v>0.02</v>
      </c>
    </row>
    <row r="25" spans="1:3">
      <c r="A25" t="s">
        <v>95</v>
      </c>
      <c r="B25">
        <v>2045</v>
      </c>
      <c r="C25">
        <v>0.02</v>
      </c>
    </row>
    <row r="26" spans="1:3">
      <c r="A26" t="s">
        <v>95</v>
      </c>
      <c r="B26">
        <v>2050</v>
      </c>
      <c r="C26">
        <v>0.02</v>
      </c>
    </row>
    <row r="27" spans="1:3">
      <c r="A27" t="s">
        <v>418</v>
      </c>
      <c r="B27">
        <v>2018</v>
      </c>
      <c r="C27">
        <v>0.02</v>
      </c>
    </row>
    <row r="28" spans="1:3">
      <c r="A28" t="s">
        <v>418</v>
      </c>
      <c r="B28">
        <v>2025</v>
      </c>
      <c r="C28">
        <v>0.02</v>
      </c>
    </row>
    <row r="29" spans="1:3">
      <c r="A29" t="s">
        <v>418</v>
      </c>
      <c r="B29">
        <v>2030</v>
      </c>
      <c r="C29">
        <v>0.02</v>
      </c>
    </row>
    <row r="30" spans="1:3">
      <c r="A30" t="s">
        <v>418</v>
      </c>
      <c r="B30">
        <v>2035</v>
      </c>
      <c r="C30">
        <v>0.02</v>
      </c>
    </row>
    <row r="31" spans="1:3">
      <c r="A31" t="s">
        <v>418</v>
      </c>
      <c r="B31">
        <v>2040</v>
      </c>
      <c r="C31">
        <v>0.02</v>
      </c>
    </row>
    <row r="32" spans="1:3">
      <c r="A32" t="s">
        <v>418</v>
      </c>
      <c r="B32">
        <v>2045</v>
      </c>
      <c r="C32">
        <v>0.02</v>
      </c>
    </row>
    <row r="33" spans="1:3">
      <c r="A33" t="s">
        <v>418</v>
      </c>
      <c r="B33">
        <v>2050</v>
      </c>
      <c r="C33">
        <v>0.02</v>
      </c>
    </row>
    <row r="34" spans="1:3">
      <c r="A34" t="s">
        <v>96</v>
      </c>
      <c r="B34">
        <v>2018</v>
      </c>
      <c r="C34">
        <v>0.02</v>
      </c>
    </row>
    <row r="35" spans="1:3">
      <c r="A35" t="s">
        <v>96</v>
      </c>
      <c r="B35">
        <v>2025</v>
      </c>
      <c r="C35">
        <v>0.02</v>
      </c>
    </row>
    <row r="36" spans="1:3">
      <c r="A36" t="s">
        <v>96</v>
      </c>
      <c r="B36">
        <v>2030</v>
      </c>
      <c r="C36">
        <v>0.02</v>
      </c>
    </row>
    <row r="37" spans="1:3">
      <c r="A37" t="s">
        <v>96</v>
      </c>
      <c r="B37">
        <v>2035</v>
      </c>
      <c r="C37">
        <v>0.02</v>
      </c>
    </row>
    <row r="38" spans="1:3">
      <c r="A38" t="s">
        <v>96</v>
      </c>
      <c r="B38">
        <v>2040</v>
      </c>
      <c r="C38">
        <v>0.02</v>
      </c>
    </row>
    <row r="39" spans="1:3">
      <c r="A39" t="s">
        <v>96</v>
      </c>
      <c r="B39">
        <v>2045</v>
      </c>
      <c r="C39">
        <v>0.02</v>
      </c>
    </row>
    <row r="40" spans="1:3">
      <c r="A40" t="s">
        <v>96</v>
      </c>
      <c r="B40">
        <v>2050</v>
      </c>
      <c r="C40">
        <v>0.02</v>
      </c>
    </row>
    <row r="41" spans="1:3">
      <c r="A41" t="s">
        <v>419</v>
      </c>
      <c r="B41">
        <v>2018</v>
      </c>
      <c r="C41">
        <v>0.02</v>
      </c>
    </row>
    <row r="42" spans="1:3">
      <c r="A42" t="s">
        <v>419</v>
      </c>
      <c r="B42">
        <v>2025</v>
      </c>
      <c r="C42">
        <v>0.02</v>
      </c>
    </row>
    <row r="43" spans="1:3">
      <c r="A43" t="s">
        <v>419</v>
      </c>
      <c r="B43">
        <v>2030</v>
      </c>
      <c r="C43">
        <v>0.02</v>
      </c>
    </row>
    <row r="44" spans="1:3">
      <c r="A44" t="s">
        <v>419</v>
      </c>
      <c r="B44">
        <v>2035</v>
      </c>
      <c r="C44">
        <v>0.02</v>
      </c>
    </row>
    <row r="45" spans="1:3">
      <c r="A45" t="s">
        <v>419</v>
      </c>
      <c r="B45">
        <v>2040</v>
      </c>
      <c r="C45">
        <v>0.02</v>
      </c>
    </row>
    <row r="46" spans="1:3">
      <c r="A46" t="s">
        <v>419</v>
      </c>
      <c r="B46">
        <v>2045</v>
      </c>
      <c r="C46">
        <v>0.02</v>
      </c>
    </row>
    <row r="47" spans="1:3">
      <c r="A47" t="s">
        <v>419</v>
      </c>
      <c r="B47">
        <v>2050</v>
      </c>
      <c r="C47">
        <v>0.02</v>
      </c>
    </row>
    <row r="48" spans="1:3">
      <c r="A48" t="s">
        <v>420</v>
      </c>
      <c r="B48">
        <v>2018</v>
      </c>
      <c r="C48">
        <v>0.2</v>
      </c>
    </row>
    <row r="49" spans="1:3">
      <c r="A49" t="s">
        <v>420</v>
      </c>
      <c r="B49">
        <v>2025</v>
      </c>
      <c r="C49">
        <v>0.2</v>
      </c>
    </row>
    <row r="50" spans="1:3">
      <c r="A50" t="s">
        <v>420</v>
      </c>
      <c r="B50">
        <v>2030</v>
      </c>
      <c r="C50">
        <v>0.2</v>
      </c>
    </row>
    <row r="51" spans="1:3">
      <c r="A51" t="s">
        <v>420</v>
      </c>
      <c r="B51">
        <v>2035</v>
      </c>
      <c r="C51">
        <v>0.2</v>
      </c>
    </row>
    <row r="52" spans="1:3">
      <c r="A52" t="s">
        <v>420</v>
      </c>
      <c r="B52">
        <v>2040</v>
      </c>
      <c r="C52">
        <v>0.2</v>
      </c>
    </row>
    <row r="53" spans="1:3">
      <c r="A53" t="s">
        <v>420</v>
      </c>
      <c r="B53">
        <v>2045</v>
      </c>
      <c r="C53">
        <v>0.2</v>
      </c>
    </row>
    <row r="54" spans="1:3">
      <c r="A54" t="s">
        <v>420</v>
      </c>
      <c r="B54">
        <v>2050</v>
      </c>
      <c r="C54">
        <v>0.2</v>
      </c>
    </row>
    <row r="55" spans="1:3">
      <c r="A55" t="s">
        <v>421</v>
      </c>
      <c r="B55">
        <v>2018</v>
      </c>
      <c r="C55">
        <v>0.2</v>
      </c>
    </row>
    <row r="56" spans="1:3">
      <c r="A56" t="s">
        <v>421</v>
      </c>
      <c r="B56">
        <v>2025</v>
      </c>
      <c r="C56">
        <v>0.2</v>
      </c>
    </row>
    <row r="57" spans="1:3">
      <c r="A57" t="s">
        <v>421</v>
      </c>
      <c r="B57">
        <v>2030</v>
      </c>
      <c r="C57">
        <v>0.2</v>
      </c>
    </row>
    <row r="58" spans="1:3">
      <c r="A58" t="s">
        <v>421</v>
      </c>
      <c r="B58">
        <v>2035</v>
      </c>
      <c r="C58">
        <v>0.2</v>
      </c>
    </row>
    <row r="59" spans="1:3">
      <c r="A59" t="s">
        <v>421</v>
      </c>
      <c r="B59">
        <v>2040</v>
      </c>
      <c r="C59">
        <v>0.2</v>
      </c>
    </row>
    <row r="60" spans="1:3">
      <c r="A60" t="s">
        <v>421</v>
      </c>
      <c r="B60">
        <v>2045</v>
      </c>
      <c r="C60">
        <v>0.2</v>
      </c>
    </row>
    <row r="61" spans="1:3">
      <c r="A61" t="s">
        <v>421</v>
      </c>
      <c r="B61">
        <v>2050</v>
      </c>
      <c r="C61">
        <v>0.2</v>
      </c>
    </row>
    <row r="62" spans="1:3">
      <c r="A62" t="s">
        <v>422</v>
      </c>
      <c r="B62">
        <v>2018</v>
      </c>
      <c r="C62">
        <v>0.2</v>
      </c>
    </row>
    <row r="63" spans="1:3">
      <c r="A63" t="s">
        <v>422</v>
      </c>
      <c r="B63">
        <v>2025</v>
      </c>
      <c r="C63">
        <v>0.2</v>
      </c>
    </row>
    <row r="64" spans="1:3">
      <c r="A64" t="s">
        <v>422</v>
      </c>
      <c r="B64">
        <v>2030</v>
      </c>
      <c r="C64">
        <v>0.2</v>
      </c>
    </row>
    <row r="65" spans="1:3">
      <c r="A65" t="s">
        <v>422</v>
      </c>
      <c r="B65">
        <v>2035</v>
      </c>
      <c r="C65">
        <v>0.2</v>
      </c>
    </row>
    <row r="66" spans="1:3">
      <c r="A66" t="s">
        <v>422</v>
      </c>
      <c r="B66">
        <v>2040</v>
      </c>
      <c r="C66">
        <v>0.2</v>
      </c>
    </row>
    <row r="67" spans="1:3">
      <c r="A67" t="s">
        <v>422</v>
      </c>
      <c r="B67">
        <v>2045</v>
      </c>
      <c r="C67">
        <v>0.2</v>
      </c>
    </row>
    <row r="68" spans="1:3">
      <c r="A68" t="s">
        <v>422</v>
      </c>
      <c r="B68">
        <v>2050</v>
      </c>
      <c r="C68">
        <v>0.2</v>
      </c>
    </row>
    <row r="69" spans="1:3">
      <c r="A69" t="s">
        <v>423</v>
      </c>
      <c r="B69">
        <v>2018</v>
      </c>
      <c r="C69">
        <v>0.2</v>
      </c>
    </row>
    <row r="70" spans="1:3">
      <c r="A70" t="s">
        <v>423</v>
      </c>
      <c r="B70">
        <v>2025</v>
      </c>
      <c r="C70">
        <v>0.2</v>
      </c>
    </row>
    <row r="71" spans="1:3">
      <c r="A71" t="s">
        <v>423</v>
      </c>
      <c r="B71">
        <v>2030</v>
      </c>
      <c r="C71">
        <v>0.2</v>
      </c>
    </row>
    <row r="72" spans="1:3">
      <c r="A72" t="s">
        <v>423</v>
      </c>
      <c r="B72">
        <v>2035</v>
      </c>
      <c r="C72">
        <v>0.2</v>
      </c>
    </row>
    <row r="73" spans="1:3">
      <c r="A73" t="s">
        <v>423</v>
      </c>
      <c r="B73">
        <v>2040</v>
      </c>
      <c r="C73">
        <v>0.2</v>
      </c>
    </row>
    <row r="74" spans="1:3">
      <c r="A74" t="s">
        <v>423</v>
      </c>
      <c r="B74">
        <v>2045</v>
      </c>
      <c r="C74">
        <v>0.2</v>
      </c>
    </row>
    <row r="75" spans="1:3">
      <c r="A75" t="s">
        <v>423</v>
      </c>
      <c r="B75">
        <v>2050</v>
      </c>
      <c r="C75">
        <v>0.2</v>
      </c>
    </row>
    <row r="76" spans="1:3">
      <c r="A76" t="s">
        <v>424</v>
      </c>
      <c r="B76">
        <v>2018</v>
      </c>
      <c r="C76">
        <v>0.2</v>
      </c>
    </row>
    <row r="77" spans="1:3">
      <c r="A77" t="s">
        <v>424</v>
      </c>
      <c r="B77">
        <v>2025</v>
      </c>
      <c r="C77">
        <v>0.2</v>
      </c>
    </row>
    <row r="78" spans="1:3">
      <c r="A78" t="s">
        <v>424</v>
      </c>
      <c r="B78">
        <v>2030</v>
      </c>
      <c r="C78">
        <v>0.2</v>
      </c>
    </row>
    <row r="79" spans="1:3">
      <c r="A79" t="s">
        <v>424</v>
      </c>
      <c r="B79">
        <v>2035</v>
      </c>
      <c r="C79">
        <v>0.2</v>
      </c>
    </row>
    <row r="80" spans="1:3">
      <c r="A80" t="s">
        <v>424</v>
      </c>
      <c r="B80">
        <v>2040</v>
      </c>
      <c r="C80">
        <v>0.2</v>
      </c>
    </row>
    <row r="81" spans="1:3">
      <c r="A81" t="s">
        <v>424</v>
      </c>
      <c r="B81">
        <v>2045</v>
      </c>
      <c r="C81">
        <v>0.2</v>
      </c>
    </row>
    <row r="82" spans="1:3">
      <c r="A82" t="s">
        <v>424</v>
      </c>
      <c r="B82">
        <v>2050</v>
      </c>
      <c r="C82">
        <v>0.2</v>
      </c>
    </row>
    <row r="83" spans="1:3">
      <c r="A83" t="s">
        <v>426</v>
      </c>
      <c r="B83">
        <v>2018</v>
      </c>
      <c r="C83">
        <v>0.04</v>
      </c>
    </row>
    <row r="84" spans="1:3">
      <c r="A84" t="s">
        <v>426</v>
      </c>
      <c r="B84">
        <v>2025</v>
      </c>
      <c r="C84">
        <v>0.04</v>
      </c>
    </row>
    <row r="85" spans="1:3">
      <c r="A85" t="s">
        <v>426</v>
      </c>
      <c r="B85">
        <v>2030</v>
      </c>
      <c r="C85">
        <v>0.04</v>
      </c>
    </row>
    <row r="86" spans="1:3">
      <c r="A86" t="s">
        <v>426</v>
      </c>
      <c r="B86">
        <v>2035</v>
      </c>
      <c r="C86">
        <v>0.04</v>
      </c>
    </row>
    <row r="87" spans="1:3">
      <c r="A87" t="s">
        <v>426</v>
      </c>
      <c r="B87">
        <v>2040</v>
      </c>
      <c r="C87">
        <v>0.04</v>
      </c>
    </row>
    <row r="88" spans="1:3">
      <c r="A88" t="s">
        <v>426</v>
      </c>
      <c r="B88">
        <v>2045</v>
      </c>
      <c r="C88">
        <v>0.04</v>
      </c>
    </row>
    <row r="89" spans="1:3">
      <c r="A89" t="s">
        <v>426</v>
      </c>
      <c r="B89">
        <v>2050</v>
      </c>
      <c r="C89">
        <v>0.04</v>
      </c>
    </row>
    <row r="90" spans="1:3">
      <c r="A90" t="s">
        <v>224</v>
      </c>
      <c r="B90">
        <v>2018</v>
      </c>
      <c r="C90">
        <v>0.1</v>
      </c>
    </row>
    <row r="91" spans="1:3">
      <c r="A91" t="s">
        <v>224</v>
      </c>
      <c r="B91">
        <v>2025</v>
      </c>
      <c r="C91">
        <v>0.1</v>
      </c>
    </row>
    <row r="92" spans="1:3">
      <c r="A92" t="s">
        <v>224</v>
      </c>
      <c r="B92">
        <v>2030</v>
      </c>
      <c r="C92">
        <v>0.1</v>
      </c>
    </row>
    <row r="93" spans="1:3">
      <c r="A93" t="s">
        <v>224</v>
      </c>
      <c r="B93">
        <v>2035</v>
      </c>
      <c r="C93">
        <v>0.1</v>
      </c>
    </row>
    <row r="94" spans="1:3">
      <c r="A94" t="s">
        <v>224</v>
      </c>
      <c r="B94">
        <v>2040</v>
      </c>
      <c r="C94">
        <v>0.1</v>
      </c>
    </row>
    <row r="95" spans="1:3">
      <c r="A95" t="s">
        <v>224</v>
      </c>
      <c r="B95">
        <v>2045</v>
      </c>
      <c r="C95">
        <v>0.1</v>
      </c>
    </row>
    <row r="96" spans="1:3">
      <c r="A96" t="s">
        <v>224</v>
      </c>
      <c r="B96">
        <v>2050</v>
      </c>
      <c r="C96">
        <v>0.1</v>
      </c>
    </row>
    <row r="97" spans="1:3">
      <c r="A97" t="s">
        <v>235</v>
      </c>
      <c r="B97">
        <v>2018</v>
      </c>
      <c r="C97">
        <v>0.1</v>
      </c>
    </row>
    <row r="98" spans="1:3">
      <c r="A98" t="s">
        <v>235</v>
      </c>
      <c r="B98">
        <v>2025</v>
      </c>
      <c r="C98">
        <v>0.1</v>
      </c>
    </row>
    <row r="99" spans="1:3">
      <c r="A99" t="s">
        <v>235</v>
      </c>
      <c r="B99">
        <v>2030</v>
      </c>
      <c r="C99">
        <v>0.1</v>
      </c>
    </row>
    <row r="100" spans="1:3">
      <c r="A100" t="s">
        <v>235</v>
      </c>
      <c r="B100">
        <v>2035</v>
      </c>
      <c r="C100">
        <v>0.1</v>
      </c>
    </row>
    <row r="101" spans="1:3">
      <c r="A101" t="s">
        <v>235</v>
      </c>
      <c r="B101">
        <v>2040</v>
      </c>
      <c r="C101">
        <v>0.1</v>
      </c>
    </row>
    <row r="102" spans="1:3">
      <c r="A102" t="s">
        <v>235</v>
      </c>
      <c r="B102">
        <v>2045</v>
      </c>
      <c r="C102">
        <v>0.1</v>
      </c>
    </row>
    <row r="103" spans="1:3">
      <c r="A103" t="s">
        <v>235</v>
      </c>
      <c r="B103">
        <v>2050</v>
      </c>
      <c r="C103">
        <v>0.1</v>
      </c>
    </row>
    <row r="104" spans="1:3">
      <c r="A104" t="s">
        <v>229</v>
      </c>
      <c r="B104">
        <v>2018</v>
      </c>
      <c r="C104">
        <v>0.1</v>
      </c>
    </row>
    <row r="105" spans="1:3">
      <c r="A105" t="s">
        <v>229</v>
      </c>
      <c r="B105">
        <v>2025</v>
      </c>
      <c r="C105">
        <v>0.1</v>
      </c>
    </row>
    <row r="106" spans="1:3">
      <c r="A106" t="s">
        <v>229</v>
      </c>
      <c r="B106">
        <v>2030</v>
      </c>
      <c r="C106">
        <v>0.1</v>
      </c>
    </row>
    <row r="107" spans="1:3">
      <c r="A107" t="s">
        <v>229</v>
      </c>
      <c r="B107">
        <v>2035</v>
      </c>
      <c r="C107">
        <v>0.1</v>
      </c>
    </row>
    <row r="108" spans="1:3">
      <c r="A108" t="s">
        <v>229</v>
      </c>
      <c r="B108">
        <v>2040</v>
      </c>
      <c r="C108">
        <v>0.1</v>
      </c>
    </row>
    <row r="109" spans="1:3">
      <c r="A109" t="s">
        <v>229</v>
      </c>
      <c r="B109">
        <v>2045</v>
      </c>
      <c r="C109">
        <v>0.1</v>
      </c>
    </row>
    <row r="110" spans="1:3">
      <c r="A110" t="s">
        <v>229</v>
      </c>
      <c r="B110">
        <v>2050</v>
      </c>
      <c r="C110">
        <v>0.1</v>
      </c>
    </row>
    <row r="111" spans="1:3">
      <c r="A111" t="s">
        <v>225</v>
      </c>
      <c r="B111">
        <v>2018</v>
      </c>
      <c r="C111">
        <v>0.1</v>
      </c>
    </row>
    <row r="112" spans="1:3">
      <c r="A112" t="s">
        <v>225</v>
      </c>
      <c r="B112">
        <v>2025</v>
      </c>
      <c r="C112">
        <v>0.1</v>
      </c>
    </row>
    <row r="113" spans="1:3">
      <c r="A113" t="s">
        <v>225</v>
      </c>
      <c r="B113">
        <v>2030</v>
      </c>
      <c r="C113">
        <v>0.1</v>
      </c>
    </row>
    <row r="114" spans="1:3">
      <c r="A114" t="s">
        <v>225</v>
      </c>
      <c r="B114">
        <v>2035</v>
      </c>
      <c r="C114">
        <v>0.1</v>
      </c>
    </row>
    <row r="115" spans="1:3">
      <c r="A115" t="s">
        <v>225</v>
      </c>
      <c r="B115">
        <v>2040</v>
      </c>
      <c r="C115">
        <v>0.1</v>
      </c>
    </row>
    <row r="116" spans="1:3">
      <c r="A116" t="s">
        <v>225</v>
      </c>
      <c r="B116">
        <v>2045</v>
      </c>
      <c r="C116">
        <v>0.1</v>
      </c>
    </row>
    <row r="117" spans="1:3">
      <c r="A117" t="s">
        <v>225</v>
      </c>
      <c r="B117">
        <v>2050</v>
      </c>
      <c r="C117">
        <v>0.1</v>
      </c>
    </row>
    <row r="118" spans="1:3">
      <c r="A118" t="s">
        <v>236</v>
      </c>
      <c r="B118">
        <v>2018</v>
      </c>
      <c r="C118">
        <v>0.1</v>
      </c>
    </row>
    <row r="119" spans="1:3">
      <c r="A119" t="s">
        <v>236</v>
      </c>
      <c r="B119">
        <v>2025</v>
      </c>
      <c r="C119">
        <v>0.1</v>
      </c>
    </row>
    <row r="120" spans="1:3">
      <c r="A120" t="s">
        <v>236</v>
      </c>
      <c r="B120">
        <v>2030</v>
      </c>
      <c r="C120">
        <v>0.1</v>
      </c>
    </row>
    <row r="121" spans="1:3">
      <c r="A121" t="s">
        <v>236</v>
      </c>
      <c r="B121">
        <v>2035</v>
      </c>
      <c r="C121">
        <v>0.1</v>
      </c>
    </row>
    <row r="122" spans="1:3">
      <c r="A122" t="s">
        <v>236</v>
      </c>
      <c r="B122">
        <v>2040</v>
      </c>
      <c r="C122">
        <v>0.1</v>
      </c>
    </row>
    <row r="123" spans="1:3">
      <c r="A123" t="s">
        <v>236</v>
      </c>
      <c r="B123">
        <v>2045</v>
      </c>
      <c r="C123">
        <v>0.1</v>
      </c>
    </row>
    <row r="124" spans="1:3">
      <c r="A124" t="s">
        <v>236</v>
      </c>
      <c r="B124">
        <v>2050</v>
      </c>
      <c r="C124">
        <v>0.1</v>
      </c>
    </row>
    <row r="125" spans="1:3">
      <c r="A125" t="s">
        <v>227</v>
      </c>
      <c r="B125">
        <v>2018</v>
      </c>
      <c r="C125">
        <v>0.1</v>
      </c>
    </row>
    <row r="126" spans="1:3">
      <c r="A126" t="s">
        <v>227</v>
      </c>
      <c r="B126">
        <v>2025</v>
      </c>
      <c r="C126">
        <v>0.1</v>
      </c>
    </row>
    <row r="127" spans="1:3">
      <c r="A127" t="s">
        <v>227</v>
      </c>
      <c r="B127">
        <v>2030</v>
      </c>
      <c r="C127">
        <v>0.1</v>
      </c>
    </row>
    <row r="128" spans="1:3">
      <c r="A128" t="s">
        <v>227</v>
      </c>
      <c r="B128">
        <v>2035</v>
      </c>
      <c r="C128">
        <v>0.1</v>
      </c>
    </row>
    <row r="129" spans="1:3">
      <c r="A129" t="s">
        <v>227</v>
      </c>
      <c r="B129">
        <v>2040</v>
      </c>
      <c r="C129">
        <v>0.1</v>
      </c>
    </row>
    <row r="130" spans="1:3">
      <c r="A130" t="s">
        <v>227</v>
      </c>
      <c r="B130">
        <v>2045</v>
      </c>
      <c r="C130">
        <v>0.1</v>
      </c>
    </row>
    <row r="131" spans="1:3">
      <c r="A131" t="s">
        <v>227</v>
      </c>
      <c r="B131">
        <v>2050</v>
      </c>
      <c r="C131">
        <v>0.1</v>
      </c>
    </row>
    <row r="132" spans="1:3">
      <c r="A132" t="s">
        <v>228</v>
      </c>
      <c r="B132">
        <v>2018</v>
      </c>
      <c r="C132">
        <v>0.1</v>
      </c>
    </row>
    <row r="133" spans="1:3">
      <c r="A133" t="s">
        <v>228</v>
      </c>
      <c r="B133">
        <v>2025</v>
      </c>
      <c r="C133">
        <v>0.1</v>
      </c>
    </row>
    <row r="134" spans="1:3">
      <c r="A134" t="s">
        <v>228</v>
      </c>
      <c r="B134">
        <v>2030</v>
      </c>
      <c r="C134">
        <v>0.1</v>
      </c>
    </row>
    <row r="135" spans="1:3">
      <c r="A135" t="s">
        <v>228</v>
      </c>
      <c r="B135">
        <v>2035</v>
      </c>
      <c r="C135">
        <v>0.1</v>
      </c>
    </row>
    <row r="136" spans="1:3">
      <c r="A136" t="s">
        <v>228</v>
      </c>
      <c r="B136">
        <v>2040</v>
      </c>
      <c r="C136">
        <v>0.1</v>
      </c>
    </row>
    <row r="137" spans="1:3">
      <c r="A137" t="s">
        <v>228</v>
      </c>
      <c r="B137">
        <v>2045</v>
      </c>
      <c r="C137">
        <v>0.1</v>
      </c>
    </row>
    <row r="138" spans="1:3">
      <c r="A138" t="s">
        <v>228</v>
      </c>
      <c r="B138">
        <v>2050</v>
      </c>
      <c r="C138">
        <v>0.1</v>
      </c>
    </row>
    <row r="139" spans="1:3">
      <c r="A139" t="s">
        <v>226</v>
      </c>
      <c r="B139">
        <v>2018</v>
      </c>
      <c r="C139">
        <v>0.1</v>
      </c>
    </row>
    <row r="140" spans="1:3">
      <c r="A140" t="s">
        <v>226</v>
      </c>
      <c r="B140">
        <v>2025</v>
      </c>
      <c r="C140">
        <v>0.1</v>
      </c>
    </row>
    <row r="141" spans="1:3">
      <c r="A141" t="s">
        <v>226</v>
      </c>
      <c r="B141">
        <v>2030</v>
      </c>
      <c r="C141">
        <v>0.1</v>
      </c>
    </row>
    <row r="142" spans="1:3">
      <c r="A142" t="s">
        <v>226</v>
      </c>
      <c r="B142">
        <v>2035</v>
      </c>
      <c r="C142">
        <v>0.1</v>
      </c>
    </row>
    <row r="143" spans="1:3">
      <c r="A143" t="s">
        <v>226</v>
      </c>
      <c r="B143">
        <v>2040</v>
      </c>
      <c r="C143">
        <v>0.1</v>
      </c>
    </row>
    <row r="144" spans="1:3">
      <c r="A144" t="s">
        <v>226</v>
      </c>
      <c r="B144">
        <v>2045</v>
      </c>
      <c r="C144">
        <v>0.1</v>
      </c>
    </row>
    <row r="145" spans="1:3">
      <c r="A145" t="s">
        <v>226</v>
      </c>
      <c r="B145">
        <v>2050</v>
      </c>
      <c r="C145">
        <v>0.1</v>
      </c>
    </row>
    <row r="146" spans="1:3">
      <c r="A146" t="s">
        <v>208</v>
      </c>
      <c r="B146">
        <v>2018</v>
      </c>
      <c r="C146">
        <v>0.1</v>
      </c>
    </row>
    <row r="147" spans="1:3">
      <c r="A147" t="s">
        <v>208</v>
      </c>
      <c r="B147">
        <v>2025</v>
      </c>
      <c r="C147">
        <v>0.1</v>
      </c>
    </row>
    <row r="148" spans="1:3">
      <c r="A148" t="s">
        <v>208</v>
      </c>
      <c r="B148">
        <v>2030</v>
      </c>
      <c r="C148">
        <v>0.1</v>
      </c>
    </row>
    <row r="149" spans="1:3">
      <c r="A149" t="s">
        <v>208</v>
      </c>
      <c r="B149">
        <v>2035</v>
      </c>
      <c r="C149">
        <v>0.1</v>
      </c>
    </row>
    <row r="150" spans="1:3">
      <c r="A150" t="s">
        <v>208</v>
      </c>
      <c r="B150">
        <v>2040</v>
      </c>
      <c r="C150">
        <v>0.1</v>
      </c>
    </row>
    <row r="151" spans="1:3">
      <c r="A151" t="s">
        <v>208</v>
      </c>
      <c r="B151">
        <v>2045</v>
      </c>
      <c r="C151">
        <v>0.1</v>
      </c>
    </row>
    <row r="152" spans="1:3">
      <c r="A152" t="s">
        <v>208</v>
      </c>
      <c r="B152">
        <v>2050</v>
      </c>
      <c r="C152">
        <v>0.1</v>
      </c>
    </row>
    <row r="153" spans="1:3">
      <c r="A153" t="s">
        <v>206</v>
      </c>
      <c r="B153">
        <v>2018</v>
      </c>
      <c r="C153">
        <v>0.1</v>
      </c>
    </row>
    <row r="154" spans="1:3">
      <c r="A154" t="s">
        <v>206</v>
      </c>
      <c r="B154">
        <v>2025</v>
      </c>
      <c r="C154">
        <v>0.1</v>
      </c>
    </row>
    <row r="155" spans="1:3">
      <c r="A155" t="s">
        <v>206</v>
      </c>
      <c r="B155">
        <v>2030</v>
      </c>
      <c r="C155">
        <v>0.1</v>
      </c>
    </row>
    <row r="156" spans="1:3">
      <c r="A156" t="s">
        <v>206</v>
      </c>
      <c r="B156">
        <v>2035</v>
      </c>
      <c r="C156">
        <v>0.1</v>
      </c>
    </row>
    <row r="157" spans="1:3">
      <c r="A157" t="s">
        <v>206</v>
      </c>
      <c r="B157">
        <v>2040</v>
      </c>
      <c r="C157">
        <v>0.1</v>
      </c>
    </row>
    <row r="158" spans="1:3">
      <c r="A158" t="s">
        <v>206</v>
      </c>
      <c r="B158">
        <v>2045</v>
      </c>
      <c r="C158">
        <v>0.1</v>
      </c>
    </row>
    <row r="159" spans="1:3">
      <c r="A159" t="s">
        <v>206</v>
      </c>
      <c r="B159">
        <v>2050</v>
      </c>
      <c r="C159">
        <v>0.1</v>
      </c>
    </row>
    <row r="160" spans="1:3">
      <c r="A160" t="s">
        <v>150</v>
      </c>
      <c r="B160">
        <v>2018</v>
      </c>
      <c r="C160">
        <v>0.04</v>
      </c>
    </row>
    <row r="161" spans="1:3">
      <c r="A161" t="s">
        <v>150</v>
      </c>
      <c r="B161">
        <v>2025</v>
      </c>
      <c r="C161">
        <v>0.04</v>
      </c>
    </row>
    <row r="162" spans="1:3">
      <c r="A162" t="s">
        <v>150</v>
      </c>
      <c r="B162">
        <v>2030</v>
      </c>
      <c r="C162">
        <v>0.04</v>
      </c>
    </row>
    <row r="163" spans="1:3">
      <c r="A163" t="s">
        <v>150</v>
      </c>
      <c r="B163">
        <v>2035</v>
      </c>
      <c r="C163">
        <v>0.04</v>
      </c>
    </row>
    <row r="164" spans="1:3">
      <c r="A164" t="s">
        <v>150</v>
      </c>
      <c r="B164">
        <v>2040</v>
      </c>
      <c r="C164">
        <v>0.04</v>
      </c>
    </row>
    <row r="165" spans="1:3">
      <c r="A165" t="s">
        <v>150</v>
      </c>
      <c r="B165">
        <v>2045</v>
      </c>
      <c r="C165">
        <v>0.04</v>
      </c>
    </row>
    <row r="166" spans="1:3">
      <c r="A166" t="s">
        <v>150</v>
      </c>
      <c r="B166">
        <v>2050</v>
      </c>
      <c r="C166">
        <v>0.04</v>
      </c>
    </row>
    <row r="167" spans="1:3">
      <c r="A167" t="s">
        <v>180</v>
      </c>
      <c r="B167">
        <v>2018</v>
      </c>
      <c r="C167">
        <v>0.04</v>
      </c>
    </row>
    <row r="168" spans="1:3">
      <c r="A168" t="s">
        <v>180</v>
      </c>
      <c r="B168">
        <v>2025</v>
      </c>
      <c r="C168">
        <v>0.04</v>
      </c>
    </row>
    <row r="169" spans="1:3">
      <c r="A169" t="s">
        <v>180</v>
      </c>
      <c r="B169">
        <v>2030</v>
      </c>
      <c r="C169">
        <v>0.04</v>
      </c>
    </row>
    <row r="170" spans="1:3">
      <c r="A170" t="s">
        <v>180</v>
      </c>
      <c r="B170">
        <v>2035</v>
      </c>
      <c r="C170">
        <v>0.04</v>
      </c>
    </row>
    <row r="171" spans="1:3">
      <c r="A171" t="s">
        <v>180</v>
      </c>
      <c r="B171">
        <v>2040</v>
      </c>
      <c r="C171">
        <v>0.04</v>
      </c>
    </row>
    <row r="172" spans="1:3">
      <c r="A172" t="s">
        <v>180</v>
      </c>
      <c r="B172">
        <v>2045</v>
      </c>
      <c r="C172">
        <v>0.04</v>
      </c>
    </row>
    <row r="173" spans="1:3">
      <c r="A173" t="s">
        <v>180</v>
      </c>
      <c r="B173">
        <v>2050</v>
      </c>
      <c r="C173">
        <v>0.04</v>
      </c>
    </row>
    <row r="174" spans="1:3">
      <c r="A174" t="s">
        <v>94</v>
      </c>
      <c r="B174">
        <v>2018</v>
      </c>
      <c r="C174">
        <v>0.02</v>
      </c>
    </row>
    <row r="175" spans="1:3">
      <c r="A175" t="s">
        <v>94</v>
      </c>
      <c r="B175">
        <v>2025</v>
      </c>
      <c r="C175">
        <v>0.02</v>
      </c>
    </row>
    <row r="176" spans="1:3">
      <c r="A176" t="s">
        <v>94</v>
      </c>
      <c r="B176">
        <v>2030</v>
      </c>
      <c r="C176">
        <v>0.02</v>
      </c>
    </row>
    <row r="177" spans="1:3">
      <c r="A177" t="s">
        <v>94</v>
      </c>
      <c r="B177">
        <v>2035</v>
      </c>
      <c r="C177">
        <v>0.02</v>
      </c>
    </row>
    <row r="178" spans="1:3">
      <c r="A178" t="s">
        <v>94</v>
      </c>
      <c r="B178">
        <v>2040</v>
      </c>
      <c r="C178">
        <v>0.02</v>
      </c>
    </row>
    <row r="179" spans="1:3">
      <c r="A179" t="s">
        <v>94</v>
      </c>
      <c r="B179">
        <v>2045</v>
      </c>
      <c r="C179">
        <v>0.02</v>
      </c>
    </row>
    <row r="180" spans="1:3">
      <c r="A180" t="s">
        <v>94</v>
      </c>
      <c r="B180">
        <v>2050</v>
      </c>
      <c r="C180">
        <v>0.02</v>
      </c>
    </row>
    <row r="181" spans="1:3">
      <c r="A181" t="s">
        <v>237</v>
      </c>
      <c r="B181">
        <v>2018</v>
      </c>
      <c r="C181">
        <v>0.02</v>
      </c>
    </row>
    <row r="182" spans="1:3">
      <c r="A182" t="s">
        <v>237</v>
      </c>
      <c r="B182">
        <v>2025</v>
      </c>
      <c r="C182">
        <v>0.02</v>
      </c>
    </row>
    <row r="183" spans="1:3">
      <c r="A183" t="s">
        <v>237</v>
      </c>
      <c r="B183">
        <v>2030</v>
      </c>
      <c r="C183">
        <v>0.02</v>
      </c>
    </row>
    <row r="184" spans="1:3">
      <c r="A184" t="s">
        <v>237</v>
      </c>
      <c r="B184">
        <v>2035</v>
      </c>
      <c r="C184">
        <v>0.02</v>
      </c>
    </row>
    <row r="185" spans="1:3">
      <c r="A185" t="s">
        <v>237</v>
      </c>
      <c r="B185">
        <v>2040</v>
      </c>
      <c r="C185">
        <v>0.02</v>
      </c>
    </row>
    <row r="186" spans="1:3">
      <c r="A186" t="s">
        <v>237</v>
      </c>
      <c r="B186">
        <v>2045</v>
      </c>
      <c r="C186">
        <v>0.02</v>
      </c>
    </row>
    <row r="187" spans="1:3">
      <c r="A187" t="s">
        <v>237</v>
      </c>
      <c r="B187">
        <v>2050</v>
      </c>
      <c r="C187">
        <v>0.02</v>
      </c>
    </row>
    <row r="188" spans="1:3">
      <c r="A188" t="s">
        <v>93</v>
      </c>
      <c r="B188">
        <v>2018</v>
      </c>
      <c r="C188">
        <v>0.02</v>
      </c>
    </row>
    <row r="189" spans="1:3">
      <c r="A189" t="s">
        <v>93</v>
      </c>
      <c r="B189">
        <v>2025</v>
      </c>
      <c r="C189">
        <v>0.02</v>
      </c>
    </row>
    <row r="190" spans="1:3">
      <c r="A190" t="s">
        <v>93</v>
      </c>
      <c r="B190">
        <v>2030</v>
      </c>
      <c r="C190">
        <v>0.02</v>
      </c>
    </row>
    <row r="191" spans="1:3">
      <c r="A191" t="s">
        <v>93</v>
      </c>
      <c r="B191">
        <v>2035</v>
      </c>
      <c r="C191">
        <v>0.02</v>
      </c>
    </row>
    <row r="192" spans="1:3">
      <c r="A192" t="s">
        <v>93</v>
      </c>
      <c r="B192">
        <v>2040</v>
      </c>
      <c r="C192">
        <v>0.02</v>
      </c>
    </row>
    <row r="193" spans="1:3">
      <c r="A193" t="s">
        <v>93</v>
      </c>
      <c r="B193">
        <v>2045</v>
      </c>
      <c r="C193">
        <v>0.02</v>
      </c>
    </row>
    <row r="194" spans="1:3">
      <c r="A194" t="s">
        <v>93</v>
      </c>
      <c r="B194">
        <v>2050</v>
      </c>
      <c r="C194">
        <v>0.02</v>
      </c>
    </row>
    <row r="195" spans="1:3">
      <c r="A195" t="s">
        <v>238</v>
      </c>
      <c r="B195">
        <v>2018</v>
      </c>
      <c r="C195">
        <v>0.02</v>
      </c>
    </row>
    <row r="196" spans="1:3">
      <c r="A196" t="s">
        <v>238</v>
      </c>
      <c r="B196">
        <v>2025</v>
      </c>
      <c r="C196">
        <v>0.02</v>
      </c>
    </row>
    <row r="197" spans="1:3">
      <c r="A197" t="s">
        <v>238</v>
      </c>
      <c r="B197">
        <v>2030</v>
      </c>
      <c r="C197">
        <v>0.02</v>
      </c>
    </row>
    <row r="198" spans="1:3">
      <c r="A198" t="s">
        <v>238</v>
      </c>
      <c r="B198">
        <v>2035</v>
      </c>
      <c r="C198">
        <v>0.02</v>
      </c>
    </row>
    <row r="199" spans="1:3">
      <c r="A199" t="s">
        <v>238</v>
      </c>
      <c r="B199">
        <v>2040</v>
      </c>
      <c r="C199">
        <v>0.02</v>
      </c>
    </row>
    <row r="200" spans="1:3">
      <c r="A200" t="s">
        <v>238</v>
      </c>
      <c r="B200">
        <v>2045</v>
      </c>
      <c r="C200">
        <v>0.02</v>
      </c>
    </row>
    <row r="201" spans="1:3">
      <c r="A201" t="s">
        <v>238</v>
      </c>
      <c r="B201">
        <v>2050</v>
      </c>
      <c r="C201">
        <v>0.02</v>
      </c>
    </row>
    <row r="202" spans="1:3">
      <c r="A202" t="s">
        <v>429</v>
      </c>
      <c r="B202">
        <v>2018</v>
      </c>
      <c r="C202">
        <v>0.2</v>
      </c>
    </row>
    <row r="203" spans="1:3">
      <c r="A203" t="s">
        <v>429</v>
      </c>
      <c r="B203">
        <v>2025</v>
      </c>
      <c r="C203">
        <v>0.2</v>
      </c>
    </row>
    <row r="204" spans="1:3">
      <c r="A204" t="s">
        <v>429</v>
      </c>
      <c r="B204">
        <v>2030</v>
      </c>
      <c r="C204">
        <v>0.2</v>
      </c>
    </row>
    <row r="205" spans="1:3">
      <c r="A205" t="s">
        <v>429</v>
      </c>
      <c r="B205">
        <v>2035</v>
      </c>
      <c r="C205">
        <v>0.2</v>
      </c>
    </row>
    <row r="206" spans="1:3">
      <c r="A206" t="s">
        <v>429</v>
      </c>
      <c r="B206">
        <v>2040</v>
      </c>
      <c r="C206">
        <v>0.2</v>
      </c>
    </row>
    <row r="207" spans="1:3">
      <c r="A207" t="s">
        <v>429</v>
      </c>
      <c r="B207">
        <v>2045</v>
      </c>
      <c r="C207">
        <v>0.2</v>
      </c>
    </row>
    <row r="208" spans="1:3">
      <c r="A208" t="s">
        <v>429</v>
      </c>
      <c r="B208">
        <v>2050</v>
      </c>
      <c r="C208">
        <v>0.2</v>
      </c>
    </row>
    <row r="209" spans="1:3">
      <c r="A209" t="s">
        <v>430</v>
      </c>
      <c r="B209">
        <v>2018</v>
      </c>
      <c r="C209">
        <v>0.2</v>
      </c>
    </row>
    <row r="210" spans="1:3">
      <c r="A210" t="s">
        <v>430</v>
      </c>
      <c r="B210">
        <v>2025</v>
      </c>
      <c r="C210">
        <v>0.2</v>
      </c>
    </row>
    <row r="211" spans="1:3">
      <c r="A211" t="s">
        <v>430</v>
      </c>
      <c r="B211">
        <v>2030</v>
      </c>
      <c r="C211">
        <v>0.2</v>
      </c>
    </row>
    <row r="212" spans="1:3">
      <c r="A212" t="s">
        <v>430</v>
      </c>
      <c r="B212">
        <v>2035</v>
      </c>
      <c r="C212">
        <v>0.2</v>
      </c>
    </row>
    <row r="213" spans="1:3">
      <c r="A213" t="s">
        <v>430</v>
      </c>
      <c r="B213">
        <v>2040</v>
      </c>
      <c r="C213">
        <v>0.2</v>
      </c>
    </row>
    <row r="214" spans="1:3">
      <c r="A214" t="s">
        <v>430</v>
      </c>
      <c r="B214">
        <v>2045</v>
      </c>
      <c r="C214">
        <v>0.2</v>
      </c>
    </row>
    <row r="215" spans="1:3">
      <c r="A215" t="s">
        <v>430</v>
      </c>
      <c r="B215">
        <v>2050</v>
      </c>
      <c r="C215">
        <v>0.2</v>
      </c>
    </row>
    <row r="216" spans="1:3">
      <c r="A216" t="s">
        <v>431</v>
      </c>
      <c r="B216">
        <v>2018</v>
      </c>
      <c r="C216">
        <v>0.2</v>
      </c>
    </row>
    <row r="217" spans="1:3">
      <c r="A217" t="s">
        <v>431</v>
      </c>
      <c r="B217">
        <v>2025</v>
      </c>
      <c r="C217">
        <v>0.2</v>
      </c>
    </row>
    <row r="218" spans="1:3">
      <c r="A218" t="s">
        <v>431</v>
      </c>
      <c r="B218">
        <v>2030</v>
      </c>
      <c r="C218">
        <v>0.2</v>
      </c>
    </row>
    <row r="219" spans="1:3">
      <c r="A219" t="s">
        <v>431</v>
      </c>
      <c r="B219">
        <v>2035</v>
      </c>
      <c r="C219">
        <v>0.2</v>
      </c>
    </row>
    <row r="220" spans="1:3">
      <c r="A220" t="s">
        <v>431</v>
      </c>
      <c r="B220">
        <v>2040</v>
      </c>
      <c r="C220">
        <v>0.2</v>
      </c>
    </row>
    <row r="221" spans="1:3">
      <c r="A221" t="s">
        <v>431</v>
      </c>
      <c r="B221">
        <v>2045</v>
      </c>
      <c r="C221">
        <v>0.2</v>
      </c>
    </row>
    <row r="222" spans="1:3">
      <c r="A222" t="s">
        <v>431</v>
      </c>
      <c r="B222">
        <v>2050</v>
      </c>
      <c r="C222">
        <v>0.2</v>
      </c>
    </row>
    <row r="223" spans="1:3">
      <c r="A223" t="s">
        <v>239</v>
      </c>
      <c r="B223">
        <v>2018</v>
      </c>
      <c r="C223">
        <v>0.2</v>
      </c>
    </row>
    <row r="224" spans="1:3">
      <c r="A224" t="s">
        <v>239</v>
      </c>
      <c r="B224">
        <v>2025</v>
      </c>
      <c r="C224">
        <v>0.2</v>
      </c>
    </row>
    <row r="225" spans="1:3">
      <c r="A225" t="s">
        <v>239</v>
      </c>
      <c r="B225">
        <v>2030</v>
      </c>
      <c r="C225">
        <v>0.2</v>
      </c>
    </row>
    <row r="226" spans="1:3">
      <c r="A226" t="s">
        <v>239</v>
      </c>
      <c r="B226">
        <v>2035</v>
      </c>
      <c r="C226">
        <v>0.2</v>
      </c>
    </row>
    <row r="227" spans="1:3">
      <c r="A227" t="s">
        <v>239</v>
      </c>
      <c r="B227">
        <v>2040</v>
      </c>
      <c r="C227">
        <v>0.2</v>
      </c>
    </row>
    <row r="228" spans="1:3">
      <c r="A228" t="s">
        <v>239</v>
      </c>
      <c r="B228">
        <v>2045</v>
      </c>
      <c r="C228">
        <v>0.2</v>
      </c>
    </row>
    <row r="229" spans="1:3">
      <c r="A229" t="s">
        <v>239</v>
      </c>
      <c r="B229">
        <v>2050</v>
      </c>
      <c r="C229">
        <v>0.2</v>
      </c>
    </row>
    <row r="230" spans="1:3">
      <c r="A230" t="s">
        <v>14</v>
      </c>
      <c r="B230">
        <v>2018</v>
      </c>
      <c r="C230">
        <v>0.01</v>
      </c>
    </row>
    <row r="231" spans="1:3">
      <c r="A231" t="s">
        <v>14</v>
      </c>
      <c r="B231">
        <v>2025</v>
      </c>
      <c r="C231">
        <v>0.01</v>
      </c>
    </row>
    <row r="232" spans="1:3">
      <c r="A232" t="s">
        <v>14</v>
      </c>
      <c r="B232">
        <v>2030</v>
      </c>
      <c r="C232">
        <v>0.01</v>
      </c>
    </row>
    <row r="233" spans="1:3">
      <c r="A233" t="s">
        <v>14</v>
      </c>
      <c r="B233">
        <v>2035</v>
      </c>
      <c r="C233">
        <v>0.01</v>
      </c>
    </row>
    <row r="234" spans="1:3">
      <c r="A234" t="s">
        <v>14</v>
      </c>
      <c r="B234">
        <v>2040</v>
      </c>
      <c r="C234">
        <v>0.01</v>
      </c>
    </row>
    <row r="235" spans="1:3">
      <c r="A235" t="s">
        <v>14</v>
      </c>
      <c r="B235">
        <v>2045</v>
      </c>
      <c r="C235">
        <v>0.01</v>
      </c>
    </row>
    <row r="236" spans="1:3">
      <c r="A236" t="s">
        <v>14</v>
      </c>
      <c r="B236">
        <v>2050</v>
      </c>
      <c r="C236">
        <v>0.01</v>
      </c>
    </row>
    <row r="237" spans="1:3">
      <c r="A237" t="s">
        <v>49</v>
      </c>
      <c r="B237">
        <v>2018</v>
      </c>
      <c r="C237">
        <v>0.04</v>
      </c>
    </row>
    <row r="238" spans="1:3">
      <c r="A238" t="s">
        <v>49</v>
      </c>
      <c r="B238">
        <v>2025</v>
      </c>
      <c r="C238">
        <v>0.04</v>
      </c>
    </row>
    <row r="239" spans="1:3">
      <c r="A239" t="s">
        <v>49</v>
      </c>
      <c r="B239">
        <v>2030</v>
      </c>
      <c r="C239">
        <v>0.04</v>
      </c>
    </row>
    <row r="240" spans="1:3">
      <c r="A240" t="s">
        <v>49</v>
      </c>
      <c r="B240">
        <v>2035</v>
      </c>
      <c r="C240">
        <v>0.04</v>
      </c>
    </row>
    <row r="241" spans="1:3">
      <c r="A241" t="s">
        <v>49</v>
      </c>
      <c r="B241">
        <v>2040</v>
      </c>
      <c r="C241">
        <v>0.04</v>
      </c>
    </row>
    <row r="242" spans="1:3">
      <c r="A242" t="s">
        <v>49</v>
      </c>
      <c r="B242">
        <v>2045</v>
      </c>
      <c r="C242">
        <v>0.04</v>
      </c>
    </row>
    <row r="243" spans="1:3">
      <c r="A243" t="s">
        <v>49</v>
      </c>
      <c r="B243">
        <v>2050</v>
      </c>
      <c r="C243">
        <v>0.04</v>
      </c>
    </row>
    <row r="244" spans="1:3">
      <c r="A244" t="s">
        <v>89</v>
      </c>
      <c r="B244">
        <v>2018</v>
      </c>
      <c r="C244">
        <v>0.25</v>
      </c>
    </row>
    <row r="245" spans="1:3">
      <c r="A245" t="s">
        <v>89</v>
      </c>
      <c r="B245">
        <v>2025</v>
      </c>
      <c r="C245">
        <v>0.25</v>
      </c>
    </row>
    <row r="246" spans="1:3">
      <c r="A246" t="s">
        <v>89</v>
      </c>
      <c r="B246">
        <v>2030</v>
      </c>
      <c r="C246">
        <v>0.25</v>
      </c>
    </row>
    <row r="247" spans="1:3">
      <c r="A247" t="s">
        <v>89</v>
      </c>
      <c r="B247">
        <v>2035</v>
      </c>
      <c r="C247">
        <v>0.25</v>
      </c>
    </row>
    <row r="248" spans="1:3">
      <c r="A248" t="s">
        <v>89</v>
      </c>
      <c r="B248">
        <v>2040</v>
      </c>
      <c r="C248">
        <v>0.25</v>
      </c>
    </row>
    <row r="249" spans="1:3">
      <c r="A249" t="s">
        <v>89</v>
      </c>
      <c r="B249">
        <v>2045</v>
      </c>
      <c r="C249">
        <v>0.25</v>
      </c>
    </row>
    <row r="250" spans="1:3">
      <c r="A250" t="s">
        <v>89</v>
      </c>
      <c r="B250">
        <v>2050</v>
      </c>
      <c r="C250">
        <v>0.25</v>
      </c>
    </row>
    <row r="251" spans="1:3">
      <c r="A251" t="s">
        <v>198</v>
      </c>
      <c r="B251">
        <v>2018</v>
      </c>
      <c r="C251">
        <v>0</v>
      </c>
    </row>
    <row r="252" spans="1:3">
      <c r="A252" t="s">
        <v>218</v>
      </c>
      <c r="B252">
        <v>2018</v>
      </c>
      <c r="C252">
        <v>0</v>
      </c>
    </row>
    <row r="253" spans="1:3">
      <c r="A253" t="s">
        <v>207</v>
      </c>
      <c r="B253">
        <v>2018</v>
      </c>
      <c r="C253">
        <v>0</v>
      </c>
    </row>
    <row r="254" spans="1:3">
      <c r="A254" t="s">
        <v>254</v>
      </c>
      <c r="B254">
        <v>2018</v>
      </c>
      <c r="C254">
        <v>0</v>
      </c>
    </row>
    <row r="255" spans="1:3">
      <c r="A255" t="s">
        <v>200</v>
      </c>
      <c r="B255">
        <v>2018</v>
      </c>
      <c r="C255">
        <v>0</v>
      </c>
    </row>
    <row r="256" spans="1:3">
      <c r="A256" t="s">
        <v>201</v>
      </c>
      <c r="B256">
        <v>2018</v>
      </c>
      <c r="C256">
        <v>0</v>
      </c>
    </row>
    <row r="257" spans="1:3">
      <c r="A257" t="s">
        <v>187</v>
      </c>
      <c r="B257">
        <v>2018</v>
      </c>
      <c r="C257">
        <v>0</v>
      </c>
    </row>
    <row r="258" spans="1:3">
      <c r="A258" t="s">
        <v>214</v>
      </c>
      <c r="B258">
        <v>2018</v>
      </c>
      <c r="C258">
        <v>0</v>
      </c>
    </row>
    <row r="259" spans="1:3">
      <c r="A259" t="s">
        <v>205</v>
      </c>
      <c r="B259">
        <v>2018</v>
      </c>
      <c r="C259">
        <v>0</v>
      </c>
    </row>
    <row r="260" spans="1:3">
      <c r="A260" t="s">
        <v>253</v>
      </c>
      <c r="B260">
        <v>2018</v>
      </c>
      <c r="C260">
        <v>0</v>
      </c>
    </row>
    <row r="261" spans="1:3">
      <c r="A261" t="s">
        <v>188</v>
      </c>
      <c r="B261">
        <v>2018</v>
      </c>
      <c r="C261">
        <v>0</v>
      </c>
    </row>
    <row r="262" spans="1:3">
      <c r="A262" t="s">
        <v>189</v>
      </c>
      <c r="B262">
        <v>2018</v>
      </c>
      <c r="C262">
        <v>0</v>
      </c>
    </row>
    <row r="263" spans="1:3">
      <c r="A263" t="s">
        <v>209</v>
      </c>
      <c r="B263">
        <v>2018</v>
      </c>
      <c r="C263">
        <v>0</v>
      </c>
    </row>
    <row r="264" spans="1:3">
      <c r="A264" t="s">
        <v>211</v>
      </c>
      <c r="B264">
        <v>2018</v>
      </c>
      <c r="C264">
        <v>0</v>
      </c>
    </row>
    <row r="265" spans="1:3">
      <c r="A265" t="s">
        <v>244</v>
      </c>
      <c r="B265">
        <v>2018</v>
      </c>
      <c r="C265">
        <v>0</v>
      </c>
    </row>
    <row r="266" spans="1:3">
      <c r="A266" t="s">
        <v>210</v>
      </c>
      <c r="B266">
        <v>2018</v>
      </c>
      <c r="C266">
        <v>0</v>
      </c>
    </row>
    <row r="267" spans="1:3">
      <c r="A267" t="s">
        <v>245</v>
      </c>
      <c r="B267">
        <v>2018</v>
      </c>
      <c r="C267">
        <v>0</v>
      </c>
    </row>
    <row r="268" spans="1:3">
      <c r="A268" t="s">
        <v>212</v>
      </c>
      <c r="B268">
        <v>2018</v>
      </c>
      <c r="C268">
        <v>0</v>
      </c>
    </row>
    <row r="269" spans="1:3">
      <c r="A269" t="s">
        <v>221</v>
      </c>
      <c r="B269">
        <v>2018</v>
      </c>
      <c r="C269">
        <v>0</v>
      </c>
    </row>
    <row r="270" spans="1:3">
      <c r="A270" t="s">
        <v>198</v>
      </c>
      <c r="B270">
        <v>2025</v>
      </c>
      <c r="C270">
        <v>0</v>
      </c>
    </row>
    <row r="271" spans="1:3">
      <c r="A271" t="s">
        <v>218</v>
      </c>
      <c r="B271">
        <v>2025</v>
      </c>
      <c r="C271">
        <v>0</v>
      </c>
    </row>
    <row r="272" spans="1:3">
      <c r="A272" t="s">
        <v>207</v>
      </c>
      <c r="B272">
        <v>2025</v>
      </c>
      <c r="C272">
        <v>0</v>
      </c>
    </row>
    <row r="273" spans="1:3">
      <c r="A273" t="s">
        <v>254</v>
      </c>
      <c r="B273">
        <v>2025</v>
      </c>
      <c r="C273">
        <v>0</v>
      </c>
    </row>
    <row r="274" spans="1:3">
      <c r="A274" t="s">
        <v>200</v>
      </c>
      <c r="B274">
        <v>2025</v>
      </c>
      <c r="C274">
        <v>0</v>
      </c>
    </row>
    <row r="275" spans="1:3">
      <c r="A275" t="s">
        <v>201</v>
      </c>
      <c r="B275">
        <v>2025</v>
      </c>
      <c r="C275">
        <v>0</v>
      </c>
    </row>
    <row r="276" spans="1:3">
      <c r="A276" t="s">
        <v>187</v>
      </c>
      <c r="B276">
        <v>2025</v>
      </c>
      <c r="C276">
        <v>0</v>
      </c>
    </row>
    <row r="277" spans="1:3">
      <c r="A277" t="s">
        <v>214</v>
      </c>
      <c r="B277">
        <v>2025</v>
      </c>
      <c r="C277">
        <v>0</v>
      </c>
    </row>
    <row r="278" spans="1:3">
      <c r="A278" t="s">
        <v>205</v>
      </c>
      <c r="B278">
        <v>2025</v>
      </c>
      <c r="C278">
        <v>0</v>
      </c>
    </row>
    <row r="279" spans="1:3">
      <c r="A279" t="s">
        <v>253</v>
      </c>
      <c r="B279">
        <v>2025</v>
      </c>
      <c r="C279">
        <v>0</v>
      </c>
    </row>
    <row r="280" spans="1:3">
      <c r="A280" t="s">
        <v>188</v>
      </c>
      <c r="B280">
        <v>2025</v>
      </c>
      <c r="C280">
        <v>0</v>
      </c>
    </row>
    <row r="281" spans="1:3">
      <c r="A281" t="s">
        <v>189</v>
      </c>
      <c r="B281">
        <v>2025</v>
      </c>
      <c r="C281">
        <v>0</v>
      </c>
    </row>
    <row r="282" spans="1:3">
      <c r="A282" t="s">
        <v>209</v>
      </c>
      <c r="B282">
        <v>2025</v>
      </c>
      <c r="C282">
        <v>0</v>
      </c>
    </row>
    <row r="283" spans="1:3">
      <c r="A283" t="s">
        <v>211</v>
      </c>
      <c r="B283">
        <v>2025</v>
      </c>
      <c r="C283">
        <v>0</v>
      </c>
    </row>
    <row r="284" spans="1:3">
      <c r="A284" t="s">
        <v>244</v>
      </c>
      <c r="B284">
        <v>2025</v>
      </c>
      <c r="C284">
        <v>0</v>
      </c>
    </row>
    <row r="285" spans="1:3">
      <c r="A285" t="s">
        <v>210</v>
      </c>
      <c r="B285">
        <v>2025</v>
      </c>
      <c r="C285">
        <v>0</v>
      </c>
    </row>
    <row r="286" spans="1:3">
      <c r="A286" t="s">
        <v>245</v>
      </c>
      <c r="B286">
        <v>2025</v>
      </c>
      <c r="C286">
        <v>0</v>
      </c>
    </row>
    <row r="287" spans="1:3">
      <c r="A287" t="s">
        <v>212</v>
      </c>
      <c r="B287">
        <v>2025</v>
      </c>
      <c r="C287">
        <v>0</v>
      </c>
    </row>
    <row r="288" spans="1:3">
      <c r="A288" t="s">
        <v>221</v>
      </c>
      <c r="B288">
        <v>2025</v>
      </c>
      <c r="C288">
        <v>0</v>
      </c>
    </row>
    <row r="289" spans="1:3">
      <c r="A289" t="s">
        <v>198</v>
      </c>
      <c r="B289">
        <v>2030</v>
      </c>
      <c r="C289">
        <v>0</v>
      </c>
    </row>
    <row r="290" spans="1:3">
      <c r="A290" t="s">
        <v>218</v>
      </c>
      <c r="B290">
        <v>2030</v>
      </c>
      <c r="C290">
        <v>0</v>
      </c>
    </row>
    <row r="291" spans="1:3">
      <c r="A291" t="s">
        <v>207</v>
      </c>
      <c r="B291">
        <v>2030</v>
      </c>
      <c r="C291">
        <v>0</v>
      </c>
    </row>
    <row r="292" spans="1:3">
      <c r="A292" t="s">
        <v>254</v>
      </c>
      <c r="B292">
        <v>2030</v>
      </c>
      <c r="C292">
        <v>0</v>
      </c>
    </row>
    <row r="293" spans="1:3">
      <c r="A293" t="s">
        <v>200</v>
      </c>
      <c r="B293">
        <v>2030</v>
      </c>
      <c r="C293">
        <v>0</v>
      </c>
    </row>
    <row r="294" spans="1:3">
      <c r="A294" t="s">
        <v>201</v>
      </c>
      <c r="B294">
        <v>2030</v>
      </c>
      <c r="C294">
        <v>0</v>
      </c>
    </row>
    <row r="295" spans="1:3">
      <c r="A295" t="s">
        <v>187</v>
      </c>
      <c r="B295">
        <v>2030</v>
      </c>
      <c r="C295">
        <v>0</v>
      </c>
    </row>
    <row r="296" spans="1:3">
      <c r="A296" t="s">
        <v>214</v>
      </c>
      <c r="B296">
        <v>2030</v>
      </c>
      <c r="C296">
        <v>0</v>
      </c>
    </row>
    <row r="297" spans="1:3">
      <c r="A297" t="s">
        <v>205</v>
      </c>
      <c r="B297">
        <v>2030</v>
      </c>
      <c r="C297">
        <v>0</v>
      </c>
    </row>
    <row r="298" spans="1:3">
      <c r="A298" t="s">
        <v>253</v>
      </c>
      <c r="B298">
        <v>2030</v>
      </c>
      <c r="C298">
        <v>0</v>
      </c>
    </row>
    <row r="299" spans="1:3">
      <c r="A299" t="s">
        <v>188</v>
      </c>
      <c r="B299">
        <v>2030</v>
      </c>
      <c r="C299">
        <v>0</v>
      </c>
    </row>
    <row r="300" spans="1:3">
      <c r="A300" t="s">
        <v>189</v>
      </c>
      <c r="B300">
        <v>2030</v>
      </c>
      <c r="C300">
        <v>0</v>
      </c>
    </row>
    <row r="301" spans="1:3">
      <c r="A301" t="s">
        <v>209</v>
      </c>
      <c r="B301">
        <v>2030</v>
      </c>
      <c r="C301">
        <v>0</v>
      </c>
    </row>
    <row r="302" spans="1:3">
      <c r="A302" t="s">
        <v>211</v>
      </c>
      <c r="B302">
        <v>2030</v>
      </c>
      <c r="C302">
        <v>0</v>
      </c>
    </row>
    <row r="303" spans="1:3">
      <c r="A303" t="s">
        <v>244</v>
      </c>
      <c r="B303">
        <v>2030</v>
      </c>
      <c r="C303">
        <v>0</v>
      </c>
    </row>
    <row r="304" spans="1:3">
      <c r="A304" t="s">
        <v>210</v>
      </c>
      <c r="B304">
        <v>2030</v>
      </c>
      <c r="C304">
        <v>0</v>
      </c>
    </row>
    <row r="305" spans="1:3">
      <c r="A305" t="s">
        <v>245</v>
      </c>
      <c r="B305">
        <v>2030</v>
      </c>
      <c r="C305">
        <v>0</v>
      </c>
    </row>
    <row r="306" spans="1:3">
      <c r="A306" t="s">
        <v>212</v>
      </c>
      <c r="B306">
        <v>2030</v>
      </c>
      <c r="C306">
        <v>0</v>
      </c>
    </row>
    <row r="307" spans="1:3">
      <c r="A307" t="s">
        <v>221</v>
      </c>
      <c r="B307">
        <v>2030</v>
      </c>
      <c r="C307">
        <v>0</v>
      </c>
    </row>
    <row r="308" spans="1:3">
      <c r="A308" t="s">
        <v>198</v>
      </c>
      <c r="B308">
        <v>2035</v>
      </c>
      <c r="C308">
        <v>0</v>
      </c>
    </row>
    <row r="309" spans="1:3">
      <c r="A309" t="s">
        <v>218</v>
      </c>
      <c r="B309">
        <v>2035</v>
      </c>
      <c r="C309">
        <v>0</v>
      </c>
    </row>
    <row r="310" spans="1:3">
      <c r="A310" t="s">
        <v>207</v>
      </c>
      <c r="B310">
        <v>2035</v>
      </c>
      <c r="C310">
        <v>0</v>
      </c>
    </row>
    <row r="311" spans="1:3">
      <c r="A311" t="s">
        <v>254</v>
      </c>
      <c r="B311">
        <v>2035</v>
      </c>
      <c r="C311">
        <v>0</v>
      </c>
    </row>
    <row r="312" spans="1:3">
      <c r="A312" t="s">
        <v>200</v>
      </c>
      <c r="B312">
        <v>2035</v>
      </c>
      <c r="C312">
        <v>0</v>
      </c>
    </row>
    <row r="313" spans="1:3">
      <c r="A313" t="s">
        <v>201</v>
      </c>
      <c r="B313">
        <v>2035</v>
      </c>
      <c r="C313">
        <v>0</v>
      </c>
    </row>
    <row r="314" spans="1:3">
      <c r="A314" t="s">
        <v>187</v>
      </c>
      <c r="B314">
        <v>2035</v>
      </c>
      <c r="C314">
        <v>0</v>
      </c>
    </row>
    <row r="315" spans="1:3">
      <c r="A315" t="s">
        <v>214</v>
      </c>
      <c r="B315">
        <v>2035</v>
      </c>
      <c r="C315">
        <v>0</v>
      </c>
    </row>
    <row r="316" spans="1:3">
      <c r="A316" t="s">
        <v>205</v>
      </c>
      <c r="B316">
        <v>2035</v>
      </c>
      <c r="C316">
        <v>0</v>
      </c>
    </row>
    <row r="317" spans="1:3">
      <c r="A317" t="s">
        <v>253</v>
      </c>
      <c r="B317">
        <v>2035</v>
      </c>
      <c r="C317">
        <v>0</v>
      </c>
    </row>
    <row r="318" spans="1:3">
      <c r="A318" t="s">
        <v>188</v>
      </c>
      <c r="B318">
        <v>2035</v>
      </c>
      <c r="C318">
        <v>0</v>
      </c>
    </row>
    <row r="319" spans="1:3">
      <c r="A319" t="s">
        <v>189</v>
      </c>
      <c r="B319">
        <v>2035</v>
      </c>
      <c r="C319">
        <v>0</v>
      </c>
    </row>
    <row r="320" spans="1:3">
      <c r="A320" t="s">
        <v>209</v>
      </c>
      <c r="B320">
        <v>2035</v>
      </c>
      <c r="C320">
        <v>0</v>
      </c>
    </row>
    <row r="321" spans="1:3">
      <c r="A321" t="s">
        <v>211</v>
      </c>
      <c r="B321">
        <v>2035</v>
      </c>
      <c r="C321">
        <v>0</v>
      </c>
    </row>
    <row r="322" spans="1:3">
      <c r="A322" t="s">
        <v>244</v>
      </c>
      <c r="B322">
        <v>2035</v>
      </c>
      <c r="C322">
        <v>0</v>
      </c>
    </row>
    <row r="323" spans="1:3">
      <c r="A323" t="s">
        <v>210</v>
      </c>
      <c r="B323">
        <v>2035</v>
      </c>
      <c r="C323">
        <v>0</v>
      </c>
    </row>
    <row r="324" spans="1:3">
      <c r="A324" t="s">
        <v>245</v>
      </c>
      <c r="B324">
        <v>2035</v>
      </c>
      <c r="C324">
        <v>0</v>
      </c>
    </row>
    <row r="325" spans="1:3">
      <c r="A325" t="s">
        <v>212</v>
      </c>
      <c r="B325">
        <v>2035</v>
      </c>
      <c r="C325">
        <v>0</v>
      </c>
    </row>
    <row r="326" spans="1:3">
      <c r="A326" t="s">
        <v>221</v>
      </c>
      <c r="B326">
        <v>2035</v>
      </c>
      <c r="C326">
        <v>0</v>
      </c>
    </row>
    <row r="327" spans="1:3">
      <c r="A327" t="s">
        <v>198</v>
      </c>
      <c r="B327">
        <v>2040</v>
      </c>
      <c r="C327">
        <v>0</v>
      </c>
    </row>
    <row r="328" spans="1:3">
      <c r="A328" t="s">
        <v>218</v>
      </c>
      <c r="B328">
        <v>2040</v>
      </c>
      <c r="C328">
        <v>0</v>
      </c>
    </row>
    <row r="329" spans="1:3">
      <c r="A329" t="s">
        <v>207</v>
      </c>
      <c r="B329">
        <v>2040</v>
      </c>
      <c r="C329">
        <v>0</v>
      </c>
    </row>
    <row r="330" spans="1:3">
      <c r="A330" t="s">
        <v>254</v>
      </c>
      <c r="B330">
        <v>2040</v>
      </c>
      <c r="C330">
        <v>0</v>
      </c>
    </row>
    <row r="331" spans="1:3">
      <c r="A331" t="s">
        <v>200</v>
      </c>
      <c r="B331">
        <v>2040</v>
      </c>
      <c r="C331">
        <v>0</v>
      </c>
    </row>
    <row r="332" spans="1:3">
      <c r="A332" t="s">
        <v>201</v>
      </c>
      <c r="B332">
        <v>2040</v>
      </c>
      <c r="C332">
        <v>0</v>
      </c>
    </row>
    <row r="333" spans="1:3">
      <c r="A333" t="s">
        <v>187</v>
      </c>
      <c r="B333">
        <v>2040</v>
      </c>
      <c r="C333">
        <v>0</v>
      </c>
    </row>
    <row r="334" spans="1:3">
      <c r="A334" t="s">
        <v>214</v>
      </c>
      <c r="B334">
        <v>2040</v>
      </c>
      <c r="C334">
        <v>0</v>
      </c>
    </row>
    <row r="335" spans="1:3">
      <c r="A335" t="s">
        <v>205</v>
      </c>
      <c r="B335">
        <v>2040</v>
      </c>
      <c r="C335">
        <v>0</v>
      </c>
    </row>
    <row r="336" spans="1:3">
      <c r="A336" t="s">
        <v>253</v>
      </c>
      <c r="B336">
        <v>2040</v>
      </c>
      <c r="C336">
        <v>0</v>
      </c>
    </row>
    <row r="337" spans="1:3">
      <c r="A337" t="s">
        <v>188</v>
      </c>
      <c r="B337">
        <v>2040</v>
      </c>
      <c r="C337">
        <v>0</v>
      </c>
    </row>
    <row r="338" spans="1:3">
      <c r="A338" t="s">
        <v>189</v>
      </c>
      <c r="B338">
        <v>2040</v>
      </c>
      <c r="C338">
        <v>0</v>
      </c>
    </row>
    <row r="339" spans="1:3">
      <c r="A339" t="s">
        <v>209</v>
      </c>
      <c r="B339">
        <v>2040</v>
      </c>
      <c r="C339">
        <v>0</v>
      </c>
    </row>
    <row r="340" spans="1:3">
      <c r="A340" t="s">
        <v>211</v>
      </c>
      <c r="B340">
        <v>2040</v>
      </c>
      <c r="C340">
        <v>0</v>
      </c>
    </row>
    <row r="341" spans="1:3">
      <c r="A341" t="s">
        <v>244</v>
      </c>
      <c r="B341">
        <v>2040</v>
      </c>
      <c r="C341">
        <v>0</v>
      </c>
    </row>
    <row r="342" spans="1:3">
      <c r="A342" t="s">
        <v>210</v>
      </c>
      <c r="B342">
        <v>2040</v>
      </c>
      <c r="C342">
        <v>0</v>
      </c>
    </row>
    <row r="343" spans="1:3">
      <c r="A343" t="s">
        <v>245</v>
      </c>
      <c r="B343">
        <v>2040</v>
      </c>
      <c r="C343">
        <v>0</v>
      </c>
    </row>
    <row r="344" spans="1:3">
      <c r="A344" t="s">
        <v>212</v>
      </c>
      <c r="B344">
        <v>2040</v>
      </c>
      <c r="C344">
        <v>0</v>
      </c>
    </row>
    <row r="345" spans="1:3">
      <c r="A345" t="s">
        <v>221</v>
      </c>
      <c r="B345">
        <v>2040</v>
      </c>
      <c r="C345">
        <v>0</v>
      </c>
    </row>
    <row r="346" spans="1:3">
      <c r="A346" t="s">
        <v>198</v>
      </c>
      <c r="B346">
        <v>2045</v>
      </c>
      <c r="C346">
        <v>0</v>
      </c>
    </row>
    <row r="347" spans="1:3">
      <c r="A347" t="s">
        <v>218</v>
      </c>
      <c r="B347">
        <v>2045</v>
      </c>
      <c r="C347">
        <v>0</v>
      </c>
    </row>
    <row r="348" spans="1:3">
      <c r="A348" t="s">
        <v>207</v>
      </c>
      <c r="B348">
        <v>2045</v>
      </c>
      <c r="C348">
        <v>0</v>
      </c>
    </row>
    <row r="349" spans="1:3">
      <c r="A349" t="s">
        <v>254</v>
      </c>
      <c r="B349">
        <v>2045</v>
      </c>
      <c r="C349">
        <v>0</v>
      </c>
    </row>
    <row r="350" spans="1:3">
      <c r="A350" t="s">
        <v>200</v>
      </c>
      <c r="B350">
        <v>2045</v>
      </c>
      <c r="C350">
        <v>0</v>
      </c>
    </row>
    <row r="351" spans="1:3">
      <c r="A351" t="s">
        <v>201</v>
      </c>
      <c r="B351">
        <v>2045</v>
      </c>
      <c r="C351">
        <v>0</v>
      </c>
    </row>
    <row r="352" spans="1:3">
      <c r="A352" t="s">
        <v>187</v>
      </c>
      <c r="B352">
        <v>2045</v>
      </c>
      <c r="C352">
        <v>0</v>
      </c>
    </row>
    <row r="353" spans="1:3">
      <c r="A353" t="s">
        <v>214</v>
      </c>
      <c r="B353">
        <v>2045</v>
      </c>
      <c r="C353">
        <v>0</v>
      </c>
    </row>
    <row r="354" spans="1:3">
      <c r="A354" t="s">
        <v>205</v>
      </c>
      <c r="B354">
        <v>2045</v>
      </c>
      <c r="C354">
        <v>0</v>
      </c>
    </row>
    <row r="355" spans="1:3">
      <c r="A355" t="s">
        <v>253</v>
      </c>
      <c r="B355">
        <v>2045</v>
      </c>
      <c r="C355">
        <v>0</v>
      </c>
    </row>
    <row r="356" spans="1:3">
      <c r="A356" t="s">
        <v>188</v>
      </c>
      <c r="B356">
        <v>2045</v>
      </c>
      <c r="C356">
        <v>0</v>
      </c>
    </row>
    <row r="357" spans="1:3">
      <c r="A357" t="s">
        <v>189</v>
      </c>
      <c r="B357">
        <v>2045</v>
      </c>
      <c r="C357">
        <v>0</v>
      </c>
    </row>
    <row r="358" spans="1:3">
      <c r="A358" t="s">
        <v>209</v>
      </c>
      <c r="B358">
        <v>2045</v>
      </c>
      <c r="C358">
        <v>0</v>
      </c>
    </row>
    <row r="359" spans="1:3">
      <c r="A359" t="s">
        <v>211</v>
      </c>
      <c r="B359">
        <v>2045</v>
      </c>
      <c r="C359">
        <v>0</v>
      </c>
    </row>
    <row r="360" spans="1:3">
      <c r="A360" t="s">
        <v>244</v>
      </c>
      <c r="B360">
        <v>2045</v>
      </c>
      <c r="C360">
        <v>0</v>
      </c>
    </row>
    <row r="361" spans="1:3">
      <c r="A361" t="s">
        <v>210</v>
      </c>
      <c r="B361">
        <v>2045</v>
      </c>
      <c r="C361">
        <v>0</v>
      </c>
    </row>
    <row r="362" spans="1:3">
      <c r="A362" t="s">
        <v>245</v>
      </c>
      <c r="B362">
        <v>2045</v>
      </c>
      <c r="C362">
        <v>0</v>
      </c>
    </row>
    <row r="363" spans="1:3">
      <c r="A363" t="s">
        <v>212</v>
      </c>
      <c r="B363">
        <v>2045</v>
      </c>
      <c r="C363">
        <v>0</v>
      </c>
    </row>
    <row r="364" spans="1:3">
      <c r="A364" t="s">
        <v>221</v>
      </c>
      <c r="B364">
        <v>2045</v>
      </c>
      <c r="C364">
        <v>0</v>
      </c>
    </row>
    <row r="365" spans="1:3">
      <c r="A365" t="s">
        <v>198</v>
      </c>
      <c r="B365">
        <v>2050</v>
      </c>
      <c r="C365">
        <v>0</v>
      </c>
    </row>
    <row r="366" spans="1:3">
      <c r="A366" t="s">
        <v>218</v>
      </c>
      <c r="B366">
        <v>2050</v>
      </c>
      <c r="C366">
        <v>0</v>
      </c>
    </row>
    <row r="367" spans="1:3">
      <c r="A367" t="s">
        <v>207</v>
      </c>
      <c r="B367">
        <v>2050</v>
      </c>
      <c r="C367">
        <v>0</v>
      </c>
    </row>
    <row r="368" spans="1:3">
      <c r="A368" t="s">
        <v>254</v>
      </c>
      <c r="B368">
        <v>2050</v>
      </c>
      <c r="C368">
        <v>0</v>
      </c>
    </row>
    <row r="369" spans="1:3">
      <c r="A369" t="s">
        <v>200</v>
      </c>
      <c r="B369">
        <v>2050</v>
      </c>
      <c r="C369">
        <v>0</v>
      </c>
    </row>
    <row r="370" spans="1:3">
      <c r="A370" t="s">
        <v>201</v>
      </c>
      <c r="B370">
        <v>2050</v>
      </c>
      <c r="C370">
        <v>0</v>
      </c>
    </row>
    <row r="371" spans="1:3">
      <c r="A371" t="s">
        <v>187</v>
      </c>
      <c r="B371">
        <v>2050</v>
      </c>
      <c r="C371">
        <v>0</v>
      </c>
    </row>
    <row r="372" spans="1:3">
      <c r="A372" t="s">
        <v>214</v>
      </c>
      <c r="B372">
        <v>2050</v>
      </c>
      <c r="C372">
        <v>0</v>
      </c>
    </row>
    <row r="373" spans="1:3">
      <c r="A373" t="s">
        <v>205</v>
      </c>
      <c r="B373">
        <v>2050</v>
      </c>
      <c r="C373">
        <v>0</v>
      </c>
    </row>
    <row r="374" spans="1:3">
      <c r="A374" t="s">
        <v>253</v>
      </c>
      <c r="B374">
        <v>2050</v>
      </c>
      <c r="C374">
        <v>0</v>
      </c>
    </row>
    <row r="375" spans="1:3">
      <c r="A375" t="s">
        <v>188</v>
      </c>
      <c r="B375">
        <v>2050</v>
      </c>
      <c r="C375">
        <v>0</v>
      </c>
    </row>
    <row r="376" spans="1:3">
      <c r="A376" t="s">
        <v>189</v>
      </c>
      <c r="B376">
        <v>2050</v>
      </c>
      <c r="C376">
        <v>0</v>
      </c>
    </row>
    <row r="377" spans="1:3">
      <c r="A377" t="s">
        <v>209</v>
      </c>
      <c r="B377">
        <v>2050</v>
      </c>
      <c r="C377">
        <v>0</v>
      </c>
    </row>
    <row r="378" spans="1:3">
      <c r="A378" t="s">
        <v>211</v>
      </c>
      <c r="B378">
        <v>2050</v>
      </c>
      <c r="C378">
        <v>0</v>
      </c>
    </row>
    <row r="379" spans="1:3">
      <c r="A379" t="s">
        <v>244</v>
      </c>
      <c r="B379">
        <v>2050</v>
      </c>
      <c r="C379">
        <v>0</v>
      </c>
    </row>
    <row r="380" spans="1:3">
      <c r="A380" t="s">
        <v>210</v>
      </c>
      <c r="B380">
        <v>2050</v>
      </c>
      <c r="C380">
        <v>0</v>
      </c>
    </row>
    <row r="381" spans="1:3">
      <c r="A381" t="s">
        <v>245</v>
      </c>
      <c r="B381">
        <v>2050</v>
      </c>
      <c r="C381">
        <v>0</v>
      </c>
    </row>
    <row r="382" spans="1:3">
      <c r="A382" t="s">
        <v>212</v>
      </c>
      <c r="B382">
        <v>2050</v>
      </c>
      <c r="C382">
        <v>0</v>
      </c>
    </row>
    <row r="383" spans="1:3">
      <c r="A383" t="s">
        <v>221</v>
      </c>
      <c r="B383">
        <v>2050</v>
      </c>
      <c r="C383">
        <v>0</v>
      </c>
    </row>
  </sheetData>
  <autoFilter ref="A5:C250" xr:uid="{2D5027ED-1D2B-4C4C-981A-F1291357362C}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A64E-0DA8-4301-9816-D665F18E7362}">
  <dimension ref="A1:C383"/>
  <sheetViews>
    <sheetView topLeftCell="A237" workbookViewId="0">
      <selection activeCell="A251" sqref="A251:C383"/>
    </sheetView>
  </sheetViews>
  <sheetFormatPr defaultRowHeight="15"/>
  <cols>
    <col min="1" max="1" width="36.7109375" bestFit="1" customWidth="1"/>
    <col min="4" max="4" width="26.7109375" bestFit="1" customWidth="1"/>
  </cols>
  <sheetData>
    <row r="1" spans="1:3">
      <c r="A1" t="s">
        <v>478</v>
      </c>
    </row>
    <row r="2" spans="1:3">
      <c r="A2" t="s">
        <v>471</v>
      </c>
    </row>
    <row r="3" spans="1:3">
      <c r="A3" t="s">
        <v>470</v>
      </c>
    </row>
    <row r="5" spans="1:3">
      <c r="A5" t="s">
        <v>17</v>
      </c>
      <c r="B5" t="s">
        <v>18</v>
      </c>
      <c r="C5" t="s">
        <v>26</v>
      </c>
    </row>
    <row r="6" spans="1:3">
      <c r="A6" t="s">
        <v>416</v>
      </c>
      <c r="B6">
        <v>2018</v>
      </c>
      <c r="C6">
        <v>0.04</v>
      </c>
    </row>
    <row r="7" spans="1:3">
      <c r="A7" t="s">
        <v>416</v>
      </c>
      <c r="B7">
        <v>2025</v>
      </c>
      <c r="C7">
        <v>0.04</v>
      </c>
    </row>
    <row r="8" spans="1:3">
      <c r="A8" t="s">
        <v>416</v>
      </c>
      <c r="B8">
        <v>2030</v>
      </c>
      <c r="C8">
        <v>0.04</v>
      </c>
    </row>
    <row r="9" spans="1:3">
      <c r="A9" t="s">
        <v>416</v>
      </c>
      <c r="B9">
        <v>2035</v>
      </c>
      <c r="C9">
        <v>0.04</v>
      </c>
    </row>
    <row r="10" spans="1:3">
      <c r="A10" t="s">
        <v>416</v>
      </c>
      <c r="B10">
        <v>2040</v>
      </c>
      <c r="C10">
        <v>0.04</v>
      </c>
    </row>
    <row r="11" spans="1:3">
      <c r="A11" t="s">
        <v>416</v>
      </c>
      <c r="B11">
        <v>2045</v>
      </c>
      <c r="C11">
        <v>0.04</v>
      </c>
    </row>
    <row r="12" spans="1:3">
      <c r="A12" t="s">
        <v>416</v>
      </c>
      <c r="B12">
        <v>2050</v>
      </c>
      <c r="C12">
        <v>0.04</v>
      </c>
    </row>
    <row r="13" spans="1:3">
      <c r="A13" t="s">
        <v>417</v>
      </c>
      <c r="B13">
        <v>2018</v>
      </c>
      <c r="C13">
        <v>0.04</v>
      </c>
    </row>
    <row r="14" spans="1:3">
      <c r="A14" t="s">
        <v>417</v>
      </c>
      <c r="B14">
        <v>2025</v>
      </c>
      <c r="C14">
        <v>0.04</v>
      </c>
    </row>
    <row r="15" spans="1:3">
      <c r="A15" t="s">
        <v>417</v>
      </c>
      <c r="B15">
        <v>2030</v>
      </c>
      <c r="C15">
        <v>0.04</v>
      </c>
    </row>
    <row r="16" spans="1:3">
      <c r="A16" t="s">
        <v>417</v>
      </c>
      <c r="B16">
        <v>2035</v>
      </c>
      <c r="C16">
        <v>0.04</v>
      </c>
    </row>
    <row r="17" spans="1:3">
      <c r="A17" t="s">
        <v>417</v>
      </c>
      <c r="B17">
        <v>2040</v>
      </c>
      <c r="C17">
        <v>0.04</v>
      </c>
    </row>
    <row r="18" spans="1:3">
      <c r="A18" t="s">
        <v>417</v>
      </c>
      <c r="B18">
        <v>2045</v>
      </c>
      <c r="C18">
        <v>0.04</v>
      </c>
    </row>
    <row r="19" spans="1:3">
      <c r="A19" t="s">
        <v>417</v>
      </c>
      <c r="B19">
        <v>2050</v>
      </c>
      <c r="C19">
        <v>0.04</v>
      </c>
    </row>
    <row r="20" spans="1:3">
      <c r="A20" t="s">
        <v>95</v>
      </c>
      <c r="B20">
        <v>2018</v>
      </c>
      <c r="C20">
        <v>0.02</v>
      </c>
    </row>
    <row r="21" spans="1:3">
      <c r="A21" t="s">
        <v>95</v>
      </c>
      <c r="B21">
        <v>2025</v>
      </c>
      <c r="C21">
        <v>0.02</v>
      </c>
    </row>
    <row r="22" spans="1:3">
      <c r="A22" t="s">
        <v>95</v>
      </c>
      <c r="B22">
        <v>2030</v>
      </c>
      <c r="C22">
        <v>0.02</v>
      </c>
    </row>
    <row r="23" spans="1:3">
      <c r="A23" t="s">
        <v>95</v>
      </c>
      <c r="B23">
        <v>2035</v>
      </c>
      <c r="C23">
        <v>0.02</v>
      </c>
    </row>
    <row r="24" spans="1:3">
      <c r="A24" t="s">
        <v>95</v>
      </c>
      <c r="B24">
        <v>2040</v>
      </c>
      <c r="C24">
        <v>0.02</v>
      </c>
    </row>
    <row r="25" spans="1:3">
      <c r="A25" t="s">
        <v>95</v>
      </c>
      <c r="B25">
        <v>2045</v>
      </c>
      <c r="C25">
        <v>0.02</v>
      </c>
    </row>
    <row r="26" spans="1:3">
      <c r="A26" t="s">
        <v>95</v>
      </c>
      <c r="B26">
        <v>2050</v>
      </c>
      <c r="C26">
        <v>0.02</v>
      </c>
    </row>
    <row r="27" spans="1:3">
      <c r="A27" t="s">
        <v>418</v>
      </c>
      <c r="B27">
        <v>2018</v>
      </c>
      <c r="C27">
        <v>0.02</v>
      </c>
    </row>
    <row r="28" spans="1:3">
      <c r="A28" t="s">
        <v>418</v>
      </c>
      <c r="B28">
        <v>2025</v>
      </c>
      <c r="C28">
        <v>0.02</v>
      </c>
    </row>
    <row r="29" spans="1:3">
      <c r="A29" t="s">
        <v>418</v>
      </c>
      <c r="B29">
        <v>2030</v>
      </c>
      <c r="C29">
        <v>0.02</v>
      </c>
    </row>
    <row r="30" spans="1:3">
      <c r="A30" t="s">
        <v>418</v>
      </c>
      <c r="B30">
        <v>2035</v>
      </c>
      <c r="C30">
        <v>0.02</v>
      </c>
    </row>
    <row r="31" spans="1:3">
      <c r="A31" t="s">
        <v>418</v>
      </c>
      <c r="B31">
        <v>2040</v>
      </c>
      <c r="C31">
        <v>0.02</v>
      </c>
    </row>
    <row r="32" spans="1:3">
      <c r="A32" s="55" t="s">
        <v>418</v>
      </c>
      <c r="B32">
        <v>2045</v>
      </c>
      <c r="C32">
        <v>0.02</v>
      </c>
    </row>
    <row r="33" spans="1:3">
      <c r="A33" s="55" t="s">
        <v>418</v>
      </c>
      <c r="B33">
        <v>2050</v>
      </c>
      <c r="C33">
        <v>0.02</v>
      </c>
    </row>
    <row r="34" spans="1:3">
      <c r="A34" s="55" t="s">
        <v>96</v>
      </c>
      <c r="B34">
        <v>2018</v>
      </c>
      <c r="C34">
        <v>0.02</v>
      </c>
    </row>
    <row r="35" spans="1:3">
      <c r="A35" s="55" t="s">
        <v>96</v>
      </c>
      <c r="B35">
        <v>2025</v>
      </c>
      <c r="C35">
        <v>0.02</v>
      </c>
    </row>
    <row r="36" spans="1:3">
      <c r="A36" t="s">
        <v>96</v>
      </c>
      <c r="B36">
        <v>2030</v>
      </c>
      <c r="C36">
        <v>0.02</v>
      </c>
    </row>
    <row r="37" spans="1:3">
      <c r="A37" t="s">
        <v>96</v>
      </c>
      <c r="B37">
        <v>2035</v>
      </c>
      <c r="C37">
        <v>0.02</v>
      </c>
    </row>
    <row r="38" spans="1:3">
      <c r="A38" t="s">
        <v>96</v>
      </c>
      <c r="B38">
        <v>2040</v>
      </c>
      <c r="C38">
        <v>0.02</v>
      </c>
    </row>
    <row r="39" spans="1:3">
      <c r="A39" t="s">
        <v>96</v>
      </c>
      <c r="B39">
        <v>2045</v>
      </c>
      <c r="C39">
        <v>0.02</v>
      </c>
    </row>
    <row r="40" spans="1:3">
      <c r="A40" t="s">
        <v>96</v>
      </c>
      <c r="B40">
        <v>2050</v>
      </c>
      <c r="C40">
        <v>0.02</v>
      </c>
    </row>
    <row r="41" spans="1:3">
      <c r="A41" t="s">
        <v>419</v>
      </c>
      <c r="B41">
        <v>2018</v>
      </c>
      <c r="C41">
        <v>0.02</v>
      </c>
    </row>
    <row r="42" spans="1:3">
      <c r="A42" t="s">
        <v>419</v>
      </c>
      <c r="B42">
        <v>2025</v>
      </c>
      <c r="C42">
        <v>0.02</v>
      </c>
    </row>
    <row r="43" spans="1:3">
      <c r="A43" t="s">
        <v>419</v>
      </c>
      <c r="B43">
        <v>2030</v>
      </c>
      <c r="C43">
        <v>0.02</v>
      </c>
    </row>
    <row r="44" spans="1:3">
      <c r="A44" t="s">
        <v>419</v>
      </c>
      <c r="B44">
        <v>2035</v>
      </c>
      <c r="C44">
        <v>0.02</v>
      </c>
    </row>
    <row r="45" spans="1:3">
      <c r="A45" t="s">
        <v>419</v>
      </c>
      <c r="B45">
        <v>2040</v>
      </c>
      <c r="C45">
        <v>0.02</v>
      </c>
    </row>
    <row r="46" spans="1:3">
      <c r="A46" t="s">
        <v>419</v>
      </c>
      <c r="B46">
        <v>2045</v>
      </c>
      <c r="C46">
        <v>0.02</v>
      </c>
    </row>
    <row r="47" spans="1:3">
      <c r="A47" t="s">
        <v>419</v>
      </c>
      <c r="B47">
        <v>2050</v>
      </c>
      <c r="C47">
        <v>0.02</v>
      </c>
    </row>
    <row r="48" spans="1:3">
      <c r="A48" t="s">
        <v>420</v>
      </c>
      <c r="B48">
        <v>2018</v>
      </c>
      <c r="C48">
        <v>0.2</v>
      </c>
    </row>
    <row r="49" spans="1:3">
      <c r="A49" t="s">
        <v>420</v>
      </c>
      <c r="B49">
        <v>2025</v>
      </c>
      <c r="C49">
        <v>0.2</v>
      </c>
    </row>
    <row r="50" spans="1:3">
      <c r="A50" t="s">
        <v>420</v>
      </c>
      <c r="B50">
        <v>2030</v>
      </c>
      <c r="C50">
        <v>0.2</v>
      </c>
    </row>
    <row r="51" spans="1:3">
      <c r="A51" t="s">
        <v>420</v>
      </c>
      <c r="B51">
        <v>2035</v>
      </c>
      <c r="C51">
        <v>0.2</v>
      </c>
    </row>
    <row r="52" spans="1:3">
      <c r="A52" t="s">
        <v>420</v>
      </c>
      <c r="B52">
        <v>2040</v>
      </c>
      <c r="C52">
        <v>0.2</v>
      </c>
    </row>
    <row r="53" spans="1:3">
      <c r="A53" t="s">
        <v>420</v>
      </c>
      <c r="B53">
        <v>2045</v>
      </c>
      <c r="C53">
        <v>0.2</v>
      </c>
    </row>
    <row r="54" spans="1:3">
      <c r="A54" t="s">
        <v>420</v>
      </c>
      <c r="B54">
        <v>2050</v>
      </c>
      <c r="C54">
        <v>0.2</v>
      </c>
    </row>
    <row r="55" spans="1:3">
      <c r="A55" t="s">
        <v>421</v>
      </c>
      <c r="B55">
        <v>2018</v>
      </c>
      <c r="C55">
        <v>0.2</v>
      </c>
    </row>
    <row r="56" spans="1:3">
      <c r="A56" t="s">
        <v>421</v>
      </c>
      <c r="B56">
        <v>2025</v>
      </c>
      <c r="C56">
        <v>0.2</v>
      </c>
    </row>
    <row r="57" spans="1:3">
      <c r="A57" t="s">
        <v>421</v>
      </c>
      <c r="B57">
        <v>2030</v>
      </c>
      <c r="C57">
        <v>0.2</v>
      </c>
    </row>
    <row r="58" spans="1:3">
      <c r="A58" t="s">
        <v>421</v>
      </c>
      <c r="B58">
        <v>2035</v>
      </c>
      <c r="C58">
        <v>0.2</v>
      </c>
    </row>
    <row r="59" spans="1:3">
      <c r="A59" t="s">
        <v>421</v>
      </c>
      <c r="B59">
        <v>2040</v>
      </c>
      <c r="C59">
        <v>0.2</v>
      </c>
    </row>
    <row r="60" spans="1:3">
      <c r="A60" t="s">
        <v>421</v>
      </c>
      <c r="B60">
        <v>2045</v>
      </c>
      <c r="C60">
        <v>0.2</v>
      </c>
    </row>
    <row r="61" spans="1:3">
      <c r="A61" t="s">
        <v>421</v>
      </c>
      <c r="B61">
        <v>2050</v>
      </c>
      <c r="C61">
        <v>0.2</v>
      </c>
    </row>
    <row r="62" spans="1:3">
      <c r="A62" t="s">
        <v>422</v>
      </c>
      <c r="B62">
        <v>2018</v>
      </c>
      <c r="C62">
        <v>0.2</v>
      </c>
    </row>
    <row r="63" spans="1:3">
      <c r="A63" t="s">
        <v>422</v>
      </c>
      <c r="B63">
        <v>2025</v>
      </c>
      <c r="C63">
        <v>0.2</v>
      </c>
    </row>
    <row r="64" spans="1:3">
      <c r="A64" t="s">
        <v>422</v>
      </c>
      <c r="B64">
        <v>2030</v>
      </c>
      <c r="C64">
        <v>0.2</v>
      </c>
    </row>
    <row r="65" spans="1:3">
      <c r="A65" t="s">
        <v>422</v>
      </c>
      <c r="B65">
        <v>2035</v>
      </c>
      <c r="C65">
        <v>0.2</v>
      </c>
    </row>
    <row r="66" spans="1:3">
      <c r="A66" t="s">
        <v>422</v>
      </c>
      <c r="B66">
        <v>2040</v>
      </c>
      <c r="C66">
        <v>0.2</v>
      </c>
    </row>
    <row r="67" spans="1:3">
      <c r="A67" t="s">
        <v>422</v>
      </c>
      <c r="B67">
        <v>2045</v>
      </c>
      <c r="C67">
        <v>0.2</v>
      </c>
    </row>
    <row r="68" spans="1:3">
      <c r="A68" t="s">
        <v>422</v>
      </c>
      <c r="B68">
        <v>2050</v>
      </c>
      <c r="C68">
        <v>0.2</v>
      </c>
    </row>
    <row r="69" spans="1:3">
      <c r="A69" t="s">
        <v>423</v>
      </c>
      <c r="B69">
        <v>2018</v>
      </c>
      <c r="C69">
        <v>0.2</v>
      </c>
    </row>
    <row r="70" spans="1:3">
      <c r="A70" t="s">
        <v>423</v>
      </c>
      <c r="B70">
        <v>2025</v>
      </c>
      <c r="C70">
        <v>0.2</v>
      </c>
    </row>
    <row r="71" spans="1:3">
      <c r="A71" t="s">
        <v>423</v>
      </c>
      <c r="B71">
        <v>2030</v>
      </c>
      <c r="C71">
        <v>0.2</v>
      </c>
    </row>
    <row r="72" spans="1:3">
      <c r="A72" t="s">
        <v>423</v>
      </c>
      <c r="B72">
        <v>2035</v>
      </c>
      <c r="C72">
        <v>0.2</v>
      </c>
    </row>
    <row r="73" spans="1:3">
      <c r="A73" t="s">
        <v>423</v>
      </c>
      <c r="B73">
        <v>2040</v>
      </c>
      <c r="C73">
        <v>0.2</v>
      </c>
    </row>
    <row r="74" spans="1:3">
      <c r="A74" t="s">
        <v>423</v>
      </c>
      <c r="B74">
        <v>2045</v>
      </c>
      <c r="C74">
        <v>0.2</v>
      </c>
    </row>
    <row r="75" spans="1:3">
      <c r="A75" t="s">
        <v>423</v>
      </c>
      <c r="B75">
        <v>2050</v>
      </c>
      <c r="C75">
        <v>0.2</v>
      </c>
    </row>
    <row r="76" spans="1:3">
      <c r="A76" t="s">
        <v>424</v>
      </c>
      <c r="B76">
        <v>2018</v>
      </c>
      <c r="C76">
        <v>0.2</v>
      </c>
    </row>
    <row r="77" spans="1:3">
      <c r="A77" t="s">
        <v>424</v>
      </c>
      <c r="B77">
        <v>2025</v>
      </c>
      <c r="C77">
        <v>0.2</v>
      </c>
    </row>
    <row r="78" spans="1:3">
      <c r="A78" t="s">
        <v>424</v>
      </c>
      <c r="B78">
        <v>2030</v>
      </c>
      <c r="C78">
        <v>0.2</v>
      </c>
    </row>
    <row r="79" spans="1:3">
      <c r="A79" t="s">
        <v>424</v>
      </c>
      <c r="B79">
        <v>2035</v>
      </c>
      <c r="C79">
        <v>0.2</v>
      </c>
    </row>
    <row r="80" spans="1:3">
      <c r="A80" t="s">
        <v>424</v>
      </c>
      <c r="B80">
        <v>2040</v>
      </c>
      <c r="C80">
        <v>0.2</v>
      </c>
    </row>
    <row r="81" spans="1:3">
      <c r="A81" t="s">
        <v>424</v>
      </c>
      <c r="B81">
        <v>2045</v>
      </c>
      <c r="C81">
        <v>0.2</v>
      </c>
    </row>
    <row r="82" spans="1:3">
      <c r="A82" t="s">
        <v>424</v>
      </c>
      <c r="B82">
        <v>2050</v>
      </c>
      <c r="C82">
        <v>0.2</v>
      </c>
    </row>
    <row r="83" spans="1:3">
      <c r="A83" t="s">
        <v>426</v>
      </c>
      <c r="B83">
        <v>2018</v>
      </c>
      <c r="C83">
        <v>0.04</v>
      </c>
    </row>
    <row r="84" spans="1:3">
      <c r="A84" t="s">
        <v>426</v>
      </c>
      <c r="B84">
        <v>2025</v>
      </c>
      <c r="C84">
        <v>0.04</v>
      </c>
    </row>
    <row r="85" spans="1:3">
      <c r="A85" t="s">
        <v>426</v>
      </c>
      <c r="B85">
        <v>2030</v>
      </c>
      <c r="C85">
        <v>0.04</v>
      </c>
    </row>
    <row r="86" spans="1:3">
      <c r="A86" t="s">
        <v>426</v>
      </c>
      <c r="B86">
        <v>2035</v>
      </c>
      <c r="C86">
        <v>0.04</v>
      </c>
    </row>
    <row r="87" spans="1:3">
      <c r="A87" t="s">
        <v>426</v>
      </c>
      <c r="B87">
        <v>2040</v>
      </c>
      <c r="C87">
        <v>0.04</v>
      </c>
    </row>
    <row r="88" spans="1:3">
      <c r="A88" t="s">
        <v>426</v>
      </c>
      <c r="B88">
        <v>2045</v>
      </c>
      <c r="C88">
        <v>0.04</v>
      </c>
    </row>
    <row r="89" spans="1:3">
      <c r="A89" t="s">
        <v>426</v>
      </c>
      <c r="B89">
        <v>2050</v>
      </c>
      <c r="C89">
        <v>0.04</v>
      </c>
    </row>
    <row r="90" spans="1:3">
      <c r="A90" t="s">
        <v>224</v>
      </c>
      <c r="B90">
        <v>2018</v>
      </c>
      <c r="C90">
        <v>0.1</v>
      </c>
    </row>
    <row r="91" spans="1:3">
      <c r="A91" t="s">
        <v>224</v>
      </c>
      <c r="B91">
        <v>2025</v>
      </c>
      <c r="C91">
        <v>0.1</v>
      </c>
    </row>
    <row r="92" spans="1:3">
      <c r="A92" t="s">
        <v>224</v>
      </c>
      <c r="B92">
        <v>2030</v>
      </c>
      <c r="C92">
        <v>0.1</v>
      </c>
    </row>
    <row r="93" spans="1:3">
      <c r="A93" t="s">
        <v>224</v>
      </c>
      <c r="B93">
        <v>2035</v>
      </c>
      <c r="C93">
        <v>0.1</v>
      </c>
    </row>
    <row r="94" spans="1:3">
      <c r="A94" t="s">
        <v>224</v>
      </c>
      <c r="B94">
        <v>2040</v>
      </c>
      <c r="C94">
        <v>0.1</v>
      </c>
    </row>
    <row r="95" spans="1:3">
      <c r="A95" t="s">
        <v>224</v>
      </c>
      <c r="B95">
        <v>2045</v>
      </c>
      <c r="C95">
        <v>0.1</v>
      </c>
    </row>
    <row r="96" spans="1:3">
      <c r="A96" t="s">
        <v>224</v>
      </c>
      <c r="B96">
        <v>2050</v>
      </c>
      <c r="C96">
        <v>0.1</v>
      </c>
    </row>
    <row r="97" spans="1:3">
      <c r="A97" t="s">
        <v>235</v>
      </c>
      <c r="B97">
        <v>2018</v>
      </c>
      <c r="C97">
        <v>0.1</v>
      </c>
    </row>
    <row r="98" spans="1:3">
      <c r="A98" t="s">
        <v>235</v>
      </c>
      <c r="B98">
        <v>2025</v>
      </c>
      <c r="C98">
        <v>0.1</v>
      </c>
    </row>
    <row r="99" spans="1:3">
      <c r="A99" t="s">
        <v>235</v>
      </c>
      <c r="B99">
        <v>2030</v>
      </c>
      <c r="C99">
        <v>0.1</v>
      </c>
    </row>
    <row r="100" spans="1:3">
      <c r="A100" t="s">
        <v>235</v>
      </c>
      <c r="B100">
        <v>2035</v>
      </c>
      <c r="C100">
        <v>0.1</v>
      </c>
    </row>
    <row r="101" spans="1:3">
      <c r="A101" t="s">
        <v>235</v>
      </c>
      <c r="B101">
        <v>2040</v>
      </c>
      <c r="C101">
        <v>0.1</v>
      </c>
    </row>
    <row r="102" spans="1:3">
      <c r="A102" t="s">
        <v>235</v>
      </c>
      <c r="B102">
        <v>2045</v>
      </c>
      <c r="C102">
        <v>0.1</v>
      </c>
    </row>
    <row r="103" spans="1:3">
      <c r="A103" t="s">
        <v>235</v>
      </c>
      <c r="B103">
        <v>2050</v>
      </c>
      <c r="C103">
        <v>0.1</v>
      </c>
    </row>
    <row r="104" spans="1:3">
      <c r="A104" t="s">
        <v>229</v>
      </c>
      <c r="B104">
        <v>2018</v>
      </c>
      <c r="C104">
        <v>0.1</v>
      </c>
    </row>
    <row r="105" spans="1:3">
      <c r="A105" t="s">
        <v>229</v>
      </c>
      <c r="B105">
        <v>2025</v>
      </c>
      <c r="C105">
        <v>0.1</v>
      </c>
    </row>
    <row r="106" spans="1:3">
      <c r="A106" t="s">
        <v>229</v>
      </c>
      <c r="B106">
        <v>2030</v>
      </c>
      <c r="C106">
        <v>0.1</v>
      </c>
    </row>
    <row r="107" spans="1:3">
      <c r="A107" t="s">
        <v>229</v>
      </c>
      <c r="B107">
        <v>2035</v>
      </c>
      <c r="C107">
        <v>0.1</v>
      </c>
    </row>
    <row r="108" spans="1:3">
      <c r="A108" t="s">
        <v>229</v>
      </c>
      <c r="B108">
        <v>2040</v>
      </c>
      <c r="C108">
        <v>0.1</v>
      </c>
    </row>
    <row r="109" spans="1:3">
      <c r="A109" t="s">
        <v>229</v>
      </c>
      <c r="B109">
        <v>2045</v>
      </c>
      <c r="C109">
        <v>0.1</v>
      </c>
    </row>
    <row r="110" spans="1:3">
      <c r="A110" t="s">
        <v>229</v>
      </c>
      <c r="B110">
        <v>2050</v>
      </c>
      <c r="C110">
        <v>0.1</v>
      </c>
    </row>
    <row r="111" spans="1:3">
      <c r="A111" t="s">
        <v>225</v>
      </c>
      <c r="B111">
        <v>2018</v>
      </c>
      <c r="C111">
        <v>0.1</v>
      </c>
    </row>
    <row r="112" spans="1:3">
      <c r="A112" t="s">
        <v>225</v>
      </c>
      <c r="B112">
        <v>2025</v>
      </c>
      <c r="C112">
        <v>0.1</v>
      </c>
    </row>
    <row r="113" spans="1:3">
      <c r="A113" t="s">
        <v>225</v>
      </c>
      <c r="B113">
        <v>2030</v>
      </c>
      <c r="C113">
        <v>0.1</v>
      </c>
    </row>
    <row r="114" spans="1:3">
      <c r="A114" t="s">
        <v>225</v>
      </c>
      <c r="B114">
        <v>2035</v>
      </c>
      <c r="C114">
        <v>0.1</v>
      </c>
    </row>
    <row r="115" spans="1:3">
      <c r="A115" t="s">
        <v>225</v>
      </c>
      <c r="B115">
        <v>2040</v>
      </c>
      <c r="C115">
        <v>0.1</v>
      </c>
    </row>
    <row r="116" spans="1:3">
      <c r="A116" t="s">
        <v>225</v>
      </c>
      <c r="B116">
        <v>2045</v>
      </c>
      <c r="C116">
        <v>0.1</v>
      </c>
    </row>
    <row r="117" spans="1:3">
      <c r="A117" t="s">
        <v>225</v>
      </c>
      <c r="B117">
        <v>2050</v>
      </c>
      <c r="C117">
        <v>0.1</v>
      </c>
    </row>
    <row r="118" spans="1:3">
      <c r="A118" t="s">
        <v>236</v>
      </c>
      <c r="B118">
        <v>2018</v>
      </c>
      <c r="C118">
        <v>0.1</v>
      </c>
    </row>
    <row r="119" spans="1:3">
      <c r="A119" t="s">
        <v>236</v>
      </c>
      <c r="B119">
        <v>2025</v>
      </c>
      <c r="C119">
        <v>0.1</v>
      </c>
    </row>
    <row r="120" spans="1:3">
      <c r="A120" t="s">
        <v>236</v>
      </c>
      <c r="B120">
        <v>2030</v>
      </c>
      <c r="C120">
        <v>0.1</v>
      </c>
    </row>
    <row r="121" spans="1:3">
      <c r="A121" t="s">
        <v>236</v>
      </c>
      <c r="B121">
        <v>2035</v>
      </c>
      <c r="C121">
        <v>0.1</v>
      </c>
    </row>
    <row r="122" spans="1:3">
      <c r="A122" t="s">
        <v>236</v>
      </c>
      <c r="B122">
        <v>2040</v>
      </c>
      <c r="C122">
        <v>0.1</v>
      </c>
    </row>
    <row r="123" spans="1:3">
      <c r="A123" t="s">
        <v>236</v>
      </c>
      <c r="B123">
        <v>2045</v>
      </c>
      <c r="C123">
        <v>0.1</v>
      </c>
    </row>
    <row r="124" spans="1:3">
      <c r="A124" t="s">
        <v>236</v>
      </c>
      <c r="B124">
        <v>2050</v>
      </c>
      <c r="C124">
        <v>0.1</v>
      </c>
    </row>
    <row r="125" spans="1:3">
      <c r="A125" t="s">
        <v>227</v>
      </c>
      <c r="B125">
        <v>2018</v>
      </c>
      <c r="C125">
        <v>0.1</v>
      </c>
    </row>
    <row r="126" spans="1:3">
      <c r="A126" t="s">
        <v>227</v>
      </c>
      <c r="B126">
        <v>2025</v>
      </c>
      <c r="C126">
        <v>0.1</v>
      </c>
    </row>
    <row r="127" spans="1:3">
      <c r="A127" t="s">
        <v>227</v>
      </c>
      <c r="B127">
        <v>2030</v>
      </c>
      <c r="C127">
        <v>0.1</v>
      </c>
    </row>
    <row r="128" spans="1:3">
      <c r="A128" t="s">
        <v>227</v>
      </c>
      <c r="B128">
        <v>2035</v>
      </c>
      <c r="C128">
        <v>0.1</v>
      </c>
    </row>
    <row r="129" spans="1:3">
      <c r="A129" t="s">
        <v>227</v>
      </c>
      <c r="B129">
        <v>2040</v>
      </c>
      <c r="C129">
        <v>0.1</v>
      </c>
    </row>
    <row r="130" spans="1:3">
      <c r="A130" t="s">
        <v>227</v>
      </c>
      <c r="B130">
        <v>2045</v>
      </c>
      <c r="C130">
        <v>0.1</v>
      </c>
    </row>
    <row r="131" spans="1:3">
      <c r="A131" t="s">
        <v>227</v>
      </c>
      <c r="B131">
        <v>2050</v>
      </c>
      <c r="C131">
        <v>0.1</v>
      </c>
    </row>
    <row r="132" spans="1:3">
      <c r="A132" t="s">
        <v>228</v>
      </c>
      <c r="B132">
        <v>2018</v>
      </c>
      <c r="C132">
        <v>0.1</v>
      </c>
    </row>
    <row r="133" spans="1:3">
      <c r="A133" t="s">
        <v>228</v>
      </c>
      <c r="B133">
        <v>2025</v>
      </c>
      <c r="C133">
        <v>0.1</v>
      </c>
    </row>
    <row r="134" spans="1:3">
      <c r="A134" t="s">
        <v>228</v>
      </c>
      <c r="B134">
        <v>2030</v>
      </c>
      <c r="C134">
        <v>0.1</v>
      </c>
    </row>
    <row r="135" spans="1:3">
      <c r="A135" t="s">
        <v>228</v>
      </c>
      <c r="B135">
        <v>2035</v>
      </c>
      <c r="C135">
        <v>0.1</v>
      </c>
    </row>
    <row r="136" spans="1:3">
      <c r="A136" t="s">
        <v>228</v>
      </c>
      <c r="B136">
        <v>2040</v>
      </c>
      <c r="C136">
        <v>0.1</v>
      </c>
    </row>
    <row r="137" spans="1:3">
      <c r="A137" t="s">
        <v>228</v>
      </c>
      <c r="B137">
        <v>2045</v>
      </c>
      <c r="C137">
        <v>0.1</v>
      </c>
    </row>
    <row r="138" spans="1:3">
      <c r="A138" t="s">
        <v>228</v>
      </c>
      <c r="B138">
        <v>2050</v>
      </c>
      <c r="C138">
        <v>0.1</v>
      </c>
    </row>
    <row r="139" spans="1:3">
      <c r="A139" t="s">
        <v>226</v>
      </c>
      <c r="B139">
        <v>2018</v>
      </c>
      <c r="C139">
        <v>0.1</v>
      </c>
    </row>
    <row r="140" spans="1:3">
      <c r="A140" t="s">
        <v>226</v>
      </c>
      <c r="B140">
        <v>2025</v>
      </c>
      <c r="C140">
        <v>0.1</v>
      </c>
    </row>
    <row r="141" spans="1:3">
      <c r="A141" t="s">
        <v>226</v>
      </c>
      <c r="B141">
        <v>2030</v>
      </c>
      <c r="C141">
        <v>0.1</v>
      </c>
    </row>
    <row r="142" spans="1:3">
      <c r="A142" t="s">
        <v>226</v>
      </c>
      <c r="B142">
        <v>2035</v>
      </c>
      <c r="C142">
        <v>0.1</v>
      </c>
    </row>
    <row r="143" spans="1:3">
      <c r="A143" t="s">
        <v>226</v>
      </c>
      <c r="B143">
        <v>2040</v>
      </c>
      <c r="C143">
        <v>0.1</v>
      </c>
    </row>
    <row r="144" spans="1:3">
      <c r="A144" t="s">
        <v>226</v>
      </c>
      <c r="B144">
        <v>2045</v>
      </c>
      <c r="C144">
        <v>0.1</v>
      </c>
    </row>
    <row r="145" spans="1:3">
      <c r="A145" t="s">
        <v>226</v>
      </c>
      <c r="B145">
        <v>2050</v>
      </c>
      <c r="C145">
        <v>0.1</v>
      </c>
    </row>
    <row r="146" spans="1:3">
      <c r="A146" t="s">
        <v>208</v>
      </c>
      <c r="B146">
        <v>2018</v>
      </c>
      <c r="C146">
        <v>0.1</v>
      </c>
    </row>
    <row r="147" spans="1:3">
      <c r="A147" t="s">
        <v>208</v>
      </c>
      <c r="B147">
        <v>2025</v>
      </c>
      <c r="C147">
        <v>0.1</v>
      </c>
    </row>
    <row r="148" spans="1:3">
      <c r="A148" t="s">
        <v>208</v>
      </c>
      <c r="B148">
        <v>2030</v>
      </c>
      <c r="C148">
        <v>0.1</v>
      </c>
    </row>
    <row r="149" spans="1:3">
      <c r="A149" t="s">
        <v>208</v>
      </c>
      <c r="B149">
        <v>2035</v>
      </c>
      <c r="C149">
        <v>0.1</v>
      </c>
    </row>
    <row r="150" spans="1:3">
      <c r="A150" t="s">
        <v>208</v>
      </c>
      <c r="B150">
        <v>2040</v>
      </c>
      <c r="C150">
        <v>0.1</v>
      </c>
    </row>
    <row r="151" spans="1:3">
      <c r="A151" t="s">
        <v>208</v>
      </c>
      <c r="B151">
        <v>2045</v>
      </c>
      <c r="C151">
        <v>0.1</v>
      </c>
    </row>
    <row r="152" spans="1:3">
      <c r="A152" t="s">
        <v>208</v>
      </c>
      <c r="B152">
        <v>2050</v>
      </c>
      <c r="C152">
        <v>0.1</v>
      </c>
    </row>
    <row r="153" spans="1:3">
      <c r="A153" t="s">
        <v>206</v>
      </c>
      <c r="B153">
        <v>2018</v>
      </c>
      <c r="C153">
        <v>0.1</v>
      </c>
    </row>
    <row r="154" spans="1:3">
      <c r="A154" t="s">
        <v>206</v>
      </c>
      <c r="B154">
        <v>2025</v>
      </c>
      <c r="C154">
        <v>0.1</v>
      </c>
    </row>
    <row r="155" spans="1:3">
      <c r="A155" t="s">
        <v>206</v>
      </c>
      <c r="B155">
        <v>2030</v>
      </c>
      <c r="C155">
        <v>0.1</v>
      </c>
    </row>
    <row r="156" spans="1:3">
      <c r="A156" t="s">
        <v>206</v>
      </c>
      <c r="B156">
        <v>2035</v>
      </c>
      <c r="C156">
        <v>0.1</v>
      </c>
    </row>
    <row r="157" spans="1:3">
      <c r="A157" t="s">
        <v>206</v>
      </c>
      <c r="B157">
        <v>2040</v>
      </c>
      <c r="C157">
        <v>0.1</v>
      </c>
    </row>
    <row r="158" spans="1:3">
      <c r="A158" t="s">
        <v>206</v>
      </c>
      <c r="B158">
        <v>2045</v>
      </c>
      <c r="C158">
        <v>0.1</v>
      </c>
    </row>
    <row r="159" spans="1:3">
      <c r="A159" t="s">
        <v>206</v>
      </c>
      <c r="B159">
        <v>2050</v>
      </c>
      <c r="C159">
        <v>0.1</v>
      </c>
    </row>
    <row r="160" spans="1:3">
      <c r="A160" t="s">
        <v>150</v>
      </c>
      <c r="B160">
        <v>2018</v>
      </c>
      <c r="C160">
        <v>0.04</v>
      </c>
    </row>
    <row r="161" spans="1:3">
      <c r="A161" t="s">
        <v>150</v>
      </c>
      <c r="B161">
        <v>2025</v>
      </c>
      <c r="C161">
        <v>0.04</v>
      </c>
    </row>
    <row r="162" spans="1:3">
      <c r="A162" t="s">
        <v>150</v>
      </c>
      <c r="B162">
        <v>2030</v>
      </c>
      <c r="C162">
        <v>0.04</v>
      </c>
    </row>
    <row r="163" spans="1:3">
      <c r="A163" t="s">
        <v>150</v>
      </c>
      <c r="B163">
        <v>2035</v>
      </c>
      <c r="C163">
        <v>0.04</v>
      </c>
    </row>
    <row r="164" spans="1:3">
      <c r="A164" t="s">
        <v>150</v>
      </c>
      <c r="B164">
        <v>2040</v>
      </c>
      <c r="C164">
        <v>0.04</v>
      </c>
    </row>
    <row r="165" spans="1:3">
      <c r="A165" t="s">
        <v>150</v>
      </c>
      <c r="B165">
        <v>2045</v>
      </c>
      <c r="C165">
        <v>0.04</v>
      </c>
    </row>
    <row r="166" spans="1:3">
      <c r="A166" t="s">
        <v>150</v>
      </c>
      <c r="B166">
        <v>2050</v>
      </c>
      <c r="C166">
        <v>0.04</v>
      </c>
    </row>
    <row r="167" spans="1:3">
      <c r="A167" t="s">
        <v>180</v>
      </c>
      <c r="B167">
        <v>2018</v>
      </c>
      <c r="C167">
        <v>0.04</v>
      </c>
    </row>
    <row r="168" spans="1:3">
      <c r="A168" t="s">
        <v>180</v>
      </c>
      <c r="B168">
        <v>2025</v>
      </c>
      <c r="C168">
        <v>0.04</v>
      </c>
    </row>
    <row r="169" spans="1:3">
      <c r="A169" t="s">
        <v>180</v>
      </c>
      <c r="B169">
        <v>2030</v>
      </c>
      <c r="C169">
        <v>0.04</v>
      </c>
    </row>
    <row r="170" spans="1:3">
      <c r="A170" t="s">
        <v>180</v>
      </c>
      <c r="B170">
        <v>2035</v>
      </c>
      <c r="C170">
        <v>0.04</v>
      </c>
    </row>
    <row r="171" spans="1:3">
      <c r="A171" t="s">
        <v>180</v>
      </c>
      <c r="B171">
        <v>2040</v>
      </c>
      <c r="C171">
        <v>0.04</v>
      </c>
    </row>
    <row r="172" spans="1:3">
      <c r="A172" t="s">
        <v>180</v>
      </c>
      <c r="B172">
        <v>2045</v>
      </c>
      <c r="C172">
        <v>0.04</v>
      </c>
    </row>
    <row r="173" spans="1:3">
      <c r="A173" t="s">
        <v>180</v>
      </c>
      <c r="B173">
        <v>2050</v>
      </c>
      <c r="C173">
        <v>0.04</v>
      </c>
    </row>
    <row r="174" spans="1:3">
      <c r="A174" t="s">
        <v>94</v>
      </c>
      <c r="B174">
        <v>2018</v>
      </c>
      <c r="C174">
        <v>0.02</v>
      </c>
    </row>
    <row r="175" spans="1:3">
      <c r="A175" t="s">
        <v>94</v>
      </c>
      <c r="B175">
        <v>2025</v>
      </c>
      <c r="C175">
        <v>0.02</v>
      </c>
    </row>
    <row r="176" spans="1:3">
      <c r="A176" t="s">
        <v>94</v>
      </c>
      <c r="B176">
        <v>2030</v>
      </c>
      <c r="C176">
        <v>0.02</v>
      </c>
    </row>
    <row r="177" spans="1:3">
      <c r="A177" t="s">
        <v>94</v>
      </c>
      <c r="B177">
        <v>2035</v>
      </c>
      <c r="C177">
        <v>0.02</v>
      </c>
    </row>
    <row r="178" spans="1:3">
      <c r="A178" t="s">
        <v>94</v>
      </c>
      <c r="B178">
        <v>2040</v>
      </c>
      <c r="C178">
        <v>0.02</v>
      </c>
    </row>
    <row r="179" spans="1:3">
      <c r="A179" t="s">
        <v>94</v>
      </c>
      <c r="B179">
        <v>2045</v>
      </c>
      <c r="C179">
        <v>0.02</v>
      </c>
    </row>
    <row r="180" spans="1:3">
      <c r="A180" t="s">
        <v>94</v>
      </c>
      <c r="B180">
        <v>2050</v>
      </c>
      <c r="C180">
        <v>0.02</v>
      </c>
    </row>
    <row r="181" spans="1:3">
      <c r="A181" t="s">
        <v>237</v>
      </c>
      <c r="B181">
        <v>2018</v>
      </c>
      <c r="C181">
        <v>0.02</v>
      </c>
    </row>
    <row r="182" spans="1:3">
      <c r="A182" t="s">
        <v>237</v>
      </c>
      <c r="B182">
        <v>2025</v>
      </c>
      <c r="C182">
        <v>0.02</v>
      </c>
    </row>
    <row r="183" spans="1:3">
      <c r="A183" t="s">
        <v>237</v>
      </c>
      <c r="B183">
        <v>2030</v>
      </c>
      <c r="C183">
        <v>0.02</v>
      </c>
    </row>
    <row r="184" spans="1:3">
      <c r="A184" t="s">
        <v>237</v>
      </c>
      <c r="B184">
        <v>2035</v>
      </c>
      <c r="C184">
        <v>0.02</v>
      </c>
    </row>
    <row r="185" spans="1:3">
      <c r="A185" t="s">
        <v>237</v>
      </c>
      <c r="B185">
        <v>2040</v>
      </c>
      <c r="C185">
        <v>0.02</v>
      </c>
    </row>
    <row r="186" spans="1:3">
      <c r="A186" t="s">
        <v>237</v>
      </c>
      <c r="B186">
        <v>2045</v>
      </c>
      <c r="C186">
        <v>0.02</v>
      </c>
    </row>
    <row r="187" spans="1:3">
      <c r="A187" t="s">
        <v>237</v>
      </c>
      <c r="B187">
        <v>2050</v>
      </c>
      <c r="C187">
        <v>0.02</v>
      </c>
    </row>
    <row r="188" spans="1:3">
      <c r="A188" t="s">
        <v>93</v>
      </c>
      <c r="B188">
        <v>2018</v>
      </c>
      <c r="C188">
        <v>0.02</v>
      </c>
    </row>
    <row r="189" spans="1:3">
      <c r="A189" t="s">
        <v>93</v>
      </c>
      <c r="B189">
        <v>2025</v>
      </c>
      <c r="C189">
        <v>0.02</v>
      </c>
    </row>
    <row r="190" spans="1:3">
      <c r="A190" t="s">
        <v>93</v>
      </c>
      <c r="B190">
        <v>2030</v>
      </c>
      <c r="C190">
        <v>0.02</v>
      </c>
    </row>
    <row r="191" spans="1:3">
      <c r="A191" t="s">
        <v>93</v>
      </c>
      <c r="B191">
        <v>2035</v>
      </c>
      <c r="C191">
        <v>0.02</v>
      </c>
    </row>
    <row r="192" spans="1:3">
      <c r="A192" t="s">
        <v>93</v>
      </c>
      <c r="B192">
        <v>2040</v>
      </c>
      <c r="C192">
        <v>0.02</v>
      </c>
    </row>
    <row r="193" spans="1:3">
      <c r="A193" t="s">
        <v>93</v>
      </c>
      <c r="B193">
        <v>2045</v>
      </c>
      <c r="C193">
        <v>0.02</v>
      </c>
    </row>
    <row r="194" spans="1:3">
      <c r="A194" t="s">
        <v>93</v>
      </c>
      <c r="B194">
        <v>2050</v>
      </c>
      <c r="C194">
        <v>0.02</v>
      </c>
    </row>
    <row r="195" spans="1:3">
      <c r="A195" t="s">
        <v>238</v>
      </c>
      <c r="B195">
        <v>2018</v>
      </c>
      <c r="C195">
        <v>0.02</v>
      </c>
    </row>
    <row r="196" spans="1:3">
      <c r="A196" t="s">
        <v>238</v>
      </c>
      <c r="B196">
        <v>2025</v>
      </c>
      <c r="C196">
        <v>0.02</v>
      </c>
    </row>
    <row r="197" spans="1:3">
      <c r="A197" t="s">
        <v>238</v>
      </c>
      <c r="B197">
        <v>2030</v>
      </c>
      <c r="C197">
        <v>0.02</v>
      </c>
    </row>
    <row r="198" spans="1:3">
      <c r="A198" t="s">
        <v>238</v>
      </c>
      <c r="B198">
        <v>2035</v>
      </c>
      <c r="C198">
        <v>0.02</v>
      </c>
    </row>
    <row r="199" spans="1:3">
      <c r="A199" t="s">
        <v>238</v>
      </c>
      <c r="B199">
        <v>2040</v>
      </c>
      <c r="C199">
        <v>0.02</v>
      </c>
    </row>
    <row r="200" spans="1:3">
      <c r="A200" t="s">
        <v>238</v>
      </c>
      <c r="B200">
        <v>2045</v>
      </c>
      <c r="C200">
        <v>0.02</v>
      </c>
    </row>
    <row r="201" spans="1:3">
      <c r="A201" t="s">
        <v>238</v>
      </c>
      <c r="B201">
        <v>2050</v>
      </c>
      <c r="C201">
        <v>0.02</v>
      </c>
    </row>
    <row r="202" spans="1:3">
      <c r="A202" t="s">
        <v>429</v>
      </c>
      <c r="B202">
        <v>2018</v>
      </c>
      <c r="C202">
        <v>0.2</v>
      </c>
    </row>
    <row r="203" spans="1:3">
      <c r="A203" t="s">
        <v>429</v>
      </c>
      <c r="B203">
        <v>2025</v>
      </c>
      <c r="C203">
        <v>0.2</v>
      </c>
    </row>
    <row r="204" spans="1:3">
      <c r="A204" t="s">
        <v>429</v>
      </c>
      <c r="B204">
        <v>2030</v>
      </c>
      <c r="C204">
        <v>0.2</v>
      </c>
    </row>
    <row r="205" spans="1:3">
      <c r="A205" t="s">
        <v>429</v>
      </c>
      <c r="B205">
        <v>2035</v>
      </c>
      <c r="C205">
        <v>0.2</v>
      </c>
    </row>
    <row r="206" spans="1:3">
      <c r="A206" t="s">
        <v>429</v>
      </c>
      <c r="B206">
        <v>2040</v>
      </c>
      <c r="C206">
        <v>0.2</v>
      </c>
    </row>
    <row r="207" spans="1:3">
      <c r="A207" t="s">
        <v>429</v>
      </c>
      <c r="B207">
        <v>2045</v>
      </c>
      <c r="C207">
        <v>0.2</v>
      </c>
    </row>
    <row r="208" spans="1:3">
      <c r="A208" t="s">
        <v>429</v>
      </c>
      <c r="B208">
        <v>2050</v>
      </c>
      <c r="C208">
        <v>0.2</v>
      </c>
    </row>
    <row r="209" spans="1:3">
      <c r="A209" t="s">
        <v>430</v>
      </c>
      <c r="B209">
        <v>2018</v>
      </c>
      <c r="C209">
        <v>0.2</v>
      </c>
    </row>
    <row r="210" spans="1:3">
      <c r="A210" t="s">
        <v>430</v>
      </c>
      <c r="B210">
        <v>2025</v>
      </c>
      <c r="C210">
        <v>0.2</v>
      </c>
    </row>
    <row r="211" spans="1:3">
      <c r="A211" t="s">
        <v>430</v>
      </c>
      <c r="B211">
        <v>2030</v>
      </c>
      <c r="C211">
        <v>0.2</v>
      </c>
    </row>
    <row r="212" spans="1:3">
      <c r="A212" t="s">
        <v>430</v>
      </c>
      <c r="B212">
        <v>2035</v>
      </c>
      <c r="C212">
        <v>0.2</v>
      </c>
    </row>
    <row r="213" spans="1:3">
      <c r="A213" t="s">
        <v>430</v>
      </c>
      <c r="B213">
        <v>2040</v>
      </c>
      <c r="C213">
        <v>0.2</v>
      </c>
    </row>
    <row r="214" spans="1:3">
      <c r="A214" t="s">
        <v>430</v>
      </c>
      <c r="B214">
        <v>2045</v>
      </c>
      <c r="C214">
        <v>0.2</v>
      </c>
    </row>
    <row r="215" spans="1:3">
      <c r="A215" t="s">
        <v>430</v>
      </c>
      <c r="B215">
        <v>2050</v>
      </c>
      <c r="C215">
        <v>0.2</v>
      </c>
    </row>
    <row r="216" spans="1:3">
      <c r="A216" t="s">
        <v>431</v>
      </c>
      <c r="B216">
        <v>2018</v>
      </c>
      <c r="C216">
        <v>0.2</v>
      </c>
    </row>
    <row r="217" spans="1:3">
      <c r="A217" t="s">
        <v>431</v>
      </c>
      <c r="B217">
        <v>2025</v>
      </c>
      <c r="C217">
        <v>0.2</v>
      </c>
    </row>
    <row r="218" spans="1:3">
      <c r="A218" t="s">
        <v>431</v>
      </c>
      <c r="B218">
        <v>2030</v>
      </c>
      <c r="C218">
        <v>0.2</v>
      </c>
    </row>
    <row r="219" spans="1:3">
      <c r="A219" t="s">
        <v>431</v>
      </c>
      <c r="B219">
        <v>2035</v>
      </c>
      <c r="C219">
        <v>0.2</v>
      </c>
    </row>
    <row r="220" spans="1:3">
      <c r="A220" t="s">
        <v>431</v>
      </c>
      <c r="B220">
        <v>2040</v>
      </c>
      <c r="C220">
        <v>0.2</v>
      </c>
    </row>
    <row r="221" spans="1:3">
      <c r="A221" t="s">
        <v>431</v>
      </c>
      <c r="B221">
        <v>2045</v>
      </c>
      <c r="C221">
        <v>0.2</v>
      </c>
    </row>
    <row r="222" spans="1:3">
      <c r="A222" t="s">
        <v>431</v>
      </c>
      <c r="B222">
        <v>2050</v>
      </c>
      <c r="C222">
        <v>0.2</v>
      </c>
    </row>
    <row r="223" spans="1:3">
      <c r="A223" t="s">
        <v>239</v>
      </c>
      <c r="B223">
        <v>2018</v>
      </c>
      <c r="C223">
        <v>0.2</v>
      </c>
    </row>
    <row r="224" spans="1:3">
      <c r="A224" t="s">
        <v>239</v>
      </c>
      <c r="B224">
        <v>2025</v>
      </c>
      <c r="C224">
        <v>0.2</v>
      </c>
    </row>
    <row r="225" spans="1:3">
      <c r="A225" t="s">
        <v>239</v>
      </c>
      <c r="B225">
        <v>2030</v>
      </c>
      <c r="C225">
        <v>0.2</v>
      </c>
    </row>
    <row r="226" spans="1:3">
      <c r="A226" t="s">
        <v>239</v>
      </c>
      <c r="B226">
        <v>2035</v>
      </c>
      <c r="C226">
        <v>0.2</v>
      </c>
    </row>
    <row r="227" spans="1:3">
      <c r="A227" t="s">
        <v>239</v>
      </c>
      <c r="B227">
        <v>2040</v>
      </c>
      <c r="C227">
        <v>0.2</v>
      </c>
    </row>
    <row r="228" spans="1:3">
      <c r="A228" t="s">
        <v>239</v>
      </c>
      <c r="B228">
        <v>2045</v>
      </c>
      <c r="C228">
        <v>0.2</v>
      </c>
    </row>
    <row r="229" spans="1:3">
      <c r="A229" t="s">
        <v>239</v>
      </c>
      <c r="B229">
        <v>2050</v>
      </c>
      <c r="C229">
        <v>0.2</v>
      </c>
    </row>
    <row r="230" spans="1:3">
      <c r="A230" t="s">
        <v>14</v>
      </c>
      <c r="B230">
        <v>2018</v>
      </c>
      <c r="C230">
        <v>0.01</v>
      </c>
    </row>
    <row r="231" spans="1:3">
      <c r="A231" t="s">
        <v>14</v>
      </c>
      <c r="B231">
        <v>2025</v>
      </c>
      <c r="C231">
        <v>0.01</v>
      </c>
    </row>
    <row r="232" spans="1:3">
      <c r="A232" t="s">
        <v>14</v>
      </c>
      <c r="B232">
        <v>2030</v>
      </c>
      <c r="C232">
        <v>0.01</v>
      </c>
    </row>
    <row r="233" spans="1:3">
      <c r="A233" t="s">
        <v>14</v>
      </c>
      <c r="B233">
        <v>2035</v>
      </c>
      <c r="C233">
        <v>0.01</v>
      </c>
    </row>
    <row r="234" spans="1:3">
      <c r="A234" t="s">
        <v>14</v>
      </c>
      <c r="B234">
        <v>2040</v>
      </c>
      <c r="C234">
        <v>0.01</v>
      </c>
    </row>
    <row r="235" spans="1:3">
      <c r="A235" t="s">
        <v>14</v>
      </c>
      <c r="B235">
        <v>2045</v>
      </c>
      <c r="C235">
        <v>0.01</v>
      </c>
    </row>
    <row r="236" spans="1:3">
      <c r="A236" t="s">
        <v>14</v>
      </c>
      <c r="B236">
        <v>2050</v>
      </c>
      <c r="C236">
        <v>0.01</v>
      </c>
    </row>
    <row r="237" spans="1:3">
      <c r="A237" t="s">
        <v>49</v>
      </c>
      <c r="B237">
        <v>2018</v>
      </c>
      <c r="C237">
        <v>0.04</v>
      </c>
    </row>
    <row r="238" spans="1:3">
      <c r="A238" t="s">
        <v>49</v>
      </c>
      <c r="B238">
        <v>2025</v>
      </c>
      <c r="C238">
        <v>0.04</v>
      </c>
    </row>
    <row r="239" spans="1:3">
      <c r="A239" t="s">
        <v>49</v>
      </c>
      <c r="B239">
        <v>2030</v>
      </c>
      <c r="C239">
        <v>0.04</v>
      </c>
    </row>
    <row r="240" spans="1:3">
      <c r="A240" t="s">
        <v>49</v>
      </c>
      <c r="B240">
        <v>2035</v>
      </c>
      <c r="C240">
        <v>0.04</v>
      </c>
    </row>
    <row r="241" spans="1:3">
      <c r="A241" t="s">
        <v>49</v>
      </c>
      <c r="B241">
        <v>2040</v>
      </c>
      <c r="C241">
        <v>0.04</v>
      </c>
    </row>
    <row r="242" spans="1:3">
      <c r="A242" t="s">
        <v>49</v>
      </c>
      <c r="B242">
        <v>2045</v>
      </c>
      <c r="C242">
        <v>0.04</v>
      </c>
    </row>
    <row r="243" spans="1:3">
      <c r="A243" t="s">
        <v>49</v>
      </c>
      <c r="B243">
        <v>2050</v>
      </c>
      <c r="C243">
        <v>0.04</v>
      </c>
    </row>
    <row r="244" spans="1:3">
      <c r="A244" t="s">
        <v>89</v>
      </c>
      <c r="B244">
        <v>2018</v>
      </c>
      <c r="C244">
        <v>0.25</v>
      </c>
    </row>
    <row r="245" spans="1:3">
      <c r="A245" t="s">
        <v>89</v>
      </c>
      <c r="B245">
        <v>2025</v>
      </c>
      <c r="C245">
        <v>0.25</v>
      </c>
    </row>
    <row r="246" spans="1:3">
      <c r="A246" t="s">
        <v>89</v>
      </c>
      <c r="B246">
        <v>2030</v>
      </c>
      <c r="C246">
        <v>0.25</v>
      </c>
    </row>
    <row r="247" spans="1:3">
      <c r="A247" t="s">
        <v>89</v>
      </c>
      <c r="B247">
        <v>2035</v>
      </c>
      <c r="C247">
        <v>0.25</v>
      </c>
    </row>
    <row r="248" spans="1:3">
      <c r="A248" t="s">
        <v>89</v>
      </c>
      <c r="B248">
        <v>2040</v>
      </c>
      <c r="C248">
        <v>0.25</v>
      </c>
    </row>
    <row r="249" spans="1:3">
      <c r="A249" t="s">
        <v>89</v>
      </c>
      <c r="B249">
        <v>2045</v>
      </c>
      <c r="C249">
        <v>0.25</v>
      </c>
    </row>
    <row r="250" spans="1:3">
      <c r="A250" t="s">
        <v>89</v>
      </c>
      <c r="B250">
        <v>2050</v>
      </c>
      <c r="C250">
        <v>0.25</v>
      </c>
    </row>
    <row r="251" spans="1:3">
      <c r="A251" t="s">
        <v>198</v>
      </c>
      <c r="B251">
        <v>2018</v>
      </c>
      <c r="C251">
        <v>0</v>
      </c>
    </row>
    <row r="252" spans="1:3">
      <c r="A252" t="s">
        <v>218</v>
      </c>
      <c r="B252">
        <v>2018</v>
      </c>
      <c r="C252">
        <v>0</v>
      </c>
    </row>
    <row r="253" spans="1:3">
      <c r="A253" t="s">
        <v>207</v>
      </c>
      <c r="B253">
        <v>2018</v>
      </c>
      <c r="C253">
        <v>0</v>
      </c>
    </row>
    <row r="254" spans="1:3">
      <c r="A254" t="s">
        <v>254</v>
      </c>
      <c r="B254">
        <v>2018</v>
      </c>
      <c r="C254">
        <v>0</v>
      </c>
    </row>
    <row r="255" spans="1:3">
      <c r="A255" t="s">
        <v>200</v>
      </c>
      <c r="B255">
        <v>2018</v>
      </c>
      <c r="C255">
        <v>0</v>
      </c>
    </row>
    <row r="256" spans="1:3">
      <c r="A256" t="s">
        <v>201</v>
      </c>
      <c r="B256">
        <v>2018</v>
      </c>
      <c r="C256">
        <v>0</v>
      </c>
    </row>
    <row r="257" spans="1:3">
      <c r="A257" t="s">
        <v>187</v>
      </c>
      <c r="B257">
        <v>2018</v>
      </c>
      <c r="C257">
        <v>0</v>
      </c>
    </row>
    <row r="258" spans="1:3">
      <c r="A258" t="s">
        <v>214</v>
      </c>
      <c r="B258">
        <v>2018</v>
      </c>
      <c r="C258">
        <v>0</v>
      </c>
    </row>
    <row r="259" spans="1:3">
      <c r="A259" t="s">
        <v>205</v>
      </c>
      <c r="B259">
        <v>2018</v>
      </c>
      <c r="C259">
        <v>0</v>
      </c>
    </row>
    <row r="260" spans="1:3">
      <c r="A260" t="s">
        <v>253</v>
      </c>
      <c r="B260">
        <v>2018</v>
      </c>
      <c r="C260">
        <v>0</v>
      </c>
    </row>
    <row r="261" spans="1:3">
      <c r="A261" t="s">
        <v>188</v>
      </c>
      <c r="B261">
        <v>2018</v>
      </c>
      <c r="C261">
        <v>0</v>
      </c>
    </row>
    <row r="262" spans="1:3">
      <c r="A262" t="s">
        <v>189</v>
      </c>
      <c r="B262">
        <v>2018</v>
      </c>
      <c r="C262">
        <v>0</v>
      </c>
    </row>
    <row r="263" spans="1:3">
      <c r="A263" t="s">
        <v>209</v>
      </c>
      <c r="B263">
        <v>2018</v>
      </c>
      <c r="C263">
        <v>0</v>
      </c>
    </row>
    <row r="264" spans="1:3">
      <c r="A264" t="s">
        <v>211</v>
      </c>
      <c r="B264">
        <v>2018</v>
      </c>
      <c r="C264">
        <v>0</v>
      </c>
    </row>
    <row r="265" spans="1:3">
      <c r="A265" t="s">
        <v>244</v>
      </c>
      <c r="B265">
        <v>2018</v>
      </c>
      <c r="C265">
        <v>0</v>
      </c>
    </row>
    <row r="266" spans="1:3">
      <c r="A266" t="s">
        <v>210</v>
      </c>
      <c r="B266">
        <v>2018</v>
      </c>
      <c r="C266">
        <v>0</v>
      </c>
    </row>
    <row r="267" spans="1:3">
      <c r="A267" t="s">
        <v>245</v>
      </c>
      <c r="B267">
        <v>2018</v>
      </c>
      <c r="C267">
        <v>0</v>
      </c>
    </row>
    <row r="268" spans="1:3">
      <c r="A268" t="s">
        <v>212</v>
      </c>
      <c r="B268">
        <v>2018</v>
      </c>
      <c r="C268">
        <v>0</v>
      </c>
    </row>
    <row r="269" spans="1:3">
      <c r="A269" t="s">
        <v>221</v>
      </c>
      <c r="B269">
        <v>2018</v>
      </c>
      <c r="C269">
        <v>0</v>
      </c>
    </row>
    <row r="270" spans="1:3">
      <c r="A270" t="s">
        <v>198</v>
      </c>
      <c r="B270">
        <v>2025</v>
      </c>
      <c r="C270">
        <v>0</v>
      </c>
    </row>
    <row r="271" spans="1:3">
      <c r="A271" t="s">
        <v>218</v>
      </c>
      <c r="B271">
        <v>2025</v>
      </c>
      <c r="C271">
        <v>0</v>
      </c>
    </row>
    <row r="272" spans="1:3">
      <c r="A272" t="s">
        <v>207</v>
      </c>
      <c r="B272">
        <v>2025</v>
      </c>
      <c r="C272">
        <v>0</v>
      </c>
    </row>
    <row r="273" spans="1:3">
      <c r="A273" t="s">
        <v>254</v>
      </c>
      <c r="B273">
        <v>2025</v>
      </c>
      <c r="C273">
        <v>0</v>
      </c>
    </row>
    <row r="274" spans="1:3">
      <c r="A274" t="s">
        <v>200</v>
      </c>
      <c r="B274">
        <v>2025</v>
      </c>
      <c r="C274">
        <v>0</v>
      </c>
    </row>
    <row r="275" spans="1:3">
      <c r="A275" t="s">
        <v>201</v>
      </c>
      <c r="B275">
        <v>2025</v>
      </c>
      <c r="C275">
        <v>0</v>
      </c>
    </row>
    <row r="276" spans="1:3">
      <c r="A276" t="s">
        <v>187</v>
      </c>
      <c r="B276">
        <v>2025</v>
      </c>
      <c r="C276">
        <v>0</v>
      </c>
    </row>
    <row r="277" spans="1:3">
      <c r="A277" t="s">
        <v>214</v>
      </c>
      <c r="B277">
        <v>2025</v>
      </c>
      <c r="C277">
        <v>0</v>
      </c>
    </row>
    <row r="278" spans="1:3">
      <c r="A278" t="s">
        <v>205</v>
      </c>
      <c r="B278">
        <v>2025</v>
      </c>
      <c r="C278">
        <v>0</v>
      </c>
    </row>
    <row r="279" spans="1:3">
      <c r="A279" t="s">
        <v>253</v>
      </c>
      <c r="B279">
        <v>2025</v>
      </c>
      <c r="C279">
        <v>0</v>
      </c>
    </row>
    <row r="280" spans="1:3">
      <c r="A280" t="s">
        <v>188</v>
      </c>
      <c r="B280">
        <v>2025</v>
      </c>
      <c r="C280">
        <v>0</v>
      </c>
    </row>
    <row r="281" spans="1:3">
      <c r="A281" t="s">
        <v>189</v>
      </c>
      <c r="B281">
        <v>2025</v>
      </c>
      <c r="C281">
        <v>0</v>
      </c>
    </row>
    <row r="282" spans="1:3">
      <c r="A282" t="s">
        <v>209</v>
      </c>
      <c r="B282">
        <v>2025</v>
      </c>
      <c r="C282">
        <v>0</v>
      </c>
    </row>
    <row r="283" spans="1:3">
      <c r="A283" t="s">
        <v>211</v>
      </c>
      <c r="B283">
        <v>2025</v>
      </c>
      <c r="C283">
        <v>0</v>
      </c>
    </row>
    <row r="284" spans="1:3">
      <c r="A284" t="s">
        <v>244</v>
      </c>
      <c r="B284">
        <v>2025</v>
      </c>
      <c r="C284">
        <v>0</v>
      </c>
    </row>
    <row r="285" spans="1:3">
      <c r="A285" t="s">
        <v>210</v>
      </c>
      <c r="B285">
        <v>2025</v>
      </c>
      <c r="C285">
        <v>0</v>
      </c>
    </row>
    <row r="286" spans="1:3">
      <c r="A286" t="s">
        <v>245</v>
      </c>
      <c r="B286">
        <v>2025</v>
      </c>
      <c r="C286">
        <v>0</v>
      </c>
    </row>
    <row r="287" spans="1:3">
      <c r="A287" t="s">
        <v>212</v>
      </c>
      <c r="B287">
        <v>2025</v>
      </c>
      <c r="C287">
        <v>0</v>
      </c>
    </row>
    <row r="288" spans="1:3">
      <c r="A288" t="s">
        <v>221</v>
      </c>
      <c r="B288">
        <v>2025</v>
      </c>
      <c r="C288">
        <v>0</v>
      </c>
    </row>
    <row r="289" spans="1:3">
      <c r="A289" t="s">
        <v>198</v>
      </c>
      <c r="B289">
        <v>2030</v>
      </c>
      <c r="C289">
        <v>0</v>
      </c>
    </row>
    <row r="290" spans="1:3">
      <c r="A290" t="s">
        <v>218</v>
      </c>
      <c r="B290">
        <v>2030</v>
      </c>
      <c r="C290">
        <v>0</v>
      </c>
    </row>
    <row r="291" spans="1:3">
      <c r="A291" t="s">
        <v>207</v>
      </c>
      <c r="B291">
        <v>2030</v>
      </c>
      <c r="C291">
        <v>0</v>
      </c>
    </row>
    <row r="292" spans="1:3">
      <c r="A292" t="s">
        <v>254</v>
      </c>
      <c r="B292">
        <v>2030</v>
      </c>
      <c r="C292">
        <v>0</v>
      </c>
    </row>
    <row r="293" spans="1:3">
      <c r="A293" t="s">
        <v>200</v>
      </c>
      <c r="B293">
        <v>2030</v>
      </c>
      <c r="C293">
        <v>0</v>
      </c>
    </row>
    <row r="294" spans="1:3">
      <c r="A294" t="s">
        <v>201</v>
      </c>
      <c r="B294">
        <v>2030</v>
      </c>
      <c r="C294">
        <v>0</v>
      </c>
    </row>
    <row r="295" spans="1:3">
      <c r="A295" t="s">
        <v>187</v>
      </c>
      <c r="B295">
        <v>2030</v>
      </c>
      <c r="C295">
        <v>0</v>
      </c>
    </row>
    <row r="296" spans="1:3">
      <c r="A296" t="s">
        <v>214</v>
      </c>
      <c r="B296">
        <v>2030</v>
      </c>
      <c r="C296">
        <v>0</v>
      </c>
    </row>
    <row r="297" spans="1:3">
      <c r="A297" t="s">
        <v>205</v>
      </c>
      <c r="B297">
        <v>2030</v>
      </c>
      <c r="C297">
        <v>0</v>
      </c>
    </row>
    <row r="298" spans="1:3">
      <c r="A298" t="s">
        <v>253</v>
      </c>
      <c r="B298">
        <v>2030</v>
      </c>
      <c r="C298">
        <v>0</v>
      </c>
    </row>
    <row r="299" spans="1:3">
      <c r="A299" t="s">
        <v>188</v>
      </c>
      <c r="B299">
        <v>2030</v>
      </c>
      <c r="C299">
        <v>0</v>
      </c>
    </row>
    <row r="300" spans="1:3">
      <c r="A300" t="s">
        <v>189</v>
      </c>
      <c r="B300">
        <v>2030</v>
      </c>
      <c r="C300">
        <v>0</v>
      </c>
    </row>
    <row r="301" spans="1:3">
      <c r="A301" t="s">
        <v>209</v>
      </c>
      <c r="B301">
        <v>2030</v>
      </c>
      <c r="C301">
        <v>0</v>
      </c>
    </row>
    <row r="302" spans="1:3">
      <c r="A302" t="s">
        <v>211</v>
      </c>
      <c r="B302">
        <v>2030</v>
      </c>
      <c r="C302">
        <v>0</v>
      </c>
    </row>
    <row r="303" spans="1:3">
      <c r="A303" t="s">
        <v>244</v>
      </c>
      <c r="B303">
        <v>2030</v>
      </c>
      <c r="C303">
        <v>0</v>
      </c>
    </row>
    <row r="304" spans="1:3">
      <c r="A304" t="s">
        <v>210</v>
      </c>
      <c r="B304">
        <v>2030</v>
      </c>
      <c r="C304">
        <v>0</v>
      </c>
    </row>
    <row r="305" spans="1:3">
      <c r="A305" t="s">
        <v>245</v>
      </c>
      <c r="B305">
        <v>2030</v>
      </c>
      <c r="C305">
        <v>0</v>
      </c>
    </row>
    <row r="306" spans="1:3">
      <c r="A306" t="s">
        <v>212</v>
      </c>
      <c r="B306">
        <v>2030</v>
      </c>
      <c r="C306">
        <v>0</v>
      </c>
    </row>
    <row r="307" spans="1:3">
      <c r="A307" t="s">
        <v>221</v>
      </c>
      <c r="B307">
        <v>2030</v>
      </c>
      <c r="C307">
        <v>0</v>
      </c>
    </row>
    <row r="308" spans="1:3">
      <c r="A308" t="s">
        <v>198</v>
      </c>
      <c r="B308">
        <v>2035</v>
      </c>
      <c r="C308">
        <v>0</v>
      </c>
    </row>
    <row r="309" spans="1:3">
      <c r="A309" t="s">
        <v>218</v>
      </c>
      <c r="B309">
        <v>2035</v>
      </c>
      <c r="C309">
        <v>0</v>
      </c>
    </row>
    <row r="310" spans="1:3">
      <c r="A310" t="s">
        <v>207</v>
      </c>
      <c r="B310">
        <v>2035</v>
      </c>
      <c r="C310">
        <v>0</v>
      </c>
    </row>
    <row r="311" spans="1:3">
      <c r="A311" t="s">
        <v>254</v>
      </c>
      <c r="B311">
        <v>2035</v>
      </c>
      <c r="C311">
        <v>0</v>
      </c>
    </row>
    <row r="312" spans="1:3">
      <c r="A312" t="s">
        <v>200</v>
      </c>
      <c r="B312">
        <v>2035</v>
      </c>
      <c r="C312">
        <v>0</v>
      </c>
    </row>
    <row r="313" spans="1:3">
      <c r="A313" t="s">
        <v>201</v>
      </c>
      <c r="B313">
        <v>2035</v>
      </c>
      <c r="C313">
        <v>0</v>
      </c>
    </row>
    <row r="314" spans="1:3">
      <c r="A314" t="s">
        <v>187</v>
      </c>
      <c r="B314">
        <v>2035</v>
      </c>
      <c r="C314">
        <v>0</v>
      </c>
    </row>
    <row r="315" spans="1:3">
      <c r="A315" t="s">
        <v>214</v>
      </c>
      <c r="B315">
        <v>2035</v>
      </c>
      <c r="C315">
        <v>0</v>
      </c>
    </row>
    <row r="316" spans="1:3">
      <c r="A316" t="s">
        <v>205</v>
      </c>
      <c r="B316">
        <v>2035</v>
      </c>
      <c r="C316">
        <v>0</v>
      </c>
    </row>
    <row r="317" spans="1:3">
      <c r="A317" t="s">
        <v>253</v>
      </c>
      <c r="B317">
        <v>2035</v>
      </c>
      <c r="C317">
        <v>0</v>
      </c>
    </row>
    <row r="318" spans="1:3">
      <c r="A318" t="s">
        <v>188</v>
      </c>
      <c r="B318">
        <v>2035</v>
      </c>
      <c r="C318">
        <v>0</v>
      </c>
    </row>
    <row r="319" spans="1:3">
      <c r="A319" t="s">
        <v>189</v>
      </c>
      <c r="B319">
        <v>2035</v>
      </c>
      <c r="C319">
        <v>0</v>
      </c>
    </row>
    <row r="320" spans="1:3">
      <c r="A320" t="s">
        <v>209</v>
      </c>
      <c r="B320">
        <v>2035</v>
      </c>
      <c r="C320">
        <v>0</v>
      </c>
    </row>
    <row r="321" spans="1:3">
      <c r="A321" t="s">
        <v>211</v>
      </c>
      <c r="B321">
        <v>2035</v>
      </c>
      <c r="C321">
        <v>0</v>
      </c>
    </row>
    <row r="322" spans="1:3">
      <c r="A322" t="s">
        <v>244</v>
      </c>
      <c r="B322">
        <v>2035</v>
      </c>
      <c r="C322">
        <v>0</v>
      </c>
    </row>
    <row r="323" spans="1:3">
      <c r="A323" t="s">
        <v>210</v>
      </c>
      <c r="B323">
        <v>2035</v>
      </c>
      <c r="C323">
        <v>0</v>
      </c>
    </row>
    <row r="324" spans="1:3">
      <c r="A324" t="s">
        <v>245</v>
      </c>
      <c r="B324">
        <v>2035</v>
      </c>
      <c r="C324">
        <v>0</v>
      </c>
    </row>
    <row r="325" spans="1:3">
      <c r="A325" t="s">
        <v>212</v>
      </c>
      <c r="B325">
        <v>2035</v>
      </c>
      <c r="C325">
        <v>0</v>
      </c>
    </row>
    <row r="326" spans="1:3">
      <c r="A326" t="s">
        <v>221</v>
      </c>
      <c r="B326">
        <v>2035</v>
      </c>
      <c r="C326">
        <v>0</v>
      </c>
    </row>
    <row r="327" spans="1:3">
      <c r="A327" t="s">
        <v>198</v>
      </c>
      <c r="B327">
        <v>2040</v>
      </c>
      <c r="C327">
        <v>0</v>
      </c>
    </row>
    <row r="328" spans="1:3">
      <c r="A328" t="s">
        <v>218</v>
      </c>
      <c r="B328">
        <v>2040</v>
      </c>
      <c r="C328">
        <v>0</v>
      </c>
    </row>
    <row r="329" spans="1:3">
      <c r="A329" t="s">
        <v>207</v>
      </c>
      <c r="B329">
        <v>2040</v>
      </c>
      <c r="C329">
        <v>0</v>
      </c>
    </row>
    <row r="330" spans="1:3">
      <c r="A330" t="s">
        <v>254</v>
      </c>
      <c r="B330">
        <v>2040</v>
      </c>
      <c r="C330">
        <v>0</v>
      </c>
    </row>
    <row r="331" spans="1:3">
      <c r="A331" t="s">
        <v>200</v>
      </c>
      <c r="B331">
        <v>2040</v>
      </c>
      <c r="C331">
        <v>0</v>
      </c>
    </row>
    <row r="332" spans="1:3">
      <c r="A332" t="s">
        <v>201</v>
      </c>
      <c r="B332">
        <v>2040</v>
      </c>
      <c r="C332">
        <v>0</v>
      </c>
    </row>
    <row r="333" spans="1:3">
      <c r="A333" t="s">
        <v>187</v>
      </c>
      <c r="B333">
        <v>2040</v>
      </c>
      <c r="C333">
        <v>0</v>
      </c>
    </row>
    <row r="334" spans="1:3">
      <c r="A334" t="s">
        <v>214</v>
      </c>
      <c r="B334">
        <v>2040</v>
      </c>
      <c r="C334">
        <v>0</v>
      </c>
    </row>
    <row r="335" spans="1:3">
      <c r="A335" t="s">
        <v>205</v>
      </c>
      <c r="B335">
        <v>2040</v>
      </c>
      <c r="C335">
        <v>0</v>
      </c>
    </row>
    <row r="336" spans="1:3">
      <c r="A336" t="s">
        <v>253</v>
      </c>
      <c r="B336">
        <v>2040</v>
      </c>
      <c r="C336">
        <v>0</v>
      </c>
    </row>
    <row r="337" spans="1:3">
      <c r="A337" t="s">
        <v>188</v>
      </c>
      <c r="B337">
        <v>2040</v>
      </c>
      <c r="C337">
        <v>0</v>
      </c>
    </row>
    <row r="338" spans="1:3">
      <c r="A338" t="s">
        <v>189</v>
      </c>
      <c r="B338">
        <v>2040</v>
      </c>
      <c r="C338">
        <v>0</v>
      </c>
    </row>
    <row r="339" spans="1:3">
      <c r="A339" t="s">
        <v>209</v>
      </c>
      <c r="B339">
        <v>2040</v>
      </c>
      <c r="C339">
        <v>0</v>
      </c>
    </row>
    <row r="340" spans="1:3">
      <c r="A340" t="s">
        <v>211</v>
      </c>
      <c r="B340">
        <v>2040</v>
      </c>
      <c r="C340">
        <v>0</v>
      </c>
    </row>
    <row r="341" spans="1:3">
      <c r="A341" t="s">
        <v>244</v>
      </c>
      <c r="B341">
        <v>2040</v>
      </c>
      <c r="C341">
        <v>0</v>
      </c>
    </row>
    <row r="342" spans="1:3">
      <c r="A342" t="s">
        <v>210</v>
      </c>
      <c r="B342">
        <v>2040</v>
      </c>
      <c r="C342">
        <v>0</v>
      </c>
    </row>
    <row r="343" spans="1:3">
      <c r="A343" t="s">
        <v>245</v>
      </c>
      <c r="B343">
        <v>2040</v>
      </c>
      <c r="C343">
        <v>0</v>
      </c>
    </row>
    <row r="344" spans="1:3">
      <c r="A344" t="s">
        <v>212</v>
      </c>
      <c r="B344">
        <v>2040</v>
      </c>
      <c r="C344">
        <v>0</v>
      </c>
    </row>
    <row r="345" spans="1:3">
      <c r="A345" t="s">
        <v>221</v>
      </c>
      <c r="B345">
        <v>2040</v>
      </c>
      <c r="C345">
        <v>0</v>
      </c>
    </row>
    <row r="346" spans="1:3">
      <c r="A346" t="s">
        <v>198</v>
      </c>
      <c r="B346">
        <v>2045</v>
      </c>
      <c r="C346">
        <v>0</v>
      </c>
    </row>
    <row r="347" spans="1:3">
      <c r="A347" t="s">
        <v>218</v>
      </c>
      <c r="B347">
        <v>2045</v>
      </c>
      <c r="C347">
        <v>0</v>
      </c>
    </row>
    <row r="348" spans="1:3">
      <c r="A348" t="s">
        <v>207</v>
      </c>
      <c r="B348">
        <v>2045</v>
      </c>
      <c r="C348">
        <v>0</v>
      </c>
    </row>
    <row r="349" spans="1:3">
      <c r="A349" t="s">
        <v>254</v>
      </c>
      <c r="B349">
        <v>2045</v>
      </c>
      <c r="C349">
        <v>0</v>
      </c>
    </row>
    <row r="350" spans="1:3">
      <c r="A350" t="s">
        <v>200</v>
      </c>
      <c r="B350">
        <v>2045</v>
      </c>
      <c r="C350">
        <v>0</v>
      </c>
    </row>
    <row r="351" spans="1:3">
      <c r="A351" t="s">
        <v>201</v>
      </c>
      <c r="B351">
        <v>2045</v>
      </c>
      <c r="C351">
        <v>0</v>
      </c>
    </row>
    <row r="352" spans="1:3">
      <c r="A352" t="s">
        <v>187</v>
      </c>
      <c r="B352">
        <v>2045</v>
      </c>
      <c r="C352">
        <v>0</v>
      </c>
    </row>
    <row r="353" spans="1:3">
      <c r="A353" t="s">
        <v>214</v>
      </c>
      <c r="B353">
        <v>2045</v>
      </c>
      <c r="C353">
        <v>0</v>
      </c>
    </row>
    <row r="354" spans="1:3">
      <c r="A354" t="s">
        <v>205</v>
      </c>
      <c r="B354">
        <v>2045</v>
      </c>
      <c r="C354">
        <v>0</v>
      </c>
    </row>
    <row r="355" spans="1:3">
      <c r="A355" t="s">
        <v>253</v>
      </c>
      <c r="B355">
        <v>2045</v>
      </c>
      <c r="C355">
        <v>0</v>
      </c>
    </row>
    <row r="356" spans="1:3">
      <c r="A356" t="s">
        <v>188</v>
      </c>
      <c r="B356">
        <v>2045</v>
      </c>
      <c r="C356">
        <v>0</v>
      </c>
    </row>
    <row r="357" spans="1:3">
      <c r="A357" t="s">
        <v>189</v>
      </c>
      <c r="B357">
        <v>2045</v>
      </c>
      <c r="C357">
        <v>0</v>
      </c>
    </row>
    <row r="358" spans="1:3">
      <c r="A358" t="s">
        <v>209</v>
      </c>
      <c r="B358">
        <v>2045</v>
      </c>
      <c r="C358">
        <v>0</v>
      </c>
    </row>
    <row r="359" spans="1:3">
      <c r="A359" t="s">
        <v>211</v>
      </c>
      <c r="B359">
        <v>2045</v>
      </c>
      <c r="C359">
        <v>0</v>
      </c>
    </row>
    <row r="360" spans="1:3">
      <c r="A360" t="s">
        <v>244</v>
      </c>
      <c r="B360">
        <v>2045</v>
      </c>
      <c r="C360">
        <v>0</v>
      </c>
    </row>
    <row r="361" spans="1:3">
      <c r="A361" t="s">
        <v>210</v>
      </c>
      <c r="B361">
        <v>2045</v>
      </c>
      <c r="C361">
        <v>0</v>
      </c>
    </row>
    <row r="362" spans="1:3">
      <c r="A362" t="s">
        <v>245</v>
      </c>
      <c r="B362">
        <v>2045</v>
      </c>
      <c r="C362">
        <v>0</v>
      </c>
    </row>
    <row r="363" spans="1:3">
      <c r="A363" t="s">
        <v>212</v>
      </c>
      <c r="B363">
        <v>2045</v>
      </c>
      <c r="C363">
        <v>0</v>
      </c>
    </row>
    <row r="364" spans="1:3">
      <c r="A364" t="s">
        <v>221</v>
      </c>
      <c r="B364">
        <v>2045</v>
      </c>
      <c r="C364">
        <v>0</v>
      </c>
    </row>
    <row r="365" spans="1:3">
      <c r="A365" t="s">
        <v>198</v>
      </c>
      <c r="B365">
        <v>2050</v>
      </c>
      <c r="C365">
        <v>0</v>
      </c>
    </row>
    <row r="366" spans="1:3">
      <c r="A366" t="s">
        <v>218</v>
      </c>
      <c r="B366">
        <v>2050</v>
      </c>
      <c r="C366">
        <v>0</v>
      </c>
    </row>
    <row r="367" spans="1:3">
      <c r="A367" t="s">
        <v>207</v>
      </c>
      <c r="B367">
        <v>2050</v>
      </c>
      <c r="C367">
        <v>0</v>
      </c>
    </row>
    <row r="368" spans="1:3">
      <c r="A368" t="s">
        <v>254</v>
      </c>
      <c r="B368">
        <v>2050</v>
      </c>
      <c r="C368">
        <v>0</v>
      </c>
    </row>
    <row r="369" spans="1:3">
      <c r="A369" t="s">
        <v>200</v>
      </c>
      <c r="B369">
        <v>2050</v>
      </c>
      <c r="C369">
        <v>0</v>
      </c>
    </row>
    <row r="370" spans="1:3">
      <c r="A370" t="s">
        <v>201</v>
      </c>
      <c r="B370">
        <v>2050</v>
      </c>
      <c r="C370">
        <v>0</v>
      </c>
    </row>
    <row r="371" spans="1:3">
      <c r="A371" t="s">
        <v>187</v>
      </c>
      <c r="B371">
        <v>2050</v>
      </c>
      <c r="C371">
        <v>0</v>
      </c>
    </row>
    <row r="372" spans="1:3">
      <c r="A372" t="s">
        <v>214</v>
      </c>
      <c r="B372">
        <v>2050</v>
      </c>
      <c r="C372">
        <v>0</v>
      </c>
    </row>
    <row r="373" spans="1:3">
      <c r="A373" t="s">
        <v>205</v>
      </c>
      <c r="B373">
        <v>2050</v>
      </c>
      <c r="C373">
        <v>0</v>
      </c>
    </row>
    <row r="374" spans="1:3">
      <c r="A374" t="s">
        <v>253</v>
      </c>
      <c r="B374">
        <v>2050</v>
      </c>
      <c r="C374">
        <v>0</v>
      </c>
    </row>
    <row r="375" spans="1:3">
      <c r="A375" t="s">
        <v>188</v>
      </c>
      <c r="B375">
        <v>2050</v>
      </c>
      <c r="C375">
        <v>0</v>
      </c>
    </row>
    <row r="376" spans="1:3">
      <c r="A376" t="s">
        <v>189</v>
      </c>
      <c r="B376">
        <v>2050</v>
      </c>
      <c r="C376">
        <v>0</v>
      </c>
    </row>
    <row r="377" spans="1:3">
      <c r="A377" t="s">
        <v>209</v>
      </c>
      <c r="B377">
        <v>2050</v>
      </c>
      <c r="C377">
        <v>0</v>
      </c>
    </row>
    <row r="378" spans="1:3">
      <c r="A378" t="s">
        <v>211</v>
      </c>
      <c r="B378">
        <v>2050</v>
      </c>
      <c r="C378">
        <v>0</v>
      </c>
    </row>
    <row r="379" spans="1:3">
      <c r="A379" t="s">
        <v>244</v>
      </c>
      <c r="B379">
        <v>2050</v>
      </c>
      <c r="C379">
        <v>0</v>
      </c>
    </row>
    <row r="380" spans="1:3">
      <c r="A380" t="s">
        <v>210</v>
      </c>
      <c r="B380">
        <v>2050</v>
      </c>
      <c r="C380">
        <v>0</v>
      </c>
    </row>
    <row r="381" spans="1:3">
      <c r="A381" t="s">
        <v>245</v>
      </c>
      <c r="B381">
        <v>2050</v>
      </c>
      <c r="C381">
        <v>0</v>
      </c>
    </row>
    <row r="382" spans="1:3">
      <c r="A382" t="s">
        <v>212</v>
      </c>
      <c r="B382">
        <v>2050</v>
      </c>
      <c r="C382">
        <v>0</v>
      </c>
    </row>
    <row r="383" spans="1:3">
      <c r="A383" t="s">
        <v>221</v>
      </c>
      <c r="B383">
        <v>2050</v>
      </c>
      <c r="C383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7ABB-01C4-4FC5-BF94-6DA6E7B58FF7}">
  <sheetPr filterMode="1"/>
  <dimension ref="A1:E383"/>
  <sheetViews>
    <sheetView topLeftCell="A213" workbookViewId="0">
      <selection activeCell="G254" sqref="A1:E383"/>
    </sheetView>
  </sheetViews>
  <sheetFormatPr defaultRowHeight="15"/>
  <cols>
    <col min="1" max="1" width="38.7109375" bestFit="1" customWidth="1"/>
    <col min="2" max="2" width="5" bestFit="1" customWidth="1"/>
    <col min="3" max="3" width="8" bestFit="1" customWidth="1"/>
  </cols>
  <sheetData>
    <row r="1" spans="1:5">
      <c r="A1" t="s">
        <v>479</v>
      </c>
    </row>
    <row r="2" spans="1:5">
      <c r="A2" t="s">
        <v>472</v>
      </c>
    </row>
    <row r="3" spans="1:5">
      <c r="A3" t="s">
        <v>470</v>
      </c>
    </row>
    <row r="5" spans="1:5">
      <c r="A5" t="s">
        <v>17</v>
      </c>
      <c r="B5" t="s">
        <v>18</v>
      </c>
      <c r="C5" t="s">
        <v>26</v>
      </c>
    </row>
    <row r="6" spans="1:5" hidden="1">
      <c r="A6" t="s">
        <v>416</v>
      </c>
      <c r="B6">
        <v>2018</v>
      </c>
      <c r="C6">
        <v>27.777799999999999</v>
      </c>
      <c r="E6" t="s">
        <v>474</v>
      </c>
    </row>
    <row r="7" spans="1:5" hidden="1">
      <c r="A7" t="s">
        <v>416</v>
      </c>
      <c r="B7">
        <v>2025</v>
      </c>
      <c r="C7">
        <v>27.777799999999999</v>
      </c>
      <c r="E7" t="s">
        <v>474</v>
      </c>
    </row>
    <row r="8" spans="1:5" hidden="1">
      <c r="A8" t="s">
        <v>416</v>
      </c>
      <c r="B8">
        <v>2030</v>
      </c>
      <c r="C8">
        <v>27.777799999999999</v>
      </c>
      <c r="E8" t="s">
        <v>474</v>
      </c>
    </row>
    <row r="9" spans="1:5" hidden="1">
      <c r="A9" t="s">
        <v>416</v>
      </c>
      <c r="B9">
        <v>2035</v>
      </c>
      <c r="C9">
        <v>27.777799999999999</v>
      </c>
      <c r="E9" t="s">
        <v>474</v>
      </c>
    </row>
    <row r="10" spans="1:5" hidden="1">
      <c r="A10" t="s">
        <v>416</v>
      </c>
      <c r="B10">
        <v>2040</v>
      </c>
      <c r="C10">
        <v>27.777799999999999</v>
      </c>
      <c r="E10" t="s">
        <v>474</v>
      </c>
    </row>
    <row r="11" spans="1:5" hidden="1">
      <c r="A11" t="s">
        <v>416</v>
      </c>
      <c r="B11">
        <v>2045</v>
      </c>
      <c r="C11">
        <v>27.777799999999999</v>
      </c>
      <c r="E11" t="s">
        <v>474</v>
      </c>
    </row>
    <row r="12" spans="1:5" hidden="1">
      <c r="A12" t="s">
        <v>416</v>
      </c>
      <c r="B12">
        <v>2050</v>
      </c>
      <c r="C12">
        <v>27.777799999999999</v>
      </c>
      <c r="E12" t="s">
        <v>474</v>
      </c>
    </row>
    <row r="13" spans="1:5" hidden="1">
      <c r="A13" t="s">
        <v>417</v>
      </c>
      <c r="B13">
        <v>2018</v>
      </c>
      <c r="C13">
        <v>27.777799999999999</v>
      </c>
      <c r="E13" t="s">
        <v>474</v>
      </c>
    </row>
    <row r="14" spans="1:5" hidden="1">
      <c r="A14" t="s">
        <v>417</v>
      </c>
      <c r="B14">
        <v>2025</v>
      </c>
      <c r="C14">
        <v>27.777799999999999</v>
      </c>
      <c r="E14" t="s">
        <v>474</v>
      </c>
    </row>
    <row r="15" spans="1:5" hidden="1">
      <c r="A15" t="s">
        <v>417</v>
      </c>
      <c r="B15">
        <v>2030</v>
      </c>
      <c r="C15">
        <v>27.777799999999999</v>
      </c>
      <c r="E15" t="s">
        <v>474</v>
      </c>
    </row>
    <row r="16" spans="1:5" hidden="1">
      <c r="A16" t="s">
        <v>417</v>
      </c>
      <c r="B16">
        <v>2035</v>
      </c>
      <c r="C16">
        <v>27.777799999999999</v>
      </c>
      <c r="E16" t="s">
        <v>474</v>
      </c>
    </row>
    <row r="17" spans="1:5" hidden="1">
      <c r="A17" t="s">
        <v>417</v>
      </c>
      <c r="B17">
        <v>2040</v>
      </c>
      <c r="C17">
        <v>27.777799999999999</v>
      </c>
      <c r="E17" t="s">
        <v>474</v>
      </c>
    </row>
    <row r="18" spans="1:5" hidden="1">
      <c r="A18" t="s">
        <v>417</v>
      </c>
      <c r="B18">
        <v>2045</v>
      </c>
      <c r="C18">
        <v>27.777799999999999</v>
      </c>
      <c r="E18" t="s">
        <v>474</v>
      </c>
    </row>
    <row r="19" spans="1:5" hidden="1">
      <c r="A19" t="s">
        <v>417</v>
      </c>
      <c r="B19">
        <v>2050</v>
      </c>
      <c r="C19">
        <v>27.777799999999999</v>
      </c>
      <c r="E19" t="s">
        <v>474</v>
      </c>
    </row>
    <row r="20" spans="1:5" hidden="1">
      <c r="A20" t="s">
        <v>95</v>
      </c>
      <c r="B20">
        <v>2018</v>
      </c>
      <c r="C20">
        <v>13.8889</v>
      </c>
      <c r="E20" t="s">
        <v>475</v>
      </c>
    </row>
    <row r="21" spans="1:5" hidden="1">
      <c r="A21" t="s">
        <v>95</v>
      </c>
      <c r="B21">
        <v>2025</v>
      </c>
      <c r="C21">
        <v>13.8889</v>
      </c>
      <c r="E21" t="s">
        <v>475</v>
      </c>
    </row>
    <row r="22" spans="1:5" hidden="1">
      <c r="A22" t="s">
        <v>95</v>
      </c>
      <c r="B22">
        <v>2030</v>
      </c>
      <c r="C22">
        <v>13.8889</v>
      </c>
      <c r="E22" t="s">
        <v>475</v>
      </c>
    </row>
    <row r="23" spans="1:5" hidden="1">
      <c r="A23" t="s">
        <v>95</v>
      </c>
      <c r="B23">
        <v>2035</v>
      </c>
      <c r="C23">
        <v>13.8889</v>
      </c>
      <c r="E23" t="s">
        <v>475</v>
      </c>
    </row>
    <row r="24" spans="1:5" hidden="1">
      <c r="A24" t="s">
        <v>95</v>
      </c>
      <c r="B24">
        <v>2040</v>
      </c>
      <c r="C24">
        <v>13.8889</v>
      </c>
      <c r="E24" t="s">
        <v>475</v>
      </c>
    </row>
    <row r="25" spans="1:5" hidden="1">
      <c r="A25" t="s">
        <v>95</v>
      </c>
      <c r="B25">
        <v>2045</v>
      </c>
      <c r="C25">
        <v>13.8889</v>
      </c>
      <c r="E25" t="s">
        <v>475</v>
      </c>
    </row>
    <row r="26" spans="1:5" hidden="1">
      <c r="A26" t="s">
        <v>95</v>
      </c>
      <c r="B26">
        <v>2050</v>
      </c>
      <c r="C26">
        <v>13.8889</v>
      </c>
      <c r="E26" t="s">
        <v>475</v>
      </c>
    </row>
    <row r="27" spans="1:5" hidden="1">
      <c r="A27" t="s">
        <v>418</v>
      </c>
      <c r="B27">
        <v>2018</v>
      </c>
      <c r="C27">
        <v>13.8889</v>
      </c>
      <c r="E27" t="s">
        <v>475</v>
      </c>
    </row>
    <row r="28" spans="1:5" hidden="1">
      <c r="A28" t="s">
        <v>418</v>
      </c>
      <c r="B28">
        <v>2025</v>
      </c>
      <c r="C28">
        <v>13.8889</v>
      </c>
      <c r="E28" t="s">
        <v>475</v>
      </c>
    </row>
    <row r="29" spans="1:5" hidden="1">
      <c r="A29" t="s">
        <v>418</v>
      </c>
      <c r="B29">
        <v>2030</v>
      </c>
      <c r="C29">
        <v>13.8889</v>
      </c>
      <c r="E29" t="s">
        <v>475</v>
      </c>
    </row>
    <row r="30" spans="1:5" hidden="1">
      <c r="A30" t="s">
        <v>418</v>
      </c>
      <c r="B30">
        <v>2035</v>
      </c>
      <c r="C30">
        <v>13.8889</v>
      </c>
      <c r="E30" t="s">
        <v>475</v>
      </c>
    </row>
    <row r="31" spans="1:5" hidden="1">
      <c r="A31" t="s">
        <v>418</v>
      </c>
      <c r="B31">
        <v>2040</v>
      </c>
      <c r="C31">
        <v>13.8889</v>
      </c>
      <c r="E31" t="s">
        <v>475</v>
      </c>
    </row>
    <row r="32" spans="1:5" hidden="1">
      <c r="A32" t="s">
        <v>418</v>
      </c>
      <c r="B32">
        <v>2045</v>
      </c>
      <c r="C32">
        <v>13.8889</v>
      </c>
      <c r="E32" t="s">
        <v>475</v>
      </c>
    </row>
    <row r="33" spans="1:5" hidden="1">
      <c r="A33" t="s">
        <v>418</v>
      </c>
      <c r="B33">
        <v>2050</v>
      </c>
      <c r="C33">
        <v>13.8889</v>
      </c>
      <c r="E33" t="s">
        <v>475</v>
      </c>
    </row>
    <row r="34" spans="1:5" hidden="1">
      <c r="A34" t="s">
        <v>96</v>
      </c>
      <c r="B34">
        <v>2018</v>
      </c>
      <c r="C34">
        <v>13.8889</v>
      </c>
      <c r="E34" t="s">
        <v>475</v>
      </c>
    </row>
    <row r="35" spans="1:5" hidden="1">
      <c r="A35" t="s">
        <v>96</v>
      </c>
      <c r="B35">
        <v>2025</v>
      </c>
      <c r="C35">
        <v>13.8889</v>
      </c>
      <c r="E35" t="s">
        <v>475</v>
      </c>
    </row>
    <row r="36" spans="1:5" hidden="1">
      <c r="A36" t="s">
        <v>96</v>
      </c>
      <c r="B36">
        <v>2030</v>
      </c>
      <c r="C36">
        <v>13.8889</v>
      </c>
      <c r="E36" t="s">
        <v>475</v>
      </c>
    </row>
    <row r="37" spans="1:5" hidden="1">
      <c r="A37" t="s">
        <v>96</v>
      </c>
      <c r="B37">
        <v>2035</v>
      </c>
      <c r="C37">
        <v>13.8889</v>
      </c>
      <c r="E37" t="s">
        <v>475</v>
      </c>
    </row>
    <row r="38" spans="1:5" hidden="1">
      <c r="A38" t="s">
        <v>96</v>
      </c>
      <c r="B38">
        <v>2040</v>
      </c>
      <c r="C38">
        <v>13.8889</v>
      </c>
      <c r="E38" t="s">
        <v>475</v>
      </c>
    </row>
    <row r="39" spans="1:5" hidden="1">
      <c r="A39" t="s">
        <v>96</v>
      </c>
      <c r="B39">
        <v>2045</v>
      </c>
      <c r="C39">
        <v>13.8889</v>
      </c>
      <c r="E39" t="s">
        <v>475</v>
      </c>
    </row>
    <row r="40" spans="1:5" hidden="1">
      <c r="A40" t="s">
        <v>96</v>
      </c>
      <c r="B40">
        <v>2050</v>
      </c>
      <c r="C40">
        <v>13.8889</v>
      </c>
      <c r="E40" t="s">
        <v>475</v>
      </c>
    </row>
    <row r="41" spans="1:5" hidden="1">
      <c r="A41" t="s">
        <v>419</v>
      </c>
      <c r="B41">
        <v>2018</v>
      </c>
      <c r="C41">
        <v>13.8889</v>
      </c>
      <c r="E41" t="s">
        <v>475</v>
      </c>
    </row>
    <row r="42" spans="1:5" hidden="1">
      <c r="A42" t="s">
        <v>419</v>
      </c>
      <c r="B42">
        <v>2025</v>
      </c>
      <c r="C42">
        <v>13.8889</v>
      </c>
      <c r="E42" t="s">
        <v>475</v>
      </c>
    </row>
    <row r="43" spans="1:5" hidden="1">
      <c r="A43" t="s">
        <v>419</v>
      </c>
      <c r="B43">
        <v>2030</v>
      </c>
      <c r="C43">
        <v>13.8889</v>
      </c>
      <c r="E43" t="s">
        <v>475</v>
      </c>
    </row>
    <row r="44" spans="1:5" hidden="1">
      <c r="A44" t="s">
        <v>419</v>
      </c>
      <c r="B44">
        <v>2035</v>
      </c>
      <c r="C44">
        <v>13.8889</v>
      </c>
      <c r="E44" t="s">
        <v>475</v>
      </c>
    </row>
    <row r="45" spans="1:5" hidden="1">
      <c r="A45" t="s">
        <v>419</v>
      </c>
      <c r="B45">
        <v>2040</v>
      </c>
      <c r="C45">
        <v>13.8889</v>
      </c>
      <c r="E45" t="s">
        <v>475</v>
      </c>
    </row>
    <row r="46" spans="1:5" hidden="1">
      <c r="A46" t="s">
        <v>419</v>
      </c>
      <c r="B46">
        <v>2045</v>
      </c>
      <c r="C46">
        <v>13.8889</v>
      </c>
      <c r="E46" t="s">
        <v>475</v>
      </c>
    </row>
    <row r="47" spans="1:5" hidden="1">
      <c r="A47" t="s">
        <v>419</v>
      </c>
      <c r="B47">
        <v>2050</v>
      </c>
      <c r="C47">
        <v>13.8889</v>
      </c>
      <c r="E47" t="s">
        <v>475</v>
      </c>
    </row>
    <row r="48" spans="1:5">
      <c r="A48" t="s">
        <v>420</v>
      </c>
      <c r="B48">
        <v>2018</v>
      </c>
      <c r="C48">
        <v>5.5555599999999998</v>
      </c>
      <c r="E48" t="s">
        <v>476</v>
      </c>
    </row>
    <row r="49" spans="1:5">
      <c r="A49" t="s">
        <v>420</v>
      </c>
      <c r="B49">
        <v>2025</v>
      </c>
      <c r="C49">
        <v>5.5555599999999998</v>
      </c>
      <c r="E49" t="s">
        <v>476</v>
      </c>
    </row>
    <row r="50" spans="1:5">
      <c r="A50" t="s">
        <v>420</v>
      </c>
      <c r="B50">
        <v>2030</v>
      </c>
      <c r="C50">
        <v>5.5555599999999998</v>
      </c>
      <c r="E50" t="s">
        <v>476</v>
      </c>
    </row>
    <row r="51" spans="1:5">
      <c r="A51" t="s">
        <v>420</v>
      </c>
      <c r="B51">
        <v>2035</v>
      </c>
      <c r="C51">
        <v>5.5555599999999998</v>
      </c>
      <c r="E51" t="s">
        <v>476</v>
      </c>
    </row>
    <row r="52" spans="1:5">
      <c r="A52" t="s">
        <v>420</v>
      </c>
      <c r="B52">
        <v>2040</v>
      </c>
      <c r="C52">
        <v>5.5555599999999998</v>
      </c>
      <c r="E52" t="s">
        <v>476</v>
      </c>
    </row>
    <row r="53" spans="1:5">
      <c r="A53" t="s">
        <v>420</v>
      </c>
      <c r="B53">
        <v>2045</v>
      </c>
      <c r="C53">
        <v>5.5555599999999998</v>
      </c>
      <c r="E53" t="s">
        <v>476</v>
      </c>
    </row>
    <row r="54" spans="1:5">
      <c r="A54" t="s">
        <v>420</v>
      </c>
      <c r="B54">
        <v>2050</v>
      </c>
      <c r="C54">
        <v>5.5555599999999998</v>
      </c>
      <c r="E54" t="s">
        <v>476</v>
      </c>
    </row>
    <row r="55" spans="1:5">
      <c r="A55" t="s">
        <v>421</v>
      </c>
      <c r="B55">
        <v>2018</v>
      </c>
      <c r="C55">
        <v>5.5555599999999998</v>
      </c>
      <c r="E55" t="s">
        <v>476</v>
      </c>
    </row>
    <row r="56" spans="1:5">
      <c r="A56" t="s">
        <v>421</v>
      </c>
      <c r="B56">
        <v>2025</v>
      </c>
      <c r="C56">
        <v>5.5555599999999998</v>
      </c>
      <c r="E56" t="s">
        <v>476</v>
      </c>
    </row>
    <row r="57" spans="1:5">
      <c r="A57" t="s">
        <v>421</v>
      </c>
      <c r="B57">
        <v>2030</v>
      </c>
      <c r="C57">
        <v>5.5555599999999998</v>
      </c>
      <c r="E57" t="s">
        <v>476</v>
      </c>
    </row>
    <row r="58" spans="1:5">
      <c r="A58" t="s">
        <v>421</v>
      </c>
      <c r="B58">
        <v>2035</v>
      </c>
      <c r="C58">
        <v>5.5555599999999998</v>
      </c>
      <c r="E58" t="s">
        <v>476</v>
      </c>
    </row>
    <row r="59" spans="1:5">
      <c r="A59" t="s">
        <v>421</v>
      </c>
      <c r="B59">
        <v>2040</v>
      </c>
      <c r="C59">
        <v>5.5555599999999998</v>
      </c>
      <c r="E59" t="s">
        <v>476</v>
      </c>
    </row>
    <row r="60" spans="1:5">
      <c r="A60" t="s">
        <v>421</v>
      </c>
      <c r="B60">
        <v>2045</v>
      </c>
      <c r="C60">
        <v>5.5555599999999998</v>
      </c>
      <c r="E60" t="s">
        <v>476</v>
      </c>
    </row>
    <row r="61" spans="1:5">
      <c r="A61" t="s">
        <v>421</v>
      </c>
      <c r="B61">
        <v>2050</v>
      </c>
      <c r="C61">
        <v>5.5555599999999998</v>
      </c>
      <c r="E61" t="s">
        <v>476</v>
      </c>
    </row>
    <row r="62" spans="1:5">
      <c r="A62" t="s">
        <v>422</v>
      </c>
      <c r="B62">
        <v>2018</v>
      </c>
      <c r="C62">
        <v>5.5555599999999998</v>
      </c>
      <c r="E62" t="s">
        <v>476</v>
      </c>
    </row>
    <row r="63" spans="1:5">
      <c r="A63" t="s">
        <v>422</v>
      </c>
      <c r="B63">
        <v>2025</v>
      </c>
      <c r="C63">
        <v>5.5555599999999998</v>
      </c>
      <c r="E63" t="s">
        <v>476</v>
      </c>
    </row>
    <row r="64" spans="1:5">
      <c r="A64" t="s">
        <v>422</v>
      </c>
      <c r="B64">
        <v>2030</v>
      </c>
      <c r="C64">
        <v>5.5555599999999998</v>
      </c>
      <c r="E64" t="s">
        <v>476</v>
      </c>
    </row>
    <row r="65" spans="1:5">
      <c r="A65" t="s">
        <v>422</v>
      </c>
      <c r="B65">
        <v>2035</v>
      </c>
      <c r="C65">
        <v>5.5555599999999998</v>
      </c>
      <c r="E65" t="s">
        <v>476</v>
      </c>
    </row>
    <row r="66" spans="1:5">
      <c r="A66" t="s">
        <v>422</v>
      </c>
      <c r="B66">
        <v>2040</v>
      </c>
      <c r="C66">
        <v>5.5555599999999998</v>
      </c>
      <c r="E66" t="s">
        <v>476</v>
      </c>
    </row>
    <row r="67" spans="1:5">
      <c r="A67" t="s">
        <v>422</v>
      </c>
      <c r="B67">
        <v>2045</v>
      </c>
      <c r="C67">
        <v>5.5555599999999998</v>
      </c>
      <c r="E67" t="s">
        <v>476</v>
      </c>
    </row>
    <row r="68" spans="1:5">
      <c r="A68" t="s">
        <v>422</v>
      </c>
      <c r="B68">
        <v>2050</v>
      </c>
      <c r="C68">
        <v>5.5555599999999998</v>
      </c>
      <c r="E68" t="s">
        <v>476</v>
      </c>
    </row>
    <row r="69" spans="1:5">
      <c r="A69" t="s">
        <v>423</v>
      </c>
      <c r="B69">
        <v>2018</v>
      </c>
      <c r="C69">
        <v>5.5555599999999998</v>
      </c>
      <c r="E69" t="s">
        <v>476</v>
      </c>
    </row>
    <row r="70" spans="1:5">
      <c r="A70" t="s">
        <v>423</v>
      </c>
      <c r="B70">
        <v>2025</v>
      </c>
      <c r="C70">
        <v>5.5555599999999998</v>
      </c>
      <c r="E70" t="s">
        <v>476</v>
      </c>
    </row>
    <row r="71" spans="1:5">
      <c r="A71" t="s">
        <v>423</v>
      </c>
      <c r="B71">
        <v>2030</v>
      </c>
      <c r="C71">
        <v>5.5555599999999998</v>
      </c>
      <c r="E71" t="s">
        <v>476</v>
      </c>
    </row>
    <row r="72" spans="1:5">
      <c r="A72" t="s">
        <v>423</v>
      </c>
      <c r="B72">
        <v>2035</v>
      </c>
      <c r="C72">
        <v>5.5555599999999998</v>
      </c>
      <c r="E72" t="s">
        <v>476</v>
      </c>
    </row>
    <row r="73" spans="1:5">
      <c r="A73" t="s">
        <v>423</v>
      </c>
      <c r="B73">
        <v>2040</v>
      </c>
      <c r="C73">
        <v>5.5555599999999998</v>
      </c>
      <c r="E73" t="s">
        <v>476</v>
      </c>
    </row>
    <row r="74" spans="1:5">
      <c r="A74" t="s">
        <v>423</v>
      </c>
      <c r="B74">
        <v>2045</v>
      </c>
      <c r="C74">
        <v>5.5555599999999998</v>
      </c>
      <c r="E74" t="s">
        <v>476</v>
      </c>
    </row>
    <row r="75" spans="1:5">
      <c r="A75" t="s">
        <v>423</v>
      </c>
      <c r="B75">
        <v>2050</v>
      </c>
      <c r="C75">
        <v>5.5555599999999998</v>
      </c>
      <c r="E75" t="s">
        <v>476</v>
      </c>
    </row>
    <row r="76" spans="1:5">
      <c r="A76" t="s">
        <v>424</v>
      </c>
      <c r="B76">
        <v>2018</v>
      </c>
      <c r="C76">
        <v>5.5555599999999998</v>
      </c>
      <c r="E76" t="s">
        <v>476</v>
      </c>
    </row>
    <row r="77" spans="1:5">
      <c r="A77" t="s">
        <v>424</v>
      </c>
      <c r="B77">
        <v>2025</v>
      </c>
      <c r="C77">
        <v>5.5555599999999998</v>
      </c>
      <c r="E77" t="s">
        <v>476</v>
      </c>
    </row>
    <row r="78" spans="1:5">
      <c r="A78" t="s">
        <v>424</v>
      </c>
      <c r="B78">
        <v>2030</v>
      </c>
      <c r="C78">
        <v>5.5555599999999998</v>
      </c>
      <c r="E78" t="s">
        <v>476</v>
      </c>
    </row>
    <row r="79" spans="1:5">
      <c r="A79" t="s">
        <v>424</v>
      </c>
      <c r="B79">
        <v>2035</v>
      </c>
      <c r="C79">
        <v>5.5555599999999998</v>
      </c>
      <c r="E79" t="s">
        <v>476</v>
      </c>
    </row>
    <row r="80" spans="1:5">
      <c r="A80" t="s">
        <v>424</v>
      </c>
      <c r="B80">
        <v>2040</v>
      </c>
      <c r="C80">
        <v>5.5555599999999998</v>
      </c>
      <c r="E80" t="s">
        <v>476</v>
      </c>
    </row>
    <row r="81" spans="1:5">
      <c r="A81" t="s">
        <v>424</v>
      </c>
      <c r="B81">
        <v>2045</v>
      </c>
      <c r="C81">
        <v>5.5555599999999998</v>
      </c>
      <c r="E81" t="s">
        <v>476</v>
      </c>
    </row>
    <row r="82" spans="1:5">
      <c r="A82" t="s">
        <v>424</v>
      </c>
      <c r="B82">
        <v>2050</v>
      </c>
      <c r="C82">
        <v>5.5555599999999998</v>
      </c>
      <c r="E82" t="s">
        <v>476</v>
      </c>
    </row>
    <row r="83" spans="1:5" hidden="1">
      <c r="A83" t="s">
        <v>426</v>
      </c>
      <c r="B83">
        <v>2018</v>
      </c>
      <c r="C83">
        <v>27.777799999999999</v>
      </c>
      <c r="E83" t="s">
        <v>474</v>
      </c>
    </row>
    <row r="84" spans="1:5" hidden="1">
      <c r="A84" t="s">
        <v>426</v>
      </c>
      <c r="B84">
        <v>2025</v>
      </c>
      <c r="C84">
        <v>27.777799999999999</v>
      </c>
      <c r="E84" t="s">
        <v>474</v>
      </c>
    </row>
    <row r="85" spans="1:5" hidden="1">
      <c r="A85" t="s">
        <v>426</v>
      </c>
      <c r="B85">
        <v>2030</v>
      </c>
      <c r="C85">
        <v>27.777799999999999</v>
      </c>
      <c r="E85" t="s">
        <v>474</v>
      </c>
    </row>
    <row r="86" spans="1:5" hidden="1">
      <c r="A86" t="s">
        <v>426</v>
      </c>
      <c r="B86">
        <v>2035</v>
      </c>
      <c r="C86">
        <v>27.777799999999999</v>
      </c>
      <c r="E86" t="s">
        <v>474</v>
      </c>
    </row>
    <row r="87" spans="1:5" hidden="1">
      <c r="A87" t="s">
        <v>426</v>
      </c>
      <c r="B87">
        <v>2040</v>
      </c>
      <c r="C87">
        <v>27.777799999999999</v>
      </c>
      <c r="E87" t="s">
        <v>474</v>
      </c>
    </row>
    <row r="88" spans="1:5" hidden="1">
      <c r="A88" t="s">
        <v>426</v>
      </c>
      <c r="B88">
        <v>2045</v>
      </c>
      <c r="C88">
        <v>27.777799999999999</v>
      </c>
      <c r="E88" t="s">
        <v>474</v>
      </c>
    </row>
    <row r="89" spans="1:5" hidden="1">
      <c r="A89" t="s">
        <v>426</v>
      </c>
      <c r="B89">
        <v>2050</v>
      </c>
      <c r="C89">
        <v>27.777799999999999</v>
      </c>
      <c r="E89" t="s">
        <v>474</v>
      </c>
    </row>
    <row r="90" spans="1:5" hidden="1">
      <c r="A90" t="s">
        <v>224</v>
      </c>
      <c r="B90">
        <v>2018</v>
      </c>
      <c r="C90">
        <v>27.777799999999999</v>
      </c>
      <c r="E90" t="s">
        <v>474</v>
      </c>
    </row>
    <row r="91" spans="1:5" hidden="1">
      <c r="A91" t="s">
        <v>224</v>
      </c>
      <c r="B91">
        <v>2025</v>
      </c>
      <c r="C91">
        <v>27.777799999999999</v>
      </c>
      <c r="E91" t="s">
        <v>474</v>
      </c>
    </row>
    <row r="92" spans="1:5" hidden="1">
      <c r="A92" t="s">
        <v>224</v>
      </c>
      <c r="B92">
        <v>2030</v>
      </c>
      <c r="C92">
        <v>27.777799999999999</v>
      </c>
      <c r="E92" t="s">
        <v>474</v>
      </c>
    </row>
    <row r="93" spans="1:5" hidden="1">
      <c r="A93" t="s">
        <v>224</v>
      </c>
      <c r="B93">
        <v>2035</v>
      </c>
      <c r="C93">
        <v>27.777799999999999</v>
      </c>
      <c r="E93" t="s">
        <v>474</v>
      </c>
    </row>
    <row r="94" spans="1:5" hidden="1">
      <c r="A94" t="s">
        <v>224</v>
      </c>
      <c r="B94">
        <v>2040</v>
      </c>
      <c r="C94">
        <v>27.777799999999999</v>
      </c>
      <c r="E94" t="s">
        <v>474</v>
      </c>
    </row>
    <row r="95" spans="1:5" hidden="1">
      <c r="A95" t="s">
        <v>224</v>
      </c>
      <c r="B95">
        <v>2045</v>
      </c>
      <c r="C95">
        <v>27.777799999999999</v>
      </c>
      <c r="E95" t="s">
        <v>474</v>
      </c>
    </row>
    <row r="96" spans="1:5" hidden="1">
      <c r="A96" t="s">
        <v>224</v>
      </c>
      <c r="B96">
        <v>2050</v>
      </c>
      <c r="C96">
        <v>27.777799999999999</v>
      </c>
      <c r="E96" t="s">
        <v>474</v>
      </c>
    </row>
    <row r="97" spans="1:5" hidden="1">
      <c r="A97" t="s">
        <v>235</v>
      </c>
      <c r="B97">
        <v>2018</v>
      </c>
      <c r="C97">
        <v>27.777799999999999</v>
      </c>
      <c r="E97" t="s">
        <v>474</v>
      </c>
    </row>
    <row r="98" spans="1:5" hidden="1">
      <c r="A98" t="s">
        <v>235</v>
      </c>
      <c r="B98">
        <v>2025</v>
      </c>
      <c r="C98">
        <v>27.777799999999999</v>
      </c>
      <c r="E98" t="s">
        <v>474</v>
      </c>
    </row>
    <row r="99" spans="1:5" hidden="1">
      <c r="A99" t="s">
        <v>235</v>
      </c>
      <c r="B99">
        <v>2030</v>
      </c>
      <c r="C99">
        <v>27.777799999999999</v>
      </c>
      <c r="E99" t="s">
        <v>474</v>
      </c>
    </row>
    <row r="100" spans="1:5" hidden="1">
      <c r="A100" t="s">
        <v>235</v>
      </c>
      <c r="B100">
        <v>2035</v>
      </c>
      <c r="C100">
        <v>27.777799999999999</v>
      </c>
      <c r="E100" t="s">
        <v>474</v>
      </c>
    </row>
    <row r="101" spans="1:5" hidden="1">
      <c r="A101" t="s">
        <v>235</v>
      </c>
      <c r="B101">
        <v>2040</v>
      </c>
      <c r="C101">
        <v>27.777799999999999</v>
      </c>
      <c r="E101" t="s">
        <v>474</v>
      </c>
    </row>
    <row r="102" spans="1:5" hidden="1">
      <c r="A102" t="s">
        <v>235</v>
      </c>
      <c r="B102">
        <v>2045</v>
      </c>
      <c r="C102">
        <v>27.777799999999999</v>
      </c>
      <c r="E102" t="s">
        <v>474</v>
      </c>
    </row>
    <row r="103" spans="1:5" hidden="1">
      <c r="A103" t="s">
        <v>235</v>
      </c>
      <c r="B103">
        <v>2050</v>
      </c>
      <c r="C103">
        <v>27.777799999999999</v>
      </c>
      <c r="E103" t="s">
        <v>474</v>
      </c>
    </row>
    <row r="104" spans="1:5" hidden="1">
      <c r="A104" t="s">
        <v>229</v>
      </c>
      <c r="B104">
        <v>2018</v>
      </c>
      <c r="C104">
        <v>27.777799999999999</v>
      </c>
      <c r="E104" t="s">
        <v>474</v>
      </c>
    </row>
    <row r="105" spans="1:5" hidden="1">
      <c r="A105" t="s">
        <v>229</v>
      </c>
      <c r="B105">
        <v>2025</v>
      </c>
      <c r="C105">
        <v>27.777799999999999</v>
      </c>
      <c r="E105" t="s">
        <v>474</v>
      </c>
    </row>
    <row r="106" spans="1:5" hidden="1">
      <c r="A106" t="s">
        <v>229</v>
      </c>
      <c r="B106">
        <v>2030</v>
      </c>
      <c r="C106">
        <v>27.777799999999999</v>
      </c>
      <c r="E106" t="s">
        <v>474</v>
      </c>
    </row>
    <row r="107" spans="1:5" hidden="1">
      <c r="A107" t="s">
        <v>229</v>
      </c>
      <c r="B107">
        <v>2035</v>
      </c>
      <c r="C107">
        <v>27.777799999999999</v>
      </c>
      <c r="E107" t="s">
        <v>474</v>
      </c>
    </row>
    <row r="108" spans="1:5" hidden="1">
      <c r="A108" t="s">
        <v>229</v>
      </c>
      <c r="B108">
        <v>2040</v>
      </c>
      <c r="C108">
        <v>27.777799999999999</v>
      </c>
      <c r="E108" t="s">
        <v>474</v>
      </c>
    </row>
    <row r="109" spans="1:5" hidden="1">
      <c r="A109" t="s">
        <v>229</v>
      </c>
      <c r="B109">
        <v>2045</v>
      </c>
      <c r="C109">
        <v>27.777799999999999</v>
      </c>
      <c r="E109" t="s">
        <v>474</v>
      </c>
    </row>
    <row r="110" spans="1:5" hidden="1">
      <c r="A110" t="s">
        <v>229</v>
      </c>
      <c r="B110">
        <v>2050</v>
      </c>
      <c r="C110">
        <v>27.777799999999999</v>
      </c>
      <c r="E110" t="s">
        <v>474</v>
      </c>
    </row>
    <row r="111" spans="1:5" hidden="1">
      <c r="A111" t="s">
        <v>225</v>
      </c>
      <c r="B111">
        <v>2018</v>
      </c>
      <c r="C111">
        <v>27.777799999999999</v>
      </c>
      <c r="E111" t="s">
        <v>474</v>
      </c>
    </row>
    <row r="112" spans="1:5" hidden="1">
      <c r="A112" t="s">
        <v>225</v>
      </c>
      <c r="B112">
        <v>2025</v>
      </c>
      <c r="C112">
        <v>27.777799999999999</v>
      </c>
      <c r="E112" t="s">
        <v>474</v>
      </c>
    </row>
    <row r="113" spans="1:5" hidden="1">
      <c r="A113" t="s">
        <v>225</v>
      </c>
      <c r="B113">
        <v>2030</v>
      </c>
      <c r="C113">
        <v>27.777799999999999</v>
      </c>
      <c r="E113" t="s">
        <v>474</v>
      </c>
    </row>
    <row r="114" spans="1:5" hidden="1">
      <c r="A114" t="s">
        <v>225</v>
      </c>
      <c r="B114">
        <v>2035</v>
      </c>
      <c r="C114">
        <v>27.777799999999999</v>
      </c>
      <c r="E114" t="s">
        <v>474</v>
      </c>
    </row>
    <row r="115" spans="1:5" hidden="1">
      <c r="A115" t="s">
        <v>225</v>
      </c>
      <c r="B115">
        <v>2040</v>
      </c>
      <c r="C115">
        <v>27.777799999999999</v>
      </c>
      <c r="E115" t="s">
        <v>474</v>
      </c>
    </row>
    <row r="116" spans="1:5" hidden="1">
      <c r="A116" t="s">
        <v>225</v>
      </c>
      <c r="B116">
        <v>2045</v>
      </c>
      <c r="C116">
        <v>27.777799999999999</v>
      </c>
      <c r="E116" t="s">
        <v>474</v>
      </c>
    </row>
    <row r="117" spans="1:5" hidden="1">
      <c r="A117" t="s">
        <v>225</v>
      </c>
      <c r="B117">
        <v>2050</v>
      </c>
      <c r="C117">
        <v>27.777799999999999</v>
      </c>
      <c r="E117" t="s">
        <v>474</v>
      </c>
    </row>
    <row r="118" spans="1:5" hidden="1">
      <c r="A118" t="s">
        <v>236</v>
      </c>
      <c r="B118">
        <v>2018</v>
      </c>
      <c r="C118">
        <v>27.777799999999999</v>
      </c>
      <c r="E118" t="s">
        <v>474</v>
      </c>
    </row>
    <row r="119" spans="1:5" hidden="1">
      <c r="A119" t="s">
        <v>236</v>
      </c>
      <c r="B119">
        <v>2025</v>
      </c>
      <c r="C119">
        <v>27.777799999999999</v>
      </c>
      <c r="E119" t="s">
        <v>474</v>
      </c>
    </row>
    <row r="120" spans="1:5" hidden="1">
      <c r="A120" t="s">
        <v>236</v>
      </c>
      <c r="B120">
        <v>2030</v>
      </c>
      <c r="C120">
        <v>27.777799999999999</v>
      </c>
      <c r="E120" t="s">
        <v>474</v>
      </c>
    </row>
    <row r="121" spans="1:5" hidden="1">
      <c r="A121" t="s">
        <v>236</v>
      </c>
      <c r="B121">
        <v>2035</v>
      </c>
      <c r="C121">
        <v>27.777799999999999</v>
      </c>
      <c r="E121" t="s">
        <v>474</v>
      </c>
    </row>
    <row r="122" spans="1:5" hidden="1">
      <c r="A122" t="s">
        <v>236</v>
      </c>
      <c r="B122">
        <v>2040</v>
      </c>
      <c r="C122">
        <v>27.777799999999999</v>
      </c>
      <c r="E122" t="s">
        <v>474</v>
      </c>
    </row>
    <row r="123" spans="1:5" hidden="1">
      <c r="A123" t="s">
        <v>236</v>
      </c>
      <c r="B123">
        <v>2045</v>
      </c>
      <c r="C123">
        <v>27.777799999999999</v>
      </c>
      <c r="E123" t="s">
        <v>474</v>
      </c>
    </row>
    <row r="124" spans="1:5" hidden="1">
      <c r="A124" t="s">
        <v>236</v>
      </c>
      <c r="B124">
        <v>2050</v>
      </c>
      <c r="C124">
        <v>27.777799999999999</v>
      </c>
      <c r="E124" t="s">
        <v>474</v>
      </c>
    </row>
    <row r="125" spans="1:5" hidden="1">
      <c r="A125" t="s">
        <v>227</v>
      </c>
      <c r="B125">
        <v>2018</v>
      </c>
      <c r="C125">
        <v>27.777799999999999</v>
      </c>
      <c r="E125" t="s">
        <v>474</v>
      </c>
    </row>
    <row r="126" spans="1:5" hidden="1">
      <c r="A126" t="s">
        <v>227</v>
      </c>
      <c r="B126">
        <v>2025</v>
      </c>
      <c r="C126">
        <v>27.777799999999999</v>
      </c>
      <c r="E126" t="s">
        <v>474</v>
      </c>
    </row>
    <row r="127" spans="1:5" hidden="1">
      <c r="A127" t="s">
        <v>227</v>
      </c>
      <c r="B127">
        <v>2030</v>
      </c>
      <c r="C127">
        <v>27.777799999999999</v>
      </c>
      <c r="E127" t="s">
        <v>474</v>
      </c>
    </row>
    <row r="128" spans="1:5" hidden="1">
      <c r="A128" t="s">
        <v>227</v>
      </c>
      <c r="B128">
        <v>2035</v>
      </c>
      <c r="C128">
        <v>27.777799999999999</v>
      </c>
      <c r="E128" t="s">
        <v>474</v>
      </c>
    </row>
    <row r="129" spans="1:5" hidden="1">
      <c r="A129" t="s">
        <v>227</v>
      </c>
      <c r="B129">
        <v>2040</v>
      </c>
      <c r="C129">
        <v>27.777799999999999</v>
      </c>
      <c r="E129" t="s">
        <v>474</v>
      </c>
    </row>
    <row r="130" spans="1:5" hidden="1">
      <c r="A130" t="s">
        <v>227</v>
      </c>
      <c r="B130">
        <v>2045</v>
      </c>
      <c r="C130">
        <v>27.777799999999999</v>
      </c>
      <c r="E130" t="s">
        <v>474</v>
      </c>
    </row>
    <row r="131" spans="1:5" hidden="1">
      <c r="A131" t="s">
        <v>227</v>
      </c>
      <c r="B131">
        <v>2050</v>
      </c>
      <c r="C131">
        <v>27.777799999999999</v>
      </c>
      <c r="E131" t="s">
        <v>474</v>
      </c>
    </row>
    <row r="132" spans="1:5" hidden="1">
      <c r="A132" t="s">
        <v>228</v>
      </c>
      <c r="B132">
        <v>2018</v>
      </c>
      <c r="C132">
        <v>27.777799999999999</v>
      </c>
      <c r="E132" t="s">
        <v>474</v>
      </c>
    </row>
    <row r="133" spans="1:5" hidden="1">
      <c r="A133" t="s">
        <v>228</v>
      </c>
      <c r="B133">
        <v>2025</v>
      </c>
      <c r="C133">
        <v>27.777799999999999</v>
      </c>
      <c r="E133" t="s">
        <v>474</v>
      </c>
    </row>
    <row r="134" spans="1:5" hidden="1">
      <c r="A134" t="s">
        <v>228</v>
      </c>
      <c r="B134">
        <v>2030</v>
      </c>
      <c r="C134">
        <v>27.777799999999999</v>
      </c>
      <c r="E134" t="s">
        <v>474</v>
      </c>
    </row>
    <row r="135" spans="1:5" hidden="1">
      <c r="A135" t="s">
        <v>228</v>
      </c>
      <c r="B135">
        <v>2035</v>
      </c>
      <c r="C135">
        <v>27.777799999999999</v>
      </c>
      <c r="E135" t="s">
        <v>474</v>
      </c>
    </row>
    <row r="136" spans="1:5" hidden="1">
      <c r="A136" t="s">
        <v>228</v>
      </c>
      <c r="B136">
        <v>2040</v>
      </c>
      <c r="C136">
        <v>27.777799999999999</v>
      </c>
      <c r="E136" t="s">
        <v>474</v>
      </c>
    </row>
    <row r="137" spans="1:5" hidden="1">
      <c r="A137" t="s">
        <v>228</v>
      </c>
      <c r="B137">
        <v>2045</v>
      </c>
      <c r="C137">
        <v>27.777799999999999</v>
      </c>
      <c r="E137" t="s">
        <v>474</v>
      </c>
    </row>
    <row r="138" spans="1:5" hidden="1">
      <c r="A138" t="s">
        <v>228</v>
      </c>
      <c r="B138">
        <v>2050</v>
      </c>
      <c r="C138">
        <v>27.777799999999999</v>
      </c>
      <c r="E138" t="s">
        <v>474</v>
      </c>
    </row>
    <row r="139" spans="1:5" hidden="1">
      <c r="A139" t="s">
        <v>226</v>
      </c>
      <c r="B139">
        <v>2018</v>
      </c>
      <c r="C139">
        <v>27.777799999999999</v>
      </c>
      <c r="E139" t="s">
        <v>474</v>
      </c>
    </row>
    <row r="140" spans="1:5" hidden="1">
      <c r="A140" t="s">
        <v>226</v>
      </c>
      <c r="B140">
        <v>2025</v>
      </c>
      <c r="C140">
        <v>27.777799999999999</v>
      </c>
      <c r="E140" t="s">
        <v>474</v>
      </c>
    </row>
    <row r="141" spans="1:5" hidden="1">
      <c r="A141" t="s">
        <v>226</v>
      </c>
      <c r="B141">
        <v>2030</v>
      </c>
      <c r="C141">
        <v>27.777799999999999</v>
      </c>
      <c r="E141" t="s">
        <v>474</v>
      </c>
    </row>
    <row r="142" spans="1:5" hidden="1">
      <c r="A142" t="s">
        <v>226</v>
      </c>
      <c r="B142">
        <v>2035</v>
      </c>
      <c r="C142">
        <v>27.777799999999999</v>
      </c>
      <c r="E142" t="s">
        <v>474</v>
      </c>
    </row>
    <row r="143" spans="1:5" hidden="1">
      <c r="A143" t="s">
        <v>226</v>
      </c>
      <c r="B143">
        <v>2040</v>
      </c>
      <c r="C143">
        <v>27.777799999999999</v>
      </c>
      <c r="E143" t="s">
        <v>474</v>
      </c>
    </row>
    <row r="144" spans="1:5" hidden="1">
      <c r="A144" t="s">
        <v>226</v>
      </c>
      <c r="B144">
        <v>2045</v>
      </c>
      <c r="C144">
        <v>27.777799999999999</v>
      </c>
      <c r="E144" t="s">
        <v>474</v>
      </c>
    </row>
    <row r="145" spans="1:5" hidden="1">
      <c r="A145" t="s">
        <v>226</v>
      </c>
      <c r="B145">
        <v>2050</v>
      </c>
      <c r="C145">
        <v>27.777799999999999</v>
      </c>
      <c r="E145" t="s">
        <v>474</v>
      </c>
    </row>
    <row r="146" spans="1:5" hidden="1">
      <c r="A146" t="s">
        <v>208</v>
      </c>
      <c r="B146">
        <v>2018</v>
      </c>
      <c r="C146">
        <v>27.777799999999999</v>
      </c>
      <c r="E146" t="s">
        <v>474</v>
      </c>
    </row>
    <row r="147" spans="1:5" hidden="1">
      <c r="A147" t="s">
        <v>208</v>
      </c>
      <c r="B147">
        <v>2025</v>
      </c>
      <c r="C147">
        <v>27.777799999999999</v>
      </c>
      <c r="E147" t="s">
        <v>474</v>
      </c>
    </row>
    <row r="148" spans="1:5" hidden="1">
      <c r="A148" t="s">
        <v>208</v>
      </c>
      <c r="B148">
        <v>2030</v>
      </c>
      <c r="C148">
        <v>27.777799999999999</v>
      </c>
      <c r="E148" t="s">
        <v>474</v>
      </c>
    </row>
    <row r="149" spans="1:5" hidden="1">
      <c r="A149" t="s">
        <v>208</v>
      </c>
      <c r="B149">
        <v>2035</v>
      </c>
      <c r="C149">
        <v>27.777799999999999</v>
      </c>
      <c r="E149" t="s">
        <v>474</v>
      </c>
    </row>
    <row r="150" spans="1:5" hidden="1">
      <c r="A150" t="s">
        <v>208</v>
      </c>
      <c r="B150">
        <v>2040</v>
      </c>
      <c r="C150">
        <v>27.777799999999999</v>
      </c>
      <c r="E150" t="s">
        <v>474</v>
      </c>
    </row>
    <row r="151" spans="1:5" hidden="1">
      <c r="A151" t="s">
        <v>208</v>
      </c>
      <c r="B151">
        <v>2045</v>
      </c>
      <c r="C151">
        <v>27.777799999999999</v>
      </c>
      <c r="E151" t="s">
        <v>474</v>
      </c>
    </row>
    <row r="152" spans="1:5" hidden="1">
      <c r="A152" t="s">
        <v>208</v>
      </c>
      <c r="B152">
        <v>2050</v>
      </c>
      <c r="C152">
        <v>27.777799999999999</v>
      </c>
      <c r="E152" t="s">
        <v>474</v>
      </c>
    </row>
    <row r="153" spans="1:5" hidden="1">
      <c r="A153" t="s">
        <v>206</v>
      </c>
      <c r="B153">
        <v>2018</v>
      </c>
      <c r="C153">
        <v>27.777799999999999</v>
      </c>
      <c r="E153" t="s">
        <v>474</v>
      </c>
    </row>
    <row r="154" spans="1:5" hidden="1">
      <c r="A154" t="s">
        <v>206</v>
      </c>
      <c r="B154">
        <v>2025</v>
      </c>
      <c r="C154">
        <v>27.777799999999999</v>
      </c>
      <c r="E154" t="s">
        <v>474</v>
      </c>
    </row>
    <row r="155" spans="1:5" hidden="1">
      <c r="A155" t="s">
        <v>206</v>
      </c>
      <c r="B155">
        <v>2030</v>
      </c>
      <c r="C155">
        <v>27.777799999999999</v>
      </c>
      <c r="E155" t="s">
        <v>474</v>
      </c>
    </row>
    <row r="156" spans="1:5" hidden="1">
      <c r="A156" t="s">
        <v>206</v>
      </c>
      <c r="B156">
        <v>2035</v>
      </c>
      <c r="C156">
        <v>27.777799999999999</v>
      </c>
      <c r="E156" t="s">
        <v>474</v>
      </c>
    </row>
    <row r="157" spans="1:5" hidden="1">
      <c r="A157" t="s">
        <v>206</v>
      </c>
      <c r="B157">
        <v>2040</v>
      </c>
      <c r="C157">
        <v>27.777799999999999</v>
      </c>
      <c r="E157" t="s">
        <v>474</v>
      </c>
    </row>
    <row r="158" spans="1:5" hidden="1">
      <c r="A158" t="s">
        <v>206</v>
      </c>
      <c r="B158">
        <v>2045</v>
      </c>
      <c r="C158">
        <v>27.777799999999999</v>
      </c>
      <c r="E158" t="s">
        <v>474</v>
      </c>
    </row>
    <row r="159" spans="1:5" hidden="1">
      <c r="A159" t="s">
        <v>206</v>
      </c>
      <c r="B159">
        <v>2050</v>
      </c>
      <c r="C159">
        <v>27.777799999999999</v>
      </c>
      <c r="E159" t="s">
        <v>474</v>
      </c>
    </row>
    <row r="160" spans="1:5" hidden="1">
      <c r="A160" t="s">
        <v>150</v>
      </c>
      <c r="B160">
        <v>2018</v>
      </c>
      <c r="C160">
        <v>27.777799999999999</v>
      </c>
      <c r="E160" t="s">
        <v>474</v>
      </c>
    </row>
    <row r="161" spans="1:5" hidden="1">
      <c r="A161" t="s">
        <v>150</v>
      </c>
      <c r="B161">
        <v>2025</v>
      </c>
      <c r="C161">
        <v>27.777799999999999</v>
      </c>
      <c r="E161" t="s">
        <v>474</v>
      </c>
    </row>
    <row r="162" spans="1:5" hidden="1">
      <c r="A162" t="s">
        <v>150</v>
      </c>
      <c r="B162">
        <v>2030</v>
      </c>
      <c r="C162">
        <v>27.777799999999999</v>
      </c>
      <c r="E162" t="s">
        <v>474</v>
      </c>
    </row>
    <row r="163" spans="1:5" hidden="1">
      <c r="A163" t="s">
        <v>150</v>
      </c>
      <c r="B163">
        <v>2035</v>
      </c>
      <c r="C163">
        <v>27.777799999999999</v>
      </c>
      <c r="E163" t="s">
        <v>474</v>
      </c>
    </row>
    <row r="164" spans="1:5" hidden="1">
      <c r="A164" t="s">
        <v>150</v>
      </c>
      <c r="B164">
        <v>2040</v>
      </c>
      <c r="C164">
        <v>27.777799999999999</v>
      </c>
      <c r="E164" t="s">
        <v>474</v>
      </c>
    </row>
    <row r="165" spans="1:5" hidden="1">
      <c r="A165" t="s">
        <v>150</v>
      </c>
      <c r="B165">
        <v>2045</v>
      </c>
      <c r="C165">
        <v>27.777799999999999</v>
      </c>
      <c r="E165" t="s">
        <v>474</v>
      </c>
    </row>
    <row r="166" spans="1:5" hidden="1">
      <c r="A166" t="s">
        <v>150</v>
      </c>
      <c r="B166">
        <v>2050</v>
      </c>
      <c r="C166">
        <v>27.777799999999999</v>
      </c>
      <c r="E166" t="s">
        <v>474</v>
      </c>
    </row>
    <row r="167" spans="1:5" hidden="1">
      <c r="A167" t="s">
        <v>180</v>
      </c>
      <c r="B167">
        <v>2018</v>
      </c>
      <c r="C167">
        <v>27.777799999999999</v>
      </c>
      <c r="E167" t="s">
        <v>474</v>
      </c>
    </row>
    <row r="168" spans="1:5" hidden="1">
      <c r="A168" t="s">
        <v>180</v>
      </c>
      <c r="B168">
        <v>2025</v>
      </c>
      <c r="C168">
        <v>27.777799999999999</v>
      </c>
      <c r="E168" t="s">
        <v>474</v>
      </c>
    </row>
    <row r="169" spans="1:5" hidden="1">
      <c r="A169" t="s">
        <v>180</v>
      </c>
      <c r="B169">
        <v>2030</v>
      </c>
      <c r="C169">
        <v>27.777799999999999</v>
      </c>
      <c r="E169" t="s">
        <v>474</v>
      </c>
    </row>
    <row r="170" spans="1:5" hidden="1">
      <c r="A170" t="s">
        <v>180</v>
      </c>
      <c r="B170">
        <v>2035</v>
      </c>
      <c r="C170">
        <v>27.777799999999999</v>
      </c>
      <c r="E170" t="s">
        <v>474</v>
      </c>
    </row>
    <row r="171" spans="1:5" hidden="1">
      <c r="A171" t="s">
        <v>180</v>
      </c>
      <c r="B171">
        <v>2040</v>
      </c>
      <c r="C171">
        <v>27.777799999999999</v>
      </c>
      <c r="E171" t="s">
        <v>474</v>
      </c>
    </row>
    <row r="172" spans="1:5" hidden="1">
      <c r="A172" t="s">
        <v>180</v>
      </c>
      <c r="B172">
        <v>2045</v>
      </c>
      <c r="C172">
        <v>27.777799999999999</v>
      </c>
      <c r="E172" t="s">
        <v>474</v>
      </c>
    </row>
    <row r="173" spans="1:5" hidden="1">
      <c r="A173" t="s">
        <v>180</v>
      </c>
      <c r="B173">
        <v>2050</v>
      </c>
      <c r="C173">
        <v>27.777799999999999</v>
      </c>
      <c r="E173" t="s">
        <v>474</v>
      </c>
    </row>
    <row r="174" spans="1:5" hidden="1">
      <c r="A174" t="s">
        <v>94</v>
      </c>
      <c r="B174">
        <v>2018</v>
      </c>
      <c r="C174">
        <v>13.8889</v>
      </c>
      <c r="E174" t="s">
        <v>475</v>
      </c>
    </row>
    <row r="175" spans="1:5" hidden="1">
      <c r="A175" t="s">
        <v>94</v>
      </c>
      <c r="B175">
        <v>2025</v>
      </c>
      <c r="C175">
        <v>13.8889</v>
      </c>
      <c r="E175" t="s">
        <v>475</v>
      </c>
    </row>
    <row r="176" spans="1:5" hidden="1">
      <c r="A176" t="s">
        <v>94</v>
      </c>
      <c r="B176">
        <v>2030</v>
      </c>
      <c r="C176">
        <v>13.8889</v>
      </c>
      <c r="E176" t="s">
        <v>475</v>
      </c>
    </row>
    <row r="177" spans="1:5" hidden="1">
      <c r="A177" t="s">
        <v>94</v>
      </c>
      <c r="B177">
        <v>2035</v>
      </c>
      <c r="C177">
        <v>13.8889</v>
      </c>
      <c r="E177" t="s">
        <v>475</v>
      </c>
    </row>
    <row r="178" spans="1:5" hidden="1">
      <c r="A178" t="s">
        <v>94</v>
      </c>
      <c r="B178">
        <v>2040</v>
      </c>
      <c r="C178">
        <v>13.8889</v>
      </c>
      <c r="E178" t="s">
        <v>475</v>
      </c>
    </row>
    <row r="179" spans="1:5" hidden="1">
      <c r="A179" t="s">
        <v>94</v>
      </c>
      <c r="B179">
        <v>2045</v>
      </c>
      <c r="C179">
        <v>13.8889</v>
      </c>
      <c r="E179" t="s">
        <v>475</v>
      </c>
    </row>
    <row r="180" spans="1:5" hidden="1">
      <c r="A180" t="s">
        <v>94</v>
      </c>
      <c r="B180">
        <v>2050</v>
      </c>
      <c r="C180">
        <v>13.8889</v>
      </c>
      <c r="E180" t="s">
        <v>475</v>
      </c>
    </row>
    <row r="181" spans="1:5" hidden="1">
      <c r="A181" t="s">
        <v>237</v>
      </c>
      <c r="B181">
        <v>2018</v>
      </c>
      <c r="C181">
        <v>13.8889</v>
      </c>
      <c r="E181" t="s">
        <v>475</v>
      </c>
    </row>
    <row r="182" spans="1:5" hidden="1">
      <c r="A182" t="s">
        <v>237</v>
      </c>
      <c r="B182">
        <v>2025</v>
      </c>
      <c r="C182">
        <v>13.8889</v>
      </c>
      <c r="E182" t="s">
        <v>475</v>
      </c>
    </row>
    <row r="183" spans="1:5" hidden="1">
      <c r="A183" t="s">
        <v>237</v>
      </c>
      <c r="B183">
        <v>2030</v>
      </c>
      <c r="C183">
        <v>13.8889</v>
      </c>
      <c r="E183" t="s">
        <v>475</v>
      </c>
    </row>
    <row r="184" spans="1:5" hidden="1">
      <c r="A184" t="s">
        <v>237</v>
      </c>
      <c r="B184">
        <v>2035</v>
      </c>
      <c r="C184">
        <v>13.8889</v>
      </c>
      <c r="E184" t="s">
        <v>475</v>
      </c>
    </row>
    <row r="185" spans="1:5" hidden="1">
      <c r="A185" t="s">
        <v>237</v>
      </c>
      <c r="B185">
        <v>2040</v>
      </c>
      <c r="C185">
        <v>13.8889</v>
      </c>
      <c r="E185" t="s">
        <v>475</v>
      </c>
    </row>
    <row r="186" spans="1:5" hidden="1">
      <c r="A186" t="s">
        <v>237</v>
      </c>
      <c r="B186">
        <v>2045</v>
      </c>
      <c r="C186">
        <v>13.8889</v>
      </c>
      <c r="E186" t="s">
        <v>475</v>
      </c>
    </row>
    <row r="187" spans="1:5" hidden="1">
      <c r="A187" t="s">
        <v>237</v>
      </c>
      <c r="B187">
        <v>2050</v>
      </c>
      <c r="C187">
        <v>13.8889</v>
      </c>
      <c r="E187" t="s">
        <v>475</v>
      </c>
    </row>
    <row r="188" spans="1:5" hidden="1">
      <c r="A188" t="s">
        <v>93</v>
      </c>
      <c r="B188">
        <v>2018</v>
      </c>
      <c r="C188">
        <v>13.8889</v>
      </c>
      <c r="E188" t="s">
        <v>475</v>
      </c>
    </row>
    <row r="189" spans="1:5" hidden="1">
      <c r="A189" t="s">
        <v>93</v>
      </c>
      <c r="B189">
        <v>2025</v>
      </c>
      <c r="C189">
        <v>13.8889</v>
      </c>
      <c r="E189" t="s">
        <v>475</v>
      </c>
    </row>
    <row r="190" spans="1:5" hidden="1">
      <c r="A190" t="s">
        <v>93</v>
      </c>
      <c r="B190">
        <v>2030</v>
      </c>
      <c r="C190">
        <v>13.8889</v>
      </c>
      <c r="E190" t="s">
        <v>475</v>
      </c>
    </row>
    <row r="191" spans="1:5" hidden="1">
      <c r="A191" t="s">
        <v>93</v>
      </c>
      <c r="B191">
        <v>2035</v>
      </c>
      <c r="C191">
        <v>13.8889</v>
      </c>
      <c r="E191" t="s">
        <v>475</v>
      </c>
    </row>
    <row r="192" spans="1:5" hidden="1">
      <c r="A192" t="s">
        <v>93</v>
      </c>
      <c r="B192">
        <v>2040</v>
      </c>
      <c r="C192">
        <v>13.8889</v>
      </c>
      <c r="E192" t="s">
        <v>475</v>
      </c>
    </row>
    <row r="193" spans="1:5" hidden="1">
      <c r="A193" t="s">
        <v>93</v>
      </c>
      <c r="B193">
        <v>2045</v>
      </c>
      <c r="C193">
        <v>13.8889</v>
      </c>
      <c r="E193" t="s">
        <v>475</v>
      </c>
    </row>
    <row r="194" spans="1:5" hidden="1">
      <c r="A194" t="s">
        <v>93</v>
      </c>
      <c r="B194">
        <v>2050</v>
      </c>
      <c r="C194">
        <v>13.8889</v>
      </c>
      <c r="E194" t="s">
        <v>475</v>
      </c>
    </row>
    <row r="195" spans="1:5" hidden="1">
      <c r="A195" t="s">
        <v>238</v>
      </c>
      <c r="B195">
        <v>2018</v>
      </c>
      <c r="C195">
        <v>13.8889</v>
      </c>
      <c r="E195" t="s">
        <v>475</v>
      </c>
    </row>
    <row r="196" spans="1:5" hidden="1">
      <c r="A196" t="s">
        <v>238</v>
      </c>
      <c r="B196">
        <v>2025</v>
      </c>
      <c r="C196">
        <v>13.8889</v>
      </c>
      <c r="E196" t="s">
        <v>475</v>
      </c>
    </row>
    <row r="197" spans="1:5" hidden="1">
      <c r="A197" t="s">
        <v>238</v>
      </c>
      <c r="B197">
        <v>2030</v>
      </c>
      <c r="C197">
        <v>13.8889</v>
      </c>
      <c r="E197" t="s">
        <v>475</v>
      </c>
    </row>
    <row r="198" spans="1:5" hidden="1">
      <c r="A198" t="s">
        <v>238</v>
      </c>
      <c r="B198">
        <v>2035</v>
      </c>
      <c r="C198">
        <v>13.8889</v>
      </c>
      <c r="E198" t="s">
        <v>475</v>
      </c>
    </row>
    <row r="199" spans="1:5" hidden="1">
      <c r="A199" t="s">
        <v>238</v>
      </c>
      <c r="B199">
        <v>2040</v>
      </c>
      <c r="C199">
        <v>13.8889</v>
      </c>
      <c r="E199" t="s">
        <v>475</v>
      </c>
    </row>
    <row r="200" spans="1:5" hidden="1">
      <c r="A200" t="s">
        <v>238</v>
      </c>
      <c r="B200">
        <v>2045</v>
      </c>
      <c r="C200">
        <v>13.8889</v>
      </c>
      <c r="E200" t="s">
        <v>475</v>
      </c>
    </row>
    <row r="201" spans="1:5" hidden="1">
      <c r="A201" t="s">
        <v>238</v>
      </c>
      <c r="B201">
        <v>2050</v>
      </c>
      <c r="C201">
        <v>13.8889</v>
      </c>
      <c r="E201" t="s">
        <v>475</v>
      </c>
    </row>
    <row r="202" spans="1:5">
      <c r="A202" t="s">
        <v>429</v>
      </c>
      <c r="B202">
        <v>2018</v>
      </c>
      <c r="C202">
        <v>5.5555599999999998</v>
      </c>
      <c r="E202" t="s">
        <v>476</v>
      </c>
    </row>
    <row r="203" spans="1:5">
      <c r="A203" t="s">
        <v>429</v>
      </c>
      <c r="B203">
        <v>2025</v>
      </c>
      <c r="C203">
        <v>5.5555599999999998</v>
      </c>
      <c r="E203" t="s">
        <v>476</v>
      </c>
    </row>
    <row r="204" spans="1:5">
      <c r="A204" t="s">
        <v>429</v>
      </c>
      <c r="B204">
        <v>2030</v>
      </c>
      <c r="C204">
        <v>5.5555599999999998</v>
      </c>
      <c r="E204" t="s">
        <v>476</v>
      </c>
    </row>
    <row r="205" spans="1:5">
      <c r="A205" t="s">
        <v>429</v>
      </c>
      <c r="B205">
        <v>2035</v>
      </c>
      <c r="C205">
        <v>5.5555599999999998</v>
      </c>
      <c r="E205" t="s">
        <v>476</v>
      </c>
    </row>
    <row r="206" spans="1:5">
      <c r="A206" t="s">
        <v>429</v>
      </c>
      <c r="B206">
        <v>2040</v>
      </c>
      <c r="C206">
        <v>5.5555599999999998</v>
      </c>
      <c r="E206" t="s">
        <v>476</v>
      </c>
    </row>
    <row r="207" spans="1:5">
      <c r="A207" t="s">
        <v>429</v>
      </c>
      <c r="B207">
        <v>2045</v>
      </c>
      <c r="C207">
        <v>5.5555599999999998</v>
      </c>
      <c r="E207" t="s">
        <v>476</v>
      </c>
    </row>
    <row r="208" spans="1:5">
      <c r="A208" t="s">
        <v>429</v>
      </c>
      <c r="B208">
        <v>2050</v>
      </c>
      <c r="C208">
        <v>5.5555599999999998</v>
      </c>
      <c r="E208" t="s">
        <v>476</v>
      </c>
    </row>
    <row r="209" spans="1:5">
      <c r="A209" t="s">
        <v>430</v>
      </c>
      <c r="B209">
        <v>2018</v>
      </c>
      <c r="C209">
        <v>5.5555599999999998</v>
      </c>
      <c r="E209" t="s">
        <v>476</v>
      </c>
    </row>
    <row r="210" spans="1:5">
      <c r="A210" t="s">
        <v>430</v>
      </c>
      <c r="B210">
        <v>2025</v>
      </c>
      <c r="C210">
        <v>5.5555599999999998</v>
      </c>
      <c r="E210" t="s">
        <v>476</v>
      </c>
    </row>
    <row r="211" spans="1:5">
      <c r="A211" t="s">
        <v>430</v>
      </c>
      <c r="B211">
        <v>2030</v>
      </c>
      <c r="C211">
        <v>5.5555599999999998</v>
      </c>
      <c r="E211" t="s">
        <v>476</v>
      </c>
    </row>
    <row r="212" spans="1:5">
      <c r="A212" t="s">
        <v>430</v>
      </c>
      <c r="B212">
        <v>2035</v>
      </c>
      <c r="C212">
        <v>5.5555599999999998</v>
      </c>
      <c r="E212" t="s">
        <v>476</v>
      </c>
    </row>
    <row r="213" spans="1:5">
      <c r="A213" t="s">
        <v>430</v>
      </c>
      <c r="B213">
        <v>2040</v>
      </c>
      <c r="C213">
        <v>5.5555599999999998</v>
      </c>
      <c r="E213" t="s">
        <v>476</v>
      </c>
    </row>
    <row r="214" spans="1:5">
      <c r="A214" t="s">
        <v>430</v>
      </c>
      <c r="B214">
        <v>2045</v>
      </c>
      <c r="C214">
        <v>5.5555599999999998</v>
      </c>
      <c r="E214" t="s">
        <v>476</v>
      </c>
    </row>
    <row r="215" spans="1:5">
      <c r="A215" t="s">
        <v>430</v>
      </c>
      <c r="B215">
        <v>2050</v>
      </c>
      <c r="C215">
        <v>5.5555599999999998</v>
      </c>
      <c r="E215" t="s">
        <v>476</v>
      </c>
    </row>
    <row r="216" spans="1:5">
      <c r="A216" t="s">
        <v>431</v>
      </c>
      <c r="B216">
        <v>2018</v>
      </c>
      <c r="C216">
        <v>5.5555599999999998</v>
      </c>
      <c r="E216" t="s">
        <v>476</v>
      </c>
    </row>
    <row r="217" spans="1:5">
      <c r="A217" t="s">
        <v>431</v>
      </c>
      <c r="B217">
        <v>2025</v>
      </c>
      <c r="C217">
        <v>5.5555599999999998</v>
      </c>
      <c r="E217" t="s">
        <v>476</v>
      </c>
    </row>
    <row r="218" spans="1:5">
      <c r="A218" t="s">
        <v>431</v>
      </c>
      <c r="B218">
        <v>2030</v>
      </c>
      <c r="C218">
        <v>5.5555599999999998</v>
      </c>
      <c r="E218" t="s">
        <v>476</v>
      </c>
    </row>
    <row r="219" spans="1:5">
      <c r="A219" t="s">
        <v>431</v>
      </c>
      <c r="B219">
        <v>2035</v>
      </c>
      <c r="C219">
        <v>5.5555599999999998</v>
      </c>
      <c r="E219" t="s">
        <v>476</v>
      </c>
    </row>
    <row r="220" spans="1:5">
      <c r="A220" t="s">
        <v>431</v>
      </c>
      <c r="B220">
        <v>2040</v>
      </c>
      <c r="C220">
        <v>5.5555599999999998</v>
      </c>
      <c r="E220" t="s">
        <v>476</v>
      </c>
    </row>
    <row r="221" spans="1:5">
      <c r="A221" t="s">
        <v>431</v>
      </c>
      <c r="B221">
        <v>2045</v>
      </c>
      <c r="C221">
        <v>5.5555599999999998</v>
      </c>
      <c r="E221" t="s">
        <v>476</v>
      </c>
    </row>
    <row r="222" spans="1:5">
      <c r="A222" t="s">
        <v>431</v>
      </c>
      <c r="B222">
        <v>2050</v>
      </c>
      <c r="C222">
        <v>5.5555599999999998</v>
      </c>
      <c r="E222" t="s">
        <v>476</v>
      </c>
    </row>
    <row r="223" spans="1:5">
      <c r="A223" t="s">
        <v>239</v>
      </c>
      <c r="B223">
        <v>2018</v>
      </c>
      <c r="C223">
        <v>5.5555599999999998</v>
      </c>
      <c r="E223" t="s">
        <v>476</v>
      </c>
    </row>
    <row r="224" spans="1:5">
      <c r="A224" t="s">
        <v>239</v>
      </c>
      <c r="B224">
        <v>2025</v>
      </c>
      <c r="C224">
        <v>5.5555599999999998</v>
      </c>
      <c r="E224" t="s">
        <v>476</v>
      </c>
    </row>
    <row r="225" spans="1:5">
      <c r="A225" t="s">
        <v>239</v>
      </c>
      <c r="B225">
        <v>2030</v>
      </c>
      <c r="C225">
        <v>5.5555599999999998</v>
      </c>
      <c r="E225" t="s">
        <v>476</v>
      </c>
    </row>
    <row r="226" spans="1:5">
      <c r="A226" t="s">
        <v>239</v>
      </c>
      <c r="B226">
        <v>2035</v>
      </c>
      <c r="C226">
        <v>5.5555599999999998</v>
      </c>
      <c r="E226" t="s">
        <v>476</v>
      </c>
    </row>
    <row r="227" spans="1:5">
      <c r="A227" t="s">
        <v>239</v>
      </c>
      <c r="B227">
        <v>2040</v>
      </c>
      <c r="C227">
        <v>5.5555599999999998</v>
      </c>
      <c r="E227" t="s">
        <v>476</v>
      </c>
    </row>
    <row r="228" spans="1:5">
      <c r="A228" t="s">
        <v>239</v>
      </c>
      <c r="B228">
        <v>2045</v>
      </c>
      <c r="C228">
        <v>5.5555599999999998</v>
      </c>
      <c r="E228" t="s">
        <v>476</v>
      </c>
    </row>
    <row r="229" spans="1:5">
      <c r="A229" t="s">
        <v>239</v>
      </c>
      <c r="B229">
        <v>2050</v>
      </c>
      <c r="C229">
        <v>5.5555599999999998</v>
      </c>
      <c r="E229" t="s">
        <v>476</v>
      </c>
    </row>
    <row r="230" spans="1:5" hidden="1">
      <c r="A230" t="s">
        <v>14</v>
      </c>
      <c r="B230">
        <v>2018</v>
      </c>
      <c r="C230">
        <v>55.555599999999998</v>
      </c>
      <c r="E230" t="s">
        <v>473</v>
      </c>
    </row>
    <row r="231" spans="1:5" hidden="1">
      <c r="A231" t="s">
        <v>14</v>
      </c>
      <c r="B231">
        <v>2025</v>
      </c>
      <c r="C231">
        <v>55.555599999999998</v>
      </c>
      <c r="E231" t="s">
        <v>473</v>
      </c>
    </row>
    <row r="232" spans="1:5" hidden="1">
      <c r="A232" t="s">
        <v>14</v>
      </c>
      <c r="B232">
        <v>2030</v>
      </c>
      <c r="C232">
        <v>55.555599999999998</v>
      </c>
      <c r="E232" t="s">
        <v>473</v>
      </c>
    </row>
    <row r="233" spans="1:5" hidden="1">
      <c r="A233" t="s">
        <v>14</v>
      </c>
      <c r="B233">
        <v>2035</v>
      </c>
      <c r="C233">
        <v>55.555599999999998</v>
      </c>
      <c r="E233" t="s">
        <v>473</v>
      </c>
    </row>
    <row r="234" spans="1:5" hidden="1">
      <c r="A234" t="s">
        <v>14</v>
      </c>
      <c r="B234">
        <v>2040</v>
      </c>
      <c r="C234">
        <v>55.555599999999998</v>
      </c>
      <c r="E234" t="s">
        <v>473</v>
      </c>
    </row>
    <row r="235" spans="1:5" hidden="1">
      <c r="A235" t="s">
        <v>14</v>
      </c>
      <c r="B235">
        <v>2045</v>
      </c>
      <c r="C235">
        <v>55.555599999999998</v>
      </c>
      <c r="E235" t="s">
        <v>473</v>
      </c>
    </row>
    <row r="236" spans="1:5" hidden="1">
      <c r="A236" t="s">
        <v>14</v>
      </c>
      <c r="B236">
        <v>2050</v>
      </c>
      <c r="C236">
        <v>55.555599999999998</v>
      </c>
      <c r="E236" t="s">
        <v>473</v>
      </c>
    </row>
    <row r="237" spans="1:5" hidden="1">
      <c r="A237" t="s">
        <v>49</v>
      </c>
      <c r="B237">
        <v>2018</v>
      </c>
      <c r="C237">
        <v>27.777799999999999</v>
      </c>
      <c r="E237" t="s">
        <v>474</v>
      </c>
    </row>
    <row r="238" spans="1:5" hidden="1">
      <c r="A238" t="s">
        <v>49</v>
      </c>
      <c r="B238">
        <v>2025</v>
      </c>
      <c r="C238">
        <v>27.777799999999999</v>
      </c>
      <c r="E238" t="s">
        <v>474</v>
      </c>
    </row>
    <row r="239" spans="1:5" hidden="1">
      <c r="A239" t="s">
        <v>49</v>
      </c>
      <c r="B239">
        <v>2030</v>
      </c>
      <c r="C239">
        <v>27.777799999999999</v>
      </c>
      <c r="E239" t="s">
        <v>474</v>
      </c>
    </row>
    <row r="240" spans="1:5" hidden="1">
      <c r="A240" t="s">
        <v>49</v>
      </c>
      <c r="B240">
        <v>2035</v>
      </c>
      <c r="C240">
        <v>27.777799999999999</v>
      </c>
      <c r="E240" t="s">
        <v>474</v>
      </c>
    </row>
    <row r="241" spans="1:5" hidden="1">
      <c r="A241" t="s">
        <v>49</v>
      </c>
      <c r="B241">
        <v>2040</v>
      </c>
      <c r="C241">
        <v>27.777799999999999</v>
      </c>
      <c r="E241" t="s">
        <v>474</v>
      </c>
    </row>
    <row r="242" spans="1:5" hidden="1">
      <c r="A242" t="s">
        <v>49</v>
      </c>
      <c r="B242">
        <v>2045</v>
      </c>
      <c r="C242">
        <v>27.777799999999999</v>
      </c>
      <c r="E242" t="s">
        <v>474</v>
      </c>
    </row>
    <row r="243" spans="1:5" hidden="1">
      <c r="A243" t="s">
        <v>49</v>
      </c>
      <c r="B243">
        <v>2050</v>
      </c>
      <c r="C243">
        <v>27.777799999999999</v>
      </c>
      <c r="E243" t="s">
        <v>474</v>
      </c>
    </row>
    <row r="244" spans="1:5" hidden="1">
      <c r="A244" t="s">
        <v>89</v>
      </c>
      <c r="B244">
        <v>2018</v>
      </c>
      <c r="C244">
        <v>13.8889</v>
      </c>
      <c r="E244" t="s">
        <v>475</v>
      </c>
    </row>
    <row r="245" spans="1:5" hidden="1">
      <c r="A245" t="s">
        <v>89</v>
      </c>
      <c r="B245">
        <v>2025</v>
      </c>
      <c r="C245">
        <v>13.8889</v>
      </c>
      <c r="E245" t="s">
        <v>475</v>
      </c>
    </row>
    <row r="246" spans="1:5" hidden="1">
      <c r="A246" t="s">
        <v>89</v>
      </c>
      <c r="B246">
        <v>2030</v>
      </c>
      <c r="C246">
        <v>13.8889</v>
      </c>
      <c r="E246" t="s">
        <v>475</v>
      </c>
    </row>
    <row r="247" spans="1:5" hidden="1">
      <c r="A247" t="s">
        <v>89</v>
      </c>
      <c r="B247">
        <v>2035</v>
      </c>
      <c r="C247">
        <v>13.8889</v>
      </c>
      <c r="E247" t="s">
        <v>475</v>
      </c>
    </row>
    <row r="248" spans="1:5" hidden="1">
      <c r="A248" t="s">
        <v>89</v>
      </c>
      <c r="B248">
        <v>2040</v>
      </c>
      <c r="C248">
        <v>13.8889</v>
      </c>
      <c r="E248" t="s">
        <v>475</v>
      </c>
    </row>
    <row r="249" spans="1:5" hidden="1">
      <c r="A249" t="s">
        <v>89</v>
      </c>
      <c r="B249">
        <v>2045</v>
      </c>
      <c r="C249">
        <v>13.8889</v>
      </c>
      <c r="E249" t="s">
        <v>475</v>
      </c>
    </row>
    <row r="250" spans="1:5" hidden="1">
      <c r="A250" t="s">
        <v>89</v>
      </c>
      <c r="B250">
        <v>2050</v>
      </c>
      <c r="C250">
        <v>13.8889</v>
      </c>
      <c r="E250" t="s">
        <v>475</v>
      </c>
    </row>
    <row r="251" spans="1:5">
      <c r="A251" t="s">
        <v>198</v>
      </c>
      <c r="B251">
        <v>2018</v>
      </c>
      <c r="C251">
        <v>0</v>
      </c>
    </row>
    <row r="252" spans="1:5">
      <c r="A252" t="s">
        <v>218</v>
      </c>
      <c r="B252">
        <v>2018</v>
      </c>
      <c r="C252">
        <v>0</v>
      </c>
    </row>
    <row r="253" spans="1:5">
      <c r="A253" t="s">
        <v>207</v>
      </c>
      <c r="B253">
        <v>2018</v>
      </c>
      <c r="C253">
        <v>0</v>
      </c>
    </row>
    <row r="254" spans="1:5">
      <c r="A254" t="s">
        <v>254</v>
      </c>
      <c r="B254">
        <v>2018</v>
      </c>
      <c r="C254">
        <v>0</v>
      </c>
    </row>
    <row r="255" spans="1:5">
      <c r="A255" t="s">
        <v>200</v>
      </c>
      <c r="B255">
        <v>2018</v>
      </c>
      <c r="C255">
        <v>0</v>
      </c>
    </row>
    <row r="256" spans="1:5">
      <c r="A256" t="s">
        <v>201</v>
      </c>
      <c r="B256">
        <v>2018</v>
      </c>
      <c r="C256">
        <v>0</v>
      </c>
    </row>
    <row r="257" spans="1:3">
      <c r="A257" t="s">
        <v>187</v>
      </c>
      <c r="B257">
        <v>2018</v>
      </c>
      <c r="C257">
        <v>0</v>
      </c>
    </row>
    <row r="258" spans="1:3">
      <c r="A258" t="s">
        <v>214</v>
      </c>
      <c r="B258">
        <v>2018</v>
      </c>
      <c r="C258">
        <v>0</v>
      </c>
    </row>
    <row r="259" spans="1:3">
      <c r="A259" t="s">
        <v>205</v>
      </c>
      <c r="B259">
        <v>2018</v>
      </c>
      <c r="C259">
        <v>0</v>
      </c>
    </row>
    <row r="260" spans="1:3">
      <c r="A260" t="s">
        <v>253</v>
      </c>
      <c r="B260">
        <v>2018</v>
      </c>
      <c r="C260">
        <v>0</v>
      </c>
    </row>
    <row r="261" spans="1:3">
      <c r="A261" t="s">
        <v>188</v>
      </c>
      <c r="B261">
        <v>2018</v>
      </c>
      <c r="C261">
        <v>0</v>
      </c>
    </row>
    <row r="262" spans="1:3">
      <c r="A262" t="s">
        <v>189</v>
      </c>
      <c r="B262">
        <v>2018</v>
      </c>
      <c r="C262">
        <v>0</v>
      </c>
    </row>
    <row r="263" spans="1:3">
      <c r="A263" t="s">
        <v>209</v>
      </c>
      <c r="B263">
        <v>2018</v>
      </c>
      <c r="C263">
        <v>0</v>
      </c>
    </row>
    <row r="264" spans="1:3">
      <c r="A264" t="s">
        <v>211</v>
      </c>
      <c r="B264">
        <v>2018</v>
      </c>
      <c r="C264">
        <v>0</v>
      </c>
    </row>
    <row r="265" spans="1:3">
      <c r="A265" t="s">
        <v>244</v>
      </c>
      <c r="B265">
        <v>2018</v>
      </c>
      <c r="C265">
        <v>0</v>
      </c>
    </row>
    <row r="266" spans="1:3">
      <c r="A266" t="s">
        <v>210</v>
      </c>
      <c r="B266">
        <v>2018</v>
      </c>
      <c r="C266">
        <v>0</v>
      </c>
    </row>
    <row r="267" spans="1:3">
      <c r="A267" t="s">
        <v>245</v>
      </c>
      <c r="B267">
        <v>2018</v>
      </c>
      <c r="C267">
        <v>0</v>
      </c>
    </row>
    <row r="268" spans="1:3">
      <c r="A268" t="s">
        <v>212</v>
      </c>
      <c r="B268">
        <v>2018</v>
      </c>
      <c r="C268">
        <v>0</v>
      </c>
    </row>
    <row r="269" spans="1:3">
      <c r="A269" t="s">
        <v>221</v>
      </c>
      <c r="B269">
        <v>2018</v>
      </c>
      <c r="C269">
        <v>0</v>
      </c>
    </row>
    <row r="270" spans="1:3">
      <c r="A270" t="s">
        <v>198</v>
      </c>
      <c r="B270">
        <v>2025</v>
      </c>
      <c r="C270">
        <v>0</v>
      </c>
    </row>
    <row r="271" spans="1:3">
      <c r="A271" t="s">
        <v>218</v>
      </c>
      <c r="B271">
        <v>2025</v>
      </c>
      <c r="C271">
        <v>0</v>
      </c>
    </row>
    <row r="272" spans="1:3">
      <c r="A272" t="s">
        <v>207</v>
      </c>
      <c r="B272">
        <v>2025</v>
      </c>
      <c r="C272">
        <v>0</v>
      </c>
    </row>
    <row r="273" spans="1:3">
      <c r="A273" t="s">
        <v>254</v>
      </c>
      <c r="B273">
        <v>2025</v>
      </c>
      <c r="C273">
        <v>0</v>
      </c>
    </row>
    <row r="274" spans="1:3">
      <c r="A274" t="s">
        <v>200</v>
      </c>
      <c r="B274">
        <v>2025</v>
      </c>
      <c r="C274">
        <v>0</v>
      </c>
    </row>
    <row r="275" spans="1:3">
      <c r="A275" t="s">
        <v>201</v>
      </c>
      <c r="B275">
        <v>2025</v>
      </c>
      <c r="C275">
        <v>0</v>
      </c>
    </row>
    <row r="276" spans="1:3">
      <c r="A276" t="s">
        <v>187</v>
      </c>
      <c r="B276">
        <v>2025</v>
      </c>
      <c r="C276">
        <v>0</v>
      </c>
    </row>
    <row r="277" spans="1:3">
      <c r="A277" t="s">
        <v>214</v>
      </c>
      <c r="B277">
        <v>2025</v>
      </c>
      <c r="C277">
        <v>0</v>
      </c>
    </row>
    <row r="278" spans="1:3">
      <c r="A278" t="s">
        <v>205</v>
      </c>
      <c r="B278">
        <v>2025</v>
      </c>
      <c r="C278">
        <v>0</v>
      </c>
    </row>
    <row r="279" spans="1:3">
      <c r="A279" t="s">
        <v>253</v>
      </c>
      <c r="B279">
        <v>2025</v>
      </c>
      <c r="C279">
        <v>0</v>
      </c>
    </row>
    <row r="280" spans="1:3">
      <c r="A280" t="s">
        <v>188</v>
      </c>
      <c r="B280">
        <v>2025</v>
      </c>
      <c r="C280">
        <v>0</v>
      </c>
    </row>
    <row r="281" spans="1:3">
      <c r="A281" t="s">
        <v>189</v>
      </c>
      <c r="B281">
        <v>2025</v>
      </c>
      <c r="C281">
        <v>0</v>
      </c>
    </row>
    <row r="282" spans="1:3">
      <c r="A282" t="s">
        <v>209</v>
      </c>
      <c r="B282">
        <v>2025</v>
      </c>
      <c r="C282">
        <v>0</v>
      </c>
    </row>
    <row r="283" spans="1:3">
      <c r="A283" t="s">
        <v>211</v>
      </c>
      <c r="B283">
        <v>2025</v>
      </c>
      <c r="C283">
        <v>0</v>
      </c>
    </row>
    <row r="284" spans="1:3">
      <c r="A284" t="s">
        <v>244</v>
      </c>
      <c r="B284">
        <v>2025</v>
      </c>
      <c r="C284">
        <v>0</v>
      </c>
    </row>
    <row r="285" spans="1:3">
      <c r="A285" t="s">
        <v>210</v>
      </c>
      <c r="B285">
        <v>2025</v>
      </c>
      <c r="C285">
        <v>0</v>
      </c>
    </row>
    <row r="286" spans="1:3">
      <c r="A286" t="s">
        <v>245</v>
      </c>
      <c r="B286">
        <v>2025</v>
      </c>
      <c r="C286">
        <v>0</v>
      </c>
    </row>
    <row r="287" spans="1:3">
      <c r="A287" t="s">
        <v>212</v>
      </c>
      <c r="B287">
        <v>2025</v>
      </c>
      <c r="C287">
        <v>0</v>
      </c>
    </row>
    <row r="288" spans="1:3">
      <c r="A288" t="s">
        <v>221</v>
      </c>
      <c r="B288">
        <v>2025</v>
      </c>
      <c r="C288">
        <v>0</v>
      </c>
    </row>
    <row r="289" spans="1:3">
      <c r="A289" t="s">
        <v>198</v>
      </c>
      <c r="B289">
        <v>2030</v>
      </c>
      <c r="C289">
        <v>0</v>
      </c>
    </row>
    <row r="290" spans="1:3">
      <c r="A290" t="s">
        <v>218</v>
      </c>
      <c r="B290">
        <v>2030</v>
      </c>
      <c r="C290">
        <v>0</v>
      </c>
    </row>
    <row r="291" spans="1:3">
      <c r="A291" t="s">
        <v>207</v>
      </c>
      <c r="B291">
        <v>2030</v>
      </c>
      <c r="C291">
        <v>0</v>
      </c>
    </row>
    <row r="292" spans="1:3">
      <c r="A292" t="s">
        <v>254</v>
      </c>
      <c r="B292">
        <v>2030</v>
      </c>
      <c r="C292">
        <v>0</v>
      </c>
    </row>
    <row r="293" spans="1:3">
      <c r="A293" t="s">
        <v>200</v>
      </c>
      <c r="B293">
        <v>2030</v>
      </c>
      <c r="C293">
        <v>0</v>
      </c>
    </row>
    <row r="294" spans="1:3">
      <c r="A294" t="s">
        <v>201</v>
      </c>
      <c r="B294">
        <v>2030</v>
      </c>
      <c r="C294">
        <v>0</v>
      </c>
    </row>
    <row r="295" spans="1:3">
      <c r="A295" t="s">
        <v>187</v>
      </c>
      <c r="B295">
        <v>2030</v>
      </c>
      <c r="C295">
        <v>0</v>
      </c>
    </row>
    <row r="296" spans="1:3">
      <c r="A296" t="s">
        <v>214</v>
      </c>
      <c r="B296">
        <v>2030</v>
      </c>
      <c r="C296">
        <v>0</v>
      </c>
    </row>
    <row r="297" spans="1:3">
      <c r="A297" t="s">
        <v>205</v>
      </c>
      <c r="B297">
        <v>2030</v>
      </c>
      <c r="C297">
        <v>0</v>
      </c>
    </row>
    <row r="298" spans="1:3">
      <c r="A298" t="s">
        <v>253</v>
      </c>
      <c r="B298">
        <v>2030</v>
      </c>
      <c r="C298">
        <v>0</v>
      </c>
    </row>
    <row r="299" spans="1:3">
      <c r="A299" t="s">
        <v>188</v>
      </c>
      <c r="B299">
        <v>2030</v>
      </c>
      <c r="C299">
        <v>0</v>
      </c>
    </row>
    <row r="300" spans="1:3">
      <c r="A300" t="s">
        <v>189</v>
      </c>
      <c r="B300">
        <v>2030</v>
      </c>
      <c r="C300">
        <v>0</v>
      </c>
    </row>
    <row r="301" spans="1:3">
      <c r="A301" t="s">
        <v>209</v>
      </c>
      <c r="B301">
        <v>2030</v>
      </c>
      <c r="C301">
        <v>0</v>
      </c>
    </row>
    <row r="302" spans="1:3">
      <c r="A302" t="s">
        <v>211</v>
      </c>
      <c r="B302">
        <v>2030</v>
      </c>
      <c r="C302">
        <v>0</v>
      </c>
    </row>
    <row r="303" spans="1:3">
      <c r="A303" t="s">
        <v>244</v>
      </c>
      <c r="B303">
        <v>2030</v>
      </c>
      <c r="C303">
        <v>0</v>
      </c>
    </row>
    <row r="304" spans="1:3">
      <c r="A304" t="s">
        <v>210</v>
      </c>
      <c r="B304">
        <v>2030</v>
      </c>
      <c r="C304">
        <v>0</v>
      </c>
    </row>
    <row r="305" spans="1:3">
      <c r="A305" t="s">
        <v>245</v>
      </c>
      <c r="B305">
        <v>2030</v>
      </c>
      <c r="C305">
        <v>0</v>
      </c>
    </row>
    <row r="306" spans="1:3">
      <c r="A306" t="s">
        <v>212</v>
      </c>
      <c r="B306">
        <v>2030</v>
      </c>
      <c r="C306">
        <v>0</v>
      </c>
    </row>
    <row r="307" spans="1:3">
      <c r="A307" t="s">
        <v>221</v>
      </c>
      <c r="B307">
        <v>2030</v>
      </c>
      <c r="C307">
        <v>0</v>
      </c>
    </row>
    <row r="308" spans="1:3">
      <c r="A308" t="s">
        <v>198</v>
      </c>
      <c r="B308">
        <v>2035</v>
      </c>
      <c r="C308">
        <v>0</v>
      </c>
    </row>
    <row r="309" spans="1:3">
      <c r="A309" t="s">
        <v>218</v>
      </c>
      <c r="B309">
        <v>2035</v>
      </c>
      <c r="C309">
        <v>0</v>
      </c>
    </row>
    <row r="310" spans="1:3">
      <c r="A310" t="s">
        <v>207</v>
      </c>
      <c r="B310">
        <v>2035</v>
      </c>
      <c r="C310">
        <v>0</v>
      </c>
    </row>
    <row r="311" spans="1:3">
      <c r="A311" t="s">
        <v>254</v>
      </c>
      <c r="B311">
        <v>2035</v>
      </c>
      <c r="C311">
        <v>0</v>
      </c>
    </row>
    <row r="312" spans="1:3">
      <c r="A312" t="s">
        <v>200</v>
      </c>
      <c r="B312">
        <v>2035</v>
      </c>
      <c r="C312">
        <v>0</v>
      </c>
    </row>
    <row r="313" spans="1:3">
      <c r="A313" t="s">
        <v>201</v>
      </c>
      <c r="B313">
        <v>2035</v>
      </c>
      <c r="C313">
        <v>0</v>
      </c>
    </row>
    <row r="314" spans="1:3">
      <c r="A314" t="s">
        <v>187</v>
      </c>
      <c r="B314">
        <v>2035</v>
      </c>
      <c r="C314">
        <v>0</v>
      </c>
    </row>
    <row r="315" spans="1:3">
      <c r="A315" t="s">
        <v>214</v>
      </c>
      <c r="B315">
        <v>2035</v>
      </c>
      <c r="C315">
        <v>0</v>
      </c>
    </row>
    <row r="316" spans="1:3">
      <c r="A316" t="s">
        <v>205</v>
      </c>
      <c r="B316">
        <v>2035</v>
      </c>
      <c r="C316">
        <v>0</v>
      </c>
    </row>
    <row r="317" spans="1:3">
      <c r="A317" t="s">
        <v>253</v>
      </c>
      <c r="B317">
        <v>2035</v>
      </c>
      <c r="C317">
        <v>0</v>
      </c>
    </row>
    <row r="318" spans="1:3">
      <c r="A318" t="s">
        <v>188</v>
      </c>
      <c r="B318">
        <v>2035</v>
      </c>
      <c r="C318">
        <v>0</v>
      </c>
    </row>
    <row r="319" spans="1:3">
      <c r="A319" t="s">
        <v>189</v>
      </c>
      <c r="B319">
        <v>2035</v>
      </c>
      <c r="C319">
        <v>0</v>
      </c>
    </row>
    <row r="320" spans="1:3">
      <c r="A320" t="s">
        <v>209</v>
      </c>
      <c r="B320">
        <v>2035</v>
      </c>
      <c r="C320">
        <v>0</v>
      </c>
    </row>
    <row r="321" spans="1:3">
      <c r="A321" t="s">
        <v>211</v>
      </c>
      <c r="B321">
        <v>2035</v>
      </c>
      <c r="C321">
        <v>0</v>
      </c>
    </row>
    <row r="322" spans="1:3">
      <c r="A322" t="s">
        <v>244</v>
      </c>
      <c r="B322">
        <v>2035</v>
      </c>
      <c r="C322">
        <v>0</v>
      </c>
    </row>
    <row r="323" spans="1:3">
      <c r="A323" t="s">
        <v>210</v>
      </c>
      <c r="B323">
        <v>2035</v>
      </c>
      <c r="C323">
        <v>0</v>
      </c>
    </row>
    <row r="324" spans="1:3">
      <c r="A324" t="s">
        <v>245</v>
      </c>
      <c r="B324">
        <v>2035</v>
      </c>
      <c r="C324">
        <v>0</v>
      </c>
    </row>
    <row r="325" spans="1:3">
      <c r="A325" t="s">
        <v>212</v>
      </c>
      <c r="B325">
        <v>2035</v>
      </c>
      <c r="C325">
        <v>0</v>
      </c>
    </row>
    <row r="326" spans="1:3">
      <c r="A326" t="s">
        <v>221</v>
      </c>
      <c r="B326">
        <v>2035</v>
      </c>
      <c r="C326">
        <v>0</v>
      </c>
    </row>
    <row r="327" spans="1:3">
      <c r="A327" t="s">
        <v>198</v>
      </c>
      <c r="B327">
        <v>2040</v>
      </c>
      <c r="C327">
        <v>0</v>
      </c>
    </row>
    <row r="328" spans="1:3">
      <c r="A328" t="s">
        <v>218</v>
      </c>
      <c r="B328">
        <v>2040</v>
      </c>
      <c r="C328">
        <v>0</v>
      </c>
    </row>
    <row r="329" spans="1:3">
      <c r="A329" t="s">
        <v>207</v>
      </c>
      <c r="B329">
        <v>2040</v>
      </c>
      <c r="C329">
        <v>0</v>
      </c>
    </row>
    <row r="330" spans="1:3">
      <c r="A330" t="s">
        <v>254</v>
      </c>
      <c r="B330">
        <v>2040</v>
      </c>
      <c r="C330">
        <v>0</v>
      </c>
    </row>
    <row r="331" spans="1:3">
      <c r="A331" t="s">
        <v>200</v>
      </c>
      <c r="B331">
        <v>2040</v>
      </c>
      <c r="C331">
        <v>0</v>
      </c>
    </row>
    <row r="332" spans="1:3">
      <c r="A332" t="s">
        <v>201</v>
      </c>
      <c r="B332">
        <v>2040</v>
      </c>
      <c r="C332">
        <v>0</v>
      </c>
    </row>
    <row r="333" spans="1:3">
      <c r="A333" t="s">
        <v>187</v>
      </c>
      <c r="B333">
        <v>2040</v>
      </c>
      <c r="C333">
        <v>0</v>
      </c>
    </row>
    <row r="334" spans="1:3">
      <c r="A334" t="s">
        <v>214</v>
      </c>
      <c r="B334">
        <v>2040</v>
      </c>
      <c r="C334">
        <v>0</v>
      </c>
    </row>
    <row r="335" spans="1:3">
      <c r="A335" t="s">
        <v>205</v>
      </c>
      <c r="B335">
        <v>2040</v>
      </c>
      <c r="C335">
        <v>0</v>
      </c>
    </row>
    <row r="336" spans="1:3">
      <c r="A336" t="s">
        <v>253</v>
      </c>
      <c r="B336">
        <v>2040</v>
      </c>
      <c r="C336">
        <v>0</v>
      </c>
    </row>
    <row r="337" spans="1:3">
      <c r="A337" t="s">
        <v>188</v>
      </c>
      <c r="B337">
        <v>2040</v>
      </c>
      <c r="C337">
        <v>0</v>
      </c>
    </row>
    <row r="338" spans="1:3">
      <c r="A338" t="s">
        <v>189</v>
      </c>
      <c r="B338">
        <v>2040</v>
      </c>
      <c r="C338">
        <v>0</v>
      </c>
    </row>
    <row r="339" spans="1:3">
      <c r="A339" t="s">
        <v>209</v>
      </c>
      <c r="B339">
        <v>2040</v>
      </c>
      <c r="C339">
        <v>0</v>
      </c>
    </row>
    <row r="340" spans="1:3">
      <c r="A340" t="s">
        <v>211</v>
      </c>
      <c r="B340">
        <v>2040</v>
      </c>
      <c r="C340">
        <v>0</v>
      </c>
    </row>
    <row r="341" spans="1:3">
      <c r="A341" t="s">
        <v>244</v>
      </c>
      <c r="B341">
        <v>2040</v>
      </c>
      <c r="C341">
        <v>0</v>
      </c>
    </row>
    <row r="342" spans="1:3">
      <c r="A342" t="s">
        <v>210</v>
      </c>
      <c r="B342">
        <v>2040</v>
      </c>
      <c r="C342">
        <v>0</v>
      </c>
    </row>
    <row r="343" spans="1:3">
      <c r="A343" t="s">
        <v>245</v>
      </c>
      <c r="B343">
        <v>2040</v>
      </c>
      <c r="C343">
        <v>0</v>
      </c>
    </row>
    <row r="344" spans="1:3">
      <c r="A344" t="s">
        <v>212</v>
      </c>
      <c r="B344">
        <v>2040</v>
      </c>
      <c r="C344">
        <v>0</v>
      </c>
    </row>
    <row r="345" spans="1:3">
      <c r="A345" t="s">
        <v>221</v>
      </c>
      <c r="B345">
        <v>2040</v>
      </c>
      <c r="C345">
        <v>0</v>
      </c>
    </row>
    <row r="346" spans="1:3">
      <c r="A346" t="s">
        <v>198</v>
      </c>
      <c r="B346">
        <v>2045</v>
      </c>
      <c r="C346">
        <v>0</v>
      </c>
    </row>
    <row r="347" spans="1:3">
      <c r="A347" t="s">
        <v>218</v>
      </c>
      <c r="B347">
        <v>2045</v>
      </c>
      <c r="C347">
        <v>0</v>
      </c>
    </row>
    <row r="348" spans="1:3">
      <c r="A348" t="s">
        <v>207</v>
      </c>
      <c r="B348">
        <v>2045</v>
      </c>
      <c r="C348">
        <v>0</v>
      </c>
    </row>
    <row r="349" spans="1:3">
      <c r="A349" t="s">
        <v>254</v>
      </c>
      <c r="B349">
        <v>2045</v>
      </c>
      <c r="C349">
        <v>0</v>
      </c>
    </row>
    <row r="350" spans="1:3">
      <c r="A350" t="s">
        <v>200</v>
      </c>
      <c r="B350">
        <v>2045</v>
      </c>
      <c r="C350">
        <v>0</v>
      </c>
    </row>
    <row r="351" spans="1:3">
      <c r="A351" t="s">
        <v>201</v>
      </c>
      <c r="B351">
        <v>2045</v>
      </c>
      <c r="C351">
        <v>0</v>
      </c>
    </row>
    <row r="352" spans="1:3">
      <c r="A352" t="s">
        <v>187</v>
      </c>
      <c r="B352">
        <v>2045</v>
      </c>
      <c r="C352">
        <v>0</v>
      </c>
    </row>
    <row r="353" spans="1:3">
      <c r="A353" t="s">
        <v>214</v>
      </c>
      <c r="B353">
        <v>2045</v>
      </c>
      <c r="C353">
        <v>0</v>
      </c>
    </row>
    <row r="354" spans="1:3">
      <c r="A354" t="s">
        <v>205</v>
      </c>
      <c r="B354">
        <v>2045</v>
      </c>
      <c r="C354">
        <v>0</v>
      </c>
    </row>
    <row r="355" spans="1:3">
      <c r="A355" t="s">
        <v>253</v>
      </c>
      <c r="B355">
        <v>2045</v>
      </c>
      <c r="C355">
        <v>0</v>
      </c>
    </row>
    <row r="356" spans="1:3">
      <c r="A356" t="s">
        <v>188</v>
      </c>
      <c r="B356">
        <v>2045</v>
      </c>
      <c r="C356">
        <v>0</v>
      </c>
    </row>
    <row r="357" spans="1:3">
      <c r="A357" t="s">
        <v>189</v>
      </c>
      <c r="B357">
        <v>2045</v>
      </c>
      <c r="C357">
        <v>0</v>
      </c>
    </row>
    <row r="358" spans="1:3">
      <c r="A358" t="s">
        <v>209</v>
      </c>
      <c r="B358">
        <v>2045</v>
      </c>
      <c r="C358">
        <v>0</v>
      </c>
    </row>
    <row r="359" spans="1:3">
      <c r="A359" t="s">
        <v>211</v>
      </c>
      <c r="B359">
        <v>2045</v>
      </c>
      <c r="C359">
        <v>0</v>
      </c>
    </row>
    <row r="360" spans="1:3">
      <c r="A360" t="s">
        <v>244</v>
      </c>
      <c r="B360">
        <v>2045</v>
      </c>
      <c r="C360">
        <v>0</v>
      </c>
    </row>
    <row r="361" spans="1:3">
      <c r="A361" t="s">
        <v>210</v>
      </c>
      <c r="B361">
        <v>2045</v>
      </c>
      <c r="C361">
        <v>0</v>
      </c>
    </row>
    <row r="362" spans="1:3">
      <c r="A362" t="s">
        <v>245</v>
      </c>
      <c r="B362">
        <v>2045</v>
      </c>
      <c r="C362">
        <v>0</v>
      </c>
    </row>
    <row r="363" spans="1:3">
      <c r="A363" t="s">
        <v>212</v>
      </c>
      <c r="B363">
        <v>2045</v>
      </c>
      <c r="C363">
        <v>0</v>
      </c>
    </row>
    <row r="364" spans="1:3">
      <c r="A364" t="s">
        <v>221</v>
      </c>
      <c r="B364">
        <v>2045</v>
      </c>
      <c r="C364">
        <v>0</v>
      </c>
    </row>
    <row r="365" spans="1:3">
      <c r="A365" t="s">
        <v>198</v>
      </c>
      <c r="B365">
        <v>2050</v>
      </c>
      <c r="C365">
        <v>0</v>
      </c>
    </row>
    <row r="366" spans="1:3">
      <c r="A366" t="s">
        <v>218</v>
      </c>
      <c r="B366">
        <v>2050</v>
      </c>
      <c r="C366">
        <v>0</v>
      </c>
    </row>
    <row r="367" spans="1:3">
      <c r="A367" t="s">
        <v>207</v>
      </c>
      <c r="B367">
        <v>2050</v>
      </c>
      <c r="C367">
        <v>0</v>
      </c>
    </row>
    <row r="368" spans="1:3">
      <c r="A368" t="s">
        <v>254</v>
      </c>
      <c r="B368">
        <v>2050</v>
      </c>
      <c r="C368">
        <v>0</v>
      </c>
    </row>
    <row r="369" spans="1:3">
      <c r="A369" t="s">
        <v>200</v>
      </c>
      <c r="B369">
        <v>2050</v>
      </c>
      <c r="C369">
        <v>0</v>
      </c>
    </row>
    <row r="370" spans="1:3">
      <c r="A370" t="s">
        <v>201</v>
      </c>
      <c r="B370">
        <v>2050</v>
      </c>
      <c r="C370">
        <v>0</v>
      </c>
    </row>
    <row r="371" spans="1:3">
      <c r="A371" t="s">
        <v>187</v>
      </c>
      <c r="B371">
        <v>2050</v>
      </c>
      <c r="C371">
        <v>0</v>
      </c>
    </row>
    <row r="372" spans="1:3">
      <c r="A372" t="s">
        <v>214</v>
      </c>
      <c r="B372">
        <v>2050</v>
      </c>
      <c r="C372">
        <v>0</v>
      </c>
    </row>
    <row r="373" spans="1:3">
      <c r="A373" t="s">
        <v>205</v>
      </c>
      <c r="B373">
        <v>2050</v>
      </c>
      <c r="C373">
        <v>0</v>
      </c>
    </row>
    <row r="374" spans="1:3">
      <c r="A374" t="s">
        <v>253</v>
      </c>
      <c r="B374">
        <v>2050</v>
      </c>
      <c r="C374">
        <v>0</v>
      </c>
    </row>
    <row r="375" spans="1:3">
      <c r="A375" t="s">
        <v>188</v>
      </c>
      <c r="B375">
        <v>2050</v>
      </c>
      <c r="C375">
        <v>0</v>
      </c>
    </row>
    <row r="376" spans="1:3">
      <c r="A376" t="s">
        <v>189</v>
      </c>
      <c r="B376">
        <v>2050</v>
      </c>
      <c r="C376">
        <v>0</v>
      </c>
    </row>
    <row r="377" spans="1:3">
      <c r="A377" t="s">
        <v>209</v>
      </c>
      <c r="B377">
        <v>2050</v>
      </c>
      <c r="C377">
        <v>0</v>
      </c>
    </row>
    <row r="378" spans="1:3">
      <c r="A378" t="s">
        <v>211</v>
      </c>
      <c r="B378">
        <v>2050</v>
      </c>
      <c r="C378">
        <v>0</v>
      </c>
    </row>
    <row r="379" spans="1:3">
      <c r="A379" t="s">
        <v>244</v>
      </c>
      <c r="B379">
        <v>2050</v>
      </c>
      <c r="C379">
        <v>0</v>
      </c>
    </row>
    <row r="380" spans="1:3">
      <c r="A380" t="s">
        <v>210</v>
      </c>
      <c r="B380">
        <v>2050</v>
      </c>
      <c r="C380">
        <v>0</v>
      </c>
    </row>
    <row r="381" spans="1:3">
      <c r="A381" t="s">
        <v>245</v>
      </c>
      <c r="B381">
        <v>2050</v>
      </c>
      <c r="C381">
        <v>0</v>
      </c>
    </row>
    <row r="382" spans="1:3">
      <c r="A382" t="s">
        <v>212</v>
      </c>
      <c r="B382">
        <v>2050</v>
      </c>
      <c r="C382">
        <v>0</v>
      </c>
    </row>
    <row r="383" spans="1:3">
      <c r="A383" t="s">
        <v>221</v>
      </c>
      <c r="B383">
        <v>2050</v>
      </c>
      <c r="C383">
        <v>0</v>
      </c>
    </row>
  </sheetData>
  <autoFilter ref="A5:C250" xr:uid="{5ADC7ABB-01C4-4FC5-BF94-6DA6E7B58FF7}">
    <filterColumn colId="2">
      <filters>
        <filter val="5.5555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Sets</vt:lpstr>
      <vt:lpstr>Par_TagTechnologyToSector</vt:lpstr>
      <vt:lpstr>Par_CapacityToActivityUnit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Par_TagTechnologyToModalType</vt:lpstr>
      <vt:lpstr>Par_ModalSplitByFuel</vt:lpstr>
      <vt:lpstr>Par_RegionalCCSLimit</vt:lpstr>
      <vt:lpstr>Par_RegionalBaseYearProduction</vt:lpstr>
      <vt:lpstr>Par_BaseYearProduction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  <vt:lpstr>Par_TagDemandFuelToSector</vt:lpstr>
      <vt:lpstr>Par_TagElectricTechnology</vt:lpstr>
      <vt:lpstr>Par_RampingUpFactor</vt:lpstr>
      <vt:lpstr>Par_RampingDownFactor</vt:lpstr>
      <vt:lpstr>Par_ProductionChangeCost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2023-09-24T17:49:23Z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