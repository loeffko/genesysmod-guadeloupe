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 codeName="DieseArbeitsmappe" autoCompressPictures="0"/>
  <xr:revisionPtr revIDLastSave="1031" documentId="13_ncr:1_{3A2AA824-9975-4245-A910-C1567DD8D210}" xr6:coauthVersionLast="47" xr6:coauthVersionMax="47" xr10:uidLastSave="{B7476E53-10CE-4F01-BC38-21258662B4D5}"/>
  <bookViews>
    <workbookView xWindow="23040" yWindow="0" windowWidth="23040" windowHeight="18600" tabRatio="804" firstSheet="36" activeTab="37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OverallBaseYearMinActivity" sheetId="91" r:id="rId36"/>
    <sheet name="Par_OverallBaseYearMaxActivity" sheetId="92" r:id="rId37"/>
    <sheet name="Par_TotalAnnualMaxActivity" sheetId="39" r:id="rId38"/>
    <sheet name="Par_TotalAnnualMaxCapacity" sheetId="8" r:id="rId39"/>
    <sheet name="Par_ModelPeriodActivityMaxLimit" sheetId="63" r:id="rId40"/>
    <sheet name="Par_TotalAnnualMinCapacity" sheetId="27" r:id="rId41"/>
    <sheet name="Par_RegionalCCSLimit" sheetId="89" r:id="rId42"/>
    <sheet name="Par_RegionalBaseYearProduction" sheetId="75" r:id="rId43"/>
    <sheet name="Par_BaseYearProduction" sheetId="74" r:id="rId44"/>
    <sheet name="Par_TagTechnologyToModalType" sheetId="65" r:id="rId45"/>
    <sheet name="Par_ModalSplitByFuel" sheetId="66" r:id="rId46"/>
    <sheet name="Par_TechnologyToStorage" sheetId="49" r:id="rId47"/>
    <sheet name="Par_TechnologyFromStorage" sheetId="50" r:id="rId48"/>
    <sheet name="Par_StorageLevelStart" sheetId="51" r:id="rId49"/>
    <sheet name="Par_StorageMaxChargeRate" sheetId="52" r:id="rId50"/>
    <sheet name="Par_StorageMaxDischargeRate" sheetId="53" r:id="rId51"/>
    <sheet name="Par_MinStorageCharge" sheetId="54" r:id="rId52"/>
    <sheet name="Par_OperationalLifeStorage" sheetId="55" r:id="rId53"/>
    <sheet name="Par_CapitalCostStorage" sheetId="56" r:id="rId54"/>
    <sheet name="Par_ResidualStorageCapacity" sheetId="57" r:id="rId55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3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5" hidden="1">Par_ModalSplitByFuel!$A$4:$L$69</definedName>
    <definedName name="_xlnm._FilterDatabase" localSheetId="52" hidden="1">Par_OperationalLifeStorage!$A$5:$M$5</definedName>
    <definedName name="_xlnm._FilterDatabase" localSheetId="26" hidden="1">Par_OutputActivityRatio!$A$5:$S$288</definedName>
    <definedName name="_xlnm._FilterDatabase" localSheetId="42" hidden="1">Par_RegionalBaseYearProduction!$A$5:$D$991</definedName>
    <definedName name="_xlnm._FilterDatabase" localSheetId="41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Par_ResidualCapacity!$A$5:$J$1377</definedName>
    <definedName name="_xlnm._FilterDatabase" localSheetId="21" hidden="1">Par_SpecifiedAnnualDemand!$A$4:$J$61</definedName>
    <definedName name="_xlnm._FilterDatabase" localSheetId="44" hidden="1">Par_TagTechnologyToModalType!$A$5:$T$5</definedName>
    <definedName name="_xlnm._FilterDatabase" localSheetId="38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2">#REF!</definedName>
    <definedName name="Emissions" localSheetId="41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2">#REF!</definedName>
    <definedName name="Fuels" localSheetId="41">#REF!</definedName>
    <definedName name="Fuels" localSheetId="22">#REF!</definedName>
    <definedName name="Fuels" localSheetId="3">#REF!</definedName>
    <definedName name="Fuels" localSheetId="37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2">#REF!</definedName>
    <definedName name="Regions" localSheetId="41">#REF!</definedName>
    <definedName name="Regions" localSheetId="22">#REF!</definedName>
    <definedName name="Regions" localSheetId="3">#REF!</definedName>
    <definedName name="Regions" localSheetId="37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2">#REF!</definedName>
    <definedName name="Storages" localSheetId="41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5">#REF!</definedName>
    <definedName name="Technologies" localSheetId="42">#REF!:B</definedName>
    <definedName name="Technologies" localSheetId="41">#REF!:B</definedName>
    <definedName name="Technologies" localSheetId="3">#REF!:B</definedName>
    <definedName name="Technologies" localSheetId="37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2">#REF!</definedName>
    <definedName name="Timeslices" localSheetId="41">#REF!</definedName>
    <definedName name="Timeslices" localSheetId="44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2">#REF!</definedName>
    <definedName name="Years" localSheetId="41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1" l="1"/>
  <c r="C6" i="21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tc={E2A4FE68-5E68-442F-964C-3C66FF92B86C}</author>
    <author>tc={B637E783-4503-43FF-87B4-CACA9FE4A765}</author>
  </authors>
  <commentList>
    <comment ref="L16" authorId="0" shapeId="0" xr:uid="{E2A4FE68-5E68-442F-964C-3C66FF92B8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  <comment ref="L21" authorId="1" shapeId="0" xr:uid="{B637E783-4503-43FF-87B4-CACA9FE4A7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</commentList>
</comments>
</file>

<file path=xl/sharedStrings.xml><?xml version="1.0" encoding="utf-8"?>
<sst xmlns="http://schemas.openxmlformats.org/spreadsheetml/2006/main" count="5763" uniqueCount="502">
  <si>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</si>
  <si>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</si>
  <si>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</si>
  <si>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</si>
  <si>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</si>
  <si>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</si>
  <si>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</si>
  <si>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</si>
  <si>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</si>
  <si>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</si>
  <si>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</si>
  <si>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</si>
  <si>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</si>
  <si>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</si>
  <si>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</si>
  <si>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</si>
  <si>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</si>
  <si>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</si>
  <si>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</si>
  <si>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</si>
  <si>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</si>
  <si>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</si>
  <si>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</si>
  <si>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</si>
  <si>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</si>
  <si>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</si>
  <si>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</si>
  <si>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</si>
  <si>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</si>
  <si>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</si>
  <si>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</si>
  <si>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</si>
  <si>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</si>
  <si>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</si>
  <si>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</si>
  <si>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</si>
  <si>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</si>
  <si>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</si>
  <si>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</si>
  <si>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</si>
  <si>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</si>
  <si>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</si>
  <si>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</si>
  <si>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</si>
  <si>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</si>
  <si>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</si>
  <si>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</si>
  <si>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</si>
  <si>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</si>
  <si>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</si>
  <si>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</si>
  <si>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</si>
  <si>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</si>
  <si>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</si>
  <si>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</si>
  <si>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</si>
  <si>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</si>
  <si>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</si>
  <si>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</si>
  <si>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</si>
  <si>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</si>
  <si>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</si>
  <si>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</si>
  <si>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</si>
  <si>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</si>
  <si>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</si>
  <si>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</si>
  <si>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</si>
  <si>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</si>
  <si>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</si>
  <si>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</si>
  <si>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</si>
  <si>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</si>
  <si>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</si>
  <si>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</si>
  <si>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</si>
  <si>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</si>
  <si>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</si>
  <si>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</si>
  <si>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</si>
  <si>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</si>
  <si>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</si>
  <si>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</si>
  <si>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</si>
  <si>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</si>
  <si>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</si>
  <si>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</si>
  <si>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</si>
  <si>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</si>
  <si>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</si>
  <si>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</si>
  <si>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</si>
  <si>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</si>
  <si>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</si>
  <si>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</si>
  <si>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</si>
  <si>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</si>
  <si>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</si>
  <si>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</si>
  <si>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</si>
  <si>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</si>
  <si>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</si>
  <si>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</si>
  <si>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</si>
  <si>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</si>
  <si>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</si>
  <si>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</si>
  <si>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</si>
  <si>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</si>
  <si>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</si>
  <si>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</si>
  <si>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</si>
  <si>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</si>
  <si>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</si>
  <si>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</si>
  <si>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</si>
  <si>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</si>
  <si>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</si>
  <si>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</si>
  <si>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</si>
  <si>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</si>
  <si>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</si>
  <si>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</si>
  <si>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</si>
  <si>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</si>
  <si>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</si>
  <si>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</si>
  <si>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</si>
  <si>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</si>
  <si>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</si>
  <si>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</si>
  <si>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</si>
  <si>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</si>
  <si>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</si>
  <si>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</si>
  <si>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</si>
  <si>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</si>
  <si>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</si>
  <si>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</si>
  <si>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</si>
  <si>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</si>
  <si>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</si>
  <si>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</si>
  <si>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</si>
  <si>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</si>
  <si>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</si>
  <si>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</si>
  <si>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</si>
  <si>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</si>
  <si>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</si>
  <si>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</si>
  <si>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</si>
  <si>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</si>
  <si>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</si>
  <si>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</si>
  <si>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</si>
  <si>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</si>
  <si>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</si>
  <si>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</si>
  <si>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</si>
  <si>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</si>
  <si>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</si>
  <si>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</si>
  <si>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</si>
  <si>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</si>
  <si>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</si>
  <si>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</si>
  <si>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</si>
  <si>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</si>
  <si>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</si>
  <si>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</si>
  <si>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</si>
  <si>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</si>
  <si>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</si>
  <si>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</si>
  <si>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</si>
  <si>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</si>
  <si>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</si>
  <si>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</si>
  <si>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</si>
  <si>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</si>
  <si>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</si>
  <si>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</si>
  <si>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</si>
  <si>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</si>
  <si>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</si>
  <si>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</si>
  <si>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</si>
  <si>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</si>
  <si>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</si>
  <si>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</si>
  <si>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</si>
  <si>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</si>
  <si>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</si>
  <si>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</si>
  <si>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</si>
  <si>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</si>
  <si>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</si>
  <si>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</si>
  <si>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</si>
  <si>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</si>
  <si>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</si>
  <si>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</si>
  <si>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</si>
  <si>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</si>
  <si>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</si>
  <si>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</si>
  <si>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</si>
  <si>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</si>
  <si>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</si>
  <si>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</si>
  <si>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</si>
  <si>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</si>
  <si>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</si>
  <si>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</si>
  <si>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</si>
  <si>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</si>
  <si>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</si>
  <si>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</si>
  <si>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</si>
  <si>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</si>
  <si>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</si>
  <si>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</si>
  <si>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</si>
  <si>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</si>
  <si>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</si>
  <si>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</si>
  <si>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</si>
  <si>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</si>
  <si>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</si>
  <si>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</si>
  <si>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</si>
  <si>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</si>
  <si>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</si>
  <si>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</si>
  <si>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</si>
  <si>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</si>
  <si>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</si>
  <si>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</si>
  <si>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</si>
  <si>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</si>
  <si>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</si>
  <si>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</si>
  <si>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</si>
  <si>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</si>
  <si>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</si>
  <si>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</si>
  <si>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</si>
  <si>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</si>
  <si>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</si>
  <si>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</si>
  <si>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</si>
  <si>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</si>
  <si>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</si>
  <si>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</si>
  <si>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</si>
  <si>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</si>
  <si>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</si>
  <si>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</si>
  <si>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</si>
  <si>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</si>
  <si>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</si>
  <si>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</si>
  <si>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</si>
  <si>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</si>
  <si>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</si>
  <si>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</si>
  <si>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</si>
  <si>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</si>
  <si>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</si>
  <si>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</si>
  <si>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</si>
  <si>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</si>
  <si>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</si>
  <si>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</si>
  <si>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</si>
  <si>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</si>
  <si>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</si>
  <si>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</si>
  <si>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</si>
  <si>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</si>
  <si>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</si>
  <si>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</si>
  <si>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</si>
  <si>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</si>
  <si>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</si>
  <si>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</si>
  <si>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</si>
  <si>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</si>
  <si>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</si>
  <si>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</si>
  <si>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</si>
  <si>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</si>
  <si>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</si>
  <si>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</si>
  <si>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</si>
  <si>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</si>
  <si>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</si>
  <si>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</si>
  <si>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</si>
  <si>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</si>
  <si>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</si>
  <si>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</si>
  <si>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</si>
  <si>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</si>
  <si>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</si>
  <si>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</si>
  <si>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</si>
  <si>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</si>
  <si>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</si>
  <si>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</si>
  <si>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</si>
  <si>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</si>
  <si>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</si>
  <si>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</si>
  <si>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</si>
  <si>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</si>
  <si>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</si>
  <si>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</si>
  <si>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</si>
  <si>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</si>
  <si>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</si>
  <si>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</si>
  <si>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</si>
  <si>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</si>
  <si>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</si>
  <si>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</si>
  <si>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</si>
  <si>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</si>
  <si>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</si>
  <si>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</si>
  <si>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</si>
  <si>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</si>
  <si>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</si>
  <si>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</si>
  <si>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</si>
  <si>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</si>
  <si>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</si>
  <si>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</si>
  <si>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</si>
  <si>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</si>
  <si>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</si>
  <si>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</si>
  <si>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</si>
  <si>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</si>
  <si>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</si>
  <si>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</si>
  <si>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</si>
  <si>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</si>
  <si>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</si>
  <si>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</si>
  <si>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</si>
  <si>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</si>
  <si>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</si>
  <si>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</si>
  <si>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</si>
  <si>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</si>
  <si>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</si>
  <si>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</si>
  <si>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</si>
  <si>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</si>
  <si>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</si>
  <si>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</si>
  <si>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</si>
  <si>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</si>
  <si>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</si>
  <si>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</si>
  <si>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</si>
  <si>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</si>
  <si>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</si>
  <si>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</si>
  <si>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</si>
  <si>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</si>
  <si>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</si>
  <si>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</si>
  <si>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</si>
  <si>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</si>
  <si>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</si>
  <si>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</si>
  <si>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</si>
  <si>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</si>
  <si>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</si>
  <si>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</si>
  <si>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</si>
  <si>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</si>
  <si>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</si>
  <si>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</si>
  <si>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</si>
  <si>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</si>
  <si>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</si>
  <si>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</si>
  <si>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</si>
  <si>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</si>
  <si>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</si>
  <si>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</si>
  <si>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</si>
  <si>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</si>
  <si>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</si>
  <si>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</si>
  <si>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</si>
  <si>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</si>
  <si>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</si>
  <si>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</si>
  <si>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</si>
  <si>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</si>
  <si>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</si>
  <si>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</si>
  <si>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</si>
  <si>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</si>
  <si>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</si>
  <si>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</si>
  <si>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</si>
  <si>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</si>
  <si>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</si>
  <si>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</si>
  <si>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</si>
  <si>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</si>
  <si>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</si>
  <si>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</si>
  <si>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</si>
  <si>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</si>
  <si>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</si>
  <si>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</si>
  <si>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</si>
  <si>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</si>
  <si>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</si>
  <si>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</si>
  <si>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</si>
  <si>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</si>
  <si>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</si>
  <si>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</si>
  <si>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</si>
  <si>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</si>
  <si>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</si>
  <si>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</si>
  <si>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</si>
  <si>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</si>
  <si>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</si>
  <si>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</si>
  <si>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</si>
  <si>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</si>
  <si>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</si>
  <si>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</si>
  <si>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</si>
  <si>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</si>
  <si>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</si>
  <si>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</si>
  <si>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</si>
  <si>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</si>
  <si>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</si>
  <si>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</si>
  <si>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</si>
  <si>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</si>
  <si>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</si>
  <si>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</si>
  <si>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</si>
  <si>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</si>
  <si>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</si>
  <si>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</si>
  <si>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</si>
  <si>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</si>
  <si>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</si>
  <si>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</si>
  <si>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</si>
  <si>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</si>
  <si>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</si>
  <si>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</si>
  <si>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</si>
  <si>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</si>
  <si>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</si>
  <si>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</si>
  <si>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</si>
  <si>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</si>
  <si>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</si>
  <si>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</si>
  <si>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</si>
  <si>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</si>
  <si>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</si>
  <si>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</si>
  <si>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</si>
  <si>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</si>
  <si>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</si>
  <si>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</si>
  <si>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</si>
  <si>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</si>
  <si>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</si>
  <si>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</si>
  <si>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</si>
  <si>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</si>
  <si>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</si>
  <si>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</si>
  <si>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</si>
  <si>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</si>
  <si>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</si>
  <si>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</si>
  <si>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</si>
  <si>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</si>
  <si>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</si>
  <si>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</si>
  <si>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</si>
  <si>
    <t>TotalAnnualMinActivity{t in TECHNOLOGY, y in YEAR}</t>
  </si>
  <si>
    <t>AggregatedMinimum total activity each year for all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</si>
</sst>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B05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33" fillId="40" borderId="0" xfId="0" applyFont="1" applyFill="1"/>
    <xf numFmtId="0" fontId="9" fillId="40" borderId="0" xfId="1282" applyFill="1"/>
    <xf numFmtId="0" fontId="33" fillId="41" borderId="0" xfId="0" applyFont="1" applyFill="1"/>
    <xf numFmtId="0" fontId="9" fillId="41" borderId="0" xfId="1282" applyFill="1"/>
    <xf numFmtId="0" fontId="0" fillId="40" borderId="0" xfId="0" applyFill="1"/>
    <xf numFmtId="0" fontId="0" fillId="41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0" borderId="0" xfId="0" applyNumberFormat="1" applyFill="1" applyAlignment="1">
      <alignment horizontal="center"/>
    </xf>
    <xf numFmtId="166" fontId="0" fillId="41" borderId="0" xfId="0" applyNumberFormat="1" applyFill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33" fillId="0" borderId="0" xfId="0" applyFont="1"/>
    <xf numFmtId="0" fontId="34" fillId="0" borderId="0" xfId="0" applyFont="1"/>
    <xf numFmtId="0" fontId="33" fillId="0" borderId="0" xfId="0" applyFont="1" applyAlignment="1">
      <alignment wrapText="1"/>
    </xf>
    <xf numFmtId="0" fontId="33" fillId="42" borderId="0" xfId="0" applyFont="1" applyFill="1"/>
    <xf numFmtId="0" fontId="33" fillId="43" borderId="0" xfId="0" applyFont="1" applyFill="1"/>
    <xf numFmtId="0" fontId="33" fillId="44" borderId="0" xfId="0" applyFont="1" applyFill="1"/>
    <xf numFmtId="0" fontId="33" fillId="45" borderId="0" xfId="0" applyFont="1" applyFill="1"/>
    <xf numFmtId="0" fontId="33" fillId="0" borderId="11" xfId="0" applyFont="1" applyBorder="1"/>
    <xf numFmtId="164" fontId="33" fillId="42" borderId="0" xfId="0" applyNumberFormat="1" applyFont="1" applyFill="1"/>
    <xf numFmtId="164" fontId="33" fillId="43" borderId="0" xfId="0" applyNumberFormat="1" applyFont="1" applyFill="1"/>
    <xf numFmtId="164" fontId="33" fillId="44" borderId="0" xfId="0" applyNumberFormat="1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" dT="2023-12-27T20:25:00.80" personId="{00000000-0000-0000-0000-000000000000}" id="{E2A4FE68-5E68-442F-964C-3C66FF92B86C}">
    <text xml:space="preserve">Revised for numerical issues
</text>
  </threadedComment>
  <threadedComment ref="L21" dT="2023-12-27T20:25:16.88" personId="{00000000-0000-0000-0000-000000000000}" id="{B637E783-4503-43FF-87B4-CACA9FE4A765}">
    <text xml:space="preserve">Revised for numerical issues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109" workbookViewId="0">
      <selection activeCell="B99" sqref="B97:B99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t="s">
        <v>238</v>
      </c>
    </row>
    <row r="36" spans="2:2">
      <c r="B36" t="s">
        <v>249</v>
      </c>
    </row>
    <row r="37" spans="2:2">
      <c r="B37" t="s">
        <v>243</v>
      </c>
    </row>
    <row r="38" spans="2:2">
      <c r="B38" t="s">
        <v>239</v>
      </c>
    </row>
    <row r="39" spans="2:2">
      <c r="B39" t="s">
        <v>250</v>
      </c>
    </row>
    <row r="40" spans="2:2">
      <c r="B40" t="s">
        <v>241</v>
      </c>
    </row>
    <row r="41" spans="2:2">
      <c r="B41" t="s">
        <v>242</v>
      </c>
    </row>
    <row r="42" spans="2:2">
      <c r="B42" t="s">
        <v>240</v>
      </c>
    </row>
    <row r="43" spans="2:2">
      <c r="B43" t="s">
        <v>212</v>
      </c>
    </row>
    <row r="44" spans="2:2">
      <c r="B44" t="s">
        <v>447</v>
      </c>
    </row>
    <row r="45" spans="2:2">
      <c r="B45" t="s">
        <v>232</v>
      </c>
    </row>
    <row r="46" spans="2:2">
      <c r="B46" t="s">
        <v>234</v>
      </c>
    </row>
    <row r="47" spans="2:2">
      <c r="B47" t="s">
        <v>221</v>
      </c>
    </row>
    <row r="48" spans="2:2">
      <c r="B48" t="s">
        <v>217</v>
      </c>
    </row>
    <row r="49" spans="2:2">
      <c r="B49" t="s">
        <v>268</v>
      </c>
    </row>
    <row r="50" spans="2:2">
      <c r="B50" t="s">
        <v>214</v>
      </c>
    </row>
    <row r="51" spans="2:2">
      <c r="B51" t="s">
        <v>215</v>
      </c>
    </row>
    <row r="52" spans="2:2">
      <c r="B52" t="s">
        <v>222</v>
      </c>
    </row>
    <row r="53" spans="2:2">
      <c r="B53" t="s">
        <v>233</v>
      </c>
    </row>
    <row r="54" spans="2:2">
      <c r="B54" t="s">
        <v>201</v>
      </c>
    </row>
    <row r="55" spans="2:2">
      <c r="B55" t="s">
        <v>448</v>
      </c>
    </row>
    <row r="56" spans="2:2">
      <c r="B56" t="s">
        <v>228</v>
      </c>
    </row>
    <row r="57" spans="2:2">
      <c r="B57" t="s">
        <v>219</v>
      </c>
    </row>
    <row r="58" spans="2:2">
      <c r="B58" t="s">
        <v>210</v>
      </c>
    </row>
    <row r="59" spans="2:2">
      <c r="B59" t="s">
        <v>267</v>
      </c>
    </row>
    <row r="60" spans="2:2">
      <c r="B60" t="s">
        <v>202</v>
      </c>
    </row>
    <row r="61" spans="2:2">
      <c r="B61" t="s">
        <v>230</v>
      </c>
    </row>
    <row r="62" spans="2:2">
      <c r="B62" t="s">
        <v>231</v>
      </c>
    </row>
    <row r="63" spans="2:2">
      <c r="B63" t="s">
        <v>203</v>
      </c>
    </row>
    <row r="64" spans="2:2">
      <c r="B64" t="s">
        <v>220</v>
      </c>
    </row>
    <row r="65" spans="2:2">
      <c r="B65" t="s">
        <v>229</v>
      </c>
    </row>
    <row r="66" spans="2:2">
      <c r="B66" t="s">
        <v>223</v>
      </c>
    </row>
    <row r="67" spans="2:2">
      <c r="B67" t="s">
        <v>225</v>
      </c>
    </row>
    <row r="68" spans="2:2">
      <c r="B68" t="s">
        <v>258</v>
      </c>
    </row>
    <row r="69" spans="2:2">
      <c r="B69" t="s">
        <v>236</v>
      </c>
    </row>
    <row r="70" spans="2:2">
      <c r="B70" t="s">
        <v>224</v>
      </c>
    </row>
    <row r="71" spans="2:2">
      <c r="B71" t="s">
        <v>259</v>
      </c>
    </row>
    <row r="72" spans="2:2">
      <c r="B72" t="s">
        <v>226</v>
      </c>
    </row>
    <row r="73" spans="2:2">
      <c r="B73" t="s">
        <v>235</v>
      </c>
    </row>
    <row r="74" spans="2:2">
      <c r="B74" t="s">
        <v>158</v>
      </c>
    </row>
    <row r="75" spans="2:2">
      <c r="B75" t="s">
        <v>194</v>
      </c>
    </row>
    <row r="76" spans="2:2">
      <c r="B76" t="s">
        <v>103</v>
      </c>
    </row>
    <row r="77" spans="2:2">
      <c r="B77" t="s">
        <v>251</v>
      </c>
    </row>
    <row r="78" spans="2:2">
      <c r="B78" t="s">
        <v>102</v>
      </c>
    </row>
    <row r="79" spans="2:2">
      <c r="B79" t="s">
        <v>252</v>
      </c>
    </row>
    <row r="80" spans="2:2">
      <c r="B80" t="s">
        <v>449</v>
      </c>
    </row>
    <row r="81" spans="2:2">
      <c r="B81" t="s">
        <v>253</v>
      </c>
    </row>
    <row r="82" spans="2:2">
      <c r="B82" t="s">
        <v>450</v>
      </c>
    </row>
    <row r="83" spans="2:2">
      <c r="B83" t="s">
        <v>451</v>
      </c>
    </row>
    <row r="84" spans="2:2">
      <c r="B84" t="s">
        <v>327</v>
      </c>
    </row>
    <row r="85" spans="2:2">
      <c r="B85" t="s">
        <v>23</v>
      </c>
    </row>
    <row r="86" spans="2:2">
      <c r="B86" t="s">
        <v>56</v>
      </c>
    </row>
    <row r="87" spans="2:2">
      <c r="B87" s="2" t="s">
        <v>132</v>
      </c>
    </row>
    <row r="88" spans="2:2">
      <c r="B88" s="2" t="s">
        <v>58</v>
      </c>
    </row>
    <row r="89" spans="2:2">
      <c r="B89" s="2" t="s">
        <v>133</v>
      </c>
    </row>
    <row r="90" spans="2:2">
      <c r="B90" s="2" t="s">
        <v>128</v>
      </c>
    </row>
    <row r="91" spans="2:2">
      <c r="B91" s="2" t="s">
        <v>129</v>
      </c>
    </row>
    <row r="92" spans="2:2">
      <c r="B92" s="2" t="s">
        <v>60</v>
      </c>
    </row>
    <row r="93" spans="2:2">
      <c r="B93" s="2" t="s">
        <v>123</v>
      </c>
    </row>
    <row r="94" spans="2:2">
      <c r="B94" s="2" t="s">
        <v>59</v>
      </c>
    </row>
    <row r="95" spans="2:2">
      <c r="B95" s="2" t="s">
        <v>317</v>
      </c>
    </row>
    <row r="96" spans="2:2">
      <c r="B96" s="2" t="s">
        <v>124</v>
      </c>
    </row>
    <row r="97" spans="2:2">
      <c r="B97" s="2" t="s">
        <v>493</v>
      </c>
    </row>
    <row r="98" spans="2:2">
      <c r="B98" s="2" t="s">
        <v>494</v>
      </c>
    </row>
    <row r="99" spans="2:2">
      <c r="B99" s="2" t="s">
        <v>495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autoFilter ref="A1:N145" xr:uid="{00000000-0001-0000-0000-000000000000}">
    <sortState xmlns:xlrd2="http://schemas.microsoft.com/office/spreadsheetml/2017/richdata2" ref="A2:N145">
      <sortCondition ref="B1:B145"/>
    </sortState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0" bestFit="1" customWidth="1"/>
    <col min="4" max="4" width="14.109375" style="50" bestFit="1" customWidth="1"/>
    <col min="5" max="5" width="16.6640625" style="50" bestFit="1" customWidth="1"/>
    <col min="6" max="6" width="17" style="50" customWidth="1"/>
    <col min="7" max="7" width="12.88671875" style="50" customWidth="1"/>
    <col min="8" max="8" width="16.109375" style="50" bestFit="1" customWidth="1"/>
    <col min="9" max="9" width="19.88671875" style="50" bestFit="1" customWidth="1"/>
    <col min="10" max="10" width="17.88671875" style="50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49" t="s">
        <v>478</v>
      </c>
      <c r="D5" s="49" t="s">
        <v>479</v>
      </c>
      <c r="E5" s="49" t="s">
        <v>480</v>
      </c>
      <c r="F5" s="49" t="s">
        <v>486</v>
      </c>
      <c r="G5" s="49" t="s">
        <v>485</v>
      </c>
      <c r="H5" s="49" t="s">
        <v>482</v>
      </c>
      <c r="I5" s="49" t="s">
        <v>483</v>
      </c>
      <c r="J5" s="49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8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2" ht="15" customHeight="1">
      <c r="A7" t="s">
        <v>270</v>
      </c>
      <c r="B7" s="48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2" ht="15" customHeight="1">
      <c r="A8" t="s">
        <v>270</v>
      </c>
      <c r="B8" s="48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2" ht="15" customHeight="1">
      <c r="A9" t="s">
        <v>270</v>
      </c>
      <c r="B9" s="48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2" ht="15" customHeight="1">
      <c r="A10" t="s">
        <v>270</v>
      </c>
      <c r="B10" s="48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2" ht="15" customHeight="1">
      <c r="A11" t="s">
        <v>270</v>
      </c>
      <c r="B11" s="48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2" ht="15" customHeight="1">
      <c r="A12" t="s">
        <v>270</v>
      </c>
      <c r="B12" s="48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2" ht="15" customHeight="1">
      <c r="A13" t="s">
        <v>270</v>
      </c>
      <c r="B13" s="48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2" ht="15" customHeight="1">
      <c r="A14" t="s">
        <v>141</v>
      </c>
      <c r="B14" s="48" t="s">
        <v>478</v>
      </c>
      <c r="C14" s="49">
        <v>0</v>
      </c>
      <c r="D14" s="49">
        <v>59</v>
      </c>
      <c r="E14" s="49">
        <v>40.299999999999997</v>
      </c>
      <c r="F14" s="49">
        <v>70</v>
      </c>
      <c r="G14" s="49">
        <v>57</v>
      </c>
      <c r="H14" s="49">
        <v>47</v>
      </c>
      <c r="I14" s="49">
        <v>59.4</v>
      </c>
      <c r="J14" s="49">
        <v>56</v>
      </c>
    </row>
    <row r="15" spans="1:32" ht="15" customHeight="1">
      <c r="A15" t="s">
        <v>141</v>
      </c>
      <c r="B15" s="48" t="s">
        <v>479</v>
      </c>
      <c r="C15" s="49">
        <v>59</v>
      </c>
      <c r="D15" s="49">
        <v>0</v>
      </c>
      <c r="E15" s="49">
        <v>75.7</v>
      </c>
      <c r="F15" s="49">
        <v>81.900000000000006</v>
      </c>
      <c r="G15" s="49">
        <v>92.7</v>
      </c>
      <c r="H15" s="49">
        <v>62</v>
      </c>
      <c r="I15" s="49">
        <v>51.3</v>
      </c>
      <c r="J15" s="49">
        <v>40.9</v>
      </c>
    </row>
    <row r="16" spans="1:32" ht="15" customHeight="1">
      <c r="A16" t="s">
        <v>141</v>
      </c>
      <c r="B16" s="48" t="s">
        <v>480</v>
      </c>
      <c r="C16" s="49">
        <v>40.299999999999997</v>
      </c>
      <c r="D16" s="49">
        <v>75.7</v>
      </c>
      <c r="E16" s="49">
        <v>0</v>
      </c>
      <c r="F16" s="49">
        <v>85.3</v>
      </c>
      <c r="G16" s="49">
        <v>25.7</v>
      </c>
      <c r="H16" s="49">
        <v>44.5</v>
      </c>
      <c r="I16" s="49">
        <v>92.7</v>
      </c>
      <c r="J16" s="49">
        <v>68.2</v>
      </c>
    </row>
    <row r="17" spans="1:10">
      <c r="A17" t="s">
        <v>141</v>
      </c>
      <c r="B17" s="48" t="s">
        <v>486</v>
      </c>
      <c r="C17" s="49">
        <v>70</v>
      </c>
      <c r="D17" s="49">
        <v>81.900000000000006</v>
      </c>
      <c r="E17" s="49">
        <v>85.3</v>
      </c>
      <c r="F17" s="49">
        <v>0</v>
      </c>
      <c r="G17" s="49">
        <v>45</v>
      </c>
      <c r="H17" s="49">
        <v>21.6</v>
      </c>
      <c r="I17" s="49">
        <v>40.6</v>
      </c>
      <c r="J17" s="49">
        <v>42.1</v>
      </c>
    </row>
    <row r="18" spans="1:10" ht="15" customHeight="1">
      <c r="A18" t="s">
        <v>141</v>
      </c>
      <c r="B18" s="48" t="s">
        <v>485</v>
      </c>
      <c r="C18" s="49">
        <v>57</v>
      </c>
      <c r="D18" s="49">
        <v>92.7</v>
      </c>
      <c r="E18" s="49">
        <v>25.7</v>
      </c>
      <c r="F18" s="49">
        <v>45</v>
      </c>
      <c r="G18" s="49">
        <v>0</v>
      </c>
      <c r="H18" s="49">
        <v>58.7</v>
      </c>
      <c r="I18" s="49">
        <v>78.2</v>
      </c>
      <c r="J18" s="49">
        <v>67.3</v>
      </c>
    </row>
    <row r="19" spans="1:10" ht="15" customHeight="1">
      <c r="A19" t="s">
        <v>141</v>
      </c>
      <c r="B19" s="48" t="s">
        <v>482</v>
      </c>
      <c r="C19" s="49">
        <v>47</v>
      </c>
      <c r="D19" s="49">
        <v>62</v>
      </c>
      <c r="E19" s="49">
        <v>44.5</v>
      </c>
      <c r="F19" s="49">
        <v>21.6</v>
      </c>
      <c r="G19" s="49">
        <v>58.7</v>
      </c>
      <c r="H19" s="49">
        <v>0</v>
      </c>
      <c r="I19" s="49">
        <v>19.5</v>
      </c>
      <c r="J19" s="49">
        <v>19.7</v>
      </c>
    </row>
    <row r="20" spans="1:10" ht="15" customHeight="1">
      <c r="A20" t="s">
        <v>141</v>
      </c>
      <c r="B20" s="48" t="s">
        <v>483</v>
      </c>
      <c r="C20" s="49">
        <v>59.4</v>
      </c>
      <c r="D20" s="49">
        <v>51.3</v>
      </c>
      <c r="E20" s="49">
        <v>92.7</v>
      </c>
      <c r="F20" s="49">
        <v>40.6</v>
      </c>
      <c r="G20" s="49">
        <v>78.2</v>
      </c>
      <c r="H20" s="49">
        <v>19.5</v>
      </c>
      <c r="I20" s="49">
        <v>0</v>
      </c>
      <c r="J20" s="49">
        <v>24.5</v>
      </c>
    </row>
    <row r="21" spans="1:10" ht="15" customHeight="1">
      <c r="A21" t="s">
        <v>141</v>
      </c>
      <c r="B21" s="48" t="s">
        <v>484</v>
      </c>
      <c r="C21" s="49">
        <v>56</v>
      </c>
      <c r="D21" s="49">
        <v>40.9</v>
      </c>
      <c r="E21" s="49">
        <v>68.2</v>
      </c>
      <c r="F21" s="49">
        <v>42.1</v>
      </c>
      <c r="G21" s="49">
        <v>67.3</v>
      </c>
      <c r="H21" s="49">
        <v>19.7</v>
      </c>
      <c r="I21" s="49">
        <v>24.5</v>
      </c>
      <c r="J21" s="49">
        <v>0</v>
      </c>
    </row>
    <row r="22" spans="1:10" ht="15" customHeight="1">
      <c r="A22" t="s">
        <v>313</v>
      </c>
      <c r="B22" s="48" t="s">
        <v>478</v>
      </c>
      <c r="C22" s="49">
        <v>0</v>
      </c>
      <c r="D22" s="49">
        <v>59</v>
      </c>
      <c r="E22" s="49">
        <v>40.299999999999997</v>
      </c>
      <c r="F22" s="49">
        <v>70</v>
      </c>
      <c r="G22" s="49">
        <v>57</v>
      </c>
      <c r="H22" s="49">
        <v>47</v>
      </c>
      <c r="I22" s="49">
        <v>59.4</v>
      </c>
      <c r="J22" s="49">
        <v>56</v>
      </c>
    </row>
    <row r="23" spans="1:10" ht="15" customHeight="1">
      <c r="A23" t="s">
        <v>313</v>
      </c>
      <c r="B23" s="48" t="s">
        <v>479</v>
      </c>
      <c r="C23" s="49">
        <v>59</v>
      </c>
      <c r="D23" s="49">
        <v>0</v>
      </c>
      <c r="E23" s="49">
        <v>75.7</v>
      </c>
      <c r="F23" s="49">
        <v>81.900000000000006</v>
      </c>
      <c r="G23" s="49">
        <v>92.7</v>
      </c>
      <c r="H23" s="49">
        <v>62</v>
      </c>
      <c r="I23" s="49">
        <v>51.3</v>
      </c>
      <c r="J23" s="49">
        <v>40.9</v>
      </c>
    </row>
    <row r="24" spans="1:10" ht="15" customHeight="1">
      <c r="A24" t="s">
        <v>313</v>
      </c>
      <c r="B24" s="48" t="s">
        <v>480</v>
      </c>
      <c r="C24" s="49">
        <v>40.299999999999997</v>
      </c>
      <c r="D24" s="49">
        <v>75.7</v>
      </c>
      <c r="E24" s="49">
        <v>0</v>
      </c>
      <c r="F24" s="49">
        <v>85.3</v>
      </c>
      <c r="G24" s="49">
        <v>25.7</v>
      </c>
      <c r="H24" s="49">
        <v>44.5</v>
      </c>
      <c r="I24" s="49">
        <v>92.7</v>
      </c>
      <c r="J24" s="49">
        <v>68.2</v>
      </c>
    </row>
    <row r="25" spans="1:10" ht="15" customHeight="1">
      <c r="A25" t="s">
        <v>313</v>
      </c>
      <c r="B25" s="48" t="s">
        <v>486</v>
      </c>
      <c r="C25" s="49">
        <v>70</v>
      </c>
      <c r="D25" s="49">
        <v>81.900000000000006</v>
      </c>
      <c r="E25" s="49">
        <v>85.3</v>
      </c>
      <c r="F25" s="49">
        <v>0</v>
      </c>
      <c r="G25" s="49">
        <v>45</v>
      </c>
      <c r="H25" s="49">
        <v>21.6</v>
      </c>
      <c r="I25" s="49">
        <v>40.6</v>
      </c>
      <c r="J25" s="49">
        <v>42.1</v>
      </c>
    </row>
    <row r="26" spans="1:10" ht="15" customHeight="1">
      <c r="A26" t="s">
        <v>313</v>
      </c>
      <c r="B26" s="48" t="s">
        <v>485</v>
      </c>
      <c r="C26" s="49">
        <v>57</v>
      </c>
      <c r="D26" s="49">
        <v>92.7</v>
      </c>
      <c r="E26" s="49">
        <v>25.7</v>
      </c>
      <c r="F26" s="49">
        <v>45</v>
      </c>
      <c r="G26" s="49">
        <v>0</v>
      </c>
      <c r="H26" s="49">
        <v>58.7</v>
      </c>
      <c r="I26" s="49">
        <v>78.2</v>
      </c>
      <c r="J26" s="49">
        <v>67.3</v>
      </c>
    </row>
    <row r="27" spans="1:10" ht="15" customHeight="1">
      <c r="A27" t="s">
        <v>313</v>
      </c>
      <c r="B27" s="48" t="s">
        <v>482</v>
      </c>
      <c r="C27" s="49">
        <v>47</v>
      </c>
      <c r="D27" s="49">
        <v>62</v>
      </c>
      <c r="E27" s="49">
        <v>44.5</v>
      </c>
      <c r="F27" s="49">
        <v>21.6</v>
      </c>
      <c r="G27" s="49">
        <v>58.7</v>
      </c>
      <c r="H27" s="49">
        <v>0</v>
      </c>
      <c r="I27" s="49">
        <v>19.5</v>
      </c>
      <c r="J27" s="49">
        <v>19.7</v>
      </c>
    </row>
    <row r="28" spans="1:10" ht="15" customHeight="1">
      <c r="A28" t="s">
        <v>313</v>
      </c>
      <c r="B28" s="48" t="s">
        <v>483</v>
      </c>
      <c r="C28" s="49">
        <v>59.4</v>
      </c>
      <c r="D28" s="49">
        <v>51.3</v>
      </c>
      <c r="E28" s="49">
        <v>92.7</v>
      </c>
      <c r="F28" s="49">
        <v>40.6</v>
      </c>
      <c r="G28" s="49">
        <v>78.2</v>
      </c>
      <c r="H28" s="49">
        <v>19.5</v>
      </c>
      <c r="I28" s="49">
        <v>0</v>
      </c>
      <c r="J28" s="49">
        <v>24.5</v>
      </c>
    </row>
    <row r="29" spans="1:10" ht="15" customHeight="1">
      <c r="A29" t="s">
        <v>313</v>
      </c>
      <c r="B29" s="48" t="s">
        <v>484</v>
      </c>
      <c r="C29" s="49">
        <v>56</v>
      </c>
      <c r="D29" s="49">
        <v>40.9</v>
      </c>
      <c r="E29" s="49">
        <v>68.2</v>
      </c>
      <c r="F29" s="49">
        <v>42.1</v>
      </c>
      <c r="G29" s="49">
        <v>67.3</v>
      </c>
      <c r="H29" s="49">
        <v>19.7</v>
      </c>
      <c r="I29" s="49">
        <v>24.5</v>
      </c>
      <c r="J29" s="49">
        <v>0</v>
      </c>
    </row>
    <row r="30" spans="1:10" ht="15" customHeight="1">
      <c r="A30" t="s">
        <v>312</v>
      </c>
      <c r="B30" s="48" t="s">
        <v>478</v>
      </c>
      <c r="C30" s="49">
        <v>0</v>
      </c>
      <c r="D30" s="49">
        <v>59</v>
      </c>
      <c r="E30" s="49">
        <v>40.299999999999997</v>
      </c>
      <c r="F30" s="49">
        <v>70</v>
      </c>
      <c r="G30" s="49">
        <v>57</v>
      </c>
      <c r="H30" s="49">
        <v>47</v>
      </c>
      <c r="I30" s="49">
        <v>59.4</v>
      </c>
      <c r="J30" s="49">
        <v>56</v>
      </c>
    </row>
    <row r="31" spans="1:10" ht="15" customHeight="1">
      <c r="A31" t="s">
        <v>312</v>
      </c>
      <c r="B31" s="48" t="s">
        <v>479</v>
      </c>
      <c r="C31" s="49">
        <v>59</v>
      </c>
      <c r="D31" s="49">
        <v>0</v>
      </c>
      <c r="E31" s="49">
        <v>75.7</v>
      </c>
      <c r="F31" s="49">
        <v>81.900000000000006</v>
      </c>
      <c r="G31" s="49">
        <v>92.7</v>
      </c>
      <c r="H31" s="49">
        <v>62</v>
      </c>
      <c r="I31" s="49">
        <v>51.3</v>
      </c>
      <c r="J31" s="49">
        <v>40.9</v>
      </c>
    </row>
    <row r="32" spans="1:10" ht="15" customHeight="1">
      <c r="A32" t="s">
        <v>312</v>
      </c>
      <c r="B32" s="48" t="s">
        <v>480</v>
      </c>
      <c r="C32" s="49">
        <v>40.299999999999997</v>
      </c>
      <c r="D32" s="49">
        <v>75.7</v>
      </c>
      <c r="E32" s="49">
        <v>0</v>
      </c>
      <c r="F32" s="49">
        <v>85.3</v>
      </c>
      <c r="G32" s="49">
        <v>25.7</v>
      </c>
      <c r="H32" s="49">
        <v>44.5</v>
      </c>
      <c r="I32" s="49">
        <v>92.7</v>
      </c>
      <c r="J32" s="49">
        <v>68.2</v>
      </c>
    </row>
    <row r="33" spans="1:10" ht="15" customHeight="1">
      <c r="A33" t="s">
        <v>312</v>
      </c>
      <c r="B33" s="48" t="s">
        <v>486</v>
      </c>
      <c r="C33" s="49">
        <v>70</v>
      </c>
      <c r="D33" s="49">
        <v>81.900000000000006</v>
      </c>
      <c r="E33" s="49">
        <v>85.3</v>
      </c>
      <c r="F33" s="49">
        <v>0</v>
      </c>
      <c r="G33" s="49">
        <v>45</v>
      </c>
      <c r="H33" s="49">
        <v>21.6</v>
      </c>
      <c r="I33" s="49">
        <v>40.6</v>
      </c>
      <c r="J33" s="49">
        <v>42.1</v>
      </c>
    </row>
    <row r="34" spans="1:10" ht="15" customHeight="1">
      <c r="A34" t="s">
        <v>312</v>
      </c>
      <c r="B34" s="48" t="s">
        <v>485</v>
      </c>
      <c r="C34" s="49">
        <v>57</v>
      </c>
      <c r="D34" s="49">
        <v>92.7</v>
      </c>
      <c r="E34" s="49">
        <v>25.7</v>
      </c>
      <c r="F34" s="49">
        <v>45</v>
      </c>
      <c r="G34" s="49">
        <v>0</v>
      </c>
      <c r="H34" s="49">
        <v>58.7</v>
      </c>
      <c r="I34" s="49">
        <v>78.2</v>
      </c>
      <c r="J34" s="49">
        <v>67.3</v>
      </c>
    </row>
    <row r="35" spans="1:10" ht="15" customHeight="1">
      <c r="A35" t="s">
        <v>312</v>
      </c>
      <c r="B35" s="48" t="s">
        <v>482</v>
      </c>
      <c r="C35" s="49">
        <v>47</v>
      </c>
      <c r="D35" s="49">
        <v>62</v>
      </c>
      <c r="E35" s="49">
        <v>44.5</v>
      </c>
      <c r="F35" s="49">
        <v>21.6</v>
      </c>
      <c r="G35" s="49">
        <v>58.7</v>
      </c>
      <c r="H35" s="49">
        <v>0</v>
      </c>
      <c r="I35" s="49">
        <v>19.5</v>
      </c>
      <c r="J35" s="49">
        <v>19.7</v>
      </c>
    </row>
    <row r="36" spans="1:10" ht="15" customHeight="1">
      <c r="A36" t="s">
        <v>312</v>
      </c>
      <c r="B36" s="48" t="s">
        <v>483</v>
      </c>
      <c r="C36" s="49">
        <v>59.4</v>
      </c>
      <c r="D36" s="49">
        <v>51.3</v>
      </c>
      <c r="E36" s="49">
        <v>92.7</v>
      </c>
      <c r="F36" s="49">
        <v>40.6</v>
      </c>
      <c r="G36" s="49">
        <v>78.2</v>
      </c>
      <c r="H36" s="49">
        <v>19.5</v>
      </c>
      <c r="I36" s="49">
        <v>0</v>
      </c>
      <c r="J36" s="49">
        <v>24.5</v>
      </c>
    </row>
    <row r="37" spans="1:10" ht="15" customHeight="1">
      <c r="A37" t="s">
        <v>312</v>
      </c>
      <c r="B37" s="48" t="s">
        <v>484</v>
      </c>
      <c r="C37" s="49">
        <v>56</v>
      </c>
      <c r="D37" s="49">
        <v>40.9</v>
      </c>
      <c r="E37" s="49">
        <v>68.2</v>
      </c>
      <c r="F37" s="49">
        <v>42.1</v>
      </c>
      <c r="G37" s="49">
        <v>67.3</v>
      </c>
      <c r="H37" s="49">
        <v>19.7</v>
      </c>
      <c r="I37" s="49">
        <v>24.5</v>
      </c>
      <c r="J37" s="49">
        <v>0</v>
      </c>
    </row>
    <row r="38" spans="1:10" ht="15" customHeight="1">
      <c r="A38" t="s">
        <v>138</v>
      </c>
      <c r="B38" s="48" t="s">
        <v>478</v>
      </c>
      <c r="C38" s="49">
        <v>0</v>
      </c>
      <c r="D38" s="49">
        <v>59</v>
      </c>
      <c r="E38" s="49">
        <v>40.299999999999997</v>
      </c>
      <c r="F38" s="49">
        <v>70</v>
      </c>
      <c r="G38" s="49">
        <v>57</v>
      </c>
      <c r="H38" s="49">
        <v>47</v>
      </c>
      <c r="I38" s="49">
        <v>59.4</v>
      </c>
      <c r="J38" s="49">
        <v>56</v>
      </c>
    </row>
    <row r="39" spans="1:10" ht="15" customHeight="1">
      <c r="A39" t="s">
        <v>138</v>
      </c>
      <c r="B39" s="48" t="s">
        <v>479</v>
      </c>
      <c r="C39" s="49">
        <v>59</v>
      </c>
      <c r="D39" s="49">
        <v>0</v>
      </c>
      <c r="E39" s="49">
        <v>75.7</v>
      </c>
      <c r="F39" s="49">
        <v>81.900000000000006</v>
      </c>
      <c r="G39" s="49">
        <v>92.7</v>
      </c>
      <c r="H39" s="49">
        <v>62</v>
      </c>
      <c r="I39" s="49">
        <v>51.3</v>
      </c>
      <c r="J39" s="49">
        <v>40.9</v>
      </c>
    </row>
    <row r="40" spans="1:10" ht="15" customHeight="1">
      <c r="A40" t="s">
        <v>138</v>
      </c>
      <c r="B40" s="48" t="s">
        <v>480</v>
      </c>
      <c r="C40" s="49">
        <v>40.299999999999997</v>
      </c>
      <c r="D40" s="49">
        <v>75.7</v>
      </c>
      <c r="E40" s="49">
        <v>0</v>
      </c>
      <c r="F40" s="49">
        <v>85.3</v>
      </c>
      <c r="G40" s="49">
        <v>25.7</v>
      </c>
      <c r="H40" s="49">
        <v>44.5</v>
      </c>
      <c r="I40" s="49">
        <v>92.7</v>
      </c>
      <c r="J40" s="49">
        <v>68.2</v>
      </c>
    </row>
    <row r="41" spans="1:10" ht="15" customHeight="1">
      <c r="A41" t="s">
        <v>138</v>
      </c>
      <c r="B41" s="48" t="s">
        <v>486</v>
      </c>
      <c r="C41" s="49">
        <v>70</v>
      </c>
      <c r="D41" s="49">
        <v>81.900000000000006</v>
      </c>
      <c r="E41" s="49">
        <v>85.3</v>
      </c>
      <c r="F41" s="49">
        <v>0</v>
      </c>
      <c r="G41" s="49">
        <v>45</v>
      </c>
      <c r="H41" s="49">
        <v>21.6</v>
      </c>
      <c r="I41" s="49">
        <v>40.6</v>
      </c>
      <c r="J41" s="49">
        <v>42.1</v>
      </c>
    </row>
    <row r="42" spans="1:10" ht="15" customHeight="1">
      <c r="A42" t="s">
        <v>138</v>
      </c>
      <c r="B42" s="48" t="s">
        <v>485</v>
      </c>
      <c r="C42" s="49">
        <v>57</v>
      </c>
      <c r="D42" s="49">
        <v>92.7</v>
      </c>
      <c r="E42" s="49">
        <v>25.7</v>
      </c>
      <c r="F42" s="49">
        <v>45</v>
      </c>
      <c r="G42" s="49">
        <v>0</v>
      </c>
      <c r="H42" s="49">
        <v>58.7</v>
      </c>
      <c r="I42" s="49">
        <v>78.2</v>
      </c>
      <c r="J42" s="49">
        <v>67.3</v>
      </c>
    </row>
    <row r="43" spans="1:10" ht="15" customHeight="1">
      <c r="A43" t="s">
        <v>138</v>
      </c>
      <c r="B43" s="48" t="s">
        <v>482</v>
      </c>
      <c r="C43" s="49">
        <v>47</v>
      </c>
      <c r="D43" s="49">
        <v>62</v>
      </c>
      <c r="E43" s="49">
        <v>44.5</v>
      </c>
      <c r="F43" s="49">
        <v>21.6</v>
      </c>
      <c r="G43" s="49">
        <v>58.7</v>
      </c>
      <c r="H43" s="49">
        <v>0</v>
      </c>
      <c r="I43" s="49">
        <v>19.5</v>
      </c>
      <c r="J43" s="49">
        <v>19.7</v>
      </c>
    </row>
    <row r="44" spans="1:10">
      <c r="A44" t="s">
        <v>138</v>
      </c>
      <c r="B44" s="48" t="s">
        <v>483</v>
      </c>
      <c r="C44" s="49">
        <v>59.4</v>
      </c>
      <c r="D44" s="49">
        <v>51.3</v>
      </c>
      <c r="E44" s="49">
        <v>92.7</v>
      </c>
      <c r="F44" s="49">
        <v>40.6</v>
      </c>
      <c r="G44" s="49">
        <v>78.2</v>
      </c>
      <c r="H44" s="49">
        <v>19.5</v>
      </c>
      <c r="I44" s="49">
        <v>0</v>
      </c>
      <c r="J44" s="49">
        <v>24.5</v>
      </c>
    </row>
    <row r="45" spans="1:10" ht="15" customHeight="1">
      <c r="A45" t="s">
        <v>138</v>
      </c>
      <c r="B45" s="48" t="s">
        <v>484</v>
      </c>
      <c r="C45" s="49">
        <v>56</v>
      </c>
      <c r="D45" s="49">
        <v>40.9</v>
      </c>
      <c r="E45" s="49">
        <v>68.2</v>
      </c>
      <c r="F45" s="49">
        <v>42.1</v>
      </c>
      <c r="G45" s="49">
        <v>67.3</v>
      </c>
      <c r="H45" s="49">
        <v>19.7</v>
      </c>
      <c r="I45" s="49">
        <v>24.5</v>
      </c>
      <c r="J45" s="49">
        <v>0</v>
      </c>
    </row>
    <row r="46" spans="1:10" ht="15" customHeight="1">
      <c r="A46" t="s">
        <v>24</v>
      </c>
      <c r="B46" s="48" t="s">
        <v>478</v>
      </c>
      <c r="C46" s="49">
        <v>0</v>
      </c>
      <c r="D46" s="49">
        <v>0</v>
      </c>
      <c r="E46" s="49">
        <v>0</v>
      </c>
      <c r="F46" s="49">
        <v>0</v>
      </c>
      <c r="G46" s="49">
        <v>32.6</v>
      </c>
      <c r="H46" s="49">
        <v>0</v>
      </c>
      <c r="I46" s="49">
        <v>0</v>
      </c>
      <c r="J46" s="49">
        <v>0</v>
      </c>
    </row>
    <row r="47" spans="1:10" ht="15" customHeight="1">
      <c r="A47" t="s">
        <v>24</v>
      </c>
      <c r="B47" s="48" t="s">
        <v>479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31.5</v>
      </c>
    </row>
    <row r="48" spans="1:10" ht="15" customHeight="1">
      <c r="A48" t="s">
        <v>24</v>
      </c>
      <c r="B48" s="48" t="s">
        <v>480</v>
      </c>
      <c r="C48" s="49">
        <v>0</v>
      </c>
      <c r="D48" s="49">
        <v>0</v>
      </c>
      <c r="E48" s="49">
        <v>0</v>
      </c>
      <c r="F48" s="49">
        <v>0</v>
      </c>
      <c r="G48" s="49">
        <v>24.1</v>
      </c>
      <c r="H48" s="49">
        <v>0</v>
      </c>
      <c r="I48" s="49">
        <v>0</v>
      </c>
      <c r="J48" s="49">
        <v>0</v>
      </c>
    </row>
    <row r="49" spans="1:10" ht="15" customHeight="1">
      <c r="A49" t="s">
        <v>24</v>
      </c>
      <c r="B49" s="48" t="s">
        <v>486</v>
      </c>
      <c r="C49" s="49">
        <v>0</v>
      </c>
      <c r="D49" s="49">
        <v>0</v>
      </c>
      <c r="E49" s="49">
        <v>0</v>
      </c>
      <c r="F49" s="49">
        <v>0</v>
      </c>
      <c r="G49" s="49">
        <v>33.799999999999997</v>
      </c>
      <c r="H49" s="49">
        <v>16</v>
      </c>
      <c r="I49" s="49">
        <v>0</v>
      </c>
      <c r="J49" s="49">
        <v>0</v>
      </c>
    </row>
    <row r="50" spans="1:10" ht="15" customHeight="1">
      <c r="A50" t="s">
        <v>24</v>
      </c>
      <c r="B50" s="48" t="s">
        <v>485</v>
      </c>
      <c r="C50" s="49">
        <v>32.6</v>
      </c>
      <c r="D50" s="49">
        <v>0</v>
      </c>
      <c r="E50" s="49">
        <v>24.1</v>
      </c>
      <c r="F50" s="49">
        <v>33.799999999999997</v>
      </c>
      <c r="G50" s="49">
        <v>0</v>
      </c>
      <c r="H50" s="49">
        <v>0</v>
      </c>
      <c r="I50" s="49">
        <v>0</v>
      </c>
      <c r="J50" s="49">
        <v>0</v>
      </c>
    </row>
    <row r="51" spans="1:10" ht="15" customHeight="1">
      <c r="A51" t="s">
        <v>24</v>
      </c>
      <c r="B51" s="48" t="s">
        <v>482</v>
      </c>
      <c r="C51" s="49">
        <v>0</v>
      </c>
      <c r="D51" s="49">
        <v>0</v>
      </c>
      <c r="E51" s="49">
        <v>0</v>
      </c>
      <c r="F51" s="49">
        <v>16</v>
      </c>
      <c r="G51" s="49">
        <v>0</v>
      </c>
      <c r="H51" s="49">
        <v>0</v>
      </c>
      <c r="I51" s="49">
        <v>15.1</v>
      </c>
      <c r="J51" s="49">
        <v>18.7</v>
      </c>
    </row>
    <row r="52" spans="1:10" ht="15" customHeight="1">
      <c r="A52" t="s">
        <v>24</v>
      </c>
      <c r="B52" s="48" t="s">
        <v>483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15.1</v>
      </c>
      <c r="I52" s="49">
        <v>0</v>
      </c>
      <c r="J52" s="49">
        <v>8.8800000000000008</v>
      </c>
    </row>
    <row r="53" spans="1:10" ht="15" customHeight="1">
      <c r="A53" t="s">
        <v>24</v>
      </c>
      <c r="B53" s="48" t="s">
        <v>484</v>
      </c>
      <c r="C53" s="49">
        <v>0</v>
      </c>
      <c r="D53" s="49">
        <v>31.5</v>
      </c>
      <c r="E53" s="49">
        <v>0</v>
      </c>
      <c r="F53" s="49">
        <v>0</v>
      </c>
      <c r="G53" s="49">
        <v>0</v>
      </c>
      <c r="H53" s="49">
        <v>18.7</v>
      </c>
      <c r="I53" s="49">
        <v>8.8800000000000008</v>
      </c>
      <c r="J53" s="49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6"/>
      <c r="D4" s="46"/>
      <c r="E4" s="46"/>
      <c r="F4" s="46"/>
      <c r="G4" s="46"/>
      <c r="H4" s="46"/>
      <c r="I4" s="46"/>
      <c r="J4" s="46"/>
    </row>
    <row r="5" spans="1:38">
      <c r="B5" s="31"/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8" t="s">
        <v>478</v>
      </c>
      <c r="C6" s="48">
        <v>0</v>
      </c>
      <c r="D6" s="48">
        <v>59</v>
      </c>
      <c r="E6" s="48">
        <v>40.299999999999997</v>
      </c>
      <c r="F6" s="48">
        <v>70</v>
      </c>
      <c r="G6" s="48">
        <v>57</v>
      </c>
      <c r="H6" s="48">
        <v>47</v>
      </c>
      <c r="I6" s="48">
        <v>59.4</v>
      </c>
      <c r="J6" s="48">
        <v>56</v>
      </c>
    </row>
    <row r="7" spans="1:38">
      <c r="A7" t="s">
        <v>433</v>
      </c>
      <c r="B7" s="48" t="s">
        <v>479</v>
      </c>
      <c r="C7" s="48">
        <v>59</v>
      </c>
      <c r="D7" s="48">
        <v>0</v>
      </c>
      <c r="E7" s="48">
        <v>75.7</v>
      </c>
      <c r="F7" s="48">
        <v>81.900000000000006</v>
      </c>
      <c r="G7" s="48">
        <v>92.7</v>
      </c>
      <c r="H7" s="48">
        <v>62</v>
      </c>
      <c r="I7" s="48">
        <v>51.3</v>
      </c>
      <c r="J7" s="48">
        <v>40.9</v>
      </c>
    </row>
    <row r="8" spans="1:38">
      <c r="A8" t="s">
        <v>433</v>
      </c>
      <c r="B8" s="48" t="s">
        <v>480</v>
      </c>
      <c r="C8" s="48">
        <v>40.299999999999997</v>
      </c>
      <c r="D8" s="48">
        <v>75.7</v>
      </c>
      <c r="E8" s="48">
        <v>0</v>
      </c>
      <c r="F8" s="48">
        <v>85.3</v>
      </c>
      <c r="G8" s="48">
        <v>25.7</v>
      </c>
      <c r="H8" s="48">
        <v>44.5</v>
      </c>
      <c r="I8" s="48">
        <v>92.7</v>
      </c>
      <c r="J8" s="48">
        <v>68.2</v>
      </c>
    </row>
    <row r="9" spans="1:38">
      <c r="A9" t="s">
        <v>433</v>
      </c>
      <c r="B9" s="48" t="s">
        <v>486</v>
      </c>
      <c r="C9" s="48">
        <v>70</v>
      </c>
      <c r="D9" s="48">
        <v>81.900000000000006</v>
      </c>
      <c r="E9" s="48">
        <v>85.3</v>
      </c>
      <c r="F9" s="48">
        <v>0</v>
      </c>
      <c r="G9" s="48">
        <v>45</v>
      </c>
      <c r="H9" s="48">
        <v>21.6</v>
      </c>
      <c r="I9" s="48">
        <v>40.6</v>
      </c>
      <c r="J9" s="48">
        <v>42.1</v>
      </c>
    </row>
    <row r="10" spans="1:38">
      <c r="A10" t="s">
        <v>433</v>
      </c>
      <c r="B10" s="48" t="s">
        <v>485</v>
      </c>
      <c r="C10" s="48">
        <v>57</v>
      </c>
      <c r="D10" s="48">
        <v>92.7</v>
      </c>
      <c r="E10" s="48">
        <v>25.7</v>
      </c>
      <c r="F10" s="48">
        <v>45</v>
      </c>
      <c r="G10" s="48">
        <v>0</v>
      </c>
      <c r="H10" s="48">
        <v>58.7</v>
      </c>
      <c r="I10" s="48">
        <v>78.2</v>
      </c>
      <c r="J10" s="48">
        <v>67.3</v>
      </c>
    </row>
    <row r="11" spans="1:38">
      <c r="A11" t="s">
        <v>433</v>
      </c>
      <c r="B11" s="48" t="s">
        <v>482</v>
      </c>
      <c r="C11" s="48">
        <v>47</v>
      </c>
      <c r="D11" s="48">
        <v>62</v>
      </c>
      <c r="E11" s="48">
        <v>44.5</v>
      </c>
      <c r="F11" s="48">
        <v>21.6</v>
      </c>
      <c r="G11" s="48">
        <v>58.7</v>
      </c>
      <c r="H11" s="48">
        <v>0</v>
      </c>
      <c r="I11" s="48">
        <v>19.5</v>
      </c>
      <c r="J11" s="48">
        <v>19.7</v>
      </c>
    </row>
    <row r="12" spans="1:38">
      <c r="A12" t="s">
        <v>433</v>
      </c>
      <c r="B12" s="48" t="s">
        <v>483</v>
      </c>
      <c r="C12" s="48">
        <v>59.4</v>
      </c>
      <c r="D12" s="48">
        <v>51.3</v>
      </c>
      <c r="E12" s="48">
        <v>92.7</v>
      </c>
      <c r="F12" s="48">
        <v>40.6</v>
      </c>
      <c r="G12" s="48">
        <v>78.2</v>
      </c>
      <c r="H12" s="48">
        <v>19.5</v>
      </c>
      <c r="I12" s="48">
        <v>0</v>
      </c>
      <c r="J12" s="48">
        <v>24.5</v>
      </c>
    </row>
    <row r="13" spans="1:38">
      <c r="A13" t="s">
        <v>433</v>
      </c>
      <c r="B13" s="48" t="s">
        <v>484</v>
      </c>
      <c r="C13" s="48">
        <v>56</v>
      </c>
      <c r="D13" s="48">
        <v>40.9</v>
      </c>
      <c r="E13" s="48">
        <v>68.2</v>
      </c>
      <c r="F13" s="48">
        <v>42.1</v>
      </c>
      <c r="G13" s="48">
        <v>67.3</v>
      </c>
      <c r="H13" s="48">
        <v>19.7</v>
      </c>
      <c r="I13" s="48">
        <v>24.5</v>
      </c>
      <c r="J13" s="48">
        <v>0</v>
      </c>
    </row>
    <row r="14" spans="1:38">
      <c r="A14" s="48" t="s">
        <v>141</v>
      </c>
      <c r="B14" s="48" t="s">
        <v>478</v>
      </c>
      <c r="C14" s="48">
        <f>ROUND(IF(C6&gt;0, ((0.0014*C6+13.97)/1.15)*(10^12)/(1000*29308)/1000000, 0),3)</f>
        <v>0</v>
      </c>
      <c r="D14" s="48">
        <f t="shared" ref="D14:J14" si="0">ROUND(IF(D6&gt;0, ((0.0014*D6+13.97)/1.15)*(10^12)/(1000*29308)/1000000, 0),3)</f>
        <v>0.41699999999999998</v>
      </c>
      <c r="E14" s="48">
        <f t="shared" si="0"/>
        <v>0.41599999999999998</v>
      </c>
      <c r="F14" s="48">
        <f t="shared" si="0"/>
        <v>0.41699999999999998</v>
      </c>
      <c r="G14" s="48">
        <f t="shared" si="0"/>
        <v>0.41699999999999998</v>
      </c>
      <c r="H14" s="48">
        <f t="shared" si="0"/>
        <v>0.41599999999999998</v>
      </c>
      <c r="I14" s="48">
        <f t="shared" si="0"/>
        <v>0.41699999999999998</v>
      </c>
      <c r="J14" s="48">
        <f t="shared" si="0"/>
        <v>0.41699999999999998</v>
      </c>
    </row>
    <row r="15" spans="1:38">
      <c r="A15" t="s">
        <v>141</v>
      </c>
      <c r="B15" s="48" t="s">
        <v>479</v>
      </c>
      <c r="C15" s="48">
        <f t="shared" ref="C15:J15" si="1">ROUND(IF(C7&gt;0, ((0.0014*C7+13.97)/1.15)*(10^12)/(1000*29308)/1000000, 0),3)</f>
        <v>0.41699999999999998</v>
      </c>
      <c r="D15" s="48">
        <f t="shared" si="1"/>
        <v>0</v>
      </c>
      <c r="E15" s="48">
        <f t="shared" si="1"/>
        <v>0.41799999999999998</v>
      </c>
      <c r="F15" s="48">
        <f t="shared" si="1"/>
        <v>0.41799999999999998</v>
      </c>
      <c r="G15" s="48">
        <f t="shared" si="1"/>
        <v>0.41799999999999998</v>
      </c>
      <c r="H15" s="48">
        <f t="shared" si="1"/>
        <v>0.41699999999999998</v>
      </c>
      <c r="I15" s="48">
        <f t="shared" si="1"/>
        <v>0.41699999999999998</v>
      </c>
      <c r="J15" s="48">
        <f t="shared" si="1"/>
        <v>0.41599999999999998</v>
      </c>
    </row>
    <row r="16" spans="1:38">
      <c r="A16" t="s">
        <v>141</v>
      </c>
      <c r="B16" s="48" t="s">
        <v>480</v>
      </c>
      <c r="C16" s="48">
        <f t="shared" ref="C16:J16" si="2">ROUND(IF(C8&gt;0, ((0.0014*C8+13.97)/1.15)*(10^12)/(1000*29308)/1000000, 0),3)</f>
        <v>0.41599999999999998</v>
      </c>
      <c r="D16" s="48">
        <f t="shared" si="2"/>
        <v>0.41799999999999998</v>
      </c>
      <c r="E16" s="48">
        <f t="shared" si="2"/>
        <v>0</v>
      </c>
      <c r="F16" s="48">
        <f t="shared" si="2"/>
        <v>0.41799999999999998</v>
      </c>
      <c r="G16" s="48">
        <f t="shared" si="2"/>
        <v>0.41599999999999998</v>
      </c>
      <c r="H16" s="48">
        <f t="shared" si="2"/>
        <v>0.41599999999999998</v>
      </c>
      <c r="I16" s="48">
        <f t="shared" si="2"/>
        <v>0.41799999999999998</v>
      </c>
      <c r="J16" s="48">
        <f t="shared" si="2"/>
        <v>0.41699999999999998</v>
      </c>
    </row>
    <row r="17" spans="1:10">
      <c r="A17" t="s">
        <v>141</v>
      </c>
      <c r="B17" s="48" t="s">
        <v>486</v>
      </c>
      <c r="C17" s="48">
        <f t="shared" ref="C17:J17" si="3">ROUND(IF(C9&gt;0, ((0.0014*C9+13.97)/1.15)*(10^12)/(1000*29308)/1000000, 0),3)</f>
        <v>0.41699999999999998</v>
      </c>
      <c r="D17" s="48">
        <f t="shared" si="3"/>
        <v>0.41799999999999998</v>
      </c>
      <c r="E17" s="48">
        <f t="shared" si="3"/>
        <v>0.41799999999999998</v>
      </c>
      <c r="F17" s="48">
        <f t="shared" si="3"/>
        <v>0</v>
      </c>
      <c r="G17" s="48">
        <f t="shared" si="3"/>
        <v>0.41599999999999998</v>
      </c>
      <c r="H17" s="48">
        <f t="shared" si="3"/>
        <v>0.41499999999999998</v>
      </c>
      <c r="I17" s="48">
        <f t="shared" si="3"/>
        <v>0.41599999999999998</v>
      </c>
      <c r="J17" s="48">
        <f t="shared" si="3"/>
        <v>0.41599999999999998</v>
      </c>
    </row>
    <row r="18" spans="1:10">
      <c r="A18" t="s">
        <v>141</v>
      </c>
      <c r="B18" s="48" t="s">
        <v>485</v>
      </c>
      <c r="C18" s="48">
        <f t="shared" ref="C18:J18" si="4">ROUND(IF(C10&gt;0, ((0.0014*C10+13.97)/1.15)*(10^12)/(1000*29308)/1000000, 0),3)</f>
        <v>0.41699999999999998</v>
      </c>
      <c r="D18" s="48">
        <f t="shared" si="4"/>
        <v>0.41799999999999998</v>
      </c>
      <c r="E18" s="48">
        <f t="shared" si="4"/>
        <v>0.41599999999999998</v>
      </c>
      <c r="F18" s="48">
        <f t="shared" si="4"/>
        <v>0.41599999999999998</v>
      </c>
      <c r="G18" s="48">
        <f t="shared" si="4"/>
        <v>0</v>
      </c>
      <c r="H18" s="48">
        <f t="shared" si="4"/>
        <v>0.41699999999999998</v>
      </c>
      <c r="I18" s="48">
        <f t="shared" si="4"/>
        <v>0.41799999999999998</v>
      </c>
      <c r="J18" s="48">
        <f t="shared" si="4"/>
        <v>0.41699999999999998</v>
      </c>
    </row>
    <row r="19" spans="1:10">
      <c r="A19" t="s">
        <v>141</v>
      </c>
      <c r="B19" s="48" t="s">
        <v>482</v>
      </c>
      <c r="C19" s="48">
        <f t="shared" ref="C19:J19" si="5">ROUND(IF(C11&gt;0, ((0.0014*C11+13.97)/1.15)*(10^12)/(1000*29308)/1000000, 0),3)</f>
        <v>0.41599999999999998</v>
      </c>
      <c r="D19" s="48">
        <f t="shared" si="5"/>
        <v>0.41699999999999998</v>
      </c>
      <c r="E19" s="48">
        <f t="shared" si="5"/>
        <v>0.41599999999999998</v>
      </c>
      <c r="F19" s="48">
        <f t="shared" si="5"/>
        <v>0.41499999999999998</v>
      </c>
      <c r="G19" s="48">
        <f t="shared" si="5"/>
        <v>0.41699999999999998</v>
      </c>
      <c r="H19" s="48">
        <f t="shared" si="5"/>
        <v>0</v>
      </c>
      <c r="I19" s="48">
        <f t="shared" si="5"/>
        <v>0.41499999999999998</v>
      </c>
      <c r="J19" s="48">
        <f t="shared" si="5"/>
        <v>0.41499999999999998</v>
      </c>
    </row>
    <row r="20" spans="1:10">
      <c r="A20" t="s">
        <v>141</v>
      </c>
      <c r="B20" s="48" t="s">
        <v>483</v>
      </c>
      <c r="C20" s="48">
        <f t="shared" ref="C20:J20" si="6">ROUND(IF(C12&gt;0, ((0.0014*C12+13.97)/1.15)*(10^12)/(1000*29308)/1000000, 0),3)</f>
        <v>0.41699999999999998</v>
      </c>
      <c r="D20" s="48">
        <f t="shared" si="6"/>
        <v>0.41699999999999998</v>
      </c>
      <c r="E20" s="48">
        <f t="shared" si="6"/>
        <v>0.41799999999999998</v>
      </c>
      <c r="F20" s="48">
        <f t="shared" si="6"/>
        <v>0.41599999999999998</v>
      </c>
      <c r="G20" s="48">
        <f t="shared" si="6"/>
        <v>0.41799999999999998</v>
      </c>
      <c r="H20" s="48">
        <f t="shared" si="6"/>
        <v>0.41499999999999998</v>
      </c>
      <c r="I20" s="48">
        <f t="shared" si="6"/>
        <v>0</v>
      </c>
      <c r="J20" s="48">
        <f t="shared" si="6"/>
        <v>0.41599999999999998</v>
      </c>
    </row>
    <row r="21" spans="1:10">
      <c r="A21" t="s">
        <v>141</v>
      </c>
      <c r="B21" s="48" t="s">
        <v>484</v>
      </c>
      <c r="C21" s="48">
        <f t="shared" ref="C21:J21" si="7">ROUND(IF(C13&gt;0, ((0.0014*C13+13.97)/1.15)*(10^12)/(1000*29308)/1000000, 0),3)</f>
        <v>0.41699999999999998</v>
      </c>
      <c r="D21" s="48">
        <f t="shared" si="7"/>
        <v>0.41599999999999998</v>
      </c>
      <c r="E21" s="48">
        <f t="shared" si="7"/>
        <v>0.41699999999999998</v>
      </c>
      <c r="F21" s="48">
        <f t="shared" si="7"/>
        <v>0.41599999999999998</v>
      </c>
      <c r="G21" s="48">
        <f t="shared" si="7"/>
        <v>0.41699999999999998</v>
      </c>
      <c r="H21" s="48">
        <f t="shared" si="7"/>
        <v>0.41499999999999998</v>
      </c>
      <c r="I21" s="48">
        <f t="shared" si="7"/>
        <v>0.41599999999999998</v>
      </c>
      <c r="J21" s="48">
        <f t="shared" si="7"/>
        <v>0</v>
      </c>
    </row>
    <row r="22" spans="1:10">
      <c r="A22" s="48" t="s">
        <v>138</v>
      </c>
      <c r="B22" s="48" t="s">
        <v>478</v>
      </c>
      <c r="C22" s="48">
        <f t="shared" ref="C22:C29" si="8">ROUND((EXP(7.032824+1*0.622482)*((C6/1.852)^ 0.40303))/(1.15*0.0059)/1000000,3)</f>
        <v>0</v>
      </c>
      <c r="D22" s="48">
        <f t="shared" ref="D22:J22" si="9">ROUND((EXP(7.032824+1*0.622482)*((D6/1.852)^ 0.40303))/(1.15*0.0059)/1000000,3)</f>
        <v>1.256</v>
      </c>
      <c r="E22" s="48">
        <f t="shared" si="9"/>
        <v>1.077</v>
      </c>
      <c r="F22" s="48">
        <f t="shared" si="9"/>
        <v>1.345</v>
      </c>
      <c r="G22" s="48">
        <f t="shared" si="9"/>
        <v>1.2390000000000001</v>
      </c>
      <c r="H22" s="48">
        <f t="shared" si="9"/>
        <v>1.1459999999999999</v>
      </c>
      <c r="I22" s="48">
        <f t="shared" si="9"/>
        <v>1.2589999999999999</v>
      </c>
      <c r="J22" s="48">
        <f t="shared" si="9"/>
        <v>1.23</v>
      </c>
    </row>
    <row r="23" spans="1:10">
      <c r="A23" t="s">
        <v>138</v>
      </c>
      <c r="B23" s="48" t="s">
        <v>479</v>
      </c>
      <c r="C23" s="48">
        <f t="shared" si="8"/>
        <v>1.256</v>
      </c>
      <c r="D23" s="48">
        <f t="shared" ref="D23:J28" si="10">ROUND((EXP(7.032824+1*0.622482)*((D7/1.852)^ 0.40303))/(1.15*0.0059)/1000000,3)</f>
        <v>0</v>
      </c>
      <c r="E23" s="48">
        <f t="shared" si="10"/>
        <v>1.389</v>
      </c>
      <c r="F23" s="48">
        <f t="shared" si="10"/>
        <v>1.4330000000000001</v>
      </c>
      <c r="G23" s="48">
        <f t="shared" si="10"/>
        <v>1.5069999999999999</v>
      </c>
      <c r="H23" s="48">
        <f t="shared" si="10"/>
        <v>1.2809999999999999</v>
      </c>
      <c r="I23" s="48">
        <f t="shared" si="10"/>
        <v>1.1870000000000001</v>
      </c>
      <c r="J23" s="48">
        <f t="shared" si="10"/>
        <v>1.083</v>
      </c>
    </row>
    <row r="24" spans="1:10">
      <c r="A24" t="s">
        <v>138</v>
      </c>
      <c r="B24" s="48" t="s">
        <v>480</v>
      </c>
      <c r="C24" s="48">
        <f>ROUND((EXP(7.032824+1*0.622482)*((C8/1.852)^ 0.40303))/(1.15*0.0059)/1000000,3)</f>
        <v>1.077</v>
      </c>
      <c r="D24" s="48">
        <f t="shared" si="10"/>
        <v>1.389</v>
      </c>
      <c r="E24" s="48">
        <f t="shared" si="10"/>
        <v>0</v>
      </c>
      <c r="F24" s="48">
        <f t="shared" si="10"/>
        <v>1.4570000000000001</v>
      </c>
      <c r="G24" s="48">
        <f t="shared" si="10"/>
        <v>0.89800000000000002</v>
      </c>
      <c r="H24" s="48">
        <f t="shared" si="10"/>
        <v>1.121</v>
      </c>
      <c r="I24" s="48">
        <f t="shared" si="10"/>
        <v>1.5069999999999999</v>
      </c>
      <c r="J24" s="48">
        <f t="shared" si="10"/>
        <v>1.331</v>
      </c>
    </row>
    <row r="25" spans="1:10">
      <c r="A25" t="s">
        <v>138</v>
      </c>
      <c r="B25" s="48" t="s">
        <v>486</v>
      </c>
      <c r="C25" s="48">
        <f t="shared" si="8"/>
        <v>1.345</v>
      </c>
      <c r="D25" s="48">
        <f t="shared" si="10"/>
        <v>1.4330000000000001</v>
      </c>
      <c r="E25" s="48">
        <f t="shared" si="10"/>
        <v>1.4570000000000001</v>
      </c>
      <c r="F25" s="48">
        <f t="shared" si="10"/>
        <v>0</v>
      </c>
      <c r="G25" s="48">
        <f t="shared" si="10"/>
        <v>1.1259999999999999</v>
      </c>
      <c r="H25" s="48">
        <f t="shared" si="10"/>
        <v>0.83799999999999997</v>
      </c>
      <c r="I25" s="48">
        <f t="shared" si="10"/>
        <v>1.08</v>
      </c>
      <c r="J25" s="48">
        <f t="shared" si="10"/>
        <v>1.0960000000000001</v>
      </c>
    </row>
    <row r="26" spans="1:10">
      <c r="A26" t="s">
        <v>138</v>
      </c>
      <c r="B26" s="48" t="s">
        <v>485</v>
      </c>
      <c r="C26" s="48">
        <f t="shared" si="8"/>
        <v>1.2390000000000001</v>
      </c>
      <c r="D26" s="48">
        <f t="shared" si="10"/>
        <v>1.5069999999999999</v>
      </c>
      <c r="E26" s="48">
        <f t="shared" si="10"/>
        <v>0.89800000000000002</v>
      </c>
      <c r="F26" s="48">
        <f t="shared" si="10"/>
        <v>1.1259999999999999</v>
      </c>
      <c r="G26" s="48">
        <f t="shared" si="10"/>
        <v>0</v>
      </c>
      <c r="H26" s="48">
        <f t="shared" si="10"/>
        <v>1.2529999999999999</v>
      </c>
      <c r="I26" s="48">
        <f t="shared" si="10"/>
        <v>1.407</v>
      </c>
      <c r="J26" s="48">
        <f t="shared" si="10"/>
        <v>1.3240000000000001</v>
      </c>
    </row>
    <row r="27" spans="1:10">
      <c r="A27" t="s">
        <v>138</v>
      </c>
      <c r="B27" s="48" t="s">
        <v>482</v>
      </c>
      <c r="C27" s="48">
        <f t="shared" si="8"/>
        <v>1.1459999999999999</v>
      </c>
      <c r="D27" s="48">
        <f t="shared" si="10"/>
        <v>1.2809999999999999</v>
      </c>
      <c r="E27" s="48">
        <f t="shared" si="10"/>
        <v>1.121</v>
      </c>
      <c r="F27" s="48">
        <f t="shared" si="10"/>
        <v>0.83799999999999997</v>
      </c>
      <c r="G27" s="48">
        <f t="shared" si="10"/>
        <v>1.2529999999999999</v>
      </c>
      <c r="H27" s="48">
        <f t="shared" si="10"/>
        <v>0</v>
      </c>
      <c r="I27" s="48">
        <f t="shared" si="10"/>
        <v>0.80400000000000005</v>
      </c>
      <c r="J27" s="48">
        <f t="shared" si="10"/>
        <v>0.80700000000000005</v>
      </c>
    </row>
    <row r="28" spans="1:10">
      <c r="A28" t="s">
        <v>138</v>
      </c>
      <c r="B28" s="48" t="s">
        <v>483</v>
      </c>
      <c r="C28" s="48">
        <f t="shared" si="8"/>
        <v>1.2589999999999999</v>
      </c>
      <c r="D28" s="48">
        <f t="shared" si="10"/>
        <v>1.1870000000000001</v>
      </c>
      <c r="E28" s="48">
        <f t="shared" si="10"/>
        <v>1.5069999999999999</v>
      </c>
      <c r="F28" s="48">
        <f t="shared" si="10"/>
        <v>1.08</v>
      </c>
      <c r="G28" s="48">
        <f t="shared" si="10"/>
        <v>1.407</v>
      </c>
      <c r="H28" s="48">
        <f t="shared" si="10"/>
        <v>0.80400000000000005</v>
      </c>
      <c r="I28" s="48">
        <f t="shared" si="10"/>
        <v>0</v>
      </c>
      <c r="J28" s="48">
        <f t="shared" si="10"/>
        <v>0.88100000000000001</v>
      </c>
    </row>
    <row r="29" spans="1:10">
      <c r="A29" t="s">
        <v>138</v>
      </c>
      <c r="B29" s="48" t="s">
        <v>484</v>
      </c>
      <c r="C29" s="48">
        <f t="shared" si="8"/>
        <v>1.23</v>
      </c>
      <c r="D29" s="48">
        <f t="shared" ref="D29:J29" si="11">ROUND((EXP(7.032824+1*0.622482)*((D13/1.852)^ 0.40303))/(1.15*0.0059)/1000000,3)</f>
        <v>1.083</v>
      </c>
      <c r="E29" s="48">
        <f t="shared" si="11"/>
        <v>1.331</v>
      </c>
      <c r="F29" s="48">
        <f t="shared" si="11"/>
        <v>1.0960000000000001</v>
      </c>
      <c r="G29" s="48">
        <f t="shared" si="11"/>
        <v>1.3240000000000001</v>
      </c>
      <c r="H29" s="48">
        <f t="shared" si="11"/>
        <v>0.80700000000000005</v>
      </c>
      <c r="I29" s="48">
        <f t="shared" si="11"/>
        <v>0.88100000000000001</v>
      </c>
      <c r="J29" s="48">
        <f t="shared" si="11"/>
        <v>0</v>
      </c>
    </row>
    <row r="30" spans="1:10">
      <c r="A30" s="48" t="s">
        <v>24</v>
      </c>
      <c r="B30" s="48" t="s">
        <v>478</v>
      </c>
      <c r="C30" s="48">
        <f>IF(C6&gt;0,0.01,0)</f>
        <v>0</v>
      </c>
      <c r="D30" s="48">
        <f t="shared" ref="D30:J30" si="12">IF(D6&gt;0,0.01,0)</f>
        <v>0.01</v>
      </c>
      <c r="E30" s="48">
        <f t="shared" si="12"/>
        <v>0.01</v>
      </c>
      <c r="F30" s="48">
        <f t="shared" si="12"/>
        <v>0.01</v>
      </c>
      <c r="G30" s="48">
        <f t="shared" si="12"/>
        <v>0.01</v>
      </c>
      <c r="H30" s="48">
        <f t="shared" si="12"/>
        <v>0.01</v>
      </c>
      <c r="I30" s="48">
        <f t="shared" si="12"/>
        <v>0.01</v>
      </c>
      <c r="J30" s="48">
        <f t="shared" si="12"/>
        <v>0.01</v>
      </c>
    </row>
    <row r="31" spans="1:10">
      <c r="A31" t="s">
        <v>24</v>
      </c>
      <c r="B31" s="48" t="s">
        <v>479</v>
      </c>
      <c r="C31" s="48">
        <f t="shared" ref="C31:J37" si="13">IF(C7&gt;0,0.01,0)</f>
        <v>0.01</v>
      </c>
      <c r="D31" s="48">
        <f t="shared" si="13"/>
        <v>0</v>
      </c>
      <c r="E31" s="48">
        <f t="shared" si="13"/>
        <v>0.01</v>
      </c>
      <c r="F31" s="48">
        <f t="shared" si="13"/>
        <v>0.01</v>
      </c>
      <c r="G31" s="48">
        <f t="shared" si="13"/>
        <v>0.01</v>
      </c>
      <c r="H31" s="48">
        <f t="shared" si="13"/>
        <v>0.01</v>
      </c>
      <c r="I31" s="48">
        <f t="shared" si="13"/>
        <v>0.01</v>
      </c>
      <c r="J31" s="48">
        <f t="shared" si="13"/>
        <v>0.01</v>
      </c>
    </row>
    <row r="32" spans="1:10">
      <c r="A32" t="s">
        <v>24</v>
      </c>
      <c r="B32" s="48" t="s">
        <v>480</v>
      </c>
      <c r="C32" s="48">
        <f t="shared" si="13"/>
        <v>0.01</v>
      </c>
      <c r="D32" s="48">
        <f t="shared" si="13"/>
        <v>0.01</v>
      </c>
      <c r="E32" s="48">
        <f t="shared" si="13"/>
        <v>0</v>
      </c>
      <c r="F32" s="48">
        <f t="shared" si="13"/>
        <v>0.01</v>
      </c>
      <c r="G32" s="48">
        <f t="shared" si="13"/>
        <v>0.01</v>
      </c>
      <c r="H32" s="48">
        <f t="shared" si="13"/>
        <v>0.01</v>
      </c>
      <c r="I32" s="48">
        <f t="shared" si="13"/>
        <v>0.01</v>
      </c>
      <c r="J32" s="48">
        <f t="shared" si="13"/>
        <v>0.01</v>
      </c>
    </row>
    <row r="33" spans="1:10">
      <c r="A33" t="s">
        <v>24</v>
      </c>
      <c r="B33" s="48" t="s">
        <v>486</v>
      </c>
      <c r="C33" s="48">
        <f t="shared" si="13"/>
        <v>0.01</v>
      </c>
      <c r="D33" s="48">
        <f t="shared" si="13"/>
        <v>0.01</v>
      </c>
      <c r="E33" s="48">
        <f t="shared" si="13"/>
        <v>0.01</v>
      </c>
      <c r="F33" s="48">
        <f t="shared" si="13"/>
        <v>0</v>
      </c>
      <c r="G33" s="48">
        <f t="shared" si="13"/>
        <v>0.01</v>
      </c>
      <c r="H33" s="48">
        <f t="shared" si="13"/>
        <v>0.01</v>
      </c>
      <c r="I33" s="48">
        <f t="shared" si="13"/>
        <v>0.01</v>
      </c>
      <c r="J33" s="48">
        <f t="shared" si="13"/>
        <v>0.01</v>
      </c>
    </row>
    <row r="34" spans="1:10">
      <c r="A34" t="s">
        <v>24</v>
      </c>
      <c r="B34" s="48" t="s">
        <v>485</v>
      </c>
      <c r="C34" s="48">
        <f t="shared" si="13"/>
        <v>0.01</v>
      </c>
      <c r="D34" s="48">
        <f t="shared" si="13"/>
        <v>0.01</v>
      </c>
      <c r="E34" s="48">
        <f t="shared" si="13"/>
        <v>0.01</v>
      </c>
      <c r="F34" s="48">
        <f t="shared" si="13"/>
        <v>0.01</v>
      </c>
      <c r="G34" s="48">
        <f t="shared" si="13"/>
        <v>0</v>
      </c>
      <c r="H34" s="48">
        <f t="shared" si="13"/>
        <v>0.01</v>
      </c>
      <c r="I34" s="48">
        <f t="shared" si="13"/>
        <v>0.01</v>
      </c>
      <c r="J34" s="48">
        <f t="shared" si="13"/>
        <v>0.01</v>
      </c>
    </row>
    <row r="35" spans="1:10">
      <c r="A35" t="s">
        <v>24</v>
      </c>
      <c r="B35" s="48" t="s">
        <v>482</v>
      </c>
      <c r="C35" s="48">
        <f t="shared" si="13"/>
        <v>0.01</v>
      </c>
      <c r="D35" s="48">
        <f t="shared" si="13"/>
        <v>0.01</v>
      </c>
      <c r="E35" s="48">
        <f t="shared" si="13"/>
        <v>0.01</v>
      </c>
      <c r="F35" s="48">
        <f t="shared" si="13"/>
        <v>0.01</v>
      </c>
      <c r="G35" s="48">
        <f t="shared" si="13"/>
        <v>0.01</v>
      </c>
      <c r="H35" s="48">
        <f t="shared" si="13"/>
        <v>0</v>
      </c>
      <c r="I35" s="48">
        <f t="shared" si="13"/>
        <v>0.01</v>
      </c>
      <c r="J35" s="48">
        <f t="shared" si="13"/>
        <v>0.01</v>
      </c>
    </row>
    <row r="36" spans="1:10">
      <c r="A36" t="s">
        <v>24</v>
      </c>
      <c r="B36" s="48" t="s">
        <v>483</v>
      </c>
      <c r="C36" s="48">
        <f t="shared" si="13"/>
        <v>0.01</v>
      </c>
      <c r="D36" s="48">
        <f t="shared" si="13"/>
        <v>0.01</v>
      </c>
      <c r="E36" s="48">
        <f t="shared" si="13"/>
        <v>0.01</v>
      </c>
      <c r="F36" s="48">
        <f t="shared" si="13"/>
        <v>0.01</v>
      </c>
      <c r="G36" s="48">
        <f t="shared" si="13"/>
        <v>0.01</v>
      </c>
      <c r="H36" s="48">
        <f t="shared" si="13"/>
        <v>0.01</v>
      </c>
      <c r="I36" s="48">
        <f t="shared" si="13"/>
        <v>0</v>
      </c>
      <c r="J36" s="48">
        <f t="shared" si="13"/>
        <v>0.01</v>
      </c>
    </row>
    <row r="37" spans="1:10">
      <c r="A37" t="s">
        <v>24</v>
      </c>
      <c r="B37" s="48" t="s">
        <v>484</v>
      </c>
      <c r="C37" s="48">
        <f t="shared" si="13"/>
        <v>0.01</v>
      </c>
      <c r="D37" s="48">
        <f t="shared" si="13"/>
        <v>0.01</v>
      </c>
      <c r="E37" s="48">
        <f t="shared" si="13"/>
        <v>0.01</v>
      </c>
      <c r="F37" s="48">
        <f t="shared" si="13"/>
        <v>0.01</v>
      </c>
      <c r="G37" s="48">
        <f t="shared" si="13"/>
        <v>0.01</v>
      </c>
      <c r="H37" s="48">
        <f t="shared" si="13"/>
        <v>0.01</v>
      </c>
      <c r="I37" s="48">
        <f t="shared" si="13"/>
        <v>0.01</v>
      </c>
      <c r="J37" s="48">
        <f t="shared" si="13"/>
        <v>0</v>
      </c>
    </row>
    <row r="38" spans="1:10">
      <c r="A38" s="48" t="s">
        <v>312</v>
      </c>
      <c r="B38" s="48" t="s">
        <v>478</v>
      </c>
      <c r="C38" s="48">
        <f t="shared" ref="C38:C45" si="14">ROUND((EXP(7.032824+1*0.622482)*((C6/1.852)^ 0.40303))/(1.15*0.0059)/1000000,3)</f>
        <v>0</v>
      </c>
      <c r="D38" s="48">
        <f t="shared" ref="D38:J38" si="15">ROUND((EXP(7.032824+1*0.622482)*((D6/1.852)^ 0.40303))/(1.15*0.0059)/1000000,3)</f>
        <v>1.256</v>
      </c>
      <c r="E38" s="48">
        <f t="shared" si="15"/>
        <v>1.077</v>
      </c>
      <c r="F38" s="48">
        <f t="shared" si="15"/>
        <v>1.345</v>
      </c>
      <c r="G38" s="48">
        <f t="shared" si="15"/>
        <v>1.2390000000000001</v>
      </c>
      <c r="H38" s="48">
        <f t="shared" si="15"/>
        <v>1.1459999999999999</v>
      </c>
      <c r="I38" s="48">
        <f t="shared" si="15"/>
        <v>1.2589999999999999</v>
      </c>
      <c r="J38" s="48">
        <f t="shared" si="15"/>
        <v>1.23</v>
      </c>
    </row>
    <row r="39" spans="1:10">
      <c r="A39" t="s">
        <v>312</v>
      </c>
      <c r="B39" s="48" t="s">
        <v>479</v>
      </c>
      <c r="C39" s="48">
        <f t="shared" si="14"/>
        <v>1.256</v>
      </c>
      <c r="D39" s="48">
        <f t="shared" ref="D39:J45" si="16">ROUND((EXP(7.032824+1*0.622482)*((D7/1.852)^ 0.40303))/(1.15*0.0059)/1000000,3)</f>
        <v>0</v>
      </c>
      <c r="E39" s="48">
        <f t="shared" si="16"/>
        <v>1.389</v>
      </c>
      <c r="F39" s="48">
        <f t="shared" si="16"/>
        <v>1.4330000000000001</v>
      </c>
      <c r="G39" s="48">
        <f t="shared" si="16"/>
        <v>1.5069999999999999</v>
      </c>
      <c r="H39" s="48">
        <f t="shared" si="16"/>
        <v>1.2809999999999999</v>
      </c>
      <c r="I39" s="48">
        <f t="shared" si="16"/>
        <v>1.1870000000000001</v>
      </c>
      <c r="J39" s="48">
        <f t="shared" si="16"/>
        <v>1.083</v>
      </c>
    </row>
    <row r="40" spans="1:10">
      <c r="A40" t="s">
        <v>312</v>
      </c>
      <c r="B40" s="48" t="s">
        <v>480</v>
      </c>
      <c r="C40" s="48">
        <f t="shared" si="14"/>
        <v>1.077</v>
      </c>
      <c r="D40" s="48">
        <f t="shared" si="16"/>
        <v>1.389</v>
      </c>
      <c r="E40" s="48">
        <f t="shared" si="16"/>
        <v>0</v>
      </c>
      <c r="F40" s="48">
        <f t="shared" si="16"/>
        <v>1.4570000000000001</v>
      </c>
      <c r="G40" s="48">
        <f t="shared" si="16"/>
        <v>0.89800000000000002</v>
      </c>
      <c r="H40" s="48">
        <f t="shared" si="16"/>
        <v>1.121</v>
      </c>
      <c r="I40" s="48">
        <f t="shared" si="16"/>
        <v>1.5069999999999999</v>
      </c>
      <c r="J40" s="48">
        <f t="shared" si="16"/>
        <v>1.331</v>
      </c>
    </row>
    <row r="41" spans="1:10">
      <c r="A41" t="s">
        <v>312</v>
      </c>
      <c r="B41" s="48" t="s">
        <v>486</v>
      </c>
      <c r="C41" s="48">
        <f t="shared" si="14"/>
        <v>1.345</v>
      </c>
      <c r="D41" s="48">
        <f t="shared" si="16"/>
        <v>1.4330000000000001</v>
      </c>
      <c r="E41" s="48">
        <f t="shared" si="16"/>
        <v>1.4570000000000001</v>
      </c>
      <c r="F41" s="48">
        <f t="shared" si="16"/>
        <v>0</v>
      </c>
      <c r="G41" s="48">
        <f t="shared" si="16"/>
        <v>1.1259999999999999</v>
      </c>
      <c r="H41" s="48">
        <f t="shared" si="16"/>
        <v>0.83799999999999997</v>
      </c>
      <c r="I41" s="48">
        <f t="shared" si="16"/>
        <v>1.08</v>
      </c>
      <c r="J41" s="48">
        <f t="shared" si="16"/>
        <v>1.0960000000000001</v>
      </c>
    </row>
    <row r="42" spans="1:10">
      <c r="A42" t="s">
        <v>312</v>
      </c>
      <c r="B42" s="48" t="s">
        <v>485</v>
      </c>
      <c r="C42" s="48">
        <f t="shared" si="14"/>
        <v>1.2390000000000001</v>
      </c>
      <c r="D42" s="48">
        <f t="shared" si="16"/>
        <v>1.5069999999999999</v>
      </c>
      <c r="E42" s="48">
        <f t="shared" si="16"/>
        <v>0.89800000000000002</v>
      </c>
      <c r="F42" s="48">
        <f t="shared" si="16"/>
        <v>1.1259999999999999</v>
      </c>
      <c r="G42" s="48">
        <f t="shared" si="16"/>
        <v>0</v>
      </c>
      <c r="H42" s="48">
        <f t="shared" si="16"/>
        <v>1.2529999999999999</v>
      </c>
      <c r="I42" s="48">
        <f t="shared" si="16"/>
        <v>1.407</v>
      </c>
      <c r="J42" s="48">
        <f t="shared" si="16"/>
        <v>1.3240000000000001</v>
      </c>
    </row>
    <row r="43" spans="1:10">
      <c r="A43" t="s">
        <v>312</v>
      </c>
      <c r="B43" s="48" t="s">
        <v>482</v>
      </c>
      <c r="C43" s="48">
        <f t="shared" si="14"/>
        <v>1.1459999999999999</v>
      </c>
      <c r="D43" s="48">
        <f t="shared" si="16"/>
        <v>1.2809999999999999</v>
      </c>
      <c r="E43" s="48">
        <f t="shared" si="16"/>
        <v>1.121</v>
      </c>
      <c r="F43" s="48">
        <f t="shared" si="16"/>
        <v>0.83799999999999997</v>
      </c>
      <c r="G43" s="48">
        <f t="shared" si="16"/>
        <v>1.2529999999999999</v>
      </c>
      <c r="H43" s="48">
        <f t="shared" si="16"/>
        <v>0</v>
      </c>
      <c r="I43" s="48">
        <f t="shared" si="16"/>
        <v>0.80400000000000005</v>
      </c>
      <c r="J43" s="48">
        <f t="shared" si="16"/>
        <v>0.80700000000000005</v>
      </c>
    </row>
    <row r="44" spans="1:10">
      <c r="A44" t="s">
        <v>312</v>
      </c>
      <c r="B44" s="48" t="s">
        <v>483</v>
      </c>
      <c r="C44" s="48">
        <f t="shared" si="14"/>
        <v>1.2589999999999999</v>
      </c>
      <c r="D44" s="48">
        <f t="shared" si="16"/>
        <v>1.1870000000000001</v>
      </c>
      <c r="E44" s="48">
        <f t="shared" si="16"/>
        <v>1.5069999999999999</v>
      </c>
      <c r="F44" s="48">
        <f t="shared" si="16"/>
        <v>1.08</v>
      </c>
      <c r="G44" s="48">
        <f t="shared" si="16"/>
        <v>1.407</v>
      </c>
      <c r="H44" s="48">
        <f t="shared" si="16"/>
        <v>0.80400000000000005</v>
      </c>
      <c r="I44" s="48">
        <f t="shared" si="16"/>
        <v>0</v>
      </c>
      <c r="J44" s="48">
        <f t="shared" si="16"/>
        <v>0.88100000000000001</v>
      </c>
    </row>
    <row r="45" spans="1:10">
      <c r="A45" t="s">
        <v>312</v>
      </c>
      <c r="B45" s="48" t="s">
        <v>484</v>
      </c>
      <c r="C45" s="48">
        <f t="shared" si="14"/>
        <v>1.23</v>
      </c>
      <c r="D45" s="48">
        <f t="shared" si="16"/>
        <v>1.083</v>
      </c>
      <c r="E45" s="48">
        <f t="shared" si="16"/>
        <v>1.331</v>
      </c>
      <c r="F45" s="48">
        <f t="shared" si="16"/>
        <v>1.0960000000000001</v>
      </c>
      <c r="G45" s="48">
        <f t="shared" si="16"/>
        <v>1.3240000000000001</v>
      </c>
      <c r="H45" s="48">
        <f t="shared" si="16"/>
        <v>0.80700000000000005</v>
      </c>
      <c r="I45" s="48">
        <f t="shared" si="16"/>
        <v>0.88100000000000001</v>
      </c>
      <c r="J45" s="48">
        <f t="shared" si="16"/>
        <v>0</v>
      </c>
    </row>
    <row r="46" spans="1:10">
      <c r="A46" s="48" t="s">
        <v>313</v>
      </c>
      <c r="B46" s="48" t="s">
        <v>478</v>
      </c>
      <c r="C46" s="48">
        <f>ROUND((EXP(7.032824+1*0.622482)*((C6/1.852)^ 0.40303))/(1.15*0.0059)/1000000,3)</f>
        <v>0</v>
      </c>
      <c r="D46" s="48">
        <f t="shared" ref="D46:J46" si="17">ROUND((EXP(7.032824+1*0.622482)*((D6/1.852)^ 0.40303))/(1.15*0.0059)/1000000,3)</f>
        <v>1.256</v>
      </c>
      <c r="E46" s="48">
        <f t="shared" si="17"/>
        <v>1.077</v>
      </c>
      <c r="F46" s="48">
        <f t="shared" si="17"/>
        <v>1.345</v>
      </c>
      <c r="G46" s="48">
        <f t="shared" si="17"/>
        <v>1.2390000000000001</v>
      </c>
      <c r="H46" s="48">
        <f t="shared" si="17"/>
        <v>1.1459999999999999</v>
      </c>
      <c r="I46" s="48">
        <f t="shared" si="17"/>
        <v>1.2589999999999999</v>
      </c>
      <c r="J46" s="48">
        <f t="shared" si="17"/>
        <v>1.23</v>
      </c>
    </row>
    <row r="47" spans="1:10">
      <c r="A47" t="s">
        <v>313</v>
      </c>
      <c r="B47" s="48" t="s">
        <v>479</v>
      </c>
      <c r="C47" s="48">
        <f t="shared" ref="C47:J53" si="18">ROUND((EXP(7.032824+1*0.622482)*((C7/1.852)^ 0.40303))/(1.15*0.0059)/1000000,3)</f>
        <v>1.256</v>
      </c>
      <c r="D47" s="48">
        <f t="shared" si="18"/>
        <v>0</v>
      </c>
      <c r="E47" s="48">
        <f t="shared" si="18"/>
        <v>1.389</v>
      </c>
      <c r="F47" s="48">
        <f t="shared" si="18"/>
        <v>1.4330000000000001</v>
      </c>
      <c r="G47" s="48">
        <f t="shared" si="18"/>
        <v>1.5069999999999999</v>
      </c>
      <c r="H47" s="48">
        <f t="shared" si="18"/>
        <v>1.2809999999999999</v>
      </c>
      <c r="I47" s="48">
        <f t="shared" si="18"/>
        <v>1.1870000000000001</v>
      </c>
      <c r="J47" s="48">
        <f t="shared" si="18"/>
        <v>1.083</v>
      </c>
    </row>
    <row r="48" spans="1:10">
      <c r="A48" t="s">
        <v>313</v>
      </c>
      <c r="B48" s="48" t="s">
        <v>480</v>
      </c>
      <c r="C48" s="48">
        <f t="shared" si="18"/>
        <v>1.077</v>
      </c>
      <c r="D48" s="48">
        <f t="shared" si="18"/>
        <v>1.389</v>
      </c>
      <c r="E48" s="48">
        <f t="shared" si="18"/>
        <v>0</v>
      </c>
      <c r="F48" s="48">
        <f t="shared" si="18"/>
        <v>1.4570000000000001</v>
      </c>
      <c r="G48" s="48">
        <f t="shared" si="18"/>
        <v>0.89800000000000002</v>
      </c>
      <c r="H48" s="48">
        <f t="shared" si="18"/>
        <v>1.121</v>
      </c>
      <c r="I48" s="48">
        <f t="shared" si="18"/>
        <v>1.5069999999999999</v>
      </c>
      <c r="J48" s="48">
        <f t="shared" si="18"/>
        <v>1.331</v>
      </c>
    </row>
    <row r="49" spans="1:32">
      <c r="A49" t="s">
        <v>313</v>
      </c>
      <c r="B49" s="48" t="s">
        <v>486</v>
      </c>
      <c r="C49" s="48">
        <f t="shared" si="18"/>
        <v>1.345</v>
      </c>
      <c r="D49" s="48">
        <f t="shared" si="18"/>
        <v>1.4330000000000001</v>
      </c>
      <c r="E49" s="48">
        <f t="shared" si="18"/>
        <v>1.4570000000000001</v>
      </c>
      <c r="F49" s="48">
        <f t="shared" si="18"/>
        <v>0</v>
      </c>
      <c r="G49" s="48">
        <f t="shared" si="18"/>
        <v>1.1259999999999999</v>
      </c>
      <c r="H49" s="48">
        <f t="shared" si="18"/>
        <v>0.83799999999999997</v>
      </c>
      <c r="I49" s="48">
        <f t="shared" si="18"/>
        <v>1.08</v>
      </c>
      <c r="J49" s="48">
        <f t="shared" si="18"/>
        <v>1.0960000000000001</v>
      </c>
    </row>
    <row r="50" spans="1:32">
      <c r="A50" t="s">
        <v>313</v>
      </c>
      <c r="B50" s="48" t="s">
        <v>485</v>
      </c>
      <c r="C50" s="48">
        <f t="shared" si="18"/>
        <v>1.2390000000000001</v>
      </c>
      <c r="D50" s="48">
        <f t="shared" si="18"/>
        <v>1.5069999999999999</v>
      </c>
      <c r="E50" s="48">
        <f t="shared" si="18"/>
        <v>0.89800000000000002</v>
      </c>
      <c r="F50" s="48">
        <f t="shared" si="18"/>
        <v>1.1259999999999999</v>
      </c>
      <c r="G50" s="48">
        <f t="shared" si="18"/>
        <v>0</v>
      </c>
      <c r="H50" s="48">
        <f t="shared" si="18"/>
        <v>1.2529999999999999</v>
      </c>
      <c r="I50" s="48">
        <f t="shared" si="18"/>
        <v>1.407</v>
      </c>
      <c r="J50" s="48">
        <f t="shared" si="18"/>
        <v>1.3240000000000001</v>
      </c>
    </row>
    <row r="51" spans="1:32">
      <c r="A51" t="s">
        <v>313</v>
      </c>
      <c r="B51" s="48" t="s">
        <v>482</v>
      </c>
      <c r="C51" s="48">
        <f t="shared" si="18"/>
        <v>1.1459999999999999</v>
      </c>
      <c r="D51" s="48">
        <f t="shared" si="18"/>
        <v>1.2809999999999999</v>
      </c>
      <c r="E51" s="48">
        <f t="shared" si="18"/>
        <v>1.121</v>
      </c>
      <c r="F51" s="48">
        <f t="shared" si="18"/>
        <v>0.83799999999999997</v>
      </c>
      <c r="G51" s="48">
        <f t="shared" si="18"/>
        <v>1.2529999999999999</v>
      </c>
      <c r="H51" s="48">
        <f t="shared" si="18"/>
        <v>0</v>
      </c>
      <c r="I51" s="48">
        <f t="shared" si="18"/>
        <v>0.80400000000000005</v>
      </c>
      <c r="J51" s="48">
        <f t="shared" si="18"/>
        <v>0.80700000000000005</v>
      </c>
    </row>
    <row r="52" spans="1:32">
      <c r="A52" t="s">
        <v>313</v>
      </c>
      <c r="B52" s="48" t="s">
        <v>483</v>
      </c>
      <c r="C52" s="48">
        <f t="shared" si="18"/>
        <v>1.2589999999999999</v>
      </c>
      <c r="D52" s="48">
        <f t="shared" si="18"/>
        <v>1.1870000000000001</v>
      </c>
      <c r="E52" s="48">
        <f t="shared" si="18"/>
        <v>1.5069999999999999</v>
      </c>
      <c r="F52" s="48">
        <f t="shared" si="18"/>
        <v>1.08</v>
      </c>
      <c r="G52" s="48">
        <f t="shared" si="18"/>
        <v>1.407</v>
      </c>
      <c r="H52" s="48">
        <f t="shared" si="18"/>
        <v>0.80400000000000005</v>
      </c>
      <c r="I52" s="48">
        <f t="shared" si="18"/>
        <v>0</v>
      </c>
      <c r="J52" s="48">
        <f t="shared" si="18"/>
        <v>0.88100000000000001</v>
      </c>
    </row>
    <row r="53" spans="1:32">
      <c r="A53" t="s">
        <v>313</v>
      </c>
      <c r="B53" s="48" t="s">
        <v>484</v>
      </c>
      <c r="C53" s="48">
        <f t="shared" si="18"/>
        <v>1.23</v>
      </c>
      <c r="D53" s="48">
        <f t="shared" si="18"/>
        <v>1.083</v>
      </c>
      <c r="E53" s="48">
        <f t="shared" si="18"/>
        <v>1.331</v>
      </c>
      <c r="F53" s="48">
        <f t="shared" si="18"/>
        <v>1.0960000000000001</v>
      </c>
      <c r="G53" s="48">
        <f t="shared" si="18"/>
        <v>1.3240000000000001</v>
      </c>
      <c r="H53" s="48">
        <f t="shared" si="18"/>
        <v>0.80700000000000005</v>
      </c>
      <c r="I53" s="48">
        <f t="shared" si="18"/>
        <v>0.88100000000000001</v>
      </c>
      <c r="J53" s="48">
        <f t="shared" si="18"/>
        <v>0</v>
      </c>
    </row>
    <row r="54" spans="1:32">
      <c r="A54" s="48" t="s">
        <v>270</v>
      </c>
      <c r="B54" s="48" t="s">
        <v>478</v>
      </c>
      <c r="C54" s="48">
        <f>ROUND((EXP(7.032824+1*0.622482)*((C6/1.852)^ 0.40303))/(1.15*0.0059)/1000000,3)</f>
        <v>0</v>
      </c>
      <c r="D54" s="48">
        <f t="shared" ref="D54:J54" si="19">ROUND((EXP(7.032824+1*0.622482)*((D6/1.852)^ 0.40303))/(1.15*0.0059)/1000000,3)</f>
        <v>1.256</v>
      </c>
      <c r="E54" s="48">
        <f t="shared" si="19"/>
        <v>1.077</v>
      </c>
      <c r="F54" s="48">
        <f t="shared" si="19"/>
        <v>1.345</v>
      </c>
      <c r="G54" s="48">
        <f t="shared" si="19"/>
        <v>1.2390000000000001</v>
      </c>
      <c r="H54" s="48">
        <f t="shared" si="19"/>
        <v>1.1459999999999999</v>
      </c>
      <c r="I54" s="48">
        <f t="shared" si="19"/>
        <v>1.2589999999999999</v>
      </c>
      <c r="J54" s="48">
        <f t="shared" si="19"/>
        <v>1.23</v>
      </c>
    </row>
    <row r="55" spans="1:32">
      <c r="A55" t="s">
        <v>270</v>
      </c>
      <c r="B55" s="48" t="s">
        <v>479</v>
      </c>
      <c r="C55" s="48">
        <f t="shared" ref="C55:J61" si="20">ROUND((EXP(7.032824+1*0.622482)*((C7/1.852)^ 0.40303))/(1.15*0.0059)/1000000,3)</f>
        <v>1.256</v>
      </c>
      <c r="D55" s="48">
        <f t="shared" si="20"/>
        <v>0</v>
      </c>
      <c r="E55" s="48">
        <f t="shared" si="20"/>
        <v>1.389</v>
      </c>
      <c r="F55" s="48">
        <f t="shared" si="20"/>
        <v>1.4330000000000001</v>
      </c>
      <c r="G55" s="48">
        <f t="shared" si="20"/>
        <v>1.5069999999999999</v>
      </c>
      <c r="H55" s="48">
        <f t="shared" si="20"/>
        <v>1.2809999999999999</v>
      </c>
      <c r="I55" s="48">
        <f t="shared" si="20"/>
        <v>1.1870000000000001</v>
      </c>
      <c r="J55" s="48">
        <f t="shared" si="20"/>
        <v>1.083</v>
      </c>
    </row>
    <row r="56" spans="1:32">
      <c r="A56" t="s">
        <v>270</v>
      </c>
      <c r="B56" s="48" t="s">
        <v>480</v>
      </c>
      <c r="C56" s="48">
        <f t="shared" si="20"/>
        <v>1.077</v>
      </c>
      <c r="D56" s="48">
        <f t="shared" si="20"/>
        <v>1.389</v>
      </c>
      <c r="E56" s="48">
        <f t="shared" si="20"/>
        <v>0</v>
      </c>
      <c r="F56" s="48">
        <f t="shared" si="20"/>
        <v>1.4570000000000001</v>
      </c>
      <c r="G56" s="48">
        <f t="shared" si="20"/>
        <v>0.89800000000000002</v>
      </c>
      <c r="H56" s="48">
        <f t="shared" si="20"/>
        <v>1.121</v>
      </c>
      <c r="I56" s="48">
        <f t="shared" si="20"/>
        <v>1.5069999999999999</v>
      </c>
      <c r="J56" s="48">
        <f t="shared" si="20"/>
        <v>1.331</v>
      </c>
    </row>
    <row r="57" spans="1:32">
      <c r="A57" t="s">
        <v>270</v>
      </c>
      <c r="B57" s="48" t="s">
        <v>486</v>
      </c>
      <c r="C57" s="48">
        <f t="shared" si="20"/>
        <v>1.345</v>
      </c>
      <c r="D57" s="48">
        <f t="shared" si="20"/>
        <v>1.4330000000000001</v>
      </c>
      <c r="E57" s="48">
        <f t="shared" si="20"/>
        <v>1.4570000000000001</v>
      </c>
      <c r="F57" s="48">
        <f t="shared" si="20"/>
        <v>0</v>
      </c>
      <c r="G57" s="48">
        <f t="shared" si="20"/>
        <v>1.1259999999999999</v>
      </c>
      <c r="H57" s="48">
        <f t="shared" si="20"/>
        <v>0.83799999999999997</v>
      </c>
      <c r="I57" s="48">
        <f t="shared" si="20"/>
        <v>1.08</v>
      </c>
      <c r="J57" s="48">
        <f t="shared" si="20"/>
        <v>1.0960000000000001</v>
      </c>
    </row>
    <row r="58" spans="1:32">
      <c r="A58" t="s">
        <v>270</v>
      </c>
      <c r="B58" s="48" t="s">
        <v>485</v>
      </c>
      <c r="C58" s="48">
        <f t="shared" si="20"/>
        <v>1.2390000000000001</v>
      </c>
      <c r="D58" s="48">
        <f t="shared" si="20"/>
        <v>1.5069999999999999</v>
      </c>
      <c r="E58" s="48">
        <f t="shared" si="20"/>
        <v>0.89800000000000002</v>
      </c>
      <c r="F58" s="48">
        <f t="shared" si="20"/>
        <v>1.1259999999999999</v>
      </c>
      <c r="G58" s="48">
        <f t="shared" si="20"/>
        <v>0</v>
      </c>
      <c r="H58" s="48">
        <f t="shared" si="20"/>
        <v>1.2529999999999999</v>
      </c>
      <c r="I58" s="48">
        <f t="shared" si="20"/>
        <v>1.407</v>
      </c>
      <c r="J58" s="48">
        <f t="shared" si="20"/>
        <v>1.3240000000000001</v>
      </c>
    </row>
    <row r="59" spans="1:32">
      <c r="A59" t="s">
        <v>270</v>
      </c>
      <c r="B59" s="48" t="s">
        <v>482</v>
      </c>
      <c r="C59" s="48">
        <f t="shared" si="20"/>
        <v>1.1459999999999999</v>
      </c>
      <c r="D59" s="48">
        <f t="shared" si="20"/>
        <v>1.2809999999999999</v>
      </c>
      <c r="E59" s="48">
        <f t="shared" si="20"/>
        <v>1.121</v>
      </c>
      <c r="F59" s="48">
        <f t="shared" si="20"/>
        <v>0.83799999999999997</v>
      </c>
      <c r="G59" s="48">
        <f t="shared" si="20"/>
        <v>1.2529999999999999</v>
      </c>
      <c r="H59" s="48">
        <f t="shared" si="20"/>
        <v>0</v>
      </c>
      <c r="I59" s="48">
        <f t="shared" si="20"/>
        <v>0.80400000000000005</v>
      </c>
      <c r="J59" s="48">
        <f t="shared" si="20"/>
        <v>0.80700000000000005</v>
      </c>
    </row>
    <row r="60" spans="1:32">
      <c r="A60" t="s">
        <v>270</v>
      </c>
      <c r="B60" s="48" t="s">
        <v>483</v>
      </c>
      <c r="C60" s="48">
        <f t="shared" si="20"/>
        <v>1.2589999999999999</v>
      </c>
      <c r="D60" s="48">
        <f t="shared" si="20"/>
        <v>1.1870000000000001</v>
      </c>
      <c r="E60" s="48">
        <f t="shared" si="20"/>
        <v>1.5069999999999999</v>
      </c>
      <c r="F60" s="48">
        <f t="shared" si="20"/>
        <v>1.08</v>
      </c>
      <c r="G60" s="48">
        <f t="shared" si="20"/>
        <v>1.407</v>
      </c>
      <c r="H60" s="48">
        <f t="shared" si="20"/>
        <v>0.80400000000000005</v>
      </c>
      <c r="I60" s="48">
        <f t="shared" si="20"/>
        <v>0</v>
      </c>
      <c r="J60" s="48">
        <f t="shared" si="20"/>
        <v>0.88100000000000001</v>
      </c>
    </row>
    <row r="61" spans="1:32">
      <c r="A61" t="s">
        <v>270</v>
      </c>
      <c r="B61" s="48" t="s">
        <v>484</v>
      </c>
      <c r="C61" s="48">
        <f t="shared" si="20"/>
        <v>1.23</v>
      </c>
      <c r="D61" s="48">
        <f t="shared" si="20"/>
        <v>1.083</v>
      </c>
      <c r="E61" s="48">
        <f t="shared" si="20"/>
        <v>1.331</v>
      </c>
      <c r="F61" s="48">
        <f t="shared" si="20"/>
        <v>1.0960000000000001</v>
      </c>
      <c r="G61" s="48">
        <f t="shared" si="20"/>
        <v>1.3240000000000001</v>
      </c>
      <c r="H61" s="48">
        <f t="shared" si="20"/>
        <v>0.80700000000000005</v>
      </c>
      <c r="I61" s="48">
        <f t="shared" si="20"/>
        <v>0.88100000000000001</v>
      </c>
      <c r="J61" s="48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C6" s="53">
        <v>2018</v>
      </c>
      <c r="D6" s="50">
        <v>2018</v>
      </c>
      <c r="E6" s="50">
        <v>2018</v>
      </c>
      <c r="F6" s="50">
        <v>2018</v>
      </c>
      <c r="G6" s="50">
        <v>2018</v>
      </c>
      <c r="H6" s="50">
        <v>2018</v>
      </c>
      <c r="I6" s="50">
        <v>2018</v>
      </c>
      <c r="J6" s="50">
        <v>2018</v>
      </c>
    </row>
    <row r="7" spans="1:10">
      <c r="A7" t="s">
        <v>24</v>
      </c>
      <c r="B7" s="48" t="s">
        <v>478</v>
      </c>
      <c r="C7" s="52">
        <v>0</v>
      </c>
      <c r="D7" s="46">
        <v>0</v>
      </c>
      <c r="E7" s="46">
        <v>0</v>
      </c>
      <c r="F7" s="46">
        <v>0</v>
      </c>
      <c r="G7" s="46">
        <v>5.2999999999999999E-2</v>
      </c>
      <c r="H7" s="46">
        <v>0</v>
      </c>
      <c r="I7" s="46">
        <v>0</v>
      </c>
      <c r="J7" s="46">
        <v>0</v>
      </c>
    </row>
    <row r="8" spans="1:10">
      <c r="A8" t="s">
        <v>24</v>
      </c>
      <c r="B8" s="48" t="s">
        <v>479</v>
      </c>
      <c r="C8" s="52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5.2999999999999999E-2</v>
      </c>
    </row>
    <row r="9" spans="1:10">
      <c r="A9" t="s">
        <v>24</v>
      </c>
      <c r="B9" s="48" t="s">
        <v>480</v>
      </c>
      <c r="C9" s="52">
        <v>0</v>
      </c>
      <c r="D9" s="46">
        <v>0</v>
      </c>
      <c r="E9" s="46">
        <v>0</v>
      </c>
      <c r="F9" s="46">
        <v>0</v>
      </c>
      <c r="G9" s="46">
        <v>5.2999999999999999E-2</v>
      </c>
      <c r="H9" s="46">
        <v>0</v>
      </c>
      <c r="I9" s="46">
        <v>0</v>
      </c>
      <c r="J9" s="46">
        <v>0</v>
      </c>
    </row>
    <row r="10" spans="1:10">
      <c r="A10" t="s">
        <v>24</v>
      </c>
      <c r="B10" s="48" t="s">
        <v>486</v>
      </c>
      <c r="C10" s="52">
        <v>0</v>
      </c>
      <c r="D10" s="46">
        <v>0</v>
      </c>
      <c r="E10" s="46">
        <v>0</v>
      </c>
      <c r="F10" s="46">
        <v>0</v>
      </c>
      <c r="G10" s="54">
        <v>0.106</v>
      </c>
      <c r="H10" s="46">
        <v>0.20699999999999999</v>
      </c>
      <c r="I10" s="46">
        <v>0</v>
      </c>
      <c r="J10" s="46">
        <v>0</v>
      </c>
    </row>
    <row r="11" spans="1:10">
      <c r="A11" t="s">
        <v>24</v>
      </c>
      <c r="B11" s="48" t="s">
        <v>485</v>
      </c>
      <c r="C11" s="46">
        <v>5.2999999999999999E-2</v>
      </c>
      <c r="D11" s="46">
        <v>0</v>
      </c>
      <c r="E11" s="46">
        <v>5.2999999999999999E-2</v>
      </c>
      <c r="F11" s="46">
        <v>5.2999999999999999E-2</v>
      </c>
      <c r="G11" s="46">
        <v>0</v>
      </c>
      <c r="H11" s="46">
        <v>0</v>
      </c>
      <c r="I11" s="46">
        <v>0</v>
      </c>
      <c r="J11" s="46">
        <v>0</v>
      </c>
    </row>
    <row r="12" spans="1:10">
      <c r="A12" t="s">
        <v>24</v>
      </c>
      <c r="B12" s="48" t="s">
        <v>482</v>
      </c>
      <c r="C12" s="52">
        <v>0</v>
      </c>
      <c r="D12" s="46">
        <v>0</v>
      </c>
      <c r="E12" s="46">
        <v>0</v>
      </c>
      <c r="F12" s="46">
        <v>7.0999999999999994E-2</v>
      </c>
      <c r="G12" s="46">
        <v>0</v>
      </c>
      <c r="H12" s="46">
        <v>0</v>
      </c>
      <c r="I12" s="46">
        <v>7.0999999999999994E-2</v>
      </c>
      <c r="J12" s="46">
        <v>8.3000000000000004E-2</v>
      </c>
    </row>
    <row r="13" spans="1:10">
      <c r="A13" t="s">
        <v>24</v>
      </c>
      <c r="B13" s="48" t="s">
        <v>483</v>
      </c>
      <c r="C13" s="52">
        <v>0</v>
      </c>
      <c r="D13" s="46">
        <v>0</v>
      </c>
      <c r="E13" s="46">
        <v>0</v>
      </c>
      <c r="F13" s="46">
        <v>0</v>
      </c>
      <c r="G13" s="46">
        <v>0</v>
      </c>
      <c r="H13" s="46">
        <v>7.0999999999999994E-2</v>
      </c>
      <c r="I13" s="46">
        <v>0</v>
      </c>
      <c r="J13" s="46">
        <v>0.154</v>
      </c>
    </row>
    <row r="14" spans="1:10">
      <c r="A14" t="s">
        <v>24</v>
      </c>
      <c r="B14" s="48" t="s">
        <v>484</v>
      </c>
      <c r="C14" s="52">
        <v>0</v>
      </c>
      <c r="D14" s="46">
        <v>5.2999999999999999E-2</v>
      </c>
      <c r="E14" s="46">
        <v>0</v>
      </c>
      <c r="F14" s="46">
        <v>0</v>
      </c>
      <c r="G14" s="46">
        <v>0</v>
      </c>
      <c r="H14" s="46">
        <v>8.3000000000000004E-2</v>
      </c>
      <c r="I14" s="46">
        <v>0.154</v>
      </c>
      <c r="J14" s="46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A6" t="s">
        <v>24</v>
      </c>
      <c r="B6" s="48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8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8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8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8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8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8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8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8" t="s">
        <v>478</v>
      </c>
      <c r="E5" s="48" t="s">
        <v>479</v>
      </c>
      <c r="F5" s="48" t="s">
        <v>480</v>
      </c>
      <c r="G5" s="48" t="s">
        <v>486</v>
      </c>
      <c r="H5" s="48" t="s">
        <v>485</v>
      </c>
      <c r="I5" s="48" t="s">
        <v>482</v>
      </c>
      <c r="J5" s="48" t="s">
        <v>483</v>
      </c>
      <c r="K5" s="48" t="s">
        <v>484</v>
      </c>
    </row>
    <row r="6" spans="1:11">
      <c r="A6">
        <v>2018</v>
      </c>
      <c r="B6" t="s">
        <v>24</v>
      </c>
      <c r="C6" s="48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8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8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8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8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8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8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8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98"/>
      <c r="M4" s="98"/>
      <c r="N4" s="98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8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8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8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8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8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8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8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8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8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8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8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8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8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8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zoomScale="90" zoomScaleNormal="90" zoomScalePageLayoutView="90" workbookViewId="0">
      <pane xSplit="2" ySplit="5" topLeftCell="C38" activePane="bottomRight" state="frozen"/>
      <selection pane="topRight" activeCell="C1" sqref="C1"/>
      <selection pane="bottomLeft" activeCell="A6" sqref="A6"/>
      <selection pane="bottomRight" activeCell="Q46" sqref="Q46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  <c r="G1" s="57" t="s">
        <v>499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>
      <c r="A11" s="58" t="s">
        <v>478</v>
      </c>
      <c r="B11" s="58" t="s">
        <v>24</v>
      </c>
      <c r="C11" s="59">
        <v>0.12168403538970626</v>
      </c>
      <c r="D11" s="59">
        <v>0.12061632618552527</v>
      </c>
      <c r="E11" s="59">
        <v>0.1183230981505675</v>
      </c>
      <c r="F11" s="59">
        <v>0.12071684451841973</v>
      </c>
      <c r="G11" s="59">
        <v>0.12313155016224894</v>
      </c>
      <c r="H11" s="59">
        <v>0.12556711221429281</v>
      </c>
      <c r="I11" s="59">
        <v>0.12802342856224225</v>
      </c>
      <c r="J11" s="59">
        <v>0.13050039784186487</v>
      </c>
    </row>
    <row r="12" spans="1:10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>
      <c r="A17" s="58" t="s">
        <v>479</v>
      </c>
      <c r="B17" s="58" t="s">
        <v>24</v>
      </c>
      <c r="C17" s="59">
        <v>1.6243325150214597E-2</v>
      </c>
      <c r="D17" s="59">
        <v>1.4564492115787742E-2</v>
      </c>
      <c r="E17" s="59">
        <v>1.4287583485827711E-2</v>
      </c>
      <c r="F17" s="59">
        <v>1.4576629763428261E-2</v>
      </c>
      <c r="G17" s="59">
        <v>1.4868206885893454E-2</v>
      </c>
      <c r="H17" s="59">
        <v>1.5162302431880673E-2</v>
      </c>
      <c r="I17" s="59">
        <v>1.5458904071268717E-2</v>
      </c>
      <c r="J17" s="59">
        <v>1.5757999564267093E-2</v>
      </c>
    </row>
    <row r="18" spans="1:10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>
      <c r="A23" s="58" t="s">
        <v>480</v>
      </c>
      <c r="B23" s="58" t="s">
        <v>24</v>
      </c>
      <c r="C23" s="59">
        <v>3.2884936783409237E-2</v>
      </c>
      <c r="D23" s="59">
        <v>3.2422121143536813E-2</v>
      </c>
      <c r="E23" s="59">
        <v>3.180569284141134E-2</v>
      </c>
      <c r="F23" s="59">
        <v>3.2449140848657312E-2</v>
      </c>
      <c r="G23" s="59">
        <v>3.3098222787944637E-2</v>
      </c>
      <c r="H23" s="59">
        <v>3.3752911008032724E-2</v>
      </c>
      <c r="I23" s="59">
        <v>3.4413178060749713E-2</v>
      </c>
      <c r="J23" s="59">
        <v>3.507899669900949E-2</v>
      </c>
    </row>
    <row r="24" spans="1:10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>
      <c r="A29" s="58" t="s">
        <v>486</v>
      </c>
      <c r="B29" s="58" t="s">
        <v>24</v>
      </c>
      <c r="C29" s="59">
        <v>0.81885070706942453</v>
      </c>
      <c r="D29" s="59">
        <v>0.81936113247092868</v>
      </c>
      <c r="E29" s="59">
        <v>0.8037829601027292</v>
      </c>
      <c r="F29" s="59">
        <v>0.82004396553075676</v>
      </c>
      <c r="G29" s="59">
        <v>0.83644734982774349</v>
      </c>
      <c r="H29" s="59">
        <v>0.85299241420067351</v>
      </c>
      <c r="I29" s="59">
        <v>0.86967846498841717</v>
      </c>
      <c r="J29" s="59">
        <v>0.88650481361161737</v>
      </c>
    </row>
    <row r="30" spans="1:10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58" t="s">
        <v>485</v>
      </c>
      <c r="B35" s="58" t="s">
        <v>24</v>
      </c>
      <c r="C35" s="59">
        <v>0.80996816701503782</v>
      </c>
      <c r="D35" s="59">
        <v>0.75191406719501963</v>
      </c>
      <c r="E35" s="59">
        <v>0.73761823782181757</v>
      </c>
      <c r="F35" s="59">
        <v>0.75254069172342775</v>
      </c>
      <c r="G35" s="59">
        <v>0.76759380434217617</v>
      </c>
      <c r="H35" s="59">
        <v>0.78277693440734886</v>
      </c>
      <c r="I35" s="59">
        <v>0.79808944535767767</v>
      </c>
      <c r="J35" s="59">
        <v>0.81353070529535332</v>
      </c>
    </row>
    <row r="36" spans="1:10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>
      <c r="A41" s="58" t="s">
        <v>482</v>
      </c>
      <c r="B41" s="58" t="s">
        <v>24</v>
      </c>
      <c r="C41" s="59">
        <v>2.1757451210287302</v>
      </c>
      <c r="D41" s="59">
        <v>2.1277889323368018</v>
      </c>
      <c r="E41" s="59">
        <v>2.0297017703636038</v>
      </c>
      <c r="F41" s="59">
        <v>1.911271761977114</v>
      </c>
      <c r="G41" s="59">
        <v>1.7931330946189548</v>
      </c>
      <c r="H41" s="59">
        <v>1.6752843383921305</v>
      </c>
      <c r="I41" s="59">
        <v>1.5577240739010887</v>
      </c>
      <c r="J41" s="59">
        <v>1.4404508921489474</v>
      </c>
    </row>
    <row r="42" spans="1:10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>
      <c r="A47" s="58" t="s">
        <v>483</v>
      </c>
      <c r="B47" s="58" t="s">
        <v>24</v>
      </c>
      <c r="C47" s="59">
        <v>0.62168386831569644</v>
      </c>
      <c r="D47" s="59">
        <v>0.62246323167637474</v>
      </c>
      <c r="E47" s="59">
        <v>0.61062859718904128</v>
      </c>
      <c r="F47" s="59">
        <v>0.62298197543449541</v>
      </c>
      <c r="G47" s="59">
        <v>0.63544351796475951</v>
      </c>
      <c r="H47" s="59">
        <v>0.64801269391140248</v>
      </c>
      <c r="I47" s="59">
        <v>0.66068897630465295</v>
      </c>
      <c r="J47" s="59">
        <v>0.67347184203532895</v>
      </c>
    </row>
    <row r="48" spans="1:10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>
      <c r="A53" s="58" t="s">
        <v>484</v>
      </c>
      <c r="B53" s="58" t="s">
        <v>24</v>
      </c>
      <c r="C53" s="59">
        <v>0.90795039924778032</v>
      </c>
      <c r="D53" s="59">
        <v>0.87696273687602544</v>
      </c>
      <c r="E53" s="59">
        <v>0.86028940916478269</v>
      </c>
      <c r="F53" s="59">
        <v>0.87769357353064004</v>
      </c>
      <c r="G53" s="59">
        <v>0.89525012608974608</v>
      </c>
      <c r="H53" s="59">
        <v>0.91295831892349599</v>
      </c>
      <c r="I53" s="59">
        <v>0.93081740960594428</v>
      </c>
      <c r="J53" s="59">
        <v>0.94882666115017156</v>
      </c>
    </row>
    <row r="54" spans="1:10">
      <c r="A54" s="60" t="s">
        <v>482</v>
      </c>
      <c r="B54" s="60" t="s">
        <v>146</v>
      </c>
      <c r="C54" s="60">
        <v>6.4918076280000001</v>
      </c>
      <c r="D54" s="60">
        <v>5.6721738640000003</v>
      </c>
      <c r="E54" s="60">
        <v>5.607641609574328</v>
      </c>
      <c r="F54" s="60">
        <v>5.5611783863878443</v>
      </c>
      <c r="G54" s="60">
        <v>5.5311321687272521</v>
      </c>
      <c r="H54" s="60">
        <v>5.5016868754198711</v>
      </c>
      <c r="I54" s="60">
        <v>5.4728304879786371</v>
      </c>
      <c r="J54" s="60">
        <v>5.4445512282862278</v>
      </c>
    </row>
    <row r="55" spans="1:10">
      <c r="A55" s="60" t="s">
        <v>484</v>
      </c>
      <c r="B55" s="60" t="s">
        <v>146</v>
      </c>
      <c r="C55" s="60">
        <v>1.306387754</v>
      </c>
      <c r="D55" s="60">
        <v>1.7301026269999999</v>
      </c>
      <c r="E55" s="60">
        <v>1.6894437785894496</v>
      </c>
      <c r="F55" s="60">
        <v>1.6601694077338536</v>
      </c>
      <c r="G55" s="60">
        <v>1.6412386479139012</v>
      </c>
      <c r="H55" s="60">
        <v>1.6226865032903481</v>
      </c>
      <c r="I55" s="60">
        <v>1.6045054015592661</v>
      </c>
      <c r="J55" s="60">
        <v>1.5866879218628056</v>
      </c>
    </row>
    <row r="56" spans="1:10">
      <c r="A56" s="60" t="s">
        <v>479</v>
      </c>
      <c r="B56" s="60" t="s">
        <v>146</v>
      </c>
      <c r="C56" s="60">
        <v>2.9785649000000001E-2</v>
      </c>
      <c r="D56" s="60">
        <v>3.9446350999999998E-2</v>
      </c>
      <c r="E56" s="60">
        <v>3.8519328995276839E-2</v>
      </c>
      <c r="F56" s="60">
        <v>3.7851873151876159E-2</v>
      </c>
      <c r="G56" s="60">
        <v>3.7420251706477059E-2</v>
      </c>
      <c r="H56" s="60">
        <v>3.6997262689985932E-2</v>
      </c>
      <c r="I56" s="60">
        <v>3.6582733453824637E-2</v>
      </c>
      <c r="J56" s="60">
        <v>3.6176494802386563E-2</v>
      </c>
    </row>
    <row r="57" spans="1:10">
      <c r="A57" s="60" t="s">
        <v>483</v>
      </c>
      <c r="B57" s="60" t="s">
        <v>146</v>
      </c>
      <c r="C57" s="60">
        <v>1.1892003609999999</v>
      </c>
      <c r="D57" s="60">
        <v>1.5749065790000001</v>
      </c>
      <c r="E57" s="60">
        <v>1.5378949665921433</v>
      </c>
      <c r="F57" s="60">
        <v>1.5112466056584863</v>
      </c>
      <c r="G57" s="60">
        <v>1.4940139989213881</v>
      </c>
      <c r="H57" s="60">
        <v>1.4771260443190317</v>
      </c>
      <c r="I57" s="60">
        <v>1.4605758488087228</v>
      </c>
      <c r="J57" s="60">
        <v>1.4443566572086199</v>
      </c>
    </row>
    <row r="58" spans="1:10">
      <c r="A58" s="60" t="s">
        <v>478</v>
      </c>
      <c r="B58" s="60" t="s">
        <v>146</v>
      </c>
      <c r="C58" s="60">
        <v>0.22162436499999999</v>
      </c>
      <c r="D58" s="60">
        <v>0.29350619300000003</v>
      </c>
      <c r="E58" s="60">
        <v>0.28660855373715605</v>
      </c>
      <c r="F58" s="60">
        <v>0.28164225346790839</v>
      </c>
      <c r="G58" s="60">
        <v>0.27843071262712826</v>
      </c>
      <c r="H58" s="60">
        <v>0.2752834026031637</v>
      </c>
      <c r="I58" s="60">
        <v>0.27219903877967844</v>
      </c>
      <c r="J58" s="60">
        <v>0.26917636223266289</v>
      </c>
    </row>
    <row r="59" spans="1:10">
      <c r="A59" s="60" t="s">
        <v>486</v>
      </c>
      <c r="B59" s="60" t="s">
        <v>146</v>
      </c>
      <c r="C59" s="60">
        <v>1.609881055</v>
      </c>
      <c r="D59" s="60">
        <v>2.132031193</v>
      </c>
      <c r="E59" s="60">
        <v>2.0819266895272408</v>
      </c>
      <c r="F59" s="60">
        <v>2.0458514470268545</v>
      </c>
      <c r="G59" s="60">
        <v>2.0225227902099379</v>
      </c>
      <c r="H59" s="60">
        <v>1.9996607065293592</v>
      </c>
      <c r="I59" s="60">
        <v>1.9772558645223923</v>
      </c>
      <c r="J59" s="60">
        <v>1.9552991193555649</v>
      </c>
    </row>
    <row r="60" spans="1:10">
      <c r="A60" s="60" t="s">
        <v>485</v>
      </c>
      <c r="B60" s="60" t="s">
        <v>146</v>
      </c>
      <c r="C60" s="60">
        <v>1.5795962050000001</v>
      </c>
      <c r="D60" s="60">
        <v>2.09192373</v>
      </c>
      <c r="E60" s="60">
        <v>2.0427617852129512</v>
      </c>
      <c r="F60" s="60">
        <v>2.0073651849662757</v>
      </c>
      <c r="G60" s="60">
        <v>1.9844753834734257</v>
      </c>
      <c r="H60" s="60">
        <v>1.9620433780104327</v>
      </c>
      <c r="I60" s="60">
        <v>1.9400600126566996</v>
      </c>
      <c r="J60" s="60">
        <v>1.918516314610041</v>
      </c>
    </row>
    <row r="61" spans="1:10">
      <c r="A61" s="60" t="s">
        <v>480</v>
      </c>
      <c r="B61" s="60" t="s">
        <v>146</v>
      </c>
      <c r="C61" s="60">
        <v>5.2769687000000003E-2</v>
      </c>
      <c r="D61" s="60">
        <v>6.9885050000000004E-2</v>
      </c>
      <c r="E61" s="60">
        <v>6.8242693292501808E-2</v>
      </c>
      <c r="F61" s="60">
        <v>6.70601964631031E-2</v>
      </c>
      <c r="G61" s="60">
        <v>6.6295515180091941E-2</v>
      </c>
      <c r="H61" s="60">
        <v>6.5546127522740999E-2</v>
      </c>
      <c r="I61" s="60">
        <v>6.4811727618537068E-2</v>
      </c>
      <c r="J61" s="60">
        <v>6.4092015712417225E-2</v>
      </c>
    </row>
  </sheetData>
  <autoFilter ref="A4:J61" xr:uid="{00000000-0001-0000-1500-000000000000}"/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8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8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8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8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8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8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8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8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zoomScaleNormal="100" zoomScalePageLayoutView="90" workbookViewId="0">
      <selection activeCell="B14" sqref="B14:C15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2"/>
      <c r="D52" s="42"/>
      <c r="E52" s="42"/>
      <c r="F52" s="42"/>
      <c r="G52" s="42"/>
      <c r="H52" s="42"/>
      <c r="I52" s="42"/>
      <c r="J52" s="42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3"/>
      <c r="F59" s="43"/>
      <c r="H59" s="43"/>
      <c r="J59" s="43"/>
    </row>
    <row r="60" spans="2:10">
      <c r="C60" s="43"/>
      <c r="D60" s="43"/>
      <c r="E60" s="43"/>
      <c r="F60" s="43"/>
      <c r="G60" s="43"/>
      <c r="H60" s="43"/>
      <c r="I60" s="43"/>
      <c r="J60" s="43"/>
    </row>
    <row r="65" spans="3:10">
      <c r="C65" s="44"/>
      <c r="D65" s="44"/>
      <c r="E65" s="44"/>
      <c r="F65" s="44"/>
      <c r="G65" s="44"/>
      <c r="H65" s="44"/>
      <c r="I65" s="44"/>
      <c r="J65" s="44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4"/>
      <c r="D73" s="44"/>
      <c r="E73" s="44"/>
      <c r="F73" s="44"/>
      <c r="G73" s="44"/>
      <c r="H73" s="44"/>
      <c r="I73" s="44"/>
      <c r="J73" s="44"/>
    </row>
    <row r="74" spans="3:10">
      <c r="C74" s="44"/>
      <c r="D74" s="44"/>
      <c r="E74" s="44"/>
      <c r="F74" s="44"/>
      <c r="G74" s="44"/>
      <c r="H74" s="44"/>
      <c r="I74" s="44"/>
      <c r="J74" s="44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4"/>
      <c r="D118" s="44"/>
      <c r="E118" s="44"/>
      <c r="F118" s="44"/>
      <c r="G118" s="44"/>
      <c r="H118" s="44"/>
      <c r="I118" s="44"/>
      <c r="J118" s="44"/>
    </row>
    <row r="119" spans="3:10">
      <c r="C119" s="44"/>
      <c r="D119" s="44"/>
      <c r="E119" s="44"/>
      <c r="F119" s="44"/>
      <c r="G119" s="44"/>
      <c r="H119" s="44"/>
      <c r="I119" s="44"/>
      <c r="J119" s="44"/>
    </row>
    <row r="120" spans="3:10">
      <c r="C120" s="44"/>
      <c r="D120" s="44"/>
      <c r="E120" s="44"/>
      <c r="F120" s="44"/>
      <c r="G120" s="44"/>
      <c r="H120" s="44"/>
      <c r="I120" s="44"/>
      <c r="J120" s="44"/>
    </row>
    <row r="121" spans="3:10">
      <c r="C121" s="44"/>
      <c r="D121" s="44"/>
      <c r="E121" s="44"/>
      <c r="F121" s="44"/>
      <c r="G121" s="44"/>
      <c r="H121" s="44"/>
      <c r="I121" s="44"/>
      <c r="J121" s="44"/>
    </row>
    <row r="122" spans="3:10">
      <c r="C122" s="44"/>
      <c r="D122" s="44"/>
      <c r="E122" s="44"/>
      <c r="F122" s="44"/>
      <c r="G122" s="44"/>
      <c r="H122" s="44"/>
      <c r="I122" s="44"/>
      <c r="J122" s="44"/>
    </row>
    <row r="123" spans="3:10">
      <c r="C123" s="44"/>
      <c r="D123" s="44"/>
      <c r="E123" s="44"/>
      <c r="F123" s="44"/>
      <c r="G123" s="44"/>
      <c r="H123" s="44"/>
      <c r="I123" s="44"/>
      <c r="J123" s="44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4"/>
      <c r="D126" s="16"/>
      <c r="E126" s="16"/>
      <c r="F126" s="16"/>
      <c r="G126" s="16"/>
      <c r="H126" s="16"/>
      <c r="I126" s="16"/>
      <c r="J126" s="44"/>
    </row>
    <row r="127" spans="3:10">
      <c r="C127" s="44"/>
      <c r="D127" s="44"/>
      <c r="E127" s="44"/>
      <c r="F127" s="44"/>
      <c r="G127" s="44"/>
      <c r="H127" s="44"/>
      <c r="I127" s="44"/>
      <c r="J127" s="44"/>
    </row>
    <row r="128" spans="3:10">
      <c r="C128" s="44"/>
      <c r="D128" s="44"/>
      <c r="E128" s="44"/>
      <c r="F128" s="44"/>
      <c r="G128" s="44"/>
      <c r="H128" s="44"/>
      <c r="I128" s="44"/>
      <c r="J128" s="44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5"/>
      <c r="D138" s="45"/>
      <c r="E138" s="45"/>
      <c r="F138" s="45"/>
      <c r="G138" s="45"/>
      <c r="H138" s="45"/>
      <c r="I138" s="45"/>
      <c r="J138" s="45"/>
    </row>
    <row r="139" spans="1:10">
      <c r="A139" s="5"/>
      <c r="B139" s="2"/>
      <c r="C139" s="45"/>
      <c r="D139" s="45"/>
      <c r="E139" s="45"/>
      <c r="F139" s="45"/>
      <c r="G139" s="45"/>
      <c r="H139" s="45"/>
      <c r="I139" s="45"/>
      <c r="J139" s="45"/>
    </row>
    <row r="140" spans="1:10">
      <c r="A140" s="5"/>
      <c r="B140" s="2"/>
      <c r="C140" s="45"/>
      <c r="D140" s="45"/>
      <c r="E140" s="45"/>
      <c r="F140" s="45"/>
      <c r="G140" s="45"/>
      <c r="H140" s="45"/>
      <c r="I140" s="45"/>
      <c r="J140" s="45"/>
    </row>
    <row r="141" spans="1:10">
      <c r="A141" s="5"/>
      <c r="B141" s="2"/>
      <c r="C141" s="45"/>
      <c r="D141" s="45"/>
      <c r="E141" s="45"/>
      <c r="F141" s="45"/>
      <c r="G141" s="45"/>
      <c r="H141" s="45"/>
      <c r="I141" s="45"/>
      <c r="J141" s="45"/>
    </row>
    <row r="142" spans="1:10">
      <c r="A142" s="5"/>
      <c r="B142" s="2"/>
      <c r="C142" s="45"/>
      <c r="D142" s="45"/>
      <c r="E142" s="45"/>
      <c r="F142" s="45"/>
      <c r="G142" s="45"/>
      <c r="H142" s="45"/>
      <c r="I142" s="45"/>
      <c r="J142" s="45"/>
    </row>
    <row r="144" spans="1:10">
      <c r="A144" s="5"/>
      <c r="B144" s="2"/>
      <c r="C144" s="44"/>
      <c r="D144" s="16"/>
      <c r="E144" s="16"/>
      <c r="F144" s="16"/>
      <c r="G144" s="16"/>
      <c r="H144" s="16"/>
      <c r="I144" s="16"/>
      <c r="J144" s="44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4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G41" sqref="G41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6"/>
  <sheetViews>
    <sheetView zoomScale="85" zoomScaleNormal="85" zoomScalePageLayoutView="90" workbookViewId="0">
      <selection activeCell="J25" sqref="J25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8.77734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6">
        <v>2018</v>
      </c>
      <c r="D5" s="46">
        <v>2021</v>
      </c>
      <c r="E5" s="46">
        <v>2025</v>
      </c>
      <c r="F5" s="46">
        <v>2030</v>
      </c>
      <c r="G5" s="46">
        <v>2035</v>
      </c>
      <c r="H5" s="46">
        <v>2040</v>
      </c>
      <c r="I5" s="46">
        <v>2045</v>
      </c>
      <c r="J5" s="46">
        <v>2050</v>
      </c>
    </row>
    <row r="6" spans="1:10" ht="14.4" customHeight="1">
      <c r="A6" s="48" t="s">
        <v>478</v>
      </c>
      <c r="B6" s="48" t="s">
        <v>93</v>
      </c>
      <c r="C6" s="74">
        <f>0.00386</f>
        <v>3.8600000000000001E-3</v>
      </c>
      <c r="D6" s="75">
        <v>3.8999999999999998E-3</v>
      </c>
      <c r="E6" s="76">
        <v>3.8999999999999998E-3</v>
      </c>
      <c r="F6" s="76">
        <v>3.8999999999999998E-3</v>
      </c>
      <c r="G6" s="76">
        <v>3.8999999999999998E-3</v>
      </c>
      <c r="H6" s="76">
        <v>3.8999999999999998E-3</v>
      </c>
      <c r="I6" s="76">
        <v>0</v>
      </c>
      <c r="J6" s="76">
        <v>0</v>
      </c>
    </row>
    <row r="7" spans="1:10" ht="14.4" customHeight="1">
      <c r="A7" s="48" t="s">
        <v>478</v>
      </c>
      <c r="B7" s="48" t="s">
        <v>90</v>
      </c>
      <c r="C7" s="74">
        <f>0.00222</f>
        <v>2.2200000000000002E-3</v>
      </c>
      <c r="D7" s="75">
        <v>2.1299999999999999E-3</v>
      </c>
      <c r="E7" s="76">
        <v>2.1299999999999999E-3</v>
      </c>
      <c r="F7" s="76">
        <v>2.1299999999999999E-3</v>
      </c>
      <c r="G7" s="76">
        <v>2.1299999999999999E-3</v>
      </c>
      <c r="H7" s="76">
        <v>0</v>
      </c>
      <c r="I7" s="76">
        <v>0</v>
      </c>
      <c r="J7" s="76">
        <v>0</v>
      </c>
    </row>
    <row r="8" spans="1:10" ht="14.4" customHeight="1">
      <c r="A8" s="48" t="s">
        <v>478</v>
      </c>
      <c r="B8" s="48" t="s">
        <v>56</v>
      </c>
      <c r="C8" s="74">
        <v>7.1000000000000004E-3</v>
      </c>
      <c r="D8" s="75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</row>
    <row r="9" spans="1:10" ht="14.4" customHeight="1">
      <c r="A9" s="48" t="s">
        <v>479</v>
      </c>
      <c r="B9" s="48" t="s">
        <v>93</v>
      </c>
      <c r="C9" s="74">
        <v>3.5999999999999999E-3</v>
      </c>
      <c r="D9" s="74">
        <v>8.8999999999999999E-3</v>
      </c>
      <c r="E9" s="77">
        <v>8.8999999999999999E-3</v>
      </c>
      <c r="F9" s="77">
        <v>8.8999999999999999E-3</v>
      </c>
      <c r="G9" s="77">
        <v>8.8999999999999999E-3</v>
      </c>
      <c r="H9" s="77">
        <v>0</v>
      </c>
      <c r="I9" s="77">
        <v>0</v>
      </c>
      <c r="J9" s="77">
        <v>0</v>
      </c>
    </row>
    <row r="10" spans="1:10" ht="14.4" customHeight="1">
      <c r="A10" s="48" t="s">
        <v>479</v>
      </c>
      <c r="B10" s="48" t="s">
        <v>90</v>
      </c>
      <c r="C10" s="74">
        <v>0</v>
      </c>
      <c r="D10" s="74">
        <v>2.5699999999999998E-3</v>
      </c>
      <c r="E10" s="77">
        <v>2.5699999999999998E-3</v>
      </c>
      <c r="F10" s="77">
        <v>2.5699999999999998E-3</v>
      </c>
      <c r="G10" s="77">
        <v>2.5699999999999998E-3</v>
      </c>
      <c r="H10" s="77">
        <v>0</v>
      </c>
      <c r="I10" s="77">
        <v>0</v>
      </c>
      <c r="J10" s="77">
        <v>0</v>
      </c>
    </row>
    <row r="11" spans="1:10" ht="14.4" customHeight="1">
      <c r="A11" s="48" t="s">
        <v>480</v>
      </c>
      <c r="B11" s="48" t="s">
        <v>93</v>
      </c>
      <c r="C11" s="74">
        <v>1.9300000000000001E-3</v>
      </c>
      <c r="D11" s="74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</row>
    <row r="12" spans="1:10" ht="14.4" customHeight="1">
      <c r="A12" s="48" t="s">
        <v>480</v>
      </c>
      <c r="B12" s="48" t="s">
        <v>90</v>
      </c>
      <c r="C12" s="74">
        <v>0</v>
      </c>
      <c r="D12" s="74">
        <v>2.8600000000000001E-3</v>
      </c>
      <c r="E12" s="77">
        <v>2.8600000000000001E-3</v>
      </c>
      <c r="F12" s="77">
        <v>2.8600000000000001E-3</v>
      </c>
      <c r="G12" s="77">
        <v>2.8600000000000001E-3</v>
      </c>
      <c r="H12" s="77">
        <v>0</v>
      </c>
      <c r="I12" s="77">
        <v>0</v>
      </c>
      <c r="J12" s="77">
        <v>0</v>
      </c>
    </row>
    <row r="13" spans="1:10" ht="14.4" customHeight="1">
      <c r="A13" s="48" t="s">
        <v>480</v>
      </c>
      <c r="B13" s="48" t="s">
        <v>56</v>
      </c>
      <c r="C13" s="74">
        <v>1.5E-3</v>
      </c>
      <c r="D13" s="74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</row>
    <row r="14" spans="1:10" ht="14.4" customHeight="1">
      <c r="A14" s="48" t="s">
        <v>486</v>
      </c>
      <c r="B14" s="48" t="s">
        <v>93</v>
      </c>
      <c r="C14" s="74">
        <v>0</v>
      </c>
      <c r="D14" s="74">
        <v>1.6E-2</v>
      </c>
      <c r="E14" s="77">
        <v>1.6E-2</v>
      </c>
      <c r="F14" s="77">
        <v>1.6E-2</v>
      </c>
      <c r="G14" s="77">
        <v>1.6E-2</v>
      </c>
      <c r="H14" s="77">
        <v>0</v>
      </c>
      <c r="I14" s="77">
        <v>0</v>
      </c>
      <c r="J14" s="77">
        <v>0</v>
      </c>
    </row>
    <row r="15" spans="1:10" ht="14.4" customHeight="1">
      <c r="A15" s="48" t="s">
        <v>486</v>
      </c>
      <c r="B15" s="48" t="s">
        <v>90</v>
      </c>
      <c r="C15" s="78">
        <v>6.0099999999999997E-3</v>
      </c>
      <c r="D15" s="74">
        <v>7.8399999999999997E-3</v>
      </c>
      <c r="E15" s="77">
        <v>7.8399999999999997E-3</v>
      </c>
      <c r="F15" s="77">
        <v>7.8399999999999997E-3</v>
      </c>
      <c r="G15" s="77">
        <v>6.2719999999999998E-3</v>
      </c>
      <c r="H15" s="77">
        <v>0</v>
      </c>
      <c r="I15" s="77">
        <v>0</v>
      </c>
      <c r="J15" s="77">
        <v>0</v>
      </c>
    </row>
    <row r="16" spans="1:10" ht="14.4" customHeight="1">
      <c r="A16" s="48" t="s">
        <v>486</v>
      </c>
      <c r="B16" s="48" t="s">
        <v>99</v>
      </c>
      <c r="C16" s="74">
        <v>2.3999999999999998E-3</v>
      </c>
      <c r="D16" s="74">
        <v>2.3999999999999998E-3</v>
      </c>
      <c r="E16" s="77">
        <v>2.3999999999999998E-3</v>
      </c>
      <c r="F16" s="77">
        <v>2.3999999999999998E-3</v>
      </c>
      <c r="G16" s="77">
        <v>2.3999999999999998E-3</v>
      </c>
      <c r="H16" s="77">
        <v>2.3999999999999998E-3</v>
      </c>
      <c r="I16" s="77">
        <v>2.3999999999999998E-3</v>
      </c>
      <c r="J16" s="77">
        <v>2.3999999999999998E-3</v>
      </c>
    </row>
    <row r="17" spans="1:15" ht="14.4" customHeight="1">
      <c r="A17" s="48" t="s">
        <v>486</v>
      </c>
      <c r="B17" s="48" t="s">
        <v>158</v>
      </c>
      <c r="C17" s="74">
        <v>2.1199999999999999E-3</v>
      </c>
      <c r="D17" s="74">
        <v>1.4E-3</v>
      </c>
      <c r="E17" s="77">
        <v>1.4E-3</v>
      </c>
      <c r="F17" s="77">
        <v>1.4E-3</v>
      </c>
      <c r="G17" s="77">
        <v>1.4E-3</v>
      </c>
      <c r="H17" s="77">
        <v>1.4E-3</v>
      </c>
      <c r="I17" s="77">
        <v>1.1200000000000001E-3</v>
      </c>
      <c r="J17" s="77">
        <v>0</v>
      </c>
    </row>
    <row r="18" spans="1:15" ht="14.4" customHeight="1">
      <c r="A18" s="48" t="s">
        <v>485</v>
      </c>
      <c r="B18" s="48" t="s">
        <v>93</v>
      </c>
      <c r="C18" s="74">
        <v>5.7800000000000004E-3</v>
      </c>
      <c r="D18" s="74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</row>
    <row r="19" spans="1:15" ht="14.4" customHeight="1">
      <c r="A19" s="48" t="s">
        <v>485</v>
      </c>
      <c r="B19" s="48" t="s">
        <v>90</v>
      </c>
      <c r="C19" s="74">
        <v>6.4000000000000003E-3</v>
      </c>
      <c r="D19" s="74">
        <v>6.3699999999999998E-3</v>
      </c>
      <c r="E19" s="77">
        <v>6.3699999999999998E-3</v>
      </c>
      <c r="F19" s="77">
        <v>6.3699999999999998E-3</v>
      </c>
      <c r="G19" s="77">
        <v>6.3699999999999998E-3</v>
      </c>
      <c r="H19" s="77">
        <v>0</v>
      </c>
      <c r="I19" s="77">
        <v>0</v>
      </c>
      <c r="J19" s="77">
        <v>0</v>
      </c>
    </row>
    <row r="20" spans="1:15" ht="14.4" customHeight="1">
      <c r="A20" s="48" t="s">
        <v>485</v>
      </c>
      <c r="B20" s="48" t="s">
        <v>99</v>
      </c>
      <c r="C20" s="74">
        <v>7.9699999999999997E-3</v>
      </c>
      <c r="D20" s="74">
        <v>7.9699999999999997E-3</v>
      </c>
      <c r="E20" s="77">
        <v>7.9699999999999997E-3</v>
      </c>
      <c r="F20" s="77">
        <v>7.9699999999999997E-3</v>
      </c>
      <c r="G20" s="77">
        <v>7.9699999999999997E-3</v>
      </c>
      <c r="H20" s="77">
        <v>7.9699999999999997E-3</v>
      </c>
      <c r="I20" s="77">
        <v>7.9699999999999997E-3</v>
      </c>
      <c r="J20" s="77">
        <v>0</v>
      </c>
      <c r="O20" s="4"/>
    </row>
    <row r="21" spans="1:15" ht="14.4" customHeight="1">
      <c r="A21" s="48" t="s">
        <v>485</v>
      </c>
      <c r="B21" s="48" t="s">
        <v>101</v>
      </c>
      <c r="C21" s="74">
        <v>1.4500000000000001E-2</v>
      </c>
      <c r="D21" s="74">
        <v>1.4500000000000001E-2</v>
      </c>
      <c r="E21" s="77">
        <v>1.21E-2</v>
      </c>
      <c r="F21" s="77">
        <v>1.0500000000000001E-2</v>
      </c>
      <c r="G21" s="77">
        <v>1.0500000000000001E-2</v>
      </c>
      <c r="H21" s="77">
        <v>1.0500000000000001E-2</v>
      </c>
      <c r="I21" s="77">
        <v>0</v>
      </c>
      <c r="J21" s="77">
        <v>0</v>
      </c>
      <c r="O21" s="4"/>
    </row>
    <row r="22" spans="1:15" ht="14.4" customHeight="1">
      <c r="A22" s="48" t="s">
        <v>485</v>
      </c>
      <c r="B22" s="48" t="s">
        <v>158</v>
      </c>
      <c r="C22" s="74">
        <v>7.7999999999999999E-4</v>
      </c>
      <c r="D22" s="74">
        <v>7.7999999999999999E-4</v>
      </c>
      <c r="E22" s="77">
        <v>7.7999999999999999E-4</v>
      </c>
      <c r="F22" s="77">
        <v>7.7999999999999999E-4</v>
      </c>
      <c r="G22" s="77">
        <v>7.7999999999999999E-4</v>
      </c>
      <c r="H22" s="77">
        <v>7.7999999999999999E-4</v>
      </c>
      <c r="I22" s="77">
        <v>0</v>
      </c>
      <c r="J22" s="77">
        <v>0</v>
      </c>
      <c r="O22" s="4"/>
    </row>
    <row r="23" spans="1:15" ht="14.4" customHeight="1">
      <c r="A23" s="48" t="s">
        <v>482</v>
      </c>
      <c r="B23" s="48" t="s">
        <v>93</v>
      </c>
      <c r="C23" s="74">
        <v>0</v>
      </c>
      <c r="D23" s="74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O23" s="4"/>
    </row>
    <row r="24" spans="1:15" ht="14.4" customHeight="1">
      <c r="A24" s="48" t="s">
        <v>482</v>
      </c>
      <c r="B24" s="48" t="s">
        <v>90</v>
      </c>
      <c r="C24" s="74">
        <v>2.1940000000000001E-2</v>
      </c>
      <c r="D24" s="74">
        <v>2.5649999999999999E-2</v>
      </c>
      <c r="E24" s="77">
        <v>2.5649999999999999E-2</v>
      </c>
      <c r="F24" s="77">
        <v>2.5649999999999999E-2</v>
      </c>
      <c r="G24" s="77">
        <v>2.052E-2</v>
      </c>
      <c r="H24" s="77">
        <v>0</v>
      </c>
      <c r="I24" s="77">
        <v>0</v>
      </c>
      <c r="J24" s="77">
        <v>0</v>
      </c>
      <c r="O24" s="4"/>
    </row>
    <row r="25" spans="1:15" ht="14.4" customHeight="1">
      <c r="A25" s="48" t="s">
        <v>482</v>
      </c>
      <c r="B25" s="48" t="s">
        <v>56</v>
      </c>
      <c r="C25" s="74">
        <v>0.3276</v>
      </c>
      <c r="D25" s="74">
        <v>0.30120000000000002</v>
      </c>
      <c r="E25" s="77">
        <v>0.251</v>
      </c>
      <c r="F25" s="77">
        <v>0.251</v>
      </c>
      <c r="G25" s="77">
        <v>0.21099999999999999</v>
      </c>
      <c r="H25" s="77">
        <v>0.21099999999999999</v>
      </c>
      <c r="I25" s="77">
        <v>0</v>
      </c>
      <c r="J25" s="77">
        <v>0</v>
      </c>
      <c r="O25" s="4"/>
    </row>
    <row r="26" spans="1:15" ht="14.4" customHeight="1">
      <c r="A26" s="48" t="s">
        <v>482</v>
      </c>
      <c r="B26" s="48" t="s">
        <v>158</v>
      </c>
      <c r="C26" s="74">
        <v>2.2599999999999999E-3</v>
      </c>
      <c r="D26" s="78">
        <v>2.3E-3</v>
      </c>
      <c r="E26" s="79">
        <v>2.3E-3</v>
      </c>
      <c r="F26" s="79">
        <v>2.3E-3</v>
      </c>
      <c r="G26" s="79">
        <v>2.3E-3</v>
      </c>
      <c r="H26" s="77">
        <v>2.3E-3</v>
      </c>
      <c r="I26" s="77">
        <v>1.8400000000000001E-3</v>
      </c>
      <c r="J26" s="77">
        <v>0</v>
      </c>
      <c r="O26" s="4"/>
    </row>
    <row r="27" spans="1:15" ht="14.4" customHeight="1">
      <c r="A27" s="48" t="s">
        <v>483</v>
      </c>
      <c r="B27" s="48" t="s">
        <v>99</v>
      </c>
      <c r="C27" s="74">
        <v>2.0000000000000001E-4</v>
      </c>
      <c r="D27" s="74">
        <v>2.0000000000000001E-4</v>
      </c>
      <c r="E27" s="77">
        <v>2.0000000000000001E-4</v>
      </c>
      <c r="F27" s="77">
        <v>2.0000000000000001E-4</v>
      </c>
      <c r="G27" s="77">
        <v>2.0000000000000001E-4</v>
      </c>
      <c r="H27" s="77">
        <v>2.0000000000000001E-4</v>
      </c>
      <c r="I27" s="77">
        <v>2.0000000000000001E-4</v>
      </c>
      <c r="J27" s="77">
        <v>2.0000000000000001E-4</v>
      </c>
      <c r="O27" s="4"/>
    </row>
    <row r="28" spans="1:15" ht="14.4" customHeight="1">
      <c r="A28" s="48" t="s">
        <v>483</v>
      </c>
      <c r="B28" s="48" t="s">
        <v>93</v>
      </c>
      <c r="C28" s="74">
        <v>6.77E-3</v>
      </c>
      <c r="D28" s="74">
        <v>1.34E-2</v>
      </c>
      <c r="E28" s="77">
        <v>1.34E-2</v>
      </c>
      <c r="F28" s="77">
        <v>1.34E-2</v>
      </c>
      <c r="G28" s="77">
        <v>1.34E-2</v>
      </c>
      <c r="H28" s="77">
        <v>2.6800000000000001E-3</v>
      </c>
      <c r="I28" s="77">
        <v>0</v>
      </c>
      <c r="J28" s="77">
        <v>0</v>
      </c>
      <c r="O28" s="4"/>
    </row>
    <row r="29" spans="1:15" ht="14.4" customHeight="1">
      <c r="A29" s="48" t="s">
        <v>483</v>
      </c>
      <c r="B29" s="48" t="s">
        <v>90</v>
      </c>
      <c r="C29" s="74">
        <v>2.445E-2</v>
      </c>
      <c r="D29" s="74">
        <v>2.4639999999999999E-2</v>
      </c>
      <c r="E29" s="77">
        <v>2.4639999999999999E-2</v>
      </c>
      <c r="F29" s="77">
        <v>2.4639999999999999E-2</v>
      </c>
      <c r="G29" s="77">
        <v>0</v>
      </c>
      <c r="H29" s="77">
        <v>0</v>
      </c>
      <c r="I29" s="77">
        <v>0</v>
      </c>
      <c r="J29" s="77">
        <v>0</v>
      </c>
      <c r="O29" s="4"/>
    </row>
    <row r="30" spans="1:15" ht="14.4" customHeight="1">
      <c r="A30" s="48" t="s">
        <v>483</v>
      </c>
      <c r="B30" s="48" t="s">
        <v>103</v>
      </c>
      <c r="C30" s="80">
        <v>5.1700000000000003E-2</v>
      </c>
      <c r="D30" s="80">
        <v>5.1700000000000003E-2</v>
      </c>
      <c r="E30" s="77">
        <v>5.1700000000000003E-2</v>
      </c>
      <c r="F30" s="77">
        <v>5.1700000000000003E-2</v>
      </c>
      <c r="G30" s="77">
        <v>5.1700000000000003E-2</v>
      </c>
      <c r="H30" s="77">
        <v>0</v>
      </c>
      <c r="I30" s="77">
        <v>0</v>
      </c>
      <c r="J30" s="77">
        <v>0</v>
      </c>
      <c r="O30" s="4"/>
    </row>
    <row r="31" spans="1:15" ht="14.4" customHeight="1">
      <c r="A31" s="48" t="s">
        <v>483</v>
      </c>
      <c r="B31" s="48" t="s">
        <v>158</v>
      </c>
      <c r="C31" s="80">
        <v>4.1300000000000003E-2</v>
      </c>
      <c r="D31" s="80">
        <v>4.1300000000000003E-2</v>
      </c>
      <c r="E31" s="77">
        <v>4.1300000000000003E-2</v>
      </c>
      <c r="F31" s="77">
        <v>4.1300000000000003E-2</v>
      </c>
      <c r="G31" s="77">
        <v>4.1300000000000003E-2</v>
      </c>
      <c r="H31" s="77">
        <v>0</v>
      </c>
      <c r="I31" s="77">
        <v>0</v>
      </c>
      <c r="J31" s="77">
        <v>0</v>
      </c>
      <c r="O31" s="4"/>
    </row>
    <row r="32" spans="1:15" ht="14.4" customHeight="1">
      <c r="A32" s="48" t="s">
        <v>484</v>
      </c>
      <c r="B32" s="48" t="s">
        <v>93</v>
      </c>
      <c r="C32" s="74">
        <v>4.3400000000000001E-3</v>
      </c>
      <c r="D32" s="74">
        <v>9.9000000000000008E-3</v>
      </c>
      <c r="E32" s="77">
        <v>9.9000000000000008E-3</v>
      </c>
      <c r="F32" s="77">
        <v>9.9000000000000008E-3</v>
      </c>
      <c r="G32" s="77">
        <v>9.9000000000000008E-3</v>
      </c>
      <c r="H32" s="77">
        <v>0</v>
      </c>
      <c r="I32" s="77">
        <v>0</v>
      </c>
      <c r="J32" s="77">
        <v>0</v>
      </c>
      <c r="O32" s="4"/>
    </row>
    <row r="33" spans="1:15" ht="14.4" customHeight="1">
      <c r="A33" s="48" t="s">
        <v>484</v>
      </c>
      <c r="B33" s="48" t="s">
        <v>90</v>
      </c>
      <c r="C33" s="74">
        <v>9.3900000000000008E-3</v>
      </c>
      <c r="D33" s="74">
        <v>1.511E-2</v>
      </c>
      <c r="E33" s="77">
        <v>1.511E-2</v>
      </c>
      <c r="F33" s="77">
        <v>1.511E-2</v>
      </c>
      <c r="G33" s="77">
        <v>1.511E-2</v>
      </c>
      <c r="H33" s="77">
        <v>0</v>
      </c>
      <c r="I33" s="77">
        <v>0</v>
      </c>
      <c r="J33" s="77">
        <v>0</v>
      </c>
      <c r="O33" s="4"/>
    </row>
    <row r="34" spans="1:15" s="4" customFormat="1">
      <c r="A34" s="62" t="s">
        <v>478</v>
      </c>
      <c r="B34" s="63" t="s">
        <v>212</v>
      </c>
      <c r="C34" s="81">
        <v>2.613405405405405E-2</v>
      </c>
      <c r="D34" s="81">
        <v>2.613405405405405E-2</v>
      </c>
      <c r="E34" s="81">
        <v>2.090724324324324E-2</v>
      </c>
      <c r="F34" s="81">
        <v>1.045362162162162E-2</v>
      </c>
      <c r="G34" s="81">
        <v>2.6134054054054051E-3</v>
      </c>
      <c r="H34" s="81">
        <v>0</v>
      </c>
      <c r="I34" s="81">
        <v>0</v>
      </c>
      <c r="J34" s="81">
        <v>0</v>
      </c>
      <c r="M34" s="61"/>
      <c r="N34" s="61"/>
    </row>
    <row r="35" spans="1:15" s="4" customFormat="1">
      <c r="A35" s="62" t="s">
        <v>479</v>
      </c>
      <c r="B35" s="63" t="s">
        <v>212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M35" s="46"/>
      <c r="N35" s="46"/>
    </row>
    <row r="36" spans="1:15" s="4" customFormat="1">
      <c r="A36" s="62" t="s">
        <v>480</v>
      </c>
      <c r="B36" s="63" t="s">
        <v>212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M36" s="46"/>
      <c r="N36" s="46"/>
    </row>
    <row r="37" spans="1:15" s="4" customFormat="1">
      <c r="A37" s="62" t="s">
        <v>486</v>
      </c>
      <c r="B37" s="63" t="s">
        <v>212</v>
      </c>
      <c r="C37" s="81">
        <v>2.8747459459459463E-3</v>
      </c>
      <c r="D37" s="81">
        <v>2.8747459459459463E-3</v>
      </c>
      <c r="E37" s="81">
        <v>2.2997967567567573E-3</v>
      </c>
      <c r="F37" s="81">
        <v>1.1498983783783787E-3</v>
      </c>
      <c r="G37" s="81">
        <v>2.8747459459459466E-4</v>
      </c>
      <c r="H37" s="81">
        <v>0</v>
      </c>
      <c r="I37" s="81">
        <v>0</v>
      </c>
      <c r="J37" s="81">
        <v>0</v>
      </c>
      <c r="M37" s="46"/>
      <c r="N37" s="46"/>
    </row>
    <row r="38" spans="1:15" s="4" customFormat="1">
      <c r="A38" s="62" t="s">
        <v>485</v>
      </c>
      <c r="B38" s="63" t="s">
        <v>212</v>
      </c>
      <c r="C38" s="8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M38" s="46"/>
      <c r="N38" s="46"/>
    </row>
    <row r="39" spans="1:15" s="4" customFormat="1">
      <c r="A39" s="62" t="s">
        <v>482</v>
      </c>
      <c r="B39" s="63" t="s">
        <v>212</v>
      </c>
      <c r="C39" s="8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M39" s="46"/>
      <c r="N39" s="46"/>
    </row>
    <row r="40" spans="1:15" s="4" customFormat="1">
      <c r="A40" s="62" t="s">
        <v>483</v>
      </c>
      <c r="B40" s="63" t="s">
        <v>212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M40" s="46"/>
      <c r="N40" s="46"/>
    </row>
    <row r="41" spans="1:15" s="4" customFormat="1">
      <c r="A41" s="62" t="s">
        <v>484</v>
      </c>
      <c r="B41" s="63" t="s">
        <v>212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M41" s="46"/>
      <c r="N41" s="46"/>
    </row>
    <row r="42" spans="1:15" s="4" customFormat="1">
      <c r="A42" s="64" t="s">
        <v>478</v>
      </c>
      <c r="B42" s="65" t="s">
        <v>232</v>
      </c>
      <c r="C42" s="74">
        <v>2.8246118546199945E-4</v>
      </c>
      <c r="D42" s="74">
        <v>2.8246118546199945E-4</v>
      </c>
      <c r="E42" s="74">
        <v>2.2596894836959957E-4</v>
      </c>
      <c r="F42" s="74">
        <v>1.1298447418479978E-4</v>
      </c>
      <c r="G42" s="74">
        <v>2.8246118546199946E-5</v>
      </c>
      <c r="H42" s="74">
        <v>0</v>
      </c>
      <c r="I42" s="74">
        <v>0</v>
      </c>
      <c r="J42" s="74">
        <v>0</v>
      </c>
      <c r="M42" s="46"/>
      <c r="N42" s="46"/>
    </row>
    <row r="43" spans="1:15" s="4" customFormat="1">
      <c r="A43" s="64" t="s">
        <v>479</v>
      </c>
      <c r="B43" s="65" t="s">
        <v>232</v>
      </c>
      <c r="C43" s="74">
        <v>3.4107353778538857E-5</v>
      </c>
      <c r="D43" s="74">
        <v>3.4107353778538857E-5</v>
      </c>
      <c r="E43" s="74">
        <v>2.7285883022831088E-5</v>
      </c>
      <c r="F43" s="74">
        <v>1.3642941511415544E-5</v>
      </c>
      <c r="G43" s="74">
        <v>3.410735377853886E-6</v>
      </c>
      <c r="H43" s="74">
        <v>0</v>
      </c>
      <c r="I43" s="74">
        <v>0</v>
      </c>
      <c r="J43" s="74">
        <v>0</v>
      </c>
      <c r="M43" s="46"/>
      <c r="N43" s="46"/>
    </row>
    <row r="44" spans="1:15" s="4" customFormat="1">
      <c r="A44" s="64" t="s">
        <v>480</v>
      </c>
      <c r="B44" s="65" t="s">
        <v>232</v>
      </c>
      <c r="C44" s="74">
        <v>7.5926626709800962E-5</v>
      </c>
      <c r="D44" s="74">
        <v>7.5926626709800962E-5</v>
      </c>
      <c r="E44" s="74">
        <v>6.0741301367840771E-5</v>
      </c>
      <c r="F44" s="74">
        <v>3.0370650683920386E-5</v>
      </c>
      <c r="G44" s="74">
        <v>7.5926626709800964E-6</v>
      </c>
      <c r="H44" s="74">
        <v>0</v>
      </c>
      <c r="I44" s="74">
        <v>0</v>
      </c>
      <c r="J44" s="74">
        <v>0</v>
      </c>
      <c r="M44" s="46"/>
      <c r="N44" s="46"/>
    </row>
    <row r="45" spans="1:15" s="4" customFormat="1">
      <c r="A45" s="64" t="s">
        <v>486</v>
      </c>
      <c r="B45" s="65" t="s">
        <v>232</v>
      </c>
      <c r="C45" s="74">
        <v>1.9187926221798566E-3</v>
      </c>
      <c r="D45" s="74">
        <v>1.9187926221798566E-3</v>
      </c>
      <c r="E45" s="74">
        <v>1.5350340977438853E-3</v>
      </c>
      <c r="F45" s="74">
        <v>7.6751704887194263E-4</v>
      </c>
      <c r="G45" s="74">
        <v>1.9187926221798566E-4</v>
      </c>
      <c r="H45" s="74">
        <v>0</v>
      </c>
      <c r="I45" s="74">
        <v>0</v>
      </c>
      <c r="J45" s="74">
        <v>0</v>
      </c>
      <c r="M45" s="46"/>
      <c r="N45" s="46"/>
    </row>
    <row r="46" spans="1:15" s="4" customFormat="1">
      <c r="A46" s="64" t="s">
        <v>485</v>
      </c>
      <c r="B46" s="65" t="s">
        <v>232</v>
      </c>
      <c r="C46" s="74">
        <v>1.7608440374711604E-3</v>
      </c>
      <c r="D46" s="74">
        <v>1.7608440374711604E-3</v>
      </c>
      <c r="E46" s="74">
        <v>1.4086752299769284E-3</v>
      </c>
      <c r="F46" s="74">
        <v>7.0433761498846421E-4</v>
      </c>
      <c r="G46" s="74">
        <v>1.7608440374711605E-4</v>
      </c>
      <c r="H46" s="74">
        <v>0</v>
      </c>
      <c r="I46" s="74">
        <v>0</v>
      </c>
      <c r="J46" s="74">
        <v>0</v>
      </c>
      <c r="M46" s="46"/>
      <c r="N46" s="46"/>
    </row>
    <row r="47" spans="1:15" s="4" customFormat="1">
      <c r="A47" s="64" t="s">
        <v>482</v>
      </c>
      <c r="B47" s="65" t="s">
        <v>232</v>
      </c>
      <c r="C47" s="74">
        <v>4.9828891597670077E-3</v>
      </c>
      <c r="D47" s="74">
        <v>4.9828891597670077E-3</v>
      </c>
      <c r="E47" s="74">
        <v>3.9863113278136063E-3</v>
      </c>
      <c r="F47" s="74">
        <v>1.9931556639068032E-3</v>
      </c>
      <c r="G47" s="74">
        <v>4.9828891597670079E-4</v>
      </c>
      <c r="H47" s="74">
        <v>0</v>
      </c>
      <c r="I47" s="74">
        <v>0</v>
      </c>
      <c r="J47" s="74">
        <v>0</v>
      </c>
      <c r="M47" s="46"/>
      <c r="N47" s="46"/>
    </row>
    <row r="48" spans="1:15" s="4" customFormat="1">
      <c r="A48" s="64" t="s">
        <v>483</v>
      </c>
      <c r="B48" s="65" t="s">
        <v>232</v>
      </c>
      <c r="C48" s="74">
        <v>1.4576940608800912E-3</v>
      </c>
      <c r="D48" s="74">
        <v>1.4576940608800912E-3</v>
      </c>
      <c r="E48" s="74">
        <v>1.1661552487040731E-3</v>
      </c>
      <c r="F48" s="74">
        <v>5.8307762435203653E-4</v>
      </c>
      <c r="G48" s="74">
        <v>1.4576940608800913E-4</v>
      </c>
      <c r="H48" s="74">
        <v>0</v>
      </c>
      <c r="I48" s="74">
        <v>0</v>
      </c>
      <c r="J48" s="74">
        <v>0</v>
      </c>
      <c r="M48" s="46"/>
      <c r="N48" s="46"/>
    </row>
    <row r="49" spans="1:14" s="4" customFormat="1">
      <c r="A49" s="64" t="s">
        <v>484</v>
      </c>
      <c r="B49" s="65" t="s">
        <v>232</v>
      </c>
      <c r="C49" s="74">
        <v>2.0536849537515444E-3</v>
      </c>
      <c r="D49" s="74">
        <v>2.0536849537515444E-3</v>
      </c>
      <c r="E49" s="74">
        <v>1.6429479630012357E-3</v>
      </c>
      <c r="F49" s="74">
        <v>8.2147398150061784E-4</v>
      </c>
      <c r="G49" s="74">
        <v>2.0536849537515446E-4</v>
      </c>
      <c r="H49" s="74">
        <v>0</v>
      </c>
      <c r="I49" s="74">
        <v>0</v>
      </c>
      <c r="J49" s="74">
        <v>0</v>
      </c>
      <c r="M49" s="46"/>
      <c r="N49" s="46"/>
    </row>
    <row r="50" spans="1:14" s="4" customFormat="1">
      <c r="A50" s="60" t="s">
        <v>478</v>
      </c>
      <c r="B50" s="63" t="s">
        <v>229</v>
      </c>
      <c r="C50" s="81">
        <v>2.218597558490206E-3</v>
      </c>
      <c r="D50" s="81">
        <v>2.218597558490206E-3</v>
      </c>
      <c r="E50" s="81">
        <v>1.7748780467921649E-3</v>
      </c>
      <c r="F50" s="81">
        <v>8.8743902339608245E-4</v>
      </c>
      <c r="G50" s="81">
        <v>2.2185975584902061E-4</v>
      </c>
      <c r="H50" s="81">
        <v>0</v>
      </c>
      <c r="I50" s="81">
        <v>0</v>
      </c>
      <c r="J50" s="81">
        <v>0</v>
      </c>
      <c r="M50" s="56"/>
      <c r="N50" s="56"/>
    </row>
    <row r="51" spans="1:14" s="4" customFormat="1">
      <c r="A51" s="60" t="s">
        <v>479</v>
      </c>
      <c r="B51" s="63" t="s">
        <v>229</v>
      </c>
      <c r="C51" s="81">
        <v>2.98172848780664E-4</v>
      </c>
      <c r="D51" s="81">
        <v>2.98172848780664E-4</v>
      </c>
      <c r="E51" s="81">
        <v>2.3853827902453121E-4</v>
      </c>
      <c r="F51" s="81">
        <v>1.192691395122656E-4</v>
      </c>
      <c r="G51" s="81">
        <v>2.9817284878066401E-5</v>
      </c>
      <c r="H51" s="81">
        <v>0</v>
      </c>
      <c r="I51" s="81">
        <v>0</v>
      </c>
      <c r="J51" s="81">
        <v>0</v>
      </c>
      <c r="M51" s="56"/>
      <c r="N51" s="56"/>
    </row>
    <row r="52" spans="1:14" s="4" customFormat="1">
      <c r="A52" s="60" t="s">
        <v>480</v>
      </c>
      <c r="B52" s="63" t="s">
        <v>229</v>
      </c>
      <c r="C52" s="81">
        <v>5.2825734452272672E-4</v>
      </c>
      <c r="D52" s="81">
        <v>5.2825734452272672E-4</v>
      </c>
      <c r="E52" s="81">
        <v>4.2260587561818142E-4</v>
      </c>
      <c r="F52" s="81">
        <v>2.1130293780909071E-4</v>
      </c>
      <c r="G52" s="81">
        <v>5.2825734452272677E-5</v>
      </c>
      <c r="H52" s="81">
        <v>0</v>
      </c>
      <c r="I52" s="81">
        <v>0</v>
      </c>
      <c r="J52" s="81">
        <v>0</v>
      </c>
      <c r="M52" s="56"/>
      <c r="N52" s="56"/>
    </row>
    <row r="53" spans="1:14" s="4" customFormat="1">
      <c r="A53" s="60" t="s">
        <v>486</v>
      </c>
      <c r="B53" s="63" t="s">
        <v>229</v>
      </c>
      <c r="C53" s="81">
        <v>1.6115909322573913E-2</v>
      </c>
      <c r="D53" s="81">
        <v>1.6115909322573913E-2</v>
      </c>
      <c r="E53" s="81">
        <v>1.2892727458059132E-2</v>
      </c>
      <c r="F53" s="81">
        <v>6.446363729029566E-3</v>
      </c>
      <c r="G53" s="81">
        <v>1.6115909322573915E-3</v>
      </c>
      <c r="H53" s="81">
        <v>0</v>
      </c>
      <c r="I53" s="81">
        <v>0</v>
      </c>
      <c r="J53" s="81">
        <v>0</v>
      </c>
      <c r="M53" s="56"/>
      <c r="N53" s="56"/>
    </row>
    <row r="54" spans="1:14" s="4" customFormat="1">
      <c r="A54" s="60" t="s">
        <v>485</v>
      </c>
      <c r="B54" s="63" t="s">
        <v>229</v>
      </c>
      <c r="C54" s="81">
        <v>1.5812739163478483E-2</v>
      </c>
      <c r="D54" s="81">
        <v>1.5812739163478483E-2</v>
      </c>
      <c r="E54" s="81">
        <v>1.2650191330782788E-2</v>
      </c>
      <c r="F54" s="81">
        <v>6.3250956653913941E-3</v>
      </c>
      <c r="G54" s="81">
        <v>1.5812739163478485E-3</v>
      </c>
      <c r="H54" s="81">
        <v>0</v>
      </c>
      <c r="I54" s="81">
        <v>0</v>
      </c>
      <c r="J54" s="81">
        <v>0</v>
      </c>
      <c r="M54" s="56"/>
      <c r="N54" s="56"/>
    </row>
    <row r="55" spans="1:14" s="4" customFormat="1">
      <c r="A55" s="60" t="s">
        <v>482</v>
      </c>
      <c r="B55" s="63" t="s">
        <v>229</v>
      </c>
      <c r="C55" s="81">
        <v>2.0756536613617663E-2</v>
      </c>
      <c r="D55" s="81">
        <v>2.0756536613617663E-2</v>
      </c>
      <c r="E55" s="81">
        <v>1.6605229290894131E-2</v>
      </c>
      <c r="F55" s="81">
        <v>8.3026146454470654E-3</v>
      </c>
      <c r="G55" s="81">
        <v>2.0756536613617664E-3</v>
      </c>
      <c r="H55" s="81">
        <v>0</v>
      </c>
      <c r="I55" s="81">
        <v>0</v>
      </c>
      <c r="J55" s="81">
        <v>0</v>
      </c>
      <c r="M55" s="56"/>
      <c r="N55" s="56"/>
    </row>
    <row r="56" spans="1:14" s="4" customFormat="1">
      <c r="A56" s="60" t="s">
        <v>483</v>
      </c>
      <c r="B56" s="63" t="s">
        <v>229</v>
      </c>
      <c r="C56" s="81">
        <v>1.1904634276073257E-2</v>
      </c>
      <c r="D56" s="81">
        <v>1.1904634276073257E-2</v>
      </c>
      <c r="E56" s="81">
        <v>9.523707420858606E-3</v>
      </c>
      <c r="F56" s="81">
        <v>4.761853710429303E-3</v>
      </c>
      <c r="G56" s="81">
        <v>1.1904634276073257E-3</v>
      </c>
      <c r="H56" s="81">
        <v>0</v>
      </c>
      <c r="I56" s="81">
        <v>0</v>
      </c>
      <c r="J56" s="81">
        <v>0</v>
      </c>
      <c r="M56" s="56"/>
      <c r="N56" s="56"/>
    </row>
    <row r="57" spans="1:14" s="4" customFormat="1">
      <c r="A57" s="60" t="s">
        <v>484</v>
      </c>
      <c r="B57" s="63" t="s">
        <v>229</v>
      </c>
      <c r="C57" s="81">
        <v>1.3077752872463103E-2</v>
      </c>
      <c r="D57" s="81">
        <v>1.3077752872463103E-2</v>
      </c>
      <c r="E57" s="81">
        <v>1.0462202297970484E-2</v>
      </c>
      <c r="F57" s="81">
        <v>5.2311011489852418E-3</v>
      </c>
      <c r="G57" s="81">
        <v>1.3077752872463105E-3</v>
      </c>
      <c r="H57" s="81">
        <v>0</v>
      </c>
      <c r="I57" s="81">
        <v>0</v>
      </c>
      <c r="J57" s="81">
        <v>0</v>
      </c>
      <c r="M57" s="56"/>
      <c r="N57" s="56"/>
    </row>
    <row r="58" spans="1:14" s="4" customFormat="1">
      <c r="A58" s="64" t="s">
        <v>478</v>
      </c>
      <c r="B58" s="65" t="s">
        <v>228</v>
      </c>
      <c r="C58" s="82">
        <v>4.3836508652868761E-4</v>
      </c>
      <c r="D58" s="82">
        <v>4.3836508652868761E-4</v>
      </c>
      <c r="E58" s="74">
        <v>3.5069206922295012E-4</v>
      </c>
      <c r="F58" s="74">
        <v>1.7534603461147506E-4</v>
      </c>
      <c r="G58" s="74">
        <v>4.3836508652868765E-5</v>
      </c>
      <c r="H58" s="74">
        <v>0</v>
      </c>
      <c r="I58" s="74">
        <v>0</v>
      </c>
      <c r="J58" s="74">
        <v>0</v>
      </c>
    </row>
    <row r="59" spans="1:14" s="4" customFormat="1">
      <c r="A59" s="48" t="s">
        <v>479</v>
      </c>
      <c r="B59" s="65" t="s">
        <v>228</v>
      </c>
      <c r="C59" s="82">
        <v>5.293284125370642E-5</v>
      </c>
      <c r="D59" s="82">
        <v>5.293284125370642E-5</v>
      </c>
      <c r="E59" s="74">
        <v>4.2346273002965141E-5</v>
      </c>
      <c r="F59" s="74">
        <v>2.1173136501482571E-5</v>
      </c>
      <c r="G59" s="74">
        <v>5.2932841253706427E-6</v>
      </c>
      <c r="H59" s="74">
        <v>0</v>
      </c>
      <c r="I59" s="74">
        <v>0</v>
      </c>
      <c r="J59" s="74">
        <v>0</v>
      </c>
    </row>
    <row r="60" spans="1:14" s="4" customFormat="1">
      <c r="A60" s="48" t="s">
        <v>480</v>
      </c>
      <c r="B60" s="65" t="s">
        <v>228</v>
      </c>
      <c r="C60" s="82">
        <v>1.1783418041326253E-4</v>
      </c>
      <c r="D60" s="82">
        <v>1.1783418041326253E-4</v>
      </c>
      <c r="E60" s="74">
        <v>9.4267344330610029E-5</v>
      </c>
      <c r="F60" s="74">
        <v>4.7133672165305014E-5</v>
      </c>
      <c r="G60" s="74">
        <v>1.1783418041326254E-5</v>
      </c>
      <c r="H60" s="74">
        <v>0</v>
      </c>
      <c r="I60" s="74">
        <v>0</v>
      </c>
      <c r="J60" s="74">
        <v>0</v>
      </c>
    </row>
    <row r="61" spans="1:14" s="4" customFormat="1">
      <c r="A61" s="48" t="s">
        <v>486</v>
      </c>
      <c r="B61" s="65" t="s">
        <v>228</v>
      </c>
      <c r="C61" s="82">
        <v>2.9778664720843235E-3</v>
      </c>
      <c r="D61" s="82">
        <v>2.9778664720843235E-3</v>
      </c>
      <c r="E61" s="74">
        <v>2.382293177667459E-3</v>
      </c>
      <c r="F61" s="74">
        <v>1.1911465888337295E-3</v>
      </c>
      <c r="G61" s="74">
        <v>2.9778664720843238E-4</v>
      </c>
      <c r="H61" s="74">
        <v>0</v>
      </c>
      <c r="I61" s="74">
        <v>0</v>
      </c>
      <c r="J61" s="74">
        <v>0</v>
      </c>
    </row>
    <row r="62" spans="1:14" s="4" customFormat="1">
      <c r="A62" s="48" t="s">
        <v>485</v>
      </c>
      <c r="B62" s="65" t="s">
        <v>228</v>
      </c>
      <c r="C62" s="82">
        <v>2.7327384737377107E-3</v>
      </c>
      <c r="D62" s="82">
        <v>2.7327384737377107E-3</v>
      </c>
      <c r="E62" s="74">
        <v>2.1861907789901686E-3</v>
      </c>
      <c r="F62" s="74">
        <v>1.0930953894950843E-3</v>
      </c>
      <c r="G62" s="74">
        <v>2.7327384737377107E-4</v>
      </c>
      <c r="H62" s="74">
        <v>0</v>
      </c>
      <c r="I62" s="74">
        <v>0</v>
      </c>
      <c r="J62" s="74">
        <v>0</v>
      </c>
    </row>
    <row r="63" spans="1:14" s="4" customFormat="1">
      <c r="A63" s="48" t="s">
        <v>482</v>
      </c>
      <c r="B63" s="65" t="s">
        <v>228</v>
      </c>
      <c r="C63" s="82">
        <v>7.733185124573474E-3</v>
      </c>
      <c r="D63" s="82">
        <v>7.733185124573474E-3</v>
      </c>
      <c r="E63" s="74">
        <v>6.1865480996587795E-3</v>
      </c>
      <c r="F63" s="74">
        <v>3.0932740498293898E-3</v>
      </c>
      <c r="G63" s="74">
        <v>7.7331851245734744E-4</v>
      </c>
      <c r="H63" s="74">
        <v>0</v>
      </c>
      <c r="I63" s="74">
        <v>0</v>
      </c>
      <c r="J63" s="74">
        <v>0</v>
      </c>
    </row>
    <row r="64" spans="1:14" s="4" customFormat="1">
      <c r="A64" s="48" t="s">
        <v>483</v>
      </c>
      <c r="B64" s="65" t="s">
        <v>228</v>
      </c>
      <c r="C64" s="82">
        <v>2.2622654581191033E-3</v>
      </c>
      <c r="D64" s="82">
        <v>2.2622654581191033E-3</v>
      </c>
      <c r="E64" s="74">
        <v>1.8098123664952827E-3</v>
      </c>
      <c r="F64" s="74">
        <v>9.0490618324764137E-4</v>
      </c>
      <c r="G64" s="74">
        <v>2.2622654581191034E-4</v>
      </c>
      <c r="H64" s="74">
        <v>0</v>
      </c>
      <c r="I64" s="74">
        <v>0</v>
      </c>
      <c r="J64" s="74">
        <v>0</v>
      </c>
    </row>
    <row r="65" spans="1:12" s="4" customFormat="1">
      <c r="A65" s="48" t="s">
        <v>484</v>
      </c>
      <c r="B65" s="65" t="s">
        <v>228</v>
      </c>
      <c r="C65" s="82">
        <v>3.1872123632897356E-3</v>
      </c>
      <c r="D65" s="82">
        <v>3.1872123632897356E-3</v>
      </c>
      <c r="E65" s="74">
        <v>2.5497698906317887E-3</v>
      </c>
      <c r="F65" s="74">
        <v>1.2748849453158944E-3</v>
      </c>
      <c r="G65" s="74">
        <v>3.1872123632897359E-4</v>
      </c>
      <c r="H65" s="74">
        <v>0</v>
      </c>
      <c r="I65" s="74">
        <v>0</v>
      </c>
      <c r="J65" s="74">
        <v>0</v>
      </c>
    </row>
    <row r="66" spans="1:12" ht="14.4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2" ht="14.4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" customHeight="1">
      <c r="A68" s="37"/>
      <c r="B68" s="5"/>
      <c r="C68" s="5"/>
      <c r="D68" s="5"/>
      <c r="E68" s="5"/>
      <c r="F68" s="5"/>
      <c r="G68" s="5"/>
      <c r="H68" s="5"/>
      <c r="I68" s="5"/>
      <c r="J68" s="5"/>
    </row>
    <row r="69" spans="1:12" ht="14.4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2" ht="14.4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12" ht="14.4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4.4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16"/>
    </row>
    <row r="78" spans="1:12" ht="14.4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2" ht="14.4" customHeight="1">
      <c r="A79" s="37"/>
      <c r="B79" s="5"/>
      <c r="C79" s="5"/>
      <c r="D79" s="5"/>
      <c r="E79" s="5"/>
      <c r="F79" s="5"/>
      <c r="G79" s="5"/>
      <c r="H79" s="5"/>
      <c r="I79" s="5"/>
      <c r="J79" s="5"/>
    </row>
    <row r="80" spans="1:12" ht="14.4" customHeight="1">
      <c r="A80" s="9"/>
    </row>
    <row r="81" spans="1:10" ht="14.4" customHeight="1">
      <c r="A81" s="9"/>
    </row>
    <row r="82" spans="1:10" ht="14.4" customHeight="1">
      <c r="A82" s="9"/>
    </row>
    <row r="83" spans="1:10" ht="14.4" customHeight="1">
      <c r="A83" s="9"/>
    </row>
    <row r="84" spans="1:10" ht="14.4" customHeight="1"/>
    <row r="85" spans="1:10" ht="14.4" customHeight="1"/>
    <row r="86" spans="1:10" ht="14.4" customHeight="1">
      <c r="A86" s="9"/>
    </row>
    <row r="87" spans="1:10" ht="14.4" customHeight="1">
      <c r="A87" s="9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9"/>
    </row>
    <row r="90" spans="1:10" ht="14.4" customHeight="1">
      <c r="A90" s="9"/>
    </row>
    <row r="91" spans="1:10" ht="14.4" customHeight="1">
      <c r="A91" s="9"/>
    </row>
    <row r="92" spans="1:10" ht="14.4" customHeight="1">
      <c r="A92" s="9"/>
    </row>
    <row r="93" spans="1:10" ht="14.4" customHeight="1">
      <c r="A93" s="15"/>
      <c r="B93" s="15"/>
      <c r="C93" s="15"/>
    </row>
    <row r="94" spans="1:10" ht="14.4" customHeight="1">
      <c r="A94" s="9"/>
    </row>
    <row r="95" spans="1:10" ht="14.4" customHeight="1">
      <c r="A95" s="37"/>
      <c r="B95" s="5"/>
      <c r="C95" s="5"/>
      <c r="D95" s="5"/>
      <c r="E95" s="5"/>
      <c r="F95" s="5"/>
      <c r="G95" s="5"/>
      <c r="H95" s="5"/>
      <c r="I95" s="5"/>
      <c r="J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4.4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10" ht="14.4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" customHeight="1">
      <c r="A106" s="37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4.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" customHeight="1">
      <c r="A111" s="9"/>
    </row>
    <row r="112" spans="1:10" ht="14.4" customHeight="1">
      <c r="A112" s="9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32"/>
    </row>
    <row r="116" spans="1:10" ht="14.4" customHeight="1">
      <c r="A116" s="9"/>
    </row>
    <row r="117" spans="1:10" ht="14.4" customHeight="1">
      <c r="A117" s="9"/>
    </row>
    <row r="118" spans="1:10" ht="14.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customHeight="1">
      <c r="A119" s="9"/>
    </row>
    <row r="120" spans="1:10" ht="14.4" customHeight="1">
      <c r="A120" s="9"/>
    </row>
    <row r="121" spans="1:10" ht="14.4" customHeight="1">
      <c r="A121" s="9"/>
    </row>
    <row r="122" spans="1:10" ht="14.4" customHeight="1">
      <c r="A122" s="9"/>
    </row>
    <row r="123" spans="1:10" ht="14.4" customHeight="1">
      <c r="A123" s="9"/>
    </row>
    <row r="124" spans="1:10" ht="14.4" customHeight="1"/>
    <row r="125" spans="1:10" ht="14.4" customHeight="1"/>
    <row r="126" spans="1:10" ht="14.4" customHeight="1"/>
    <row r="127" spans="1:10" ht="14.4" customHeight="1">
      <c r="A127" s="32"/>
    </row>
    <row r="128" spans="1:10" ht="14.4" customHeight="1"/>
    <row r="129" spans="1:10" ht="14.4" customHeight="1">
      <c r="A129" s="9"/>
    </row>
    <row r="130" spans="1:10" ht="14.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37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10" ht="14.4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4.4" customHeight="1">
      <c r="A145" s="37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" customHeight="1">
      <c r="A149" s="9"/>
    </row>
    <row r="150" spans="1:10" ht="14.4" customHeight="1">
      <c r="A150" s="9"/>
    </row>
    <row r="151" spans="1:10" ht="14.4" customHeight="1">
      <c r="A151" s="9"/>
    </row>
    <row r="152" spans="1:10" ht="14.4" customHeight="1">
      <c r="A152" s="9"/>
    </row>
    <row r="153" spans="1:10" ht="14.4" customHeight="1"/>
    <row r="154" spans="1:10" ht="14.4" customHeight="1"/>
    <row r="155" spans="1:10" ht="14.4" customHeight="1"/>
    <row r="156" spans="1:10" ht="14.4" customHeight="1"/>
    <row r="157" spans="1:10" ht="14.4" customHeight="1">
      <c r="A157" s="9"/>
    </row>
    <row r="158" spans="1:10" ht="14.4" customHeight="1">
      <c r="A158" s="9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29"/>
    </row>
    <row r="161" spans="1:10" ht="14.4" customHeight="1">
      <c r="A161" s="9"/>
    </row>
    <row r="162" spans="1:10" ht="14.4" customHeight="1">
      <c r="A162" s="9"/>
    </row>
    <row r="163" spans="1:10" ht="14.4" customHeight="1">
      <c r="A163" s="9"/>
    </row>
    <row r="164" spans="1:10" ht="14.4" customHeight="1"/>
    <row r="165" spans="1:10" ht="14.4" customHeight="1"/>
    <row r="166" spans="1:10" ht="14.4" customHeight="1"/>
    <row r="167" spans="1:10" ht="14.4" customHeight="1"/>
    <row r="168" spans="1:10" ht="14.4" customHeight="1"/>
    <row r="169" spans="1:10" ht="14.4" customHeight="1">
      <c r="A169" s="9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" customHeight="1">
      <c r="A178" s="37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10" ht="14.4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" customHeight="1">
      <c r="A190" s="37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" customHeight="1">
      <c r="A191" s="9"/>
      <c r="C191" s="5"/>
      <c r="D191" s="5"/>
      <c r="E191" s="5"/>
      <c r="F191" s="5"/>
      <c r="G191" s="5"/>
      <c r="H191" s="5"/>
      <c r="I191" s="5"/>
      <c r="J191" s="5"/>
    </row>
    <row r="192" spans="1:10" ht="14.4" customHeight="1">
      <c r="A192" s="9"/>
    </row>
    <row r="193" spans="1:10" ht="14.4" customHeight="1">
      <c r="A193" s="9"/>
    </row>
    <row r="194" spans="1:10" ht="14.4" customHeight="1">
      <c r="A194" s="9"/>
    </row>
    <row r="195" spans="1:10" ht="14.4" customHeight="1"/>
    <row r="196" spans="1:10" ht="14.4" customHeight="1"/>
    <row r="197" spans="1:10" ht="14.4" customHeight="1"/>
    <row r="198" spans="1:10" ht="14.4" customHeight="1">
      <c r="A198" s="9"/>
    </row>
    <row r="199" spans="1:10" ht="14.4" customHeight="1">
      <c r="A199" s="29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9"/>
    </row>
    <row r="202" spans="1:10" ht="14.4" customHeight="1">
      <c r="A202" s="9"/>
    </row>
    <row r="203" spans="1:10" ht="14.4" customHeight="1">
      <c r="A203" s="9"/>
    </row>
    <row r="204" spans="1:10" ht="14.4" customHeight="1">
      <c r="A204" s="9"/>
    </row>
    <row r="205" spans="1:10" ht="14.4" customHeight="1">
      <c r="A205" s="9"/>
    </row>
    <row r="206" spans="1:10" ht="14.4" customHeight="1">
      <c r="A206" s="38"/>
      <c r="B206" s="2"/>
    </row>
    <row r="207" spans="1:10" ht="14.4" customHeight="1"/>
    <row r="208" spans="1:10" ht="14.4" customHeight="1"/>
    <row r="209" spans="1:10" ht="14.4" customHeight="1"/>
    <row r="210" spans="1:10" ht="14.4" customHeight="1"/>
    <row r="211" spans="1:10" ht="14.4" customHeight="1">
      <c r="A211" s="9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37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10" ht="14.4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" customHeight="1">
      <c r="A224" s="37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" customHeight="1">
      <c r="A229" s="9"/>
    </row>
    <row r="230" spans="1:10" ht="14.4" customHeight="1">
      <c r="A230" s="9"/>
    </row>
    <row r="231" spans="1:10" ht="14.4" customHeight="1">
      <c r="A231" s="9"/>
    </row>
    <row r="232" spans="1:10" ht="14.4" customHeight="1">
      <c r="A232" s="9"/>
    </row>
    <row r="233" spans="1:10" ht="14.4" customHeight="1"/>
    <row r="234" spans="1:10" ht="14.4" customHeight="1">
      <c r="A234" s="29"/>
    </row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9"/>
    </row>
    <row r="238" spans="1:10" ht="14.4" customHeight="1">
      <c r="A238" s="9"/>
    </row>
    <row r="239" spans="1:10" ht="14.4" customHeight="1">
      <c r="A239" s="9"/>
    </row>
    <row r="240" spans="1:10" ht="14.4" customHeight="1">
      <c r="A240" s="9"/>
    </row>
    <row r="241" spans="1:10" ht="14.4" customHeight="1">
      <c r="A241" s="32"/>
    </row>
    <row r="242" spans="1:10" ht="14.4" customHeight="1"/>
    <row r="243" spans="1:10" ht="14.4" customHeight="1"/>
    <row r="244" spans="1:10" ht="14.4" customHeight="1"/>
    <row r="245" spans="1:10" ht="14.4" customHeight="1">
      <c r="A245" s="9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customHeight="1">
      <c r="A248" s="37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10" ht="14.4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" customHeight="1">
      <c r="A260" s="9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/>
    <row r="265" spans="1:10" ht="14.4" customHeight="1"/>
    <row r="266" spans="1:10" ht="14.4" customHeight="1">
      <c r="A266" s="9"/>
    </row>
    <row r="267" spans="1:10" ht="14.4" customHeight="1">
      <c r="A267" s="9"/>
    </row>
    <row r="268" spans="1:10" ht="14.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customHeight="1">
      <c r="A269" s="9"/>
    </row>
    <row r="270" spans="1:10" ht="14.4" customHeight="1">
      <c r="A270" s="9"/>
    </row>
    <row r="271" spans="1:10" ht="14.4" customHeight="1">
      <c r="A271" s="9"/>
    </row>
    <row r="272" spans="1:10" ht="14.4" customHeight="1">
      <c r="A272" s="9"/>
    </row>
    <row r="273" spans="1:10" ht="14.4" customHeight="1">
      <c r="A273" s="17"/>
      <c r="B273" s="2"/>
    </row>
    <row r="274" spans="1:10" ht="14.4" customHeight="1"/>
    <row r="275" spans="1:10" ht="14.4" customHeight="1"/>
    <row r="276" spans="1:10" ht="14.4" customHeight="1"/>
    <row r="277" spans="1:10" ht="14.4" customHeight="1"/>
    <row r="278" spans="1:10" ht="14.4" customHeight="1">
      <c r="A278" s="9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10" ht="14.4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" customHeight="1">
      <c r="A296" s="9"/>
    </row>
    <row r="297" spans="1:10" ht="14.4" customHeight="1">
      <c r="A297" s="9"/>
    </row>
    <row r="298" spans="1:10" ht="14.4" customHeight="1">
      <c r="A298" s="9"/>
    </row>
    <row r="299" spans="1:10" ht="14.4" customHeight="1">
      <c r="A299" s="9"/>
    </row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9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9"/>
    </row>
    <row r="306" spans="1:10" ht="14.4" customHeight="1">
      <c r="A306" s="9"/>
    </row>
    <row r="307" spans="1:10" ht="14.4" customHeight="1">
      <c r="A307" s="9"/>
    </row>
    <row r="308" spans="1:10" ht="14.4" customHeight="1">
      <c r="A308" s="9"/>
    </row>
    <row r="309" spans="1:10" ht="14.4" customHeight="1">
      <c r="A309" s="17"/>
      <c r="B309" s="2"/>
    </row>
    <row r="310" spans="1:10" ht="14.4" customHeight="1"/>
    <row r="311" spans="1:10" ht="14.4" customHeight="1"/>
    <row r="312" spans="1:10" ht="14.4" customHeight="1"/>
    <row r="313" spans="1:10" ht="14.4" customHeight="1"/>
    <row r="314" spans="1:10" ht="14.4" customHeight="1">
      <c r="A314" s="9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10" ht="14.4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" customHeight="1">
      <c r="A332" s="9"/>
    </row>
    <row r="333" spans="1:10" ht="14.4" customHeight="1">
      <c r="A333" s="9"/>
    </row>
    <row r="334" spans="1:10" ht="14.4" customHeight="1">
      <c r="A334" s="9"/>
    </row>
    <row r="335" spans="1:10" ht="14.4" customHeight="1">
      <c r="A335" s="9"/>
    </row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9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9"/>
    </row>
    <row r="342" spans="1:10" ht="14.4" customHeight="1">
      <c r="A342" s="9"/>
    </row>
    <row r="343" spans="1:10" ht="14.4" customHeight="1">
      <c r="A343" s="9"/>
    </row>
    <row r="344" spans="1:10" ht="14.4" customHeight="1">
      <c r="A344" s="9"/>
    </row>
    <row r="345" spans="1:10" ht="14.4" customHeight="1">
      <c r="A345" s="17"/>
      <c r="B345" s="2"/>
    </row>
    <row r="346" spans="1:10" ht="14.4" customHeight="1"/>
    <row r="347" spans="1:10" ht="14.4" customHeight="1"/>
    <row r="348" spans="1:10" ht="14.4" customHeight="1"/>
    <row r="349" spans="1:10" ht="14.4" customHeight="1"/>
    <row r="350" spans="1:10">
      <c r="A350" s="9"/>
    </row>
    <row r="351" spans="1:10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 ht="14.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>
        <v>2</v>
      </c>
      <c r="L356">
        <v>2</v>
      </c>
    </row>
    <row r="357" spans="1:12" ht="14.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2" ht="14.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12" ht="14.4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2" ht="14.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" customHeight="1">
      <c r="A369" s="9"/>
      <c r="C369" s="5"/>
      <c r="D369" s="5"/>
      <c r="E369" s="5"/>
      <c r="F369" s="5"/>
      <c r="G369" s="5"/>
      <c r="H369" s="5"/>
      <c r="I369" s="5"/>
      <c r="J369" s="5"/>
    </row>
    <row r="370" spans="1:10" ht="14.4" customHeight="1">
      <c r="A370" s="9"/>
    </row>
    <row r="371" spans="1:10">
      <c r="A371" s="9"/>
    </row>
    <row r="372" spans="1:10">
      <c r="A372" s="9"/>
    </row>
    <row r="376" spans="1:10">
      <c r="A376" s="9"/>
    </row>
    <row r="377" spans="1:10">
      <c r="A377" s="9"/>
    </row>
    <row r="378" spans="1:10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9"/>
    </row>
    <row r="380" spans="1:10">
      <c r="A380" s="9"/>
    </row>
    <row r="381" spans="1:10">
      <c r="A381" s="9"/>
    </row>
    <row r="382" spans="1:10">
      <c r="A382" s="9"/>
    </row>
    <row r="383" spans="1:10">
      <c r="A383" s="17"/>
      <c r="B383" s="2"/>
    </row>
    <row r="388" spans="1:10">
      <c r="A388" s="9"/>
    </row>
    <row r="389" spans="1:10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9"/>
    </row>
    <row r="406" spans="1:10">
      <c r="A406" s="9"/>
    </row>
    <row r="407" spans="1:10">
      <c r="A407" s="9"/>
    </row>
    <row r="408" spans="1:10">
      <c r="A408" s="9"/>
    </row>
    <row r="411" spans="1:10">
      <c r="A411" s="9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9"/>
    </row>
    <row r="415" spans="1:10">
      <c r="A415" s="9"/>
    </row>
    <row r="416" spans="1:10">
      <c r="A416" s="9"/>
    </row>
    <row r="417" spans="1:28">
      <c r="A417" s="9"/>
    </row>
    <row r="418" spans="1:28">
      <c r="A418" s="17"/>
      <c r="B418" s="2"/>
    </row>
    <row r="419" spans="1:28">
      <c r="S419" t="s">
        <v>276</v>
      </c>
      <c r="T419" t="s">
        <v>308</v>
      </c>
      <c r="U419">
        <v>8.2040000000000006</v>
      </c>
      <c r="V419">
        <v>8.2040000000000006</v>
      </c>
      <c r="W419">
        <v>8.2040000000000006</v>
      </c>
      <c r="X419">
        <v>8.2040000000000006</v>
      </c>
      <c r="Y419">
        <v>8.2040000000000006</v>
      </c>
      <c r="Z419">
        <v>8.2040000000000006</v>
      </c>
      <c r="AA419">
        <v>8.2040000000000006</v>
      </c>
      <c r="AB419">
        <v>8.2040000000000006</v>
      </c>
    </row>
    <row r="421" spans="1:28">
      <c r="S421" t="s">
        <v>272</v>
      </c>
      <c r="T421" t="s">
        <v>308</v>
      </c>
      <c r="U421">
        <v>4.6710000000000003</v>
      </c>
      <c r="V421">
        <v>4.6710000000000003</v>
      </c>
      <c r="W421">
        <v>4.6710000000000003</v>
      </c>
      <c r="X421">
        <v>4.6710000000000003</v>
      </c>
      <c r="Y421">
        <v>4.6710000000000003</v>
      </c>
      <c r="Z421">
        <v>4.6710000000000003</v>
      </c>
      <c r="AA421">
        <v>4.6710000000000003</v>
      </c>
      <c r="AB421">
        <v>4.6710000000000003</v>
      </c>
    </row>
    <row r="423" spans="1:28">
      <c r="A423" s="9"/>
    </row>
    <row r="424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S437" t="s">
        <v>279</v>
      </c>
      <c r="T437" t="s">
        <v>308</v>
      </c>
      <c r="U437">
        <v>23.4</v>
      </c>
      <c r="V437">
        <v>23.4</v>
      </c>
      <c r="W437">
        <v>23.4</v>
      </c>
      <c r="X437">
        <v>23.4</v>
      </c>
      <c r="Y437">
        <v>23.4</v>
      </c>
      <c r="Z437">
        <v>23.4</v>
      </c>
      <c r="AA437">
        <v>23.4</v>
      </c>
      <c r="AB437">
        <v>23.4</v>
      </c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S442" t="s">
        <v>281</v>
      </c>
      <c r="T442" t="s">
        <v>308</v>
      </c>
      <c r="U442">
        <v>4.55</v>
      </c>
      <c r="V442">
        <v>4.55</v>
      </c>
      <c r="W442">
        <v>4.55</v>
      </c>
      <c r="X442">
        <v>4.55</v>
      </c>
      <c r="Y442">
        <v>4.55</v>
      </c>
      <c r="Z442">
        <v>4.55</v>
      </c>
      <c r="AA442">
        <v>4.55</v>
      </c>
      <c r="AB442">
        <v>4.55</v>
      </c>
    </row>
    <row r="443" spans="1:28">
      <c r="A443" s="9"/>
    </row>
    <row r="444" spans="1:28">
      <c r="A444" s="9"/>
    </row>
    <row r="445" spans="1:28">
      <c r="A445" s="9"/>
    </row>
    <row r="446" spans="1:28">
      <c r="A446" s="9"/>
    </row>
    <row r="449" spans="1:10">
      <c r="A449" s="9"/>
    </row>
    <row r="450" spans="1:10">
      <c r="A450" s="9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9"/>
    </row>
    <row r="453" spans="1:10">
      <c r="A453" s="9"/>
    </row>
    <row r="454" spans="1:10">
      <c r="A454" s="9"/>
    </row>
    <row r="455" spans="1:10">
      <c r="A455" s="9"/>
    </row>
    <row r="456" spans="1:10">
      <c r="A456" s="17"/>
      <c r="B456" s="2"/>
    </row>
    <row r="461" spans="1:10">
      <c r="A461" s="9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9"/>
    </row>
    <row r="482" spans="1:10">
      <c r="A482" s="9"/>
    </row>
    <row r="483" spans="1:10">
      <c r="A483" s="9"/>
    </row>
    <row r="484" spans="1:10">
      <c r="A484" s="9"/>
    </row>
    <row r="488" spans="1:10">
      <c r="A488" s="9"/>
    </row>
    <row r="489" spans="1:10">
      <c r="A489" s="9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9"/>
    </row>
    <row r="492" spans="1:10">
      <c r="A492" s="9"/>
    </row>
    <row r="493" spans="1:10">
      <c r="A493" s="9"/>
    </row>
    <row r="494" spans="1:10">
      <c r="A494" s="9"/>
    </row>
    <row r="498" spans="1:10">
      <c r="A498" s="9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9"/>
    </row>
    <row r="518" spans="1:10">
      <c r="A518" s="9"/>
    </row>
    <row r="519" spans="1:10">
      <c r="A519" s="9"/>
    </row>
    <row r="520" spans="1:10">
      <c r="A520" s="9"/>
    </row>
    <row r="524" spans="1:10">
      <c r="A524" s="9"/>
    </row>
    <row r="525" spans="1:10">
      <c r="A525" s="9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9"/>
    </row>
    <row r="528" spans="1:10">
      <c r="A528" s="9"/>
    </row>
    <row r="529" spans="1:10">
      <c r="A529" s="9"/>
    </row>
    <row r="530" spans="1:10">
      <c r="A530" s="9"/>
    </row>
    <row r="531" spans="1:10">
      <c r="A531" s="17"/>
      <c r="B531" s="2"/>
    </row>
    <row r="532" spans="1:10">
      <c r="A532" s="17"/>
      <c r="B532" s="17"/>
      <c r="D532" s="5"/>
      <c r="E532" s="5"/>
      <c r="F532" s="5"/>
      <c r="G532" s="5"/>
      <c r="H532" s="5"/>
      <c r="I532" s="5"/>
    </row>
    <row r="537" spans="1:10">
      <c r="A537" s="9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9"/>
    </row>
    <row r="556" spans="1:10">
      <c r="A556" s="9"/>
    </row>
    <row r="557" spans="1:10">
      <c r="A557" s="9"/>
    </row>
    <row r="558" spans="1:10">
      <c r="A558" s="9"/>
    </row>
    <row r="562" spans="1:10">
      <c r="A562" s="9"/>
    </row>
    <row r="563" spans="1:10">
      <c r="A563" s="9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9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17"/>
      <c r="B570" s="2"/>
    </row>
    <row r="574" spans="1:10">
      <c r="A574" s="9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9"/>
    </row>
    <row r="593" spans="1:10">
      <c r="A593" s="9"/>
    </row>
    <row r="594" spans="1:10">
      <c r="A594" s="9"/>
    </row>
    <row r="595" spans="1:10">
      <c r="A595" s="9"/>
    </row>
    <row r="599" spans="1:10">
      <c r="A599" s="9"/>
    </row>
    <row r="600" spans="1:10">
      <c r="A600" s="9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9"/>
    </row>
    <row r="603" spans="1:10">
      <c r="A603" s="9"/>
    </row>
    <row r="604" spans="1:10">
      <c r="A604" s="9"/>
    </row>
    <row r="605" spans="1:10">
      <c r="A605" s="9"/>
    </row>
    <row r="606" spans="1:10">
      <c r="A606" s="17"/>
      <c r="B606" s="2"/>
    </row>
    <row r="609" spans="1:10">
      <c r="A609" s="9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2" spans="1:10">
      <c r="A632" s="9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9"/>
    </row>
    <row r="636" spans="1:10">
      <c r="A636" s="9"/>
    </row>
    <row r="637" spans="1:10">
      <c r="A637" s="9"/>
    </row>
    <row r="638" spans="1:10">
      <c r="A638" s="9"/>
    </row>
    <row r="642" spans="1:10">
      <c r="A642" s="9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9"/>
    </row>
    <row r="661" spans="1:10">
      <c r="A661" s="9"/>
    </row>
    <row r="662" spans="1:10">
      <c r="A662" s="9"/>
    </row>
    <row r="663" spans="1:10">
      <c r="A663" s="9"/>
    </row>
    <row r="666" spans="1:10">
      <c r="A666" s="9"/>
    </row>
    <row r="667" spans="1:10">
      <c r="A667" s="9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9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15"/>
      <c r="B692" s="15"/>
      <c r="C692" s="15"/>
    </row>
    <row r="693" spans="1:10">
      <c r="A693" s="15"/>
      <c r="B693" s="15"/>
      <c r="C693" s="15"/>
    </row>
    <row r="700" spans="1:10">
      <c r="A700" s="9"/>
    </row>
    <row r="701" spans="1:10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9"/>
    </row>
    <row r="720" spans="1:10">
      <c r="A720" s="9"/>
    </row>
    <row r="721" spans="1:10">
      <c r="A721" s="9"/>
    </row>
    <row r="722" spans="1:10">
      <c r="A722" s="9"/>
    </row>
    <row r="726" spans="1:10">
      <c r="A726" s="9"/>
    </row>
    <row r="727" spans="1:10">
      <c r="A727" s="9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9"/>
    </row>
    <row r="730" spans="1:10">
      <c r="A730" s="9"/>
    </row>
    <row r="731" spans="1:10">
      <c r="A731" s="9"/>
    </row>
    <row r="732" spans="1:10">
      <c r="A732" s="9"/>
    </row>
    <row r="733" spans="1:10">
      <c r="A733" s="17"/>
      <c r="B733" s="2"/>
    </row>
    <row r="734" spans="1:10">
      <c r="A734" s="15"/>
      <c r="B734" s="15"/>
      <c r="C734" s="15"/>
    </row>
    <row r="735" spans="1:10">
      <c r="A735" s="15"/>
      <c r="B735" s="15"/>
      <c r="C735" s="15"/>
    </row>
    <row r="736" spans="1:10">
      <c r="A736" s="9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9" spans="1:10">
      <c r="A759" s="9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9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17"/>
      <c r="B767" s="2"/>
    </row>
    <row r="768" spans="1:10">
      <c r="A768" s="15"/>
      <c r="B768" s="15"/>
      <c r="C768" s="15"/>
    </row>
    <row r="769" spans="1:10">
      <c r="A769" s="15"/>
      <c r="B769" s="15"/>
      <c r="C769" s="1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17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803" spans="1:10">
      <c r="A803" s="9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9"/>
    </row>
    <row r="824" spans="1:10">
      <c r="A824" s="9"/>
    </row>
    <row r="825" spans="1:10">
      <c r="A825" s="9"/>
    </row>
    <row r="826" spans="1:10">
      <c r="A826" s="9"/>
    </row>
    <row r="829" spans="1:10">
      <c r="A829" s="9"/>
    </row>
    <row r="830" spans="1:10">
      <c r="A830" s="9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9"/>
    </row>
    <row r="833" spans="1:10">
      <c r="A833" s="9"/>
    </row>
    <row r="834" spans="1:10">
      <c r="A834" s="9"/>
    </row>
    <row r="835" spans="1:10">
      <c r="A835" s="9"/>
    </row>
    <row r="836" spans="1:10">
      <c r="A836" s="17"/>
      <c r="B836" s="2"/>
    </row>
    <row r="840" spans="1:10">
      <c r="A840" s="9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9"/>
    </row>
    <row r="858" spans="1:10">
      <c r="A858" s="9"/>
    </row>
    <row r="859" spans="1:10">
      <c r="A859" s="9"/>
    </row>
    <row r="860" spans="1:10">
      <c r="A860" s="9"/>
    </row>
    <row r="863" spans="1:10">
      <c r="A863" s="9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9"/>
    </row>
    <row r="867" spans="1:10">
      <c r="A867" s="9"/>
    </row>
    <row r="868" spans="1:10">
      <c r="A868" s="9"/>
    </row>
    <row r="869" spans="1:10">
      <c r="A869" s="9"/>
    </row>
    <row r="870" spans="1:10">
      <c r="A870" s="17"/>
      <c r="B870" s="2"/>
    </row>
    <row r="876" spans="1:10">
      <c r="A876" s="9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9"/>
    </row>
    <row r="897" spans="1:25">
      <c r="A897" s="9"/>
    </row>
    <row r="898" spans="1:25">
      <c r="A898" s="9"/>
    </row>
    <row r="899" spans="1:25">
      <c r="A899" s="9"/>
    </row>
    <row r="902" spans="1:25" s="33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s="33" customFormat="1">
      <c r="A903" s="9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9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 s="9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4" spans="1:10">
      <c r="A924" s="9"/>
    </row>
    <row r="925" spans="1:10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9"/>
    </row>
    <row r="942" spans="1:10">
      <c r="A942" s="9"/>
    </row>
    <row r="943" spans="1:10">
      <c r="A943" s="9"/>
    </row>
    <row r="944" spans="1:10">
      <c r="A944" s="9"/>
    </row>
    <row r="947" spans="1:10">
      <c r="A947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9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17"/>
      <c r="B955" s="2"/>
    </row>
    <row r="960" spans="1:10">
      <c r="A960" s="9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9"/>
    </row>
    <row r="979" spans="1:10">
      <c r="A979" s="9"/>
    </row>
    <row r="980" spans="1:10">
      <c r="A980" s="9"/>
    </row>
    <row r="981" spans="1:10">
      <c r="A981" s="9"/>
    </row>
    <row r="984" spans="1:10">
      <c r="A984" s="9"/>
    </row>
    <row r="985" spans="1:10">
      <c r="A985" s="9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9"/>
    </row>
    <row r="988" spans="1:10">
      <c r="A988" s="9"/>
    </row>
    <row r="989" spans="1:10">
      <c r="A989" s="9"/>
    </row>
    <row r="990" spans="1:10">
      <c r="A990" s="9"/>
    </row>
    <row r="991" spans="1:10">
      <c r="A991" s="17"/>
      <c r="B991" s="2"/>
    </row>
    <row r="996" spans="1:10">
      <c r="A996" s="9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9"/>
    </row>
    <row r="1017" spans="1:10">
      <c r="A1017" s="9"/>
    </row>
    <row r="1018" spans="1:10">
      <c r="A1018" s="9"/>
    </row>
    <row r="1019" spans="1:10">
      <c r="A1019" s="9"/>
    </row>
    <row r="1022" spans="1:10">
      <c r="A1022" s="9"/>
    </row>
    <row r="1023" spans="1:10">
      <c r="A1023" s="9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9"/>
    </row>
    <row r="1026" spans="1:10">
      <c r="A1026" s="9"/>
    </row>
    <row r="1027" spans="1:10">
      <c r="A1027" s="9"/>
    </row>
    <row r="1028" spans="1:10">
      <c r="A1028" s="9"/>
    </row>
    <row r="1029" spans="1:10">
      <c r="A1029" s="15"/>
      <c r="B1029" s="15"/>
      <c r="C1029" s="15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  <c r="J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L1045" s="16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17"/>
      <c r="B1048" s="2"/>
    </row>
    <row r="1049" spans="1:12">
      <c r="A1049" s="17"/>
      <c r="B1049" s="2"/>
      <c r="D1049" s="5"/>
      <c r="E1049" s="5"/>
      <c r="F1049" s="5"/>
      <c r="G1049" s="5"/>
      <c r="H1049" s="5"/>
      <c r="I1049" s="5"/>
      <c r="J1049" s="5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4" spans="1:12">
      <c r="A1054" s="38"/>
      <c r="B1054" s="2"/>
      <c r="D1054" s="5"/>
      <c r="E1054" s="5"/>
      <c r="F1054" s="5"/>
      <c r="G1054" s="5"/>
      <c r="H1054" s="5"/>
      <c r="I1054" s="5"/>
      <c r="J1054" s="5"/>
    </row>
    <row r="1055" spans="1:12">
      <c r="A1055" s="17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</row>
    <row r="1057" spans="1:10">
      <c r="A1057" s="17"/>
      <c r="B1057" s="2"/>
    </row>
    <row r="1058" spans="1:10">
      <c r="A1058" s="17"/>
      <c r="B1058" s="2"/>
      <c r="D1058" s="5"/>
      <c r="E1058" s="5"/>
      <c r="F1058" s="5"/>
      <c r="G1058" s="5"/>
      <c r="H1058" s="5"/>
      <c r="I1058" s="5"/>
      <c r="J1058" s="5"/>
    </row>
    <row r="1059" spans="1:10">
      <c r="A1059" s="17"/>
      <c r="B1059" s="2"/>
    </row>
    <row r="1060" spans="1:10">
      <c r="A1060" s="32"/>
    </row>
    <row r="1064" spans="1:10">
      <c r="A1064" s="9"/>
    </row>
    <row r="1065" spans="1:10">
      <c r="A1065" s="5"/>
      <c r="B1065" s="5"/>
      <c r="C1065" s="5"/>
      <c r="D1065" s="5"/>
      <c r="E1065" s="5"/>
      <c r="F1065" s="5"/>
      <c r="G1065" s="5"/>
      <c r="H1065" s="5"/>
      <c r="I1065" s="5"/>
      <c r="J1065" s="5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9"/>
    </row>
    <row r="1083" spans="1:10">
      <c r="A1083" s="9"/>
    </row>
    <row r="1084" spans="1:10">
      <c r="A1084" s="9"/>
    </row>
    <row r="1085" spans="1:10">
      <c r="A1085" s="9"/>
    </row>
    <row r="1089" spans="1:10">
      <c r="A1089" s="9"/>
    </row>
    <row r="1090" spans="1:10">
      <c r="A1090" s="9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9"/>
    </row>
    <row r="1093" spans="1:10">
      <c r="A1093" s="9"/>
    </row>
    <row r="1094" spans="1:10">
      <c r="A1094" s="9"/>
    </row>
    <row r="1095" spans="1:10">
      <c r="A1095" s="9"/>
    </row>
    <row r="1096" spans="1:10">
      <c r="A1096" s="17"/>
      <c r="B1096" s="2"/>
    </row>
  </sheetData>
  <autoFilter ref="A5:J1377" xr:uid="{00000000-0009-0000-0000-00001E000000}">
    <sortState xmlns:xlrd2="http://schemas.microsoft.com/office/spreadsheetml/2017/richdata2" ref="A6:J1096">
      <sortCondition ref="A5:A1096"/>
    </sortState>
  </autoFilter>
  <conditionalFormatting sqref="A14:A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A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7"/>
  <sheetViews>
    <sheetView topLeftCell="A21" zoomScale="85" zoomScaleNormal="85" workbookViewId="0">
      <pane xSplit="1" topLeftCell="B1" activePane="topRight" state="frozen"/>
      <selection pane="topRight" activeCell="E46" sqref="E46"/>
    </sheetView>
  </sheetViews>
  <sheetFormatPr defaultColWidth="11.44140625" defaultRowHeight="14.4"/>
  <cols>
    <col min="1" max="1" width="19.5546875" style="4" customWidth="1"/>
    <col min="2" max="2" width="20.33203125" style="4" customWidth="1"/>
    <col min="3" max="16384" width="11.441406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5">
        <v>2018</v>
      </c>
      <c r="D5" s="55">
        <v>2021</v>
      </c>
      <c r="E5" s="55">
        <v>2025</v>
      </c>
      <c r="F5" s="55">
        <v>2030</v>
      </c>
      <c r="G5" s="55">
        <v>2035</v>
      </c>
      <c r="H5" s="55">
        <v>2040</v>
      </c>
      <c r="I5" s="55">
        <v>2045</v>
      </c>
      <c r="J5" s="55">
        <v>2050</v>
      </c>
    </row>
    <row r="6" spans="1:19">
      <c r="A6" s="66" t="s">
        <v>478</v>
      </c>
      <c r="B6" s="67" t="s">
        <v>212</v>
      </c>
      <c r="C6" s="83">
        <v>0.376776</v>
      </c>
      <c r="D6" s="83">
        <v>0.36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66" t="s">
        <v>479</v>
      </c>
      <c r="B7" s="67" t="s">
        <v>212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66" t="s">
        <v>480</v>
      </c>
      <c r="B8" s="67" t="s">
        <v>212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66" t="s">
        <v>486</v>
      </c>
      <c r="B9" s="67" t="s">
        <v>212</v>
      </c>
      <c r="C9" s="83">
        <v>4.1183999999999998E-2</v>
      </c>
      <c r="D9" s="83">
        <v>3.9600000000000003E-2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66" t="s">
        <v>485</v>
      </c>
      <c r="B10" s="67" t="s">
        <v>212</v>
      </c>
      <c r="C10" s="83">
        <v>8.7840000000000001E-3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66" t="s">
        <v>482</v>
      </c>
      <c r="B11" s="67" t="s">
        <v>212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66" t="s">
        <v>483</v>
      </c>
      <c r="B12" s="67" t="s">
        <v>212</v>
      </c>
      <c r="C12" s="83">
        <v>4.3920000000000001E-3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66" t="s">
        <v>484</v>
      </c>
      <c r="B13" s="67" t="s">
        <v>212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L13" s="73"/>
      <c r="M13" s="73"/>
      <c r="N13" s="73"/>
      <c r="O13" s="73"/>
      <c r="P13" s="73"/>
      <c r="Q13" s="73"/>
      <c r="R13" s="73"/>
      <c r="S13" s="73"/>
    </row>
    <row r="14" spans="1:19">
      <c r="A14" s="68" t="s">
        <v>478</v>
      </c>
      <c r="B14" s="69" t="s">
        <v>232</v>
      </c>
      <c r="C14" s="84">
        <v>5.2882520394456701E-3</v>
      </c>
      <c r="D14" s="84">
        <v>5.2418505919717912E-3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L14" s="73"/>
      <c r="M14" s="73"/>
      <c r="N14" s="73"/>
      <c r="O14" s="73"/>
      <c r="P14" s="73"/>
      <c r="Q14" s="73"/>
      <c r="R14" s="73"/>
      <c r="S14" s="73"/>
    </row>
    <row r="15" spans="1:19">
      <c r="A15" s="68" t="s">
        <v>479</v>
      </c>
      <c r="B15" s="69" t="s">
        <v>232</v>
      </c>
      <c r="C15" s="84">
        <v>7.0591673819742507E-4</v>
      </c>
      <c r="D15" s="84">
        <v>6.329565327788299E-4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L15" s="73"/>
      <c r="M15" s="73"/>
      <c r="N15" s="73"/>
      <c r="O15" s="73"/>
      <c r="P15" s="73"/>
      <c r="Q15" s="73"/>
      <c r="R15" s="73"/>
      <c r="S15" s="73"/>
    </row>
    <row r="16" spans="1:19">
      <c r="A16" s="68" t="s">
        <v>480</v>
      </c>
      <c r="B16" s="69" t="s">
        <v>232</v>
      </c>
      <c r="C16" s="84">
        <v>1.429142561347181E-3</v>
      </c>
      <c r="D16" s="84">
        <v>1.4090291114307288E-3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L16" s="73"/>
      <c r="M16" s="73"/>
      <c r="N16" s="73"/>
      <c r="O16" s="73"/>
      <c r="P16" s="73"/>
      <c r="Q16" s="73"/>
      <c r="R16" s="73"/>
      <c r="S16" s="73"/>
    </row>
    <row r="17" spans="1:20">
      <c r="A17" s="68" t="s">
        <v>486</v>
      </c>
      <c r="B17" s="69" t="s">
        <v>232</v>
      </c>
      <c r="C17" s="84">
        <v>3.5586335609212788E-2</v>
      </c>
      <c r="D17" s="84">
        <v>3.5608518126104549E-2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L17" s="73"/>
      <c r="M17" s="73"/>
      <c r="N17" s="73"/>
      <c r="O17" s="73"/>
      <c r="P17" s="73"/>
      <c r="Q17" s="73"/>
      <c r="R17" s="73"/>
      <c r="S17" s="73"/>
    </row>
    <row r="18" spans="1:20">
      <c r="A18" s="68" t="s">
        <v>485</v>
      </c>
      <c r="B18" s="69" t="s">
        <v>232</v>
      </c>
      <c r="C18" s="84">
        <v>3.5200310356124892E-2</v>
      </c>
      <c r="D18" s="84">
        <v>3.2677344128154408E-2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L18" s="73"/>
      <c r="M18" s="73"/>
      <c r="N18" s="73"/>
      <c r="O18" s="73"/>
      <c r="P18" s="73"/>
      <c r="Q18" s="73"/>
      <c r="R18" s="73"/>
      <c r="S18" s="73"/>
    </row>
    <row r="19" spans="1:20">
      <c r="A19" s="68" t="s">
        <v>482</v>
      </c>
      <c r="B19" s="69" t="s">
        <v>232</v>
      </c>
      <c r="C19" s="84">
        <v>9.4555448763227731E-2</v>
      </c>
      <c r="D19" s="84">
        <v>9.2471326455466102E-2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L19" s="73"/>
      <c r="M19" s="73"/>
      <c r="N19" s="73"/>
      <c r="O19" s="73"/>
      <c r="P19" s="73"/>
      <c r="Q19" s="73"/>
      <c r="R19" s="73"/>
      <c r="S19" s="73"/>
    </row>
    <row r="20" spans="1:20">
      <c r="A20" s="68" t="s">
        <v>483</v>
      </c>
      <c r="B20" s="69" t="s">
        <v>232</v>
      </c>
      <c r="C20" s="84">
        <v>2.7017685384791799E-2</v>
      </c>
      <c r="D20" s="84">
        <v>2.7051555644504805E-2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L20" s="73"/>
      <c r="M20" s="73"/>
      <c r="N20" s="73"/>
      <c r="O20" s="73"/>
      <c r="P20" s="73"/>
      <c r="Q20" s="73"/>
      <c r="R20" s="73"/>
      <c r="S20" s="73"/>
    </row>
    <row r="21" spans="1:20">
      <c r="A21" s="68" t="s">
        <v>484</v>
      </c>
      <c r="B21" s="69" t="s">
        <v>232</v>
      </c>
      <c r="C21" s="84">
        <v>3.9458508547652593E-2</v>
      </c>
      <c r="D21" s="84">
        <v>3.8111819409588805E-2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L21" s="72"/>
      <c r="M21" s="72"/>
      <c r="N21" s="72"/>
      <c r="O21" s="72"/>
      <c r="P21" s="72"/>
      <c r="Q21" s="72"/>
      <c r="R21" s="72"/>
      <c r="S21" s="72"/>
    </row>
    <row r="22" spans="1:20">
      <c r="A22" s="70" t="s">
        <v>478</v>
      </c>
      <c r="B22" s="67" t="s">
        <v>229</v>
      </c>
      <c r="C22" s="83">
        <v>8.114346449827026E-3</v>
      </c>
      <c r="D22" s="83">
        <v>1.256734145278088E-2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L22" s="72"/>
      <c r="M22" s="72"/>
      <c r="N22" s="72"/>
      <c r="O22" s="72"/>
      <c r="P22" s="72"/>
      <c r="Q22" s="72"/>
      <c r="R22" s="72"/>
      <c r="S22" s="72"/>
      <c r="T22" s="72"/>
    </row>
    <row r="23" spans="1:20">
      <c r="A23" s="70" t="s">
        <v>479</v>
      </c>
      <c r="B23" s="67" t="s">
        <v>229</v>
      </c>
      <c r="C23" s="83">
        <v>1.0905437931630502E-3</v>
      </c>
      <c r="D23" s="83">
        <v>1.6890129479476511E-3</v>
      </c>
      <c r="E23" s="83">
        <v>0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L23" s="72"/>
      <c r="M23" s="72"/>
      <c r="N23" s="72"/>
      <c r="O23" s="72"/>
      <c r="P23" s="72"/>
      <c r="Q23" s="72"/>
      <c r="R23" s="72"/>
      <c r="S23" s="72"/>
      <c r="T23" s="72"/>
    </row>
    <row r="24" spans="1:20">
      <c r="A24" s="70" t="s">
        <v>480</v>
      </c>
      <c r="B24" s="67" t="s">
        <v>229</v>
      </c>
      <c r="C24" s="83">
        <v>1.9320597788091191E-3</v>
      </c>
      <c r="D24" s="83">
        <v>2.9923364866921722E-3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L24" s="72"/>
      <c r="M24" s="72"/>
      <c r="N24" s="72"/>
      <c r="O24" s="72"/>
      <c r="P24" s="72"/>
      <c r="Q24" s="72"/>
      <c r="R24" s="72"/>
      <c r="S24" s="72"/>
      <c r="T24" s="72"/>
    </row>
    <row r="25" spans="1:20">
      <c r="A25" s="70" t="s">
        <v>486</v>
      </c>
      <c r="B25" s="67" t="s">
        <v>229</v>
      </c>
      <c r="C25" s="83">
        <v>5.894267353577777E-2</v>
      </c>
      <c r="D25" s="83">
        <v>9.1289262671265595E-2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L25" s="72"/>
      <c r="M25" s="72"/>
      <c r="N25" s="72"/>
      <c r="O25" s="72"/>
      <c r="P25" s="72"/>
      <c r="Q25" s="72"/>
      <c r="R25" s="72"/>
      <c r="S25" s="72"/>
      <c r="T25" s="72"/>
    </row>
    <row r="26" spans="1:20">
      <c r="A26" s="70" t="s">
        <v>485</v>
      </c>
      <c r="B26" s="67" t="s">
        <v>229</v>
      </c>
      <c r="C26" s="83">
        <v>5.783385247233825E-2</v>
      </c>
      <c r="D26" s="83">
        <v>8.9571942243743374E-2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L26" s="72"/>
      <c r="M26" s="72"/>
      <c r="N26" s="72"/>
      <c r="O26" s="72"/>
      <c r="P26" s="72"/>
      <c r="Q26" s="72"/>
      <c r="R26" s="72"/>
      <c r="S26" s="72"/>
      <c r="T26" s="72"/>
    </row>
    <row r="27" spans="1:20">
      <c r="A27" s="70" t="s">
        <v>482</v>
      </c>
      <c r="B27" s="67" t="s">
        <v>229</v>
      </c>
      <c r="C27" s="83">
        <v>7.5915403646270016E-2</v>
      </c>
      <c r="D27" s="83">
        <v>0.11757629589117428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L27" s="72"/>
      <c r="M27" s="72"/>
      <c r="N27" s="72"/>
      <c r="O27" s="72"/>
      <c r="P27" s="72"/>
      <c r="Q27" s="72"/>
      <c r="R27" s="72"/>
      <c r="S27" s="72"/>
      <c r="T27" s="72"/>
    </row>
    <row r="28" spans="1:20">
      <c r="A28" s="70" t="s">
        <v>483</v>
      </c>
      <c r="B28" s="67" t="s">
        <v>229</v>
      </c>
      <c r="C28" s="83">
        <v>4.354026556320606E-2</v>
      </c>
      <c r="D28" s="83">
        <v>6.7434313738136201E-2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L28" s="72"/>
      <c r="M28" s="72"/>
      <c r="N28" s="72"/>
      <c r="O28" s="72"/>
      <c r="P28" s="72"/>
      <c r="Q28" s="72"/>
      <c r="R28" s="72"/>
      <c r="S28" s="72"/>
      <c r="T28" s="72"/>
    </row>
    <row r="29" spans="1:20">
      <c r="A29" s="70" t="s">
        <v>484</v>
      </c>
      <c r="B29" s="67" t="s">
        <v>229</v>
      </c>
      <c r="C29" s="83">
        <v>4.7830854760608728E-2</v>
      </c>
      <c r="D29" s="83">
        <v>7.4079494568259852E-2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L29" s="72"/>
      <c r="M29" s="72"/>
      <c r="N29" s="72"/>
      <c r="O29" s="72"/>
      <c r="P29" s="72"/>
      <c r="Q29" s="72"/>
      <c r="R29" s="72"/>
      <c r="S29" s="72"/>
      <c r="T29" s="72"/>
    </row>
    <row r="30" spans="1:20">
      <c r="A30" s="68" t="s">
        <v>478</v>
      </c>
      <c r="B30" s="69" t="s">
        <v>228</v>
      </c>
      <c r="C30" s="84">
        <v>8.6239187104806304E-3</v>
      </c>
      <c r="D30" s="84">
        <v>8.5482486576770756E-3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</row>
    <row r="31" spans="1:20">
      <c r="A31" s="71" t="s">
        <v>479</v>
      </c>
      <c r="B31" s="69" t="s">
        <v>228</v>
      </c>
      <c r="C31" s="84">
        <v>1.1511872961373392E-3</v>
      </c>
      <c r="D31" s="84">
        <v>1.0322060380700917E-3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</row>
    <row r="32" spans="1:20">
      <c r="A32" s="71" t="s">
        <v>480</v>
      </c>
      <c r="B32" s="69" t="s">
        <v>228</v>
      </c>
      <c r="C32" s="84">
        <v>2.3306017154277104E-3</v>
      </c>
      <c r="D32" s="84">
        <v>2.2978013201793417E-3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</row>
    <row r="33" spans="1:10">
      <c r="A33" s="71" t="s">
        <v>486</v>
      </c>
      <c r="B33" s="69" t="s">
        <v>228</v>
      </c>
      <c r="C33" s="84">
        <v>5.8033101147331623E-2</v>
      </c>
      <c r="D33" s="84">
        <v>5.8069275713339724E-2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</row>
    <row r="34" spans="1:10">
      <c r="A34" s="71" t="s">
        <v>485</v>
      </c>
      <c r="B34" s="69" t="s">
        <v>228</v>
      </c>
      <c r="C34" s="84">
        <v>5.7403583042295973E-2</v>
      </c>
      <c r="D34" s="84">
        <v>5.3289207347451802E-2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</row>
    <row r="35" spans="1:10">
      <c r="A35" s="71" t="s">
        <v>482</v>
      </c>
      <c r="B35" s="69" t="s">
        <v>228</v>
      </c>
      <c r="C35" s="84">
        <v>0.15419811644464831</v>
      </c>
      <c r="D35" s="84">
        <v>0.15079939391199088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</row>
    <row r="36" spans="1:10">
      <c r="A36" s="71" t="s">
        <v>483</v>
      </c>
      <c r="B36" s="69" t="s">
        <v>228</v>
      </c>
      <c r="C36" s="84">
        <v>4.4059610012122011E-2</v>
      </c>
      <c r="D36" s="84">
        <v>4.4114844589500143E-2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</row>
    <row r="37" spans="1:10">
      <c r="A37" s="71" t="s">
        <v>484</v>
      </c>
      <c r="B37" s="69" t="s">
        <v>228</v>
      </c>
      <c r="C37" s="84">
        <v>6.4347721631556526E-2</v>
      </c>
      <c r="D37" s="84">
        <v>6.2151582421790974E-2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4">
        <v>0</v>
      </c>
    </row>
  </sheetData>
  <conditionalFormatting sqref="A22:A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174C-EC35-4075-8646-70A531C28059}">
  <sheetPr>
    <tabColor rgb="FFFF0000"/>
  </sheetPr>
  <dimension ref="A1:I12"/>
  <sheetViews>
    <sheetView workbookViewId="0">
      <selection activeCell="G13" sqref="G13"/>
    </sheetView>
  </sheetViews>
  <sheetFormatPr defaultColWidth="11.44140625" defaultRowHeight="14.4"/>
  <cols>
    <col min="1" max="1" width="23.6640625" style="4" customWidth="1"/>
    <col min="2" max="16384" width="11.441406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0.21504139200000003</v>
      </c>
      <c r="C6" s="4">
        <v>0.85209299999999999</v>
      </c>
      <c r="E6" s="86"/>
      <c r="F6" s="86"/>
      <c r="G6" s="86"/>
      <c r="H6" s="86"/>
      <c r="I6" s="86"/>
    </row>
    <row r="7" spans="1:9">
      <c r="A7" s="4" t="s">
        <v>90</v>
      </c>
      <c r="B7" s="4">
        <v>0.37297152</v>
      </c>
      <c r="C7" s="4">
        <v>0.39764340000000004</v>
      </c>
    </row>
    <row r="8" spans="1:9">
      <c r="A8" s="4" t="s">
        <v>93</v>
      </c>
      <c r="B8" s="4">
        <v>0.1748304</v>
      </c>
      <c r="C8" s="4">
        <v>0.34083720000000001</v>
      </c>
    </row>
    <row r="9" spans="1:9">
      <c r="A9" s="4" t="s">
        <v>99</v>
      </c>
      <c r="B9" s="4">
        <v>0.11655360000000001</v>
      </c>
      <c r="C9" s="4">
        <v>5.6806200000000001E-2</v>
      </c>
    </row>
    <row r="10" spans="1:9">
      <c r="A10" s="4" t="s">
        <v>101</v>
      </c>
      <c r="B10" s="4">
        <v>0.34966079999999999</v>
      </c>
      <c r="C10" s="4">
        <v>0.28403100000000003</v>
      </c>
    </row>
    <row r="11" spans="1:9">
      <c r="A11" s="4" t="s">
        <v>103</v>
      </c>
      <c r="B11" s="4">
        <v>1.5336000000000001</v>
      </c>
      <c r="C11" s="4">
        <v>0.79528680000000007</v>
      </c>
    </row>
    <row r="12" spans="1:9">
      <c r="A12" s="4" t="s">
        <v>56</v>
      </c>
      <c r="B12" s="4">
        <v>3.1898880000000003</v>
      </c>
      <c r="C12" s="4">
        <v>3.0495960000000002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D845-FC4D-47B8-9BF6-7F1D260086BD}">
  <sheetPr>
    <tabColor rgb="FFFF0000"/>
  </sheetPr>
  <dimension ref="A1:I12"/>
  <sheetViews>
    <sheetView workbookViewId="0">
      <selection activeCell="E18" sqref="B18:E29"/>
    </sheetView>
  </sheetViews>
  <sheetFormatPr defaultColWidth="11.44140625" defaultRowHeight="14.4"/>
  <cols>
    <col min="1" max="1" width="20.33203125" style="4" customWidth="1"/>
    <col min="2" max="16384" width="11.441406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0.23767732800000002</v>
      </c>
      <c r="C6" s="4">
        <v>0.94178700000000004</v>
      </c>
      <c r="E6" s="86"/>
      <c r="F6" s="86"/>
      <c r="G6" s="86"/>
      <c r="H6" s="86"/>
      <c r="I6" s="86"/>
    </row>
    <row r="7" spans="1:9">
      <c r="A7" s="4" t="s">
        <v>90</v>
      </c>
      <c r="B7" s="4">
        <v>0.41223167999999999</v>
      </c>
      <c r="C7" s="4">
        <v>0.43950060000000007</v>
      </c>
    </row>
    <row r="8" spans="1:9">
      <c r="A8" s="4" t="s">
        <v>93</v>
      </c>
      <c r="B8" s="4">
        <v>0.19323360000000001</v>
      </c>
      <c r="C8" s="4">
        <v>0.37671480000000002</v>
      </c>
    </row>
    <row r="9" spans="1:9">
      <c r="A9" s="4" t="s">
        <v>99</v>
      </c>
      <c r="B9" s="4">
        <v>0.1288224</v>
      </c>
      <c r="C9" s="4">
        <v>6.2785800000000003E-2</v>
      </c>
    </row>
    <row r="10" spans="1:9">
      <c r="A10" s="4" t="s">
        <v>101</v>
      </c>
      <c r="B10" s="4">
        <v>0.38646720000000001</v>
      </c>
      <c r="C10" s="4">
        <v>0.31392900000000007</v>
      </c>
    </row>
    <row r="11" spans="1:9">
      <c r="A11" s="4" t="s">
        <v>103</v>
      </c>
      <c r="B11" s="4">
        <v>1.6746912000000003</v>
      </c>
      <c r="C11" s="4">
        <v>0.87900120000000015</v>
      </c>
    </row>
    <row r="12" spans="1:9">
      <c r="A12" s="4" t="s">
        <v>56</v>
      </c>
      <c r="B12" s="4">
        <v>3.3739200000000005</v>
      </c>
      <c r="C12" s="4">
        <v>3.2289840000000005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28"/>
  <sheetViews>
    <sheetView tabSelected="1" zoomScaleNormal="100" workbookViewId="0">
      <pane xSplit="1" topLeftCell="B1" activePane="topRight" state="frozen"/>
      <selection pane="topRight" activeCell="D32" sqref="A1:XFD1048576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482</v>
      </c>
      <c r="B6" s="4" t="s">
        <v>303</v>
      </c>
      <c r="C6" s="26">
        <v>3</v>
      </c>
      <c r="D6" s="26">
        <v>3</v>
      </c>
      <c r="E6" s="26">
        <v>3</v>
      </c>
      <c r="F6" s="26">
        <v>3</v>
      </c>
      <c r="G6" s="26">
        <v>3</v>
      </c>
      <c r="H6" s="26">
        <v>3</v>
      </c>
      <c r="I6" s="26">
        <v>3</v>
      </c>
      <c r="J6" s="26">
        <v>3</v>
      </c>
    </row>
    <row r="7" spans="1:10">
      <c r="A7"/>
      <c r="C7" s="26"/>
      <c r="D7" s="26"/>
      <c r="E7" s="26"/>
      <c r="F7" s="26"/>
      <c r="G7" s="26"/>
      <c r="H7" s="26"/>
      <c r="I7" s="26"/>
      <c r="J7" s="26"/>
    </row>
    <row r="8" spans="1:10">
      <c r="A8"/>
      <c r="C8" s="26"/>
      <c r="D8" s="26"/>
      <c r="E8" s="26"/>
      <c r="F8" s="26"/>
      <c r="G8" s="26"/>
      <c r="H8" s="26"/>
      <c r="I8" s="26"/>
      <c r="J8" s="26"/>
    </row>
    <row r="9" spans="1:10">
      <c r="A9"/>
      <c r="C9" s="26"/>
      <c r="D9" s="26"/>
      <c r="E9" s="26"/>
      <c r="F9" s="26"/>
      <c r="G9" s="26"/>
      <c r="H9" s="26"/>
      <c r="I9" s="26"/>
      <c r="J9" s="26"/>
    </row>
    <row r="10" spans="1:10">
      <c r="A10"/>
      <c r="C10" s="26"/>
      <c r="D10" s="26"/>
      <c r="E10" s="26"/>
      <c r="F10" s="26"/>
      <c r="G10" s="26"/>
      <c r="H10" s="26"/>
      <c r="I10" s="26"/>
      <c r="J10" s="26"/>
    </row>
    <row r="11" spans="1:10">
      <c r="A11"/>
      <c r="C11" s="26"/>
      <c r="D11" s="26"/>
      <c r="E11" s="26"/>
      <c r="F11" s="26"/>
      <c r="G11" s="26"/>
      <c r="H11" s="26"/>
      <c r="I11" s="26"/>
      <c r="J11" s="26"/>
    </row>
    <row r="12" spans="1:10">
      <c r="A12"/>
      <c r="C12" s="26"/>
      <c r="D12" s="26"/>
      <c r="E12" s="26"/>
      <c r="F12" s="26"/>
      <c r="G12" s="26"/>
      <c r="H12" s="26"/>
      <c r="I12" s="26"/>
      <c r="J12" s="26"/>
    </row>
    <row r="13" spans="1:10">
      <c r="A13"/>
      <c r="C13" s="26"/>
      <c r="D13" s="26"/>
      <c r="E13" s="26"/>
      <c r="F13" s="26"/>
      <c r="G13" s="26"/>
      <c r="H13" s="26"/>
      <c r="I13" s="26"/>
      <c r="J13" s="26"/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C227" s="26"/>
      <c r="D227" s="26"/>
      <c r="E227" s="26"/>
      <c r="F227" s="26"/>
      <c r="G227" s="26"/>
      <c r="H227" s="26"/>
      <c r="I227" s="26"/>
      <c r="J227" s="26"/>
    </row>
    <row r="228" spans="1:10">
      <c r="C228" s="26"/>
      <c r="D228" s="26"/>
      <c r="E228" s="26"/>
      <c r="F228" s="26"/>
      <c r="G228" s="26"/>
      <c r="H228" s="26"/>
      <c r="I228" s="26"/>
      <c r="J228" s="26"/>
    </row>
  </sheetData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57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5">
        <v>2.3999999999999998E-3</v>
      </c>
      <c r="D85" s="45">
        <v>2.3999999999999998E-3</v>
      </c>
      <c r="E85" s="45">
        <v>2.3999999999999998E-3</v>
      </c>
      <c r="F85" s="45">
        <v>2.3999999999999998E-3</v>
      </c>
      <c r="G85" s="45">
        <v>2.3999999999999998E-3</v>
      </c>
      <c r="H85" s="45">
        <v>2.3999999999999998E-3</v>
      </c>
      <c r="I85" s="45">
        <v>2.3999999999999998E-3</v>
      </c>
      <c r="J85" s="45">
        <v>2.3999999999999998E-3</v>
      </c>
    </row>
    <row r="86" spans="1:10">
      <c r="A86" t="s">
        <v>485</v>
      </c>
      <c r="B86" t="s">
        <v>99</v>
      </c>
      <c r="C86" s="45">
        <v>7.9699999999999997E-3</v>
      </c>
      <c r="D86" s="45">
        <v>7.9699999999999997E-3</v>
      </c>
      <c r="E86" s="45">
        <v>7.9699999999999997E-3</v>
      </c>
      <c r="F86" s="45">
        <v>7.9699999999999997E-3</v>
      </c>
      <c r="G86" s="45">
        <v>7.9699999999999997E-3</v>
      </c>
      <c r="H86" s="45">
        <v>7.9699999999999997E-3</v>
      </c>
      <c r="I86" s="45">
        <v>7.9699999999999997E-3</v>
      </c>
      <c r="J86" s="45">
        <v>7.9699999999999997E-3</v>
      </c>
    </row>
    <row r="87" spans="1:10">
      <c r="A87" t="s">
        <v>483</v>
      </c>
      <c r="B87" t="s">
        <v>99</v>
      </c>
      <c r="C87" s="45">
        <v>2.0000000000000001E-4</v>
      </c>
      <c r="D87" s="45">
        <v>2.0000000000000001E-4</v>
      </c>
      <c r="E87" s="45">
        <v>2.0000000000000001E-4</v>
      </c>
      <c r="F87" s="45">
        <v>2.0000000000000001E-4</v>
      </c>
      <c r="G87" s="45">
        <v>2.0000000000000001E-4</v>
      </c>
      <c r="H87" s="45">
        <v>2.0000000000000001E-4</v>
      </c>
      <c r="I87" s="45">
        <v>2.0000000000000001E-4</v>
      </c>
      <c r="J87" s="45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7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topLeftCell="A5"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39" t="s">
        <v>273</v>
      </c>
      <c r="J963" t="s">
        <v>449</v>
      </c>
      <c r="K963">
        <v>0.10199999999999999</v>
      </c>
    </row>
    <row r="964" spans="9:11">
      <c r="I964" s="39" t="s">
        <v>283</v>
      </c>
      <c r="J964" t="s">
        <v>449</v>
      </c>
      <c r="K964">
        <v>1.024</v>
      </c>
    </row>
    <row r="965" spans="9:11">
      <c r="I965" s="40" t="s">
        <v>280</v>
      </c>
      <c r="J965" t="s">
        <v>449</v>
      </c>
      <c r="K965">
        <v>0.74129999999999996</v>
      </c>
    </row>
    <row r="966" spans="9:11">
      <c r="I966" s="39" t="s">
        <v>281</v>
      </c>
      <c r="J966" t="s">
        <v>449</v>
      </c>
      <c r="K966">
        <v>1.488</v>
      </c>
    </row>
    <row r="967" spans="9:11">
      <c r="I967" s="41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AE16" sqref="AE1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disablePrompts="1"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R486"/>
  <sheetViews>
    <sheetView topLeftCell="A5" zoomScale="85" zoomScaleNormal="85" workbookViewId="0">
      <selection activeCell="N25" sqref="N25"/>
    </sheetView>
  </sheetViews>
  <sheetFormatPr defaultColWidth="9.109375" defaultRowHeight="14.4"/>
  <cols>
    <col min="1" max="1" width="16.77734375" customWidth="1"/>
    <col min="2" max="2" width="17.88671875" bestFit="1" customWidth="1"/>
    <col min="3" max="3" width="5.109375" bestFit="1" customWidth="1"/>
    <col min="4" max="4" width="15.5546875" bestFit="1" customWidth="1"/>
    <col min="5" max="5" width="14.21875" bestFit="1" customWidth="1"/>
    <col min="6" max="6" width="13.21875" bestFit="1" customWidth="1"/>
    <col min="7" max="7" width="14.21875" bestFit="1" customWidth="1"/>
    <col min="8" max="8" width="21.77734375" bestFit="1" customWidth="1"/>
    <col min="9" max="9" width="20.5546875" bestFit="1" customWidth="1"/>
    <col min="10" max="10" width="19.5546875" bestFit="1" customWidth="1"/>
    <col min="11" max="11" width="20.5546875" bestFit="1" customWidth="1"/>
    <col min="12" max="12" width="18.88671875" bestFit="1" customWidth="1"/>
    <col min="13" max="13" width="19.109375" bestFit="1" customWidth="1"/>
    <col min="14" max="14" width="19.44140625" bestFit="1" customWidth="1"/>
  </cols>
  <sheetData>
    <row r="1" spans="1:18">
      <c r="A1" s="87" t="s">
        <v>417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8">
      <c r="A2" s="87" t="s">
        <v>351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>
      <c r="A3" s="15" t="s">
        <v>383</v>
      </c>
      <c r="B3" s="88"/>
      <c r="C3" s="88"/>
      <c r="D3" s="88"/>
      <c r="E3" s="88"/>
      <c r="F3" s="88"/>
      <c r="G3" s="88"/>
      <c r="H3" s="88"/>
      <c r="I3" s="88"/>
      <c r="J3" s="87"/>
      <c r="K3" s="87"/>
      <c r="L3" s="87"/>
    </row>
    <row r="4" spans="1:18">
      <c r="A4" s="89"/>
      <c r="B4" s="89"/>
      <c r="C4" s="89"/>
      <c r="D4" s="89"/>
      <c r="E4" s="89"/>
      <c r="F4" s="89"/>
      <c r="G4" s="89"/>
      <c r="H4" s="89"/>
      <c r="I4" s="89"/>
      <c r="J4" s="87"/>
      <c r="K4" s="87"/>
      <c r="L4" s="87"/>
    </row>
    <row r="5" spans="1:18">
      <c r="A5" s="87" t="s">
        <v>20</v>
      </c>
      <c r="B5" s="87" t="s">
        <v>21</v>
      </c>
      <c r="C5" s="87" t="s">
        <v>27</v>
      </c>
      <c r="D5" s="90" t="s">
        <v>37</v>
      </c>
      <c r="E5" s="90" t="s">
        <v>38</v>
      </c>
      <c r="F5" s="90" t="s">
        <v>39</v>
      </c>
      <c r="G5" s="90" t="s">
        <v>492</v>
      </c>
      <c r="H5" s="91" t="s">
        <v>48</v>
      </c>
      <c r="I5" s="91" t="s">
        <v>49</v>
      </c>
      <c r="J5" s="91" t="s">
        <v>50</v>
      </c>
      <c r="K5" s="91" t="s">
        <v>491</v>
      </c>
      <c r="L5" s="92" t="s">
        <v>43</v>
      </c>
    </row>
    <row r="6" spans="1:18">
      <c r="A6" s="93" t="s">
        <v>482</v>
      </c>
      <c r="B6" s="93" t="s">
        <v>146</v>
      </c>
      <c r="C6" s="93">
        <v>2018</v>
      </c>
      <c r="D6" s="95">
        <v>0.26300000000000001</v>
      </c>
      <c r="E6" s="95">
        <v>0</v>
      </c>
      <c r="F6" s="95">
        <v>0.68060491999999995</v>
      </c>
      <c r="G6" s="95">
        <v>5.6000000000000001E-2</v>
      </c>
      <c r="H6" s="96">
        <v>0.26300000000000001</v>
      </c>
      <c r="I6" s="96">
        <v>0</v>
      </c>
      <c r="J6" s="96">
        <v>0.68100000000000005</v>
      </c>
      <c r="K6" s="96">
        <v>5.6000000000000001E-2</v>
      </c>
      <c r="L6" s="97"/>
      <c r="N6" s="85"/>
      <c r="O6" s="85"/>
      <c r="P6" s="85"/>
      <c r="Q6" s="85"/>
      <c r="R6" s="85"/>
    </row>
    <row r="7" spans="1:18">
      <c r="A7" s="87" t="s">
        <v>484</v>
      </c>
      <c r="B7" s="87" t="s">
        <v>146</v>
      </c>
      <c r="C7" s="87">
        <v>2018</v>
      </c>
      <c r="D7" s="95">
        <v>0.82499999999999996</v>
      </c>
      <c r="E7" s="95">
        <v>0</v>
      </c>
      <c r="F7" s="95">
        <v>0</v>
      </c>
      <c r="G7" s="95">
        <v>0.17499999999999999</v>
      </c>
      <c r="H7" s="96">
        <v>0.82499999999999996</v>
      </c>
      <c r="I7" s="96">
        <v>0</v>
      </c>
      <c r="J7" s="96">
        <v>0</v>
      </c>
      <c r="K7" s="96">
        <v>0.17499999999999999</v>
      </c>
      <c r="L7" s="97"/>
      <c r="N7" s="85"/>
      <c r="O7" s="85"/>
      <c r="P7" s="85"/>
      <c r="Q7" s="85"/>
      <c r="R7" s="85"/>
    </row>
    <row r="8" spans="1:18">
      <c r="A8" s="87" t="s">
        <v>479</v>
      </c>
      <c r="B8" s="87" t="s">
        <v>146</v>
      </c>
      <c r="C8" s="87">
        <v>2018</v>
      </c>
      <c r="D8" s="95">
        <v>0.82499999999999996</v>
      </c>
      <c r="E8" s="95">
        <v>0</v>
      </c>
      <c r="F8" s="95">
        <v>0</v>
      </c>
      <c r="G8" s="95">
        <v>0.17499999999999999</v>
      </c>
      <c r="H8" s="96">
        <v>0.82499999999999996</v>
      </c>
      <c r="I8" s="96">
        <v>0</v>
      </c>
      <c r="J8" s="96">
        <v>0</v>
      </c>
      <c r="K8" s="96">
        <v>0.17499999999999999</v>
      </c>
      <c r="L8" s="97"/>
      <c r="N8" s="85"/>
      <c r="O8" s="85"/>
      <c r="P8" s="85"/>
      <c r="Q8" s="85"/>
      <c r="R8" s="85"/>
    </row>
    <row r="9" spans="1:18">
      <c r="A9" s="87" t="s">
        <v>483</v>
      </c>
      <c r="B9" s="87" t="s">
        <v>146</v>
      </c>
      <c r="C9" s="87">
        <v>2018</v>
      </c>
      <c r="D9" s="95">
        <v>0.82499999999999996</v>
      </c>
      <c r="E9" s="95">
        <v>0</v>
      </c>
      <c r="F9" s="95">
        <v>0</v>
      </c>
      <c r="G9" s="95">
        <v>0.17499999999999999</v>
      </c>
      <c r="H9" s="96">
        <v>0.82499999999999996</v>
      </c>
      <c r="I9" s="96">
        <v>0</v>
      </c>
      <c r="J9" s="96">
        <v>0</v>
      </c>
      <c r="K9" s="96">
        <v>0.17499999999999999</v>
      </c>
      <c r="L9" s="97"/>
      <c r="N9" s="85"/>
      <c r="O9" s="85"/>
      <c r="P9" s="85"/>
      <c r="Q9" s="85"/>
      <c r="R9" s="85"/>
    </row>
    <row r="10" spans="1:18">
      <c r="A10" s="87" t="s">
        <v>478</v>
      </c>
      <c r="B10" s="87" t="s">
        <v>146</v>
      </c>
      <c r="C10" s="87">
        <v>2018</v>
      </c>
      <c r="D10" s="95">
        <v>0.82499999999999996</v>
      </c>
      <c r="E10" s="95">
        <v>0</v>
      </c>
      <c r="F10" s="95">
        <v>0</v>
      </c>
      <c r="G10" s="95">
        <v>0.17499999999999999</v>
      </c>
      <c r="H10" s="96">
        <v>0.82499999999999996</v>
      </c>
      <c r="I10" s="96">
        <v>0</v>
      </c>
      <c r="J10" s="96">
        <v>0</v>
      </c>
      <c r="K10" s="96">
        <v>0.17499999999999999</v>
      </c>
      <c r="L10" s="97"/>
      <c r="N10" s="85"/>
      <c r="O10" s="85"/>
      <c r="P10" s="85"/>
      <c r="Q10" s="85"/>
      <c r="R10" s="85"/>
    </row>
    <row r="11" spans="1:18">
      <c r="A11" s="87" t="s">
        <v>486</v>
      </c>
      <c r="B11" s="87" t="s">
        <v>146</v>
      </c>
      <c r="C11" s="87">
        <v>2018</v>
      </c>
      <c r="D11" s="95">
        <v>0.82499999999999996</v>
      </c>
      <c r="E11" s="95">
        <v>0</v>
      </c>
      <c r="F11" s="95">
        <v>0</v>
      </c>
      <c r="G11" s="95">
        <v>0.17499999999999999</v>
      </c>
      <c r="H11" s="96">
        <v>0.82499999999999996</v>
      </c>
      <c r="I11" s="96">
        <v>0</v>
      </c>
      <c r="J11" s="96">
        <v>0</v>
      </c>
      <c r="K11" s="96">
        <v>0.17499999999999999</v>
      </c>
      <c r="L11" s="97"/>
      <c r="N11" s="85"/>
      <c r="O11" s="85"/>
      <c r="P11" s="85"/>
      <c r="Q11" s="85"/>
      <c r="R11" s="85"/>
    </row>
    <row r="12" spans="1:18">
      <c r="A12" s="87" t="s">
        <v>485</v>
      </c>
      <c r="B12" s="87" t="s">
        <v>146</v>
      </c>
      <c r="C12" s="87">
        <v>2018</v>
      </c>
      <c r="D12" s="95">
        <v>0.82499999999999996</v>
      </c>
      <c r="E12" s="95">
        <v>0</v>
      </c>
      <c r="F12" s="95">
        <v>0</v>
      </c>
      <c r="G12" s="95">
        <v>0.17499999999999999</v>
      </c>
      <c r="H12" s="96">
        <v>0.82499999999999996</v>
      </c>
      <c r="I12" s="96">
        <v>0</v>
      </c>
      <c r="J12" s="96">
        <v>0</v>
      </c>
      <c r="K12" s="96">
        <v>0.17499999999999999</v>
      </c>
      <c r="L12" s="97"/>
      <c r="N12" s="85"/>
      <c r="O12" s="85"/>
      <c r="P12" s="85"/>
      <c r="Q12" s="85"/>
      <c r="R12" s="85"/>
    </row>
    <row r="13" spans="1:18">
      <c r="A13" s="87" t="s">
        <v>480</v>
      </c>
      <c r="B13" s="87" t="s">
        <v>146</v>
      </c>
      <c r="C13" s="87">
        <v>2018</v>
      </c>
      <c r="D13" s="95">
        <v>0.82499999999999996</v>
      </c>
      <c r="E13" s="95">
        <v>0</v>
      </c>
      <c r="F13" s="95">
        <v>0</v>
      </c>
      <c r="G13" s="95">
        <v>0.17499999999999999</v>
      </c>
      <c r="H13" s="96">
        <v>0.82499999999999996</v>
      </c>
      <c r="I13" s="96">
        <v>0</v>
      </c>
      <c r="J13" s="96">
        <v>0</v>
      </c>
      <c r="K13" s="96">
        <v>0.17499999999999999</v>
      </c>
      <c r="L13" s="97"/>
      <c r="N13" s="85"/>
      <c r="O13" s="85"/>
      <c r="P13" s="85"/>
      <c r="Q13" s="85"/>
      <c r="R13" s="85"/>
    </row>
    <row r="14" spans="1:18">
      <c r="A14" s="93" t="s">
        <v>482</v>
      </c>
      <c r="B14" s="93" t="s">
        <v>146</v>
      </c>
      <c r="C14" s="93">
        <v>2021</v>
      </c>
      <c r="D14" s="95">
        <v>0.28399999999999997</v>
      </c>
      <c r="E14" s="95">
        <v>0</v>
      </c>
      <c r="F14" s="95">
        <v>0.51588995400000004</v>
      </c>
      <c r="G14" s="95">
        <v>0.2</v>
      </c>
      <c r="H14" s="96">
        <v>0.28160000000000002</v>
      </c>
      <c r="I14" s="96">
        <v>0</v>
      </c>
      <c r="J14" s="96">
        <v>0.51070000000000004</v>
      </c>
      <c r="K14" s="96">
        <v>0.19769999999999999</v>
      </c>
      <c r="L14" s="97">
        <v>1E-4</v>
      </c>
      <c r="M14" s="85"/>
      <c r="N14" s="85"/>
      <c r="O14" s="85"/>
      <c r="P14" s="85"/>
      <c r="Q14" s="85"/>
      <c r="R14" s="85"/>
    </row>
    <row r="15" spans="1:18">
      <c r="A15" s="87" t="s">
        <v>484</v>
      </c>
      <c r="B15" s="87" t="s">
        <v>146</v>
      </c>
      <c r="C15" s="87">
        <v>2021</v>
      </c>
      <c r="D15" s="95">
        <v>0.58799999999999997</v>
      </c>
      <c r="E15" s="95">
        <v>0</v>
      </c>
      <c r="F15" s="95">
        <v>0</v>
      </c>
      <c r="G15" s="95">
        <v>0.41199999999999998</v>
      </c>
      <c r="H15" s="96">
        <v>0.58160000000000001</v>
      </c>
      <c r="I15" s="96">
        <v>0</v>
      </c>
      <c r="J15" s="96">
        <v>0</v>
      </c>
      <c r="K15" s="96">
        <v>0.40839999999999999</v>
      </c>
      <c r="L15" s="97">
        <v>2.0000000000000001E-4</v>
      </c>
      <c r="M15" s="85"/>
      <c r="N15" s="85"/>
      <c r="O15" s="85"/>
      <c r="P15" s="85"/>
      <c r="Q15" s="85"/>
      <c r="R15" s="85"/>
    </row>
    <row r="16" spans="1:18">
      <c r="A16" s="87" t="s">
        <v>479</v>
      </c>
      <c r="B16" s="87" t="s">
        <v>146</v>
      </c>
      <c r="C16" s="87">
        <v>2021</v>
      </c>
      <c r="D16" s="95">
        <v>0.58799999999999997</v>
      </c>
      <c r="E16" s="95">
        <v>0</v>
      </c>
      <c r="F16" s="95">
        <v>0</v>
      </c>
      <c r="G16" s="95">
        <v>0.41199999999999998</v>
      </c>
      <c r="H16" s="96">
        <v>0.58160000000000001</v>
      </c>
      <c r="I16" s="96">
        <v>0</v>
      </c>
      <c r="J16" s="96">
        <v>0</v>
      </c>
      <c r="K16" s="96">
        <v>0.40839999999999999</v>
      </c>
      <c r="L16" s="97">
        <v>5.0000000000000001E-3</v>
      </c>
      <c r="M16" s="85"/>
      <c r="N16" s="85"/>
      <c r="O16" s="85"/>
      <c r="P16" s="85"/>
      <c r="Q16" s="85"/>
      <c r="R16" s="85"/>
    </row>
    <row r="17" spans="1:18">
      <c r="A17" s="87" t="s">
        <v>483</v>
      </c>
      <c r="B17" s="87" t="s">
        <v>146</v>
      </c>
      <c r="C17" s="87">
        <v>2021</v>
      </c>
      <c r="D17" s="95">
        <v>0.58799999999999997</v>
      </c>
      <c r="E17" s="95">
        <v>0</v>
      </c>
      <c r="F17" s="95">
        <v>0</v>
      </c>
      <c r="G17" s="95">
        <v>0.41199999999999998</v>
      </c>
      <c r="H17" s="96">
        <v>0.58160000000000001</v>
      </c>
      <c r="I17" s="96">
        <v>0</v>
      </c>
      <c r="J17" s="96">
        <v>0</v>
      </c>
      <c r="K17" s="96">
        <v>0.40839999999999999</v>
      </c>
      <c r="L17" s="97">
        <v>2.0000000000000001E-4</v>
      </c>
      <c r="M17" s="85"/>
      <c r="N17" s="85"/>
      <c r="O17" s="85"/>
      <c r="P17" s="85"/>
      <c r="Q17" s="85"/>
      <c r="R17" s="85"/>
    </row>
    <row r="18" spans="1:18">
      <c r="A18" s="87" t="s">
        <v>478</v>
      </c>
      <c r="B18" s="87" t="s">
        <v>146</v>
      </c>
      <c r="C18" s="87">
        <v>2021</v>
      </c>
      <c r="D18" s="95">
        <v>0.58799999999999997</v>
      </c>
      <c r="E18" s="95">
        <v>0</v>
      </c>
      <c r="F18" s="95">
        <v>0</v>
      </c>
      <c r="G18" s="95">
        <v>0.41199999999999998</v>
      </c>
      <c r="H18" s="96">
        <v>0.58160000000000001</v>
      </c>
      <c r="I18" s="96">
        <v>0</v>
      </c>
      <c r="J18" s="96">
        <v>0</v>
      </c>
      <c r="K18" s="96">
        <v>0.40839999999999999</v>
      </c>
      <c r="L18" s="97">
        <v>5.0000000000000001E-3</v>
      </c>
      <c r="M18" s="85"/>
      <c r="N18" s="85"/>
      <c r="O18" s="85"/>
      <c r="P18" s="85"/>
      <c r="Q18" s="85"/>
      <c r="R18" s="85"/>
    </row>
    <row r="19" spans="1:18">
      <c r="A19" s="87" t="s">
        <v>486</v>
      </c>
      <c r="B19" s="87" t="s">
        <v>146</v>
      </c>
      <c r="C19" s="87">
        <v>2021</v>
      </c>
      <c r="D19" s="95">
        <v>0.58799999999999997</v>
      </c>
      <c r="E19" s="95">
        <v>0</v>
      </c>
      <c r="F19" s="95">
        <v>0</v>
      </c>
      <c r="G19" s="95">
        <v>0.41199999999999998</v>
      </c>
      <c r="H19" s="96">
        <v>0.58160000000000001</v>
      </c>
      <c r="I19" s="96">
        <v>0</v>
      </c>
      <c r="J19" s="96">
        <v>0</v>
      </c>
      <c r="K19" s="96">
        <v>0.40839999999999999</v>
      </c>
      <c r="L19" s="97">
        <v>2.0000000000000001E-4</v>
      </c>
      <c r="M19" s="85"/>
      <c r="N19" s="85"/>
      <c r="O19" s="85"/>
      <c r="P19" s="85"/>
      <c r="Q19" s="85"/>
      <c r="R19" s="85"/>
    </row>
    <row r="20" spans="1:18">
      <c r="A20" s="87" t="s">
        <v>485</v>
      </c>
      <c r="B20" s="87" t="s">
        <v>146</v>
      </c>
      <c r="C20" s="87">
        <v>2021</v>
      </c>
      <c r="D20" s="95">
        <v>0.58799999999999997</v>
      </c>
      <c r="E20" s="95">
        <v>0</v>
      </c>
      <c r="F20" s="95">
        <v>0</v>
      </c>
      <c r="G20" s="95">
        <v>0.41199999999999998</v>
      </c>
      <c r="H20" s="96">
        <v>0.58160000000000001</v>
      </c>
      <c r="I20" s="96">
        <v>0</v>
      </c>
      <c r="J20" s="96">
        <v>0</v>
      </c>
      <c r="K20" s="96">
        <v>0.40839999999999999</v>
      </c>
      <c r="L20" s="97">
        <v>2.0000000000000001E-4</v>
      </c>
      <c r="M20" s="85"/>
      <c r="N20" s="85"/>
      <c r="O20" s="85"/>
      <c r="P20" s="85"/>
      <c r="Q20" s="85"/>
      <c r="R20" s="85"/>
    </row>
    <row r="21" spans="1:18">
      <c r="A21" s="87" t="s">
        <v>480</v>
      </c>
      <c r="B21" s="87" t="s">
        <v>146</v>
      </c>
      <c r="C21" s="87">
        <v>2021</v>
      </c>
      <c r="D21" s="95">
        <v>0.58799999999999997</v>
      </c>
      <c r="E21" s="95">
        <v>0</v>
      </c>
      <c r="F21" s="95">
        <v>0</v>
      </c>
      <c r="G21" s="95">
        <v>0.41199999999999998</v>
      </c>
      <c r="H21" s="96">
        <v>0.58160000000000001</v>
      </c>
      <c r="I21" s="96">
        <v>0</v>
      </c>
      <c r="J21" s="96">
        <v>0</v>
      </c>
      <c r="K21" s="96">
        <v>0.40839999999999999</v>
      </c>
      <c r="L21" s="97">
        <v>5.0000000000000001E-3</v>
      </c>
      <c r="M21" s="85"/>
      <c r="N21" s="85"/>
      <c r="O21" s="85"/>
      <c r="P21" s="85"/>
      <c r="Q21" s="85"/>
      <c r="R21" s="85"/>
    </row>
    <row r="22" spans="1:18">
      <c r="A22" s="93" t="s">
        <v>482</v>
      </c>
      <c r="B22" s="93" t="s">
        <v>146</v>
      </c>
      <c r="C22" s="93">
        <v>2025</v>
      </c>
      <c r="D22" s="95">
        <v>0.271189923</v>
      </c>
      <c r="E22" s="95">
        <v>0</v>
      </c>
      <c r="F22" s="95">
        <v>0.52182677099999997</v>
      </c>
      <c r="G22" s="95">
        <v>0.196983305</v>
      </c>
      <c r="H22" s="96">
        <v>0.14199999999999999</v>
      </c>
      <c r="I22" s="96">
        <v>0</v>
      </c>
      <c r="J22" s="96">
        <v>0.25700000000000001</v>
      </c>
      <c r="K22" s="96">
        <v>9.9000000000000005E-2</v>
      </c>
      <c r="L22" s="97">
        <v>8.4474140000000003E-3</v>
      </c>
      <c r="M22" s="85"/>
      <c r="N22" s="85"/>
      <c r="O22" s="85"/>
      <c r="P22" s="85"/>
      <c r="Q22" s="85"/>
      <c r="R22" s="85"/>
    </row>
    <row r="23" spans="1:18">
      <c r="A23" s="87" t="s">
        <v>484</v>
      </c>
      <c r="B23" s="87" t="s">
        <v>146</v>
      </c>
      <c r="C23" s="87">
        <v>2025</v>
      </c>
      <c r="D23" s="95">
        <v>0.57259386499999998</v>
      </c>
      <c r="E23" s="95">
        <v>0</v>
      </c>
      <c r="F23" s="95">
        <v>0</v>
      </c>
      <c r="G23" s="95">
        <v>0.41740613500000001</v>
      </c>
      <c r="H23" s="96">
        <v>0.29199999999999998</v>
      </c>
      <c r="I23" s="96">
        <v>0</v>
      </c>
      <c r="J23" s="96">
        <v>0</v>
      </c>
      <c r="K23" s="96">
        <v>0.20499999999999999</v>
      </c>
      <c r="L23" s="97">
        <v>1.7449367E-2</v>
      </c>
      <c r="M23" s="85"/>
      <c r="N23" s="85"/>
      <c r="O23" s="85"/>
      <c r="P23" s="85"/>
      <c r="Q23" s="85"/>
      <c r="R23" s="85"/>
    </row>
    <row r="24" spans="1:18">
      <c r="A24" s="87" t="s">
        <v>479</v>
      </c>
      <c r="B24" s="87" t="s">
        <v>146</v>
      </c>
      <c r="C24" s="87">
        <v>2025</v>
      </c>
      <c r="D24" s="95">
        <v>0.57259386499999998</v>
      </c>
      <c r="E24" s="95">
        <v>0</v>
      </c>
      <c r="F24" s="95">
        <v>0</v>
      </c>
      <c r="G24" s="95">
        <v>0.41740613500000001</v>
      </c>
      <c r="H24" s="96">
        <v>0.29199999999999998</v>
      </c>
      <c r="I24" s="96">
        <v>0</v>
      </c>
      <c r="J24" s="96">
        <v>0</v>
      </c>
      <c r="K24" s="96">
        <v>0.20499999999999999</v>
      </c>
      <c r="L24" s="97">
        <v>1.7449367E-2</v>
      </c>
      <c r="M24" s="85"/>
      <c r="N24" s="85"/>
      <c r="O24" s="85"/>
      <c r="P24" s="85"/>
      <c r="Q24" s="85"/>
      <c r="R24" s="85"/>
    </row>
    <row r="25" spans="1:18">
      <c r="A25" s="87" t="s">
        <v>483</v>
      </c>
      <c r="B25" s="87" t="s">
        <v>146</v>
      </c>
      <c r="C25" s="87">
        <v>2025</v>
      </c>
      <c r="D25" s="95">
        <v>0.57259386499999998</v>
      </c>
      <c r="E25" s="95">
        <v>0</v>
      </c>
      <c r="F25" s="95">
        <v>0</v>
      </c>
      <c r="G25" s="95">
        <v>0.41740613500000001</v>
      </c>
      <c r="H25" s="96">
        <v>0.29199999999999998</v>
      </c>
      <c r="I25" s="96">
        <v>0</v>
      </c>
      <c r="J25" s="96">
        <v>0</v>
      </c>
      <c r="K25" s="96">
        <v>0.20499999999999999</v>
      </c>
      <c r="L25" s="97">
        <v>1.7449367E-2</v>
      </c>
      <c r="M25" s="85"/>
      <c r="N25" s="85"/>
      <c r="O25" s="85"/>
      <c r="P25" s="85"/>
      <c r="Q25" s="85"/>
      <c r="R25" s="85"/>
    </row>
    <row r="26" spans="1:18">
      <c r="A26" s="87" t="s">
        <v>478</v>
      </c>
      <c r="B26" s="87" t="s">
        <v>146</v>
      </c>
      <c r="C26" s="87">
        <v>2025</v>
      </c>
      <c r="D26" s="95">
        <v>0.57259386499999998</v>
      </c>
      <c r="E26" s="95">
        <v>0</v>
      </c>
      <c r="F26" s="95">
        <v>0</v>
      </c>
      <c r="G26" s="95">
        <v>0.41740613500000001</v>
      </c>
      <c r="H26" s="96">
        <v>0.29199999999999998</v>
      </c>
      <c r="I26" s="96">
        <v>0</v>
      </c>
      <c r="J26" s="96">
        <v>0</v>
      </c>
      <c r="K26" s="96">
        <v>0.20499999999999999</v>
      </c>
      <c r="L26" s="97">
        <v>1.7449367E-2</v>
      </c>
      <c r="M26" s="85"/>
      <c r="N26" s="85"/>
      <c r="O26" s="85"/>
      <c r="P26" s="85"/>
      <c r="Q26" s="85"/>
      <c r="R26" s="85"/>
    </row>
    <row r="27" spans="1:18">
      <c r="A27" s="87" t="s">
        <v>486</v>
      </c>
      <c r="B27" s="87" t="s">
        <v>146</v>
      </c>
      <c r="C27" s="87">
        <v>2025</v>
      </c>
      <c r="D27" s="95">
        <v>0.57259386499999998</v>
      </c>
      <c r="E27" s="95">
        <v>0</v>
      </c>
      <c r="F27" s="95">
        <v>0</v>
      </c>
      <c r="G27" s="95">
        <v>0.41740613500000001</v>
      </c>
      <c r="H27" s="96">
        <v>0.29199999999999998</v>
      </c>
      <c r="I27" s="96">
        <v>0</v>
      </c>
      <c r="J27" s="96">
        <v>0</v>
      </c>
      <c r="K27" s="96">
        <v>0.20499999999999999</v>
      </c>
      <c r="L27" s="97">
        <v>1.7449367E-2</v>
      </c>
      <c r="M27" s="85"/>
      <c r="N27" s="85"/>
      <c r="O27" s="85"/>
      <c r="P27" s="85"/>
      <c r="Q27" s="85"/>
      <c r="R27" s="85"/>
    </row>
    <row r="28" spans="1:18">
      <c r="A28" s="87" t="s">
        <v>485</v>
      </c>
      <c r="B28" s="87" t="s">
        <v>146</v>
      </c>
      <c r="C28" s="87">
        <v>2025</v>
      </c>
      <c r="D28" s="95">
        <v>0.57259386499999998</v>
      </c>
      <c r="E28" s="95">
        <v>0</v>
      </c>
      <c r="F28" s="95">
        <v>0</v>
      </c>
      <c r="G28" s="95">
        <v>0.41740613500000001</v>
      </c>
      <c r="H28" s="96">
        <v>0.29199999999999998</v>
      </c>
      <c r="I28" s="96">
        <v>0</v>
      </c>
      <c r="J28" s="96">
        <v>0</v>
      </c>
      <c r="K28" s="96">
        <v>0.20499999999999999</v>
      </c>
      <c r="L28" s="97">
        <v>1.7449367E-2</v>
      </c>
      <c r="M28" s="85"/>
      <c r="N28" s="85"/>
      <c r="O28" s="85"/>
      <c r="P28" s="85"/>
      <c r="Q28" s="85"/>
      <c r="R28" s="85"/>
    </row>
    <row r="29" spans="1:18">
      <c r="A29" s="87" t="s">
        <v>480</v>
      </c>
      <c r="B29" s="87" t="s">
        <v>146</v>
      </c>
      <c r="C29" s="87">
        <v>2025</v>
      </c>
      <c r="D29" s="95">
        <v>0.57259386499999998</v>
      </c>
      <c r="E29" s="95">
        <v>0</v>
      </c>
      <c r="F29" s="95">
        <v>0</v>
      </c>
      <c r="G29" s="95">
        <v>0.41740613500000001</v>
      </c>
      <c r="H29" s="96">
        <v>0.29199999999999998</v>
      </c>
      <c r="I29" s="96">
        <v>0</v>
      </c>
      <c r="J29" s="96">
        <v>0</v>
      </c>
      <c r="K29" s="96">
        <v>0.20499999999999999</v>
      </c>
      <c r="L29" s="97">
        <v>1.7449367E-2</v>
      </c>
      <c r="M29" s="85"/>
      <c r="N29" s="85"/>
      <c r="O29" s="85"/>
      <c r="P29" s="85"/>
      <c r="Q29" s="85"/>
      <c r="R29" s="85"/>
    </row>
    <row r="30" spans="1:18">
      <c r="A30" s="93" t="s">
        <v>482</v>
      </c>
      <c r="B30" s="93" t="s">
        <v>146</v>
      </c>
      <c r="C30" s="93">
        <v>2030</v>
      </c>
      <c r="D30" s="95">
        <v>0.260142545</v>
      </c>
      <c r="E30" s="95">
        <v>0</v>
      </c>
      <c r="F30" s="95">
        <v>0.52618659400000001</v>
      </c>
      <c r="G30" s="95">
        <v>0.193670861</v>
      </c>
      <c r="H30" s="96">
        <v>7.0999999999999994E-2</v>
      </c>
      <c r="I30" s="96">
        <v>0</v>
      </c>
      <c r="J30" s="96">
        <v>0.128</v>
      </c>
      <c r="K30" s="96">
        <v>0.05</v>
      </c>
      <c r="L30" s="97">
        <v>3.6239405000000002E-2</v>
      </c>
      <c r="M30" s="85"/>
      <c r="N30" s="85"/>
      <c r="O30" s="85"/>
      <c r="P30" s="85"/>
      <c r="Q30" s="85"/>
      <c r="R30" s="85"/>
    </row>
    <row r="31" spans="1:18">
      <c r="A31" s="87" t="s">
        <v>484</v>
      </c>
      <c r="B31" s="87" t="s">
        <v>146</v>
      </c>
      <c r="C31" s="87">
        <v>2030</v>
      </c>
      <c r="D31" s="95">
        <v>0.560145424</v>
      </c>
      <c r="E31" s="95">
        <v>0</v>
      </c>
      <c r="F31" s="95">
        <v>0</v>
      </c>
      <c r="G31" s="95">
        <v>0.41985457599999998</v>
      </c>
      <c r="H31" s="96">
        <v>0.14599999999999999</v>
      </c>
      <c r="I31" s="96">
        <v>0</v>
      </c>
      <c r="J31" s="96">
        <v>0</v>
      </c>
      <c r="K31" s="96">
        <v>0.10299999999999999</v>
      </c>
      <c r="L31" s="97">
        <v>7.4857782999999997E-2</v>
      </c>
      <c r="M31" s="85"/>
      <c r="N31" s="85"/>
      <c r="O31" s="85"/>
      <c r="P31" s="85"/>
      <c r="Q31" s="85"/>
      <c r="R31" s="85"/>
    </row>
    <row r="32" spans="1:18">
      <c r="A32" s="87" t="s">
        <v>479</v>
      </c>
      <c r="B32" s="87" t="s">
        <v>146</v>
      </c>
      <c r="C32" s="87">
        <v>2030</v>
      </c>
      <c r="D32" s="95">
        <v>0.560145424</v>
      </c>
      <c r="E32" s="95">
        <v>0</v>
      </c>
      <c r="F32" s="95">
        <v>0</v>
      </c>
      <c r="G32" s="95">
        <v>0.41985457599999998</v>
      </c>
      <c r="H32" s="96">
        <v>0.14599999999999999</v>
      </c>
      <c r="I32" s="96">
        <v>0</v>
      </c>
      <c r="J32" s="96">
        <v>0</v>
      </c>
      <c r="K32" s="96">
        <v>0.10299999999999999</v>
      </c>
      <c r="L32" s="97">
        <v>7.4857782999999997E-2</v>
      </c>
      <c r="M32" s="85"/>
      <c r="N32" s="85"/>
      <c r="O32" s="85"/>
      <c r="P32" s="85"/>
      <c r="Q32" s="85"/>
      <c r="R32" s="85"/>
    </row>
    <row r="33" spans="1:18">
      <c r="A33" s="87" t="s">
        <v>483</v>
      </c>
      <c r="B33" s="87" t="s">
        <v>146</v>
      </c>
      <c r="C33" s="87">
        <v>2030</v>
      </c>
      <c r="D33" s="95">
        <v>0.560145424</v>
      </c>
      <c r="E33" s="95">
        <v>0</v>
      </c>
      <c r="F33" s="95">
        <v>0</v>
      </c>
      <c r="G33" s="95">
        <v>0.41985457599999998</v>
      </c>
      <c r="H33" s="96">
        <v>0.14599999999999999</v>
      </c>
      <c r="I33" s="96">
        <v>0</v>
      </c>
      <c r="J33" s="96">
        <v>0</v>
      </c>
      <c r="K33" s="96">
        <v>0.10299999999999999</v>
      </c>
      <c r="L33" s="97">
        <v>7.4857782999999997E-2</v>
      </c>
      <c r="M33" s="85"/>
      <c r="N33" s="85"/>
      <c r="O33" s="85"/>
      <c r="P33" s="85"/>
      <c r="Q33" s="85"/>
      <c r="R33" s="85"/>
    </row>
    <row r="34" spans="1:18">
      <c r="A34" s="87" t="s">
        <v>478</v>
      </c>
      <c r="B34" s="87" t="s">
        <v>146</v>
      </c>
      <c r="C34" s="87">
        <v>2030</v>
      </c>
      <c r="D34" s="95">
        <v>0.560145424</v>
      </c>
      <c r="E34" s="95">
        <v>0</v>
      </c>
      <c r="F34" s="95">
        <v>0</v>
      </c>
      <c r="G34" s="95">
        <v>0.41985457599999998</v>
      </c>
      <c r="H34" s="96">
        <v>0.14599999999999999</v>
      </c>
      <c r="I34" s="96">
        <v>0</v>
      </c>
      <c r="J34" s="96">
        <v>0</v>
      </c>
      <c r="K34" s="96">
        <v>0.10299999999999999</v>
      </c>
      <c r="L34" s="97">
        <v>7.4857782999999997E-2</v>
      </c>
      <c r="M34" s="85"/>
      <c r="N34" s="85"/>
      <c r="O34" s="85"/>
      <c r="P34" s="85"/>
      <c r="Q34" s="85"/>
      <c r="R34" s="85"/>
    </row>
    <row r="35" spans="1:18">
      <c r="A35" s="87" t="s">
        <v>486</v>
      </c>
      <c r="B35" s="87" t="s">
        <v>146</v>
      </c>
      <c r="C35" s="87">
        <v>2030</v>
      </c>
      <c r="D35" s="95">
        <v>0.560145424</v>
      </c>
      <c r="E35" s="95">
        <v>0</v>
      </c>
      <c r="F35" s="95">
        <v>0</v>
      </c>
      <c r="G35" s="95">
        <v>0.41985457599999998</v>
      </c>
      <c r="H35" s="96">
        <v>0.14599999999999999</v>
      </c>
      <c r="I35" s="96">
        <v>0</v>
      </c>
      <c r="J35" s="96">
        <v>0</v>
      </c>
      <c r="K35" s="96">
        <v>0.10299999999999999</v>
      </c>
      <c r="L35" s="97">
        <v>7.4857782999999997E-2</v>
      </c>
      <c r="M35" s="85"/>
      <c r="N35" s="85"/>
      <c r="O35" s="85"/>
      <c r="P35" s="85"/>
      <c r="Q35" s="85"/>
      <c r="R35" s="85"/>
    </row>
    <row r="36" spans="1:18">
      <c r="A36" s="87" t="s">
        <v>485</v>
      </c>
      <c r="B36" s="87" t="s">
        <v>146</v>
      </c>
      <c r="C36" s="87">
        <v>2030</v>
      </c>
      <c r="D36" s="95">
        <v>0.560145424</v>
      </c>
      <c r="E36" s="95">
        <v>0</v>
      </c>
      <c r="F36" s="95">
        <v>0</v>
      </c>
      <c r="G36" s="95">
        <v>0.41985457599999998</v>
      </c>
      <c r="H36" s="96">
        <v>0.14599999999999999</v>
      </c>
      <c r="I36" s="96">
        <v>0</v>
      </c>
      <c r="J36" s="96">
        <v>0</v>
      </c>
      <c r="K36" s="96">
        <v>0.10299999999999999</v>
      </c>
      <c r="L36" s="97">
        <v>7.4857782999999997E-2</v>
      </c>
      <c r="M36" s="85"/>
      <c r="N36" s="85"/>
      <c r="O36" s="85"/>
      <c r="P36" s="85"/>
      <c r="Q36" s="85"/>
      <c r="R36" s="85"/>
    </row>
    <row r="37" spans="1:18">
      <c r="A37" s="87" t="s">
        <v>480</v>
      </c>
      <c r="B37" s="87" t="s">
        <v>146</v>
      </c>
      <c r="C37" s="87">
        <v>2030</v>
      </c>
      <c r="D37" s="95">
        <v>0.560145424</v>
      </c>
      <c r="E37" s="95">
        <v>0</v>
      </c>
      <c r="F37" s="95">
        <v>0</v>
      </c>
      <c r="G37" s="95">
        <v>0.41985457599999998</v>
      </c>
      <c r="H37" s="96">
        <v>0.14599999999999999</v>
      </c>
      <c r="I37" s="96">
        <v>0</v>
      </c>
      <c r="J37" s="96">
        <v>0</v>
      </c>
      <c r="K37" s="96">
        <v>0.10299999999999999</v>
      </c>
      <c r="L37" s="97">
        <v>7.4857782999999997E-2</v>
      </c>
      <c r="M37" s="85"/>
      <c r="N37" s="85"/>
      <c r="O37" s="85"/>
      <c r="P37" s="85"/>
      <c r="Q37" s="85"/>
      <c r="R37" s="85"/>
    </row>
    <row r="38" spans="1:18">
      <c r="A38" s="93" t="s">
        <v>482</v>
      </c>
      <c r="B38" s="93" t="s">
        <v>146</v>
      </c>
      <c r="C38" s="93">
        <v>2035</v>
      </c>
      <c r="D38" s="95">
        <v>0.246177813</v>
      </c>
      <c r="E38" s="95">
        <v>0</v>
      </c>
      <c r="F38" s="95">
        <v>0.52904494499999999</v>
      </c>
      <c r="G38" s="95">
        <v>0.18477724100000001</v>
      </c>
      <c r="H38" s="96">
        <v>1.0999999999999999E-2</v>
      </c>
      <c r="I38" s="96">
        <v>0</v>
      </c>
      <c r="J38" s="96">
        <v>2.1000000000000001E-2</v>
      </c>
      <c r="K38" s="96">
        <v>8.0000000000000002E-3</v>
      </c>
      <c r="L38" s="97">
        <v>7.1754021000000001E-2</v>
      </c>
      <c r="M38" s="85"/>
      <c r="N38" s="85"/>
      <c r="O38" s="85"/>
      <c r="P38" s="85"/>
      <c r="Q38" s="85"/>
      <c r="R38" s="85"/>
    </row>
    <row r="39" spans="1:18">
      <c r="A39" s="87" t="s">
        <v>484</v>
      </c>
      <c r="B39" s="87" t="s">
        <v>146</v>
      </c>
      <c r="C39" s="87">
        <v>2035</v>
      </c>
      <c r="D39" s="95">
        <v>0.54518729499999996</v>
      </c>
      <c r="E39" s="95">
        <v>0</v>
      </c>
      <c r="F39" s="95">
        <v>0</v>
      </c>
      <c r="G39" s="95">
        <v>0.414812705</v>
      </c>
      <c r="H39" s="96">
        <v>2.3E-2</v>
      </c>
      <c r="I39" s="96">
        <v>0</v>
      </c>
      <c r="J39" s="96">
        <v>0</v>
      </c>
      <c r="K39" s="96">
        <v>1.6E-2</v>
      </c>
      <c r="L39" s="97">
        <v>0.14821840999999999</v>
      </c>
      <c r="M39" s="85"/>
      <c r="N39" s="85"/>
      <c r="O39" s="85"/>
      <c r="P39" s="85"/>
      <c r="Q39" s="85"/>
      <c r="R39" s="85"/>
    </row>
    <row r="40" spans="1:18">
      <c r="A40" s="87" t="s">
        <v>479</v>
      </c>
      <c r="B40" s="87" t="s">
        <v>146</v>
      </c>
      <c r="C40" s="87">
        <v>2035</v>
      </c>
      <c r="D40" s="95">
        <v>0.54518729499999996</v>
      </c>
      <c r="E40" s="95">
        <v>0</v>
      </c>
      <c r="F40" s="95">
        <v>0</v>
      </c>
      <c r="G40" s="95">
        <v>0.414812705</v>
      </c>
      <c r="H40" s="96">
        <v>2.3E-2</v>
      </c>
      <c r="I40" s="96">
        <v>0</v>
      </c>
      <c r="J40" s="96">
        <v>0</v>
      </c>
      <c r="K40" s="96">
        <v>1.6E-2</v>
      </c>
      <c r="L40" s="97">
        <v>0.14821840999999999</v>
      </c>
      <c r="M40" s="85"/>
      <c r="N40" s="85"/>
      <c r="O40" s="85"/>
      <c r="P40" s="85"/>
      <c r="Q40" s="85"/>
      <c r="R40" s="85"/>
    </row>
    <row r="41" spans="1:18">
      <c r="A41" s="87" t="s">
        <v>483</v>
      </c>
      <c r="B41" s="87" t="s">
        <v>146</v>
      </c>
      <c r="C41" s="87">
        <v>2035</v>
      </c>
      <c r="D41" s="95">
        <v>0.54518729499999996</v>
      </c>
      <c r="E41" s="95">
        <v>0</v>
      </c>
      <c r="F41" s="95">
        <v>0</v>
      </c>
      <c r="G41" s="95">
        <v>0.414812705</v>
      </c>
      <c r="H41" s="96">
        <v>2.3E-2</v>
      </c>
      <c r="I41" s="96">
        <v>0</v>
      </c>
      <c r="J41" s="96">
        <v>0</v>
      </c>
      <c r="K41" s="96">
        <v>1.6E-2</v>
      </c>
      <c r="L41" s="97">
        <v>0.14821840999999999</v>
      </c>
      <c r="M41" s="85"/>
      <c r="N41" s="85"/>
      <c r="O41" s="85"/>
      <c r="P41" s="85"/>
      <c r="Q41" s="85"/>
      <c r="R41" s="85"/>
    </row>
    <row r="42" spans="1:18">
      <c r="A42" s="87" t="s">
        <v>478</v>
      </c>
      <c r="B42" s="87" t="s">
        <v>146</v>
      </c>
      <c r="C42" s="87">
        <v>2035</v>
      </c>
      <c r="D42" s="95">
        <v>0.54518729499999996</v>
      </c>
      <c r="E42" s="95">
        <v>0</v>
      </c>
      <c r="F42" s="95">
        <v>0</v>
      </c>
      <c r="G42" s="95">
        <v>0.414812705</v>
      </c>
      <c r="H42" s="96">
        <v>2.3E-2</v>
      </c>
      <c r="I42" s="96">
        <v>0</v>
      </c>
      <c r="J42" s="96">
        <v>0</v>
      </c>
      <c r="K42" s="96">
        <v>1.6E-2</v>
      </c>
      <c r="L42" s="97">
        <v>0.14821840999999999</v>
      </c>
      <c r="M42" s="85"/>
      <c r="N42" s="85"/>
      <c r="O42" s="85"/>
      <c r="P42" s="85"/>
      <c r="Q42" s="85"/>
      <c r="R42" s="85"/>
    </row>
    <row r="43" spans="1:18">
      <c r="A43" s="87" t="s">
        <v>486</v>
      </c>
      <c r="B43" s="87" t="s">
        <v>146</v>
      </c>
      <c r="C43" s="87">
        <v>2035</v>
      </c>
      <c r="D43" s="95">
        <v>0.54518729499999996</v>
      </c>
      <c r="E43" s="95">
        <v>0</v>
      </c>
      <c r="F43" s="95">
        <v>0</v>
      </c>
      <c r="G43" s="95">
        <v>0.414812705</v>
      </c>
      <c r="H43" s="96">
        <v>2.3E-2</v>
      </c>
      <c r="I43" s="96">
        <v>0</v>
      </c>
      <c r="J43" s="96">
        <v>0</v>
      </c>
      <c r="K43" s="96">
        <v>1.6E-2</v>
      </c>
      <c r="L43" s="97">
        <v>0.14821840999999999</v>
      </c>
      <c r="M43" s="85"/>
      <c r="N43" s="85"/>
      <c r="O43" s="85"/>
      <c r="P43" s="85"/>
      <c r="Q43" s="85"/>
      <c r="R43" s="85"/>
    </row>
    <row r="44" spans="1:18">
      <c r="A44" s="87" t="s">
        <v>485</v>
      </c>
      <c r="B44" s="87" t="s">
        <v>146</v>
      </c>
      <c r="C44" s="87">
        <v>2035</v>
      </c>
      <c r="D44" s="95">
        <v>0.54518729499999996</v>
      </c>
      <c r="E44" s="95">
        <v>0</v>
      </c>
      <c r="F44" s="95">
        <v>0</v>
      </c>
      <c r="G44" s="95">
        <v>0.414812705</v>
      </c>
      <c r="H44" s="96">
        <v>2.3E-2</v>
      </c>
      <c r="I44" s="96">
        <v>0</v>
      </c>
      <c r="J44" s="96">
        <v>0</v>
      </c>
      <c r="K44" s="96">
        <v>1.6E-2</v>
      </c>
      <c r="L44" s="97">
        <v>0.14821840999999999</v>
      </c>
      <c r="M44" s="85"/>
      <c r="N44" s="85"/>
      <c r="O44" s="85"/>
      <c r="P44" s="85"/>
      <c r="Q44" s="85"/>
      <c r="R44" s="85"/>
    </row>
    <row r="45" spans="1:18">
      <c r="A45" s="87" t="s">
        <v>480</v>
      </c>
      <c r="B45" s="87" t="s">
        <v>146</v>
      </c>
      <c r="C45" s="87">
        <v>2035</v>
      </c>
      <c r="D45" s="95">
        <v>0.54518729499999996</v>
      </c>
      <c r="E45" s="95">
        <v>0</v>
      </c>
      <c r="F45" s="95">
        <v>0</v>
      </c>
      <c r="G45" s="95">
        <v>0.414812705</v>
      </c>
      <c r="H45" s="96">
        <v>2.3E-2</v>
      </c>
      <c r="I45" s="96">
        <v>0</v>
      </c>
      <c r="J45" s="96">
        <v>0</v>
      </c>
      <c r="K45" s="96">
        <v>1.6E-2</v>
      </c>
      <c r="L45" s="97">
        <v>0.14821840999999999</v>
      </c>
      <c r="M45" s="85"/>
      <c r="N45" s="85"/>
      <c r="O45" s="85"/>
      <c r="P45" s="85"/>
      <c r="Q45" s="85"/>
      <c r="R45" s="85"/>
    </row>
    <row r="46" spans="1:18">
      <c r="A46" s="93" t="s">
        <v>482</v>
      </c>
      <c r="B46" s="93" t="s">
        <v>146</v>
      </c>
      <c r="C46" s="93">
        <v>2040</v>
      </c>
      <c r="D46" s="95">
        <v>0.23225036199999999</v>
      </c>
      <c r="E46" s="95">
        <v>0</v>
      </c>
      <c r="F46" s="95">
        <v>0.53187641900000004</v>
      </c>
      <c r="G46" s="95">
        <v>0.175873219</v>
      </c>
      <c r="H46" s="96">
        <v>0</v>
      </c>
      <c r="I46" s="96">
        <v>0</v>
      </c>
      <c r="J46" s="96">
        <v>0</v>
      </c>
      <c r="K46" s="96">
        <v>0</v>
      </c>
      <c r="L46" s="97">
        <v>0</v>
      </c>
      <c r="M46" s="85"/>
      <c r="N46" s="85"/>
      <c r="O46" s="85"/>
      <c r="P46" s="85"/>
      <c r="Q46" s="85"/>
      <c r="R46" s="85"/>
    </row>
    <row r="47" spans="1:18">
      <c r="A47" s="87" t="s">
        <v>484</v>
      </c>
      <c r="B47" s="87" t="s">
        <v>146</v>
      </c>
      <c r="C47" s="87">
        <v>2040</v>
      </c>
      <c r="D47" s="95">
        <v>0.53021608899999995</v>
      </c>
      <c r="E47" s="95">
        <v>0</v>
      </c>
      <c r="F47" s="95">
        <v>0</v>
      </c>
      <c r="G47" s="95">
        <v>0.409783911</v>
      </c>
      <c r="H47" s="96">
        <v>0</v>
      </c>
      <c r="I47" s="96">
        <v>0</v>
      </c>
      <c r="J47" s="96">
        <v>0</v>
      </c>
      <c r="K47" s="96">
        <v>0</v>
      </c>
      <c r="L47" s="97">
        <v>0</v>
      </c>
      <c r="M47" s="85"/>
      <c r="N47" s="85"/>
      <c r="O47" s="85"/>
      <c r="P47" s="85"/>
      <c r="Q47" s="85"/>
      <c r="R47" s="85"/>
    </row>
    <row r="48" spans="1:18">
      <c r="A48" s="87" t="s">
        <v>479</v>
      </c>
      <c r="B48" s="87" t="s">
        <v>146</v>
      </c>
      <c r="C48" s="87">
        <v>2040</v>
      </c>
      <c r="D48" s="95">
        <v>0.53021608899999995</v>
      </c>
      <c r="E48" s="95">
        <v>0</v>
      </c>
      <c r="F48" s="95">
        <v>0</v>
      </c>
      <c r="G48" s="95">
        <v>0.409783911</v>
      </c>
      <c r="H48" s="96">
        <v>0</v>
      </c>
      <c r="I48" s="96">
        <v>0</v>
      </c>
      <c r="J48" s="96">
        <v>0</v>
      </c>
      <c r="K48" s="96">
        <v>0</v>
      </c>
      <c r="L48" s="97">
        <v>0</v>
      </c>
      <c r="M48" s="85"/>
      <c r="N48" s="85"/>
      <c r="O48" s="85"/>
      <c r="P48" s="85"/>
      <c r="Q48" s="85"/>
      <c r="R48" s="85"/>
    </row>
    <row r="49" spans="1:18">
      <c r="A49" s="87" t="s">
        <v>483</v>
      </c>
      <c r="B49" s="87" t="s">
        <v>146</v>
      </c>
      <c r="C49" s="87">
        <v>2040</v>
      </c>
      <c r="D49" s="95">
        <v>0.53021608899999995</v>
      </c>
      <c r="E49" s="95">
        <v>0</v>
      </c>
      <c r="F49" s="95">
        <v>0</v>
      </c>
      <c r="G49" s="95">
        <v>0.409783911</v>
      </c>
      <c r="H49" s="96">
        <v>0</v>
      </c>
      <c r="I49" s="96">
        <v>0</v>
      </c>
      <c r="J49" s="96">
        <v>0</v>
      </c>
      <c r="K49" s="96">
        <v>0</v>
      </c>
      <c r="L49" s="97">
        <v>0</v>
      </c>
      <c r="M49" s="85"/>
      <c r="N49" s="85"/>
      <c r="O49" s="85"/>
      <c r="P49" s="85"/>
      <c r="Q49" s="85"/>
      <c r="R49" s="85"/>
    </row>
    <row r="50" spans="1:18">
      <c r="A50" s="87" t="s">
        <v>478</v>
      </c>
      <c r="B50" s="87" t="s">
        <v>146</v>
      </c>
      <c r="C50" s="87">
        <v>2040</v>
      </c>
      <c r="D50" s="95">
        <v>0.53021608899999995</v>
      </c>
      <c r="E50" s="95">
        <v>0</v>
      </c>
      <c r="F50" s="95">
        <v>0</v>
      </c>
      <c r="G50" s="95">
        <v>0.409783911</v>
      </c>
      <c r="H50" s="96">
        <v>0</v>
      </c>
      <c r="I50" s="96">
        <v>0</v>
      </c>
      <c r="J50" s="96">
        <v>0</v>
      </c>
      <c r="K50" s="96">
        <v>0</v>
      </c>
      <c r="L50" s="97">
        <v>0</v>
      </c>
      <c r="M50" s="85"/>
      <c r="N50" s="85"/>
      <c r="O50" s="85"/>
      <c r="P50" s="85"/>
      <c r="Q50" s="85"/>
      <c r="R50" s="85"/>
    </row>
    <row r="51" spans="1:18">
      <c r="A51" s="87" t="s">
        <v>486</v>
      </c>
      <c r="B51" s="87" t="s">
        <v>146</v>
      </c>
      <c r="C51" s="87">
        <v>2040</v>
      </c>
      <c r="D51" s="95">
        <v>0.53021608899999995</v>
      </c>
      <c r="E51" s="95">
        <v>0</v>
      </c>
      <c r="F51" s="95">
        <v>0</v>
      </c>
      <c r="G51" s="95">
        <v>0.409783911</v>
      </c>
      <c r="H51" s="96">
        <v>0</v>
      </c>
      <c r="I51" s="96">
        <v>0</v>
      </c>
      <c r="J51" s="96">
        <v>0</v>
      </c>
      <c r="K51" s="96">
        <v>0</v>
      </c>
      <c r="L51" s="97">
        <v>0</v>
      </c>
      <c r="M51" s="85"/>
      <c r="N51" s="85"/>
      <c r="O51" s="85"/>
      <c r="P51" s="85"/>
      <c r="Q51" s="85"/>
      <c r="R51" s="85"/>
    </row>
    <row r="52" spans="1:18">
      <c r="A52" s="87" t="s">
        <v>485</v>
      </c>
      <c r="B52" s="87" t="s">
        <v>146</v>
      </c>
      <c r="C52" s="87">
        <v>2040</v>
      </c>
      <c r="D52" s="95">
        <v>0.53021608899999995</v>
      </c>
      <c r="E52" s="95">
        <v>0</v>
      </c>
      <c r="F52" s="95">
        <v>0</v>
      </c>
      <c r="G52" s="95">
        <v>0.409783911</v>
      </c>
      <c r="H52" s="96">
        <v>0</v>
      </c>
      <c r="I52" s="96">
        <v>0</v>
      </c>
      <c r="J52" s="96">
        <v>0</v>
      </c>
      <c r="K52" s="96">
        <v>0</v>
      </c>
      <c r="L52" s="97">
        <v>0</v>
      </c>
      <c r="M52" s="85"/>
      <c r="N52" s="85"/>
      <c r="O52" s="85"/>
      <c r="P52" s="85"/>
      <c r="Q52" s="85"/>
      <c r="R52" s="85"/>
    </row>
    <row r="53" spans="1:18">
      <c r="A53" s="87" t="s">
        <v>480</v>
      </c>
      <c r="B53" s="87" t="s">
        <v>146</v>
      </c>
      <c r="C53" s="87">
        <v>2040</v>
      </c>
      <c r="D53" s="95">
        <v>0.53021608899999995</v>
      </c>
      <c r="E53" s="95">
        <v>0</v>
      </c>
      <c r="F53" s="95">
        <v>0</v>
      </c>
      <c r="G53" s="95">
        <v>0.409783911</v>
      </c>
      <c r="H53" s="96">
        <v>0</v>
      </c>
      <c r="I53" s="96">
        <v>0</v>
      </c>
      <c r="J53" s="96">
        <v>0</v>
      </c>
      <c r="K53" s="96">
        <v>0</v>
      </c>
      <c r="L53" s="97">
        <v>0</v>
      </c>
      <c r="M53" s="85"/>
      <c r="N53" s="85"/>
      <c r="O53" s="85"/>
      <c r="P53" s="85"/>
      <c r="Q53" s="85"/>
      <c r="R53" s="85"/>
    </row>
    <row r="54" spans="1:18">
      <c r="A54" s="93" t="s">
        <v>482</v>
      </c>
      <c r="B54" s="93" t="s">
        <v>146</v>
      </c>
      <c r="C54" s="93">
        <v>2045</v>
      </c>
      <c r="D54" s="95">
        <v>0.21836045700000001</v>
      </c>
      <c r="E54" s="95">
        <v>0</v>
      </c>
      <c r="F54" s="95">
        <v>0.53468082400000005</v>
      </c>
      <c r="G54" s="95">
        <v>0.16695871900000001</v>
      </c>
      <c r="H54" s="96">
        <v>0</v>
      </c>
      <c r="I54" s="96">
        <v>0</v>
      </c>
      <c r="J54" s="96">
        <v>0</v>
      </c>
      <c r="K54" s="96">
        <v>0</v>
      </c>
      <c r="L54" s="97">
        <v>0</v>
      </c>
      <c r="M54" s="85"/>
      <c r="N54" s="85"/>
      <c r="O54" s="85"/>
      <c r="P54" s="85"/>
      <c r="Q54" s="85"/>
      <c r="R54" s="85"/>
    </row>
    <row r="55" spans="1:18">
      <c r="A55" s="87" t="s">
        <v>484</v>
      </c>
      <c r="B55" s="87" t="s">
        <v>146</v>
      </c>
      <c r="C55" s="87">
        <v>2045</v>
      </c>
      <c r="D55" s="95">
        <v>0.515232774</v>
      </c>
      <c r="E55" s="95">
        <v>0</v>
      </c>
      <c r="F55" s="95">
        <v>0</v>
      </c>
      <c r="G55" s="95">
        <v>0.40476722599999998</v>
      </c>
      <c r="H55" s="96">
        <v>0</v>
      </c>
      <c r="I55" s="96">
        <v>0</v>
      </c>
      <c r="J55" s="96">
        <v>0</v>
      </c>
      <c r="K55" s="96">
        <v>0</v>
      </c>
      <c r="L55" s="97">
        <v>0</v>
      </c>
      <c r="M55" s="85"/>
      <c r="N55" s="85"/>
      <c r="O55" s="85"/>
      <c r="P55" s="85"/>
      <c r="Q55" s="85"/>
      <c r="R55" s="85"/>
    </row>
    <row r="56" spans="1:18">
      <c r="A56" s="87" t="s">
        <v>479</v>
      </c>
      <c r="B56" s="87" t="s">
        <v>146</v>
      </c>
      <c r="C56" s="87">
        <v>2045</v>
      </c>
      <c r="D56" s="95">
        <v>0.515232774</v>
      </c>
      <c r="E56" s="95">
        <v>0</v>
      </c>
      <c r="F56" s="95">
        <v>0</v>
      </c>
      <c r="G56" s="95">
        <v>0.40476722599999998</v>
      </c>
      <c r="H56" s="96">
        <v>0</v>
      </c>
      <c r="I56" s="96">
        <v>0</v>
      </c>
      <c r="J56" s="96">
        <v>0</v>
      </c>
      <c r="K56" s="96">
        <v>0</v>
      </c>
      <c r="L56" s="97">
        <v>0</v>
      </c>
      <c r="M56" s="85"/>
      <c r="N56" s="85"/>
      <c r="O56" s="85"/>
      <c r="P56" s="85"/>
      <c r="Q56" s="85"/>
      <c r="R56" s="85"/>
    </row>
    <row r="57" spans="1:18">
      <c r="A57" s="87" t="s">
        <v>483</v>
      </c>
      <c r="B57" s="87" t="s">
        <v>146</v>
      </c>
      <c r="C57" s="87">
        <v>2045</v>
      </c>
      <c r="D57" s="95">
        <v>0.515232774</v>
      </c>
      <c r="E57" s="95">
        <v>0</v>
      </c>
      <c r="F57" s="95">
        <v>0</v>
      </c>
      <c r="G57" s="95">
        <v>0.40476722599999998</v>
      </c>
      <c r="H57" s="96">
        <v>0</v>
      </c>
      <c r="I57" s="96">
        <v>0</v>
      </c>
      <c r="J57" s="96">
        <v>0</v>
      </c>
      <c r="K57" s="96">
        <v>0</v>
      </c>
      <c r="L57" s="97">
        <v>0</v>
      </c>
      <c r="M57" s="85"/>
      <c r="N57" s="85"/>
      <c r="O57" s="85"/>
      <c r="P57" s="85"/>
      <c r="Q57" s="85"/>
      <c r="R57" s="85"/>
    </row>
    <row r="58" spans="1:18">
      <c r="A58" s="87" t="s">
        <v>478</v>
      </c>
      <c r="B58" s="87" t="s">
        <v>146</v>
      </c>
      <c r="C58" s="87">
        <v>2045</v>
      </c>
      <c r="D58" s="95">
        <v>0.515232774</v>
      </c>
      <c r="E58" s="95">
        <v>0</v>
      </c>
      <c r="F58" s="95">
        <v>0</v>
      </c>
      <c r="G58" s="95">
        <v>0.40476722599999998</v>
      </c>
      <c r="H58" s="96">
        <v>0</v>
      </c>
      <c r="I58" s="96">
        <v>0</v>
      </c>
      <c r="J58" s="96">
        <v>0</v>
      </c>
      <c r="K58" s="96">
        <v>0</v>
      </c>
      <c r="L58" s="97">
        <v>0</v>
      </c>
      <c r="M58" s="85"/>
      <c r="N58" s="85"/>
      <c r="O58" s="85"/>
      <c r="P58" s="85"/>
      <c r="Q58" s="85"/>
      <c r="R58" s="85"/>
    </row>
    <row r="59" spans="1:18">
      <c r="A59" s="87" t="s">
        <v>486</v>
      </c>
      <c r="B59" s="87" t="s">
        <v>146</v>
      </c>
      <c r="C59" s="87">
        <v>2045</v>
      </c>
      <c r="D59" s="95">
        <v>0.515232774</v>
      </c>
      <c r="E59" s="95">
        <v>0</v>
      </c>
      <c r="F59" s="95">
        <v>0</v>
      </c>
      <c r="G59" s="95">
        <v>0.40476722599999998</v>
      </c>
      <c r="H59" s="96">
        <v>0</v>
      </c>
      <c r="I59" s="96">
        <v>0</v>
      </c>
      <c r="J59" s="96">
        <v>0</v>
      </c>
      <c r="K59" s="96">
        <v>0</v>
      </c>
      <c r="L59" s="97">
        <v>0</v>
      </c>
      <c r="M59" s="85"/>
      <c r="N59" s="85"/>
      <c r="O59" s="85"/>
      <c r="P59" s="85"/>
      <c r="Q59" s="85"/>
      <c r="R59" s="85"/>
    </row>
    <row r="60" spans="1:18">
      <c r="A60" s="87" t="s">
        <v>485</v>
      </c>
      <c r="B60" s="87" t="s">
        <v>146</v>
      </c>
      <c r="C60" s="87">
        <v>2045</v>
      </c>
      <c r="D60" s="95">
        <v>0.515232774</v>
      </c>
      <c r="E60" s="95">
        <v>0</v>
      </c>
      <c r="F60" s="95">
        <v>0</v>
      </c>
      <c r="G60" s="95">
        <v>0.40476722599999998</v>
      </c>
      <c r="H60" s="96">
        <v>0</v>
      </c>
      <c r="I60" s="96">
        <v>0</v>
      </c>
      <c r="J60" s="96">
        <v>0</v>
      </c>
      <c r="K60" s="96">
        <v>0</v>
      </c>
      <c r="L60" s="97">
        <v>0</v>
      </c>
      <c r="M60" s="85"/>
      <c r="N60" s="85"/>
      <c r="O60" s="85"/>
      <c r="P60" s="85"/>
      <c r="Q60" s="85"/>
      <c r="R60" s="85"/>
    </row>
    <row r="61" spans="1:18">
      <c r="A61" s="87" t="s">
        <v>480</v>
      </c>
      <c r="B61" s="87" t="s">
        <v>146</v>
      </c>
      <c r="C61" s="87">
        <v>2045</v>
      </c>
      <c r="D61" s="95">
        <v>0.515232774</v>
      </c>
      <c r="E61" s="95">
        <v>0</v>
      </c>
      <c r="F61" s="95">
        <v>0</v>
      </c>
      <c r="G61" s="95">
        <v>0.40476722599999998</v>
      </c>
      <c r="H61" s="96">
        <v>0</v>
      </c>
      <c r="I61" s="96">
        <v>0</v>
      </c>
      <c r="J61" s="96">
        <v>0</v>
      </c>
      <c r="K61" s="96">
        <v>0</v>
      </c>
      <c r="L61" s="97">
        <v>0</v>
      </c>
      <c r="M61" s="85"/>
      <c r="N61" s="85"/>
      <c r="O61" s="85"/>
      <c r="P61" s="85"/>
      <c r="Q61" s="85"/>
      <c r="R61" s="85"/>
    </row>
    <row r="62" spans="1:18">
      <c r="A62" s="93" t="s">
        <v>482</v>
      </c>
      <c r="B62" s="93" t="s">
        <v>146</v>
      </c>
      <c r="C62" s="93">
        <v>2050</v>
      </c>
      <c r="D62" s="95">
        <v>0.20450834500000001</v>
      </c>
      <c r="E62" s="95">
        <v>0</v>
      </c>
      <c r="F62" s="95">
        <v>0.53745798199999995</v>
      </c>
      <c r="G62" s="95">
        <v>0.15803367300000001</v>
      </c>
      <c r="H62" s="96">
        <v>0</v>
      </c>
      <c r="I62" s="96">
        <v>0</v>
      </c>
      <c r="J62" s="96">
        <v>0</v>
      </c>
      <c r="K62" s="96">
        <v>0</v>
      </c>
      <c r="L62" s="97">
        <v>0</v>
      </c>
      <c r="M62" s="85"/>
      <c r="N62" s="85"/>
      <c r="O62" s="85"/>
      <c r="P62" s="85"/>
      <c r="Q62" s="85"/>
      <c r="R62" s="85"/>
    </row>
    <row r="63" spans="1:18">
      <c r="A63" s="87" t="s">
        <v>484</v>
      </c>
      <c r="B63" s="87" t="s">
        <v>146</v>
      </c>
      <c r="C63" s="87">
        <v>2050</v>
      </c>
      <c r="D63" s="95">
        <v>0.50023832499999998</v>
      </c>
      <c r="E63" s="95">
        <v>0</v>
      </c>
      <c r="F63" s="95">
        <v>0</v>
      </c>
      <c r="G63" s="95">
        <v>0.39976167499999998</v>
      </c>
      <c r="H63" s="96">
        <v>0</v>
      </c>
      <c r="I63" s="96">
        <v>0</v>
      </c>
      <c r="J63" s="96">
        <v>0</v>
      </c>
      <c r="K63" s="96">
        <v>0</v>
      </c>
      <c r="L63" s="97">
        <v>0</v>
      </c>
      <c r="M63" s="85"/>
      <c r="N63" s="85"/>
      <c r="O63" s="85"/>
      <c r="P63" s="85"/>
      <c r="Q63" s="85"/>
      <c r="R63" s="85"/>
    </row>
    <row r="64" spans="1:18">
      <c r="A64" s="87" t="s">
        <v>479</v>
      </c>
      <c r="B64" s="87" t="s">
        <v>146</v>
      </c>
      <c r="C64" s="87">
        <v>2050</v>
      </c>
      <c r="D64" s="95">
        <v>0.50023832499999998</v>
      </c>
      <c r="E64" s="95">
        <v>0</v>
      </c>
      <c r="F64" s="95">
        <v>0</v>
      </c>
      <c r="G64" s="95">
        <v>0.39976167499999998</v>
      </c>
      <c r="H64" s="96">
        <v>0</v>
      </c>
      <c r="I64" s="96">
        <v>0</v>
      </c>
      <c r="J64" s="96">
        <v>0</v>
      </c>
      <c r="K64" s="96">
        <v>0</v>
      </c>
      <c r="L64" s="97">
        <v>0</v>
      </c>
      <c r="M64" s="85"/>
      <c r="N64" s="85"/>
      <c r="O64" s="85"/>
      <c r="P64" s="85"/>
      <c r="Q64" s="85"/>
      <c r="R64" s="85"/>
    </row>
    <row r="65" spans="1:18">
      <c r="A65" s="87" t="s">
        <v>483</v>
      </c>
      <c r="B65" s="87" t="s">
        <v>146</v>
      </c>
      <c r="C65" s="87">
        <v>2050</v>
      </c>
      <c r="D65" s="95">
        <v>0.50023832499999998</v>
      </c>
      <c r="E65" s="95">
        <v>0</v>
      </c>
      <c r="F65" s="95">
        <v>0</v>
      </c>
      <c r="G65" s="95">
        <v>0.39976167499999998</v>
      </c>
      <c r="H65" s="96">
        <v>0</v>
      </c>
      <c r="I65" s="96">
        <v>0</v>
      </c>
      <c r="J65" s="96">
        <v>0</v>
      </c>
      <c r="K65" s="96">
        <v>0</v>
      </c>
      <c r="L65" s="97">
        <v>0</v>
      </c>
      <c r="M65" s="85"/>
      <c r="N65" s="85"/>
      <c r="O65" s="85"/>
      <c r="P65" s="85"/>
      <c r="Q65" s="85"/>
      <c r="R65" s="85"/>
    </row>
    <row r="66" spans="1:18">
      <c r="A66" s="87" t="s">
        <v>478</v>
      </c>
      <c r="B66" s="87" t="s">
        <v>146</v>
      </c>
      <c r="C66" s="87">
        <v>2050</v>
      </c>
      <c r="D66" s="95">
        <v>0.50023832499999998</v>
      </c>
      <c r="E66" s="95">
        <v>0</v>
      </c>
      <c r="F66" s="95">
        <v>0</v>
      </c>
      <c r="G66" s="95">
        <v>0.39976167499999998</v>
      </c>
      <c r="H66" s="96">
        <v>0</v>
      </c>
      <c r="I66" s="96">
        <v>0</v>
      </c>
      <c r="J66" s="96">
        <v>0</v>
      </c>
      <c r="K66" s="96">
        <v>0</v>
      </c>
      <c r="L66" s="97">
        <v>0</v>
      </c>
      <c r="M66" s="85"/>
      <c r="N66" s="85"/>
      <c r="O66" s="85"/>
      <c r="P66" s="85"/>
      <c r="Q66" s="85"/>
      <c r="R66" s="85"/>
    </row>
    <row r="67" spans="1:18">
      <c r="A67" s="87" t="s">
        <v>486</v>
      </c>
      <c r="B67" s="87" t="s">
        <v>146</v>
      </c>
      <c r="C67" s="87">
        <v>2050</v>
      </c>
      <c r="D67" s="95">
        <v>0.50023832499999998</v>
      </c>
      <c r="E67" s="95">
        <v>0</v>
      </c>
      <c r="F67" s="95">
        <v>0</v>
      </c>
      <c r="G67" s="95">
        <v>0.39976167499999998</v>
      </c>
      <c r="H67" s="96">
        <v>0</v>
      </c>
      <c r="I67" s="96">
        <v>0</v>
      </c>
      <c r="J67" s="96">
        <v>0</v>
      </c>
      <c r="K67" s="96">
        <v>0</v>
      </c>
      <c r="L67" s="97">
        <v>0</v>
      </c>
      <c r="M67" s="85"/>
      <c r="N67" s="85"/>
      <c r="O67" s="85"/>
      <c r="P67" s="85"/>
      <c r="Q67" s="85"/>
      <c r="R67" s="85"/>
    </row>
    <row r="68" spans="1:18">
      <c r="A68" s="87" t="s">
        <v>485</v>
      </c>
      <c r="B68" s="87" t="s">
        <v>146</v>
      </c>
      <c r="C68" s="87">
        <v>2050</v>
      </c>
      <c r="D68" s="95">
        <v>0.50023832499999998</v>
      </c>
      <c r="E68" s="95">
        <v>0</v>
      </c>
      <c r="F68" s="95">
        <v>0</v>
      </c>
      <c r="G68" s="95">
        <v>0.39976167499999998</v>
      </c>
      <c r="H68" s="96">
        <v>0</v>
      </c>
      <c r="I68" s="96">
        <v>0</v>
      </c>
      <c r="J68" s="96">
        <v>0</v>
      </c>
      <c r="K68" s="96">
        <v>0</v>
      </c>
      <c r="L68" s="97">
        <v>0</v>
      </c>
      <c r="M68" s="85"/>
      <c r="N68" s="85"/>
      <c r="O68" s="85"/>
      <c r="P68" s="85"/>
      <c r="Q68" s="85"/>
      <c r="R68" s="85"/>
    </row>
    <row r="69" spans="1:18">
      <c r="A69" s="87" t="s">
        <v>480</v>
      </c>
      <c r="B69" s="87" t="s">
        <v>146</v>
      </c>
      <c r="C69" s="87">
        <v>2050</v>
      </c>
      <c r="D69" s="95">
        <v>0.50023832499999998</v>
      </c>
      <c r="E69" s="95">
        <v>0</v>
      </c>
      <c r="F69" s="95">
        <v>0</v>
      </c>
      <c r="G69" s="95">
        <v>0.39976167499999998</v>
      </c>
      <c r="H69" s="96">
        <v>0</v>
      </c>
      <c r="I69" s="96">
        <v>0</v>
      </c>
      <c r="J69" s="96">
        <v>0</v>
      </c>
      <c r="K69" s="96">
        <v>0</v>
      </c>
      <c r="L69" s="97">
        <v>0</v>
      </c>
      <c r="M69" s="85"/>
      <c r="N69" s="85"/>
      <c r="O69" s="85"/>
      <c r="P69" s="85"/>
      <c r="Q69" s="85"/>
      <c r="R69" s="85"/>
    </row>
    <row r="70" spans="1:18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spans="1:18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8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8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</row>
    <row r="74" spans="1:18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</row>
    <row r="75" spans="1:18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</row>
    <row r="76" spans="1:18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8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</row>
    <row r="78" spans="1:1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</row>
    <row r="79" spans="1:18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spans="1:18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</row>
    <row r="81" spans="1:12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</row>
    <row r="86" spans="1:12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</row>
    <row r="87" spans="1:12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</row>
    <row r="88" spans="1:12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</row>
    <row r="89" spans="1:12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</row>
    <row r="90" spans="1:12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</row>
    <row r="91" spans="1:12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</row>
    <row r="92" spans="1:1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</row>
    <row r="93" spans="1:12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</row>
    <row r="94" spans="1:12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</row>
    <row r="95" spans="1:12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</row>
    <row r="96" spans="1:1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</row>
    <row r="97" spans="1:1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</row>
    <row r="98" spans="1:1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</row>
    <row r="99" spans="1:1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</row>
    <row r="100" spans="1:1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</row>
    <row r="106" spans="1:1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</row>
    <row r="107" spans="1:1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</row>
    <row r="110" spans="1:1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</row>
    <row r="111" spans="1:1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</row>
    <row r="112" spans="1: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</row>
    <row r="114" spans="1:1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</row>
    <row r="115" spans="1:1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</row>
    <row r="117" spans="1:1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</row>
    <row r="119" spans="1:1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</row>
    <row r="123" spans="1:1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</row>
    <row r="125" spans="1:1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</row>
    <row r="127" spans="1:1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</row>
    <row r="129" spans="1:1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</row>
    <row r="130" spans="1:1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</row>
    <row r="132" spans="1:1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</row>
    <row r="136" spans="1:1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</row>
    <row r="137" spans="1:1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</row>
    <row r="138" spans="1:1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</row>
    <row r="142" spans="1:1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</row>
    <row r="143" spans="1:1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</row>
    <row r="145" spans="1:1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</row>
    <row r="147" spans="1:1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1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</row>
    <row r="151" spans="1:1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</row>
    <row r="153" spans="1:1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</row>
    <row r="154" spans="1:1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</row>
    <row r="156" spans="1:1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</row>
    <row r="158" spans="1:1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</row>
    <row r="160" spans="1:1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</row>
    <row r="162" spans="1:1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</row>
    <row r="164" spans="1:1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</row>
    <row r="166" spans="1:1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</row>
    <row r="170" spans="1:1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</row>
    <row r="172" spans="1:1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</row>
    <row r="174" spans="1:1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</row>
    <row r="181" spans="1:1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</row>
    <row r="183" spans="1:1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</row>
    <row r="185" spans="1:1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</row>
    <row r="186" spans="1:1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</row>
    <row r="187" spans="1:1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</row>
    <row r="188" spans="1:1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</row>
    <row r="189" spans="1:1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</row>
    <row r="191" spans="1:1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</row>
    <row r="192" spans="1:1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1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</row>
    <row r="194" spans="1:1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1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</row>
    <row r="200" spans="1:1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</row>
    <row r="202" spans="1:1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</row>
    <row r="204" spans="1:1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>
      <c r="A205" s="94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</row>
    <row r="206" spans="1:12">
      <c r="A206" s="94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>
      <c r="A207" s="94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</row>
    <row r="208" spans="1:12">
      <c r="A208" s="94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</row>
    <row r="209" spans="1:12">
      <c r="A209" s="94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12">
      <c r="A210" s="94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</row>
    <row r="211" spans="1:12">
      <c r="A211" s="94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</row>
    <row r="212" spans="1:12">
      <c r="A212" s="94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>
      <c r="A213" s="94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12">
      <c r="A214" s="94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>
      <c r="A215" s="94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</row>
    <row r="216" spans="1:12">
      <c r="A216" s="94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>
      <c r="A217" s="94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</row>
    <row r="218" spans="1:12">
      <c r="A218" s="94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>
      <c r="A219" s="94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</row>
    <row r="220" spans="1:12">
      <c r="A220" s="94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>
      <c r="A221" s="94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</row>
    <row r="222" spans="1:12">
      <c r="A222" s="94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</row>
    <row r="223" spans="1:12">
      <c r="A223" s="94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>
      <c r="A224" s="94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</row>
    <row r="225" spans="1:12">
      <c r="A225" s="94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>
      <c r="A226" s="94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</row>
    <row r="227" spans="1:12">
      <c r="A227" s="94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>
      <c r="A228" s="94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>
      <c r="A229" s="94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>
      <c r="A230" s="94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>
      <c r="A231" s="94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>
      <c r="A232" s="94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>
      <c r="A233" s="94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2">
      <c r="A234" s="94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>
      <c r="A235" s="94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</row>
    <row r="236" spans="1:12">
      <c r="A236" s="94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>
      <c r="A237" s="94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</row>
    <row r="238" spans="1:12">
      <c r="A238" s="94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>
      <c r="A239" s="94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</row>
    <row r="240" spans="1:12">
      <c r="A240" s="94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>
      <c r="A241" s="94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</row>
    <row r="242" spans="1:12">
      <c r="A242" s="94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</row>
    <row r="243" spans="1:12">
      <c r="A243" s="94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12">
      <c r="A244" s="94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>
      <c r="A245" s="94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</row>
    <row r="246" spans="1:12">
      <c r="A246" s="94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>
      <c r="A247" s="94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12">
      <c r="A248" s="94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>
      <c r="A249" s="94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</row>
    <row r="250" spans="1:12">
      <c r="A250" s="94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</row>
    <row r="251" spans="1:12">
      <c r="A251" s="94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</row>
    <row r="252" spans="1:12">
      <c r="A252" s="94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</row>
    <row r="253" spans="1:12">
      <c r="A253" s="94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>
      <c r="A254" s="94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</row>
    <row r="255" spans="1:12">
      <c r="A255" s="94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</row>
    <row r="256" spans="1:12">
      <c r="A256" s="94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</row>
    <row r="257" spans="1:12">
      <c r="A257" s="94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>
      <c r="A258" s="94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</row>
    <row r="259" spans="1:12">
      <c r="A259" s="94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</row>
    <row r="260" spans="1:12">
      <c r="A260" s="94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</row>
    <row r="261" spans="1:12">
      <c r="A261" s="94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>
      <c r="A262" s="94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</row>
    <row r="263" spans="1:12">
      <c r="A263" s="94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2">
      <c r="A264" s="94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</row>
    <row r="265" spans="1:12">
      <c r="A265" s="94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</row>
    <row r="266" spans="1:12">
      <c r="A266" s="94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</row>
    <row r="267" spans="1:12">
      <c r="A267" s="94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</row>
    <row r="268" spans="1:12">
      <c r="A268" s="94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</row>
    <row r="269" spans="1:12">
      <c r="A269" s="94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</row>
    <row r="270" spans="1:12">
      <c r="A270" s="94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</row>
    <row r="271" spans="1:12">
      <c r="A271" s="94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</row>
    <row r="272" spans="1:12">
      <c r="A272" s="94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12">
      <c r="A273" s="94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</row>
    <row r="274" spans="1:12">
      <c r="A274" s="94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</row>
    <row r="275" spans="1:12">
      <c r="A275" s="94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</row>
    <row r="276" spans="1:12">
      <c r="A276" s="94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</row>
    <row r="277" spans="1:12">
      <c r="A277" s="94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</row>
    <row r="278" spans="1:12">
      <c r="A278" s="94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</row>
    <row r="279" spans="1:12">
      <c r="A279" s="94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</row>
    <row r="280" spans="1:12">
      <c r="A280" s="94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</row>
    <row r="281" spans="1:12">
      <c r="A281" s="94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</row>
    <row r="282" spans="1:12">
      <c r="A282" s="94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</row>
    <row r="283" spans="1:12">
      <c r="A283" s="94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</row>
    <row r="284" spans="1:12">
      <c r="A284" s="94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</row>
    <row r="285" spans="1:12">
      <c r="A285" s="94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</row>
    <row r="286" spans="1:12">
      <c r="A286" s="94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12">
      <c r="A287" s="94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</row>
    <row r="288" spans="1:12">
      <c r="A288" s="94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12">
      <c r="A289" s="94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</row>
    <row r="290" spans="1:12">
      <c r="A290" s="94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</row>
    <row r="291" spans="1:12">
      <c r="A291" s="94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</row>
    <row r="292" spans="1:12">
      <c r="A292" s="94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</row>
    <row r="293" spans="1:12">
      <c r="A293" s="94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</row>
    <row r="294" spans="1:12">
      <c r="A294" s="94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</row>
    <row r="295" spans="1:12">
      <c r="A295" s="94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</row>
    <row r="296" spans="1:12">
      <c r="A296" s="94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</row>
    <row r="297" spans="1:12">
      <c r="A297" s="94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</row>
    <row r="298" spans="1:12">
      <c r="A298" s="94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</row>
    <row r="299" spans="1:12">
      <c r="A299" s="94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</row>
    <row r="300" spans="1:12">
      <c r="A300" s="94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</row>
    <row r="301" spans="1:12">
      <c r="A301" s="94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</row>
    <row r="302" spans="1:12">
      <c r="A302" s="94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</row>
    <row r="303" spans="1:12">
      <c r="A303" s="94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</row>
    <row r="304" spans="1:12">
      <c r="A304" s="94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</row>
    <row r="305" spans="1:12">
      <c r="A305" s="94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</row>
    <row r="306" spans="1:12">
      <c r="A306" s="94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</row>
    <row r="307" spans="1:12">
      <c r="A307" s="94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</row>
    <row r="308" spans="1:12">
      <c r="A308" s="94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</row>
    <row r="309" spans="1:12">
      <c r="A309" s="94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</row>
    <row r="310" spans="1:12">
      <c r="A310" s="94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</row>
    <row r="311" spans="1:12">
      <c r="A311" s="94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</row>
    <row r="312" spans="1:12">
      <c r="A312" s="94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</row>
    <row r="313" spans="1:12">
      <c r="A313" s="94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</row>
    <row r="314" spans="1:12">
      <c r="A314" s="94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</row>
    <row r="315" spans="1:12">
      <c r="A315" s="94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</row>
    <row r="316" spans="1:12">
      <c r="A316" s="94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</row>
    <row r="317" spans="1:12">
      <c r="A317" s="94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</row>
    <row r="318" spans="1:12">
      <c r="A318" s="94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</row>
    <row r="319" spans="1:12">
      <c r="A319" s="94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</row>
    <row r="320" spans="1:12">
      <c r="A320" s="94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</row>
    <row r="321" spans="1:12">
      <c r="A321" s="94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</row>
    <row r="322" spans="1:12">
      <c r="A322" s="94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</row>
    <row r="323" spans="1:12">
      <c r="A323" s="94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</row>
    <row r="324" spans="1:12">
      <c r="A324" s="94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</row>
    <row r="325" spans="1:12">
      <c r="A325" s="94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2">
      <c r="A326" s="94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</row>
    <row r="327" spans="1:12">
      <c r="A327" s="94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</row>
    <row r="328" spans="1:12">
      <c r="A328" s="94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</row>
    <row r="329" spans="1:12">
      <c r="A329" s="94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</row>
    <row r="330" spans="1:12">
      <c r="A330" s="94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</row>
    <row r="331" spans="1:12">
      <c r="A331" s="94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</row>
    <row r="332" spans="1:12">
      <c r="A332" s="94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</row>
    <row r="333" spans="1:12">
      <c r="A333" s="94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</row>
    <row r="334" spans="1:12">
      <c r="A334" s="94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</row>
    <row r="335" spans="1:12">
      <c r="A335" s="94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</row>
    <row r="336" spans="1:12">
      <c r="A336" s="94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</row>
    <row r="337" spans="1:12">
      <c r="A337" s="94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</row>
    <row r="338" spans="1:12">
      <c r="A338" s="94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</row>
    <row r="339" spans="1:12">
      <c r="A339" s="94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</row>
    <row r="340" spans="1:12">
      <c r="A340" s="94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</row>
    <row r="341" spans="1:12">
      <c r="A341" s="94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</row>
    <row r="342" spans="1:12">
      <c r="A342" s="94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</row>
    <row r="343" spans="1:12">
      <c r="A343" s="94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</row>
    <row r="344" spans="1:12">
      <c r="A344" s="94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</row>
    <row r="345" spans="1:12">
      <c r="A345" s="94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</row>
    <row r="346" spans="1:12">
      <c r="A346" s="94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</row>
    <row r="347" spans="1:12">
      <c r="A347" s="94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</row>
    <row r="348" spans="1:12">
      <c r="A348" s="94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</row>
    <row r="349" spans="1:12">
      <c r="A349" s="94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</row>
    <row r="350" spans="1:12">
      <c r="A350" s="94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</row>
    <row r="351" spans="1:12">
      <c r="A351" s="94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</row>
    <row r="352" spans="1:12">
      <c r="A352" s="94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</row>
    <row r="353" spans="1:12">
      <c r="A353" s="94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</row>
    <row r="354" spans="1:12">
      <c r="A354" s="94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</row>
    <row r="355" spans="1:12">
      <c r="A355" s="94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</row>
    <row r="356" spans="1:12">
      <c r="A356" s="94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</row>
    <row r="357" spans="1:12">
      <c r="A357" s="94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</row>
    <row r="358" spans="1:12">
      <c r="A358" s="94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</row>
    <row r="359" spans="1:12">
      <c r="A359" s="94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</row>
    <row r="360" spans="1:12">
      <c r="A360" s="94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</row>
    <row r="361" spans="1:12">
      <c r="A361" s="94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</row>
    <row r="362" spans="1:12">
      <c r="A362" s="94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</row>
    <row r="363" spans="1:12">
      <c r="A363" s="94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</row>
    <row r="364" spans="1:12">
      <c r="A364" s="94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</row>
    <row r="365" spans="1:12">
      <c r="A365" s="94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</row>
    <row r="366" spans="1:12">
      <c r="A366" s="94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</row>
    <row r="367" spans="1:12">
      <c r="A367" s="94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</row>
    <row r="368" spans="1:12">
      <c r="A368" s="94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</row>
    <row r="369" spans="1:12">
      <c r="A369" s="94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</row>
    <row r="370" spans="1:12">
      <c r="A370" s="94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</row>
    <row r="371" spans="1:12">
      <c r="A371" s="94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</row>
    <row r="372" spans="1:12">
      <c r="A372" s="94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</row>
    <row r="373" spans="1:12">
      <c r="A373" s="94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</row>
    <row r="374" spans="1:12">
      <c r="A374" s="94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</row>
    <row r="375" spans="1:12">
      <c r="A375" s="94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</row>
    <row r="376" spans="1:12">
      <c r="A376" s="94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</row>
    <row r="377" spans="1:12">
      <c r="A377" s="94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</row>
    <row r="378" spans="1:12">
      <c r="A378" s="94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</row>
    <row r="379" spans="1:12">
      <c r="A379" s="94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</row>
    <row r="380" spans="1:12">
      <c r="A380" s="94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</row>
    <row r="381" spans="1:12">
      <c r="A381" s="94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</row>
    <row r="382" spans="1:12">
      <c r="A382" s="94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</row>
    <row r="383" spans="1:12">
      <c r="A383" s="94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</row>
    <row r="384" spans="1:12">
      <c r="A384" s="94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</row>
    <row r="385" spans="1:12">
      <c r="A385" s="94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</row>
    <row r="386" spans="1:12">
      <c r="A386" s="94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</row>
    <row r="387" spans="1:12">
      <c r="A387" s="94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</row>
    <row r="388" spans="1:12">
      <c r="A388" s="94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</row>
    <row r="389" spans="1:12">
      <c r="A389" s="94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</row>
    <row r="390" spans="1:12">
      <c r="A390" s="94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</row>
    <row r="391" spans="1:12">
      <c r="A391" s="94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</row>
    <row r="392" spans="1:12">
      <c r="A392" s="94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</row>
    <row r="393" spans="1:12">
      <c r="A393" s="94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</row>
    <row r="394" spans="1:12">
      <c r="A394" s="94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</row>
    <row r="395" spans="1:12">
      <c r="A395" s="94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</row>
    <row r="396" spans="1:12">
      <c r="A396" s="94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</row>
    <row r="397" spans="1:12">
      <c r="A397" s="94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</row>
    <row r="398" spans="1:12">
      <c r="A398" s="94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</row>
    <row r="399" spans="1:12">
      <c r="A399" s="94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</row>
    <row r="400" spans="1:12">
      <c r="A400" s="94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</row>
    <row r="401" spans="1:12">
      <c r="A401" s="94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</row>
    <row r="402" spans="1:12">
      <c r="A402" s="94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</row>
    <row r="403" spans="1:12">
      <c r="A403" s="94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</row>
    <row r="404" spans="1:12">
      <c r="A404" s="94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</row>
    <row r="405" spans="1:12">
      <c r="A405" s="94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</row>
    <row r="406" spans="1:12">
      <c r="A406" s="94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</row>
    <row r="407" spans="1:12">
      <c r="A407" s="94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</row>
    <row r="408" spans="1:12">
      <c r="A408" s="94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</row>
    <row r="409" spans="1:12">
      <c r="A409" s="94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</row>
    <row r="410" spans="1:12">
      <c r="A410" s="94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</row>
    <row r="411" spans="1:12">
      <c r="A411" s="94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</row>
    <row r="412" spans="1:12">
      <c r="A412" s="94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</row>
    <row r="413" spans="1:1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</row>
    <row r="414" spans="1:1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</row>
    <row r="415" spans="1:1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</row>
    <row r="416" spans="1:1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</row>
    <row r="417" spans="1:1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</row>
    <row r="418" spans="1:1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</row>
    <row r="419" spans="1:1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</row>
    <row r="420" spans="1:1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</row>
    <row r="421" spans="1:1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</row>
    <row r="422" spans="1:1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</row>
    <row r="423" spans="1:1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</row>
    <row r="424" spans="1:1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</row>
    <row r="425" spans="1:1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</row>
    <row r="426" spans="1:1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</row>
    <row r="427" spans="1:1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</row>
    <row r="428" spans="1:1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</row>
    <row r="429" spans="1:1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</row>
    <row r="430" spans="1:1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</row>
    <row r="431" spans="1:1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</row>
    <row r="432" spans="1:1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</row>
    <row r="433" spans="1:1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</row>
    <row r="434" spans="1:1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</row>
    <row r="435" spans="1:1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</row>
    <row r="436" spans="1:1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</row>
    <row r="437" spans="1:1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</row>
    <row r="438" spans="1:1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</row>
    <row r="439" spans="1:1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</row>
    <row r="440" spans="1:1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</row>
    <row r="441" spans="1:1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</row>
    <row r="442" spans="1:1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</row>
    <row r="443" spans="1:1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</row>
    <row r="444" spans="1:1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</row>
    <row r="445" spans="1:12">
      <c r="A445" s="94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</row>
    <row r="446" spans="1:12">
      <c r="A446" s="94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</row>
    <row r="447" spans="1:12">
      <c r="A447" s="94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</row>
    <row r="448" spans="1:12">
      <c r="A448" s="94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</row>
    <row r="449" spans="1:12">
      <c r="A449" s="94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</row>
    <row r="450" spans="1:12">
      <c r="A450" s="94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</row>
    <row r="451" spans="1:12">
      <c r="A451" s="94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</row>
    <row r="452" spans="1:12">
      <c r="A452" s="94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</row>
    <row r="453" spans="1:12">
      <c r="A453" s="94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</row>
    <row r="454" spans="1:12">
      <c r="A454" s="94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</row>
    <row r="455" spans="1:12">
      <c r="A455" s="94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</row>
    <row r="456" spans="1:12">
      <c r="A456" s="94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</row>
    <row r="457" spans="1:12">
      <c r="A457" s="94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</row>
    <row r="458" spans="1:12">
      <c r="A458" s="94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</row>
    <row r="459" spans="1:12">
      <c r="A459" s="94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</row>
    <row r="460" spans="1:12">
      <c r="A460" s="94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</row>
    <row r="461" spans="1:1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</row>
    <row r="462" spans="1:1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</row>
    <row r="463" spans="1:1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</row>
    <row r="464" spans="1:1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</row>
    <row r="465" spans="1:1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</row>
    <row r="466" spans="1:1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</row>
    <row r="467" spans="1:1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</row>
    <row r="468" spans="1:1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</row>
    <row r="469" spans="1:1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</row>
    <row r="470" spans="1:1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</row>
    <row r="471" spans="1:1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</row>
    <row r="472" spans="1:1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</row>
    <row r="473" spans="1:1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</row>
    <row r="474" spans="1:1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</row>
    <row r="475" spans="1:1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</row>
    <row r="476" spans="1:1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</row>
    <row r="477" spans="1:12">
      <c r="A477" s="94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</row>
    <row r="478" spans="1:12">
      <c r="A478" s="94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</row>
    <row r="479" spans="1:12">
      <c r="A479" s="94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</row>
    <row r="480" spans="1:12">
      <c r="A480" s="94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</row>
    <row r="481" spans="1:12">
      <c r="A481" s="94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</row>
    <row r="482" spans="1:12">
      <c r="A482" s="94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</row>
    <row r="483" spans="1:12">
      <c r="A483" s="94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</row>
    <row r="484" spans="1:12">
      <c r="A484" s="94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</row>
    <row r="485" spans="1:12">
      <c r="A485" s="94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</row>
    <row r="486" spans="1:12">
      <c r="A486" s="94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</row>
  </sheetData>
  <autoFilter ref="A4:L69" xr:uid="{00000000-0001-0000-2B00-000000000000}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09375" defaultRowHeight="14.4"/>
  <cols>
    <col min="1" max="2" width="9.109375" style="4"/>
    <col min="3" max="3" width="18.44140625" style="4" customWidth="1"/>
    <col min="4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" width="51.88671875" style="4" bestFit="1" customWidth="1"/>
    <col min="2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Par_OverallBaseYearMinActivity</vt:lpstr>
      <vt:lpstr>Par_OverallBaseYearMaxActivity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2024-01-01T20:37:25Z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